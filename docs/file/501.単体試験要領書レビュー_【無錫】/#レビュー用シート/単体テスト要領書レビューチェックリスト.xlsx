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filterPrivacy="1"/>
  <xr:revisionPtr revIDLastSave="0" documentId="13_ncr:1_{48267B47-F873-4793-929D-0FC5FAA73EA7}" xr6:coauthVersionLast="47" xr6:coauthVersionMax="47" xr10:uidLastSave="{00000000-0000-0000-0000-000000000000}"/>
  <bookViews>
    <workbookView xWindow="-110" yWindow="-110" windowWidth="19420" windowHeight="10420" tabRatio="589" activeTab="3"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7" i="8" l="1"/>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<sst xmlns="http://schemas.openxmlformats.org/spreadsheetml/2006/main" count="1390" uniqueCount="502">
  <si>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</si>
  <si>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</si>
  <si>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</si>
  <si>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</si>
  <si>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</si>
  <si>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</si>
  <si>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</si>
  <si>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</si>
  <si>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</si>
  <si>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</si>
  <si>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</si>
  <si>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</si>
  <si>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</si>
  <si>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</si>
  <si>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t>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</si>
  <si>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</si>
  <si>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</si>
  <si>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</si>
  <si>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</si>
  <si>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</si>
  <si>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t>
    <phoneticPr fontId="95"/>
  </si>
  <si>
    <t>＜削除ボタン＞
削除ボタンによって発生するイベントが設計書と一致していることを確認する。
以下の試験項目は必ず含めること。</t>
    <rPh sb="1" eb="3">
      <t>サクジョ</t>
    </rPh>
    <rPh sb="8" eb="10">
      <t>サクジョ</t>
    </rPh>
    <phoneticPr fontId="95"/>
  </si>
  <si>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</si>
  <si>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</si>
  <si>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t>
    <phoneticPr fontId="95"/>
  </si>
  <si>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</si>
  <si>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</si>
  <si>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</si>
  <si>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</si>
  <si>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</si>
  <si>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</si>
  <si>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</si>
  <si>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</si>
  <si>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</si>
  <si>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</si>
  <si>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</si>
  <si>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</si>
  <si>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</si>
  <si>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</si>
  <si>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</si>
  <si>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</si>
  <si>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</si>
  <si>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</si>
  <si>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</si>
  <si>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</si>
  <si>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</si>
  <si>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</si>
  <si>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</si>
  <si>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</si>
  <si>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</si>
  <si>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</si>
  <si>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</si>
  <si>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</si>
  <si>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</si>
  <si>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</si>
  <si>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</si>
  <si>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</si>
  <si>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</si>
  <si>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</si>
  <si>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その他</t>
    <rPh sb="2" eb="3">
      <t>タ</t>
    </rPh>
    <phoneticPr fontId="2"/>
  </si>
  <si>
    <t>レビュー履歴</t>
    <rPh sb="4" eb="6">
      <t>リレキ</t>
    </rPh>
    <phoneticPr fontId="2"/>
  </si>
  <si>
    <t>回数</t>
    <rPh sb="0" eb="2">
      <t>カイスウ</t>
    </rPh>
    <phoneticPr fontId="2"/>
  </si>
  <si>
    <t>部</t>
    <rPh sb="0" eb="1">
      <t>ブ</t>
    </rPh>
    <phoneticPr fontId="2"/>
  </si>
  <si>
    <t>課</t>
    <rPh sb="0" eb="1">
      <t>カ</t>
    </rPh>
    <phoneticPr fontId="2"/>
  </si>
  <si>
    <t>回答期限</t>
    <rPh sb="0" eb="2">
      <t>カイトウ</t>
    </rPh>
    <rPh sb="2" eb="4">
      <t>キゲン</t>
    </rPh>
    <phoneticPr fontId="2"/>
  </si>
  <si>
    <t>No.</t>
    <phoneticPr fontId="2"/>
  </si>
  <si>
    <t>ページ</t>
    <phoneticPr fontId="2"/>
  </si>
  <si>
    <t>査読コメント</t>
    <rPh sb="0" eb="2">
      <t>サドク</t>
    </rPh>
    <phoneticPr fontId="2"/>
  </si>
  <si>
    <t>回　　答</t>
    <rPh sb="0" eb="1">
      <t>カイ</t>
    </rPh>
    <rPh sb="3" eb="4">
      <t>コタエ</t>
    </rPh>
    <phoneticPr fontId="2"/>
  </si>
  <si>
    <t>確認</t>
    <rPh sb="0" eb="2">
      <t>カクニン</t>
    </rPh>
    <phoneticPr fontId="2"/>
  </si>
  <si>
    <t>誤り分類</t>
    <rPh sb="0" eb="1">
      <t>アヤマ</t>
    </rPh>
    <rPh sb="2" eb="4">
      <t>ブンルイ</t>
    </rPh>
    <phoneticPr fontId="2"/>
  </si>
  <si>
    <t>件数</t>
    <rPh sb="0" eb="2">
      <t>ケンスウ</t>
    </rPh>
    <phoneticPr fontId="2"/>
  </si>
  <si>
    <t>１Ａ</t>
    <phoneticPr fontId="2"/>
  </si>
  <si>
    <t>1A</t>
    <phoneticPr fontId="2"/>
  </si>
  <si>
    <t>１A</t>
    <phoneticPr fontId="2"/>
  </si>
  <si>
    <t>1ａ</t>
    <phoneticPr fontId="2"/>
  </si>
  <si>
    <t>”1A”合計</t>
    <rPh sb="4" eb="6">
      <t>ゴウケイ</t>
    </rPh>
    <phoneticPr fontId="2"/>
  </si>
  <si>
    <t>１Ｂ</t>
    <phoneticPr fontId="2"/>
  </si>
  <si>
    <t>1B</t>
    <phoneticPr fontId="2"/>
  </si>
  <si>
    <t>１B</t>
    <phoneticPr fontId="2"/>
  </si>
  <si>
    <t>1ｂ</t>
    <phoneticPr fontId="2"/>
  </si>
  <si>
    <t>１Ｃ</t>
    <phoneticPr fontId="2"/>
  </si>
  <si>
    <t>1C</t>
    <phoneticPr fontId="2"/>
  </si>
  <si>
    <t>１C</t>
    <phoneticPr fontId="2"/>
  </si>
  <si>
    <t>1ｃ</t>
    <phoneticPr fontId="2"/>
  </si>
  <si>
    <t>”1C”合計</t>
    <rPh sb="4" eb="6">
      <t>ゴウケイ</t>
    </rPh>
    <phoneticPr fontId="2"/>
  </si>
  <si>
    <t>”1B”合計</t>
    <rPh sb="4" eb="6">
      <t>ゴウケイ</t>
    </rPh>
    <phoneticPr fontId="2"/>
  </si>
  <si>
    <t>２Ａ</t>
  </si>
  <si>
    <t>２A</t>
  </si>
  <si>
    <t>２Ｂ</t>
  </si>
  <si>
    <t>２Ｃ</t>
  </si>
  <si>
    <t>２B</t>
  </si>
  <si>
    <t>２C</t>
  </si>
  <si>
    <t>2A</t>
  </si>
  <si>
    <t>2B</t>
  </si>
  <si>
    <t>2C</t>
  </si>
  <si>
    <t>2ａ</t>
  </si>
  <si>
    <t>2ｂ</t>
  </si>
  <si>
    <t>2ｃ</t>
  </si>
  <si>
    <t>3A</t>
  </si>
  <si>
    <t>3B</t>
  </si>
  <si>
    <t>3C</t>
  </si>
  <si>
    <t>3ａ</t>
  </si>
  <si>
    <t>3ｂ</t>
  </si>
  <si>
    <t>3ｃ</t>
  </si>
  <si>
    <t>３Ａ</t>
  </si>
  <si>
    <t>３Ｂ</t>
  </si>
  <si>
    <t>３Ｃ</t>
  </si>
  <si>
    <t>３A</t>
  </si>
  <si>
    <t>３B</t>
  </si>
  <si>
    <t>３C</t>
  </si>
  <si>
    <t>”2B”合計</t>
    <rPh sb="4" eb="6">
      <t>ゴウケイ</t>
    </rPh>
    <phoneticPr fontId="2"/>
  </si>
  <si>
    <t>”2C”合計</t>
    <rPh sb="4" eb="6">
      <t>ゴウケイ</t>
    </rPh>
    <phoneticPr fontId="2"/>
  </si>
  <si>
    <t>”2A”合計</t>
    <rPh sb="4" eb="6">
      <t>ゴウケイ</t>
    </rPh>
    <phoneticPr fontId="2"/>
  </si>
  <si>
    <t>”3C”合計</t>
    <rPh sb="4" eb="6">
      <t>ゴウケイ</t>
    </rPh>
    <phoneticPr fontId="2"/>
  </si>
  <si>
    <t>”3A”合計</t>
    <rPh sb="4" eb="6">
      <t>ゴウケイ</t>
    </rPh>
    <phoneticPr fontId="2"/>
  </si>
  <si>
    <t>”3B”合計</t>
    <rPh sb="4" eb="6">
      <t>ゴウケイ</t>
    </rPh>
    <phoneticPr fontId="2"/>
  </si>
  <si>
    <t>4A</t>
  </si>
  <si>
    <t>4B</t>
  </si>
  <si>
    <t>4C</t>
  </si>
  <si>
    <t>4ａ</t>
  </si>
  <si>
    <t>4ｂ</t>
  </si>
  <si>
    <t>4ｃ</t>
  </si>
  <si>
    <t>”4A”合計</t>
    <rPh sb="4" eb="6">
      <t>ゴウケイ</t>
    </rPh>
    <phoneticPr fontId="2"/>
  </si>
  <si>
    <t>”4B”合計</t>
    <rPh sb="4" eb="6">
      <t>ゴウケイ</t>
    </rPh>
    <phoneticPr fontId="2"/>
  </si>
  <si>
    <t>”4C”合計</t>
    <rPh sb="4" eb="6">
      <t>ゴウケイ</t>
    </rPh>
    <phoneticPr fontId="2"/>
  </si>
  <si>
    <t>４Ａ</t>
  </si>
  <si>
    <t>４Ｂ</t>
  </si>
  <si>
    <t>４Ｃ</t>
  </si>
  <si>
    <t>４A</t>
  </si>
  <si>
    <t>４B</t>
  </si>
  <si>
    <t>４C</t>
  </si>
  <si>
    <t>５Ａ</t>
  </si>
  <si>
    <t>５Ｂ</t>
  </si>
  <si>
    <t>５Ｃ</t>
  </si>
  <si>
    <t>５A</t>
  </si>
  <si>
    <t>５B</t>
  </si>
  <si>
    <t>５C</t>
  </si>
  <si>
    <t>5A</t>
  </si>
  <si>
    <t>5B</t>
  </si>
  <si>
    <t>5C</t>
  </si>
  <si>
    <t>5ａ</t>
  </si>
  <si>
    <t>5ｂ</t>
  </si>
  <si>
    <t>5ｃ</t>
  </si>
  <si>
    <t>”5A”合計</t>
    <rPh sb="4" eb="6">
      <t>ゴウケイ</t>
    </rPh>
    <phoneticPr fontId="2"/>
  </si>
  <si>
    <t>”5B”合計</t>
    <rPh sb="4" eb="6">
      <t>ゴウケイ</t>
    </rPh>
    <phoneticPr fontId="2"/>
  </si>
  <si>
    <t>”5C”合計</t>
    <rPh sb="4" eb="6">
      <t>ゴウケイ</t>
    </rPh>
    <phoneticPr fontId="2"/>
  </si>
  <si>
    <t>５Ｄ</t>
  </si>
  <si>
    <t>5Ｄ</t>
  </si>
  <si>
    <t>5D</t>
  </si>
  <si>
    <t>５D</t>
  </si>
  <si>
    <t>”5D”合計</t>
    <rPh sb="4" eb="6">
      <t>ゴウケイ</t>
    </rPh>
    <phoneticPr fontId="2"/>
  </si>
  <si>
    <t>記入日</t>
    <rPh sb="0" eb="2">
      <t>キニュウ</t>
    </rPh>
    <rPh sb="2" eb="3">
      <t>ビ</t>
    </rPh>
    <phoneticPr fontId="2"/>
  </si>
  <si>
    <t>コメント数</t>
    <rPh sb="4" eb="5">
      <t>スウ</t>
    </rPh>
    <phoneticPr fontId="2"/>
  </si>
  <si>
    <t>記入者</t>
    <rPh sb="0" eb="2">
      <t>キニュウ</t>
    </rPh>
    <rPh sb="2" eb="3">
      <t>シャ</t>
    </rPh>
    <phoneticPr fontId="2"/>
  </si>
  <si>
    <t>回答日</t>
    <rPh sb="0" eb="3">
      <t>カイトウビ</t>
    </rPh>
    <phoneticPr fontId="2"/>
  </si>
  <si>
    <t>回答者</t>
    <rPh sb="0" eb="2">
      <t>カイトウ</t>
    </rPh>
    <rPh sb="2" eb="3">
      <t>シャ</t>
    </rPh>
    <phoneticPr fontId="2"/>
  </si>
  <si>
    <t>担当 部課名</t>
    <rPh sb="0" eb="2">
      <t>タントウ</t>
    </rPh>
    <rPh sb="3" eb="5">
      <t>ブカ</t>
    </rPh>
    <rPh sb="5" eb="6">
      <t>メイ</t>
    </rPh>
    <phoneticPr fontId="2"/>
  </si>
  <si>
    <t>合計</t>
    <rPh sb="0" eb="2">
      <t>ゴウケイ</t>
    </rPh>
    <phoneticPr fontId="2"/>
  </si>
  <si>
    <t>PID</t>
    <phoneticPr fontId="2"/>
  </si>
  <si>
    <t>作成者</t>
    <rPh sb="0" eb="3">
      <t>サクセイシャ</t>
    </rPh>
    <phoneticPr fontId="2"/>
  </si>
  <si>
    <t>要件定義書</t>
    <rPh sb="0" eb="2">
      <t>ヨウケン</t>
    </rPh>
    <rPh sb="2" eb="5">
      <t>テイギショ</t>
    </rPh>
    <phoneticPr fontId="2"/>
  </si>
  <si>
    <t>レビュー結果</t>
    <rPh sb="4" eb="6">
      <t>ケッカ</t>
    </rPh>
    <phoneticPr fontId="2"/>
  </si>
  <si>
    <t>レビュー対象</t>
    <rPh sb="4" eb="6">
      <t>タイショウ</t>
    </rPh>
    <phoneticPr fontId="2"/>
  </si>
  <si>
    <t>プログラム仕様書</t>
    <rPh sb="5" eb="8">
      <t>シヨウショ</t>
    </rPh>
    <phoneticPr fontId="2"/>
  </si>
  <si>
    <t>(0)</t>
    <phoneticPr fontId="2"/>
  </si>
  <si>
    <t>要件定義段階での誤り</t>
    <rPh sb="0" eb="2">
      <t>ヨウケン</t>
    </rPh>
    <rPh sb="2" eb="4">
      <t>テイギ</t>
    </rPh>
    <rPh sb="4" eb="6">
      <t>ダンカイ</t>
    </rPh>
    <rPh sb="8" eb="9">
      <t>アヤマ</t>
    </rPh>
    <phoneticPr fontId="2"/>
  </si>
  <si>
    <t>ドキュメント</t>
    <phoneticPr fontId="2"/>
  </si>
  <si>
    <t>体制</t>
    <rPh sb="0" eb="2">
      <t>タイセイ</t>
    </rPh>
    <phoneticPr fontId="2"/>
  </si>
  <si>
    <t>区分</t>
    <rPh sb="0" eb="2">
      <t>クブン</t>
    </rPh>
    <phoneticPr fontId="2"/>
  </si>
  <si>
    <t>人数</t>
    <rPh sb="0" eb="1">
      <t>ヒト</t>
    </rPh>
    <rPh sb="1" eb="2">
      <t>スウ</t>
    </rPh>
    <phoneticPr fontId="2"/>
  </si>
  <si>
    <t>(1)</t>
    <phoneticPr fontId="2"/>
  </si>
  <si>
    <t>PJ件名</t>
    <rPh sb="2" eb="3">
      <t>ケン</t>
    </rPh>
    <rPh sb="3" eb="4">
      <t>メイ</t>
    </rPh>
    <phoneticPr fontId="2"/>
  </si>
  <si>
    <t>その他</t>
  </si>
  <si>
    <t>1Z:その他</t>
  </si>
  <si>
    <t>1C:機能間インターフェース仕様の誤り</t>
    <phoneticPr fontId="2"/>
  </si>
  <si>
    <t>1B:外部仕様の誤り</t>
    <phoneticPr fontId="2"/>
  </si>
  <si>
    <t>1A:外部仕様の抜け及び要件定義の解釈誤り</t>
    <phoneticPr fontId="2"/>
  </si>
  <si>
    <t>(2)</t>
    <phoneticPr fontId="2"/>
  </si>
  <si>
    <t>(3)</t>
    <phoneticPr fontId="2"/>
  </si>
  <si>
    <t>2Z:その他</t>
  </si>
  <si>
    <t>2C:モジュール間インターフェース仕様の誤り</t>
  </si>
  <si>
    <t>2B:内部設計の誤り</t>
  </si>
  <si>
    <t>2A:内部設計漏れ及び外部仕様の解釈誤り</t>
    <phoneticPr fontId="2"/>
  </si>
  <si>
    <t>(4)</t>
    <phoneticPr fontId="2"/>
  </si>
  <si>
    <t>(5)</t>
    <phoneticPr fontId="2"/>
  </si>
  <si>
    <t>コーディング段階での誤り</t>
  </si>
  <si>
    <t>試験段階での誤り</t>
  </si>
  <si>
    <t>5B:試験仕様の誤り</t>
  </si>
  <si>
    <t>5C:試験プログラム/データの誤り</t>
  </si>
  <si>
    <t>5D:試験項目抜け</t>
  </si>
  <si>
    <t>4B:表現不備(誤字/脱字など)</t>
  </si>
  <si>
    <t>5Z:その他</t>
  </si>
  <si>
    <t>3Z:その他</t>
  </si>
  <si>
    <t>3B:不注意なコーディング・ミス</t>
  </si>
  <si>
    <t>5A:仕様の解釈誤り</t>
    <phoneticPr fontId="2"/>
  </si>
  <si>
    <t>4A:お客様からの仕様変更</t>
    <phoneticPr fontId="2"/>
  </si>
  <si>
    <t>3A:設計どおりのコーディングがされていない</t>
    <phoneticPr fontId="2"/>
  </si>
  <si>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</si>
  <si>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</si>
  <si>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</si>
  <si>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</si>
  <si>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0A</t>
  </si>
  <si>
    <t>0ａ</t>
  </si>
  <si>
    <t>０A</t>
  </si>
  <si>
    <t>０Ａ</t>
  </si>
  <si>
    <t>”0A”合計</t>
    <rPh sb="4" eb="6">
      <t>ゴウケイ</t>
    </rPh>
    <phoneticPr fontId="2"/>
  </si>
  <si>
    <t>０B</t>
  </si>
  <si>
    <t>０Ｂ</t>
  </si>
  <si>
    <t>0B</t>
  </si>
  <si>
    <t>0ｂ</t>
  </si>
  <si>
    <t>0C</t>
  </si>
  <si>
    <t>0ｃ</t>
  </si>
  <si>
    <t>０C</t>
  </si>
  <si>
    <t>０Ｃ</t>
  </si>
  <si>
    <t>”0C”合計</t>
    <rPh sb="4" eb="6">
      <t>ゴウケイ</t>
    </rPh>
    <phoneticPr fontId="2"/>
  </si>
  <si>
    <t>”0B”合計</t>
    <rPh sb="4" eb="6">
      <t>ゴウケイ</t>
    </rPh>
    <phoneticPr fontId="2"/>
  </si>
  <si>
    <t>１Ｚ</t>
  </si>
  <si>
    <t>２Ｚ</t>
  </si>
  <si>
    <t>３Ｚ</t>
  </si>
  <si>
    <t>４Ｚ</t>
  </si>
  <si>
    <t>０Ｚ</t>
  </si>
  <si>
    <t>1Z</t>
  </si>
  <si>
    <t>2Z</t>
  </si>
  <si>
    <t>3Z</t>
  </si>
  <si>
    <t>4Z</t>
  </si>
  <si>
    <t>0Z</t>
  </si>
  <si>
    <t>１Z</t>
  </si>
  <si>
    <t>２Z</t>
  </si>
  <si>
    <t>３Z</t>
  </si>
  <si>
    <t>４Z</t>
  </si>
  <si>
    <t>０Z</t>
  </si>
  <si>
    <t>1ｚ</t>
  </si>
  <si>
    <t>2ｚ</t>
  </si>
  <si>
    <t>3ｚ</t>
  </si>
  <si>
    <t>4ｚ</t>
  </si>
  <si>
    <t>0ｚ</t>
  </si>
  <si>
    <t>”1Z”合計</t>
    <rPh sb="4" eb="6">
      <t>ゴウケイ</t>
    </rPh>
    <phoneticPr fontId="2"/>
  </si>
  <si>
    <t>”0Z”合計</t>
    <rPh sb="4" eb="6">
      <t>ゴウケイ</t>
    </rPh>
    <phoneticPr fontId="2"/>
  </si>
  <si>
    <t>”2Z”合計</t>
    <rPh sb="4" eb="6">
      <t>ゴウケイ</t>
    </rPh>
    <phoneticPr fontId="2"/>
  </si>
  <si>
    <t>”3Z”合計</t>
    <rPh sb="4" eb="6">
      <t>ゴウケイ</t>
    </rPh>
    <phoneticPr fontId="2"/>
  </si>
  <si>
    <t>”4Z”合計</t>
    <rPh sb="4" eb="6">
      <t>ゴウケイ</t>
    </rPh>
    <phoneticPr fontId="2"/>
  </si>
  <si>
    <t>５Ｚ</t>
    <phoneticPr fontId="2"/>
  </si>
  <si>
    <t>5Z</t>
    <phoneticPr fontId="2"/>
  </si>
  <si>
    <t>５Z</t>
    <phoneticPr fontId="2"/>
  </si>
  <si>
    <t>5ｚ</t>
    <phoneticPr fontId="2"/>
  </si>
  <si>
    <t>”5Z”合計</t>
    <rPh sb="4" eb="6">
      <t>ゴウケイ</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</si>
  <si>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</si>
  <si>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</si>
  <si>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</si>
  <si>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</si>
  <si>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備　考</t>
    <rPh sb="0" eb="1">
      <t>ビ</t>
    </rPh>
    <rPh sb="2" eb="3">
      <t>コウ</t>
    </rPh>
    <phoneticPr fontId="2"/>
  </si>
  <si>
    <t>～</t>
    <phoneticPr fontId="2"/>
  </si>
  <si>
    <t>～</t>
    <phoneticPr fontId="2"/>
  </si>
  <si>
    <t>～</t>
    <phoneticPr fontId="2"/>
  </si>
  <si>
    <t>～</t>
    <phoneticPr fontId="2"/>
  </si>
  <si>
    <t>当該仕様担当者</t>
    <rPh sb="0" eb="2">
      <t>トウガイ</t>
    </rPh>
    <rPh sb="2" eb="4">
      <t>シヨウ</t>
    </rPh>
    <rPh sb="4" eb="7">
      <t>タントウシャ</t>
    </rPh>
    <phoneticPr fontId="2"/>
  </si>
  <si>
    <t>営業担当者</t>
    <rPh sb="0" eb="2">
      <t>エイギョウ</t>
    </rPh>
    <rPh sb="2" eb="4">
      <t>タントウ</t>
    </rPh>
    <rPh sb="4" eb="5">
      <t>シャ</t>
    </rPh>
    <phoneticPr fontId="2"/>
  </si>
  <si>
    <t>製外</t>
    <rPh sb="0" eb="2">
      <t>セイガイ</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</si>
  <si>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</si>
  <si>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</si>
  <si>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</si>
  <si>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試験要領書</t>
    <rPh sb="0" eb="2">
      <t>シケン</t>
    </rPh>
    <rPh sb="2" eb="4">
      <t>ヨウリョウ</t>
    </rPh>
    <rPh sb="4" eb="5">
      <t>ショ</t>
    </rPh>
    <phoneticPr fontId="2"/>
  </si>
  <si>
    <t>ソースプログラムリスト</t>
    <phoneticPr fontId="2"/>
  </si>
  <si>
    <t>日付記入数</t>
    <rPh sb="0" eb="2">
      <t>ヒヅケ</t>
    </rPh>
    <rPh sb="2" eb="4">
      <t>キニュウ</t>
    </rPh>
    <rPh sb="4" eb="5">
      <t>スウ</t>
    </rPh>
    <phoneticPr fontId="2"/>
  </si>
  <si>
    <t>日付累計</t>
    <rPh sb="0" eb="2">
      <t>ヒヅケ</t>
    </rPh>
    <rPh sb="2" eb="4">
      <t>ルイケイ</t>
    </rPh>
    <phoneticPr fontId="2"/>
  </si>
  <si>
    <t>上位仕様担当者</t>
    <rPh sb="0" eb="2">
      <t>ジョウイ</t>
    </rPh>
    <rPh sb="2" eb="4">
      <t>シヨウ</t>
    </rPh>
    <rPh sb="4" eb="7">
      <t>タントウシャ</t>
    </rPh>
    <phoneticPr fontId="2"/>
  </si>
  <si>
    <t>下位仕様担当者</t>
    <rPh sb="0" eb="2">
      <t>カイ</t>
    </rPh>
    <rPh sb="2" eb="4">
      <t>シヨウ</t>
    </rPh>
    <rPh sb="4" eb="7">
      <t>タントウシャ</t>
    </rPh>
    <phoneticPr fontId="2"/>
  </si>
  <si>
    <t>ドキュメントレビュー
誤り指摘率(件/頁)</t>
    <rPh sb="11" eb="12">
      <t>アヤマ</t>
    </rPh>
    <rPh sb="13" eb="15">
      <t>シテキ</t>
    </rPh>
    <rPh sb="15" eb="16">
      <t>リツ</t>
    </rPh>
    <rPh sb="17" eb="18">
      <t>ケン</t>
    </rPh>
    <rPh sb="19" eb="20">
      <t>ページ</t>
    </rPh>
    <phoneticPr fontId="2"/>
  </si>
  <si>
    <t>ドキュメントレビュー
指摘率(件/頁)</t>
    <rPh sb="11" eb="13">
      <t>シテキ</t>
    </rPh>
    <rPh sb="13" eb="14">
      <t>リツ</t>
    </rPh>
    <phoneticPr fontId="2"/>
  </si>
  <si>
    <t>コードレビュー
指摘率(件/KL)</t>
    <rPh sb="8" eb="10">
      <t>シテキ</t>
    </rPh>
    <rPh sb="10" eb="11">
      <t>リツ</t>
    </rPh>
    <phoneticPr fontId="2"/>
  </si>
  <si>
    <t>コードレビュー
誤り指摘率(件/KL)</t>
    <rPh sb="8" eb="9">
      <t>アヤマ</t>
    </rPh>
    <rPh sb="10" eb="12">
      <t>シテキ</t>
    </rPh>
    <rPh sb="12" eb="13">
      <t>リツ</t>
    </rPh>
    <rPh sb="14" eb="15">
      <t>ケン</t>
    </rPh>
    <phoneticPr fontId="2"/>
  </si>
  <si>
    <t>総指摘件数</t>
    <rPh sb="0" eb="1">
      <t>ソウ</t>
    </rPh>
    <rPh sb="1" eb="3">
      <t>シテキ</t>
    </rPh>
    <rPh sb="3" eb="5">
      <t>ケンスウ</t>
    </rPh>
    <phoneticPr fontId="2"/>
  </si>
  <si>
    <t>件</t>
  </si>
  <si>
    <t>件</t>
    <rPh sb="0" eb="1">
      <t>ケン</t>
    </rPh>
    <phoneticPr fontId="2"/>
  </si>
  <si>
    <t>件）</t>
    <rPh sb="0" eb="1">
      <t>ケン</t>
    </rPh>
    <phoneticPr fontId="2"/>
  </si>
  <si>
    <t>ﾄﾞｷｭﾒﾝﾄ番号：</t>
    <rPh sb="7" eb="9">
      <t>バンゴウ</t>
    </rPh>
    <phoneticPr fontId="2"/>
  </si>
  <si>
    <t>ﾄﾞｷｭﾒﾝﾄ名／
ﾌﾟﾛｸﾞﾗﾑ名　　：</t>
    <rPh sb="7" eb="8">
      <t>メイ</t>
    </rPh>
    <rPh sb="17" eb="18">
      <t>メイ</t>
    </rPh>
    <phoneticPr fontId="2"/>
  </si>
  <si>
    <t>合　計　（人）</t>
    <rPh sb="0" eb="1">
      <t>ゴウ</t>
    </rPh>
    <rPh sb="2" eb="3">
      <t>ケイ</t>
    </rPh>
    <rPh sb="5" eb="6">
      <t>ヒト</t>
    </rPh>
    <phoneticPr fontId="2"/>
  </si>
  <si>
    <t>＜査読シートの誤り分類の集計＞</t>
    <rPh sb="1" eb="3">
      <t>サドク</t>
    </rPh>
    <rPh sb="7" eb="8">
      <t>アヤマ</t>
    </rPh>
    <rPh sb="9" eb="11">
      <t>ブンルイ</t>
    </rPh>
    <rPh sb="12" eb="14">
      <t>シュウケイ</t>
    </rPh>
    <phoneticPr fontId="2"/>
  </si>
  <si>
    <t>件　　（内 誤り件数</t>
    <rPh sb="0" eb="1">
      <t>ケン</t>
    </rPh>
    <rPh sb="4" eb="5">
      <t>ウチ</t>
    </rPh>
    <rPh sb="6" eb="7">
      <t>アヤマ</t>
    </rPh>
    <rPh sb="8" eb="10">
      <t>ケンスウ</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</si>
  <si>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</si>
  <si>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未使用</t>
    <rPh sb="0" eb="1">
      <t>ミ</t>
    </rPh>
    <rPh sb="1" eb="3">
      <t>シヨウ</t>
    </rPh>
    <phoneticPr fontId="2"/>
  </si>
  <si>
    <t>ﾓｼﾞｭｰﾙ数(個)</t>
    <phoneticPr fontId="2"/>
  </si>
  <si>
    <t>作　成　日　</t>
    <rPh sb="0" eb="1">
      <t>サク</t>
    </rPh>
    <rPh sb="2" eb="3">
      <t>シゲル</t>
    </rPh>
    <rPh sb="4" eb="5">
      <t>ヒ</t>
    </rPh>
    <phoneticPr fontId="2"/>
  </si>
  <si>
    <t>　</t>
    <phoneticPr fontId="2"/>
  </si>
  <si>
    <t>ライン数（KL）</t>
    <rPh sb="3" eb="4">
      <t>スウ</t>
    </rPh>
    <phoneticPr fontId="2"/>
  </si>
  <si>
    <t>ページ数(頁)</t>
    <rPh sb="3" eb="4">
      <t>スウ</t>
    </rPh>
    <rPh sb="5" eb="6">
      <t>ページ</t>
    </rPh>
    <phoneticPr fontId="2"/>
  </si>
  <si>
    <t>査読コメント</t>
  </si>
  <si>
    <t>&lt;&gt;""</t>
    <phoneticPr fontId="2"/>
  </si>
  <si>
    <t>：レビューア</t>
    <phoneticPr fontId="2"/>
  </si>
  <si>
    <t>ﾚﾋﾞｭｰ指摘率（件/頁）orｺｰﾄﾞﾚﾋﾞｭｰ指摘率（件/KL）</t>
    <phoneticPr fontId="2"/>
  </si>
  <si>
    <t>ページ数(頁) 
or
ライン数（KL)</t>
    <rPh sb="3" eb="4">
      <t>スウ</t>
    </rPh>
    <rPh sb="5" eb="6">
      <t>ページ</t>
    </rPh>
    <phoneticPr fontId="2"/>
  </si>
  <si>
    <t>PL</t>
    <phoneticPr fontId="2"/>
  </si>
  <si>
    <t>QR</t>
    <phoneticPr fontId="2"/>
  </si>
  <si>
    <t>評価</t>
    <rPh sb="0" eb="2">
      <t>ヒョウカ</t>
    </rPh>
    <phoneticPr fontId="2"/>
  </si>
  <si>
    <t>審査
責任者
欄</t>
    <rPh sb="0" eb="2">
      <t>シンサ</t>
    </rPh>
    <rPh sb="3" eb="6">
      <t>セキニンシャ</t>
    </rPh>
    <rPh sb="7" eb="8">
      <t>ラン</t>
    </rPh>
    <phoneticPr fontId="2"/>
  </si>
  <si>
    <t>添付資料</t>
    <rPh sb="0" eb="2">
      <t>テンプ</t>
    </rPh>
    <rPh sb="2" eb="4">
      <t>シリョウ</t>
    </rPh>
    <phoneticPr fontId="2"/>
  </si>
  <si>
    <t>□</t>
    <phoneticPr fontId="2"/>
  </si>
  <si>
    <t>レビューチェックリスト</t>
    <phoneticPr fontId="2"/>
  </si>
  <si>
    <t>査読シート</t>
    <rPh sb="0" eb="2">
      <t>サドク</t>
    </rPh>
    <phoneticPr fontId="2"/>
  </si>
  <si>
    <t>査　読　シ ー ト</t>
  </si>
  <si>
    <t>プロジェクト実行計画書</t>
    <rPh sb="6" eb="8">
      <t>ジッコウ</t>
    </rPh>
    <rPh sb="8" eb="10">
      <t>ケイカク</t>
    </rPh>
    <rPh sb="10" eb="11">
      <t>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</si>
  <si>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</si>
  <si>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</si>
  <si>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ソースプログラムリスト</t>
    <phoneticPr fontId="2"/>
  </si>
  <si>
    <t>D1：計画内容の抜け</t>
    <phoneticPr fontId="2"/>
  </si>
  <si>
    <t>(D)</t>
    <phoneticPr fontId="2"/>
  </si>
  <si>
    <t>プロ完段階での誤り</t>
    <rPh sb="2" eb="3">
      <t>カン</t>
    </rPh>
    <rPh sb="3" eb="5">
      <t>ダンカイ</t>
    </rPh>
    <rPh sb="7" eb="8">
      <t>アヤマ</t>
    </rPh>
    <phoneticPr fontId="2"/>
  </si>
  <si>
    <t>DZ：その他</t>
    <phoneticPr fontId="2"/>
  </si>
  <si>
    <t>(6)</t>
    <phoneticPr fontId="2"/>
  </si>
  <si>
    <t>6A：報告内容の抜け</t>
    <phoneticPr fontId="2"/>
  </si>
  <si>
    <t>6Z：その他</t>
    <phoneticPr fontId="2"/>
  </si>
  <si>
    <t>レビュー評価シート</t>
    <rPh sb="4" eb="6">
      <t>ヒョウカ</t>
    </rPh>
    <phoneticPr fontId="2"/>
  </si>
  <si>
    <t>計画段階での誤り</t>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</si>
  <si>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</si>
  <si>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0A:要件の抜け及び解釈誤り</t>
    <rPh sb="3" eb="5">
      <t>ヨウケン</t>
    </rPh>
    <rPh sb="6" eb="7">
      <t>ヌ</t>
    </rPh>
    <rPh sb="8" eb="9">
      <t>オヨ</t>
    </rPh>
    <rPh sb="10" eb="12">
      <t>カイシャク</t>
    </rPh>
    <rPh sb="12" eb="13">
      <t>アヤマ</t>
    </rPh>
    <phoneticPr fontId="2"/>
  </si>
  <si>
    <t>0B:要件定義の誤り</t>
    <rPh sb="3" eb="5">
      <t>ヨウケン</t>
    </rPh>
    <rPh sb="5" eb="7">
      <t>テイギ</t>
    </rPh>
    <rPh sb="8" eb="9">
      <t>アヤマ</t>
    </rPh>
    <phoneticPr fontId="2"/>
  </si>
  <si>
    <t>0C:システム化対象範囲外とのインターフェースの誤り</t>
    <rPh sb="7" eb="8">
      <t>カ</t>
    </rPh>
    <rPh sb="8" eb="10">
      <t>タイショウ</t>
    </rPh>
    <rPh sb="10" eb="12">
      <t>ハンイ</t>
    </rPh>
    <rPh sb="12" eb="13">
      <t>ガイ</t>
    </rPh>
    <rPh sb="24" eb="25">
      <t>アヤマ</t>
    </rPh>
    <phoneticPr fontId="2"/>
  </si>
  <si>
    <t>0Z:その他</t>
    <rPh sb="5" eb="6">
      <t>タ</t>
    </rPh>
    <phoneticPr fontId="2"/>
  </si>
  <si>
    <t>審査責任者</t>
    <phoneticPr fontId="2"/>
  </si>
  <si>
    <t>その他（　　　　　　　　　　　　　　　　　　　　　　　）</t>
    <rPh sb="2" eb="3">
      <t>タ</t>
    </rPh>
    <phoneticPr fontId="2"/>
  </si>
  <si>
    <t>Ｄ１</t>
    <phoneticPr fontId="2"/>
  </si>
  <si>
    <t>D1</t>
    <phoneticPr fontId="2"/>
  </si>
  <si>
    <t>d1</t>
    <phoneticPr fontId="2"/>
  </si>
  <si>
    <t>Ｄ1</t>
    <phoneticPr fontId="2"/>
  </si>
  <si>
    <t>”D1”合計</t>
    <rPh sb="4" eb="6">
      <t>ゴウケイ</t>
    </rPh>
    <phoneticPr fontId="2"/>
  </si>
  <si>
    <t>”D2”合計</t>
    <rPh sb="4" eb="6">
      <t>ゴウケイ</t>
    </rPh>
    <phoneticPr fontId="2"/>
  </si>
  <si>
    <t>”DZ”合計</t>
    <rPh sb="4" eb="6">
      <t>ゴウケイ</t>
    </rPh>
    <phoneticPr fontId="2"/>
  </si>
  <si>
    <t>D2</t>
    <phoneticPr fontId="2"/>
  </si>
  <si>
    <t>d2</t>
    <phoneticPr fontId="2"/>
  </si>
  <si>
    <t>Ｄ２</t>
    <phoneticPr fontId="2"/>
  </si>
  <si>
    <t>ＤＺ</t>
    <phoneticPr fontId="2"/>
  </si>
  <si>
    <t>DZ</t>
    <phoneticPr fontId="2"/>
  </si>
  <si>
    <t>ＤZ</t>
    <phoneticPr fontId="2"/>
  </si>
  <si>
    <t>dz</t>
    <phoneticPr fontId="2"/>
  </si>
  <si>
    <t>”6A”合計</t>
    <rPh sb="4" eb="6">
      <t>ゴウケイ</t>
    </rPh>
    <phoneticPr fontId="2"/>
  </si>
  <si>
    <t>”6B”合計</t>
    <rPh sb="4" eb="6">
      <t>ゴウケイ</t>
    </rPh>
    <phoneticPr fontId="2"/>
  </si>
  <si>
    <t>”6Z”合計</t>
    <rPh sb="4" eb="6">
      <t>ゴウケイ</t>
    </rPh>
    <phoneticPr fontId="2"/>
  </si>
  <si>
    <t>6ａ</t>
    <phoneticPr fontId="2"/>
  </si>
  <si>
    <t>６Ａ</t>
    <phoneticPr fontId="2"/>
  </si>
  <si>
    <t>６A</t>
    <phoneticPr fontId="2"/>
  </si>
  <si>
    <t>6A</t>
    <phoneticPr fontId="2"/>
  </si>
  <si>
    <t>6B</t>
    <phoneticPr fontId="2"/>
  </si>
  <si>
    <t>6ｂ</t>
    <phoneticPr fontId="2"/>
  </si>
  <si>
    <t>６Ｂ</t>
    <phoneticPr fontId="2"/>
  </si>
  <si>
    <t>６B</t>
    <phoneticPr fontId="2"/>
  </si>
  <si>
    <t>６Ｚ</t>
    <phoneticPr fontId="2"/>
  </si>
  <si>
    <t>６Z</t>
    <phoneticPr fontId="2"/>
  </si>
  <si>
    <t>6Z</t>
    <phoneticPr fontId="2"/>
  </si>
  <si>
    <t>6ｚ</t>
    <phoneticPr fontId="2"/>
  </si>
  <si>
    <t>（注1）　　　　　：ピア/公式ﾚﾋﾞｭｰを行うドキュメントの場合の必須記入項目
（注2）　　　　　：計算式セル（入力不要）　　　　　　</t>
    <rPh sb="35" eb="37">
      <t>キニュウ</t>
    </rPh>
    <phoneticPr fontId="2"/>
  </si>
  <si>
    <t>処置期限</t>
    <rPh sb="0" eb="2">
      <t>ショチ</t>
    </rPh>
    <rPh sb="2" eb="4">
      <t>キゲン</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</si>
  <si>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</si>
  <si>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D2：計画内容の誤り，不整合，記述不足</t>
  </si>
  <si>
    <t>6B：報告内容の誤り，不整合，記述不足</t>
  </si>
  <si>
    <t>[ガイド] 誤り分類の傾向，レビュー工数，参加者，対象ページ数などの相関から，レビューの妥当性を判断する。</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</si>
  <si>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</si>
  <si>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</si>
  <si>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（複数ﾒﾝﾊﾞによるﾚﾋﾞｭｰの場合，工数加算する）</t>
  </si>
  <si>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</si>
  <si>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</si>
  <si>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</si>
  <si>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ＰＪ外有識者（QA)</t>
    <rPh sb="2" eb="3">
      <t>ガイ</t>
    </rPh>
    <rPh sb="3" eb="6">
      <t>ユウシキシャ</t>
    </rPh>
    <phoneticPr fontId="2"/>
  </si>
  <si>
    <t>名前</t>
    <rPh sb="0" eb="2">
      <t>ナマエ</t>
    </rPh>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</si>
  <si>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</si>
  <si>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ﾚﾋﾞｭｰ形式：
（○を記入）</t>
    <rPh sb="12" eb="14">
      <t>キニュウ</t>
    </rPh>
    <phoneticPr fontId="2"/>
  </si>
  <si>
    <t>ピアレビュー</t>
    <phoneticPr fontId="2"/>
  </si>
  <si>
    <t>公式レビュー</t>
    <rPh sb="0" eb="2">
      <t>コウシキ</t>
    </rPh>
    <phoneticPr fontId="2"/>
  </si>
  <si>
    <t>ドキュメントレビュー
密度(Ｈｒ/頁)</t>
    <rPh sb="11" eb="13">
      <t>ミツド</t>
    </rPh>
    <rPh sb="17" eb="18">
      <t>ページ</t>
    </rPh>
    <phoneticPr fontId="2"/>
  </si>
  <si>
    <t>コードレビュー
密度(Ｈｒ/KL)</t>
    <rPh sb="8" eb="10">
      <t>ミツド</t>
    </rPh>
    <phoneticPr fontId="2"/>
  </si>
  <si>
    <t>総レビュー工数（Hr）</t>
    <rPh sb="0" eb="1">
      <t>ソウ</t>
    </rPh>
    <rPh sb="5" eb="7">
      <t>コウスウ</t>
    </rPh>
    <phoneticPr fontId="2"/>
  </si>
  <si>
    <t>Hr</t>
    <phoneticPr fontId="2"/>
  </si>
  <si>
    <t>ﾚﾋﾞｭｰ工数(Hr)</t>
    <rPh sb="5" eb="7">
      <t>コウスウ</t>
    </rPh>
    <phoneticPr fontId="2"/>
  </si>
  <si>
    <t>作成工数（Hr）</t>
    <rPh sb="0" eb="2">
      <t>サクセイ</t>
    </rPh>
    <rPh sb="2" eb="4">
      <t>コウスウ</t>
    </rPh>
    <phoneticPr fontId="2"/>
  </si>
  <si>
    <t>システムフロー_S100_01f_レビューシート.xls</t>
    <phoneticPr fontId="2"/>
  </si>
  <si>
    <t>Ｄ１</t>
    <phoneticPr fontId="2"/>
  </si>
  <si>
    <t>Ｄ２</t>
    <phoneticPr fontId="2"/>
  </si>
  <si>
    <t>ＤＺ</t>
    <phoneticPr fontId="2"/>
  </si>
  <si>
    <t>１Ａ</t>
    <phoneticPr fontId="2"/>
  </si>
  <si>
    <t>１Ｂ</t>
    <phoneticPr fontId="2"/>
  </si>
  <si>
    <t>１Ｃ</t>
    <phoneticPr fontId="2"/>
  </si>
  <si>
    <t>５Ｚ</t>
    <phoneticPr fontId="2"/>
  </si>
  <si>
    <t>６Ａ</t>
    <phoneticPr fontId="2"/>
  </si>
  <si>
    <t>６Ｂ</t>
    <phoneticPr fontId="2"/>
  </si>
  <si>
    <t>６Ｚ</t>
    <phoneticPr fontId="2"/>
  </si>
  <si>
    <t>D1</t>
    <phoneticPr fontId="2"/>
  </si>
  <si>
    <t>D2</t>
    <phoneticPr fontId="2"/>
  </si>
  <si>
    <t>DZ</t>
    <phoneticPr fontId="2"/>
  </si>
  <si>
    <t>1A</t>
    <phoneticPr fontId="2"/>
  </si>
  <si>
    <t>1B</t>
    <phoneticPr fontId="2"/>
  </si>
  <si>
    <t>1C</t>
    <phoneticPr fontId="2"/>
  </si>
  <si>
    <t>5Z</t>
    <phoneticPr fontId="2"/>
  </si>
  <si>
    <t>6A</t>
    <phoneticPr fontId="2"/>
  </si>
  <si>
    <t>6B</t>
    <phoneticPr fontId="2"/>
  </si>
  <si>
    <t>6Z</t>
    <phoneticPr fontId="2"/>
  </si>
  <si>
    <t>Ｄ1</t>
    <phoneticPr fontId="2"/>
  </si>
  <si>
    <t>ＤZ</t>
    <phoneticPr fontId="2"/>
  </si>
  <si>
    <t>１A</t>
    <phoneticPr fontId="2"/>
  </si>
  <si>
    <t>１B</t>
    <phoneticPr fontId="2"/>
  </si>
  <si>
    <t>１C</t>
    <phoneticPr fontId="2"/>
  </si>
  <si>
    <t>５Z</t>
    <phoneticPr fontId="2"/>
  </si>
  <si>
    <t>６A</t>
    <phoneticPr fontId="2"/>
  </si>
  <si>
    <t>６B</t>
    <phoneticPr fontId="2"/>
  </si>
  <si>
    <t>６Z</t>
    <phoneticPr fontId="2"/>
  </si>
  <si>
    <t>d1</t>
    <phoneticPr fontId="2"/>
  </si>
  <si>
    <t>d2</t>
    <phoneticPr fontId="2"/>
  </si>
  <si>
    <t>dz</t>
    <phoneticPr fontId="2"/>
  </si>
  <si>
    <t>1ａ</t>
    <phoneticPr fontId="2"/>
  </si>
  <si>
    <t>1ｂ</t>
    <phoneticPr fontId="2"/>
  </si>
  <si>
    <t>1ｃ</t>
    <phoneticPr fontId="2"/>
  </si>
  <si>
    <t>5ｚ</t>
    <phoneticPr fontId="2"/>
  </si>
  <si>
    <t>6ａ</t>
    <phoneticPr fontId="2"/>
  </si>
  <si>
    <t>6ｂ</t>
    <phoneticPr fontId="2"/>
  </si>
  <si>
    <t>6ｚ</t>
    <phoneticPr fontId="2"/>
  </si>
  <si>
    <t>&lt;&gt;""</t>
    <phoneticPr fontId="2"/>
  </si>
  <si>
    <t>：レビューア</t>
    <phoneticPr fontId="2"/>
  </si>
  <si>
    <t>ﾚﾋﾞｭｰ指摘率（件/頁）orｺｰﾄﾞﾚﾋﾞｭｰ指摘率（件/KL）</t>
    <phoneticPr fontId="2"/>
  </si>
  <si>
    <t>　</t>
    <phoneticPr fontId="2"/>
  </si>
  <si>
    <t>No.</t>
    <phoneticPr fontId="2"/>
  </si>
  <si>
    <t>ページ</t>
    <phoneticPr fontId="2"/>
  </si>
  <si>
    <t>○</t>
  </si>
  <si>
    <t>実施日：</t>
    <rPh sb="0" eb="2">
      <t>ジッシ</t>
    </rPh>
    <rPh sb="2" eb="3">
      <t>ビ</t>
    </rPh>
    <phoneticPr fontId="95"/>
  </si>
  <si>
    <t>実施者：</t>
    <rPh sb="0" eb="2">
      <t>ジッシ</t>
    </rPh>
    <rPh sb="2" eb="3">
      <t>シャ</t>
    </rPh>
    <phoneticPr fontId="95"/>
  </si>
  <si>
    <t>○○○○</t>
    <phoneticPr fontId="95"/>
  </si>
  <si>
    <t>ドキュメント番号：</t>
    <rPh sb="6" eb="8">
      <t>バンゴウ</t>
    </rPh>
    <phoneticPr fontId="95"/>
  </si>
  <si>
    <t>チェック項目</t>
    <rPh sb="4" eb="6">
      <t>コウモク</t>
    </rPh>
    <phoneticPr fontId="95"/>
  </si>
  <si>
    <t>チェック内容</t>
    <rPh sb="4" eb="6">
      <t>ナイヨウ</t>
    </rPh>
    <phoneticPr fontId="95"/>
  </si>
  <si>
    <t>結果
(○／×／－)</t>
    <rPh sb="0" eb="2">
      <t>ケッカ</t>
    </rPh>
    <phoneticPr fontId="95"/>
  </si>
  <si>
    <t>■</t>
  </si>
  <si>
    <t>結合テスト計画書</t>
    <rPh sb="0" eb="2">
      <t>ケツゴウ</t>
    </rPh>
    <rPh sb="5" eb="8">
      <t>ケイカクショ</t>
    </rPh>
    <phoneticPr fontId="2"/>
  </si>
  <si>
    <t>システムテスト計画書</t>
    <rPh sb="7" eb="10">
      <t>ケイカクショ</t>
    </rPh>
    <phoneticPr fontId="2"/>
  </si>
  <si>
    <t>基本設計（外部設計）段階での誤り</t>
    <rPh sb="0" eb="2">
      <t>キホン</t>
    </rPh>
    <rPh sb="2" eb="4">
      <t>セッケイ</t>
    </rPh>
    <rPh sb="5" eb="7">
      <t>ガイブ</t>
    </rPh>
    <rPh sb="7" eb="9">
      <t>セッケイ</t>
    </rPh>
    <rPh sb="10" eb="12">
      <t>ダンカイ</t>
    </rPh>
    <rPh sb="14" eb="15">
      <t>アヤマ</t>
    </rPh>
    <phoneticPr fontId="2"/>
  </si>
  <si>
    <t>基本設計書（外部仕様書）</t>
    <rPh sb="0" eb="2">
      <t>キホン</t>
    </rPh>
    <rPh sb="2" eb="5">
      <t>セッケイショ</t>
    </rPh>
    <rPh sb="6" eb="8">
      <t>ガイブ</t>
    </rPh>
    <rPh sb="8" eb="11">
      <t>シヨウショ</t>
    </rPh>
    <phoneticPr fontId="2"/>
  </si>
  <si>
    <t>詳細設計書（内部仕様書）</t>
    <rPh sb="0" eb="2">
      <t>ショウサイ</t>
    </rPh>
    <rPh sb="2" eb="5">
      <t>セッケイショ</t>
    </rPh>
    <rPh sb="6" eb="8">
      <t>ナイブ</t>
    </rPh>
    <rPh sb="8" eb="11">
      <t>シヨウショ</t>
    </rPh>
    <phoneticPr fontId="2"/>
  </si>
  <si>
    <t>詳細設計/プログラム設計(内部設計)段階での誤り</t>
    <phoneticPr fontId="2"/>
  </si>
  <si>
    <t>●</t>
  </si>
  <si>
    <t>yyyy/mm/dd</t>
    <phoneticPr fontId="95"/>
  </si>
  <si>
    <t>No.</t>
    <phoneticPr fontId="95"/>
  </si>
  <si>
    <t>●</t>
    <phoneticPr fontId="95"/>
  </si>
  <si>
    <t>●</t>
    <phoneticPr fontId="95"/>
  </si>
  <si>
    <t>●</t>
    <phoneticPr fontId="95"/>
  </si>
  <si>
    <t>●</t>
    <phoneticPr fontId="95"/>
  </si>
  <si>
    <t>画面</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</si>
  <si>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</si>
  <si>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</si>
  <si>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</si>
  <si>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</si>
  <si>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</si>
  <si>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</si>
  <si>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</si>
  <si>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</si>
  <si>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</si>
  <si>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・削除処理の対象行が空行の場合は削除されることを確認する。</t>
  </si>
  <si>
    <t>・削除処理の対象行が空行以外の場合は、行ステータスが「D：削除」になることを確認する。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</si>
  <si>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</si>
  <si>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</si>
  <si>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</si>
  <si>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・正常系の処理は、標準仕様にて動作が保証されている場合、試験項目は不要とする。</t>
  </si>
  <si>
    <t>・異常系の処理は、標準仕様にて動作が保証されている場合、試験項目として確認する。</t>
  </si>
  <si>
    <t>機能区分：</t>
    <rPh sb="0" eb="2">
      <t>キノウ</t>
    </rPh>
    <rPh sb="2" eb="4">
      <t>クブン</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</si>
  <si>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</si>
  <si>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</si>
  <si>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</si>
  <si>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</si>
  <si>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</si>
  <si>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</si>
  <si>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</si>
  <si>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</si>
  <si>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</si>
  <si>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</si>
  <si>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</si>
  <si>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</si>
  <si>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</si>
  <si>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</si>
  <si>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</si>
  <si>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</si>
  <si>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</si>
  <si>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</si>
  <si>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</si>
  <si>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</si>
  <si>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</si>
  <si>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</si>
  <si>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単体テスト要領書チェックリスト（Ｒｅｖ１．０）</t>
    <rPh sb="0" eb="2">
      <t>タンタイ</t>
    </rPh>
    <rPh sb="5" eb="7">
      <t>ヨウリョウ</t>
    </rPh>
    <rPh sb="7" eb="8">
      <t>ショ</t>
    </rPh>
    <phoneticPr fontId="95"/>
  </si>
  <si>
    <t>１．画面全体</t>
    <rPh sb="2" eb="4">
      <t>ガメン</t>
    </rPh>
    <rPh sb="4" eb="6">
      <t>ゼンタイ</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</si>
  <si>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</si>
  <si>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</si>
  <si>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</si>
  <si>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</si>
  <si>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</si>
  <si>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</si>
  <si>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４．画面イベント</t>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</si>
  <si>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</si>
  <si>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</si>
  <si>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</si>
  <si>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</si>
  <si>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</si>
  <si>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</si>
  <si>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</si>
  <si>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株式会社クラウン・パッケージ新基幹システム導入</t>
    <phoneticPr fontId="2"/>
  </si>
  <si>
    <t>ー</t>
    <phoneticPr fontId="2"/>
  </si>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</sst>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u/>
      <sz val="12"/>
      <name val="ＭＳ Ｐゴシック"/>
      <family val="3"/>
      <charset val="128"/>
    </font>
    <font>
      <b/>
      <sz val="9"/>
      <color indexed="81"/>
      <name val="ＭＳ Ｐゴシック"/>
      <family val="3"/>
      <charset val="128"/>
    </font>
    <font>
      <b/>
      <sz val="10"/>
      <name val="ＭＳ Ｐ明朝"/>
      <family val="1"/>
      <charset val="128"/>
    </font>
    <font>
      <sz val="10"/>
      <color theme="1"/>
      <name val="ＭＳ ゴシック"/>
      <family val="3"/>
      <charset val="128"/>
    </font>
  </fonts>
  <fills count="33">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33">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Fill="1" applyAlignment="1">
      <alignment vertical="center" shrinkToFit="1"/>
    </xf>
    <xf numFmtId="0" fontId="5" fillId="0" borderId="0" xfId="0" applyFont="1" applyFill="1" applyBorder="1" applyAlignment="1">
      <alignment horizontal="center" vertical="center" shrinkToFit="1"/>
    </xf>
    <xf numFmtId="0" fontId="5" fillId="0" borderId="0" xfId="0" applyFont="1" applyFill="1" applyBorder="1" applyAlignment="1" applyProtection="1">
      <alignment vertical="center" shrinkToFit="1"/>
      <protection locked="0"/>
    </xf>
    <xf numFmtId="0" fontId="5" fillId="0" borderId="0" xfId="0" applyFont="1" applyFill="1" applyBorder="1" applyAlignment="1">
      <alignment vertical="center" shrinkToFit="1"/>
    </xf>
    <xf numFmtId="0" fontId="5" fillId="0" borderId="0" xfId="0" applyFont="1" applyFill="1" applyAlignment="1">
      <alignment horizontal="center" vertical="center" shrinkToFit="1"/>
    </xf>
    <xf numFmtId="0" fontId="10" fillId="0" borderId="0" xfId="0" applyFont="1" applyAlignment="1">
      <alignment vertical="center"/>
    </xf>
    <xf numFmtId="0" fontId="0" fillId="0" borderId="0" xfId="0" applyAlignment="1">
      <alignment vertical="center"/>
    </xf>
    <xf numFmtId="0" fontId="5" fillId="0" borderId="4" xfId="0" applyFont="1" applyFill="1" applyBorder="1" applyAlignment="1">
      <alignment vertical="center" shrinkToFit="1"/>
    </xf>
    <xf numFmtId="0" fontId="5" fillId="30" borderId="0" xfId="0" applyNumberFormat="1" applyFont="1" applyFill="1" applyBorder="1" applyAlignment="1" applyProtection="1">
      <alignment horizontal="right" vertical="center" shrinkToFit="1"/>
      <protection locked="0"/>
    </xf>
    <xf numFmtId="0" fontId="5" fillId="0" borderId="17" xfId="0" applyFont="1" applyFill="1" applyBorder="1" applyAlignment="1">
      <alignment horizontal="center" vertical="center" shrinkToFit="1"/>
    </xf>
    <xf numFmtId="0" fontId="5" fillId="0" borderId="18" xfId="0" applyFont="1" applyFill="1" applyBorder="1" applyAlignment="1">
      <alignment horizontal="center" vertical="center" shrinkToFit="1"/>
    </xf>
    <xf numFmtId="0" fontId="5" fillId="0" borderId="19" xfId="0" applyFont="1" applyFill="1" applyBorder="1" applyAlignment="1">
      <alignment horizontal="center" vertical="center" shrinkToFit="1"/>
    </xf>
    <xf numFmtId="0" fontId="5" fillId="0" borderId="20" xfId="0" applyFont="1" applyFill="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5" fillId="0" borderId="0" xfId="0" applyFont="1" applyFill="1" applyAlignment="1" applyProtection="1">
      <alignment vertical="center" shrinkToFit="1"/>
      <protection locked="0"/>
    </xf>
    <xf numFmtId="0" fontId="4" fillId="0" borderId="0" xfId="0" applyFont="1" applyFill="1" applyBorder="1" applyAlignment="1">
      <alignment vertical="center" shrinkToFit="1"/>
    </xf>
    <xf numFmtId="177" fontId="5" fillId="0" borderId="1" xfId="0" applyNumberFormat="1" applyFont="1" applyFill="1" applyBorder="1" applyAlignment="1" applyProtection="1">
      <alignment horizontal="center" vertical="center" shrinkToFit="1"/>
      <protection hidden="1"/>
    </xf>
    <xf numFmtId="49" fontId="5" fillId="0" borderId="1" xfId="0" applyNumberFormat="1" applyFont="1" applyFill="1" applyBorder="1" applyAlignment="1" applyProtection="1">
      <alignment horizontal="center" vertical="center" shrinkToFit="1"/>
      <protection locked="0"/>
    </xf>
    <xf numFmtId="49" fontId="8" fillId="0" borderId="1" xfId="0" applyNumberFormat="1" applyFont="1" applyFill="1" applyBorder="1" applyProtection="1">
      <protection locked="0"/>
    </xf>
    <xf numFmtId="180" fontId="5" fillId="0" borderId="1" xfId="0" applyNumberFormat="1" applyFont="1" applyFill="1" applyBorder="1" applyAlignment="1" applyProtection="1">
      <alignment horizontal="right" vertical="center" shrinkToFit="1"/>
      <protection locked="0"/>
    </xf>
    <xf numFmtId="180" fontId="8" fillId="0" borderId="1" xfId="0" applyNumberFormat="1" applyFont="1" applyFill="1" applyBorder="1" applyProtection="1">
      <protection locked="0"/>
    </xf>
    <xf numFmtId="49" fontId="5" fillId="0" borderId="1" xfId="0" applyNumberFormat="1" applyFont="1" applyFill="1" applyBorder="1" applyAlignment="1" applyProtection="1">
      <alignment vertical="center" shrinkToFit="1"/>
      <protection locked="0"/>
    </xf>
    <xf numFmtId="0" fontId="5" fillId="0" borderId="1" xfId="0" applyFont="1" applyFill="1" applyBorder="1" applyAlignment="1" applyProtection="1">
      <alignment horizontal="right" vertical="center" shrinkToFit="1"/>
      <protection hidden="1"/>
    </xf>
    <xf numFmtId="0" fontId="5" fillId="0" borderId="1" xfId="0" applyNumberFormat="1" applyFont="1" applyFill="1" applyBorder="1" applyAlignment="1" applyProtection="1">
      <alignment horizontal="right" vertical="center" shrinkToFit="1"/>
      <protection locked="0"/>
    </xf>
    <xf numFmtId="0" fontId="5" fillId="30" borderId="1" xfId="0" applyNumberFormat="1" applyFont="1" applyFill="1" applyBorder="1" applyAlignment="1" applyProtection="1">
      <alignment horizontal="right" vertical="center" shrinkToFit="1"/>
      <protection locked="0"/>
    </xf>
    <xf numFmtId="0" fontId="0" fillId="0" borderId="0" xfId="0" applyAlignment="1"/>
    <xf numFmtId="0" fontId="4" fillId="0" borderId="0" xfId="0" applyFont="1" applyFill="1" applyBorder="1" applyAlignment="1">
      <alignment horizontal="center" vertical="center" shrinkToFit="1"/>
    </xf>
    <xf numFmtId="0" fontId="5" fillId="0" borderId="21" xfId="0" applyFont="1" applyFill="1" applyBorder="1" applyAlignment="1">
      <alignment horizontal="right" vertical="center" shrinkToFit="1"/>
    </xf>
    <xf numFmtId="0" fontId="5" fillId="0" borderId="22" xfId="0" applyFont="1" applyFill="1" applyBorder="1" applyAlignment="1">
      <alignment horizontal="right" vertical="center" shrinkToFit="1"/>
    </xf>
    <xf numFmtId="0" fontId="5" fillId="0" borderId="23" xfId="0" applyFont="1" applyFill="1" applyBorder="1" applyAlignment="1" applyProtection="1">
      <alignment horizontal="center" vertical="center" shrinkToFit="1"/>
      <protection locked="0"/>
    </xf>
    <xf numFmtId="0" fontId="5" fillId="0" borderId="24" xfId="0" applyFont="1" applyFill="1" applyBorder="1" applyAlignment="1" applyProtection="1">
      <alignment vertical="center" shrinkToFit="1"/>
      <protection locked="0"/>
    </xf>
    <xf numFmtId="179" fontId="5" fillId="0" borderId="0" xfId="0" applyNumberFormat="1" applyFont="1" applyFill="1" applyAlignment="1">
      <alignment vertical="center" shrinkToFit="1"/>
    </xf>
    <xf numFmtId="0" fontId="5" fillId="0" borderId="25" xfId="0" applyFont="1" applyFill="1" applyBorder="1" applyAlignment="1" applyProtection="1">
      <alignment horizontal="right" vertical="center" shrinkToFit="1"/>
    </xf>
    <xf numFmtId="0" fontId="5" fillId="0" borderId="26" xfId="0" applyFont="1" applyFill="1" applyBorder="1" applyAlignment="1" applyProtection="1">
      <alignment horizontal="right" vertical="center" shrinkToFit="1"/>
    </xf>
    <xf numFmtId="0" fontId="5" fillId="0" borderId="27" xfId="0" applyFont="1" applyFill="1" applyBorder="1" applyAlignment="1" applyProtection="1">
      <alignment horizontal="right" vertical="center" shrinkToFit="1"/>
    </xf>
    <xf numFmtId="0" fontId="5" fillId="0" borderId="28" xfId="0" applyFont="1" applyFill="1" applyBorder="1" applyAlignment="1" applyProtection="1">
      <alignment horizontal="right" vertical="center" shrinkToFit="1"/>
    </xf>
    <xf numFmtId="0" fontId="0" fillId="0" borderId="0" xfId="0" applyBorder="1"/>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Border="1" applyAlignment="1">
      <alignment horizontal="left" vertical="center"/>
    </xf>
    <xf numFmtId="0" fontId="16" fillId="0" borderId="0" xfId="0" applyFont="1" applyAlignment="1">
      <alignment horizontal="left" vertical="center"/>
    </xf>
    <xf numFmtId="0" fontId="3" fillId="0" borderId="0" xfId="0" applyFont="1" applyFill="1" applyAlignment="1">
      <alignment vertical="center"/>
    </xf>
    <xf numFmtId="0" fontId="9" fillId="18" borderId="0" xfId="0" applyFont="1" applyFill="1" applyBorder="1"/>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Fill="1" applyBorder="1" applyAlignment="1" applyProtection="1">
      <alignment vertical="center" shrinkToFit="1"/>
      <protection locked="0"/>
    </xf>
    <xf numFmtId="0" fontId="17" fillId="0" borderId="19" xfId="0" applyFont="1" applyFill="1" applyBorder="1" applyAlignment="1" applyProtection="1">
      <alignment horizontal="right" vertical="center" shrinkToFit="1"/>
    </xf>
    <xf numFmtId="0" fontId="18" fillId="0" borderId="22" xfId="0" applyFont="1" applyFill="1" applyBorder="1" applyAlignment="1" applyProtection="1">
      <alignment horizontal="center" vertical="center" shrinkToFit="1"/>
    </xf>
    <xf numFmtId="0" fontId="17" fillId="0" borderId="18" xfId="0" applyFont="1" applyFill="1" applyBorder="1" applyAlignment="1" applyProtection="1">
      <alignment horizontal="right" vertical="center" shrinkToFit="1"/>
    </xf>
    <xf numFmtId="0" fontId="17" fillId="0" borderId="20" xfId="0" applyFont="1" applyFill="1" applyBorder="1" applyAlignment="1" applyProtection="1">
      <alignment horizontal="right" vertical="center" shrinkToFit="1"/>
    </xf>
    <xf numFmtId="177" fontId="17" fillId="0" borderId="32" xfId="0" applyNumberFormat="1" applyFont="1" applyFill="1" applyBorder="1" applyAlignment="1" applyProtection="1">
      <alignment horizontal="center" vertical="center" shrinkToFit="1"/>
    </xf>
    <xf numFmtId="177" fontId="17" fillId="0" borderId="5" xfId="0" applyNumberFormat="1" applyFont="1" applyFill="1" applyBorder="1" applyAlignment="1" applyProtection="1">
      <alignment horizontal="center" vertical="center" shrinkToFit="1"/>
    </xf>
    <xf numFmtId="177" fontId="17" fillId="0" borderId="33" xfId="0" applyNumberFormat="1" applyFont="1" applyFill="1" applyBorder="1" applyAlignment="1" applyProtection="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Border="1" applyAlignment="1">
      <alignment wrapText="1"/>
    </xf>
    <xf numFmtId="14" fontId="0" fillId="0" borderId="0" xfId="0" applyNumberFormat="1" applyBorder="1" applyAlignment="1">
      <alignment horizontal="center" vertical="center"/>
    </xf>
    <xf numFmtId="0" fontId="9" fillId="0" borderId="34" xfId="0" applyFont="1" applyBorder="1" applyAlignment="1">
      <alignment horizontal="right" vertical="center"/>
    </xf>
    <xf numFmtId="0" fontId="9" fillId="0" borderId="0" xfId="0" applyFont="1" applyAlignment="1"/>
    <xf numFmtId="0" fontId="9" fillId="0" borderId="0" xfId="0" applyFont="1" applyAlignment="1">
      <alignment horizontal="left" vertical="center"/>
    </xf>
    <xf numFmtId="181" fontId="5" fillId="0" borderId="18" xfId="0" applyNumberFormat="1" applyFont="1" applyFill="1" applyBorder="1" applyAlignment="1" applyProtection="1">
      <alignment vertical="center" shrinkToFit="1"/>
      <protection locked="0"/>
    </xf>
    <xf numFmtId="178" fontId="17" fillId="0" borderId="35" xfId="0" applyNumberFormat="1" applyFont="1" applyFill="1" applyBorder="1" applyAlignment="1" applyProtection="1">
      <alignment horizontal="right" vertical="center" shrinkToFit="1"/>
    </xf>
    <xf numFmtId="178" fontId="5" fillId="0" borderId="36" xfId="0" applyNumberFormat="1" applyFont="1" applyFill="1" applyBorder="1" applyAlignment="1" applyProtection="1">
      <alignment horizontal="right" vertical="center" shrinkToFit="1"/>
    </xf>
    <xf numFmtId="0" fontId="10" fillId="0" borderId="22" xfId="0" applyFont="1" applyFill="1" applyBorder="1" applyAlignment="1">
      <alignment vertical="center" shrinkToFit="1"/>
    </xf>
    <xf numFmtId="0" fontId="10" fillId="0" borderId="37" xfId="0" applyFont="1" applyFill="1" applyBorder="1" applyAlignment="1">
      <alignment vertical="center" shrinkToFit="1"/>
    </xf>
    <xf numFmtId="0" fontId="19" fillId="0" borderId="0" xfId="0" applyFont="1" applyFill="1"/>
    <xf numFmtId="0" fontId="19" fillId="0" borderId="0" xfId="0" applyFont="1" applyFill="1" applyBorder="1"/>
    <xf numFmtId="0" fontId="19" fillId="0" borderId="30" xfId="0" applyFont="1" applyFill="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Fill="1" applyBorder="1" applyAlignment="1" applyProtection="1">
      <alignment vertical="center" shrinkToFit="1"/>
    </xf>
    <xf numFmtId="0" fontId="17" fillId="0" borderId="38" xfId="0" applyFont="1" applyFill="1" applyBorder="1" applyAlignment="1" applyProtection="1">
      <alignment vertical="center" shrinkToFit="1"/>
    </xf>
    <xf numFmtId="0" fontId="9" fillId="0" borderId="0" xfId="0" applyNumberFormat="1" applyFont="1" applyFill="1" applyBorder="1" applyAlignment="1">
      <alignment vertical="top"/>
    </xf>
    <xf numFmtId="0" fontId="0" fillId="0" borderId="0" xfId="0" applyNumberFormat="1" applyFill="1" applyBorder="1" applyAlignment="1">
      <alignment vertical="top"/>
    </xf>
    <xf numFmtId="0" fontId="9" fillId="0" borderId="0" xfId="0" quotePrefix="1" applyNumberFormat="1" applyFont="1" applyFill="1" applyBorder="1" applyAlignment="1">
      <alignment vertical="top"/>
    </xf>
    <xf numFmtId="0" fontId="19" fillId="0" borderId="0" xfId="0" applyNumberFormat="1" applyFont="1" applyFill="1" applyBorder="1" applyAlignment="1">
      <alignment vertical="top"/>
    </xf>
    <xf numFmtId="0" fontId="5" fillId="0" borderId="4" xfId="0" applyFont="1" applyFill="1" applyBorder="1" applyAlignment="1">
      <alignment horizontal="right" vertical="center" shrinkToFit="1"/>
    </xf>
    <xf numFmtId="0" fontId="5" fillId="0" borderId="1" xfId="0" applyFont="1" applyFill="1" applyBorder="1" applyAlignment="1">
      <alignment vertical="center" shrinkToFit="1"/>
    </xf>
    <xf numFmtId="0" fontId="20" fillId="0" borderId="0" xfId="0" applyFont="1" applyAlignment="1">
      <alignment vertical="center"/>
    </xf>
    <xf numFmtId="0" fontId="8" fillId="0" borderId="39" xfId="0" applyFont="1" applyFill="1" applyBorder="1" applyAlignment="1">
      <alignment vertical="center"/>
    </xf>
    <xf numFmtId="0" fontId="5" fillId="0" borderId="1" xfId="0" applyFont="1" applyFill="1" applyBorder="1" applyAlignment="1">
      <alignment horizontal="center" vertical="center" shrinkToFit="1"/>
    </xf>
    <xf numFmtId="0" fontId="5" fillId="0" borderId="40" xfId="0" applyFont="1" applyFill="1" applyBorder="1" applyAlignment="1">
      <alignment vertical="center" shrinkToFit="1"/>
    </xf>
    <xf numFmtId="0" fontId="5" fillId="0" borderId="4" xfId="0" applyFont="1" applyFill="1" applyBorder="1" applyAlignment="1">
      <alignment horizontal="right" vertical="center"/>
    </xf>
    <xf numFmtId="0" fontId="5" fillId="0" borderId="4" xfId="0" applyFont="1" applyFill="1" applyBorder="1" applyAlignment="1">
      <alignment vertical="center"/>
    </xf>
    <xf numFmtId="0" fontId="5" fillId="0" borderId="4" xfId="0" applyFont="1" applyFill="1" applyBorder="1" applyAlignment="1">
      <alignment horizontal="center" vertical="center" shrinkToFit="1"/>
    </xf>
    <xf numFmtId="0" fontId="5" fillId="0" borderId="39" xfId="0" applyFont="1" applyFill="1" applyBorder="1" applyAlignment="1">
      <alignment vertical="center" shrinkToFit="1"/>
    </xf>
    <xf numFmtId="0" fontId="5" fillId="0" borderId="41" xfId="0" applyFont="1" applyFill="1" applyBorder="1" applyAlignment="1">
      <alignment vertical="center" shrinkToFit="1"/>
    </xf>
    <xf numFmtId="0" fontId="5" fillId="0" borderId="24" xfId="0" applyFont="1" applyFill="1" applyBorder="1" applyAlignment="1">
      <alignment horizontal="right" vertical="center" shrinkToFit="1"/>
    </xf>
    <xf numFmtId="0" fontId="5" fillId="0" borderId="25" xfId="0" applyFont="1" applyFill="1" applyBorder="1" applyAlignment="1">
      <alignment horizontal="right" vertical="center" shrinkToFit="1"/>
    </xf>
    <xf numFmtId="0" fontId="5" fillId="0" borderId="42" xfId="0" applyFont="1" applyFill="1" applyBorder="1" applyAlignment="1" applyProtection="1">
      <alignment horizontal="right" vertical="center" shrinkToFit="1"/>
    </xf>
    <xf numFmtId="0" fontId="5" fillId="0" borderId="0" xfId="0" applyFont="1" applyFill="1" applyBorder="1" applyAlignment="1">
      <alignment horizontal="center" vertical="center" textRotation="255"/>
    </xf>
    <xf numFmtId="0" fontId="14" fillId="0" borderId="0" xfId="0" applyFont="1" applyFill="1" applyBorder="1" applyAlignment="1">
      <alignment vertical="center" wrapText="1" shrinkToFit="1"/>
    </xf>
    <xf numFmtId="179" fontId="18" fillId="0" borderId="0" xfId="0" applyNumberFormat="1" applyFont="1" applyFill="1" applyBorder="1" applyAlignment="1" applyProtection="1">
      <alignment horizontal="center" vertical="center" wrapText="1"/>
    </xf>
    <xf numFmtId="0" fontId="5" fillId="0" borderId="42" xfId="0" applyFont="1" applyFill="1" applyBorder="1" applyAlignment="1">
      <alignment horizontal="right" vertical="center" shrinkToFit="1"/>
    </xf>
    <xf numFmtId="0" fontId="5" fillId="0" borderId="43" xfId="0" applyFont="1" applyFill="1" applyBorder="1" applyAlignment="1">
      <alignment vertical="center" shrinkToFit="1"/>
    </xf>
    <xf numFmtId="0" fontId="5" fillId="0" borderId="44" xfId="0" applyFont="1" applyFill="1" applyBorder="1" applyAlignment="1">
      <alignment vertical="center" shrinkToFit="1"/>
    </xf>
    <xf numFmtId="0" fontId="5" fillId="0" borderId="45" xfId="0" applyFont="1" applyFill="1" applyBorder="1" applyAlignment="1">
      <alignment vertical="center" shrinkToFit="1"/>
    </xf>
    <xf numFmtId="179" fontId="15" fillId="0" borderId="0" xfId="0" applyNumberFormat="1" applyFont="1" applyFill="1" applyBorder="1" applyAlignment="1" applyProtection="1">
      <alignment horizontal="center" vertical="center" shrinkToFit="1"/>
      <protection locked="0"/>
    </xf>
    <xf numFmtId="0" fontId="0" fillId="0" borderId="0" xfId="0" applyBorder="1" applyAlignment="1"/>
    <xf numFmtId="0" fontId="5" fillId="0" borderId="0" xfId="0" applyFont="1" applyFill="1" applyAlignment="1">
      <alignment vertical="center"/>
    </xf>
    <xf numFmtId="0" fontId="3" fillId="0" borderId="1" xfId="0" applyFont="1" applyFill="1" applyBorder="1" applyAlignment="1">
      <alignment vertical="center"/>
    </xf>
    <xf numFmtId="0" fontId="3" fillId="0" borderId="46" xfId="0" applyFont="1" applyFill="1" applyBorder="1" applyAlignment="1">
      <alignment vertical="center"/>
    </xf>
    <xf numFmtId="0" fontId="3" fillId="0" borderId="4" xfId="0" applyFont="1" applyFill="1" applyBorder="1" applyAlignment="1">
      <alignment vertical="center"/>
    </xf>
    <xf numFmtId="0" fontId="3" fillId="0" borderId="36" xfId="0" applyFont="1" applyFill="1" applyBorder="1" applyAlignment="1">
      <alignment vertical="center"/>
    </xf>
    <xf numFmtId="0" fontId="0" fillId="0" borderId="0" xfId="0" applyBorder="1" applyAlignment="1">
      <alignment horizontal="centerContinuous" vertical="center"/>
    </xf>
    <xf numFmtId="14" fontId="0" fillId="0" borderId="0" xfId="0" applyNumberFormat="1" applyBorder="1" applyAlignment="1">
      <alignment vertical="center"/>
    </xf>
    <xf numFmtId="182" fontId="19" fillId="0" borderId="0" xfId="0" applyNumberFormat="1" applyFont="1" applyFill="1" applyBorder="1" applyAlignment="1">
      <alignment horizontal="center" vertical="center"/>
    </xf>
    <xf numFmtId="0" fontId="0" fillId="0" borderId="0" xfId="0" applyBorder="1" applyAlignment="1">
      <alignment horizontal="center" vertical="center"/>
    </xf>
    <xf numFmtId="0" fontId="17" fillId="0" borderId="47" xfId="0" applyFont="1" applyFill="1" applyBorder="1" applyAlignment="1" applyProtection="1">
      <alignment horizontal="right" vertical="center" shrinkToFit="1"/>
    </xf>
    <xf numFmtId="0" fontId="5" fillId="0" borderId="0" xfId="0" applyFont="1" applyFill="1" applyBorder="1" applyAlignment="1">
      <alignment horizontal="center" vertical="top"/>
    </xf>
    <xf numFmtId="0" fontId="4" fillId="0" borderId="0" xfId="0" applyFont="1" applyFill="1" applyBorder="1" applyAlignment="1">
      <alignment vertical="center"/>
    </xf>
    <xf numFmtId="0" fontId="5" fillId="0" borderId="0" xfId="0" applyFont="1" applyFill="1" applyAlignment="1">
      <alignment vertical="top" shrinkToFit="1"/>
    </xf>
    <xf numFmtId="0" fontId="5" fillId="0" borderId="0" xfId="0" applyFont="1" applyFill="1" applyAlignment="1">
      <alignment vertical="top"/>
    </xf>
    <xf numFmtId="0" fontId="5" fillId="0" borderId="0" xfId="0" applyFont="1" applyFill="1" applyAlignment="1">
      <alignment horizontal="center" vertical="top" shrinkToFit="1"/>
    </xf>
    <xf numFmtId="0" fontId="3" fillId="0" borderId="1" xfId="0" applyFont="1" applyFill="1" applyBorder="1" applyAlignment="1">
      <alignment vertical="top"/>
    </xf>
    <xf numFmtId="0" fontId="11" fillId="0" borderId="0" xfId="0" applyFont="1" applyBorder="1" applyAlignment="1">
      <alignment horizontal="center" vertical="center"/>
    </xf>
    <xf numFmtId="0" fontId="11" fillId="0" borderId="0" xfId="0" applyFont="1" applyBorder="1" applyAlignment="1">
      <alignment horizontal="right" vertical="center"/>
    </xf>
    <xf numFmtId="0" fontId="12" fillId="0" borderId="0" xfId="0" applyFont="1" applyBorder="1" applyAlignment="1"/>
    <xf numFmtId="176" fontId="0" fillId="0" borderId="0" xfId="0" applyNumberFormat="1" applyFill="1" applyBorder="1" applyAlignment="1">
      <alignment horizontal="center" vertical="center"/>
    </xf>
    <xf numFmtId="178" fontId="0" fillId="0" borderId="0" xfId="0" applyNumberFormat="1" applyFill="1" applyBorder="1" applyAlignment="1">
      <alignment horizontal="center" vertical="center"/>
    </xf>
    <xf numFmtId="14" fontId="0" fillId="0" borderId="0" xfId="0" applyNumberFormat="1" applyFill="1" applyBorder="1" applyAlignment="1">
      <alignment horizontal="center" vertical="center"/>
    </xf>
    <xf numFmtId="0" fontId="0" fillId="0" borderId="0" xfId="0" applyFill="1"/>
    <xf numFmtId="0" fontId="0" fillId="0" borderId="0" xfId="0" applyFill="1" applyAlignment="1">
      <alignment horizontal="center" vertical="center"/>
    </xf>
    <xf numFmtId="0" fontId="9" fillId="0" borderId="0" xfId="0" applyFont="1" applyFill="1" applyBorder="1" applyAlignment="1">
      <alignment horizontal="center" vertical="center"/>
    </xf>
    <xf numFmtId="0" fontId="9" fillId="0" borderId="33" xfId="0" applyFont="1" applyBorder="1" applyAlignment="1">
      <alignment horizontal="center" vertical="center"/>
    </xf>
    <xf numFmtId="0" fontId="12" fillId="0" borderId="0" xfId="0" applyFont="1" applyAlignment="1"/>
    <xf numFmtId="0" fontId="9" fillId="32" borderId="0" xfId="0" applyFont="1" applyFill="1"/>
    <xf numFmtId="178" fontId="0" fillId="14" borderId="0" xfId="0" applyNumberFormat="1" applyFill="1" applyBorder="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Fill="1" applyBorder="1" applyAlignment="1" applyProtection="1">
      <alignment horizontal="center" vertical="top"/>
      <protection locked="0"/>
    </xf>
    <xf numFmtId="0" fontId="0" fillId="0" borderId="0" xfId="0" applyAlignment="1">
      <alignment vertical="top"/>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14" fontId="0" fillId="0" borderId="0" xfId="0" applyNumberFormat="1" applyAlignment="1">
      <alignment horizontal="center" vertical="center"/>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Fill="1" applyBorder="1" applyAlignment="1">
      <alignment horizontal="center" vertical="center" shrinkToFit="1"/>
    </xf>
    <xf numFmtId="0" fontId="5" fillId="0" borderId="5" xfId="0" applyFont="1" applyFill="1" applyBorder="1" applyAlignment="1" applyProtection="1">
      <alignment vertical="center" shrinkToFit="1"/>
      <protection locked="0"/>
    </xf>
    <xf numFmtId="0" fontId="5" fillId="0" borderId="48" xfId="0" applyFont="1" applyFill="1" applyBorder="1" applyAlignment="1" applyProtection="1">
      <alignment horizontal="right" vertical="center" shrinkToFit="1"/>
      <protection locked="0"/>
    </xf>
    <xf numFmtId="0" fontId="5" fillId="0" borderId="19" xfId="0" applyFont="1" applyFill="1" applyBorder="1" applyAlignment="1" applyProtection="1">
      <alignment horizontal="center" vertical="center" shrinkToFit="1"/>
      <protection locked="0"/>
    </xf>
    <xf numFmtId="0" fontId="5" fillId="0" borderId="5" xfId="0" applyFont="1" applyBorder="1" applyAlignment="1">
      <alignment horizontal="center" vertical="center" shrinkToFit="1"/>
    </xf>
    <xf numFmtId="0" fontId="5" fillId="0" borderId="17"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49" xfId="0" applyFont="1" applyFill="1" applyBorder="1" applyAlignment="1">
      <alignment horizontal="center" vertical="center" shrinkToFit="1"/>
    </xf>
    <xf numFmtId="0" fontId="9" fillId="14" borderId="5" xfId="0" applyNumberFormat="1" applyFont="1" applyFill="1" applyBorder="1" applyAlignment="1" applyProtection="1">
      <alignment vertical="top" wrapText="1"/>
      <protection locked="0"/>
    </xf>
    <xf numFmtId="0" fontId="9" fillId="23" borderId="5" xfId="0" applyNumberFormat="1" applyFont="1" applyFill="1" applyBorder="1" applyAlignment="1" applyProtection="1">
      <alignment vertical="top" wrapText="1"/>
      <protection locked="0"/>
    </xf>
    <xf numFmtId="0" fontId="5" fillId="0" borderId="50" xfId="0" applyFont="1" applyFill="1" applyBorder="1" applyAlignment="1" applyProtection="1">
      <alignment vertical="center" shrinkToFit="1"/>
      <protection hidden="1"/>
    </xf>
    <xf numFmtId="0" fontId="5" fillId="0" borderId="41" xfId="0" applyFont="1" applyFill="1" applyBorder="1" applyAlignment="1" applyProtection="1">
      <alignment vertical="center" shrinkToFit="1"/>
      <protection hidden="1"/>
    </xf>
    <xf numFmtId="0" fontId="5" fillId="0" borderId="51" xfId="0" applyFont="1" applyFill="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Fill="1" applyBorder="1" applyAlignment="1">
      <alignment vertical="top"/>
    </xf>
    <xf numFmtId="0" fontId="9" fillId="0" borderId="0" xfId="272" applyFont="1" applyFill="1" applyBorder="1" applyAlignment="1">
      <alignment vertical="top" wrapText="1"/>
    </xf>
    <xf numFmtId="0" fontId="9" fillId="0" borderId="0" xfId="272" applyFont="1" applyFill="1" applyBorder="1" applyAlignment="1">
      <alignment horizontal="right" vertical="top"/>
    </xf>
    <xf numFmtId="49" fontId="9" fillId="0" borderId="0" xfId="272" applyNumberFormat="1" applyFont="1" applyFill="1" applyBorder="1" applyAlignment="1">
      <alignment horizontal="left" vertical="top"/>
    </xf>
    <xf numFmtId="0" fontId="9" fillId="18" borderId="0" xfId="272" applyFont="1" applyFill="1" applyBorder="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Fill="1" applyBorder="1" applyAlignment="1">
      <alignment horizontal="center" vertical="center"/>
    </xf>
    <xf numFmtId="0" fontId="9" fillId="0" borderId="5" xfId="272" applyFont="1" applyFill="1" applyBorder="1" applyAlignment="1">
      <alignment horizontal="center" vertical="center"/>
    </xf>
    <xf numFmtId="0" fontId="9" fillId="0" borderId="5" xfId="272" applyFont="1" applyFill="1" applyBorder="1" applyAlignment="1">
      <alignment horizontal="center" vertical="center" wrapText="1"/>
    </xf>
    <xf numFmtId="0" fontId="9" fillId="0" borderId="5" xfId="272" applyFont="1" applyFill="1" applyBorder="1" applyAlignment="1">
      <alignment vertical="top"/>
    </xf>
    <xf numFmtId="0" fontId="9" fillId="0" borderId="56" xfId="272" applyFont="1" applyFill="1" applyBorder="1" applyAlignment="1">
      <alignment vertical="top"/>
    </xf>
    <xf numFmtId="0" fontId="91" fillId="0" borderId="57" xfId="272" applyFont="1" applyFill="1" applyBorder="1" applyAlignment="1">
      <alignment vertical="top"/>
    </xf>
    <xf numFmtId="0" fontId="91" fillId="0" borderId="58" xfId="272" applyFont="1" applyFill="1" applyBorder="1" applyAlignment="1">
      <alignment vertical="top"/>
    </xf>
    <xf numFmtId="0" fontId="91" fillId="0" borderId="58" xfId="272" applyFont="1" applyFill="1" applyBorder="1" applyAlignment="1">
      <alignment vertical="top" wrapText="1"/>
    </xf>
    <xf numFmtId="0" fontId="91" fillId="0" borderId="58" xfId="272" applyFont="1" applyFill="1" applyBorder="1" applyAlignment="1">
      <alignment horizontal="center" vertical="top"/>
    </xf>
    <xf numFmtId="0" fontId="91" fillId="0" borderId="59" xfId="272" applyFont="1" applyFill="1" applyBorder="1" applyAlignment="1">
      <alignment horizontal="center" vertical="top"/>
    </xf>
    <xf numFmtId="0" fontId="91" fillId="0" borderId="60" xfId="272" applyFont="1" applyFill="1" applyBorder="1" applyAlignment="1">
      <alignment vertical="top"/>
    </xf>
    <xf numFmtId="0" fontId="91" fillId="0" borderId="61" xfId="272" applyFont="1" applyFill="1" applyBorder="1" applyAlignment="1">
      <alignment vertical="top"/>
    </xf>
    <xf numFmtId="0" fontId="91" fillId="0" borderId="61" xfId="272" applyFont="1" applyFill="1" applyBorder="1" applyAlignment="1">
      <alignment vertical="top" wrapText="1"/>
    </xf>
    <xf numFmtId="0" fontId="91" fillId="0" borderId="61" xfId="272" applyFont="1" applyFill="1" applyBorder="1" applyAlignment="1">
      <alignment horizontal="center" vertical="top"/>
    </xf>
    <xf numFmtId="0" fontId="91" fillId="0" borderId="62" xfId="272" applyFont="1" applyFill="1" applyBorder="1" applyAlignment="1">
      <alignment horizontal="center" vertical="top"/>
    </xf>
    <xf numFmtId="0" fontId="91" fillId="0" borderId="63" xfId="272" applyFont="1" applyFill="1" applyBorder="1" applyAlignment="1">
      <alignment vertical="top"/>
    </xf>
    <xf numFmtId="0" fontId="91" fillId="0" borderId="63" xfId="272" applyFont="1" applyFill="1" applyBorder="1" applyAlignment="1">
      <alignment vertical="top" wrapText="1"/>
    </xf>
    <xf numFmtId="0" fontId="91" fillId="0" borderId="63" xfId="272" applyFont="1" applyFill="1" applyBorder="1" applyAlignment="1">
      <alignment horizontal="center" vertical="top"/>
    </xf>
    <xf numFmtId="0" fontId="91" fillId="0" borderId="64" xfId="272" applyFont="1" applyFill="1" applyBorder="1" applyAlignment="1">
      <alignment horizontal="center" vertical="top"/>
    </xf>
    <xf numFmtId="0" fontId="91" fillId="0" borderId="65" xfId="272" applyFont="1" applyFill="1" applyBorder="1" applyAlignment="1">
      <alignment vertical="top"/>
    </xf>
    <xf numFmtId="0" fontId="91" fillId="0" borderId="32" xfId="272" applyFont="1" applyFill="1" applyBorder="1" applyAlignment="1">
      <alignment vertical="top"/>
    </xf>
    <xf numFmtId="0" fontId="91" fillId="0" borderId="32" xfId="272" applyFont="1" applyFill="1" applyBorder="1" applyAlignment="1">
      <alignment vertical="top" wrapText="1"/>
    </xf>
    <xf numFmtId="0" fontId="91" fillId="0" borderId="66" xfId="272" applyFont="1" applyFill="1" applyBorder="1" applyAlignment="1">
      <alignment vertical="top"/>
    </xf>
    <xf numFmtId="0" fontId="91" fillId="0" borderId="66" xfId="272" applyFont="1" applyFill="1" applyBorder="1" applyAlignment="1">
      <alignment vertical="top" wrapText="1"/>
    </xf>
    <xf numFmtId="0" fontId="91" fillId="0" borderId="66" xfId="272" applyFont="1" applyFill="1" applyBorder="1" applyAlignment="1">
      <alignment horizontal="center" vertical="top"/>
    </xf>
    <xf numFmtId="0" fontId="91" fillId="0" borderId="67" xfId="272" applyFont="1" applyFill="1" applyBorder="1" applyAlignment="1">
      <alignment horizontal="center" vertical="top"/>
    </xf>
    <xf numFmtId="0" fontId="91" fillId="0" borderId="57" xfId="272" applyFont="1" applyFill="1" applyBorder="1" applyAlignment="1">
      <alignment vertical="top" wrapText="1"/>
    </xf>
    <xf numFmtId="0" fontId="91" fillId="0" borderId="68" xfId="272" applyFont="1" applyFill="1" applyBorder="1" applyAlignment="1">
      <alignment vertical="top"/>
    </xf>
    <xf numFmtId="0" fontId="91" fillId="0" borderId="69" xfId="272" applyFont="1" applyFill="1" applyBorder="1" applyAlignment="1">
      <alignment vertical="top"/>
    </xf>
    <xf numFmtId="0" fontId="91" fillId="0" borderId="69" xfId="272" applyFont="1" applyFill="1" applyBorder="1" applyAlignment="1">
      <alignment horizontal="center" vertical="top"/>
    </xf>
    <xf numFmtId="0" fontId="91" fillId="0" borderId="70" xfId="272" applyFont="1" applyFill="1" applyBorder="1" applyAlignment="1">
      <alignment horizontal="center" vertical="top"/>
    </xf>
    <xf numFmtId="0" fontId="91" fillId="0" borderId="60" xfId="272" applyFont="1" applyFill="1" applyBorder="1" applyAlignment="1">
      <alignment vertical="top" wrapText="1"/>
    </xf>
    <xf numFmtId="0" fontId="91" fillId="0" borderId="68" xfId="272" applyFont="1" applyFill="1" applyBorder="1" applyAlignment="1">
      <alignment horizontal="center" vertical="top"/>
    </xf>
    <xf numFmtId="0" fontId="91" fillId="0" borderId="71" xfId="272" applyFont="1" applyFill="1" applyBorder="1" applyAlignment="1">
      <alignment horizontal="center" vertical="top"/>
    </xf>
    <xf numFmtId="0" fontId="91" fillId="0" borderId="61" xfId="272" applyFont="1" applyBorder="1" applyAlignment="1">
      <alignment horizontal="justify" vertical="center"/>
    </xf>
    <xf numFmtId="0" fontId="91" fillId="0" borderId="33" xfId="272" applyFont="1" applyFill="1" applyBorder="1" applyAlignment="1">
      <alignment horizontal="center" vertical="top"/>
    </xf>
    <xf numFmtId="0" fontId="91" fillId="0" borderId="72" xfId="272" applyFont="1" applyFill="1" applyBorder="1" applyAlignment="1">
      <alignment vertical="top"/>
    </xf>
    <xf numFmtId="0" fontId="91" fillId="0" borderId="72" xfId="272" applyFont="1" applyFill="1" applyBorder="1" applyAlignment="1">
      <alignment vertical="top" wrapText="1"/>
    </xf>
    <xf numFmtId="0" fontId="91" fillId="0" borderId="72" xfId="272" applyFont="1" applyFill="1" applyBorder="1" applyAlignment="1">
      <alignment horizontal="center" vertical="top"/>
    </xf>
    <xf numFmtId="0" fontId="91" fillId="0" borderId="73" xfId="272" applyFont="1" applyFill="1" applyBorder="1" applyAlignment="1">
      <alignment horizontal="center" vertical="top"/>
    </xf>
    <xf numFmtId="0" fontId="91" fillId="0" borderId="45" xfId="272" applyFont="1" applyFill="1" applyBorder="1" applyAlignment="1">
      <alignment vertical="top"/>
    </xf>
    <xf numFmtId="0" fontId="91" fillId="0" borderId="45" xfId="272" applyFont="1" applyFill="1" applyBorder="1" applyAlignment="1">
      <alignment vertical="top" wrapText="1"/>
    </xf>
    <xf numFmtId="0" fontId="91" fillId="0" borderId="45" xfId="272" applyFont="1" applyFill="1" applyBorder="1" applyAlignment="1">
      <alignment horizontal="center" vertical="top"/>
    </xf>
    <xf numFmtId="0" fontId="91" fillId="0" borderId="74" xfId="272" applyFont="1" applyFill="1" applyBorder="1" applyAlignment="1">
      <alignment horizontal="center" vertical="top"/>
    </xf>
    <xf numFmtId="0" fontId="91" fillId="0" borderId="33" xfId="272" applyFont="1" applyFill="1" applyBorder="1" applyAlignment="1">
      <alignment vertical="top"/>
    </xf>
    <xf numFmtId="0" fontId="91" fillId="0" borderId="33" xfId="272" applyFont="1" applyFill="1" applyBorder="1" applyAlignment="1">
      <alignment vertical="top" wrapText="1"/>
    </xf>
    <xf numFmtId="0" fontId="91" fillId="0" borderId="75" xfId="272" applyFont="1" applyFill="1" applyBorder="1" applyAlignment="1">
      <alignment horizontal="center" vertical="top"/>
    </xf>
    <xf numFmtId="0" fontId="91" fillId="0" borderId="76" xfId="272" applyFont="1" applyFill="1" applyBorder="1" applyAlignment="1">
      <alignment vertical="top"/>
    </xf>
    <xf numFmtId="0" fontId="91" fillId="0" borderId="77" xfId="272" applyFont="1" applyFill="1" applyBorder="1" applyAlignment="1">
      <alignment vertical="top"/>
    </xf>
    <xf numFmtId="0" fontId="91" fillId="0" borderId="77" xfId="272" applyFont="1" applyFill="1" applyBorder="1" applyAlignment="1">
      <alignment vertical="top" wrapText="1"/>
    </xf>
    <xf numFmtId="0" fontId="91" fillId="0" borderId="77" xfId="272" applyFont="1" applyFill="1" applyBorder="1" applyAlignment="1">
      <alignment horizontal="center" vertical="top"/>
    </xf>
    <xf numFmtId="0" fontId="91" fillId="0" borderId="78" xfId="272" applyFont="1" applyFill="1" applyBorder="1" applyAlignment="1">
      <alignment horizontal="center" vertical="top"/>
    </xf>
    <xf numFmtId="0" fontId="5" fillId="0" borderId="19" xfId="0" applyFont="1" applyFill="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176" fontId="5" fillId="0" borderId="32" xfId="0" applyNumberFormat="1" applyFont="1" applyFill="1" applyBorder="1" applyAlignment="1" applyProtection="1">
      <alignment horizontal="center" vertical="center" shrinkToFit="1"/>
      <protection locked="0"/>
    </xf>
    <xf numFmtId="176" fontId="5" fillId="0" borderId="94" xfId="0" applyNumberFormat="1" applyFont="1" applyFill="1" applyBorder="1" applyAlignment="1" applyProtection="1">
      <alignment horizontal="center" vertical="center" shrinkToFit="1"/>
      <protection locked="0"/>
    </xf>
    <xf numFmtId="0" fontId="5" fillId="0" borderId="5" xfId="0" applyFont="1" applyFill="1" applyBorder="1" applyAlignment="1">
      <alignment horizontal="center" vertical="center" shrinkToFit="1"/>
    </xf>
    <xf numFmtId="0" fontId="5" fillId="0" borderId="32" xfId="0" applyFont="1" applyFill="1" applyBorder="1" applyAlignment="1">
      <alignment horizontal="center" vertical="center" shrinkToFit="1"/>
    </xf>
    <xf numFmtId="0" fontId="5" fillId="0" borderId="0" xfId="0" applyFont="1" applyFill="1" applyBorder="1" applyAlignment="1">
      <alignment vertical="center" shrinkToFit="1"/>
    </xf>
    <xf numFmtId="0" fontId="5" fillId="0" borderId="47" xfId="0" applyFont="1" applyFill="1" applyBorder="1" applyAlignment="1">
      <alignment vertical="center" shrinkToFit="1"/>
    </xf>
    <xf numFmtId="0" fontId="5" fillId="0" borderId="48" xfId="0" applyFont="1" applyFill="1" applyBorder="1" applyAlignment="1">
      <alignment vertical="center" shrinkToFit="1"/>
    </xf>
    <xf numFmtId="0" fontId="5" fillId="0" borderId="23" xfId="0" applyFont="1" applyFill="1" applyBorder="1" applyAlignment="1">
      <alignment vertical="center" shrinkToFit="1"/>
    </xf>
    <xf numFmtId="0" fontId="5" fillId="0" borderId="52" xfId="0" applyFont="1" applyFill="1" applyBorder="1" applyAlignment="1">
      <alignment vertical="center" textRotation="255" shrinkToFit="1"/>
    </xf>
    <xf numFmtId="0" fontId="5" fillId="0" borderId="53" xfId="0" applyFont="1" applyFill="1" applyBorder="1" applyAlignment="1">
      <alignment vertical="center" textRotation="255" shrinkToFit="1"/>
    </xf>
    <xf numFmtId="0" fontId="5" fillId="0" borderId="55" xfId="0" applyFont="1" applyFill="1" applyBorder="1" applyAlignment="1">
      <alignment vertical="center" textRotation="255" shrinkToFit="1"/>
    </xf>
    <xf numFmtId="0" fontId="5" fillId="0" borderId="5" xfId="0" applyFont="1" applyFill="1" applyBorder="1" applyAlignment="1">
      <alignment vertical="center" textRotation="255" shrinkToFit="1"/>
    </xf>
    <xf numFmtId="0" fontId="5" fillId="0" borderId="95" xfId="0" applyFont="1" applyFill="1" applyBorder="1" applyAlignment="1">
      <alignment vertical="center" textRotation="255" shrinkToFit="1"/>
    </xf>
    <xf numFmtId="0" fontId="5" fillId="0" borderId="38" xfId="0" applyFont="1" applyFill="1" applyBorder="1" applyAlignment="1">
      <alignment vertical="center" textRotation="255" shrinkToFit="1"/>
    </xf>
    <xf numFmtId="0" fontId="5" fillId="0" borderId="32" xfId="0" applyFont="1" applyFill="1" applyBorder="1" applyAlignment="1">
      <alignment vertical="center" shrinkToFit="1"/>
    </xf>
    <xf numFmtId="0" fontId="5" fillId="0" borderId="5" xfId="0" applyFont="1" applyFill="1" applyBorder="1" applyAlignment="1">
      <alignment vertical="center" shrinkToFit="1"/>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Fill="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Fill="1" applyBorder="1" applyAlignment="1">
      <alignment vertical="center" wrapText="1"/>
    </xf>
    <xf numFmtId="0" fontId="5" fillId="0" borderId="5" xfId="0" applyFont="1" applyFill="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38" xfId="0" applyFont="1" applyFill="1" applyBorder="1" applyAlignment="1">
      <alignment horizontal="center" vertical="center" shrinkToFit="1"/>
    </xf>
    <xf numFmtId="0" fontId="5" fillId="0" borderId="79" xfId="0" applyFont="1" applyFill="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49" fontId="5" fillId="0" borderId="19" xfId="0" applyNumberFormat="1" applyFont="1" applyFill="1" applyBorder="1" applyAlignment="1">
      <alignment horizontal="right" vertical="top" shrinkToFit="1"/>
    </xf>
    <xf numFmtId="49" fontId="5" fillId="0" borderId="87" xfId="0" applyNumberFormat="1" applyFont="1" applyFill="1" applyBorder="1" applyAlignment="1">
      <alignment horizontal="right" vertical="top" shrinkToFit="1"/>
    </xf>
    <xf numFmtId="49" fontId="5" fillId="0" borderId="44" xfId="0" applyNumberFormat="1" applyFont="1" applyFill="1" applyBorder="1" applyAlignment="1">
      <alignment horizontal="right" vertical="top" shrinkToFit="1"/>
    </xf>
    <xf numFmtId="49" fontId="5" fillId="0" borderId="18" xfId="0" applyNumberFormat="1" applyFont="1" applyFill="1" applyBorder="1" applyAlignment="1">
      <alignment horizontal="right" vertical="top" shrinkToFit="1"/>
    </xf>
    <xf numFmtId="49" fontId="0" fillId="0" borderId="19" xfId="0" applyNumberFormat="1" applyFill="1" applyBorder="1" applyAlignment="1">
      <alignment shrinkToFit="1"/>
    </xf>
    <xf numFmtId="0" fontId="5" fillId="0" borderId="5" xfId="0" applyFont="1" applyFill="1" applyBorder="1" applyAlignment="1">
      <alignment vertical="center" wrapText="1" shrinkToFit="1"/>
    </xf>
    <xf numFmtId="0" fontId="5" fillId="0" borderId="19" xfId="0" applyFont="1" applyFill="1" applyBorder="1" applyAlignment="1">
      <alignment vertical="center" wrapText="1" shrinkToFit="1"/>
    </xf>
    <xf numFmtId="176" fontId="5" fillId="0" borderId="5" xfId="0" applyNumberFormat="1" applyFont="1" applyFill="1" applyBorder="1" applyAlignment="1" applyProtection="1">
      <alignment horizontal="center" vertical="center" shrinkToFit="1"/>
      <protection locked="0"/>
    </xf>
    <xf numFmtId="176" fontId="5" fillId="0" borderId="56" xfId="0" applyNumberFormat="1" applyFont="1" applyFill="1" applyBorder="1" applyAlignment="1" applyProtection="1">
      <alignment horizontal="center" vertical="center" shrinkToFit="1"/>
      <protection locked="0"/>
    </xf>
    <xf numFmtId="0" fontId="5" fillId="0" borderId="45" xfId="0" applyFont="1" applyFill="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22" xfId="0" applyFont="1" applyFill="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5" fillId="31" borderId="5" xfId="0" applyNumberFormat="1" applyFont="1" applyFill="1" applyBorder="1" applyAlignment="1" applyProtection="1">
      <alignment horizontal="center" vertical="center" shrinkToFit="1"/>
      <protection locked="0"/>
    </xf>
    <xf numFmtId="0" fontId="5" fillId="0" borderId="27" xfId="0" applyFont="1" applyFill="1" applyBorder="1" applyAlignment="1">
      <alignment vertical="top" wrapText="1"/>
    </xf>
    <xf numFmtId="0" fontId="5" fillId="0" borderId="5" xfId="0" applyFont="1" applyFill="1" applyBorder="1" applyAlignment="1">
      <alignment vertical="top" wrapText="1"/>
    </xf>
    <xf numFmtId="179" fontId="18" fillId="0" borderId="87" xfId="0" applyNumberFormat="1" applyFont="1" applyFill="1" applyBorder="1" applyAlignment="1" applyProtection="1">
      <alignment horizontal="center" vertical="center" wrapText="1"/>
    </xf>
    <xf numFmtId="179" fontId="18" fillId="0" borderId="42" xfId="0" applyNumberFormat="1" applyFont="1" applyFill="1" applyBorder="1" applyAlignment="1" applyProtection="1">
      <alignment horizontal="center" vertical="center" wrapText="1"/>
    </xf>
    <xf numFmtId="179" fontId="18" fillId="0" borderId="18" xfId="0" applyNumberFormat="1" applyFont="1" applyFill="1" applyBorder="1" applyAlignment="1" applyProtection="1">
      <alignment horizontal="center" vertical="center" wrapText="1"/>
    </xf>
    <xf numFmtId="179" fontId="18" fillId="0" borderId="93" xfId="0" applyNumberFormat="1" applyFont="1" applyFill="1" applyBorder="1" applyAlignment="1" applyProtection="1">
      <alignment horizontal="center" vertical="center" wrapText="1"/>
    </xf>
    <xf numFmtId="0" fontId="5" fillId="0" borderId="19" xfId="0" applyFont="1" applyFill="1" applyBorder="1" applyAlignment="1">
      <alignment horizontal="center" vertical="center"/>
    </xf>
    <xf numFmtId="0" fontId="5" fillId="0" borderId="27" xfId="0" applyFont="1" applyFill="1" applyBorder="1" applyAlignment="1">
      <alignment horizontal="center" vertical="center"/>
    </xf>
    <xf numFmtId="0" fontId="5" fillId="0" borderId="19" xfId="0" applyFont="1" applyFill="1" applyBorder="1" applyAlignment="1">
      <alignment vertical="center" shrinkToFit="1"/>
    </xf>
    <xf numFmtId="0" fontId="5" fillId="0" borderId="3" xfId="0" applyFont="1" applyFill="1" applyBorder="1" applyAlignment="1">
      <alignment vertical="center" shrinkToFit="1"/>
    </xf>
    <xf numFmtId="0" fontId="5" fillId="0" borderId="27" xfId="0" applyFont="1" applyFill="1" applyBorder="1" applyAlignment="1">
      <alignment vertical="center" shrinkToFit="1"/>
    </xf>
    <xf numFmtId="0" fontId="0" fillId="0" borderId="3" xfId="0" applyBorder="1" applyAlignment="1">
      <alignment vertical="center" shrinkToFit="1"/>
    </xf>
    <xf numFmtId="0" fontId="0" fillId="0" borderId="27" xfId="0" applyBorder="1" applyAlignment="1">
      <alignment vertical="center" shrinkToFit="1"/>
    </xf>
    <xf numFmtId="0" fontId="5" fillId="30" borderId="83" xfId="0" applyFont="1" applyFill="1" applyBorder="1" applyAlignment="1">
      <alignment horizontal="center" vertical="center"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vertical="center" shrinkToFit="1"/>
    </xf>
    <xf numFmtId="0" fontId="0" fillId="0" borderId="51" xfId="0" applyBorder="1" applyAlignment="1">
      <alignment horizontal="center" vertical="center" shrinkToFit="1"/>
    </xf>
    <xf numFmtId="0" fontId="5" fillId="0" borderId="88" xfId="0" applyFont="1" applyFill="1" applyBorder="1" applyAlignment="1">
      <alignment vertical="top" wrapText="1"/>
    </xf>
    <xf numFmtId="0" fontId="5" fillId="0" borderId="89" xfId="0" applyFont="1" applyFill="1" applyBorder="1" applyAlignment="1">
      <alignment vertical="top" wrapText="1"/>
    </xf>
    <xf numFmtId="0" fontId="5" fillId="0" borderId="0" xfId="0" applyFont="1" applyFill="1" applyBorder="1" applyAlignment="1">
      <alignment vertical="top" wrapText="1"/>
    </xf>
    <xf numFmtId="0" fontId="5" fillId="0" borderId="30" xfId="0" applyFont="1" applyFill="1" applyBorder="1" applyAlignment="1">
      <alignment vertical="top" wrapText="1"/>
    </xf>
    <xf numFmtId="0" fontId="5" fillId="0" borderId="96" xfId="0" applyFont="1" applyFill="1" applyBorder="1" applyAlignment="1">
      <alignment vertical="top" wrapText="1"/>
    </xf>
    <xf numFmtId="0" fontId="5" fillId="0" borderId="26" xfId="0" applyFont="1" applyFill="1" applyBorder="1" applyAlignment="1">
      <alignment vertical="top" wrapText="1"/>
    </xf>
    <xf numFmtId="0" fontId="5" fillId="0" borderId="22" xfId="0" applyFont="1" applyFill="1" applyBorder="1" applyAlignment="1">
      <alignment horizontal="right" vertical="center" shrinkToFit="1"/>
    </xf>
    <xf numFmtId="0" fontId="0" fillId="0" borderId="22" xfId="0" applyBorder="1" applyAlignment="1"/>
    <xf numFmtId="0" fontId="5" fillId="0" borderId="97" xfId="0" applyFont="1" applyFill="1" applyBorder="1" applyAlignment="1">
      <alignment horizontal="right" vertical="center" shrinkToFit="1"/>
    </xf>
    <xf numFmtId="0" fontId="5" fillId="0" borderId="98" xfId="0" applyFont="1" applyFill="1" applyBorder="1" applyAlignment="1">
      <alignment horizontal="right" vertical="center" shrinkToFit="1"/>
    </xf>
    <xf numFmtId="0" fontId="5" fillId="0" borderId="4" xfId="0" applyFont="1" applyFill="1" applyBorder="1" applyAlignment="1">
      <alignment horizontal="right" vertical="center" shrinkToFit="1"/>
    </xf>
    <xf numFmtId="0" fontId="5" fillId="0" borderId="99" xfId="0" applyFont="1" applyFill="1" applyBorder="1" applyAlignment="1">
      <alignment horizontal="right" vertical="center" shrinkToFit="1"/>
    </xf>
    <xf numFmtId="0" fontId="5" fillId="0" borderId="39" xfId="0" applyFont="1" applyFill="1" applyBorder="1" applyAlignment="1">
      <alignment vertical="center" shrinkToFit="1"/>
    </xf>
    <xf numFmtId="0" fontId="5" fillId="0" borderId="1" xfId="0" applyFont="1" applyFill="1" applyBorder="1" applyAlignment="1">
      <alignment vertical="center" shrinkToFit="1"/>
    </xf>
    <xf numFmtId="0" fontId="5" fillId="0" borderId="41" xfId="0" applyFont="1" applyFill="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180" fontId="5" fillId="0" borderId="33" xfId="0" applyNumberFormat="1" applyFont="1" applyFill="1" applyBorder="1" applyAlignment="1" applyProtection="1">
      <alignment horizontal="right" vertical="center" shrinkToFit="1"/>
      <protection locked="0"/>
    </xf>
    <xf numFmtId="180" fontId="8" fillId="0" borderId="33" xfId="0" applyNumberFormat="1" applyFont="1" applyFill="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Fill="1" applyBorder="1" applyAlignment="1">
      <alignment horizontal="center" vertical="center" textRotation="255" wrapText="1" shrinkToFit="1"/>
    </xf>
    <xf numFmtId="0" fontId="5" fillId="0" borderId="32" xfId="0" applyFont="1" applyFill="1" applyBorder="1" applyAlignment="1">
      <alignment horizontal="center" vertical="center" textRotation="255" wrapText="1" shrinkToFit="1"/>
    </xf>
    <xf numFmtId="0" fontId="5" fillId="0" borderId="55" xfId="0" applyFont="1" applyFill="1" applyBorder="1" applyAlignment="1">
      <alignment horizontal="center" vertical="center" textRotation="255" wrapText="1" shrinkToFit="1"/>
    </xf>
    <xf numFmtId="0" fontId="5" fillId="0" borderId="5" xfId="0" applyFont="1" applyFill="1" applyBorder="1" applyAlignment="1">
      <alignment horizontal="center" vertical="center" textRotation="255" wrapText="1" shrinkToFit="1"/>
    </xf>
    <xf numFmtId="0" fontId="5" fillId="0" borderId="95" xfId="0" applyFont="1" applyFill="1" applyBorder="1" applyAlignment="1">
      <alignment horizontal="center" vertical="center" textRotation="255" wrapText="1" shrinkToFit="1"/>
    </xf>
    <xf numFmtId="0" fontId="5" fillId="0" borderId="38" xfId="0" applyFont="1" applyFill="1" applyBorder="1" applyAlignment="1">
      <alignment horizontal="center" vertical="center" textRotation="255" wrapText="1" shrinkToFit="1"/>
    </xf>
    <xf numFmtId="0" fontId="5" fillId="0" borderId="27" xfId="0" applyFont="1" applyFill="1" applyBorder="1" applyAlignment="1">
      <alignment vertical="top" wrapText="1" shrinkToFit="1"/>
    </xf>
    <xf numFmtId="0" fontId="5" fillId="0" borderId="5" xfId="0" applyFont="1" applyFill="1" applyBorder="1" applyAlignment="1">
      <alignment vertical="top" wrapText="1" shrinkToFit="1"/>
    </xf>
    <xf numFmtId="0" fontId="5" fillId="0" borderId="52" xfId="0" applyFont="1" applyFill="1" applyBorder="1" applyAlignment="1">
      <alignment horizontal="center" vertical="center" textRotation="255" shrinkToFit="1"/>
    </xf>
    <xf numFmtId="0" fontId="5" fillId="0" borderId="55" xfId="0" applyFont="1" applyFill="1" applyBorder="1" applyAlignment="1">
      <alignment horizontal="center" vertical="center" textRotation="255" shrinkToFit="1"/>
    </xf>
    <xf numFmtId="0" fontId="5" fillId="0" borderId="95" xfId="0" applyFont="1" applyFill="1" applyBorder="1" applyAlignment="1">
      <alignment horizontal="center" vertical="center" textRotation="255" shrinkToFit="1"/>
    </xf>
    <xf numFmtId="0" fontId="5" fillId="0" borderId="19" xfId="0" applyFont="1" applyBorder="1" applyAlignment="1">
      <alignment horizontal="center" vertical="center"/>
    </xf>
    <xf numFmtId="0" fontId="5" fillId="0" borderId="27" xfId="0" applyFont="1" applyBorder="1" applyAlignment="1">
      <alignment horizontal="center" vertical="center"/>
    </xf>
    <xf numFmtId="0" fontId="5" fillId="0" borderId="17" xfId="0" applyFont="1" applyFill="1" applyBorder="1" applyAlignment="1">
      <alignment horizontal="center" vertical="center" shrinkToFit="1"/>
    </xf>
    <xf numFmtId="0" fontId="5" fillId="0" borderId="103" xfId="0" applyFont="1" applyFill="1" applyBorder="1" applyAlignment="1">
      <alignment horizontal="center" vertical="center" shrinkToFit="1"/>
    </xf>
    <xf numFmtId="0" fontId="5" fillId="0" borderId="19" xfId="0" applyFont="1" applyFill="1" applyBorder="1" applyAlignment="1" applyProtection="1">
      <alignment horizontal="center" vertical="center"/>
      <protection locked="0"/>
    </xf>
    <xf numFmtId="0" fontId="5" fillId="0" borderId="27" xfId="0" applyFont="1" applyFill="1" applyBorder="1" applyAlignment="1" applyProtection="1">
      <alignment horizontal="center" vertical="center"/>
      <protection locked="0"/>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0" fontId="14" fillId="0" borderId="27" xfId="0" applyFont="1" applyFill="1" applyBorder="1" applyAlignment="1">
      <alignment vertical="center" wrapText="1"/>
    </xf>
    <xf numFmtId="0" fontId="14" fillId="0" borderId="5" xfId="0" applyFont="1" applyFill="1" applyBorder="1" applyAlignment="1">
      <alignment vertical="center" wrapText="1" shrinkToFit="1"/>
    </xf>
    <xf numFmtId="0" fontId="14" fillId="0" borderId="38" xfId="0" applyFont="1" applyFill="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83" xfId="0" applyFont="1" applyFill="1" applyBorder="1" applyAlignment="1">
      <alignment horizontal="center" vertical="center"/>
    </xf>
    <xf numFmtId="0" fontId="5" fillId="0" borderId="51" xfId="0" applyFont="1" applyFill="1" applyBorder="1" applyAlignment="1">
      <alignment horizontal="center" vertical="center"/>
    </xf>
    <xf numFmtId="0" fontId="5" fillId="0" borderId="102" xfId="0" applyFont="1" applyFill="1" applyBorder="1" applyAlignment="1">
      <alignment horizontal="center" vertical="center" textRotation="255"/>
    </xf>
    <xf numFmtId="0" fontId="5" fillId="0" borderId="60" xfId="0" applyFont="1" applyFill="1" applyBorder="1" applyAlignment="1">
      <alignment horizontal="center" vertical="center" textRotation="255"/>
    </xf>
    <xf numFmtId="0" fontId="5" fillId="0" borderId="76" xfId="0" applyFont="1" applyFill="1" applyBorder="1" applyAlignment="1">
      <alignment horizontal="center" vertical="center" textRotation="255"/>
    </xf>
    <xf numFmtId="0" fontId="14" fillId="0" borderId="26" xfId="0" applyFont="1" applyFill="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Fill="1" applyBorder="1" applyAlignment="1">
      <alignment vertical="center" wrapText="1" shrinkToFit="1"/>
    </xf>
    <xf numFmtId="0" fontId="17" fillId="0" borderId="83" xfId="0" applyNumberFormat="1" applyFont="1" applyFill="1" applyBorder="1" applyAlignment="1" applyProtection="1">
      <alignment horizontal="center" vertical="center" shrinkToFit="1"/>
    </xf>
    <xf numFmtId="0" fontId="19" fillId="0" borderId="84" xfId="0" applyNumberFormat="1" applyFont="1" applyFill="1" applyBorder="1" applyAlignment="1" applyProtection="1">
      <alignment horizontal="center" vertical="center" shrinkToFit="1"/>
    </xf>
    <xf numFmtId="0" fontId="19" fillId="0" borderId="51" xfId="0" applyNumberFormat="1" applyFont="1" applyFill="1" applyBorder="1" applyAlignment="1" applyProtection="1">
      <alignment horizontal="center" vertical="center" shrinkToFit="1"/>
    </xf>
    <xf numFmtId="0" fontId="5" fillId="0" borderId="83" xfId="0" applyFont="1" applyFill="1" applyBorder="1" applyAlignment="1">
      <alignment horizontal="center" vertical="center" shrinkToFit="1"/>
    </xf>
    <xf numFmtId="0" fontId="5" fillId="0" borderId="84" xfId="0" applyFont="1" applyFill="1" applyBorder="1" applyAlignment="1">
      <alignment horizontal="center" vertical="center" shrinkToFit="1"/>
    </xf>
    <xf numFmtId="0" fontId="0" fillId="0" borderId="84" xfId="0"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0" xfId="0" applyFont="1" applyBorder="1" applyAlignment="1">
      <alignment vertical="top" wrapText="1"/>
    </xf>
    <xf numFmtId="0" fontId="5" fillId="0" borderId="43" xfId="0" applyFont="1" applyFill="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Fill="1" applyBorder="1" applyAlignment="1">
      <alignment vertical="center" shrinkToFit="1"/>
    </xf>
    <xf numFmtId="0" fontId="5" fillId="0" borderId="88" xfId="0" applyFont="1" applyFill="1" applyBorder="1" applyAlignment="1">
      <alignment vertical="center" shrinkToFit="1"/>
    </xf>
    <xf numFmtId="0" fontId="5" fillId="0" borderId="89" xfId="0" applyFont="1" applyFill="1" applyBorder="1" applyAlignment="1">
      <alignment vertical="center" shrinkToFit="1"/>
    </xf>
    <xf numFmtId="0" fontId="18" fillId="0" borderId="83" xfId="0" applyNumberFormat="1" applyFont="1" applyFill="1" applyBorder="1" applyAlignment="1" applyProtection="1">
      <alignment horizontal="left" vertical="center" shrinkToFit="1"/>
    </xf>
    <xf numFmtId="0" fontId="18" fillId="0" borderId="84" xfId="0" applyNumberFormat="1" applyFont="1" applyFill="1" applyBorder="1" applyAlignment="1" applyProtection="1">
      <alignment horizontal="left" vertical="center" shrinkToFit="1"/>
    </xf>
    <xf numFmtId="0" fontId="18" fillId="0" borderId="85" xfId="0" applyNumberFormat="1" applyFont="1" applyFill="1" applyBorder="1" applyAlignment="1" applyProtection="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4" fillId="0" borderId="0" xfId="0" applyFont="1" applyFill="1" applyBorder="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Fill="1" applyBorder="1" applyAlignment="1">
      <alignment horizontal="center" vertical="center" shrinkToFit="1"/>
    </xf>
    <xf numFmtId="0" fontId="5" fillId="0" borderId="52" xfId="0" applyFont="1" applyFill="1" applyBorder="1" applyAlignment="1">
      <alignment horizontal="center" vertical="center" shrinkToFit="1"/>
    </xf>
    <xf numFmtId="0" fontId="5" fillId="0" borderId="53" xfId="0" applyFont="1" applyFill="1" applyBorder="1" applyAlignment="1">
      <alignment horizontal="center" vertical="center" shrinkToFit="1"/>
    </xf>
    <xf numFmtId="0" fontId="5" fillId="0" borderId="47" xfId="0" applyFont="1" applyFill="1" applyBorder="1" applyAlignment="1" applyProtection="1">
      <alignment horizontal="center" vertical="center" shrinkToFit="1"/>
      <protection locked="0"/>
    </xf>
    <xf numFmtId="0" fontId="5" fillId="0" borderId="48" xfId="0" applyFont="1" applyFill="1" applyBorder="1" applyAlignment="1" applyProtection="1">
      <alignment horizontal="center" vertical="center" shrinkToFit="1"/>
      <protection locked="0"/>
    </xf>
    <xf numFmtId="0" fontId="5" fillId="0" borderId="38" xfId="0" applyFont="1" applyFill="1" applyBorder="1" applyAlignment="1" applyProtection="1">
      <alignment horizontal="center" vertical="center" shrinkToFit="1"/>
      <protection locked="0"/>
    </xf>
    <xf numFmtId="0" fontId="5" fillId="0" borderId="47" xfId="0" applyNumberFormat="1" applyFont="1" applyFill="1" applyBorder="1" applyAlignment="1" applyProtection="1">
      <alignment horizontal="center" vertical="center" wrapText="1"/>
      <protection locked="0"/>
    </xf>
    <xf numFmtId="0" fontId="0" fillId="0" borderId="48" xfId="0" applyNumberFormat="1" applyFill="1" applyBorder="1" applyAlignment="1" applyProtection="1">
      <alignment horizontal="center" vertical="center" wrapText="1"/>
      <protection locked="0"/>
    </xf>
    <xf numFmtId="49" fontId="5" fillId="0" borderId="20" xfId="0" quotePrefix="1" applyNumberFormat="1" applyFont="1" applyFill="1" applyBorder="1" applyAlignment="1" applyProtection="1">
      <alignment horizontal="center" vertical="center" shrinkToFit="1"/>
      <protection locked="0"/>
    </xf>
    <xf numFmtId="49" fontId="5" fillId="0" borderId="91" xfId="0" applyNumberFormat="1" applyFont="1" applyFill="1" applyBorder="1" applyAlignment="1" applyProtection="1">
      <alignment horizontal="center" vertical="center" shrinkToFit="1"/>
      <protection locked="0"/>
    </xf>
    <xf numFmtId="49" fontId="5" fillId="0" borderId="28" xfId="0" applyNumberFormat="1" applyFont="1" applyFill="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Fill="1" applyBorder="1" applyAlignment="1" applyProtection="1">
      <alignment horizontal="left" vertical="center" shrinkToFit="1"/>
      <protection locked="0"/>
    </xf>
    <xf numFmtId="49" fontId="5" fillId="0" borderId="91" xfId="0" applyNumberFormat="1" applyFont="1" applyFill="1" applyBorder="1" applyAlignment="1" applyProtection="1">
      <alignment horizontal="left" vertical="center" shrinkToFit="1"/>
      <protection locked="0"/>
    </xf>
    <xf numFmtId="49" fontId="5" fillId="0" borderId="90" xfId="0" applyNumberFormat="1" applyFont="1" applyFill="1" applyBorder="1" applyAlignment="1" applyProtection="1">
      <alignment horizontal="left" vertical="center" shrinkToFit="1"/>
      <protection locked="0"/>
    </xf>
    <xf numFmtId="0" fontId="98" fillId="0" borderId="0" xfId="0" applyFont="1" applyFill="1" applyAlignment="1">
      <alignment vertical="center" wrapText="1"/>
    </xf>
    <xf numFmtId="0" fontId="98" fillId="0" borderId="30" xfId="0" applyFont="1" applyFill="1" applyBorder="1" applyAlignment="1">
      <alignment vertical="center" wrapText="1"/>
    </xf>
    <xf numFmtId="0" fontId="8" fillId="0" borderId="81" xfId="0" applyFont="1" applyFill="1" applyBorder="1" applyAlignment="1">
      <alignment horizontal="center" vertical="center" shrinkToFit="1"/>
    </xf>
    <xf numFmtId="0" fontId="8" fillId="0" borderId="27" xfId="0" applyFont="1" applyFill="1" applyBorder="1" applyAlignment="1">
      <alignment horizontal="center" vertical="center" shrinkToFit="1"/>
    </xf>
    <xf numFmtId="0" fontId="5" fillId="0" borderId="53" xfId="0" applyFont="1" applyFill="1" applyBorder="1" applyAlignment="1" applyProtection="1">
      <alignment horizontal="center" vertical="center" shrinkToFit="1"/>
      <protection locked="0"/>
    </xf>
    <xf numFmtId="49" fontId="5" fillId="0" borderId="48" xfId="0" applyNumberFormat="1" applyFont="1" applyFill="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53" xfId="0" applyFont="1" applyFill="1" applyBorder="1" applyAlignment="1">
      <alignment horizontal="center" vertical="center" textRotation="255" shrinkToFit="1"/>
    </xf>
    <xf numFmtId="0" fontId="5" fillId="0" borderId="5" xfId="0" applyFont="1" applyFill="1" applyBorder="1" applyAlignment="1">
      <alignment horizontal="center" vertical="center" textRotation="255" shrinkToFit="1"/>
    </xf>
    <xf numFmtId="0" fontId="5" fillId="0" borderId="38" xfId="0" applyFont="1" applyFill="1" applyBorder="1" applyAlignment="1">
      <alignment horizontal="center" vertical="center" textRotation="255" shrinkToFit="1"/>
    </xf>
    <xf numFmtId="0" fontId="10" fillId="0" borderId="43" xfId="0" applyNumberFormat="1" applyFont="1" applyFill="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19" xfId="0" applyNumberFormat="1" applyFont="1" applyFill="1" applyBorder="1" applyAlignment="1" applyProtection="1">
      <alignment vertical="center" shrinkToFit="1"/>
      <protection locked="0"/>
    </xf>
    <xf numFmtId="0" fontId="0" fillId="0" borderId="3" xfId="0" applyFill="1" applyBorder="1" applyAlignment="1" applyProtection="1">
      <alignment vertical="center" shrinkToFit="1"/>
      <protection locked="0"/>
    </xf>
    <xf numFmtId="0" fontId="0" fillId="0" borderId="3" xfId="0" applyFill="1" applyBorder="1" applyAlignment="1">
      <alignment vertical="center" shrinkToFit="1"/>
    </xf>
    <xf numFmtId="0" fontId="0" fillId="0" borderId="25" xfId="0" applyFill="1" applyBorder="1" applyAlignment="1">
      <alignment vertical="center" shrinkToFit="1"/>
    </xf>
    <xf numFmtId="0" fontId="5" fillId="0" borderId="20" xfId="0" applyNumberFormat="1" applyFont="1" applyFill="1" applyBorder="1" applyAlignment="1" applyProtection="1">
      <alignment vertical="center" shrinkToFit="1"/>
      <protection locked="0"/>
    </xf>
    <xf numFmtId="0" fontId="0" fillId="0" borderId="91" xfId="0" applyFill="1" applyBorder="1" applyAlignment="1" applyProtection="1">
      <alignment vertical="center" shrinkToFit="1"/>
      <protection locked="0"/>
    </xf>
    <xf numFmtId="0" fontId="0" fillId="0" borderId="91" xfId="0" applyFill="1" applyBorder="1" applyAlignment="1">
      <alignment vertical="center" shrinkToFit="1"/>
    </xf>
    <xf numFmtId="0" fontId="0" fillId="0" borderId="90" xfId="0" applyFill="1" applyBorder="1" applyAlignment="1">
      <alignment vertical="center" shrinkToFit="1"/>
    </xf>
    <xf numFmtId="178" fontId="5" fillId="0" borderId="5" xfId="0" applyNumberFormat="1" applyFont="1" applyFill="1" applyBorder="1" applyAlignment="1" applyProtection="1">
      <alignment horizontal="center" vertical="center" shrinkToFit="1"/>
      <protection locked="0"/>
    </xf>
    <xf numFmtId="178" fontId="0" fillId="0" borderId="5" xfId="0" applyNumberFormat="1" applyFill="1" applyBorder="1" applyAlignment="1" applyProtection="1">
      <alignment vertical="center" shrinkToFit="1"/>
      <protection locked="0"/>
    </xf>
    <xf numFmtId="178" fontId="5" fillId="0" borderId="38" xfId="0" applyNumberFormat="1" applyFont="1" applyFill="1" applyBorder="1" applyAlignment="1" applyProtection="1">
      <alignment horizontal="center" vertical="center" shrinkToFit="1"/>
      <protection locked="0"/>
    </xf>
    <xf numFmtId="178" fontId="0" fillId="0" borderId="38" xfId="0" applyNumberFormat="1" applyFill="1" applyBorder="1" applyAlignment="1" applyProtection="1">
      <alignment vertical="center" shrinkToFit="1"/>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49" fontId="5" fillId="0" borderId="20" xfId="0" applyNumberFormat="1" applyFont="1" applyFill="1" applyBorder="1" applyAlignment="1" applyProtection="1">
      <alignment vertical="center" shrinkToFit="1"/>
      <protection locked="0"/>
    </xf>
    <xf numFmtId="49" fontId="5" fillId="0" borderId="91" xfId="0" applyNumberFormat="1" applyFont="1" applyFill="1" applyBorder="1" applyAlignment="1" applyProtection="1">
      <alignment vertical="center" shrinkToFit="1"/>
      <protection locked="0"/>
    </xf>
    <xf numFmtId="0" fontId="0" fillId="0" borderId="28" xfId="0" applyFill="1"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180" fontId="5" fillId="0" borderId="5" xfId="0" applyNumberFormat="1" applyFont="1" applyFill="1" applyBorder="1" applyAlignment="1" applyProtection="1">
      <alignment horizontal="right" vertical="center" shrinkToFit="1"/>
      <protection locked="0"/>
    </xf>
    <xf numFmtId="180" fontId="8" fillId="0" borderId="5"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Border="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Border="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49" fontId="5" fillId="0" borderId="19" xfId="0" applyNumberFormat="1" applyFont="1" applyFill="1" applyBorder="1" applyAlignment="1" applyProtection="1">
      <alignment vertical="center" shrinkToFit="1"/>
      <protection locked="0"/>
    </xf>
    <xf numFmtId="49" fontId="5" fillId="0" borderId="3" xfId="0" applyNumberFormat="1" applyFont="1" applyFill="1" applyBorder="1" applyAlignment="1" applyProtection="1">
      <alignment vertical="center" shrinkToFit="1"/>
      <protection locked="0"/>
    </xf>
    <xf numFmtId="0" fontId="0" fillId="0" borderId="27" xfId="0" applyFill="1" applyBorder="1" applyAlignment="1" applyProtection="1">
      <alignment vertical="center" shrinkToFit="1"/>
      <protection locked="0"/>
    </xf>
    <xf numFmtId="180" fontId="5" fillId="0" borderId="32" xfId="0" applyNumberFormat="1" applyFont="1" applyFill="1" applyBorder="1" applyAlignment="1" applyProtection="1">
      <alignment horizontal="right" vertical="center" shrinkToFit="1"/>
      <protection locked="0"/>
    </xf>
    <xf numFmtId="180" fontId="8" fillId="0" borderId="32" xfId="0" applyNumberFormat="1" applyFont="1" applyFill="1" applyBorder="1" applyProtection="1">
      <protection locked="0"/>
    </xf>
    <xf numFmtId="0" fontId="5" fillId="0" borderId="18" xfId="0" applyNumberFormat="1" applyFont="1" applyFill="1" applyBorder="1" applyAlignment="1" applyProtection="1">
      <alignment vertical="center" shrinkToFit="1"/>
      <protection locked="0"/>
    </xf>
    <xf numFmtId="0" fontId="0" fillId="0" borderId="96" xfId="0" applyFill="1" applyBorder="1" applyAlignment="1" applyProtection="1">
      <alignment vertical="center" shrinkToFit="1"/>
      <protection locked="0"/>
    </xf>
    <xf numFmtId="0" fontId="0" fillId="0" borderId="96" xfId="0" applyFill="1" applyBorder="1" applyAlignment="1">
      <alignment vertical="center" shrinkToFit="1"/>
    </xf>
    <xf numFmtId="0" fontId="0" fillId="0" borderId="93" xfId="0" applyFill="1" applyBorder="1" applyAlignment="1">
      <alignment vertical="center" shrinkToFit="1"/>
    </xf>
    <xf numFmtId="178" fontId="5" fillId="0" borderId="32" xfId="0" applyNumberFormat="1" applyFont="1" applyFill="1" applyBorder="1" applyAlignment="1" applyProtection="1">
      <alignment horizontal="center" vertical="center" shrinkToFit="1"/>
      <protection locked="0"/>
    </xf>
    <xf numFmtId="178" fontId="0" fillId="0" borderId="32" xfId="0" applyNumberFormat="1" applyFill="1" applyBorder="1" applyAlignment="1" applyProtection="1">
      <alignment vertical="center" shrinkToFit="1"/>
      <protection locked="0"/>
    </xf>
    <xf numFmtId="49" fontId="5" fillId="0" borderId="18" xfId="0" applyNumberFormat="1" applyFont="1" applyFill="1" applyBorder="1" applyAlignment="1" applyProtection="1">
      <alignment vertical="center" shrinkToFit="1"/>
      <protection locked="0"/>
    </xf>
    <xf numFmtId="49" fontId="5" fillId="0" borderId="96" xfId="0" applyNumberFormat="1" applyFont="1" applyFill="1" applyBorder="1" applyAlignment="1" applyProtection="1">
      <alignment vertical="center" shrinkToFit="1"/>
      <protection locked="0"/>
    </xf>
    <xf numFmtId="0" fontId="0" fillId="0" borderId="26" xfId="0" applyFill="1" applyBorder="1" applyAlignment="1" applyProtection="1">
      <alignment vertical="center" shrinkToFit="1"/>
      <protection locked="0"/>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0" fillId="0" borderId="85" xfId="0" applyBorder="1" applyAlignment="1">
      <alignment vertical="center" shrinkToFit="1"/>
    </xf>
    <xf numFmtId="176" fontId="17" fillId="0" borderId="35" xfId="0" applyNumberFormat="1" applyFont="1" applyFill="1" applyBorder="1" applyAlignment="1" applyProtection="1">
      <alignment horizontal="center" vertical="center" shrinkToFit="1"/>
    </xf>
    <xf numFmtId="176" fontId="17" fillId="0" borderId="36" xfId="0" applyNumberFormat="1" applyFont="1" applyFill="1" applyBorder="1" applyAlignment="1" applyProtection="1">
      <alignment horizontal="center" vertical="center" shrinkToFit="1"/>
    </xf>
    <xf numFmtId="179" fontId="18" fillId="0" borderId="19" xfId="0" applyNumberFormat="1" applyFont="1" applyFill="1" applyBorder="1" applyAlignment="1" applyProtection="1">
      <alignment horizontal="center" vertical="center" wrapText="1"/>
    </xf>
    <xf numFmtId="179" fontId="18" fillId="0" borderId="25" xfId="0" applyNumberFormat="1" applyFont="1" applyFill="1" applyBorder="1" applyAlignment="1" applyProtection="1">
      <alignment horizontal="center" vertical="center" wrapText="1"/>
    </xf>
    <xf numFmtId="179" fontId="18" fillId="0" borderId="20" xfId="0" applyNumberFormat="1" applyFont="1" applyFill="1" applyBorder="1" applyAlignment="1" applyProtection="1">
      <alignment horizontal="center" vertical="center" wrapText="1"/>
    </xf>
    <xf numFmtId="179" fontId="18" fillId="0" borderId="90" xfId="0" applyNumberFormat="1" applyFont="1" applyFill="1" applyBorder="1" applyAlignment="1" applyProtection="1">
      <alignment horizontal="center" vertical="center" wrapText="1"/>
    </xf>
    <xf numFmtId="179" fontId="18" fillId="0" borderId="100" xfId="0" applyNumberFormat="1" applyFont="1" applyFill="1" applyBorder="1" applyAlignment="1" applyProtection="1">
      <alignment horizontal="center" vertical="center" wrapText="1"/>
    </xf>
    <xf numFmtId="179" fontId="18" fillId="0" borderId="101" xfId="0" applyNumberFormat="1" applyFont="1" applyFill="1" applyBorder="1" applyAlignment="1" applyProtection="1">
      <alignment horizontal="center" vertical="center" wrapText="1"/>
    </xf>
    <xf numFmtId="0" fontId="5" fillId="0" borderId="20" xfId="0" applyFont="1" applyFill="1" applyBorder="1" applyAlignment="1">
      <alignment horizontal="center" vertical="center" shrinkToFit="1"/>
    </xf>
    <xf numFmtId="0" fontId="5" fillId="0" borderId="91" xfId="0" applyFont="1" applyFill="1" applyBorder="1" applyAlignment="1">
      <alignment horizontal="center" vertical="center" shrinkToFit="1"/>
    </xf>
    <xf numFmtId="0" fontId="5" fillId="0" borderId="28" xfId="0" applyFont="1" applyFill="1" applyBorder="1" applyAlignment="1">
      <alignment horizontal="center" vertical="center" shrinkToFit="1"/>
    </xf>
    <xf numFmtId="0" fontId="11" fillId="0" borderId="0" xfId="0" applyFont="1" applyAlignment="1">
      <alignment horizontal="center" vertical="center"/>
    </xf>
    <xf numFmtId="0" fontId="12" fillId="0" borderId="0" xfId="0" applyFont="1" applyAlignment="1"/>
    <xf numFmtId="49" fontId="1" fillId="23" borderId="4" xfId="0" applyNumberFormat="1" applyFont="1" applyFill="1" applyBorder="1" applyAlignment="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9" fillId="0" borderId="0" xfId="0" applyFont="1" applyAlignment="1">
      <alignment horizontal="right"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182" fontId="19" fillId="0" borderId="19" xfId="0" applyNumberFormat="1" applyFont="1" applyFill="1" applyBorder="1" applyAlignment="1">
      <alignment horizontal="center" vertical="center"/>
    </xf>
    <xf numFmtId="182" fontId="19" fillId="0" borderId="27" xfId="0" applyNumberFormat="1" applyFont="1" applyFill="1" applyBorder="1" applyAlignment="1">
      <alignment horizontal="center" vertical="center"/>
    </xf>
    <xf numFmtId="0" fontId="9" fillId="0" borderId="0" xfId="0" applyFont="1" applyBorder="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Fill="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applyAlignment="1"/>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3" fillId="0" borderId="91" xfId="0" applyFont="1" applyBorder="1" applyAlignment="1">
      <alignment wrapText="1"/>
    </xf>
    <xf numFmtId="0" fontId="13" fillId="0" borderId="91" xfId="0" applyFont="1" applyBorder="1" applyAlignment="1"/>
    <xf numFmtId="49" fontId="0" fillId="23" borderId="4" xfId="0" applyNumberFormat="1" applyFill="1" applyBorder="1" applyAlignment="1"/>
    <xf numFmtId="0" fontId="9" fillId="18" borderId="0" xfId="272" applyFont="1" applyFill="1" applyBorder="1" applyAlignment="1">
      <alignment horizontal="center" vertical="top"/>
    </xf>
    <xf numFmtId="14" fontId="9" fillId="18" borderId="0" xfId="272" applyNumberFormat="1" applyFont="1" applyFill="1" applyBorder="1" applyAlignment="1">
      <alignment horizontal="center" vertical="top" shrinkToFit="1"/>
    </xf>
    <xf numFmtId="0" fontId="9" fillId="0" borderId="0" xfId="272" applyFont="1" applyFill="1" applyBorder="1" applyAlignment="1">
      <alignment horizontal="right" vertical="top"/>
    </xf>
    <xf numFmtId="0" fontId="96" fillId="0" borderId="0" xfId="272" applyFont="1" applyFill="1" applyBorder="1" applyAlignment="1">
      <alignment horizontal="center" vertical="top"/>
    </xf>
    <xf numFmtId="0" fontId="99" fillId="0" borderId="61" xfId="272" applyFont="1" applyBorder="1" applyAlignment="1">
      <alignment vertical="top" wrapText="1"/>
    </xf>
    <xf numFmtId="0" fontId="99" fillId="0" borderId="61" xfId="272" applyFont="1" applyBorder="1" applyAlignment="1">
      <alignment vertical="top"/>
    </xf>
    <xf numFmtId="0" fontId="99" fillId="0" borderId="61" xfId="272" applyFont="1" applyBorder="1" applyAlignment="1">
      <alignment horizontal="center" vertical="top"/>
    </xf>
    <xf numFmtId="0" fontId="99" fillId="0" borderId="62" xfId="272" applyFont="1" applyBorder="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77800" y="11706225"/>
          <a:ext cx="761365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77800" y="7419975"/>
          <a:ext cx="761365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K10" sqref="K10"/>
    </sheetView>
  </sheetViews>
  <sheetFormatPr defaultColWidth="9" defaultRowHeight="11"/>
  <cols>
    <col min="1" max="1" width="0.7265625" style="9" customWidth="1"/>
    <col min="2" max="3" width="1.453125" style="9" customWidth="1"/>
    <col min="4" max="4" width="3" style="9" customWidth="1"/>
    <col min="5" max="5" width="2.7265625" style="9" customWidth="1"/>
    <col min="6" max="6" width="4.36328125" style="9" customWidth="1"/>
    <col min="7" max="7" width="5" style="9" customWidth="1"/>
    <col min="8" max="8" width="6.08984375" style="9" customWidth="1"/>
    <col min="9" max="9" width="3.36328125" style="9" customWidth="1"/>
    <col min="10" max="10" width="5.90625" style="9" customWidth="1"/>
    <col min="11" max="11" width="6.90625" style="9" customWidth="1"/>
    <col min="12" max="13" width="3.36328125" style="9" customWidth="1"/>
    <col min="14" max="14" width="6.90625" style="9" customWidth="1"/>
    <col min="15" max="15" width="5" style="13" customWidth="1"/>
    <col min="16" max="16" width="3" style="13" customWidth="1"/>
    <col min="17" max="17" width="3.6328125" style="13" customWidth="1"/>
    <col min="18" max="18" width="3.6328125" style="9" customWidth="1"/>
    <col min="19" max="19" width="11.6328125" style="9" customWidth="1"/>
    <col min="20" max="20" width="5" style="9" customWidth="1"/>
    <col min="21" max="21" width="3.36328125" style="9" customWidth="1"/>
    <col min="22" max="22" width="5" style="9" customWidth="1"/>
    <col min="23" max="23" width="3.36328125" style="9" customWidth="1"/>
    <col min="24" max="16384" width="9" style="9"/>
  </cols>
  <sheetData>
    <row r="1" spans="2:26" ht="2.25" customHeight="1" thickBot="1">
      <c r="B1" s="35"/>
      <c r="C1" s="35"/>
      <c r="D1" s="35"/>
      <c r="E1" s="35"/>
      <c r="F1" s="35"/>
      <c r="G1" s="35"/>
      <c r="H1" s="35"/>
    </row>
    <row r="2" spans="2:26" ht="15" customHeight="1" thickBot="1">
      <c r="C2" s="124"/>
      <c r="D2" s="113"/>
      <c r="E2" s="113"/>
      <c r="F2" s="391" t="s">
        <v>313</v>
      </c>
      <c r="G2" s="391"/>
      <c r="H2" s="391"/>
      <c r="I2" s="391"/>
      <c r="J2" s="391"/>
      <c r="K2" s="391"/>
      <c r="L2" s="125"/>
      <c r="M2" s="125"/>
      <c r="N2" s="36"/>
      <c r="O2" s="36"/>
      <c r="P2" s="25"/>
      <c r="Q2" s="35"/>
      <c r="R2"/>
      <c r="S2" s="71" t="s">
        <v>284</v>
      </c>
      <c r="T2" s="392"/>
      <c r="U2" s="393"/>
      <c r="V2" s="393"/>
      <c r="W2" s="394"/>
    </row>
    <row r="3" spans="2:26" ht="15" customHeight="1">
      <c r="C3" s="114"/>
      <c r="D3" s="114"/>
      <c r="E3" s="114"/>
      <c r="F3" s="391"/>
      <c r="G3" s="391"/>
      <c r="H3" s="391"/>
      <c r="I3" s="391"/>
      <c r="J3" s="391"/>
      <c r="K3" s="391"/>
      <c r="L3" s="125"/>
      <c r="M3" s="125"/>
      <c r="N3" s="93" t="s">
        <v>353</v>
      </c>
      <c r="O3" s="58"/>
      <c r="P3" s="36"/>
      <c r="Q3" s="25"/>
      <c r="R3" s="35"/>
      <c r="S3" s="10"/>
    </row>
    <row r="4" spans="2:26" ht="28.5" customHeight="1">
      <c r="B4" s="22"/>
      <c r="C4" s="411" t="s">
        <v>366</v>
      </c>
      <c r="D4" s="411"/>
      <c r="E4" s="411"/>
      <c r="F4" s="412"/>
      <c r="G4" s="173" t="s">
        <v>421</v>
      </c>
      <c r="H4" s="413" t="s">
        <v>367</v>
      </c>
      <c r="I4" s="414"/>
      <c r="J4" s="174"/>
      <c r="K4" s="406" t="s">
        <v>368</v>
      </c>
      <c r="L4" s="406"/>
      <c r="M4" s="407"/>
      <c r="N4" s="417" t="s">
        <v>351</v>
      </c>
      <c r="O4" s="418"/>
      <c r="P4" s="418"/>
      <c r="Q4" s="418"/>
      <c r="R4" s="418"/>
      <c r="S4" s="418"/>
      <c r="T4" s="418"/>
      <c r="U4" s="418"/>
      <c r="V4" s="418"/>
      <c r="W4" s="418"/>
    </row>
    <row r="5" spans="2:26" ht="9" customHeight="1" thickBot="1">
      <c r="F5" s="12"/>
      <c r="G5" s="12"/>
      <c r="H5" s="12"/>
    </row>
    <row r="6" spans="2:26" ht="15" customHeight="1">
      <c r="B6" s="396" t="s">
        <v>157</v>
      </c>
      <c r="C6" s="397"/>
      <c r="D6" s="397"/>
      <c r="E6" s="397"/>
      <c r="F6" s="401"/>
      <c r="G6" s="402"/>
      <c r="H6" s="402"/>
      <c r="I6" s="39" t="s">
        <v>62</v>
      </c>
      <c r="J6" s="398"/>
      <c r="K6" s="399"/>
      <c r="L6" s="39" t="s">
        <v>63</v>
      </c>
      <c r="M6" s="415" t="s">
        <v>160</v>
      </c>
      <c r="N6" s="415"/>
      <c r="O6" s="398"/>
      <c r="P6" s="399"/>
      <c r="Q6" s="399"/>
      <c r="R6" s="399"/>
      <c r="S6" s="399"/>
      <c r="T6" s="169"/>
      <c r="U6" s="416"/>
      <c r="V6" s="416"/>
      <c r="W6" s="40"/>
    </row>
    <row r="7" spans="2:26" ht="15" customHeight="1" thickBot="1">
      <c r="B7" s="395" t="s">
        <v>159</v>
      </c>
      <c r="C7" s="273"/>
      <c r="D7" s="273"/>
      <c r="E7" s="273"/>
      <c r="F7" s="403" t="s">
        <v>500</v>
      </c>
      <c r="G7" s="404"/>
      <c r="H7" s="404"/>
      <c r="I7" s="405"/>
      <c r="J7" s="400" t="s">
        <v>172</v>
      </c>
      <c r="K7" s="400"/>
      <c r="L7" s="408" t="s">
        <v>499</v>
      </c>
      <c r="M7" s="409"/>
      <c r="N7" s="409"/>
      <c r="O7" s="409"/>
      <c r="P7" s="409"/>
      <c r="Q7" s="409"/>
      <c r="R7" s="409"/>
      <c r="S7" s="409"/>
      <c r="T7" s="409"/>
      <c r="U7" s="409"/>
      <c r="V7" s="409"/>
      <c r="W7" s="410"/>
    </row>
    <row r="8" spans="2:26" ht="6.75" customHeight="1" thickBot="1">
      <c r="B8" s="10"/>
      <c r="C8" s="10"/>
      <c r="D8" s="10"/>
      <c r="E8" s="11"/>
      <c r="F8" s="11"/>
      <c r="G8" s="11"/>
      <c r="H8" s="11"/>
      <c r="I8" s="11"/>
      <c r="J8" s="10"/>
      <c r="K8" s="10"/>
      <c r="L8" s="10"/>
      <c r="M8" s="10"/>
      <c r="N8" s="10"/>
      <c r="O8" s="10"/>
      <c r="P8" s="10"/>
      <c r="Q8" s="10"/>
      <c r="R8" s="10"/>
      <c r="S8" s="10"/>
      <c r="T8" s="10"/>
    </row>
    <row r="9" spans="2:26" ht="15" customHeight="1" thickBot="1">
      <c r="B9" s="256" t="s">
        <v>163</v>
      </c>
      <c r="C9" s="257"/>
      <c r="D9" s="368" t="s">
        <v>259</v>
      </c>
      <c r="E9" s="369"/>
      <c r="F9" s="370"/>
      <c r="G9" s="312"/>
      <c r="H9" s="365" t="str">
        <f>IF(査読ｼｰﾄ!C37="","（転記）",査読ｼｰﾄ!C37)</f>
        <v>（転記）</v>
      </c>
      <c r="I9" s="366"/>
      <c r="J9" s="367"/>
      <c r="K9" s="368" t="s">
        <v>260</v>
      </c>
      <c r="L9" s="370"/>
      <c r="M9" s="312"/>
      <c r="N9" s="382" t="str">
        <f>IF(査読ｼｰﾄ!C38="","（転記）",査読ｼｰﾄ!C38)</f>
        <v>（転記）</v>
      </c>
      <c r="O9" s="383"/>
      <c r="P9" s="383"/>
      <c r="Q9" s="383"/>
      <c r="R9" s="383"/>
      <c r="S9" s="383"/>
      <c r="T9" s="383"/>
      <c r="U9" s="383"/>
      <c r="V9" s="383"/>
      <c r="W9" s="384"/>
    </row>
    <row r="10" spans="2:26" ht="15" customHeight="1" thickTop="1">
      <c r="B10" s="258"/>
      <c r="C10" s="259"/>
      <c r="D10" s="269" t="s">
        <v>261</v>
      </c>
      <c r="E10" s="269"/>
      <c r="F10" s="262" t="s">
        <v>161</v>
      </c>
      <c r="G10" s="262"/>
      <c r="H10" s="262"/>
      <c r="I10" s="262"/>
      <c r="J10" s="262"/>
      <c r="K10" s="67"/>
      <c r="L10" s="262" t="s">
        <v>262</v>
      </c>
      <c r="M10" s="262"/>
      <c r="N10" s="262"/>
      <c r="O10" s="277"/>
      <c r="P10" s="278"/>
      <c r="Q10" s="274" t="s">
        <v>302</v>
      </c>
      <c r="R10" s="275"/>
      <c r="S10" s="275"/>
      <c r="T10" s="275"/>
      <c r="U10" s="276"/>
      <c r="V10" s="385"/>
      <c r="W10" s="386"/>
    </row>
    <row r="11" spans="2:26" ht="15" customHeight="1">
      <c r="B11" s="258"/>
      <c r="C11" s="259"/>
      <c r="D11" s="270"/>
      <c r="E11" s="270"/>
      <c r="F11" s="263" t="s">
        <v>433</v>
      </c>
      <c r="G11" s="263"/>
      <c r="H11" s="263"/>
      <c r="I11" s="263"/>
      <c r="J11" s="263"/>
      <c r="K11" s="67"/>
      <c r="L11" s="263" t="s">
        <v>303</v>
      </c>
      <c r="M11" s="263"/>
      <c r="N11" s="263"/>
      <c r="O11" s="387"/>
      <c r="P11" s="388"/>
      <c r="Q11" s="245" t="s">
        <v>304</v>
      </c>
      <c r="R11" s="246"/>
      <c r="S11" s="246"/>
      <c r="T11" s="246"/>
      <c r="U11" s="247"/>
      <c r="V11" s="389"/>
      <c r="W11" s="390"/>
    </row>
    <row r="12" spans="2:26" ht="15" customHeight="1">
      <c r="B12" s="258"/>
      <c r="C12" s="259"/>
      <c r="D12" s="270"/>
      <c r="E12" s="270"/>
      <c r="F12" s="263" t="s">
        <v>434</v>
      </c>
      <c r="G12" s="263"/>
      <c r="H12" s="263"/>
      <c r="I12" s="263"/>
      <c r="J12" s="263"/>
      <c r="K12" s="67" t="s">
        <v>421</v>
      </c>
      <c r="L12" s="250" t="s">
        <v>305</v>
      </c>
      <c r="M12" s="250"/>
      <c r="N12" s="250"/>
      <c r="O12" s="387"/>
      <c r="P12" s="388"/>
      <c r="Q12" s="245" t="s">
        <v>430</v>
      </c>
      <c r="R12" s="246"/>
      <c r="S12" s="246"/>
      <c r="T12" s="246"/>
      <c r="U12" s="247"/>
      <c r="V12" s="389"/>
      <c r="W12" s="390"/>
    </row>
    <row r="13" spans="2:26" ht="15" customHeight="1" thickBot="1">
      <c r="B13" s="258"/>
      <c r="C13" s="259"/>
      <c r="D13" s="270"/>
      <c r="E13" s="270"/>
      <c r="F13" s="263" t="s">
        <v>164</v>
      </c>
      <c r="G13" s="263"/>
      <c r="H13" s="263"/>
      <c r="I13" s="263"/>
      <c r="J13" s="263"/>
      <c r="K13" s="67"/>
      <c r="L13" s="262" t="s">
        <v>59</v>
      </c>
      <c r="M13" s="262"/>
      <c r="N13" s="262"/>
      <c r="O13" s="264"/>
      <c r="P13" s="265"/>
      <c r="Q13" s="266" t="s">
        <v>431</v>
      </c>
      <c r="R13" s="267"/>
      <c r="S13" s="267"/>
      <c r="T13" s="267"/>
      <c r="U13" s="268"/>
      <c r="V13" s="271"/>
      <c r="W13" s="272"/>
    </row>
    <row r="14" spans="2:26" ht="15" customHeight="1">
      <c r="B14" s="258"/>
      <c r="C14" s="259"/>
      <c r="D14" s="250" t="s">
        <v>167</v>
      </c>
      <c r="E14" s="250"/>
      <c r="F14" s="250"/>
      <c r="G14" s="250" t="s">
        <v>287</v>
      </c>
      <c r="H14" s="250"/>
      <c r="I14" s="250"/>
      <c r="J14" s="85" t="str">
        <f>IF(査読ｼｰﾄ!J37=0,"（転記）",査読ｼｰﾄ!J37)</f>
        <v>（転記）</v>
      </c>
      <c r="K14" s="250" t="s">
        <v>374</v>
      </c>
      <c r="L14" s="251"/>
      <c r="M14" s="251"/>
      <c r="N14" s="74"/>
      <c r="O14" s="328"/>
      <c r="P14" s="252"/>
      <c r="Q14" s="252"/>
      <c r="R14" s="252"/>
      <c r="S14" s="252"/>
      <c r="T14" s="252"/>
      <c r="U14" s="252"/>
      <c r="V14" s="252"/>
      <c r="W14" s="252"/>
    </row>
    <row r="15" spans="2:26" ht="15" customHeight="1" thickBot="1">
      <c r="B15" s="260"/>
      <c r="C15" s="261"/>
      <c r="D15" s="273" t="s">
        <v>263</v>
      </c>
      <c r="E15" s="273"/>
      <c r="F15" s="273"/>
      <c r="G15" s="273" t="s">
        <v>286</v>
      </c>
      <c r="H15" s="273"/>
      <c r="I15" s="273"/>
      <c r="J15" s="86" t="str">
        <f>IF(査読ｼｰﾄ!J38=0,"（転記）",査読ｼｰﾄ!J38)</f>
        <v>（転記）</v>
      </c>
      <c r="K15" s="273" t="s">
        <v>283</v>
      </c>
      <c r="L15" s="273"/>
      <c r="M15" s="273"/>
      <c r="N15" s="59"/>
      <c r="O15" s="328"/>
      <c r="P15" s="252"/>
      <c r="Q15" s="252"/>
      <c r="R15" s="252"/>
      <c r="S15" s="252"/>
      <c r="T15" s="252"/>
      <c r="U15" s="252"/>
      <c r="V15" s="252"/>
      <c r="W15" s="252"/>
      <c r="X15"/>
      <c r="Y15"/>
      <c r="Z15"/>
    </row>
    <row r="16" spans="2:26" ht="6.75" customHeight="1" thickBot="1">
      <c r="B16" s="252"/>
      <c r="C16" s="252"/>
      <c r="D16" s="252"/>
      <c r="E16" s="252"/>
      <c r="F16" s="252"/>
      <c r="G16" s="252"/>
      <c r="H16" s="252"/>
      <c r="I16" s="252"/>
      <c r="J16" s="252"/>
      <c r="K16" s="252"/>
      <c r="L16" s="252"/>
      <c r="M16" s="252"/>
      <c r="N16" s="252"/>
      <c r="O16" s="252"/>
      <c r="P16" s="252"/>
      <c r="Q16" s="252"/>
      <c r="R16" s="252"/>
      <c r="S16" s="252"/>
      <c r="T16" s="252"/>
      <c r="U16" s="252"/>
    </row>
    <row r="17" spans="2:23" ht="15" customHeight="1" thickBot="1">
      <c r="B17" s="100"/>
      <c r="C17" s="92"/>
      <c r="D17" s="109"/>
      <c r="E17" s="376" t="s">
        <v>307</v>
      </c>
      <c r="F17" s="371" t="s">
        <v>314</v>
      </c>
      <c r="G17" s="372"/>
      <c r="H17" s="253" t="s">
        <v>306</v>
      </c>
      <c r="I17" s="254"/>
      <c r="J17" s="254"/>
      <c r="K17" s="254"/>
      <c r="L17" s="254"/>
      <c r="M17" s="254"/>
      <c r="N17" s="255"/>
      <c r="O17" s="123">
        <f>査読ｼｰﾄ!N12</f>
        <v>0</v>
      </c>
      <c r="P17" s="102" t="s">
        <v>274</v>
      </c>
      <c r="Q17" s="12"/>
      <c r="R17" s="342" t="s">
        <v>168</v>
      </c>
      <c r="S17" s="172" t="s">
        <v>169</v>
      </c>
      <c r="T17" s="357" t="s">
        <v>364</v>
      </c>
      <c r="U17" s="358"/>
      <c r="V17" s="347" t="s">
        <v>170</v>
      </c>
      <c r="W17" s="348"/>
    </row>
    <row r="18" spans="2:23" ht="15" customHeight="1" thickTop="1">
      <c r="B18" s="101"/>
      <c r="C18" s="12"/>
      <c r="D18" s="110"/>
      <c r="E18" s="377"/>
      <c r="F18" s="373"/>
      <c r="G18" s="374"/>
      <c r="H18" s="304" t="s">
        <v>354</v>
      </c>
      <c r="I18" s="305"/>
      <c r="J18" s="305"/>
      <c r="K18" s="305"/>
      <c r="L18" s="305"/>
      <c r="M18" s="305"/>
      <c r="N18" s="306"/>
      <c r="O18" s="60">
        <f>査読ｼｰﾄ!Q12</f>
        <v>0</v>
      </c>
      <c r="P18" s="103" t="s">
        <v>274</v>
      </c>
      <c r="Q18" s="12"/>
      <c r="R18" s="343"/>
      <c r="S18" s="166" t="s">
        <v>256</v>
      </c>
      <c r="T18" s="483"/>
      <c r="U18" s="484"/>
      <c r="V18" s="248"/>
      <c r="W18" s="249"/>
    </row>
    <row r="19" spans="2:23" ht="15" customHeight="1">
      <c r="B19" s="101"/>
      <c r="C19" s="12"/>
      <c r="D19" s="111"/>
      <c r="E19" s="378"/>
      <c r="F19" s="375"/>
      <c r="G19" s="374"/>
      <c r="H19" s="379" t="s">
        <v>309</v>
      </c>
      <c r="I19" s="380"/>
      <c r="J19" s="380"/>
      <c r="K19" s="380"/>
      <c r="L19" s="380"/>
      <c r="M19" s="380"/>
      <c r="N19" s="381"/>
      <c r="O19" s="60">
        <f>査読ｼｰﾄ!T12</f>
        <v>0</v>
      </c>
      <c r="P19" s="108" t="s">
        <v>274</v>
      </c>
      <c r="Q19" s="12"/>
      <c r="R19" s="343"/>
      <c r="S19" s="171" t="s">
        <v>266</v>
      </c>
      <c r="T19" s="345"/>
      <c r="U19" s="346"/>
      <c r="V19" s="286"/>
      <c r="W19" s="287"/>
    </row>
    <row r="20" spans="2:23" ht="15" customHeight="1">
      <c r="B20" s="334" t="s">
        <v>162</v>
      </c>
      <c r="C20" s="335"/>
      <c r="D20" s="288" t="s">
        <v>70</v>
      </c>
      <c r="E20" s="279" t="s">
        <v>165</v>
      </c>
      <c r="F20" s="340" t="s">
        <v>166</v>
      </c>
      <c r="G20" s="341"/>
      <c r="H20" s="284" t="s">
        <v>316</v>
      </c>
      <c r="I20" s="284"/>
      <c r="J20" s="284"/>
      <c r="K20" s="284"/>
      <c r="L20" s="284"/>
      <c r="M20" s="284"/>
      <c r="N20" s="284"/>
      <c r="O20" s="60">
        <f>査読ｼｰﾄ!W12</f>
        <v>0</v>
      </c>
      <c r="P20" s="42" t="s">
        <v>274</v>
      </c>
      <c r="Q20" s="177"/>
      <c r="R20" s="343"/>
      <c r="S20" s="171" t="s">
        <v>267</v>
      </c>
      <c r="T20" s="345"/>
      <c r="U20" s="346"/>
      <c r="V20" s="286"/>
      <c r="W20" s="287"/>
    </row>
    <row r="21" spans="2:23" ht="15" customHeight="1">
      <c r="B21" s="336"/>
      <c r="C21" s="337"/>
      <c r="D21" s="289"/>
      <c r="E21" s="283"/>
      <c r="F21" s="340"/>
      <c r="G21" s="341"/>
      <c r="H21" s="284" t="s">
        <v>317</v>
      </c>
      <c r="I21" s="284"/>
      <c r="J21" s="284"/>
      <c r="K21" s="284"/>
      <c r="L21" s="284"/>
      <c r="M21" s="284"/>
      <c r="N21" s="284"/>
      <c r="O21" s="60">
        <f>査読ｼｰﾄ!Z12</f>
        <v>0</v>
      </c>
      <c r="P21" s="42" t="s">
        <v>273</v>
      </c>
      <c r="Q21" s="177"/>
      <c r="R21" s="343"/>
      <c r="S21" s="167" t="s">
        <v>257</v>
      </c>
      <c r="T21" s="302"/>
      <c r="U21" s="303"/>
      <c r="V21" s="286"/>
      <c r="W21" s="287"/>
    </row>
    <row r="22" spans="2:23" ht="15" customHeight="1">
      <c r="B22" s="336"/>
      <c r="C22" s="337"/>
      <c r="D22" s="289"/>
      <c r="E22" s="283"/>
      <c r="F22" s="340"/>
      <c r="G22" s="341"/>
      <c r="H22" s="304" t="s">
        <v>318</v>
      </c>
      <c r="I22" s="305"/>
      <c r="J22" s="305"/>
      <c r="K22" s="305"/>
      <c r="L22" s="305"/>
      <c r="M22" s="305"/>
      <c r="N22" s="306"/>
      <c r="O22" s="60">
        <f>査読ｼｰﾄ!AC12</f>
        <v>0</v>
      </c>
      <c r="P22" s="42" t="s">
        <v>273</v>
      </c>
      <c r="Q22" s="177"/>
      <c r="R22" s="343"/>
      <c r="S22" s="167" t="s">
        <v>363</v>
      </c>
      <c r="T22" s="302"/>
      <c r="U22" s="303"/>
      <c r="V22" s="286"/>
      <c r="W22" s="287"/>
    </row>
    <row r="23" spans="2:23" ht="15" customHeight="1">
      <c r="B23" s="336"/>
      <c r="C23" s="337"/>
      <c r="D23" s="289"/>
      <c r="E23" s="283"/>
      <c r="F23" s="340"/>
      <c r="G23" s="341"/>
      <c r="H23" s="284" t="s">
        <v>319</v>
      </c>
      <c r="I23" s="284"/>
      <c r="J23" s="284"/>
      <c r="K23" s="284"/>
      <c r="L23" s="284"/>
      <c r="M23" s="284"/>
      <c r="N23" s="284"/>
      <c r="O23" s="60">
        <f>査読ｼｰﾄ!AF12</f>
        <v>0</v>
      </c>
      <c r="P23" s="42" t="s">
        <v>273</v>
      </c>
      <c r="Q23" s="177"/>
      <c r="R23" s="343"/>
      <c r="S23" s="167" t="s">
        <v>258</v>
      </c>
      <c r="T23" s="302"/>
      <c r="U23" s="303"/>
      <c r="V23" s="286"/>
      <c r="W23" s="287"/>
    </row>
    <row r="24" spans="2:23" ht="15" customHeight="1">
      <c r="B24" s="336"/>
      <c r="C24" s="337"/>
      <c r="D24" s="289"/>
      <c r="E24" s="279" t="s">
        <v>171</v>
      </c>
      <c r="F24" s="340" t="s">
        <v>432</v>
      </c>
      <c r="G24" s="341"/>
      <c r="H24" s="284" t="s">
        <v>177</v>
      </c>
      <c r="I24" s="284"/>
      <c r="J24" s="284"/>
      <c r="K24" s="284"/>
      <c r="L24" s="284"/>
      <c r="M24" s="284"/>
      <c r="N24" s="285"/>
      <c r="O24" s="60">
        <f>査読ｼｰﾄ!AI12</f>
        <v>0</v>
      </c>
      <c r="P24" s="42" t="s">
        <v>273</v>
      </c>
      <c r="Q24" s="177"/>
      <c r="R24" s="343"/>
      <c r="S24" s="167" t="s">
        <v>293</v>
      </c>
      <c r="T24" s="302"/>
      <c r="U24" s="303"/>
      <c r="V24" s="286"/>
      <c r="W24" s="287"/>
    </row>
    <row r="25" spans="2:23" ht="15" customHeight="1">
      <c r="B25" s="336"/>
      <c r="C25" s="337"/>
      <c r="D25" s="289"/>
      <c r="E25" s="283"/>
      <c r="F25" s="340"/>
      <c r="G25" s="341"/>
      <c r="H25" s="284" t="s">
        <v>176</v>
      </c>
      <c r="I25" s="284"/>
      <c r="J25" s="284"/>
      <c r="K25" s="284"/>
      <c r="L25" s="284"/>
      <c r="M25" s="284"/>
      <c r="N25" s="285"/>
      <c r="O25" s="60">
        <f>査読ｼｰﾄ!AL12</f>
        <v>0</v>
      </c>
      <c r="P25" s="42" t="s">
        <v>273</v>
      </c>
      <c r="Q25" s="177"/>
      <c r="R25" s="343"/>
      <c r="S25" s="170" t="s">
        <v>294</v>
      </c>
      <c r="T25" s="349"/>
      <c r="U25" s="350"/>
      <c r="V25" s="286"/>
      <c r="W25" s="287"/>
    </row>
    <row r="26" spans="2:23" ht="15" customHeight="1">
      <c r="B26" s="336"/>
      <c r="C26" s="337"/>
      <c r="D26" s="289"/>
      <c r="E26" s="283"/>
      <c r="F26" s="340"/>
      <c r="G26" s="341"/>
      <c r="H26" s="284" t="s">
        <v>175</v>
      </c>
      <c r="I26" s="284"/>
      <c r="J26" s="284"/>
      <c r="K26" s="284"/>
      <c r="L26" s="284"/>
      <c r="M26" s="284"/>
      <c r="N26" s="285"/>
      <c r="O26" s="60">
        <f>査読ｼｰﾄ!AO12</f>
        <v>0</v>
      </c>
      <c r="P26" s="42" t="s">
        <v>273</v>
      </c>
      <c r="Q26" s="177"/>
      <c r="R26" s="343"/>
      <c r="S26" s="170" t="s">
        <v>59</v>
      </c>
      <c r="T26" s="349"/>
      <c r="U26" s="350"/>
      <c r="V26" s="286"/>
      <c r="W26" s="287"/>
    </row>
    <row r="27" spans="2:23" ht="15" customHeight="1">
      <c r="B27" s="336"/>
      <c r="C27" s="337"/>
      <c r="D27" s="289"/>
      <c r="E27" s="283"/>
      <c r="F27" s="340"/>
      <c r="G27" s="341"/>
      <c r="H27" s="284" t="s">
        <v>174</v>
      </c>
      <c r="I27" s="284"/>
      <c r="J27" s="284"/>
      <c r="K27" s="284"/>
      <c r="L27" s="284"/>
      <c r="M27" s="284"/>
      <c r="N27" s="285"/>
      <c r="O27" s="60">
        <f>査読ｼｰﾄ!AR12</f>
        <v>0</v>
      </c>
      <c r="P27" s="42" t="s">
        <v>273</v>
      </c>
      <c r="Q27" s="177"/>
      <c r="R27" s="343"/>
      <c r="S27" s="168"/>
      <c r="T27" s="349"/>
      <c r="U27" s="350"/>
      <c r="V27" s="286"/>
      <c r="W27" s="287"/>
    </row>
    <row r="28" spans="2:23" ht="15" customHeight="1" thickBot="1">
      <c r="B28" s="336"/>
      <c r="C28" s="337"/>
      <c r="D28" s="289"/>
      <c r="E28" s="279" t="s">
        <v>178</v>
      </c>
      <c r="F28" s="296" t="s">
        <v>435</v>
      </c>
      <c r="G28" s="297"/>
      <c r="H28" s="284" t="s">
        <v>183</v>
      </c>
      <c r="I28" s="284"/>
      <c r="J28" s="284"/>
      <c r="K28" s="284"/>
      <c r="L28" s="284"/>
      <c r="M28" s="284"/>
      <c r="N28" s="285"/>
      <c r="O28" s="60">
        <f>査読ｼｰﾄ!AU12</f>
        <v>0</v>
      </c>
      <c r="P28" s="42" t="s">
        <v>273</v>
      </c>
      <c r="Q28" s="177"/>
      <c r="R28" s="344"/>
      <c r="S28" s="494" t="s">
        <v>278</v>
      </c>
      <c r="T28" s="495"/>
      <c r="U28" s="496"/>
      <c r="V28" s="486">
        <f>SUM(V18:W27)</f>
        <v>0</v>
      </c>
      <c r="W28" s="487"/>
    </row>
    <row r="29" spans="2:23" ht="15" customHeight="1" thickBot="1">
      <c r="B29" s="336"/>
      <c r="C29" s="337"/>
      <c r="D29" s="289"/>
      <c r="E29" s="283"/>
      <c r="F29" s="296"/>
      <c r="G29" s="297"/>
      <c r="H29" s="284" t="s">
        <v>182</v>
      </c>
      <c r="I29" s="284"/>
      <c r="J29" s="284"/>
      <c r="K29" s="284"/>
      <c r="L29" s="284"/>
      <c r="M29" s="284"/>
      <c r="N29" s="285"/>
      <c r="O29" s="60">
        <f>査読ｼｰﾄ!AX12</f>
        <v>0</v>
      </c>
      <c r="P29" s="42" t="s">
        <v>273</v>
      </c>
      <c r="Q29" s="178"/>
      <c r="R29" s="12"/>
    </row>
    <row r="30" spans="2:23" ht="15" customHeight="1" thickBot="1">
      <c r="B30" s="336"/>
      <c r="C30" s="337"/>
      <c r="D30" s="289"/>
      <c r="E30" s="283"/>
      <c r="F30" s="296"/>
      <c r="G30" s="297"/>
      <c r="H30" s="284" t="s">
        <v>181</v>
      </c>
      <c r="I30" s="284"/>
      <c r="J30" s="284"/>
      <c r="K30" s="284"/>
      <c r="L30" s="284"/>
      <c r="M30" s="284"/>
      <c r="N30" s="285"/>
      <c r="O30" s="60">
        <f>査読ｼｰﾄ!BA12</f>
        <v>0</v>
      </c>
      <c r="P30" s="42" t="s">
        <v>273</v>
      </c>
      <c r="Q30" s="178"/>
      <c r="R30" s="359" t="s">
        <v>198</v>
      </c>
      <c r="S30" s="179" t="s">
        <v>199</v>
      </c>
      <c r="T30" s="347" t="s">
        <v>200</v>
      </c>
      <c r="U30" s="347"/>
      <c r="V30" s="347" t="s">
        <v>201</v>
      </c>
      <c r="W30" s="348"/>
    </row>
    <row r="31" spans="2:23" ht="15" customHeight="1" thickTop="1">
      <c r="B31" s="336"/>
      <c r="C31" s="337"/>
      <c r="D31" s="289"/>
      <c r="E31" s="283"/>
      <c r="F31" s="296"/>
      <c r="G31" s="297"/>
      <c r="H31" s="284" t="s">
        <v>180</v>
      </c>
      <c r="I31" s="284"/>
      <c r="J31" s="284"/>
      <c r="K31" s="284"/>
      <c r="L31" s="284"/>
      <c r="M31" s="284"/>
      <c r="N31" s="285"/>
      <c r="O31" s="60">
        <f>査読ｼｰﾄ!BD12</f>
        <v>0</v>
      </c>
      <c r="P31" s="42" t="s">
        <v>273</v>
      </c>
      <c r="Q31" s="178"/>
      <c r="R31" s="360"/>
      <c r="S31" s="362" t="s">
        <v>269</v>
      </c>
      <c r="T31" s="363"/>
      <c r="U31" s="363"/>
      <c r="V31" s="492">
        <f>IF(J14="（転記）",0,J45/J14)</f>
        <v>0</v>
      </c>
      <c r="W31" s="493"/>
    </row>
    <row r="32" spans="2:23" ht="15" customHeight="1">
      <c r="B32" s="336"/>
      <c r="C32" s="337"/>
      <c r="D32" s="289"/>
      <c r="E32" s="279" t="s">
        <v>179</v>
      </c>
      <c r="F32" s="296" t="s">
        <v>186</v>
      </c>
      <c r="G32" s="297"/>
      <c r="H32" s="284" t="s">
        <v>197</v>
      </c>
      <c r="I32" s="284"/>
      <c r="J32" s="284"/>
      <c r="K32" s="284"/>
      <c r="L32" s="284"/>
      <c r="M32" s="284"/>
      <c r="N32" s="285"/>
      <c r="O32" s="60">
        <f>査読ｼｰﾄ!BG12</f>
        <v>0</v>
      </c>
      <c r="P32" s="42" t="s">
        <v>273</v>
      </c>
      <c r="Q32" s="9"/>
      <c r="R32" s="360"/>
      <c r="S32" s="353"/>
      <c r="T32" s="295"/>
      <c r="U32" s="295"/>
      <c r="V32" s="300"/>
      <c r="W32" s="301"/>
    </row>
    <row r="33" spans="2:31" ht="15" customHeight="1">
      <c r="B33" s="336"/>
      <c r="C33" s="337"/>
      <c r="D33" s="289"/>
      <c r="E33" s="279"/>
      <c r="F33" s="296"/>
      <c r="G33" s="297"/>
      <c r="H33" s="284" t="s">
        <v>194</v>
      </c>
      <c r="I33" s="284"/>
      <c r="J33" s="284"/>
      <c r="K33" s="284"/>
      <c r="L33" s="284"/>
      <c r="M33" s="284"/>
      <c r="N33" s="285"/>
      <c r="O33" s="60">
        <f>査読ｼｰﾄ!BJ12</f>
        <v>0</v>
      </c>
      <c r="P33" s="42" t="s">
        <v>273</v>
      </c>
      <c r="Q33" s="9"/>
      <c r="R33" s="360"/>
      <c r="S33" s="353" t="s">
        <v>268</v>
      </c>
      <c r="T33" s="295"/>
      <c r="U33" s="295"/>
      <c r="V33" s="298">
        <f>IF(J14="（転記）",0,N45/J14)</f>
        <v>0</v>
      </c>
      <c r="W33" s="299"/>
    </row>
    <row r="34" spans="2:31" ht="15" customHeight="1">
      <c r="B34" s="336"/>
      <c r="C34" s="337"/>
      <c r="D34" s="289"/>
      <c r="E34" s="279"/>
      <c r="F34" s="296"/>
      <c r="G34" s="297"/>
      <c r="H34" s="284" t="s">
        <v>193</v>
      </c>
      <c r="I34" s="284"/>
      <c r="J34" s="284"/>
      <c r="K34" s="284"/>
      <c r="L34" s="284"/>
      <c r="M34" s="284"/>
      <c r="N34" s="285"/>
      <c r="O34" s="60">
        <f>査読ｼｰﾄ!BP12</f>
        <v>0</v>
      </c>
      <c r="P34" s="42" t="s">
        <v>273</v>
      </c>
      <c r="Q34" s="9"/>
      <c r="R34" s="360"/>
      <c r="S34" s="353"/>
      <c r="T34" s="295"/>
      <c r="U34" s="295"/>
      <c r="V34" s="300"/>
      <c r="W34" s="301"/>
      <c r="X34" s="41"/>
    </row>
    <row r="35" spans="2:31" ht="15" customHeight="1">
      <c r="B35" s="336"/>
      <c r="C35" s="337"/>
      <c r="D35" s="289"/>
      <c r="E35" s="279" t="s">
        <v>184</v>
      </c>
      <c r="F35" s="296" t="s">
        <v>173</v>
      </c>
      <c r="G35" s="297"/>
      <c r="H35" s="284" t="s">
        <v>196</v>
      </c>
      <c r="I35" s="284"/>
      <c r="J35" s="284"/>
      <c r="K35" s="284"/>
      <c r="L35" s="284"/>
      <c r="M35" s="284"/>
      <c r="N35" s="285"/>
      <c r="O35" s="60">
        <f>査読ｼｰﾄ!BS12</f>
        <v>0</v>
      </c>
      <c r="P35" s="42" t="s">
        <v>273</v>
      </c>
      <c r="Q35" s="9"/>
      <c r="R35" s="360"/>
      <c r="S35" s="364" t="s">
        <v>270</v>
      </c>
      <c r="T35" s="295"/>
      <c r="U35" s="295"/>
      <c r="V35" s="298">
        <f>IF(J15="（転記）",0,J45/J15)</f>
        <v>0</v>
      </c>
      <c r="W35" s="299"/>
    </row>
    <row r="36" spans="2:31" ht="15" customHeight="1">
      <c r="B36" s="336"/>
      <c r="C36" s="337"/>
      <c r="D36" s="289"/>
      <c r="E36" s="279"/>
      <c r="F36" s="296"/>
      <c r="G36" s="297"/>
      <c r="H36" s="284" t="s">
        <v>191</v>
      </c>
      <c r="I36" s="284"/>
      <c r="J36" s="284"/>
      <c r="K36" s="284"/>
      <c r="L36" s="284"/>
      <c r="M36" s="284"/>
      <c r="N36" s="285"/>
      <c r="O36" s="60">
        <f>査読ｼｰﾄ!BV12</f>
        <v>0</v>
      </c>
      <c r="P36" s="42" t="s">
        <v>273</v>
      </c>
      <c r="Q36" s="9"/>
      <c r="R36" s="360"/>
      <c r="S36" s="364"/>
      <c r="T36" s="295"/>
      <c r="U36" s="295"/>
      <c r="V36" s="300"/>
      <c r="W36" s="301"/>
    </row>
    <row r="37" spans="2:31" ht="15" customHeight="1">
      <c r="B37" s="336"/>
      <c r="C37" s="337"/>
      <c r="D37" s="289"/>
      <c r="E37" s="279" t="s">
        <v>185</v>
      </c>
      <c r="F37" s="296" t="s">
        <v>187</v>
      </c>
      <c r="G37" s="297"/>
      <c r="H37" s="284" t="s">
        <v>195</v>
      </c>
      <c r="I37" s="284"/>
      <c r="J37" s="284"/>
      <c r="K37" s="284"/>
      <c r="L37" s="284"/>
      <c r="M37" s="284"/>
      <c r="N37" s="285"/>
      <c r="O37" s="60">
        <f>査読ｼｰﾄ!CE12</f>
        <v>0</v>
      </c>
      <c r="P37" s="42" t="s">
        <v>273</v>
      </c>
      <c r="Q37" s="9"/>
      <c r="R37" s="360"/>
      <c r="S37" s="354" t="s">
        <v>271</v>
      </c>
      <c r="T37" s="295"/>
      <c r="U37" s="295"/>
      <c r="V37" s="488">
        <f>IF(J15="（転記）",0,N45/J15)</f>
        <v>0</v>
      </c>
      <c r="W37" s="489"/>
    </row>
    <row r="38" spans="2:31" ht="15" customHeight="1">
      <c r="B38" s="336"/>
      <c r="C38" s="337"/>
      <c r="D38" s="289"/>
      <c r="E38" s="279"/>
      <c r="F38" s="296"/>
      <c r="G38" s="297"/>
      <c r="H38" s="284" t="s">
        <v>188</v>
      </c>
      <c r="I38" s="284"/>
      <c r="J38" s="284"/>
      <c r="K38" s="284"/>
      <c r="L38" s="284"/>
      <c r="M38" s="284"/>
      <c r="N38" s="285"/>
      <c r="O38" s="60">
        <f>査読ｼｰﾄ!CH12</f>
        <v>0</v>
      </c>
      <c r="P38" s="42" t="s">
        <v>273</v>
      </c>
      <c r="Q38" s="9"/>
      <c r="R38" s="360"/>
      <c r="S38" s="354"/>
      <c r="T38" s="295"/>
      <c r="U38" s="295"/>
      <c r="V38" s="488"/>
      <c r="W38" s="489"/>
    </row>
    <row r="39" spans="2:31" ht="15" customHeight="1">
      <c r="B39" s="336"/>
      <c r="C39" s="337"/>
      <c r="D39" s="289"/>
      <c r="E39" s="279"/>
      <c r="F39" s="296"/>
      <c r="G39" s="297"/>
      <c r="H39" s="263" t="s">
        <v>189</v>
      </c>
      <c r="I39" s="263"/>
      <c r="J39" s="263"/>
      <c r="K39" s="263"/>
      <c r="L39" s="263"/>
      <c r="M39" s="263"/>
      <c r="N39" s="304"/>
      <c r="O39" s="60">
        <f>査読ｼｰﾄ!CK12</f>
        <v>0</v>
      </c>
      <c r="P39" s="42" t="s">
        <v>273</v>
      </c>
      <c r="Q39" s="12"/>
      <c r="R39" s="360"/>
      <c r="S39" s="354" t="s">
        <v>369</v>
      </c>
      <c r="T39" s="295"/>
      <c r="U39" s="295"/>
      <c r="V39" s="488">
        <f>IF(J14="（転記）",0,O46/J14)</f>
        <v>0</v>
      </c>
      <c r="W39" s="489"/>
    </row>
    <row r="40" spans="2:31" ht="15" customHeight="1">
      <c r="B40" s="336"/>
      <c r="C40" s="337"/>
      <c r="D40" s="289"/>
      <c r="E40" s="279"/>
      <c r="F40" s="296"/>
      <c r="G40" s="297"/>
      <c r="H40" s="263" t="s">
        <v>190</v>
      </c>
      <c r="I40" s="263"/>
      <c r="J40" s="263"/>
      <c r="K40" s="263"/>
      <c r="L40" s="263"/>
      <c r="M40" s="263"/>
      <c r="N40" s="304"/>
      <c r="O40" s="60">
        <f>査読ｼｰﾄ!CN12</f>
        <v>0</v>
      </c>
      <c r="P40" s="42" t="s">
        <v>273</v>
      </c>
      <c r="Q40" s="10"/>
      <c r="R40" s="360"/>
      <c r="S40" s="354"/>
      <c r="T40" s="295"/>
      <c r="U40" s="295"/>
      <c r="V40" s="488"/>
      <c r="W40" s="489"/>
      <c r="Z40" s="24"/>
      <c r="AA40" s="24"/>
      <c r="AB40" s="24"/>
      <c r="AC40" s="24"/>
      <c r="AD40" s="24"/>
      <c r="AE40" s="24"/>
    </row>
    <row r="41" spans="2:31" ht="15" customHeight="1">
      <c r="B41" s="336"/>
      <c r="C41" s="337"/>
      <c r="D41" s="289"/>
      <c r="E41" s="279"/>
      <c r="F41" s="296"/>
      <c r="G41" s="297"/>
      <c r="H41" s="263" t="s">
        <v>192</v>
      </c>
      <c r="I41" s="263"/>
      <c r="J41" s="263"/>
      <c r="K41" s="263"/>
      <c r="L41" s="263"/>
      <c r="M41" s="263"/>
      <c r="N41" s="304"/>
      <c r="O41" s="60">
        <f>査読ｼｰﾄ!CQ12</f>
        <v>0</v>
      </c>
      <c r="P41" s="42" t="s">
        <v>273</v>
      </c>
      <c r="Q41" s="10"/>
      <c r="R41" s="360"/>
      <c r="S41" s="354" t="s">
        <v>370</v>
      </c>
      <c r="T41" s="295"/>
      <c r="U41" s="295"/>
      <c r="V41" s="488">
        <f>IF(J15="（転記）",0,O46/J15)</f>
        <v>0</v>
      </c>
      <c r="W41" s="489"/>
      <c r="Z41" s="24"/>
      <c r="AA41" s="24"/>
      <c r="AB41" s="24"/>
      <c r="AC41" s="24"/>
      <c r="AD41" s="24"/>
      <c r="AE41" s="24"/>
    </row>
    <row r="42" spans="2:31" ht="15" customHeight="1" thickBot="1">
      <c r="B42" s="336"/>
      <c r="C42" s="337"/>
      <c r="D42" s="290"/>
      <c r="E42" s="280" t="s">
        <v>310</v>
      </c>
      <c r="F42" s="314" t="s">
        <v>308</v>
      </c>
      <c r="G42" s="315"/>
      <c r="H42" s="304" t="s">
        <v>311</v>
      </c>
      <c r="I42" s="307"/>
      <c r="J42" s="307"/>
      <c r="K42" s="307"/>
      <c r="L42" s="307"/>
      <c r="M42" s="307"/>
      <c r="N42" s="308"/>
      <c r="O42" s="60">
        <f>査読ｼｰﾄ!CT12</f>
        <v>0</v>
      </c>
      <c r="P42" s="104" t="s">
        <v>274</v>
      </c>
      <c r="Q42" s="10"/>
      <c r="R42" s="361"/>
      <c r="S42" s="355"/>
      <c r="T42" s="356"/>
      <c r="U42" s="356"/>
      <c r="V42" s="490"/>
      <c r="W42" s="491"/>
      <c r="Z42" s="24"/>
      <c r="AA42" s="24"/>
      <c r="AB42" s="24"/>
      <c r="AC42" s="24"/>
      <c r="AD42" s="24"/>
      <c r="AE42" s="24"/>
    </row>
    <row r="43" spans="2:31" ht="15" customHeight="1">
      <c r="B43" s="336"/>
      <c r="C43" s="337"/>
      <c r="D43" s="290"/>
      <c r="E43" s="281"/>
      <c r="F43" s="316"/>
      <c r="G43" s="317"/>
      <c r="H43" s="304" t="s">
        <v>355</v>
      </c>
      <c r="I43" s="307"/>
      <c r="J43" s="307"/>
      <c r="K43" s="307"/>
      <c r="L43" s="307"/>
      <c r="M43" s="307"/>
      <c r="N43" s="308"/>
      <c r="O43" s="60">
        <f>査読ｼｰﾄ!CW12</f>
        <v>0</v>
      </c>
      <c r="P43" s="104" t="s">
        <v>274</v>
      </c>
      <c r="Q43" s="10"/>
      <c r="R43" s="105"/>
      <c r="S43" s="106"/>
      <c r="T43" s="112"/>
      <c r="U43" s="112"/>
      <c r="V43" s="107"/>
      <c r="W43" s="107"/>
      <c r="Z43" s="24"/>
      <c r="AA43" s="24"/>
      <c r="AB43" s="24"/>
      <c r="AC43" s="24"/>
      <c r="AD43" s="24"/>
      <c r="AE43" s="24"/>
    </row>
    <row r="44" spans="2:31" ht="15" customHeight="1">
      <c r="B44" s="336"/>
      <c r="C44" s="337"/>
      <c r="D44" s="290"/>
      <c r="E44" s="282"/>
      <c r="F44" s="318"/>
      <c r="G44" s="319"/>
      <c r="H44" s="304" t="s">
        <v>312</v>
      </c>
      <c r="I44" s="307"/>
      <c r="J44" s="307"/>
      <c r="K44" s="307"/>
      <c r="L44" s="307"/>
      <c r="M44" s="307"/>
      <c r="N44" s="308"/>
      <c r="O44" s="60">
        <f>査読ｼｰﾄ!CZ12</f>
        <v>0</v>
      </c>
      <c r="P44" s="104" t="s">
        <v>274</v>
      </c>
      <c r="Q44" s="10"/>
      <c r="R44" s="105"/>
      <c r="S44" s="106"/>
      <c r="T44" s="112"/>
      <c r="U44" s="112"/>
      <c r="V44" s="107"/>
      <c r="W44" s="107"/>
      <c r="Z44" s="24"/>
      <c r="AA44" s="24"/>
      <c r="AB44" s="24"/>
      <c r="AC44" s="24"/>
      <c r="AD44" s="24"/>
      <c r="AE44" s="24"/>
    </row>
    <row r="45" spans="2:31" ht="15" customHeight="1" thickBot="1">
      <c r="B45" s="336"/>
      <c r="C45" s="337"/>
      <c r="D45" s="291"/>
      <c r="E45" s="37"/>
      <c r="F45" s="38"/>
      <c r="G45" s="38"/>
      <c r="H45" s="320" t="s">
        <v>272</v>
      </c>
      <c r="I45" s="321"/>
      <c r="J45" s="61">
        <f>査読ｼｰﾄ!L12</f>
        <v>0</v>
      </c>
      <c r="K45" s="292" t="s">
        <v>280</v>
      </c>
      <c r="L45" s="293"/>
      <c r="M45" s="294"/>
      <c r="N45" s="61">
        <f>査読ｼｰﾄ!L12-(査読ｼｰﾄ!BS12+査読ｼｰﾄ!BV12)</f>
        <v>0</v>
      </c>
      <c r="O45" s="77" t="s">
        <v>275</v>
      </c>
      <c r="P45" s="78"/>
      <c r="Q45" s="53" t="s">
        <v>281</v>
      </c>
      <c r="X45" s="24"/>
      <c r="Y45" s="24"/>
      <c r="Z45" s="24"/>
      <c r="AA45" s="24"/>
      <c r="AB45" s="24"/>
      <c r="AC45" s="24"/>
    </row>
    <row r="46" spans="2:31" ht="15" customHeight="1" thickTop="1" thickBot="1">
      <c r="B46" s="338"/>
      <c r="C46" s="339"/>
      <c r="D46" s="322" t="s">
        <v>371</v>
      </c>
      <c r="E46" s="323"/>
      <c r="F46" s="323"/>
      <c r="G46" s="323"/>
      <c r="H46" s="323"/>
      <c r="I46" s="323"/>
      <c r="J46" s="323"/>
      <c r="K46" s="323"/>
      <c r="L46" s="323"/>
      <c r="M46" s="324"/>
      <c r="N46" s="325"/>
      <c r="O46" s="75" t="str">
        <f>IF(査読ｼｰﾄ!D41=0,"（転記）",査読ｼｰﾄ!D41)</f>
        <v>（転記）</v>
      </c>
      <c r="P46" s="76" t="s">
        <v>372</v>
      </c>
      <c r="Z46" s="24"/>
      <c r="AA46" s="24"/>
      <c r="AB46" s="24"/>
      <c r="AC46" s="24"/>
      <c r="AD46" s="24"/>
      <c r="AE46" s="24"/>
    </row>
    <row r="47" spans="2:31" ht="6.75" customHeight="1" thickBot="1">
      <c r="Z47" s="24"/>
      <c r="AA47" s="24"/>
      <c r="AB47" s="24"/>
      <c r="AC47" s="24"/>
      <c r="AD47" s="24"/>
      <c r="AE47" s="24"/>
    </row>
    <row r="48" spans="2:31" ht="21.75" customHeight="1" thickBot="1">
      <c r="B48" s="326" t="s">
        <v>60</v>
      </c>
      <c r="C48" s="327"/>
      <c r="D48" s="327"/>
      <c r="E48" s="327"/>
      <c r="F48" s="18" t="s">
        <v>61</v>
      </c>
      <c r="G48" s="309" t="s">
        <v>247</v>
      </c>
      <c r="H48" s="311"/>
      <c r="I48" s="310"/>
      <c r="J48" s="309" t="s">
        <v>248</v>
      </c>
      <c r="K48" s="310"/>
      <c r="L48" s="309" t="s">
        <v>249</v>
      </c>
      <c r="M48" s="311"/>
      <c r="N48" s="312"/>
      <c r="O48" s="309" t="s">
        <v>250</v>
      </c>
      <c r="P48" s="313"/>
      <c r="Q48" s="351" t="s">
        <v>373</v>
      </c>
      <c r="R48" s="352"/>
      <c r="S48" s="309" t="s">
        <v>251</v>
      </c>
      <c r="T48" s="370"/>
      <c r="U48" s="370"/>
      <c r="V48" s="370"/>
      <c r="W48" s="485"/>
      <c r="Z48" s="24"/>
      <c r="AA48" s="24"/>
      <c r="AB48" s="24"/>
      <c r="AC48" s="24"/>
      <c r="AD48" s="24"/>
      <c r="AE48" s="24"/>
    </row>
    <row r="49" spans="2:31" ht="16.5" customHeight="1" thickTop="1">
      <c r="B49" s="328"/>
      <c r="C49" s="252"/>
      <c r="D49" s="252"/>
      <c r="E49" s="252"/>
      <c r="F49" s="19">
        <v>1</v>
      </c>
      <c r="G49" s="64" t="str">
        <f>IF(査読ｼｰﾄ!V17=" ","（転記）",査読ｼｰﾄ!V17)</f>
        <v>（転記）</v>
      </c>
      <c r="H49" s="333" t="s">
        <v>252</v>
      </c>
      <c r="I49" s="333"/>
      <c r="J49" s="472"/>
      <c r="K49" s="473"/>
      <c r="L49" s="480"/>
      <c r="M49" s="481"/>
      <c r="N49" s="482"/>
      <c r="O49" s="62">
        <f>査読ｼｰﾄ!X17</f>
        <v>0</v>
      </c>
      <c r="P49" s="43" t="s">
        <v>273</v>
      </c>
      <c r="Q49" s="478"/>
      <c r="R49" s="479"/>
      <c r="S49" s="474"/>
      <c r="T49" s="475"/>
      <c r="U49" s="475"/>
      <c r="V49" s="476"/>
      <c r="W49" s="477"/>
      <c r="Z49" s="24"/>
      <c r="AA49" s="24"/>
      <c r="AB49" s="24"/>
      <c r="AC49" s="24"/>
      <c r="AD49" s="24"/>
      <c r="AE49" s="24"/>
    </row>
    <row r="50" spans="2:31" ht="16.5" customHeight="1">
      <c r="B50" s="328"/>
      <c r="C50" s="252"/>
      <c r="D50" s="252"/>
      <c r="E50" s="252"/>
      <c r="F50" s="20">
        <v>2</v>
      </c>
      <c r="G50" s="65" t="str">
        <f>IF(査読ｼｰﾄ!V19=" ","（転記）",査読ｼｰﾄ!V19)</f>
        <v>（転記）</v>
      </c>
      <c r="H50" s="442" t="s">
        <v>253</v>
      </c>
      <c r="I50" s="443"/>
      <c r="J50" s="449"/>
      <c r="K50" s="450"/>
      <c r="L50" s="469"/>
      <c r="M50" s="470"/>
      <c r="N50" s="471"/>
      <c r="O50" s="60">
        <f>査読ｼｰﾄ!X19</f>
        <v>0</v>
      </c>
      <c r="P50" s="44" t="s">
        <v>273</v>
      </c>
      <c r="Q50" s="438"/>
      <c r="R50" s="439"/>
      <c r="S50" s="430"/>
      <c r="T50" s="431"/>
      <c r="U50" s="431"/>
      <c r="V50" s="432"/>
      <c r="W50" s="433"/>
      <c r="Z50" s="24"/>
      <c r="AA50" s="24"/>
      <c r="AB50" s="24"/>
      <c r="AC50" s="24"/>
      <c r="AD50" s="24"/>
      <c r="AE50" s="24"/>
    </row>
    <row r="51" spans="2:31" ht="16.5" customHeight="1">
      <c r="B51" s="328"/>
      <c r="C51" s="252"/>
      <c r="D51" s="252"/>
      <c r="E51" s="252"/>
      <c r="F51" s="20">
        <v>3</v>
      </c>
      <c r="G51" s="65" t="str">
        <f>IF(査読ｼｰﾄ!V21=" ","（転記）",査読ｼｰﾄ!V21)</f>
        <v>（転記）</v>
      </c>
      <c r="H51" s="442" t="s">
        <v>254</v>
      </c>
      <c r="I51" s="443"/>
      <c r="J51" s="449"/>
      <c r="K51" s="450"/>
      <c r="L51" s="469"/>
      <c r="M51" s="470"/>
      <c r="N51" s="471"/>
      <c r="O51" s="60">
        <f>査読ｼｰﾄ!X21</f>
        <v>0</v>
      </c>
      <c r="P51" s="44" t="s">
        <v>273</v>
      </c>
      <c r="Q51" s="438"/>
      <c r="R51" s="439"/>
      <c r="S51" s="430"/>
      <c r="T51" s="431"/>
      <c r="U51" s="431"/>
      <c r="V51" s="432"/>
      <c r="W51" s="433"/>
      <c r="Z51" s="24"/>
      <c r="AA51" s="24"/>
      <c r="AB51" s="24"/>
      <c r="AC51" s="24"/>
      <c r="AD51" s="24"/>
      <c r="AE51" s="24"/>
    </row>
    <row r="52" spans="2:31" ht="16.5" customHeight="1">
      <c r="B52" s="328"/>
      <c r="C52" s="252"/>
      <c r="D52" s="252"/>
      <c r="E52" s="252"/>
      <c r="F52" s="20">
        <v>4</v>
      </c>
      <c r="G52" s="65" t="str">
        <f>IF(査読ｼｰﾄ!V23=" ","（転記）",査読ｼｰﾄ!V23)</f>
        <v>（転記）</v>
      </c>
      <c r="H52" s="442" t="s">
        <v>254</v>
      </c>
      <c r="I52" s="443"/>
      <c r="J52" s="449"/>
      <c r="K52" s="450"/>
      <c r="L52" s="469"/>
      <c r="M52" s="470"/>
      <c r="N52" s="471"/>
      <c r="O52" s="60">
        <f>査読ｼｰﾄ!X23</f>
        <v>0</v>
      </c>
      <c r="P52" s="44" t="s">
        <v>273</v>
      </c>
      <c r="Q52" s="438"/>
      <c r="R52" s="439"/>
      <c r="S52" s="430"/>
      <c r="T52" s="431"/>
      <c r="U52" s="431"/>
      <c r="V52" s="432"/>
      <c r="W52" s="433"/>
      <c r="Z52" s="24"/>
      <c r="AA52" s="24"/>
      <c r="AB52" s="24"/>
      <c r="AC52" s="24"/>
      <c r="AD52" s="24"/>
      <c r="AE52" s="24"/>
    </row>
    <row r="53" spans="2:31" ht="16.5" customHeight="1" thickBot="1">
      <c r="B53" s="329"/>
      <c r="C53" s="330"/>
      <c r="D53" s="330"/>
      <c r="E53" s="330"/>
      <c r="F53" s="21">
        <v>5</v>
      </c>
      <c r="G53" s="66" t="str">
        <f>IF(査読ｼｰﾄ!V25=" ","（転記）",査読ｼｰﾄ!V25)</f>
        <v>（転記）</v>
      </c>
      <c r="H53" s="447" t="s">
        <v>255</v>
      </c>
      <c r="I53" s="448"/>
      <c r="J53" s="331"/>
      <c r="K53" s="332"/>
      <c r="L53" s="444"/>
      <c r="M53" s="445"/>
      <c r="N53" s="446"/>
      <c r="O53" s="63">
        <f>査読ｼｰﾄ!X25</f>
        <v>0</v>
      </c>
      <c r="P53" s="45" t="s">
        <v>273</v>
      </c>
      <c r="Q53" s="440"/>
      <c r="R53" s="441"/>
      <c r="S53" s="434"/>
      <c r="T53" s="435"/>
      <c r="U53" s="435"/>
      <c r="V53" s="436"/>
      <c r="W53" s="437"/>
      <c r="Z53" s="24"/>
      <c r="AA53" s="24"/>
      <c r="AB53" s="24"/>
      <c r="AC53" s="24"/>
      <c r="AD53" s="24"/>
      <c r="AE53" s="24"/>
    </row>
    <row r="54" spans="2:31" ht="6.75" customHeight="1" thickBot="1">
      <c r="C54" s="16"/>
      <c r="D54" s="12"/>
      <c r="E54" s="12"/>
      <c r="F54" s="12"/>
      <c r="G54" s="26"/>
      <c r="H54" s="27"/>
      <c r="I54" s="28"/>
      <c r="J54" s="29"/>
      <c r="K54" s="30"/>
      <c r="L54" s="31"/>
      <c r="M54" s="31"/>
      <c r="N54" s="32"/>
      <c r="O54" s="33"/>
      <c r="P54" s="33"/>
      <c r="Q54" s="33"/>
      <c r="R54" s="34"/>
      <c r="S54" s="17"/>
      <c r="T54" s="17"/>
      <c r="U54" s="17"/>
    </row>
    <row r="55" spans="2:31" ht="18" customHeight="1">
      <c r="B55" s="342" t="s">
        <v>295</v>
      </c>
      <c r="C55" s="419"/>
      <c r="D55" s="422" t="s">
        <v>296</v>
      </c>
      <c r="E55" s="423"/>
      <c r="F55" s="451" t="s">
        <v>356</v>
      </c>
      <c r="G55" s="452"/>
      <c r="H55" s="452"/>
      <c r="I55" s="452"/>
      <c r="J55" s="452"/>
      <c r="K55" s="452"/>
      <c r="L55" s="452"/>
      <c r="M55" s="452"/>
      <c r="N55" s="452"/>
      <c r="O55" s="452"/>
      <c r="P55" s="452"/>
      <c r="Q55" s="452"/>
      <c r="R55" s="452"/>
      <c r="S55" s="452"/>
      <c r="T55" s="452"/>
      <c r="U55" s="457" t="s">
        <v>320</v>
      </c>
      <c r="V55" s="458"/>
      <c r="W55" s="459"/>
    </row>
    <row r="56" spans="2:31" ht="18" customHeight="1">
      <c r="B56" s="343"/>
      <c r="C56" s="420"/>
      <c r="D56" s="424"/>
      <c r="E56" s="425"/>
      <c r="F56" s="453"/>
      <c r="G56" s="454"/>
      <c r="H56" s="454"/>
      <c r="I56" s="454"/>
      <c r="J56" s="454"/>
      <c r="K56" s="454"/>
      <c r="L56" s="454"/>
      <c r="M56" s="454"/>
      <c r="N56" s="454"/>
      <c r="O56" s="454"/>
      <c r="P56" s="454"/>
      <c r="Q56" s="454"/>
      <c r="R56" s="454"/>
      <c r="S56" s="454"/>
      <c r="T56" s="454"/>
      <c r="U56" s="460"/>
      <c r="V56" s="461"/>
      <c r="W56" s="462"/>
    </row>
    <row r="57" spans="2:31" ht="18" customHeight="1">
      <c r="B57" s="343"/>
      <c r="C57" s="420"/>
      <c r="D57" s="426"/>
      <c r="E57" s="427"/>
      <c r="F57" s="453"/>
      <c r="G57" s="454"/>
      <c r="H57" s="454"/>
      <c r="I57" s="454"/>
      <c r="J57" s="454"/>
      <c r="K57" s="454"/>
      <c r="L57" s="454"/>
      <c r="M57" s="454"/>
      <c r="N57" s="454"/>
      <c r="O57" s="454"/>
      <c r="P57" s="454"/>
      <c r="Q57" s="454"/>
      <c r="R57" s="454"/>
      <c r="S57" s="454"/>
      <c r="T57" s="454"/>
      <c r="U57" s="463"/>
      <c r="V57" s="464"/>
      <c r="W57" s="465"/>
    </row>
    <row r="58" spans="2:31" ht="18" customHeight="1" thickBot="1">
      <c r="B58" s="344"/>
      <c r="C58" s="421"/>
      <c r="D58" s="428"/>
      <c r="E58" s="429"/>
      <c r="F58" s="455"/>
      <c r="G58" s="456"/>
      <c r="H58" s="456"/>
      <c r="I58" s="456"/>
      <c r="J58" s="456"/>
      <c r="K58" s="456"/>
      <c r="L58" s="456"/>
      <c r="M58" s="456"/>
      <c r="N58" s="456"/>
      <c r="O58" s="456"/>
      <c r="P58" s="456"/>
      <c r="Q58" s="456"/>
      <c r="R58" s="456"/>
      <c r="S58" s="456"/>
      <c r="T58" s="456"/>
      <c r="U58" s="466"/>
      <c r="V58" s="467"/>
      <c r="W58" s="468"/>
    </row>
    <row r="59" spans="2:31" s="126" customFormat="1" ht="18" customHeight="1" thickBot="1">
      <c r="D59" s="127" t="s">
        <v>365</v>
      </c>
      <c r="O59" s="128"/>
      <c r="P59" s="128"/>
      <c r="Q59" s="128"/>
      <c r="U59" s="129"/>
      <c r="V59" s="129"/>
      <c r="W59" s="129"/>
    </row>
    <row r="60" spans="2:31" ht="13">
      <c r="B60" s="94" t="s">
        <v>297</v>
      </c>
      <c r="C60" s="92"/>
      <c r="D60" s="92"/>
      <c r="E60" s="92"/>
      <c r="F60" s="92"/>
      <c r="G60" s="92"/>
      <c r="H60" s="92"/>
      <c r="I60" s="92"/>
      <c r="J60" s="92"/>
      <c r="K60" s="92"/>
      <c r="L60" s="92"/>
      <c r="M60" s="92"/>
      <c r="N60" s="92"/>
      <c r="O60" s="95"/>
      <c r="P60" s="95"/>
      <c r="Q60" s="95"/>
      <c r="R60" s="92"/>
      <c r="S60" s="92"/>
      <c r="T60" s="92"/>
      <c r="U60" s="115"/>
      <c r="V60" s="115"/>
      <c r="W60" s="116"/>
    </row>
    <row r="61" spans="2:31" ht="15.75" customHeight="1" thickBot="1">
      <c r="B61" s="96"/>
      <c r="C61" s="16"/>
      <c r="D61" s="97" t="s">
        <v>429</v>
      </c>
      <c r="E61" s="98" t="s">
        <v>299</v>
      </c>
      <c r="F61" s="16"/>
      <c r="G61" s="16"/>
      <c r="H61" s="16"/>
      <c r="I61" s="91" t="s">
        <v>429</v>
      </c>
      <c r="J61" s="98" t="s">
        <v>300</v>
      </c>
      <c r="K61" s="16"/>
      <c r="L61" s="16"/>
      <c r="M61" s="91" t="s">
        <v>298</v>
      </c>
      <c r="N61" s="98" t="s">
        <v>321</v>
      </c>
      <c r="O61" s="99"/>
      <c r="P61" s="99"/>
      <c r="Q61" s="99"/>
      <c r="R61" s="16"/>
      <c r="S61" s="16"/>
      <c r="T61" s="16"/>
      <c r="U61" s="117"/>
      <c r="V61" s="117"/>
      <c r="W61" s="118"/>
    </row>
  </sheetData>
  <mergeCells count="182">
    <mergeCell ref="V26:W26"/>
    <mergeCell ref="V37:W38"/>
    <mergeCell ref="V31:W32"/>
    <mergeCell ref="V39:W40"/>
    <mergeCell ref="S28:U28"/>
    <mergeCell ref="T26:U26"/>
    <mergeCell ref="T30:U30"/>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H26:N26"/>
    <mergeCell ref="H9:J9"/>
    <mergeCell ref="F12:J12"/>
    <mergeCell ref="L12:N12"/>
    <mergeCell ref="D9:G9"/>
    <mergeCell ref="K9:M9"/>
    <mergeCell ref="G14:I14"/>
    <mergeCell ref="H18:N18"/>
    <mergeCell ref="F17:G19"/>
    <mergeCell ref="G15:I15"/>
    <mergeCell ref="D15:F15"/>
    <mergeCell ref="H24:N24"/>
    <mergeCell ref="E17:E19"/>
    <mergeCell ref="H19:N19"/>
    <mergeCell ref="E20:E23"/>
    <mergeCell ref="N9:W9"/>
    <mergeCell ref="V10:W10"/>
    <mergeCell ref="F20:G23"/>
    <mergeCell ref="H21:N21"/>
    <mergeCell ref="O14:W15"/>
    <mergeCell ref="O11:P11"/>
    <mergeCell ref="V11:W11"/>
    <mergeCell ref="O12:P12"/>
    <mergeCell ref="V12:W12"/>
    <mergeCell ref="H38:N38"/>
    <mergeCell ref="H34:N34"/>
    <mergeCell ref="S31:S32"/>
    <mergeCell ref="T31:U32"/>
    <mergeCell ref="S37:S38"/>
    <mergeCell ref="H32:N32"/>
    <mergeCell ref="S35:S36"/>
    <mergeCell ref="T35:U36"/>
    <mergeCell ref="H42:N42"/>
    <mergeCell ref="H40:N40"/>
    <mergeCell ref="S39:S40"/>
    <mergeCell ref="T20:U20"/>
    <mergeCell ref="V17:W17"/>
    <mergeCell ref="V22:W22"/>
    <mergeCell ref="T27:U27"/>
    <mergeCell ref="V19:W19"/>
    <mergeCell ref="Q48:R48"/>
    <mergeCell ref="T39:U40"/>
    <mergeCell ref="T37:U38"/>
    <mergeCell ref="S33:S34"/>
    <mergeCell ref="T23:U23"/>
    <mergeCell ref="S41:S42"/>
    <mergeCell ref="T41:U42"/>
    <mergeCell ref="T17:U17"/>
    <mergeCell ref="R30:R42"/>
    <mergeCell ref="V27:W27"/>
    <mergeCell ref="T18:U18"/>
    <mergeCell ref="T19:U19"/>
    <mergeCell ref="S48:W48"/>
    <mergeCell ref="V30:W30"/>
    <mergeCell ref="V28:W28"/>
    <mergeCell ref="V41:W42"/>
    <mergeCell ref="V24:W24"/>
    <mergeCell ref="T25:U25"/>
    <mergeCell ref="V25:W25"/>
    <mergeCell ref="H43:N43"/>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E32:E34"/>
    <mergeCell ref="E42:E44"/>
    <mergeCell ref="E28:E31"/>
    <mergeCell ref="H36:N36"/>
    <mergeCell ref="H31:N31"/>
    <mergeCell ref="H27:N27"/>
    <mergeCell ref="V21:W21"/>
    <mergeCell ref="D20:D45"/>
    <mergeCell ref="E24:E27"/>
    <mergeCell ref="E35:E36"/>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Q12:U12"/>
    <mergeCell ref="V18:W18"/>
    <mergeCell ref="K14:M14"/>
    <mergeCell ref="B16:U16"/>
    <mergeCell ref="H17:N17"/>
    <mergeCell ref="B9:C15"/>
    <mergeCell ref="L13:N13"/>
    <mergeCell ref="F13:J13"/>
    <mergeCell ref="F11:J11"/>
    <mergeCell ref="O13:P13"/>
    <mergeCell ref="Q13:U13"/>
    <mergeCell ref="D10:E13"/>
    <mergeCell ref="F10:J10"/>
    <mergeCell ref="D14:F14"/>
    <mergeCell ref="V13:W13"/>
    <mergeCell ref="K15:M15"/>
    <mergeCell ref="Q10:U10"/>
    <mergeCell ref="L10:N10"/>
    <mergeCell ref="L11:N11"/>
    <mergeCell ref="Q11:U11"/>
    <mergeCell ref="O10:P10"/>
    <mergeCell ref="R17:R28"/>
    <mergeCell ref="T21:U21"/>
    <mergeCell ref="V23:W23"/>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
  <cols>
    <col min="1" max="1" width="4.36328125" style="5" customWidth="1"/>
    <col min="2" max="2" width="5.453125" customWidth="1"/>
    <col min="3" max="3" width="31.36328125" customWidth="1"/>
    <col min="4" max="4" width="7.6328125" style="5" customWidth="1"/>
    <col min="5" max="5" width="7" style="5" customWidth="1"/>
    <col min="6" max="6" width="23.36328125" customWidth="1"/>
    <col min="7" max="7" width="7.08984375" style="5" customWidth="1"/>
    <col min="8" max="8" width="6.26953125" style="5" customWidth="1"/>
    <col min="9" max="9" width="6.7265625" style="5" customWidth="1"/>
    <col min="10" max="10" width="7" style="5" customWidth="1"/>
    <col min="11" max="11" width="6" style="5" customWidth="1"/>
    <col min="12" max="12" width="9.26953125" style="5" customWidth="1"/>
    <col min="13" max="13" width="8" style="5" customWidth="1"/>
    <col min="14" max="14" width="12.7265625" style="5" customWidth="1"/>
    <col min="15" max="15" width="9.26953125" style="5" customWidth="1"/>
    <col min="16" max="16" width="8" style="5" customWidth="1"/>
    <col min="17" max="17" width="12.7265625" style="5" customWidth="1"/>
    <col min="18" max="18" width="9.26953125" style="5" customWidth="1"/>
    <col min="19" max="19" width="8" style="5" customWidth="1"/>
    <col min="20" max="20" width="12.7265625" style="5" customWidth="1"/>
  </cols>
  <sheetData>
    <row r="1" spans="1:104" ht="11.25" hidden="1" customHeight="1">
      <c r="A1"/>
      <c r="D1"/>
      <c r="E1"/>
      <c r="G1"/>
      <c r="H1"/>
      <c r="I1"/>
      <c r="J1" s="46"/>
      <c r="K1" s="49"/>
      <c r="L1" s="2" t="s">
        <v>279</v>
      </c>
      <c r="M1" s="46"/>
      <c r="N1" s="46"/>
      <c r="O1" s="2"/>
      <c r="P1" s="46"/>
      <c r="Q1" s="46"/>
      <c r="R1" s="2"/>
      <c r="S1" s="46"/>
      <c r="T1" s="46"/>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s="46"/>
      <c r="K2" s="49"/>
      <c r="L2" s="46"/>
      <c r="M2" s="46"/>
      <c r="N2" s="46"/>
      <c r="O2" s="46"/>
      <c r="P2" s="46"/>
      <c r="Q2" s="46"/>
      <c r="R2" s="46"/>
      <c r="S2" s="46"/>
      <c r="T2" s="46"/>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s="46"/>
      <c r="K3" s="49"/>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s="46"/>
      <c r="K4" s="49"/>
      <c r="L4" s="2" t="s">
        <v>322</v>
      </c>
      <c r="M4" s="2"/>
      <c r="N4" s="2">
        <f>IF(ISNUMBER(DCOUNTA(査読範囲,L3,L3:L4)), DCOUNTA(査読範囲,L3,L3:L4), 0)</f>
        <v>0</v>
      </c>
      <c r="O4" s="2" t="s">
        <v>331</v>
      </c>
      <c r="P4" s="2"/>
      <c r="Q4" s="2">
        <f>IF(ISNUMBER(DCOUNTA(査読範囲,O3,O3:O4)), DCOUNTA(査読範囲,O3,O3:O4), 0)</f>
        <v>0</v>
      </c>
      <c r="R4" s="2" t="s">
        <v>332</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72</v>
      </c>
      <c r="AH4" s="2"/>
      <c r="AI4" s="2">
        <f>IF(ISNUMBER(DCOUNTA(査読範囲,AG3,AG3:AG4)), DCOUNTA(査読範囲,AG3,AG3:AG4), 0)</f>
        <v>0</v>
      </c>
      <c r="AJ4" s="2" t="s">
        <v>77</v>
      </c>
      <c r="AK4" s="2"/>
      <c r="AL4" s="2">
        <f>IF(ISNUMBER(DCOUNTA(査読範囲,AJ3,AJ3:AJ4)), DCOUNTA(査読範囲,AJ3,AJ3:AJ4), 0)</f>
        <v>0</v>
      </c>
      <c r="AM4" s="2" t="s">
        <v>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242</v>
      </c>
      <c r="CP4" s="2"/>
      <c r="CQ4" s="2">
        <f>IF(ISNUMBER(DCOUNTA(査読範囲,CO3,CO3:CO4)), DCOUNTA(査読範囲,CO3,CO3:CO4), 0)</f>
        <v>0</v>
      </c>
      <c r="CR4" s="2" t="s">
        <v>340</v>
      </c>
      <c r="CS4" s="2"/>
      <c r="CT4" s="2">
        <f>IF(ISNUMBER(DCOUNTA(査読範囲,CR3,CR3:CR4)), DCOUNTA(査読範囲,CR3,CR3:CR4), 0)</f>
        <v>0</v>
      </c>
      <c r="CU4" s="2" t="s">
        <v>345</v>
      </c>
      <c r="CV4" s="2"/>
      <c r="CW4" s="2">
        <f>IF(ISNUMBER(DCOUNTA(査読範囲,CU3,CU3:CU4)), DCOUNTA(査読範囲,CU3,CU3:CU4), 0)</f>
        <v>0</v>
      </c>
      <c r="CX4" s="2" t="s">
        <v>347</v>
      </c>
      <c r="CY4" s="2"/>
      <c r="CZ4" s="2">
        <f>IF(ISNUMBER(DCOUNTA(査読範囲,CX3,CX3:CX4)), DCOUNTA(査読範囲,CX3,CX3:CX4), 0)</f>
        <v>0</v>
      </c>
    </row>
    <row r="5" spans="1:104" ht="11.25" hidden="1" customHeight="1">
      <c r="A5"/>
      <c r="D5"/>
      <c r="E5"/>
      <c r="G5"/>
      <c r="H5"/>
      <c r="I5"/>
      <c r="J5" s="46"/>
      <c r="K5" s="49"/>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s="46"/>
      <c r="K6" s="49"/>
      <c r="L6" s="2" t="s">
        <v>323</v>
      </c>
      <c r="M6" s="2"/>
      <c r="N6" s="2">
        <f>IF(ISNUMBER(DCOUNTA(査読範囲,L5,L5:L6)), DCOUNTA(査読範囲,L5,L5:L6), 0)</f>
        <v>0</v>
      </c>
      <c r="O6" s="2" t="s">
        <v>329</v>
      </c>
      <c r="P6" s="2"/>
      <c r="Q6" s="2">
        <f>IF(ISNUMBER(DCOUNTA(査読範囲,O5,O5:O6)), DCOUNTA(査読範囲,O5,O5:O6), 0)</f>
        <v>0</v>
      </c>
      <c r="R6" s="2" t="s">
        <v>333</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73</v>
      </c>
      <c r="AH6" s="2"/>
      <c r="AI6" s="2">
        <f>IF(ISNUMBER(DCOUNTA(査読範囲,AG5,AG5:AG6)), DCOUNTA(査読範囲,AG5,AG5:AG6), 0)</f>
        <v>0</v>
      </c>
      <c r="AJ6" s="2" t="s">
        <v>78</v>
      </c>
      <c r="AK6" s="2"/>
      <c r="AL6" s="2">
        <f>IF(ISNUMBER(DCOUNTA(査読範囲,AJ5,AJ5:AJ6)), DCOUNTA(査読範囲,AJ5,AJ5:AJ6), 0)</f>
        <v>0</v>
      </c>
      <c r="AM6" s="2" t="s">
        <v>82</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243</v>
      </c>
      <c r="CP6" s="2"/>
      <c r="CQ6" s="2">
        <f>IF(ISNUMBER(DCOUNTA(査読範囲,CO5,CO5:CO6)), DCOUNTA(査読範囲,CO5,CO5:CO6), 0)</f>
        <v>0</v>
      </c>
      <c r="CR6" s="2" t="s">
        <v>342</v>
      </c>
      <c r="CS6" s="2"/>
      <c r="CT6" s="2">
        <f>IF(ISNUMBER(DCOUNTA(査読範囲,CR5,CR5:CR6)), DCOUNTA(査読範囲,CR5,CR5:CR6), 0)</f>
        <v>0</v>
      </c>
      <c r="CU6" s="2" t="s">
        <v>343</v>
      </c>
      <c r="CV6" s="2"/>
      <c r="CW6" s="2">
        <f>IF(ISNUMBER(DCOUNTA(査読範囲,CU5,CU5:CU6)), DCOUNTA(査読範囲,CU5,CU5:CU6), 0)</f>
        <v>0</v>
      </c>
      <c r="CX6" s="2" t="s">
        <v>349</v>
      </c>
      <c r="CY6" s="2"/>
      <c r="CZ6" s="2">
        <f>IF(ISNUMBER(DCOUNTA(査読範囲,CX5,CX5:CX6)), DCOUNTA(査読範囲,CX5,CX5:CX6), 0)</f>
        <v>0</v>
      </c>
    </row>
    <row r="7" spans="1:104" ht="11.25" hidden="1" customHeight="1">
      <c r="A7"/>
      <c r="D7"/>
      <c r="E7"/>
      <c r="G7"/>
      <c r="H7"/>
      <c r="I7"/>
      <c r="J7" s="46"/>
      <c r="K7" s="49"/>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s="46"/>
      <c r="K8" s="49"/>
      <c r="L8" s="2" t="s">
        <v>325</v>
      </c>
      <c r="M8" s="2"/>
      <c r="N8" s="2">
        <f>IF(ISNUMBER(DCOUNTA(査読範囲,L7,L7:L8)), DCOUNTA(査読範囲,L7,L7:L8), 0)</f>
        <v>0</v>
      </c>
      <c r="O8" s="2" t="s">
        <v>325</v>
      </c>
      <c r="P8" s="2"/>
      <c r="Q8" s="2">
        <f>IF(ISNUMBER(DCOUNTA(査読範囲,O7,O7:O8)), DCOUNTA(査読範囲,O7,O7:O8), 0)</f>
        <v>0</v>
      </c>
      <c r="R8" s="2" t="s">
        <v>334</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74</v>
      </c>
      <c r="AH8" s="2"/>
      <c r="AI8" s="2">
        <f>IF(ISNUMBER(DCOUNTA(査読範囲,AG7,AG7:AG8)), DCOUNTA(査読範囲,AG7,AG7:AG8), 0)</f>
        <v>0</v>
      </c>
      <c r="AJ8" s="2" t="s">
        <v>79</v>
      </c>
      <c r="AK8" s="2"/>
      <c r="AL8" s="2">
        <f>IF(ISNUMBER(DCOUNTA(査読範囲,AJ7,AJ7:AJ8)), DCOUNTA(査読範囲,AJ7,AJ7:AJ8), 0)</f>
        <v>0</v>
      </c>
      <c r="AM8" s="2" t="s">
        <v>83</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244</v>
      </c>
      <c r="CP8" s="2"/>
      <c r="CQ8" s="2">
        <f>IF(ISNUMBER(DCOUNTA(査読範囲,CO7,CO7:CO8)), DCOUNTA(査読範囲,CO7,CO7:CO8), 0)</f>
        <v>0</v>
      </c>
      <c r="CR8" s="2" t="s">
        <v>341</v>
      </c>
      <c r="CS8" s="2"/>
      <c r="CT8" s="2">
        <f>IF(ISNUMBER(DCOUNTA(査読範囲,CR7,CR7:CR8)), DCOUNTA(査読範囲,CR7,CR7:CR8), 0)</f>
        <v>0</v>
      </c>
      <c r="CU8" s="2" t="s">
        <v>346</v>
      </c>
      <c r="CV8" s="2"/>
      <c r="CW8" s="2">
        <f>IF(ISNUMBER(DCOUNTA(査読範囲,CU7,CU7:CU8)), DCOUNTA(査読範囲,CU7,CU7:CU8), 0)</f>
        <v>0</v>
      </c>
      <c r="CX8" s="2" t="s">
        <v>348</v>
      </c>
      <c r="CY8" s="2"/>
      <c r="CZ8" s="2">
        <f>IF(ISNUMBER(DCOUNTA(査読範囲,CX7,CX7:CX8)), DCOUNTA(査読範囲,CX7,CX7:CX8), 0)</f>
        <v>0</v>
      </c>
    </row>
    <row r="9" spans="1:104" ht="11.25" hidden="1" customHeight="1">
      <c r="A9"/>
      <c r="D9"/>
      <c r="E9"/>
      <c r="G9"/>
      <c r="H9"/>
      <c r="I9"/>
      <c r="J9" s="46"/>
      <c r="K9" s="49"/>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s="46"/>
      <c r="K10" s="49"/>
      <c r="L10" s="2" t="s">
        <v>324</v>
      </c>
      <c r="M10" s="2"/>
      <c r="N10" s="141"/>
      <c r="O10" s="2" t="s">
        <v>330</v>
      </c>
      <c r="P10" s="2"/>
      <c r="Q10" s="141"/>
      <c r="R10" s="2" t="s">
        <v>335</v>
      </c>
      <c r="S10" s="2"/>
      <c r="T10" s="141"/>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75</v>
      </c>
      <c r="AH10" s="2"/>
      <c r="AI10" s="2">
        <f>IF(ISNUMBER(DCOUNTA(査読範囲,AG9,AG9:AG10)), DCOUNTA(査読範囲,AG9,AG9:AG10), 0)</f>
        <v>0</v>
      </c>
      <c r="AJ10" s="2" t="s">
        <v>80</v>
      </c>
      <c r="AK10" s="2"/>
      <c r="AL10" s="2">
        <f>IF(ISNUMBER(DCOUNTA(査読範囲,AJ9,AJ9:AJ10)), DCOUNTA(査読範囲,AJ9,AJ9:AJ10), 0)</f>
        <v>0</v>
      </c>
      <c r="AM10" s="2" t="s">
        <v>84</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54">
        <f>IF(ISNUMBER(DCOUNTA(査読範囲,BT9,BT9:BT10)), DCOUNTA(査読範囲,BT9,BT9:BT10), 0)</f>
        <v>0</v>
      </c>
      <c r="BW10" s="2" t="s">
        <v>122</v>
      </c>
      <c r="BX10" s="2"/>
      <c r="BY10" s="54">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55">
        <f>IF(ISNUMBER(DCOUNTA(査読範囲,CF9,CF9:CF10)), DCOUNTA(査読範囲,CF9,CF9:CF10), 0)</f>
        <v>0</v>
      </c>
      <c r="CI10" s="2" t="s">
        <v>143</v>
      </c>
      <c r="CJ10" s="2"/>
      <c r="CK10" s="55">
        <f>IF(ISNUMBER(DCOUNTA(査読範囲,CI9,CI9:CI10)), DCOUNTA(査読範囲,CI9,CI9:CI10), 0)</f>
        <v>0</v>
      </c>
      <c r="CL10" s="2" t="s">
        <v>148</v>
      </c>
      <c r="CM10" s="2"/>
      <c r="CN10" s="2">
        <f>IF(ISNUMBER(DCOUNTA(査読範囲,CL9,CL9:CL10)), DCOUNTA(査読範囲,CL9,CL9:CL10), 0)</f>
        <v>0</v>
      </c>
      <c r="CO10" s="2" t="s">
        <v>245</v>
      </c>
      <c r="CP10" s="2"/>
      <c r="CQ10" s="2">
        <f>IF(ISNUMBER(DCOUNTA(査読範囲,CO9,CO9:CO10)), DCOUNTA(査読範囲,CO9,CO9:CO10), 0)</f>
        <v>0</v>
      </c>
      <c r="CR10" s="2" t="s">
        <v>339</v>
      </c>
      <c r="CS10" s="2"/>
      <c r="CT10" s="2">
        <f>IF(ISNUMBER(DCOUNTA(査読範囲,CR9,CR9:CR10)), DCOUNTA(査読範囲,CR9,CR9:CR10), 0)</f>
        <v>0</v>
      </c>
      <c r="CU10" s="2" t="s">
        <v>344</v>
      </c>
      <c r="CV10" s="2"/>
      <c r="CW10" s="55">
        <f>IF(ISNUMBER(DCOUNTA(査読範囲,CU9,CU9:CU10)), DCOUNTA(査読範囲,CU9,CU9:CU10), 0)</f>
        <v>0</v>
      </c>
      <c r="CX10" s="2" t="s">
        <v>350</v>
      </c>
      <c r="CY10" s="2"/>
      <c r="CZ10" s="2">
        <f>IF(ISNUMBER(DCOUNTA(査読範囲,CX9,CX9:CX10)), DCOUNTA(査読範囲,CX9,CX9:CX10), 0)</f>
        <v>0</v>
      </c>
    </row>
    <row r="11" spans="1:104" ht="11.25" hidden="1" customHeight="1">
      <c r="A11"/>
      <c r="D11"/>
      <c r="E11"/>
      <c r="G11"/>
      <c r="H11"/>
      <c r="I11"/>
      <c r="J11" s="46"/>
      <c r="K11" s="49"/>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s="46"/>
      <c r="K12" s="49"/>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s="46"/>
      <c r="K13" s="49"/>
      <c r="L13" s="46"/>
      <c r="M13" s="46"/>
      <c r="N13" s="46"/>
      <c r="O13" s="46"/>
      <c r="P13" s="46"/>
      <c r="Q13" s="46"/>
      <c r="R13" s="46"/>
      <c r="S13" s="46"/>
      <c r="T13" s="46"/>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s="46"/>
      <c r="K14" s="49"/>
      <c r="L14" s="46"/>
      <c r="M14" s="46"/>
      <c r="N14" s="46"/>
      <c r="O14" s="46"/>
      <c r="P14" s="46"/>
      <c r="Q14" s="46"/>
      <c r="R14" s="46"/>
      <c r="S14" s="46"/>
      <c r="T14" s="46"/>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s="46"/>
      <c r="K15" s="49"/>
      <c r="L15" s="46"/>
      <c r="M15" s="46"/>
      <c r="N15" s="46"/>
      <c r="O15" s="46"/>
      <c r="P15" s="46"/>
      <c r="Q15" s="46"/>
      <c r="R15" s="46"/>
      <c r="S15" s="46"/>
      <c r="T15" s="46"/>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s="46"/>
      <c r="K16" s="49"/>
      <c r="L16" s="46"/>
      <c r="M16" s="46"/>
      <c r="N16" s="46"/>
      <c r="O16" s="46"/>
      <c r="P16" s="46"/>
      <c r="Q16" s="46"/>
      <c r="R16" s="46"/>
      <c r="S16" s="46"/>
      <c r="T16" s="4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s="46"/>
      <c r="K17" s="49"/>
      <c r="L17" s="46"/>
      <c r="M17" s="46"/>
      <c r="N17" s="46"/>
      <c r="O17" s="46"/>
      <c r="P17" s="46"/>
      <c r="Q17" s="46"/>
      <c r="R17" s="46"/>
      <c r="S17" s="46"/>
      <c r="T17" s="46"/>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s="46"/>
      <c r="K18" s="49"/>
      <c r="L18" s="46"/>
      <c r="M18" s="46"/>
      <c r="N18" s="46"/>
      <c r="O18" s="46"/>
      <c r="P18" s="46"/>
      <c r="Q18" s="46"/>
      <c r="R18" s="46"/>
      <c r="S18" s="46"/>
      <c r="T18" s="46"/>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s="46"/>
      <c r="K19" s="49"/>
      <c r="L19" s="46"/>
      <c r="M19" s="46"/>
      <c r="N19" s="46"/>
      <c r="O19" s="46"/>
      <c r="P19" s="46"/>
      <c r="Q19" s="46"/>
      <c r="R19" s="46"/>
      <c r="S19" s="46"/>
      <c r="T19" s="46"/>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s="46"/>
      <c r="K20" s="49"/>
      <c r="L20" s="46"/>
      <c r="M20" s="46"/>
      <c r="N20" s="46"/>
      <c r="O20" s="46"/>
      <c r="P20" s="46"/>
      <c r="Q20" s="46"/>
      <c r="R20" s="46"/>
      <c r="S20" s="46"/>
      <c r="T20" s="46"/>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s="46"/>
      <c r="K21" s="49"/>
      <c r="L21" s="46"/>
      <c r="M21" s="46"/>
      <c r="N21" s="46"/>
      <c r="O21" s="46"/>
      <c r="P21" s="46"/>
      <c r="Q21" s="46"/>
      <c r="R21" s="46"/>
      <c r="S21" s="46"/>
      <c r="T21" s="46"/>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s="46"/>
      <c r="K22" s="49"/>
      <c r="L22" s="46"/>
      <c r="M22" s="46"/>
      <c r="N22" s="46"/>
      <c r="O22" s="46"/>
      <c r="P22" s="46"/>
      <c r="Q22" s="46"/>
      <c r="R22" s="46"/>
      <c r="S22" s="46"/>
      <c r="T22" s="46"/>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s="46"/>
      <c r="K23" s="49"/>
      <c r="L23" s="46"/>
      <c r="M23" s="46"/>
      <c r="N23" s="46"/>
      <c r="O23" s="46"/>
      <c r="P23" s="46"/>
      <c r="Q23" s="46"/>
      <c r="R23" s="46"/>
      <c r="S23" s="46"/>
      <c r="T23" s="46"/>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s="46"/>
      <c r="K24" s="49"/>
      <c r="L24" s="46"/>
      <c r="M24" s="46"/>
      <c r="N24" s="46"/>
      <c r="O24" s="46"/>
      <c r="P24" s="46"/>
      <c r="Q24" s="46"/>
      <c r="R24" s="46"/>
      <c r="S24" s="46"/>
      <c r="T24" s="46"/>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9"/>
      <c r="D25" s="79"/>
      <c r="E25" s="79"/>
      <c r="F25" s="79"/>
      <c r="G25" s="79"/>
      <c r="H25" s="79"/>
      <c r="I25" s="79"/>
      <c r="J25" s="80"/>
      <c r="K25" s="81"/>
      <c r="L25" s="80"/>
      <c r="M25" s="80"/>
      <c r="N25" s="80"/>
      <c r="O25" s="80"/>
      <c r="P25" s="80"/>
      <c r="Q25" s="80"/>
      <c r="R25" s="80"/>
      <c r="S25" s="80"/>
      <c r="T25" s="80"/>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83" t="s">
        <v>288</v>
      </c>
      <c r="D26"/>
      <c r="E26"/>
      <c r="G26"/>
      <c r="H26"/>
      <c r="I26"/>
      <c r="J26"/>
      <c r="K26" s="49"/>
      <c r="L26" s="46"/>
      <c r="M26" s="46"/>
      <c r="N26" s="46"/>
      <c r="O26" s="46"/>
      <c r="P26" s="46"/>
      <c r="Q26" s="46"/>
      <c r="R26" s="46"/>
      <c r="S26" s="46"/>
      <c r="T26" s="4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82" t="s">
        <v>289</v>
      </c>
      <c r="D27"/>
      <c r="E27"/>
      <c r="G27"/>
      <c r="H27"/>
      <c r="I27"/>
      <c r="J27" s="46"/>
      <c r="K27" s="49"/>
      <c r="L27" s="46"/>
      <c r="M27" s="46"/>
      <c r="N27" s="46"/>
      <c r="O27" s="46"/>
      <c r="P27" s="46"/>
      <c r="Q27" s="46"/>
      <c r="R27" s="46"/>
      <c r="S27" s="46"/>
      <c r="T27" s="46"/>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C28" s="46"/>
      <c r="D28"/>
      <c r="E28"/>
      <c r="G28"/>
      <c r="H28"/>
      <c r="I28"/>
      <c r="J28" s="46"/>
      <c r="K28" s="49"/>
      <c r="L28" s="46"/>
      <c r="M28" s="46"/>
      <c r="N28" s="46"/>
      <c r="O28" s="46"/>
      <c r="P28" s="46"/>
      <c r="Q28" s="46"/>
      <c r="R28" s="46"/>
      <c r="S28" s="46"/>
      <c r="T28" s="46"/>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s="46"/>
      <c r="B29" s="46"/>
      <c r="C29" s="46"/>
      <c r="D29" s="46"/>
      <c r="E29" s="46"/>
      <c r="F29" s="46"/>
      <c r="G29" s="46"/>
      <c r="H29" s="46"/>
      <c r="I29" s="46"/>
      <c r="J29" s="46"/>
      <c r="K29" s="49"/>
      <c r="L29" s="46"/>
      <c r="M29" s="46"/>
      <c r="N29" s="46"/>
      <c r="O29" s="46"/>
      <c r="P29" s="46"/>
      <c r="Q29" s="46"/>
      <c r="R29" s="46"/>
      <c r="S29" s="46"/>
      <c r="T29" s="46"/>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8"/>
      <c r="B30" s="48"/>
      <c r="C30" s="48"/>
      <c r="D30" s="48"/>
      <c r="E30" s="48"/>
      <c r="F30" s="48"/>
      <c r="G30" s="48"/>
      <c r="H30" s="48"/>
      <c r="I30" s="48"/>
      <c r="J30" s="48"/>
      <c r="K30" s="50"/>
      <c r="L30" s="48"/>
      <c r="M30" s="48"/>
      <c r="N30" s="48"/>
      <c r="O30" s="48"/>
      <c r="P30" s="48"/>
      <c r="Q30" s="48"/>
      <c r="R30" s="48"/>
      <c r="S30" s="48"/>
      <c r="T30" s="48"/>
      <c r="U30" s="47"/>
      <c r="V30" s="48"/>
      <c r="W30" s="48"/>
      <c r="X30" s="47"/>
      <c r="Y30" s="48"/>
      <c r="Z30" s="47"/>
      <c r="AA30" s="47"/>
      <c r="AB30" s="47"/>
      <c r="AC30" s="47"/>
    </row>
    <row r="31" spans="1:104" ht="18" customHeight="1">
      <c r="A31"/>
      <c r="B31" s="113"/>
      <c r="C31" s="130"/>
      <c r="D31" s="131" t="s">
        <v>301</v>
      </c>
      <c r="E31" s="131"/>
      <c r="F31" s="130"/>
      <c r="G31" s="132"/>
      <c r="H31" s="132"/>
      <c r="I31" s="122"/>
      <c r="J31" s="122"/>
      <c r="K31" s="122"/>
    </row>
    <row r="32" spans="1:104" ht="6.75" customHeight="1" thickBot="1">
      <c r="C32" s="497"/>
      <c r="D32" s="498"/>
      <c r="E32" s="498"/>
      <c r="F32" s="498"/>
      <c r="G32" s="498"/>
      <c r="H32" s="140"/>
    </row>
    <row r="33" spans="1:24" ht="15.75" customHeight="1">
      <c r="A33" s="73" t="s">
        <v>357</v>
      </c>
      <c r="B33" s="35"/>
      <c r="C33" s="35"/>
      <c r="D33" s="35"/>
      <c r="E33" s="35"/>
      <c r="F33" s="35"/>
      <c r="G33" s="35"/>
      <c r="H33" s="35"/>
      <c r="I33" s="35"/>
      <c r="J33" s="508" t="s">
        <v>64</v>
      </c>
      <c r="K33" s="509"/>
      <c r="L33" s="119"/>
      <c r="M33" s="119"/>
      <c r="N33" s="119"/>
      <c r="O33" s="119"/>
      <c r="P33" s="119"/>
      <c r="Q33" s="119"/>
      <c r="R33" s="119"/>
      <c r="S33" s="119"/>
      <c r="T33" s="119"/>
    </row>
    <row r="34" spans="1:24" ht="15" customHeight="1">
      <c r="A34" s="506"/>
      <c r="B34" s="507"/>
      <c r="C34" s="68" t="s">
        <v>290</v>
      </c>
      <c r="D34" s="56"/>
      <c r="E34" s="56"/>
      <c r="F34" s="72"/>
      <c r="G34" s="56"/>
      <c r="H34" s="56"/>
      <c r="I34" s="56"/>
      <c r="J34" s="500"/>
      <c r="K34" s="501"/>
      <c r="L34" s="70"/>
      <c r="M34" s="70"/>
      <c r="N34" s="70"/>
      <c r="O34" s="70"/>
      <c r="P34" s="70"/>
      <c r="Q34" s="70"/>
      <c r="R34" s="70"/>
      <c r="S34" s="70"/>
      <c r="T34" s="70"/>
    </row>
    <row r="35" spans="1:24" ht="14.25" customHeight="1" thickBot="1">
      <c r="A35" s="506"/>
      <c r="B35" s="518"/>
      <c r="C35" s="68" t="s">
        <v>358</v>
      </c>
      <c r="D35" s="56"/>
      <c r="E35" s="56"/>
      <c r="F35" s="14"/>
      <c r="G35" s="14"/>
      <c r="H35" s="14"/>
      <c r="I35" s="14"/>
      <c r="J35" s="502"/>
      <c r="K35" s="503"/>
      <c r="L35" s="120"/>
      <c r="M35" s="120"/>
      <c r="N35" s="120"/>
      <c r="O35" s="120"/>
      <c r="P35" s="120"/>
      <c r="Q35" s="120"/>
      <c r="R35" s="120"/>
      <c r="S35" s="120"/>
      <c r="T35" s="120"/>
    </row>
    <row r="36" spans="1:24" ht="10.5" customHeight="1">
      <c r="A36" s="15"/>
      <c r="B36" s="15"/>
      <c r="C36" s="68"/>
      <c r="D36" s="56"/>
      <c r="E36" s="56"/>
      <c r="F36" s="2"/>
      <c r="G36" s="56"/>
      <c r="H36" s="56"/>
      <c r="I36" s="56"/>
      <c r="J36" s="56"/>
      <c r="K36" s="56"/>
      <c r="L36" s="56"/>
      <c r="M36" s="56"/>
      <c r="N36" s="56"/>
      <c r="O36" s="56"/>
      <c r="P36" s="56"/>
      <c r="Q36" s="56"/>
      <c r="R36" s="56"/>
      <c r="S36" s="56"/>
      <c r="T36" s="56"/>
    </row>
    <row r="37" spans="1:24" ht="18" customHeight="1">
      <c r="A37" s="515" t="s">
        <v>276</v>
      </c>
      <c r="B37" s="476"/>
      <c r="C37" s="519"/>
      <c r="D37" s="519"/>
      <c r="E37" s="519"/>
      <c r="F37" s="519"/>
      <c r="G37" s="512" t="s">
        <v>292</v>
      </c>
      <c r="H37" s="512"/>
      <c r="I37" s="513"/>
      <c r="J37" s="504">
        <v>5</v>
      </c>
      <c r="K37" s="505"/>
      <c r="L37" s="133"/>
      <c r="M37" s="133"/>
      <c r="N37" s="133"/>
      <c r="O37" s="133"/>
      <c r="P37" s="133"/>
      <c r="Q37" s="133"/>
      <c r="R37" s="133"/>
      <c r="S37" s="133"/>
      <c r="T37" s="133"/>
    </row>
    <row r="38" spans="1:24" ht="23.25" customHeight="1" thickBot="1">
      <c r="A38" s="516" t="s">
        <v>277</v>
      </c>
      <c r="B38" s="517"/>
      <c r="C38" s="499" t="s">
        <v>375</v>
      </c>
      <c r="D38" s="499"/>
      <c r="E38" s="499"/>
      <c r="F38" s="499"/>
      <c r="G38" s="514"/>
      <c r="H38" s="514"/>
      <c r="I38" s="513"/>
      <c r="J38" s="520"/>
      <c r="K38" s="521"/>
      <c r="L38" s="134"/>
      <c r="M38" s="134"/>
      <c r="N38" s="134"/>
      <c r="O38" s="134"/>
      <c r="P38" s="134"/>
      <c r="Q38" s="134"/>
      <c r="R38" s="134"/>
      <c r="S38" s="134"/>
      <c r="T38" s="134"/>
    </row>
    <row r="39" spans="1:24" ht="11.25" customHeight="1">
      <c r="A39" s="69"/>
      <c r="D39"/>
      <c r="E39"/>
      <c r="J39" s="70"/>
      <c r="K39" s="70"/>
      <c r="L39" s="135"/>
      <c r="M39" s="135"/>
      <c r="N39" s="135"/>
      <c r="O39" s="135"/>
      <c r="P39" s="135"/>
      <c r="Q39" s="135"/>
      <c r="R39" s="135"/>
      <c r="S39" s="135"/>
      <c r="T39" s="135"/>
    </row>
    <row r="40" spans="1:24" ht="13.5" customHeight="1">
      <c r="A40" s="69"/>
      <c r="C40" s="87"/>
      <c r="D40" s="88"/>
      <c r="E40" s="88"/>
      <c r="F40" s="89"/>
      <c r="G40" s="90"/>
      <c r="H40" s="90"/>
      <c r="I40" s="57" t="s">
        <v>291</v>
      </c>
      <c r="J40" s="510" t="e">
        <f>IF(J37&lt;&gt;0,DCOUNTA(査読範囲,C43,C26:C27)/J37,IF(J38&lt;&gt;0,DCOUNTA(査読範囲,C43,C26:C27)/J38,0))</f>
        <v>#NAME?</v>
      </c>
      <c r="K40" s="511"/>
      <c r="L40" s="121"/>
      <c r="M40" s="121"/>
      <c r="N40" s="121"/>
      <c r="O40" s="121"/>
      <c r="P40" s="121"/>
      <c r="Q40" s="121"/>
      <c r="R40" s="121"/>
      <c r="S40" s="121"/>
      <c r="T40" s="121"/>
    </row>
    <row r="41" spans="1:24" ht="16.5" customHeight="1">
      <c r="A41" s="69"/>
      <c r="C41" s="57" t="s">
        <v>373</v>
      </c>
      <c r="D41" s="84">
        <v>1.5</v>
      </c>
      <c r="E41" s="142"/>
      <c r="F41" s="73" t="s">
        <v>359</v>
      </c>
      <c r="G41"/>
      <c r="H41"/>
      <c r="I41"/>
      <c r="J41"/>
      <c r="K41"/>
      <c r="L41" s="136"/>
      <c r="M41" s="136"/>
      <c r="N41" s="136"/>
      <c r="O41" s="136"/>
      <c r="P41" s="136"/>
      <c r="Q41" s="136"/>
      <c r="R41" s="136"/>
      <c r="S41" s="136"/>
      <c r="T41" s="136"/>
    </row>
    <row r="42" spans="1:24" ht="6" customHeight="1">
      <c r="F42" t="s">
        <v>285</v>
      </c>
      <c r="L42" s="137"/>
      <c r="M42" s="137"/>
      <c r="N42" s="137"/>
      <c r="O42" s="137"/>
      <c r="P42" s="137"/>
      <c r="Q42" s="137"/>
      <c r="R42" s="137"/>
      <c r="S42" s="137"/>
      <c r="T42" s="137"/>
    </row>
    <row r="43" spans="1:24" ht="20.25" customHeight="1">
      <c r="A43" s="139" t="s">
        <v>65</v>
      </c>
      <c r="B43" s="165" t="s">
        <v>66</v>
      </c>
      <c r="C43" s="139" t="s">
        <v>67</v>
      </c>
      <c r="D43" s="139" t="s">
        <v>152</v>
      </c>
      <c r="E43" s="143" t="s">
        <v>154</v>
      </c>
      <c r="F43" s="139" t="s">
        <v>68</v>
      </c>
      <c r="G43" s="139" t="s">
        <v>155</v>
      </c>
      <c r="H43" s="143" t="s">
        <v>156</v>
      </c>
      <c r="I43" s="139" t="s">
        <v>70</v>
      </c>
      <c r="J43" s="139" t="s">
        <v>352</v>
      </c>
      <c r="K43" s="139" t="s">
        <v>69</v>
      </c>
      <c r="L43" s="138"/>
      <c r="M43" s="138"/>
      <c r="N43" s="138"/>
      <c r="O43" s="138"/>
      <c r="P43" s="138"/>
      <c r="Q43" s="138"/>
      <c r="R43" s="138"/>
      <c r="S43" s="138"/>
      <c r="T43" s="138"/>
    </row>
    <row r="44" spans="1:24" s="151" customFormat="1" ht="28.5" customHeight="1">
      <c r="A44" s="146">
        <v>1</v>
      </c>
      <c r="B44" s="181"/>
      <c r="C44" s="175"/>
      <c r="D44" s="153"/>
      <c r="E44" s="144"/>
      <c r="F44" s="176"/>
      <c r="G44" s="158"/>
      <c r="H44" s="148"/>
      <c r="I44" s="149"/>
      <c r="J44" s="161"/>
      <c r="K44" s="147"/>
      <c r="L44" s="150"/>
      <c r="M44" s="150"/>
      <c r="N44" s="150"/>
      <c r="O44" s="150"/>
      <c r="P44" s="150"/>
      <c r="Q44" s="150"/>
      <c r="R44" s="150"/>
      <c r="S44" s="150"/>
      <c r="T44" s="150"/>
    </row>
    <row r="45" spans="1:24" s="151" customFormat="1" ht="28.5" customHeight="1">
      <c r="A45" s="146">
        <f>A44+1</f>
        <v>2</v>
      </c>
      <c r="B45" s="182"/>
      <c r="C45" s="175"/>
      <c r="D45" s="153"/>
      <c r="E45" s="144"/>
      <c r="F45" s="176"/>
      <c r="G45" s="158"/>
      <c r="H45" s="145"/>
      <c r="I45" s="149"/>
      <c r="J45" s="161"/>
      <c r="K45" s="147"/>
      <c r="L45" s="150"/>
      <c r="M45" s="150"/>
      <c r="N45" s="150"/>
      <c r="O45" s="150"/>
      <c r="P45" s="150"/>
      <c r="Q45" s="150"/>
      <c r="R45" s="150"/>
      <c r="S45" s="150"/>
      <c r="T45" s="150"/>
      <c r="V45" s="152"/>
    </row>
    <row r="46" spans="1:24" s="151" customFormat="1" ht="28.5" customHeight="1">
      <c r="A46" s="146">
        <f>A45+1</f>
        <v>3</v>
      </c>
      <c r="B46" s="182"/>
      <c r="C46" s="175"/>
      <c r="D46" s="153"/>
      <c r="E46" s="144"/>
      <c r="F46" s="176"/>
      <c r="G46" s="158"/>
      <c r="H46" s="148"/>
      <c r="I46" s="149"/>
      <c r="J46" s="161"/>
      <c r="K46" s="147"/>
      <c r="L46" s="150"/>
      <c r="M46" s="150"/>
      <c r="N46" s="150"/>
      <c r="O46" s="150"/>
      <c r="P46" s="150"/>
      <c r="Q46" s="150"/>
      <c r="R46" s="150"/>
      <c r="S46" s="150"/>
      <c r="T46" s="150"/>
      <c r="V46" s="152"/>
      <c r="W46" s="152"/>
      <c r="X46" s="152"/>
    </row>
    <row r="47" spans="1:24" s="151" customFormat="1" ht="28.5" customHeight="1">
      <c r="A47" s="146">
        <f t="shared" ref="A47:A57" si="0">A46+1</f>
        <v>4</v>
      </c>
      <c r="B47" s="181"/>
      <c r="C47" s="175"/>
      <c r="D47" s="153"/>
      <c r="E47" s="144"/>
      <c r="F47" s="176"/>
      <c r="G47" s="158"/>
      <c r="H47" s="148"/>
      <c r="I47" s="149"/>
      <c r="J47" s="161"/>
      <c r="K47" s="147"/>
      <c r="L47" s="150"/>
      <c r="M47" s="150"/>
      <c r="N47" s="150"/>
      <c r="O47" s="150"/>
      <c r="P47" s="150"/>
      <c r="Q47" s="150"/>
      <c r="R47" s="150"/>
      <c r="S47" s="150"/>
      <c r="T47" s="150"/>
      <c r="V47" s="152"/>
      <c r="W47" s="152"/>
      <c r="X47" s="152"/>
    </row>
    <row r="48" spans="1:24" s="151" customFormat="1" ht="28.5" customHeight="1">
      <c r="A48" s="146">
        <f t="shared" si="0"/>
        <v>5</v>
      </c>
      <c r="B48" s="182"/>
      <c r="C48" s="175"/>
      <c r="D48" s="153"/>
      <c r="E48" s="144"/>
      <c r="F48" s="176"/>
      <c r="G48" s="158"/>
      <c r="H48" s="145"/>
      <c r="I48" s="149"/>
      <c r="J48" s="161"/>
      <c r="K48" s="147"/>
      <c r="L48" s="150"/>
      <c r="M48" s="150"/>
      <c r="N48" s="150"/>
      <c r="O48" s="150"/>
      <c r="P48" s="150"/>
      <c r="Q48" s="150"/>
      <c r="R48" s="150"/>
      <c r="S48" s="150"/>
      <c r="T48" s="150"/>
      <c r="V48" s="152"/>
      <c r="W48" s="152"/>
      <c r="X48" s="152"/>
    </row>
    <row r="49" spans="1:24" s="151" customFormat="1" ht="30" customHeight="1">
      <c r="A49" s="146">
        <f t="shared" si="0"/>
        <v>6</v>
      </c>
      <c r="B49" s="181"/>
      <c r="C49" s="175"/>
      <c r="D49" s="154"/>
      <c r="E49" s="144"/>
      <c r="F49" s="176"/>
      <c r="G49" s="158"/>
      <c r="H49" s="145"/>
      <c r="I49" s="149"/>
      <c r="J49" s="161"/>
      <c r="K49" s="147"/>
      <c r="L49" s="150"/>
      <c r="M49" s="150"/>
      <c r="N49" s="150"/>
      <c r="O49" s="150"/>
      <c r="P49" s="150"/>
      <c r="Q49" s="150"/>
      <c r="R49" s="150"/>
      <c r="S49" s="150"/>
      <c r="T49" s="150"/>
      <c r="V49" s="152"/>
      <c r="W49" s="152"/>
      <c r="X49" s="152"/>
    </row>
    <row r="50" spans="1:24" s="151" customFormat="1" ht="30" customHeight="1">
      <c r="A50" s="146">
        <f t="shared" si="0"/>
        <v>7</v>
      </c>
      <c r="B50" s="181"/>
      <c r="C50" s="175"/>
      <c r="D50" s="154"/>
      <c r="E50" s="144"/>
      <c r="F50" s="176"/>
      <c r="G50" s="158"/>
      <c r="H50" s="145"/>
      <c r="I50" s="149"/>
      <c r="J50" s="161"/>
      <c r="K50" s="147"/>
      <c r="L50" s="150"/>
      <c r="M50" s="150"/>
      <c r="N50" s="150"/>
      <c r="O50" s="150"/>
      <c r="P50" s="150"/>
      <c r="Q50" s="150"/>
      <c r="R50" s="150"/>
      <c r="S50" s="150"/>
      <c r="T50" s="150"/>
    </row>
    <row r="51" spans="1:24" s="151" customFormat="1" ht="30" customHeight="1">
      <c r="A51" s="146">
        <f t="shared" si="0"/>
        <v>8</v>
      </c>
      <c r="B51" s="181"/>
      <c r="C51" s="175"/>
      <c r="D51" s="154"/>
      <c r="E51" s="144"/>
      <c r="F51" s="176"/>
      <c r="G51" s="158"/>
      <c r="H51" s="145"/>
      <c r="I51" s="149"/>
      <c r="J51" s="161"/>
      <c r="K51" s="147"/>
      <c r="L51" s="150"/>
      <c r="M51" s="150"/>
      <c r="N51" s="150"/>
      <c r="O51" s="150"/>
      <c r="P51" s="150"/>
      <c r="Q51" s="150"/>
      <c r="R51" s="150"/>
      <c r="S51" s="150"/>
      <c r="T51" s="150"/>
    </row>
    <row r="52" spans="1:24" s="151" customFormat="1" ht="30" customHeight="1">
      <c r="A52" s="146">
        <f t="shared" si="0"/>
        <v>9</v>
      </c>
      <c r="B52" s="181"/>
      <c r="C52" s="175"/>
      <c r="D52" s="154"/>
      <c r="E52" s="144"/>
      <c r="F52" s="176"/>
      <c r="G52" s="158"/>
      <c r="H52" s="180"/>
      <c r="I52" s="149"/>
      <c r="J52" s="161"/>
      <c r="K52" s="147"/>
      <c r="L52" s="150"/>
      <c r="M52" s="150"/>
      <c r="N52" s="150"/>
      <c r="O52" s="150"/>
      <c r="P52" s="150"/>
      <c r="Q52" s="150"/>
      <c r="R52" s="150"/>
      <c r="S52" s="150"/>
      <c r="T52" s="150"/>
    </row>
    <row r="53" spans="1:24" s="151" customFormat="1" ht="30" customHeight="1">
      <c r="A53" s="146">
        <f t="shared" si="0"/>
        <v>10</v>
      </c>
      <c r="B53" s="181"/>
      <c r="C53" s="175"/>
      <c r="D53" s="154"/>
      <c r="E53" s="144"/>
      <c r="F53" s="176"/>
      <c r="G53" s="158"/>
      <c r="H53" s="180"/>
      <c r="I53" s="149"/>
      <c r="J53" s="161"/>
      <c r="K53" s="147"/>
      <c r="L53" s="150"/>
      <c r="M53" s="150"/>
      <c r="N53" s="150"/>
      <c r="O53" s="150"/>
      <c r="P53" s="150"/>
      <c r="Q53" s="150"/>
      <c r="R53" s="150"/>
      <c r="S53" s="150"/>
      <c r="T53" s="150"/>
    </row>
    <row r="54" spans="1:24" s="151" customFormat="1" ht="30" customHeight="1">
      <c r="A54" s="146">
        <f t="shared" si="0"/>
        <v>11</v>
      </c>
      <c r="B54" s="181"/>
      <c r="C54" s="175"/>
      <c r="D54" s="154"/>
      <c r="E54" s="144"/>
      <c r="F54" s="176"/>
      <c r="G54" s="158"/>
      <c r="H54" s="145"/>
      <c r="I54" s="149"/>
      <c r="J54" s="161"/>
      <c r="K54" s="147"/>
      <c r="L54" s="150"/>
      <c r="M54" s="150"/>
      <c r="N54" s="150"/>
      <c r="O54" s="150"/>
      <c r="P54" s="150"/>
      <c r="Q54" s="150"/>
      <c r="R54" s="150"/>
      <c r="S54" s="150"/>
      <c r="T54" s="150"/>
    </row>
    <row r="55" spans="1:24" s="151" customFormat="1" ht="30" customHeight="1">
      <c r="A55" s="146">
        <f t="shared" si="0"/>
        <v>12</v>
      </c>
      <c r="B55" s="181"/>
      <c r="C55" s="175"/>
      <c r="D55" s="154"/>
      <c r="E55" s="144"/>
      <c r="F55" s="176"/>
      <c r="G55" s="158"/>
      <c r="H55" s="145"/>
      <c r="I55" s="149"/>
      <c r="J55" s="161"/>
      <c r="K55" s="147"/>
      <c r="L55" s="150"/>
      <c r="M55" s="150"/>
      <c r="N55" s="150"/>
      <c r="O55" s="150"/>
      <c r="P55" s="150"/>
      <c r="Q55" s="150"/>
      <c r="R55" s="150"/>
      <c r="S55" s="150"/>
      <c r="T55" s="150"/>
    </row>
    <row r="56" spans="1:24" s="151" customFormat="1" ht="30" customHeight="1">
      <c r="A56" s="146">
        <f t="shared" si="0"/>
        <v>13</v>
      </c>
      <c r="B56" s="181"/>
      <c r="C56" s="175"/>
      <c r="D56" s="154"/>
      <c r="E56" s="144"/>
      <c r="F56" s="176"/>
      <c r="G56" s="158"/>
      <c r="H56" s="145"/>
      <c r="I56" s="149"/>
      <c r="J56" s="161"/>
      <c r="K56" s="147"/>
      <c r="L56" s="150"/>
      <c r="M56" s="150"/>
      <c r="N56" s="150"/>
      <c r="O56" s="150"/>
      <c r="P56" s="150"/>
      <c r="Q56" s="150"/>
      <c r="R56" s="150"/>
      <c r="S56" s="150"/>
      <c r="T56" s="150"/>
    </row>
    <row r="57" spans="1:24" s="151" customFormat="1" ht="30" customHeight="1">
      <c r="A57" s="146">
        <f t="shared" si="0"/>
        <v>14</v>
      </c>
      <c r="B57" s="181"/>
      <c r="C57" s="175"/>
      <c r="D57" s="154"/>
      <c r="E57" s="144"/>
      <c r="F57" s="176"/>
      <c r="G57" s="158"/>
      <c r="H57" s="145"/>
      <c r="I57" s="149"/>
      <c r="J57" s="161"/>
      <c r="K57" s="147"/>
      <c r="L57" s="150"/>
      <c r="M57" s="150"/>
      <c r="N57" s="150"/>
      <c r="O57" s="150"/>
      <c r="P57" s="150"/>
      <c r="Q57" s="150"/>
      <c r="R57" s="150"/>
      <c r="S57" s="150"/>
      <c r="T57" s="150"/>
    </row>
    <row r="58" spans="1:24" s="151" customFormat="1" ht="30" customHeight="1">
      <c r="A58" s="146">
        <f t="shared" ref="A58:A63" si="1">A57+1</f>
        <v>15</v>
      </c>
      <c r="B58" s="181"/>
      <c r="C58" s="175"/>
      <c r="D58" s="154"/>
      <c r="E58" s="144"/>
      <c r="F58" s="176"/>
      <c r="G58" s="158"/>
      <c r="H58" s="145"/>
      <c r="I58" s="149"/>
      <c r="J58" s="161"/>
      <c r="K58" s="147"/>
      <c r="L58" s="150"/>
      <c r="M58" s="150"/>
      <c r="N58" s="150"/>
      <c r="O58" s="150"/>
      <c r="P58" s="150"/>
      <c r="Q58" s="150"/>
      <c r="R58" s="150"/>
      <c r="S58" s="150"/>
      <c r="T58" s="150"/>
    </row>
    <row r="59" spans="1:24" s="151" customFormat="1" ht="30" customHeight="1">
      <c r="A59" s="146">
        <f t="shared" si="1"/>
        <v>16</v>
      </c>
      <c r="B59" s="181"/>
      <c r="C59" s="175"/>
      <c r="D59" s="154"/>
      <c r="E59" s="144"/>
      <c r="F59" s="176"/>
      <c r="G59" s="158"/>
      <c r="H59" s="180"/>
      <c r="I59" s="149"/>
      <c r="J59" s="161"/>
      <c r="K59" s="147"/>
      <c r="L59" s="150"/>
      <c r="M59" s="150"/>
      <c r="N59" s="150"/>
      <c r="O59" s="150"/>
      <c r="P59" s="150"/>
      <c r="Q59" s="150"/>
      <c r="R59" s="150"/>
      <c r="S59" s="150"/>
      <c r="T59" s="150"/>
    </row>
    <row r="60" spans="1:24" s="151" customFormat="1" ht="30" customHeight="1">
      <c r="A60" s="146">
        <f t="shared" si="1"/>
        <v>17</v>
      </c>
      <c r="B60" s="181"/>
      <c r="C60" s="175"/>
      <c r="D60" s="154"/>
      <c r="E60" s="144"/>
      <c r="F60" s="176"/>
      <c r="G60" s="158"/>
      <c r="H60" s="180"/>
      <c r="I60" s="149"/>
      <c r="J60" s="161"/>
      <c r="K60" s="147"/>
      <c r="L60" s="150"/>
      <c r="M60" s="150"/>
      <c r="N60" s="150"/>
      <c r="O60" s="150"/>
      <c r="P60" s="150"/>
      <c r="Q60" s="150"/>
      <c r="R60" s="150"/>
      <c r="S60" s="150"/>
      <c r="T60" s="150"/>
    </row>
    <row r="61" spans="1:24" s="151" customFormat="1" ht="30" customHeight="1">
      <c r="A61" s="146">
        <f t="shared" si="1"/>
        <v>18</v>
      </c>
      <c r="B61" s="181"/>
      <c r="C61" s="175"/>
      <c r="D61" s="154"/>
      <c r="E61" s="144"/>
      <c r="F61" s="176"/>
      <c r="G61" s="158"/>
      <c r="H61" s="145"/>
      <c r="I61" s="149"/>
      <c r="J61" s="161"/>
      <c r="K61" s="147"/>
      <c r="L61" s="150"/>
      <c r="M61" s="150"/>
      <c r="N61" s="150"/>
      <c r="O61" s="150"/>
      <c r="P61" s="150"/>
      <c r="Q61" s="150"/>
      <c r="R61" s="150"/>
      <c r="S61" s="150"/>
      <c r="T61" s="150"/>
    </row>
    <row r="62" spans="1:24" s="151" customFormat="1" ht="30" customHeight="1">
      <c r="A62" s="146">
        <f t="shared" si="1"/>
        <v>19</v>
      </c>
      <c r="B62" s="181"/>
      <c r="C62" s="175"/>
      <c r="D62" s="154"/>
      <c r="E62" s="144"/>
      <c r="F62" s="176"/>
      <c r="G62" s="158"/>
      <c r="H62" s="145"/>
      <c r="I62" s="149"/>
      <c r="J62" s="161"/>
      <c r="K62" s="147"/>
      <c r="L62" s="150"/>
      <c r="M62" s="150"/>
      <c r="N62" s="150"/>
      <c r="O62" s="150"/>
      <c r="P62" s="150"/>
      <c r="Q62" s="150"/>
      <c r="R62" s="150"/>
      <c r="S62" s="150"/>
      <c r="T62" s="150"/>
    </row>
    <row r="63" spans="1:24" s="151" customFormat="1" ht="30" customHeight="1">
      <c r="A63" s="146">
        <f t="shared" si="1"/>
        <v>20</v>
      </c>
      <c r="B63" s="181"/>
      <c r="C63" s="175"/>
      <c r="D63" s="154"/>
      <c r="E63" s="144"/>
      <c r="F63" s="176"/>
      <c r="G63" s="158"/>
      <c r="H63" s="145"/>
      <c r="I63" s="149"/>
      <c r="J63" s="161"/>
      <c r="K63" s="147"/>
      <c r="L63" s="150"/>
      <c r="M63" s="150"/>
      <c r="N63" s="150"/>
      <c r="O63" s="150"/>
      <c r="P63" s="150"/>
      <c r="Q63" s="150"/>
      <c r="R63" s="150"/>
      <c r="S63" s="150"/>
      <c r="T63" s="150"/>
    </row>
    <row r="64" spans="1:24" s="15" customFormat="1">
      <c r="A64" s="6" t="s">
        <v>315</v>
      </c>
      <c r="B64" s="14"/>
      <c r="C64" s="14"/>
      <c r="D64" s="155"/>
      <c r="E64" s="14"/>
      <c r="F64" s="14"/>
      <c r="G64" s="155"/>
      <c r="H64" s="14"/>
      <c r="I64" s="14"/>
      <c r="J64" s="155"/>
      <c r="K64" s="14"/>
      <c r="L64" s="14"/>
      <c r="M64" s="14"/>
      <c r="N64" s="14"/>
      <c r="O64" s="14"/>
      <c r="P64" s="14"/>
      <c r="Q64" s="14"/>
      <c r="R64" s="14"/>
      <c r="S64" s="14"/>
      <c r="T64" s="14"/>
    </row>
    <row r="65" spans="1:256" s="15" customFormat="1">
      <c r="B65" s="14"/>
      <c r="C65" s="14"/>
      <c r="D65" s="156"/>
      <c r="F65" s="14"/>
      <c r="G65" s="155"/>
      <c r="H65" s="14"/>
      <c r="I65" s="14"/>
      <c r="J65" s="155"/>
      <c r="K65" s="14"/>
      <c r="L65" s="14"/>
      <c r="M65" s="14"/>
      <c r="N65" s="14"/>
      <c r="O65" s="14"/>
      <c r="P65" s="14"/>
      <c r="Q65" s="14"/>
      <c r="R65" s="14"/>
      <c r="S65" s="14"/>
      <c r="T65" s="14"/>
    </row>
    <row r="66" spans="1:256">
      <c r="B66" s="14"/>
      <c r="C66" s="14"/>
      <c r="D66" s="157"/>
      <c r="F66" s="14"/>
      <c r="G66" s="155"/>
      <c r="H66" s="14"/>
      <c r="I66" s="14"/>
      <c r="J66" s="162"/>
      <c r="K66" s="6"/>
      <c r="L66" s="6"/>
      <c r="M66" s="6"/>
      <c r="N66" s="6"/>
      <c r="O66" s="6"/>
      <c r="P66" s="6"/>
      <c r="Q66" s="6"/>
      <c r="R66" s="6"/>
      <c r="S66" s="6"/>
      <c r="T66" s="6"/>
    </row>
    <row r="67" spans="1:256">
      <c r="B67" s="14"/>
      <c r="C67" s="23"/>
      <c r="D67" s="157"/>
      <c r="F67" s="14"/>
      <c r="G67" s="155"/>
      <c r="H67" s="14"/>
      <c r="I67" s="6"/>
      <c r="J67" s="162"/>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4"/>
      <c r="C68" s="23"/>
      <c r="D68" s="157"/>
      <c r="F68" s="14"/>
      <c r="G68" s="159"/>
      <c r="H68" s="23"/>
      <c r="I68" s="4"/>
      <c r="J68" s="163"/>
      <c r="K68" s="4"/>
      <c r="L68" s="4"/>
      <c r="M68" s="4"/>
      <c r="N68" s="4"/>
      <c r="O68" s="4"/>
      <c r="P68" s="4"/>
      <c r="Q68" s="4"/>
      <c r="R68" s="4"/>
      <c r="S68" s="4"/>
      <c r="T68" s="4"/>
    </row>
    <row r="69" spans="1:256">
      <c r="B69" s="14"/>
      <c r="C69" s="23"/>
      <c r="D69" s="157"/>
      <c r="F69" s="14"/>
      <c r="G69" s="159"/>
      <c r="H69" s="23"/>
      <c r="I69" s="4"/>
      <c r="J69" s="163"/>
      <c r="K69" s="4"/>
      <c r="L69" s="4"/>
      <c r="M69" s="4"/>
      <c r="N69" s="4"/>
      <c r="O69" s="4"/>
      <c r="P69" s="4"/>
      <c r="Q69" s="4"/>
      <c r="R69" s="4"/>
      <c r="S69" s="4"/>
      <c r="T69" s="4"/>
    </row>
    <row r="70" spans="1:256">
      <c r="A70" s="14"/>
      <c r="B70" s="14"/>
      <c r="C70" s="23"/>
      <c r="D70" s="157"/>
      <c r="F70" s="23"/>
      <c r="G70" s="159"/>
      <c r="H70" s="23"/>
      <c r="I70" s="4"/>
      <c r="J70" s="163"/>
      <c r="K70" s="4"/>
      <c r="L70" s="4"/>
      <c r="M70" s="4"/>
      <c r="N70" s="4"/>
      <c r="O70" s="4"/>
      <c r="P70" s="4"/>
      <c r="Q70" s="4"/>
      <c r="R70" s="4"/>
      <c r="S70" s="4"/>
      <c r="T70" s="4"/>
    </row>
    <row r="71" spans="1:256">
      <c r="A71" s="14"/>
      <c r="B71" s="23"/>
      <c r="C71" s="23"/>
      <c r="D71" s="157"/>
      <c r="F71" s="23"/>
      <c r="G71" s="159"/>
      <c r="H71" s="23"/>
      <c r="I71" s="4"/>
      <c r="J71" s="163"/>
      <c r="K71" s="4"/>
      <c r="L71" s="4"/>
      <c r="M71" s="4"/>
      <c r="N71" s="4"/>
      <c r="O71" s="4"/>
      <c r="P71" s="4"/>
      <c r="Q71" s="4"/>
      <c r="R71" s="4"/>
      <c r="S71" s="4"/>
      <c r="T71" s="4"/>
    </row>
    <row r="72" spans="1:256">
      <c r="D72" s="157"/>
      <c r="G72" s="160"/>
      <c r="H72"/>
      <c r="J72" s="157"/>
    </row>
    <row r="73" spans="1:256">
      <c r="D73" s="157"/>
      <c r="G73" s="160"/>
      <c r="H73"/>
      <c r="J73" s="157"/>
    </row>
    <row r="74" spans="1:256">
      <c r="D74" s="157"/>
      <c r="G74" s="157"/>
      <c r="J74" s="157"/>
    </row>
    <row r="75" spans="1:256">
      <c r="D75" s="157"/>
      <c r="G75" s="157"/>
      <c r="J75" s="157"/>
    </row>
    <row r="76" spans="1:256">
      <c r="A76" s="51" t="s">
        <v>360</v>
      </c>
      <c r="D76" s="157"/>
      <c r="G76" s="157"/>
      <c r="J76" s="157"/>
    </row>
    <row r="77" spans="1:256">
      <c r="A77" s="52" t="s">
        <v>361</v>
      </c>
      <c r="D77" s="157"/>
      <c r="G77" s="157"/>
      <c r="J77" s="157"/>
    </row>
    <row r="78" spans="1:256">
      <c r="A78" s="51" t="s">
        <v>362</v>
      </c>
      <c r="D78" s="157"/>
      <c r="G78" s="157"/>
      <c r="J78" s="157"/>
    </row>
    <row r="79" spans="1:256">
      <c r="A79" s="52"/>
      <c r="D79" s="157"/>
      <c r="G79" s="157"/>
      <c r="J79" s="157"/>
    </row>
    <row r="80" spans="1:256">
      <c r="D80" s="157"/>
      <c r="G80" s="157"/>
      <c r="J80" s="157"/>
    </row>
    <row r="81" spans="4:10">
      <c r="D81" s="157"/>
      <c r="G81" s="157"/>
      <c r="J81" s="157"/>
    </row>
    <row r="82" spans="4:10">
      <c r="D82" s="157"/>
      <c r="G82" s="157"/>
      <c r="J82" s="157"/>
    </row>
    <row r="83" spans="4:10">
      <c r="D83" s="157"/>
      <c r="G83" s="157"/>
      <c r="J83" s="157"/>
    </row>
    <row r="84" spans="4:10">
      <c r="D84" s="157"/>
      <c r="G84" s="157"/>
      <c r="J84" s="157"/>
    </row>
    <row r="85" spans="4:10">
      <c r="D85" s="58"/>
      <c r="G85" s="157"/>
      <c r="J85" s="157"/>
    </row>
    <row r="86" spans="4:10">
      <c r="D86" s="58"/>
      <c r="G86" s="157"/>
      <c r="J86" s="157"/>
    </row>
    <row r="87" spans="4:10">
      <c r="D87" s="58"/>
      <c r="G87" s="157"/>
      <c r="J87" s="157"/>
    </row>
    <row r="88" spans="4:10">
      <c r="D88" s="58"/>
      <c r="G88" s="157"/>
      <c r="J88" s="157"/>
    </row>
    <row r="89" spans="4:10">
      <c r="D89" s="58"/>
      <c r="G89" s="157"/>
      <c r="J89" s="157"/>
    </row>
    <row r="90" spans="4:10">
      <c r="D90" s="58"/>
      <c r="G90" s="157"/>
      <c r="J90" s="164"/>
    </row>
    <row r="91" spans="4:10">
      <c r="D91" s="58"/>
      <c r="G91" s="157"/>
      <c r="J91" s="164"/>
    </row>
    <row r="92" spans="4:10">
      <c r="D92" s="58"/>
      <c r="G92" s="157"/>
      <c r="J92" s="164"/>
    </row>
    <row r="93" spans="4:10">
      <c r="D93" s="58"/>
      <c r="G93" s="157"/>
      <c r="J93" s="164"/>
    </row>
    <row r="94" spans="4:10">
      <c r="D94" s="58"/>
      <c r="G94" s="157"/>
      <c r="J94" s="164"/>
    </row>
    <row r="95" spans="4:10">
      <c r="D95" s="58"/>
      <c r="G95" s="157"/>
      <c r="J95" s="164"/>
    </row>
    <row r="96" spans="4:10">
      <c r="D96" s="58"/>
      <c r="G96" s="157"/>
      <c r="J96" s="164"/>
    </row>
    <row r="97" spans="4:10">
      <c r="D97" s="58"/>
      <c r="G97" s="157"/>
      <c r="J97" s="164"/>
    </row>
    <row r="98" spans="4:10">
      <c r="D98" s="58"/>
      <c r="G98" s="157"/>
      <c r="J98" s="164"/>
    </row>
    <row r="99" spans="4:10">
      <c r="D99" s="58"/>
      <c r="G99" s="157"/>
      <c r="J99" s="164"/>
    </row>
    <row r="100" spans="4:10">
      <c r="D100" s="58"/>
      <c r="G100" s="157"/>
      <c r="J100" s="164"/>
    </row>
    <row r="101" spans="4:10">
      <c r="D101" s="58"/>
      <c r="G101" s="157"/>
      <c r="J101" s="164"/>
    </row>
    <row r="102" spans="4:10">
      <c r="D102" s="58"/>
      <c r="G102" s="157"/>
      <c r="J102" s="164"/>
    </row>
    <row r="103" spans="4:10">
      <c r="D103" s="58"/>
      <c r="G103" s="157"/>
      <c r="J103" s="164"/>
    </row>
    <row r="104" spans="4:10">
      <c r="D104" s="58"/>
      <c r="G104" s="157"/>
      <c r="J104" s="164"/>
    </row>
    <row r="105" spans="4:10">
      <c r="D105" s="58"/>
      <c r="G105" s="58"/>
      <c r="J105" s="164"/>
    </row>
    <row r="106" spans="4:10">
      <c r="D106" s="58"/>
      <c r="G106" s="58"/>
      <c r="J106" s="164"/>
    </row>
    <row r="107" spans="4:10">
      <c r="D107" s="58"/>
      <c r="G107" s="58"/>
      <c r="J107" s="164"/>
    </row>
    <row r="108" spans="4:10">
      <c r="D108" s="58"/>
      <c r="G108" s="58"/>
      <c r="J108" s="164"/>
    </row>
    <row r="109" spans="4:10">
      <c r="D109" s="58"/>
      <c r="G109" s="58"/>
      <c r="J109" s="164"/>
    </row>
    <row r="110" spans="4:10">
      <c r="D110" s="58"/>
      <c r="G110" s="58"/>
      <c r="J110" s="164"/>
    </row>
    <row r="111" spans="4:10">
      <c r="D111" s="58"/>
      <c r="G111" s="58"/>
      <c r="J111" s="164"/>
    </row>
    <row r="112" spans="4:10">
      <c r="D112" s="58"/>
      <c r="G112" s="58"/>
      <c r="J112" s="164"/>
    </row>
    <row r="113" spans="4:10">
      <c r="D113" s="58"/>
      <c r="G113" s="58"/>
      <c r="J113" s="164"/>
    </row>
    <row r="114" spans="4:10">
      <c r="D114" s="58"/>
      <c r="G114" s="58"/>
      <c r="J114" s="164"/>
    </row>
    <row r="115" spans="4:10">
      <c r="D115" s="58"/>
      <c r="G115" s="58"/>
      <c r="J115" s="164"/>
    </row>
    <row r="116" spans="4:10">
      <c r="D116" s="58"/>
      <c r="G116" s="58"/>
    </row>
    <row r="117" spans="4:10">
      <c r="D117" s="58"/>
      <c r="G117" s="58"/>
    </row>
    <row r="118" spans="4:10">
      <c r="D118" s="58"/>
      <c r="G118" s="58"/>
    </row>
    <row r="119" spans="4:10">
      <c r="D119" s="58"/>
      <c r="G119" s="58"/>
    </row>
    <row r="120" spans="4:10">
      <c r="D120" s="58"/>
      <c r="G120" s="58"/>
    </row>
    <row r="121" spans="4:10">
      <c r="D121" s="58"/>
      <c r="G121" s="58"/>
    </row>
    <row r="122" spans="4:10">
      <c r="D122" s="58"/>
      <c r="G122" s="58"/>
    </row>
    <row r="123" spans="4:10">
      <c r="D123" s="58"/>
      <c r="G123" s="58"/>
    </row>
    <row r="124" spans="4:10">
      <c r="D124" s="58"/>
      <c r="G124" s="58"/>
    </row>
    <row r="125" spans="4:10">
      <c r="D125" s="58"/>
    </row>
    <row r="126" spans="4:10">
      <c r="D126" s="58"/>
    </row>
    <row r="127" spans="4:10">
      <c r="D127" s="58"/>
    </row>
    <row r="128" spans="4:10">
      <c r="D128" s="58"/>
    </row>
    <row r="129" spans="4:4">
      <c r="D129" s="58"/>
    </row>
    <row r="130" spans="4:4">
      <c r="D130" s="58"/>
    </row>
    <row r="131" spans="4:4">
      <c r="D131" s="58"/>
    </row>
    <row r="132" spans="4:4">
      <c r="D132" s="58"/>
    </row>
    <row r="133" spans="4:4">
      <c r="D133" s="58"/>
    </row>
    <row r="134" spans="4:4">
      <c r="D134" s="58"/>
    </row>
    <row r="135" spans="4:4">
      <c r="D135" s="58"/>
    </row>
    <row r="136" spans="4:4">
      <c r="D136" s="58"/>
    </row>
    <row r="137" spans="4:4">
      <c r="D137" s="58"/>
    </row>
    <row r="138" spans="4:4">
      <c r="D138" s="58"/>
    </row>
    <row r="139" spans="4:4">
      <c r="D139" s="58"/>
    </row>
    <row r="140" spans="4:4">
      <c r="D140" s="58"/>
    </row>
    <row r="141" spans="4:4">
      <c r="D141" s="58"/>
    </row>
    <row r="142" spans="4:4">
      <c r="D142" s="58"/>
    </row>
    <row r="143" spans="4:4">
      <c r="D143" s="58"/>
    </row>
    <row r="144" spans="4:4">
      <c r="D144" s="58"/>
    </row>
    <row r="145" spans="4:4">
      <c r="D145" s="58"/>
    </row>
    <row r="146" spans="4:4">
      <c r="D146" s="58"/>
    </row>
    <row r="147" spans="4:4">
      <c r="D147" s="58"/>
    </row>
    <row r="148" spans="4:4">
      <c r="D148" s="58"/>
    </row>
    <row r="149" spans="4:4">
      <c r="D149" s="58"/>
    </row>
    <row r="150" spans="4:4">
      <c r="D150" s="58"/>
    </row>
    <row r="151" spans="4:4">
      <c r="D151" s="58"/>
    </row>
    <row r="152" spans="4:4">
      <c r="D152" s="58"/>
    </row>
    <row r="153" spans="4:4">
      <c r="D153" s="58"/>
    </row>
    <row r="154" spans="4:4">
      <c r="D154" s="58"/>
    </row>
    <row r="155" spans="4:4">
      <c r="D155" s="58"/>
    </row>
    <row r="156" spans="4:4">
      <c r="D156" s="58"/>
    </row>
    <row r="157" spans="4:4">
      <c r="D157" s="58"/>
    </row>
    <row r="158" spans="4:4">
      <c r="D158" s="58"/>
    </row>
    <row r="159" spans="4:4">
      <c r="D159" s="58"/>
    </row>
    <row r="160" spans="4:4">
      <c r="D160" s="58"/>
    </row>
    <row r="161" spans="4:4">
      <c r="D161" s="58"/>
    </row>
    <row r="162" spans="4:4">
      <c r="D162" s="58"/>
    </row>
    <row r="163" spans="4:4">
      <c r="D163" s="58"/>
    </row>
    <row r="164" spans="4:4">
      <c r="D164" s="58"/>
    </row>
    <row r="165" spans="4:4">
      <c r="D165" s="58"/>
    </row>
    <row r="166" spans="4:4">
      <c r="D166" s="58"/>
    </row>
    <row r="167" spans="4:4">
      <c r="D167" s="58"/>
    </row>
    <row r="168" spans="4:4">
      <c r="D168" s="58"/>
    </row>
    <row r="169" spans="4:4">
      <c r="D169" s="58"/>
    </row>
    <row r="170" spans="4:4">
      <c r="D170" s="58"/>
    </row>
    <row r="171" spans="4:4">
      <c r="D171" s="58"/>
    </row>
    <row r="172" spans="4:4">
      <c r="D172" s="58"/>
    </row>
    <row r="173" spans="4:4">
      <c r="D173" s="58"/>
    </row>
    <row r="174" spans="4:4">
      <c r="D174" s="58"/>
    </row>
    <row r="175" spans="4:4">
      <c r="D175" s="58"/>
    </row>
    <row r="176" spans="4:4">
      <c r="D176" s="58"/>
    </row>
    <row r="177" spans="4:4">
      <c r="D177" s="58"/>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77"/>
  <sheetViews>
    <sheetView showGridLines="0" view="pageBreakPreview" topLeftCell="A31" zoomScaleNormal="100" zoomScaleSheetLayoutView="100" workbookViewId="0">
      <selection activeCell="C37" sqref="C37:F37"/>
    </sheetView>
  </sheetViews>
  <sheetFormatPr defaultRowHeight="13"/>
  <cols>
    <col min="1" max="1" width="4.36328125" style="5" customWidth="1"/>
    <col min="2" max="2" width="5.453125" customWidth="1"/>
    <col min="3" max="3" width="31.36328125" customWidth="1"/>
    <col min="4" max="4" width="7.6328125" style="5" customWidth="1"/>
    <col min="5" max="5" width="7" style="5" customWidth="1"/>
    <col min="6" max="6" width="23.36328125" customWidth="1"/>
    <col min="7" max="7" width="7.08984375" style="5" customWidth="1"/>
    <col min="8" max="8" width="6.26953125" style="5" customWidth="1"/>
    <col min="9" max="9" width="6.7265625" style="5" customWidth="1"/>
    <col min="10" max="10" width="7" style="5" customWidth="1"/>
    <col min="11" max="11" width="6" style="5" customWidth="1"/>
    <col min="12" max="12" width="9.26953125" style="5" customWidth="1"/>
    <col min="13" max="13" width="8" style="5" customWidth="1"/>
    <col min="14" max="14" width="12.7265625" style="5" customWidth="1"/>
    <col min="15" max="15" width="9.26953125" style="5" customWidth="1"/>
    <col min="16" max="16" width="8" style="5" customWidth="1"/>
    <col min="17" max="17" width="12.7265625" style="5" customWidth="1"/>
    <col min="18" max="18" width="9.26953125" style="5" customWidth="1"/>
    <col min="19" max="19" width="8" style="5" customWidth="1"/>
    <col min="20" max="20" width="12.7265625" style="5" customWidth="1"/>
  </cols>
  <sheetData>
    <row r="1" spans="1:104" ht="11.25" hidden="1" customHeight="1">
      <c r="A1"/>
      <c r="D1"/>
      <c r="E1"/>
      <c r="G1"/>
      <c r="H1"/>
      <c r="I1"/>
      <c r="J1" s="46"/>
      <c r="K1" s="49"/>
      <c r="L1" s="2" t="s">
        <v>279</v>
      </c>
      <c r="M1" s="46"/>
      <c r="N1" s="46"/>
      <c r="O1" s="2"/>
      <c r="P1" s="46"/>
      <c r="Q1" s="46"/>
      <c r="R1" s="2"/>
      <c r="S1" s="46"/>
      <c r="T1" s="46"/>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s="46"/>
      <c r="K2" s="49"/>
      <c r="L2" s="46"/>
      <c r="M2" s="46"/>
      <c r="N2" s="46"/>
      <c r="O2" s="46"/>
      <c r="P2" s="46"/>
      <c r="Q2" s="46"/>
      <c r="R2" s="46"/>
      <c r="S2" s="46"/>
      <c r="T2" s="46"/>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s="46"/>
      <c r="K3" s="49"/>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s="46"/>
      <c r="K4" s="49"/>
      <c r="L4" s="2" t="s">
        <v>376</v>
      </c>
      <c r="M4" s="2"/>
      <c r="N4" s="2">
        <f>IF(ISNUMBER(DCOUNTA(査読範囲,L3,L3:L4)), DCOUNTA(査読範囲,L3,L3:L4), 0)</f>
        <v>0</v>
      </c>
      <c r="O4" s="2" t="s">
        <v>377</v>
      </c>
      <c r="P4" s="2"/>
      <c r="Q4" s="2">
        <f>IF(ISNUMBER(DCOUNTA(査読範囲,O3,O3:O4)), DCOUNTA(査読範囲,O3,O3:O4), 0)</f>
        <v>0</v>
      </c>
      <c r="R4" s="2" t="s">
        <v>378</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379</v>
      </c>
      <c r="AH4" s="2"/>
      <c r="AI4" s="2">
        <f>IF(ISNUMBER(DCOUNTA(査読範囲,AG3,AG3:AG4)), DCOUNTA(査読範囲,AG3,AG3:AG4), 0)</f>
        <v>0</v>
      </c>
      <c r="AJ4" s="2" t="s">
        <v>380</v>
      </c>
      <c r="AK4" s="2"/>
      <c r="AL4" s="2">
        <f>IF(ISNUMBER(DCOUNTA(査読範囲,AJ3,AJ3:AJ4)), DCOUNTA(査読範囲,AJ3,AJ3:AJ4), 0)</f>
        <v>0</v>
      </c>
      <c r="AM4" s="2" t="s">
        <v>381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382</v>
      </c>
      <c r="CP4" s="2"/>
      <c r="CQ4" s="2">
        <f>IF(ISNUMBER(DCOUNTA(査読範囲,CO3,CO3:CO4)), DCOUNTA(査読範囲,CO3,CO3:CO4), 0)</f>
        <v>0</v>
      </c>
      <c r="CR4" s="2" t="s">
        <v>383</v>
      </c>
      <c r="CS4" s="2"/>
      <c r="CT4" s="2">
        <f>IF(ISNUMBER(DCOUNTA(査読範囲,CR3,CR3:CR4)), DCOUNTA(査読範囲,CR3,CR3:CR4), 0)</f>
        <v>0</v>
      </c>
      <c r="CU4" s="2" t="s">
        <v>384</v>
      </c>
      <c r="CV4" s="2"/>
      <c r="CW4" s="2">
        <f>IF(ISNUMBER(DCOUNTA(査読範囲,CU3,CU3:CU4)), DCOUNTA(査読範囲,CU3,CU3:CU4), 0)</f>
        <v>0</v>
      </c>
      <c r="CX4" s="2" t="s">
        <v>385</v>
      </c>
      <c r="CY4" s="2"/>
      <c r="CZ4" s="2">
        <f>IF(ISNUMBER(DCOUNTA(査読範囲,CX3,CX3:CX4)), DCOUNTA(査読範囲,CX3,CX3:CX4), 0)</f>
        <v>0</v>
      </c>
    </row>
    <row r="5" spans="1:104" ht="11.25" hidden="1" customHeight="1">
      <c r="A5"/>
      <c r="D5"/>
      <c r="E5"/>
      <c r="G5"/>
      <c r="H5"/>
      <c r="I5"/>
      <c r="J5" s="46"/>
      <c r="K5" s="49"/>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s="46"/>
      <c r="K6" s="49"/>
      <c r="L6" s="2" t="s">
        <v>386</v>
      </c>
      <c r="M6" s="2"/>
      <c r="N6" s="2">
        <f>IF(ISNUMBER(DCOUNTA(査読範囲,L5,L5:L6)), DCOUNTA(査読範囲,L5,L5:L6), 0)</f>
        <v>0</v>
      </c>
      <c r="O6" s="2" t="s">
        <v>387</v>
      </c>
      <c r="P6" s="2"/>
      <c r="Q6" s="2">
        <f>IF(ISNUMBER(DCOUNTA(査読範囲,O5,O5:O6)), DCOUNTA(査読範囲,O5,O5:O6), 0)</f>
        <v>0</v>
      </c>
      <c r="R6" s="2" t="s">
        <v>388</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389</v>
      </c>
      <c r="AH6" s="2"/>
      <c r="AI6" s="2">
        <f>IF(ISNUMBER(DCOUNTA(査読範囲,AG5,AG5:AG6)), DCOUNTA(査読範囲,AG5,AG5:AG6), 0)</f>
        <v>0</v>
      </c>
      <c r="AJ6" s="2" t="s">
        <v>390</v>
      </c>
      <c r="AK6" s="2"/>
      <c r="AL6" s="2">
        <f>IF(ISNUMBER(DCOUNTA(査読範囲,AJ5,AJ5:AJ6)), DCOUNTA(査読範囲,AJ5,AJ5:AJ6), 0)</f>
        <v>0</v>
      </c>
      <c r="AM6" s="2" t="s">
        <v>391</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392</v>
      </c>
      <c r="CP6" s="2"/>
      <c r="CQ6" s="2">
        <f>IF(ISNUMBER(DCOUNTA(査読範囲,CO5,CO5:CO6)), DCOUNTA(査読範囲,CO5,CO5:CO6), 0)</f>
        <v>0</v>
      </c>
      <c r="CR6" s="2" t="s">
        <v>393</v>
      </c>
      <c r="CS6" s="2"/>
      <c r="CT6" s="2">
        <f>IF(ISNUMBER(DCOUNTA(査読範囲,CR5,CR5:CR6)), DCOUNTA(査読範囲,CR5,CR5:CR6), 0)</f>
        <v>0</v>
      </c>
      <c r="CU6" s="2" t="s">
        <v>394</v>
      </c>
      <c r="CV6" s="2"/>
      <c r="CW6" s="2">
        <f>IF(ISNUMBER(DCOUNTA(査読範囲,CU5,CU5:CU6)), DCOUNTA(査読範囲,CU5,CU5:CU6), 0)</f>
        <v>0</v>
      </c>
      <c r="CX6" s="2" t="s">
        <v>395</v>
      </c>
      <c r="CY6" s="2"/>
      <c r="CZ6" s="2">
        <f>IF(ISNUMBER(DCOUNTA(査読範囲,CX5,CX5:CX6)), DCOUNTA(査読範囲,CX5,CX5:CX6), 0)</f>
        <v>0</v>
      </c>
    </row>
    <row r="7" spans="1:104" ht="11.25" hidden="1" customHeight="1">
      <c r="A7"/>
      <c r="D7"/>
      <c r="E7"/>
      <c r="G7"/>
      <c r="H7"/>
      <c r="I7"/>
      <c r="J7" s="46"/>
      <c r="K7" s="49"/>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s="46"/>
      <c r="K8" s="49"/>
      <c r="L8" s="2" t="s">
        <v>396</v>
      </c>
      <c r="M8" s="2"/>
      <c r="N8" s="2">
        <f>IF(ISNUMBER(DCOUNTA(査読範囲,L7,L7:L8)), DCOUNTA(査読範囲,L7,L7:L8), 0)</f>
        <v>0</v>
      </c>
      <c r="O8" s="2" t="s">
        <v>396</v>
      </c>
      <c r="P8" s="2"/>
      <c r="Q8" s="2">
        <f>IF(ISNUMBER(DCOUNTA(査読範囲,O7,O7:O8)), DCOUNTA(査読範囲,O7,O7:O8), 0)</f>
        <v>0</v>
      </c>
      <c r="R8" s="2" t="s">
        <v>397</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398</v>
      </c>
      <c r="AH8" s="2"/>
      <c r="AI8" s="2">
        <f>IF(ISNUMBER(DCOUNTA(査読範囲,AG7,AG7:AG8)), DCOUNTA(査読範囲,AG7,AG7:AG8), 0)</f>
        <v>0</v>
      </c>
      <c r="AJ8" s="2" t="s">
        <v>399</v>
      </c>
      <c r="AK8" s="2"/>
      <c r="AL8" s="2">
        <f>IF(ISNUMBER(DCOUNTA(査読範囲,AJ7,AJ7:AJ8)), DCOUNTA(査読範囲,AJ7,AJ7:AJ8), 0)</f>
        <v>0</v>
      </c>
      <c r="AM8" s="2" t="s">
        <v>400</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401</v>
      </c>
      <c r="CP8" s="2"/>
      <c r="CQ8" s="2">
        <f>IF(ISNUMBER(DCOUNTA(査読範囲,CO7,CO7:CO8)), DCOUNTA(査読範囲,CO7,CO7:CO8), 0)</f>
        <v>0</v>
      </c>
      <c r="CR8" s="2" t="s">
        <v>402</v>
      </c>
      <c r="CS8" s="2"/>
      <c r="CT8" s="2">
        <f>IF(ISNUMBER(DCOUNTA(査読範囲,CR7,CR7:CR8)), DCOUNTA(査読範囲,CR7,CR7:CR8), 0)</f>
        <v>0</v>
      </c>
      <c r="CU8" s="2" t="s">
        <v>403</v>
      </c>
      <c r="CV8" s="2"/>
      <c r="CW8" s="2">
        <f>IF(ISNUMBER(DCOUNTA(査読範囲,CU7,CU7:CU8)), DCOUNTA(査読範囲,CU7,CU7:CU8), 0)</f>
        <v>0</v>
      </c>
      <c r="CX8" s="2" t="s">
        <v>404</v>
      </c>
      <c r="CY8" s="2"/>
      <c r="CZ8" s="2">
        <f>IF(ISNUMBER(DCOUNTA(査読範囲,CX7,CX7:CX8)), DCOUNTA(査読範囲,CX7,CX7:CX8), 0)</f>
        <v>0</v>
      </c>
    </row>
    <row r="9" spans="1:104" ht="11.25" hidden="1" customHeight="1">
      <c r="A9"/>
      <c r="D9"/>
      <c r="E9"/>
      <c r="G9"/>
      <c r="H9"/>
      <c r="I9"/>
      <c r="J9" s="46"/>
      <c r="K9" s="49"/>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s="46"/>
      <c r="K10" s="49"/>
      <c r="L10" s="2" t="s">
        <v>405</v>
      </c>
      <c r="M10" s="2"/>
      <c r="N10" s="141"/>
      <c r="O10" s="2" t="s">
        <v>406</v>
      </c>
      <c r="P10" s="2"/>
      <c r="Q10" s="141"/>
      <c r="R10" s="2" t="s">
        <v>407</v>
      </c>
      <c r="S10" s="2"/>
      <c r="T10" s="141"/>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408</v>
      </c>
      <c r="AH10" s="2"/>
      <c r="AI10" s="2">
        <f>IF(ISNUMBER(DCOUNTA(査読範囲,AG9,AG9:AG10)), DCOUNTA(査読範囲,AG9,AG9:AG10), 0)</f>
        <v>0</v>
      </c>
      <c r="AJ10" s="2" t="s">
        <v>409</v>
      </c>
      <c r="AK10" s="2"/>
      <c r="AL10" s="2">
        <f>IF(ISNUMBER(DCOUNTA(査読範囲,AJ9,AJ9:AJ10)), DCOUNTA(査読範囲,AJ9,AJ9:AJ10), 0)</f>
        <v>0</v>
      </c>
      <c r="AM10" s="2" t="s">
        <v>410</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54">
        <f>IF(ISNUMBER(DCOUNTA(査読範囲,BT9,BT9:BT10)), DCOUNTA(査読範囲,BT9,BT9:BT10), 0)</f>
        <v>0</v>
      </c>
      <c r="BW10" s="2" t="s">
        <v>122</v>
      </c>
      <c r="BX10" s="2"/>
      <c r="BY10" s="54">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55">
        <f>IF(ISNUMBER(DCOUNTA(査読範囲,CF9,CF9:CF10)), DCOUNTA(査読範囲,CF9,CF9:CF10), 0)</f>
        <v>0</v>
      </c>
      <c r="CI10" s="2" t="s">
        <v>143</v>
      </c>
      <c r="CJ10" s="2"/>
      <c r="CK10" s="55">
        <f>IF(ISNUMBER(DCOUNTA(査読範囲,CI9,CI9:CI10)), DCOUNTA(査読範囲,CI9,CI9:CI10), 0)</f>
        <v>0</v>
      </c>
      <c r="CL10" s="2" t="s">
        <v>148</v>
      </c>
      <c r="CM10" s="2"/>
      <c r="CN10" s="2">
        <f>IF(ISNUMBER(DCOUNTA(査読範囲,CL9,CL9:CL10)), DCOUNTA(査読範囲,CL9,CL9:CL10), 0)</f>
        <v>0</v>
      </c>
      <c r="CO10" s="2" t="s">
        <v>411</v>
      </c>
      <c r="CP10" s="2"/>
      <c r="CQ10" s="2">
        <f>IF(ISNUMBER(DCOUNTA(査読範囲,CO9,CO9:CO10)), DCOUNTA(査読範囲,CO9,CO9:CO10), 0)</f>
        <v>0</v>
      </c>
      <c r="CR10" s="2" t="s">
        <v>412</v>
      </c>
      <c r="CS10" s="2"/>
      <c r="CT10" s="2">
        <f>IF(ISNUMBER(DCOUNTA(査読範囲,CR9,CR9:CR10)), DCOUNTA(査読範囲,CR9,CR9:CR10), 0)</f>
        <v>0</v>
      </c>
      <c r="CU10" s="2" t="s">
        <v>413</v>
      </c>
      <c r="CV10" s="2"/>
      <c r="CW10" s="55">
        <f>IF(ISNUMBER(DCOUNTA(査読範囲,CU9,CU9:CU10)), DCOUNTA(査読範囲,CU9,CU9:CU10), 0)</f>
        <v>0</v>
      </c>
      <c r="CX10" s="2" t="s">
        <v>414</v>
      </c>
      <c r="CY10" s="2"/>
      <c r="CZ10" s="2">
        <f>IF(ISNUMBER(DCOUNTA(査読範囲,CX9,CX9:CX10)), DCOUNTA(査読範囲,CX9,CX9:CX10), 0)</f>
        <v>0</v>
      </c>
    </row>
    <row r="11" spans="1:104" ht="11.25" hidden="1" customHeight="1">
      <c r="A11"/>
      <c r="D11"/>
      <c r="E11"/>
      <c r="G11"/>
      <c r="H11"/>
      <c r="I11"/>
      <c r="J11" s="46"/>
      <c r="K11" s="49"/>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s="46"/>
      <c r="K12" s="49"/>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s="46"/>
      <c r="K13" s="49"/>
      <c r="L13" s="46"/>
      <c r="M13" s="46"/>
      <c r="N13" s="46"/>
      <c r="O13" s="46"/>
      <c r="P13" s="46"/>
      <c r="Q13" s="46"/>
      <c r="R13" s="46"/>
      <c r="S13" s="46"/>
      <c r="T13" s="46"/>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s="46"/>
      <c r="K14" s="49"/>
      <c r="L14" s="46"/>
      <c r="M14" s="46"/>
      <c r="N14" s="46"/>
      <c r="O14" s="46"/>
      <c r="P14" s="46"/>
      <c r="Q14" s="46"/>
      <c r="R14" s="46"/>
      <c r="S14" s="46"/>
      <c r="T14" s="46"/>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s="46"/>
      <c r="K15" s="49"/>
      <c r="L15" s="46"/>
      <c r="M15" s="46"/>
      <c r="N15" s="46"/>
      <c r="O15" s="46"/>
      <c r="P15" s="46"/>
      <c r="Q15" s="46"/>
      <c r="R15" s="46"/>
      <c r="S15" s="46"/>
      <c r="T15" s="46"/>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s="46"/>
      <c r="K16" s="49"/>
      <c r="L16" s="46"/>
      <c r="M16" s="46"/>
      <c r="N16" s="46"/>
      <c r="O16" s="46"/>
      <c r="P16" s="46"/>
      <c r="Q16" s="46"/>
      <c r="R16" s="46"/>
      <c r="S16" s="46"/>
      <c r="T16" s="4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s="46"/>
      <c r="K17" s="49"/>
      <c r="L17" s="46"/>
      <c r="M17" s="46"/>
      <c r="N17" s="46"/>
      <c r="O17" s="46"/>
      <c r="P17" s="46"/>
      <c r="Q17" s="46"/>
      <c r="R17" s="46"/>
      <c r="S17" s="46"/>
      <c r="T17" s="46"/>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s="46"/>
      <c r="K18" s="49"/>
      <c r="L18" s="46"/>
      <c r="M18" s="46"/>
      <c r="N18" s="46"/>
      <c r="O18" s="46"/>
      <c r="P18" s="46"/>
      <c r="Q18" s="46"/>
      <c r="R18" s="46"/>
      <c r="S18" s="46"/>
      <c r="T18" s="46"/>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s="46"/>
      <c r="K19" s="49"/>
      <c r="L19" s="46"/>
      <c r="M19" s="46"/>
      <c r="N19" s="46"/>
      <c r="O19" s="46"/>
      <c r="P19" s="46"/>
      <c r="Q19" s="46"/>
      <c r="R19" s="46"/>
      <c r="S19" s="46"/>
      <c r="T19" s="46"/>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s="46"/>
      <c r="K20" s="49"/>
      <c r="L20" s="46"/>
      <c r="M20" s="46"/>
      <c r="N20" s="46"/>
      <c r="O20" s="46"/>
      <c r="P20" s="46"/>
      <c r="Q20" s="46"/>
      <c r="R20" s="46"/>
      <c r="S20" s="46"/>
      <c r="T20" s="46"/>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s="46"/>
      <c r="K21" s="49"/>
      <c r="L21" s="46"/>
      <c r="M21" s="46"/>
      <c r="N21" s="46"/>
      <c r="O21" s="46"/>
      <c r="P21" s="46"/>
      <c r="Q21" s="46"/>
      <c r="R21" s="46"/>
      <c r="S21" s="46"/>
      <c r="T21" s="46"/>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s="46"/>
      <c r="K22" s="49"/>
      <c r="L22" s="46"/>
      <c r="M22" s="46"/>
      <c r="N22" s="46"/>
      <c r="O22" s="46"/>
      <c r="P22" s="46"/>
      <c r="Q22" s="46"/>
      <c r="R22" s="46"/>
      <c r="S22" s="46"/>
      <c r="T22" s="46"/>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s="46"/>
      <c r="K23" s="49"/>
      <c r="L23" s="46"/>
      <c r="M23" s="46"/>
      <c r="N23" s="46"/>
      <c r="O23" s="46"/>
      <c r="P23" s="46"/>
      <c r="Q23" s="46"/>
      <c r="R23" s="46"/>
      <c r="S23" s="46"/>
      <c r="T23" s="46"/>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s="46"/>
      <c r="K24" s="49"/>
      <c r="L24" s="46"/>
      <c r="M24" s="46"/>
      <c r="N24" s="46"/>
      <c r="O24" s="46"/>
      <c r="P24" s="46"/>
      <c r="Q24" s="46"/>
      <c r="R24" s="46"/>
      <c r="S24" s="46"/>
      <c r="T24" s="46"/>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9"/>
      <c r="D25" s="79"/>
      <c r="E25" s="79"/>
      <c r="F25" s="79"/>
      <c r="G25" s="79"/>
      <c r="H25" s="79"/>
      <c r="I25" s="79"/>
      <c r="J25" s="80"/>
      <c r="K25" s="81"/>
      <c r="L25" s="80"/>
      <c r="M25" s="80"/>
      <c r="N25" s="80"/>
      <c r="O25" s="80"/>
      <c r="P25" s="80"/>
      <c r="Q25" s="80"/>
      <c r="R25" s="80"/>
      <c r="S25" s="80"/>
      <c r="T25" s="80"/>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83" t="s">
        <v>288</v>
      </c>
      <c r="D26"/>
      <c r="E26"/>
      <c r="G26"/>
      <c r="H26"/>
      <c r="I26"/>
      <c r="J26"/>
      <c r="K26" s="49"/>
      <c r="L26" s="46"/>
      <c r="M26" s="46"/>
      <c r="N26" s="46"/>
      <c r="O26" s="46"/>
      <c r="P26" s="46"/>
      <c r="Q26" s="46"/>
      <c r="R26" s="46"/>
      <c r="S26" s="46"/>
      <c r="T26" s="4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82" t="s">
        <v>415</v>
      </c>
      <c r="D27"/>
      <c r="E27"/>
      <c r="G27"/>
      <c r="H27"/>
      <c r="I27"/>
      <c r="J27" s="46"/>
      <c r="K27" s="49"/>
      <c r="L27" s="46"/>
      <c r="M27" s="46"/>
      <c r="N27" s="46"/>
      <c r="O27" s="46"/>
      <c r="P27" s="46"/>
      <c r="Q27" s="46"/>
      <c r="R27" s="46"/>
      <c r="S27" s="46"/>
      <c r="T27" s="46"/>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C28" s="46"/>
      <c r="D28"/>
      <c r="E28"/>
      <c r="G28"/>
      <c r="H28"/>
      <c r="I28"/>
      <c r="J28" s="46"/>
      <c r="K28" s="49"/>
      <c r="L28" s="46"/>
      <c r="M28" s="46"/>
      <c r="N28" s="46"/>
      <c r="O28" s="46"/>
      <c r="P28" s="46"/>
      <c r="Q28" s="46"/>
      <c r="R28" s="46"/>
      <c r="S28" s="46"/>
      <c r="T28" s="46"/>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s="46"/>
      <c r="B29" s="46"/>
      <c r="C29" s="46"/>
      <c r="D29" s="46"/>
      <c r="E29" s="46"/>
      <c r="F29" s="46"/>
      <c r="G29" s="46"/>
      <c r="H29" s="46"/>
      <c r="I29" s="46"/>
      <c r="J29" s="46"/>
      <c r="K29" s="49"/>
      <c r="L29" s="46"/>
      <c r="M29" s="46"/>
      <c r="N29" s="46"/>
      <c r="O29" s="46"/>
      <c r="P29" s="46"/>
      <c r="Q29" s="46"/>
      <c r="R29" s="46"/>
      <c r="S29" s="46"/>
      <c r="T29" s="46"/>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8"/>
      <c r="B30" s="48"/>
      <c r="C30" s="48"/>
      <c r="D30" s="48"/>
      <c r="E30" s="48"/>
      <c r="F30" s="48"/>
      <c r="G30" s="48"/>
      <c r="H30" s="48"/>
      <c r="I30" s="48"/>
      <c r="J30" s="48"/>
      <c r="K30" s="50"/>
      <c r="L30" s="48"/>
      <c r="M30" s="48"/>
      <c r="N30" s="48"/>
      <c r="O30" s="48"/>
      <c r="P30" s="48"/>
      <c r="Q30" s="48"/>
      <c r="R30" s="48"/>
      <c r="S30" s="48"/>
      <c r="T30" s="48"/>
      <c r="U30" s="47"/>
      <c r="V30" s="48"/>
      <c r="W30" s="48"/>
      <c r="X30" s="47"/>
      <c r="Y30" s="48"/>
      <c r="Z30" s="47"/>
      <c r="AA30" s="47"/>
      <c r="AB30" s="47"/>
      <c r="AC30" s="47"/>
    </row>
    <row r="31" spans="1:104" ht="18" customHeight="1">
      <c r="A31"/>
      <c r="B31" s="113"/>
      <c r="C31" s="130"/>
      <c r="D31" s="131" t="s">
        <v>301</v>
      </c>
      <c r="E31" s="131"/>
      <c r="F31" s="130"/>
      <c r="G31" s="132"/>
      <c r="H31" s="132"/>
      <c r="I31" s="122"/>
      <c r="J31" s="122"/>
      <c r="K31" s="122"/>
    </row>
    <row r="32" spans="1:104" ht="6.75" customHeight="1" thickBot="1">
      <c r="C32" s="497"/>
      <c r="D32" s="498"/>
      <c r="E32" s="498"/>
      <c r="F32" s="498"/>
      <c r="G32" s="498"/>
      <c r="H32" s="140"/>
    </row>
    <row r="33" spans="1:24" ht="15.75" customHeight="1">
      <c r="A33" s="73" t="s">
        <v>357</v>
      </c>
      <c r="B33" s="35"/>
      <c r="C33" s="35"/>
      <c r="D33" s="35"/>
      <c r="E33" s="35"/>
      <c r="F33" s="35"/>
      <c r="G33" s="35"/>
      <c r="H33" s="35"/>
      <c r="I33" s="35"/>
      <c r="J33" s="508" t="s">
        <v>64</v>
      </c>
      <c r="K33" s="509"/>
      <c r="L33" s="119"/>
      <c r="M33" s="119"/>
      <c r="N33" s="119"/>
      <c r="O33" s="119"/>
      <c r="P33" s="119"/>
      <c r="Q33" s="119"/>
      <c r="R33" s="119"/>
      <c r="S33" s="119"/>
      <c r="T33" s="119"/>
    </row>
    <row r="34" spans="1:24" ht="15" customHeight="1">
      <c r="A34" s="506"/>
      <c r="B34" s="507"/>
      <c r="C34" s="68" t="s">
        <v>416</v>
      </c>
      <c r="D34" s="56"/>
      <c r="E34" s="56"/>
      <c r="F34" s="72"/>
      <c r="G34" s="56"/>
      <c r="H34" s="56"/>
      <c r="I34" s="56"/>
      <c r="J34" s="500"/>
      <c r="K34" s="501"/>
      <c r="L34" s="70"/>
      <c r="M34" s="70"/>
      <c r="N34" s="70"/>
      <c r="O34" s="70"/>
      <c r="P34" s="70"/>
      <c r="Q34" s="70"/>
      <c r="R34" s="70"/>
      <c r="S34" s="70"/>
      <c r="T34" s="70"/>
    </row>
    <row r="35" spans="1:24" ht="14.25" customHeight="1" thickBot="1">
      <c r="A35" s="506"/>
      <c r="B35" s="518"/>
      <c r="C35" s="68" t="s">
        <v>358</v>
      </c>
      <c r="D35" s="56"/>
      <c r="E35" s="56"/>
      <c r="F35" s="14"/>
      <c r="G35" s="14"/>
      <c r="H35" s="14"/>
      <c r="I35" s="14"/>
      <c r="J35" s="502"/>
      <c r="K35" s="503"/>
      <c r="L35" s="120"/>
      <c r="M35" s="120"/>
      <c r="N35" s="120"/>
      <c r="O35" s="120"/>
      <c r="P35" s="120"/>
      <c r="Q35" s="120"/>
      <c r="R35" s="120"/>
      <c r="S35" s="120"/>
      <c r="T35" s="120"/>
    </row>
    <row r="36" spans="1:24" ht="10.5" customHeight="1">
      <c r="A36" s="15"/>
      <c r="B36" s="15"/>
      <c r="C36" s="68"/>
      <c r="D36" s="56"/>
      <c r="E36" s="56"/>
      <c r="F36" s="2"/>
      <c r="G36" s="56"/>
      <c r="H36" s="56"/>
      <c r="I36" s="56"/>
      <c r="J36" s="56"/>
      <c r="K36" s="56"/>
      <c r="L36" s="56"/>
      <c r="M36" s="56"/>
      <c r="N36" s="56"/>
      <c r="O36" s="56"/>
      <c r="P36" s="56"/>
      <c r="Q36" s="56"/>
      <c r="R36" s="56"/>
      <c r="S36" s="56"/>
      <c r="T36" s="56"/>
    </row>
    <row r="37" spans="1:24" ht="18" customHeight="1">
      <c r="A37" s="515" t="s">
        <v>276</v>
      </c>
      <c r="B37" s="476"/>
      <c r="C37" s="519"/>
      <c r="D37" s="519"/>
      <c r="E37" s="519"/>
      <c r="F37" s="519"/>
      <c r="G37" s="512" t="s">
        <v>292</v>
      </c>
      <c r="H37" s="512"/>
      <c r="I37" s="513"/>
      <c r="J37" s="504"/>
      <c r="K37" s="505"/>
      <c r="L37" s="133"/>
      <c r="M37" s="133"/>
      <c r="N37" s="133"/>
      <c r="O37" s="133"/>
      <c r="P37" s="133"/>
      <c r="Q37" s="133"/>
      <c r="R37" s="133"/>
      <c r="S37" s="133"/>
      <c r="T37" s="133"/>
    </row>
    <row r="38" spans="1:24" ht="23.25" customHeight="1" thickBot="1">
      <c r="A38" s="522" t="s">
        <v>277</v>
      </c>
      <c r="B38" s="523"/>
      <c r="C38" s="524"/>
      <c r="D38" s="499"/>
      <c r="E38" s="499"/>
      <c r="F38" s="499"/>
      <c r="G38" s="514"/>
      <c r="H38" s="514"/>
      <c r="I38" s="513"/>
      <c r="J38" s="520"/>
      <c r="K38" s="521"/>
      <c r="L38" s="134"/>
      <c r="M38" s="134"/>
      <c r="N38" s="134"/>
      <c r="O38" s="134"/>
      <c r="P38" s="134"/>
      <c r="Q38" s="134"/>
      <c r="R38" s="134"/>
      <c r="S38" s="134"/>
      <c r="T38" s="134"/>
    </row>
    <row r="39" spans="1:24" ht="11.25" customHeight="1">
      <c r="A39" s="69"/>
      <c r="D39"/>
      <c r="E39"/>
      <c r="J39" s="70"/>
      <c r="K39" s="70"/>
      <c r="L39" s="135"/>
      <c r="M39" s="135"/>
      <c r="N39" s="135"/>
      <c r="O39" s="135"/>
      <c r="P39" s="135"/>
      <c r="Q39" s="135"/>
      <c r="R39" s="135"/>
      <c r="S39" s="135"/>
      <c r="T39" s="135"/>
    </row>
    <row r="40" spans="1:24" ht="13.5" customHeight="1">
      <c r="A40" s="69"/>
      <c r="C40" s="87"/>
      <c r="D40" s="88"/>
      <c r="E40" s="88"/>
      <c r="F40" s="89"/>
      <c r="G40" s="90"/>
      <c r="H40" s="90"/>
      <c r="I40" s="57" t="s">
        <v>417</v>
      </c>
      <c r="J40" s="510">
        <f>IF(J37&lt;&gt;0,DCOUNTA(査読範囲,C43,C26:C27)/J37,IF(J38&lt;&gt;0,DCOUNTA(査読範囲,C43,C26:C27)/J38,0))</f>
        <v>0</v>
      </c>
      <c r="K40" s="511"/>
      <c r="L40" s="121"/>
      <c r="M40" s="121"/>
      <c r="N40" s="121"/>
      <c r="O40" s="121"/>
      <c r="P40" s="121"/>
      <c r="Q40" s="121"/>
      <c r="R40" s="121"/>
      <c r="S40" s="121"/>
      <c r="T40" s="121"/>
    </row>
    <row r="41" spans="1:24" ht="16.5" customHeight="1">
      <c r="A41" s="69"/>
      <c r="C41" s="57" t="s">
        <v>373</v>
      </c>
      <c r="D41" s="84"/>
      <c r="E41" s="142"/>
      <c r="F41" s="73" t="s">
        <v>359</v>
      </c>
      <c r="G41"/>
      <c r="H41"/>
      <c r="I41"/>
      <c r="J41"/>
      <c r="K41"/>
      <c r="L41" s="136"/>
      <c r="M41" s="136"/>
      <c r="N41" s="136"/>
      <c r="O41" s="136"/>
      <c r="P41" s="136"/>
      <c r="Q41" s="136"/>
      <c r="R41" s="136"/>
      <c r="S41" s="136"/>
      <c r="T41" s="136"/>
    </row>
    <row r="42" spans="1:24" ht="6" customHeight="1">
      <c r="F42" t="s">
        <v>418</v>
      </c>
      <c r="L42" s="137"/>
      <c r="M42" s="137"/>
      <c r="N42" s="137"/>
      <c r="O42" s="137"/>
      <c r="P42" s="137"/>
      <c r="Q42" s="137"/>
      <c r="R42" s="137"/>
      <c r="S42" s="137"/>
      <c r="T42" s="137"/>
    </row>
    <row r="43" spans="1:24" ht="20.25" customHeight="1">
      <c r="A43" s="139" t="s">
        <v>419</v>
      </c>
      <c r="B43" s="165" t="s">
        <v>420</v>
      </c>
      <c r="C43" s="139" t="s">
        <v>67</v>
      </c>
      <c r="D43" s="139" t="s">
        <v>152</v>
      </c>
      <c r="E43" s="143" t="s">
        <v>154</v>
      </c>
      <c r="F43" s="139" t="s">
        <v>68</v>
      </c>
      <c r="G43" s="139" t="s">
        <v>155</v>
      </c>
      <c r="H43" s="143" t="s">
        <v>156</v>
      </c>
      <c r="I43" s="139" t="s">
        <v>70</v>
      </c>
      <c r="J43" s="139" t="s">
        <v>352</v>
      </c>
      <c r="K43" s="139" t="s">
        <v>69</v>
      </c>
      <c r="L43" s="138"/>
      <c r="M43" s="138"/>
      <c r="N43" s="138"/>
      <c r="O43" s="138"/>
      <c r="P43" s="138"/>
      <c r="Q43" s="138"/>
      <c r="R43" s="138"/>
      <c r="S43" s="138"/>
      <c r="T43" s="138"/>
    </row>
    <row r="44" spans="1:24" s="151" customFormat="1">
      <c r="A44" s="146">
        <v>1</v>
      </c>
      <c r="B44" s="181"/>
      <c r="C44" s="175"/>
      <c r="D44" s="153"/>
      <c r="E44" s="144"/>
      <c r="F44" s="176"/>
      <c r="G44" s="158"/>
      <c r="H44" s="148"/>
      <c r="I44" s="149"/>
      <c r="J44" s="161"/>
      <c r="K44" s="147"/>
      <c r="L44" s="150"/>
      <c r="M44" s="150"/>
      <c r="N44" s="150"/>
      <c r="O44" s="150"/>
      <c r="P44" s="150"/>
      <c r="Q44" s="150"/>
      <c r="R44" s="150"/>
      <c r="S44" s="150"/>
      <c r="T44" s="150"/>
    </row>
    <row r="45" spans="1:24" s="151" customFormat="1">
      <c r="A45" s="146">
        <f t="shared" ref="A45:A63" si="0">A44+1</f>
        <v>2</v>
      </c>
      <c r="B45" s="182"/>
      <c r="C45" s="175"/>
      <c r="D45" s="153"/>
      <c r="E45" s="144"/>
      <c r="F45" s="176"/>
      <c r="G45" s="158"/>
      <c r="H45" s="145"/>
      <c r="I45" s="149"/>
      <c r="J45" s="161"/>
      <c r="K45" s="147"/>
      <c r="L45" s="150"/>
      <c r="M45" s="150"/>
      <c r="N45" s="150"/>
      <c r="O45" s="150"/>
      <c r="P45" s="150"/>
      <c r="Q45" s="150"/>
      <c r="R45" s="150"/>
      <c r="S45" s="150"/>
      <c r="T45" s="150"/>
      <c r="V45" s="152"/>
    </row>
    <row r="46" spans="1:24" s="151" customFormat="1">
      <c r="A46" s="146">
        <f t="shared" si="0"/>
        <v>3</v>
      </c>
      <c r="B46" s="182"/>
      <c r="C46" s="175"/>
      <c r="D46" s="153"/>
      <c r="E46" s="144"/>
      <c r="F46" s="176"/>
      <c r="G46" s="158"/>
      <c r="H46" s="148"/>
      <c r="I46" s="149"/>
      <c r="J46" s="161"/>
      <c r="K46" s="147"/>
      <c r="L46" s="150"/>
      <c r="M46" s="150"/>
      <c r="N46" s="150"/>
      <c r="O46" s="150"/>
      <c r="P46" s="150"/>
      <c r="Q46" s="150"/>
      <c r="R46" s="150"/>
      <c r="S46" s="150"/>
      <c r="T46" s="150"/>
      <c r="V46" s="152"/>
      <c r="W46" s="152"/>
      <c r="X46" s="152"/>
    </row>
    <row r="47" spans="1:24" s="151" customFormat="1">
      <c r="A47" s="146">
        <f t="shared" si="0"/>
        <v>4</v>
      </c>
      <c r="B47" s="181"/>
      <c r="C47" s="175"/>
      <c r="D47" s="153"/>
      <c r="E47" s="144"/>
      <c r="F47" s="176"/>
      <c r="G47" s="158"/>
      <c r="H47" s="148"/>
      <c r="I47" s="149"/>
      <c r="J47" s="161"/>
      <c r="K47" s="147"/>
      <c r="L47" s="150"/>
      <c r="M47" s="150"/>
      <c r="N47" s="150"/>
      <c r="O47" s="150"/>
      <c r="P47" s="150"/>
      <c r="Q47" s="150"/>
      <c r="R47" s="150"/>
      <c r="S47" s="150"/>
      <c r="T47" s="150"/>
      <c r="V47" s="152"/>
      <c r="W47" s="152"/>
      <c r="X47" s="152"/>
    </row>
    <row r="48" spans="1:24" s="151" customFormat="1">
      <c r="A48" s="146">
        <f t="shared" si="0"/>
        <v>5</v>
      </c>
      <c r="B48" s="182"/>
      <c r="C48" s="175"/>
      <c r="D48" s="153"/>
      <c r="E48" s="144"/>
      <c r="F48" s="176"/>
      <c r="G48" s="158"/>
      <c r="H48" s="145"/>
      <c r="I48" s="149"/>
      <c r="J48" s="161"/>
      <c r="K48" s="147"/>
      <c r="L48" s="150"/>
      <c r="M48" s="150"/>
      <c r="N48" s="150"/>
      <c r="O48" s="150"/>
      <c r="P48" s="150"/>
      <c r="Q48" s="150"/>
      <c r="R48" s="150"/>
      <c r="S48" s="150"/>
      <c r="T48" s="150"/>
      <c r="V48" s="152"/>
      <c r="W48" s="152"/>
      <c r="X48" s="152"/>
    </row>
    <row r="49" spans="1:24" s="151" customFormat="1">
      <c r="A49" s="146">
        <f t="shared" si="0"/>
        <v>6</v>
      </c>
      <c r="B49" s="181"/>
      <c r="C49" s="175"/>
      <c r="D49" s="154"/>
      <c r="E49" s="144"/>
      <c r="F49" s="176"/>
      <c r="G49" s="158"/>
      <c r="H49" s="145"/>
      <c r="I49" s="149"/>
      <c r="J49" s="161"/>
      <c r="K49" s="147"/>
      <c r="L49" s="150"/>
      <c r="M49" s="150"/>
      <c r="N49" s="150"/>
      <c r="O49" s="150"/>
      <c r="P49" s="150"/>
      <c r="Q49" s="150"/>
      <c r="R49" s="150"/>
      <c r="S49" s="150"/>
      <c r="T49" s="150"/>
      <c r="V49" s="152"/>
      <c r="W49" s="152"/>
      <c r="X49" s="152"/>
    </row>
    <row r="50" spans="1:24" s="151" customFormat="1">
      <c r="A50" s="146">
        <f t="shared" si="0"/>
        <v>7</v>
      </c>
      <c r="B50" s="181"/>
      <c r="C50" s="175"/>
      <c r="D50" s="154"/>
      <c r="E50" s="144"/>
      <c r="F50" s="176"/>
      <c r="G50" s="158"/>
      <c r="H50" s="145"/>
      <c r="I50" s="149"/>
      <c r="J50" s="161"/>
      <c r="K50" s="147"/>
      <c r="L50" s="150"/>
      <c r="M50" s="150"/>
      <c r="N50" s="150"/>
      <c r="O50" s="150"/>
      <c r="P50" s="150"/>
      <c r="Q50" s="150"/>
      <c r="R50" s="150"/>
      <c r="S50" s="150"/>
      <c r="T50" s="150"/>
    </row>
    <row r="51" spans="1:24" s="151" customFormat="1">
      <c r="A51" s="146">
        <f t="shared" si="0"/>
        <v>8</v>
      </c>
      <c r="B51" s="181"/>
      <c r="C51" s="175"/>
      <c r="D51" s="154"/>
      <c r="E51" s="144"/>
      <c r="F51" s="176"/>
      <c r="G51" s="158"/>
      <c r="H51" s="145"/>
      <c r="I51" s="149"/>
      <c r="J51" s="161"/>
      <c r="K51" s="147"/>
      <c r="L51" s="150"/>
      <c r="M51" s="150"/>
      <c r="N51" s="150"/>
      <c r="O51" s="150"/>
      <c r="P51" s="150"/>
      <c r="Q51" s="150"/>
      <c r="R51" s="150"/>
      <c r="S51" s="150"/>
      <c r="T51" s="150"/>
    </row>
    <row r="52" spans="1:24" s="151" customFormat="1">
      <c r="A52" s="146">
        <f t="shared" si="0"/>
        <v>9</v>
      </c>
      <c r="B52" s="181"/>
      <c r="C52" s="175"/>
      <c r="D52" s="154"/>
      <c r="E52" s="144"/>
      <c r="F52" s="176"/>
      <c r="G52" s="158"/>
      <c r="H52" s="180"/>
      <c r="I52" s="149"/>
      <c r="J52" s="161"/>
      <c r="K52" s="147"/>
      <c r="L52" s="150"/>
      <c r="M52" s="150"/>
      <c r="N52" s="150"/>
      <c r="O52" s="150"/>
      <c r="P52" s="150"/>
      <c r="Q52" s="150"/>
      <c r="R52" s="150"/>
      <c r="S52" s="150"/>
      <c r="T52" s="150"/>
    </row>
    <row r="53" spans="1:24" s="151" customFormat="1">
      <c r="A53" s="146">
        <f t="shared" si="0"/>
        <v>10</v>
      </c>
      <c r="B53" s="181"/>
      <c r="C53" s="175"/>
      <c r="D53" s="154"/>
      <c r="E53" s="144"/>
      <c r="F53" s="176"/>
      <c r="G53" s="158"/>
      <c r="H53" s="180"/>
      <c r="I53" s="149"/>
      <c r="J53" s="161"/>
      <c r="K53" s="147"/>
      <c r="L53" s="150"/>
      <c r="M53" s="150"/>
      <c r="N53" s="150"/>
      <c r="O53" s="150"/>
      <c r="P53" s="150"/>
      <c r="Q53" s="150"/>
      <c r="R53" s="150"/>
      <c r="S53" s="150"/>
      <c r="T53" s="150"/>
    </row>
    <row r="54" spans="1:24" s="151" customFormat="1">
      <c r="A54" s="146">
        <f t="shared" si="0"/>
        <v>11</v>
      </c>
      <c r="B54" s="181"/>
      <c r="C54" s="175"/>
      <c r="D54" s="154"/>
      <c r="E54" s="144"/>
      <c r="F54" s="176"/>
      <c r="G54" s="158"/>
      <c r="H54" s="145"/>
      <c r="I54" s="149"/>
      <c r="J54" s="161"/>
      <c r="K54" s="147"/>
      <c r="L54" s="150"/>
      <c r="M54" s="150"/>
      <c r="N54" s="150"/>
      <c r="O54" s="150"/>
      <c r="P54" s="150"/>
      <c r="Q54" s="150"/>
      <c r="R54" s="150"/>
      <c r="S54" s="150"/>
      <c r="T54" s="150"/>
    </row>
    <row r="55" spans="1:24" s="151" customFormat="1">
      <c r="A55" s="146">
        <f t="shared" si="0"/>
        <v>12</v>
      </c>
      <c r="B55" s="181"/>
      <c r="C55" s="175"/>
      <c r="D55" s="154"/>
      <c r="E55" s="144"/>
      <c r="F55" s="176"/>
      <c r="G55" s="158"/>
      <c r="H55" s="145"/>
      <c r="I55" s="149"/>
      <c r="J55" s="161"/>
      <c r="K55" s="147"/>
      <c r="L55" s="150"/>
      <c r="M55" s="150"/>
      <c r="N55" s="150"/>
      <c r="O55" s="150"/>
      <c r="P55" s="150"/>
      <c r="Q55" s="150"/>
      <c r="R55" s="150"/>
      <c r="S55" s="150"/>
      <c r="T55" s="150"/>
    </row>
    <row r="56" spans="1:24" s="151" customFormat="1">
      <c r="A56" s="146">
        <f t="shared" si="0"/>
        <v>13</v>
      </c>
      <c r="B56" s="181"/>
      <c r="C56" s="175"/>
      <c r="D56" s="154"/>
      <c r="E56" s="144"/>
      <c r="F56" s="176"/>
      <c r="G56" s="158"/>
      <c r="H56" s="145"/>
      <c r="I56" s="149"/>
      <c r="J56" s="161"/>
      <c r="K56" s="147"/>
      <c r="L56" s="150"/>
      <c r="M56" s="150"/>
      <c r="N56" s="150"/>
      <c r="O56" s="150"/>
      <c r="P56" s="150"/>
      <c r="Q56" s="150"/>
      <c r="R56" s="150"/>
      <c r="S56" s="150"/>
      <c r="T56" s="150"/>
    </row>
    <row r="57" spans="1:24" s="151" customFormat="1">
      <c r="A57" s="146">
        <f t="shared" si="0"/>
        <v>14</v>
      </c>
      <c r="B57" s="181"/>
      <c r="C57" s="175"/>
      <c r="D57" s="154"/>
      <c r="E57" s="144"/>
      <c r="F57" s="176"/>
      <c r="G57" s="158"/>
      <c r="H57" s="145"/>
      <c r="I57" s="149"/>
      <c r="J57" s="161"/>
      <c r="K57" s="147"/>
      <c r="L57" s="150"/>
      <c r="M57" s="150"/>
      <c r="N57" s="150"/>
      <c r="O57" s="150"/>
      <c r="P57" s="150"/>
      <c r="Q57" s="150"/>
      <c r="R57" s="150"/>
      <c r="S57" s="150"/>
      <c r="T57" s="150"/>
    </row>
    <row r="58" spans="1:24" s="151" customFormat="1">
      <c r="A58" s="146">
        <f t="shared" si="0"/>
        <v>15</v>
      </c>
      <c r="B58" s="181"/>
      <c r="C58" s="175"/>
      <c r="D58" s="154"/>
      <c r="E58" s="144"/>
      <c r="F58" s="176"/>
      <c r="G58" s="158"/>
      <c r="H58" s="145"/>
      <c r="I58" s="149"/>
      <c r="J58" s="161"/>
      <c r="K58" s="147"/>
      <c r="L58" s="150"/>
      <c r="M58" s="150"/>
      <c r="N58" s="150"/>
      <c r="O58" s="150"/>
      <c r="P58" s="150"/>
      <c r="Q58" s="150"/>
      <c r="R58" s="150"/>
      <c r="S58" s="150"/>
      <c r="T58" s="150"/>
    </row>
    <row r="59" spans="1:24" s="151" customFormat="1">
      <c r="A59" s="146">
        <f t="shared" si="0"/>
        <v>16</v>
      </c>
      <c r="B59" s="181"/>
      <c r="C59" s="175"/>
      <c r="D59" s="154"/>
      <c r="E59" s="144"/>
      <c r="F59" s="176"/>
      <c r="G59" s="158"/>
      <c r="H59" s="180"/>
      <c r="I59" s="149"/>
      <c r="J59" s="161"/>
      <c r="K59" s="147"/>
      <c r="L59" s="150"/>
      <c r="M59" s="150"/>
      <c r="N59" s="150"/>
      <c r="O59" s="150"/>
      <c r="P59" s="150"/>
      <c r="Q59" s="150"/>
      <c r="R59" s="150"/>
      <c r="S59" s="150"/>
      <c r="T59" s="150"/>
    </row>
    <row r="60" spans="1:24" s="151" customFormat="1">
      <c r="A60" s="146">
        <f t="shared" si="0"/>
        <v>17</v>
      </c>
      <c r="B60" s="181"/>
      <c r="C60" s="175"/>
      <c r="D60" s="154"/>
      <c r="E60" s="144"/>
      <c r="F60" s="176"/>
      <c r="G60" s="158"/>
      <c r="H60" s="180"/>
      <c r="I60" s="149"/>
      <c r="J60" s="161"/>
      <c r="K60" s="147"/>
      <c r="L60" s="150"/>
      <c r="M60" s="150"/>
      <c r="N60" s="150"/>
      <c r="O60" s="150"/>
      <c r="P60" s="150"/>
      <c r="Q60" s="150"/>
      <c r="R60" s="150"/>
      <c r="S60" s="150"/>
      <c r="T60" s="150"/>
    </row>
    <row r="61" spans="1:24" s="151" customFormat="1">
      <c r="A61" s="146">
        <f t="shared" si="0"/>
        <v>18</v>
      </c>
      <c r="B61" s="181"/>
      <c r="C61" s="175"/>
      <c r="D61" s="154"/>
      <c r="E61" s="144"/>
      <c r="F61" s="176"/>
      <c r="G61" s="158"/>
      <c r="H61" s="145"/>
      <c r="I61" s="149"/>
      <c r="J61" s="161"/>
      <c r="K61" s="147"/>
      <c r="L61" s="150"/>
      <c r="M61" s="150"/>
      <c r="N61" s="150"/>
      <c r="O61" s="150"/>
      <c r="P61" s="150"/>
      <c r="Q61" s="150"/>
      <c r="R61" s="150"/>
      <c r="S61" s="150"/>
      <c r="T61" s="150"/>
    </row>
    <row r="62" spans="1:24" s="151" customFormat="1">
      <c r="A62" s="146">
        <f t="shared" si="0"/>
        <v>19</v>
      </c>
      <c r="B62" s="181"/>
      <c r="C62" s="175"/>
      <c r="D62" s="154"/>
      <c r="E62" s="144"/>
      <c r="F62" s="176"/>
      <c r="G62" s="158"/>
      <c r="H62" s="145"/>
      <c r="I62" s="149"/>
      <c r="J62" s="161"/>
      <c r="K62" s="147"/>
      <c r="L62" s="150"/>
      <c r="M62" s="150"/>
      <c r="N62" s="150"/>
      <c r="O62" s="150"/>
      <c r="P62" s="150"/>
      <c r="Q62" s="150"/>
      <c r="R62" s="150"/>
      <c r="S62" s="150"/>
      <c r="T62" s="150"/>
    </row>
    <row r="63" spans="1:24" s="151" customFormat="1">
      <c r="A63" s="146">
        <f t="shared" si="0"/>
        <v>20</v>
      </c>
      <c r="B63" s="181"/>
      <c r="C63" s="175"/>
      <c r="D63" s="154"/>
      <c r="E63" s="144"/>
      <c r="F63" s="176"/>
      <c r="G63" s="158"/>
      <c r="H63" s="145"/>
      <c r="I63" s="149"/>
      <c r="J63" s="161"/>
      <c r="K63" s="147"/>
      <c r="L63" s="150"/>
      <c r="M63" s="150"/>
      <c r="N63" s="150"/>
      <c r="O63" s="150"/>
      <c r="P63" s="150"/>
      <c r="Q63" s="150"/>
      <c r="R63" s="150"/>
      <c r="S63" s="150"/>
      <c r="T63" s="150"/>
    </row>
    <row r="64" spans="1:24" s="15" customFormat="1">
      <c r="A64" s="6" t="s">
        <v>315</v>
      </c>
      <c r="B64" s="14"/>
      <c r="C64" s="14"/>
      <c r="D64" s="155"/>
      <c r="E64" s="14"/>
      <c r="F64" s="14"/>
      <c r="G64" s="155"/>
      <c r="H64" s="14"/>
      <c r="I64" s="14"/>
      <c r="J64" s="155"/>
      <c r="K64" s="14"/>
      <c r="L64" s="14"/>
      <c r="M64" s="14"/>
      <c r="N64" s="14"/>
      <c r="O64" s="14"/>
      <c r="P64" s="14"/>
      <c r="Q64" s="14"/>
      <c r="R64" s="14"/>
      <c r="S64" s="14"/>
      <c r="T64" s="14"/>
    </row>
    <row r="65" spans="1:256" s="15" customFormat="1">
      <c r="B65" s="14"/>
      <c r="C65" s="14"/>
      <c r="D65" s="156"/>
      <c r="F65" s="14"/>
      <c r="G65" s="155"/>
      <c r="H65" s="14"/>
      <c r="I65" s="14"/>
      <c r="J65" s="155"/>
      <c r="K65" s="14"/>
      <c r="L65" s="14"/>
      <c r="M65" s="14"/>
      <c r="N65" s="14"/>
      <c r="O65" s="14"/>
      <c r="P65" s="14"/>
      <c r="Q65" s="14"/>
      <c r="R65" s="14"/>
      <c r="S65" s="14"/>
      <c r="T65" s="14"/>
    </row>
    <row r="66" spans="1:256">
      <c r="B66" s="14"/>
      <c r="C66" s="14"/>
      <c r="D66" s="157"/>
      <c r="F66" s="14"/>
      <c r="G66" s="155"/>
      <c r="H66" s="14"/>
      <c r="I66" s="14"/>
      <c r="J66" s="162"/>
      <c r="K66" s="6"/>
      <c r="L66" s="6"/>
      <c r="M66" s="6"/>
      <c r="N66" s="6"/>
      <c r="O66" s="6"/>
      <c r="P66" s="6"/>
      <c r="Q66" s="6"/>
      <c r="R66" s="6"/>
      <c r="S66" s="6"/>
      <c r="T66" s="6"/>
    </row>
    <row r="67" spans="1:256">
      <c r="B67" s="14"/>
      <c r="C67" s="23"/>
      <c r="D67" s="157"/>
      <c r="F67" s="14"/>
      <c r="G67" s="155"/>
      <c r="H67" s="14"/>
      <c r="I67" s="6"/>
      <c r="J67" s="162"/>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4"/>
      <c r="C68" s="23"/>
      <c r="D68" s="157"/>
      <c r="F68" s="14"/>
      <c r="G68" s="159"/>
      <c r="H68" s="23"/>
      <c r="I68" s="4"/>
      <c r="J68" s="163"/>
      <c r="K68" s="4"/>
      <c r="L68" s="4"/>
      <c r="M68" s="4"/>
      <c r="N68" s="4"/>
      <c r="O68" s="4"/>
      <c r="P68" s="4"/>
      <c r="Q68" s="4"/>
      <c r="R68" s="4"/>
      <c r="S68" s="4"/>
      <c r="T68" s="4"/>
    </row>
    <row r="69" spans="1:256">
      <c r="B69" s="14"/>
      <c r="C69" s="23"/>
      <c r="D69" s="157"/>
      <c r="F69" s="14"/>
      <c r="G69" s="159"/>
      <c r="H69" s="23"/>
      <c r="I69" s="4"/>
      <c r="J69" s="163"/>
      <c r="K69" s="4"/>
      <c r="L69" s="4"/>
      <c r="M69" s="4"/>
      <c r="N69" s="4"/>
      <c r="O69" s="4"/>
      <c r="P69" s="4"/>
      <c r="Q69" s="4"/>
      <c r="R69" s="4"/>
      <c r="S69" s="4"/>
      <c r="T69" s="4"/>
    </row>
    <row r="70" spans="1:256">
      <c r="A70" s="14"/>
      <c r="B70" s="14"/>
      <c r="C70" s="23"/>
      <c r="D70" s="157"/>
      <c r="F70" s="23"/>
      <c r="G70" s="159"/>
      <c r="H70" s="23"/>
      <c r="I70" s="4"/>
      <c r="J70" s="163"/>
      <c r="K70" s="4"/>
      <c r="L70" s="4"/>
      <c r="M70" s="4"/>
      <c r="N70" s="4"/>
      <c r="O70" s="4"/>
      <c r="P70" s="4"/>
      <c r="Q70" s="4"/>
      <c r="R70" s="4"/>
      <c r="S70" s="4"/>
      <c r="T70" s="4"/>
    </row>
    <row r="71" spans="1:256">
      <c r="A71" s="14"/>
      <c r="B71" s="23"/>
      <c r="C71" s="23"/>
      <c r="D71" s="157"/>
      <c r="F71" s="23"/>
      <c r="G71" s="159"/>
      <c r="H71" s="23"/>
      <c r="I71" s="4"/>
      <c r="J71" s="163"/>
      <c r="K71" s="4"/>
      <c r="L71" s="4"/>
      <c r="M71" s="4"/>
      <c r="N71" s="4"/>
      <c r="O71" s="4"/>
      <c r="P71" s="4"/>
      <c r="Q71" s="4"/>
      <c r="R71" s="4"/>
      <c r="S71" s="4"/>
      <c r="T71" s="4"/>
    </row>
    <row r="72" spans="1:256">
      <c r="D72" s="157"/>
      <c r="G72" s="160"/>
      <c r="H72"/>
      <c r="J72" s="157"/>
    </row>
    <row r="73" spans="1:256">
      <c r="D73" s="157"/>
      <c r="G73" s="160"/>
      <c r="H73"/>
      <c r="J73" s="157"/>
    </row>
    <row r="74" spans="1:256">
      <c r="D74" s="157"/>
      <c r="G74" s="157"/>
      <c r="J74" s="157"/>
    </row>
    <row r="75" spans="1:256">
      <c r="D75" s="157"/>
      <c r="G75" s="157"/>
      <c r="J75" s="157"/>
    </row>
    <row r="76" spans="1:256">
      <c r="A76" s="51" t="s">
        <v>360</v>
      </c>
      <c r="D76" s="157"/>
      <c r="G76" s="157"/>
      <c r="J76" s="157"/>
    </row>
    <row r="77" spans="1:256">
      <c r="A77" s="52" t="s">
        <v>361</v>
      </c>
      <c r="D77" s="157"/>
      <c r="G77" s="157"/>
      <c r="J77" s="157"/>
    </row>
    <row r="78" spans="1:256">
      <c r="A78" s="51" t="s">
        <v>362</v>
      </c>
      <c r="D78" s="157"/>
      <c r="G78" s="157"/>
      <c r="J78" s="157"/>
    </row>
    <row r="79" spans="1:256">
      <c r="A79" s="52"/>
      <c r="D79" s="157"/>
      <c r="G79" s="157"/>
      <c r="J79" s="157"/>
    </row>
    <row r="80" spans="1:256">
      <c r="D80" s="157"/>
      <c r="G80" s="157"/>
      <c r="J80" s="157"/>
    </row>
    <row r="81" spans="4:10">
      <c r="D81" s="157"/>
      <c r="G81" s="157"/>
      <c r="J81" s="157"/>
    </row>
    <row r="82" spans="4:10">
      <c r="D82" s="157"/>
      <c r="G82" s="157"/>
      <c r="J82" s="157"/>
    </row>
    <row r="83" spans="4:10">
      <c r="D83" s="157"/>
      <c r="G83" s="157"/>
      <c r="J83" s="157"/>
    </row>
    <row r="84" spans="4:10">
      <c r="D84" s="157"/>
      <c r="G84" s="157"/>
      <c r="J84" s="157"/>
    </row>
    <row r="85" spans="4:10">
      <c r="D85" s="58"/>
      <c r="G85" s="157"/>
      <c r="J85" s="157"/>
    </row>
    <row r="86" spans="4:10">
      <c r="D86" s="58"/>
      <c r="G86" s="157"/>
      <c r="J86" s="157"/>
    </row>
    <row r="87" spans="4:10">
      <c r="D87" s="58"/>
      <c r="G87" s="157"/>
      <c r="J87" s="157"/>
    </row>
    <row r="88" spans="4:10">
      <c r="D88" s="58"/>
      <c r="G88" s="157"/>
      <c r="J88" s="157"/>
    </row>
    <row r="89" spans="4:10">
      <c r="D89" s="58"/>
      <c r="G89" s="157"/>
      <c r="J89" s="157"/>
    </row>
    <row r="90" spans="4:10">
      <c r="D90" s="58"/>
      <c r="G90" s="157"/>
      <c r="J90" s="164"/>
    </row>
    <row r="91" spans="4:10">
      <c r="D91" s="58"/>
      <c r="G91" s="157"/>
      <c r="J91" s="164"/>
    </row>
    <row r="92" spans="4:10">
      <c r="D92" s="58"/>
      <c r="G92" s="157"/>
      <c r="J92" s="164"/>
    </row>
    <row r="93" spans="4:10">
      <c r="D93" s="58"/>
      <c r="G93" s="157"/>
      <c r="J93" s="164"/>
    </row>
    <row r="94" spans="4:10">
      <c r="D94" s="58"/>
      <c r="G94" s="157"/>
      <c r="J94" s="164"/>
    </row>
    <row r="95" spans="4:10">
      <c r="D95" s="58"/>
      <c r="G95" s="157"/>
      <c r="J95" s="164"/>
    </row>
    <row r="96" spans="4:10">
      <c r="D96" s="58"/>
      <c r="G96" s="157"/>
      <c r="J96" s="164"/>
    </row>
    <row r="97" spans="4:10">
      <c r="D97" s="58"/>
      <c r="G97" s="157"/>
      <c r="J97" s="164"/>
    </row>
    <row r="98" spans="4:10">
      <c r="D98" s="58"/>
      <c r="G98" s="157"/>
      <c r="J98" s="164"/>
    </row>
    <row r="99" spans="4:10">
      <c r="D99" s="58"/>
      <c r="G99" s="157"/>
      <c r="J99" s="164"/>
    </row>
    <row r="100" spans="4:10">
      <c r="D100" s="58"/>
      <c r="G100" s="157"/>
      <c r="J100" s="164"/>
    </row>
    <row r="101" spans="4:10">
      <c r="D101" s="58"/>
      <c r="G101" s="157"/>
      <c r="J101" s="164"/>
    </row>
    <row r="102" spans="4:10">
      <c r="D102" s="58"/>
      <c r="G102" s="157"/>
      <c r="J102" s="164"/>
    </row>
    <row r="103" spans="4:10">
      <c r="D103" s="58"/>
      <c r="G103" s="157"/>
      <c r="J103" s="164"/>
    </row>
    <row r="104" spans="4:10">
      <c r="D104" s="58"/>
      <c r="G104" s="157"/>
      <c r="J104" s="164"/>
    </row>
    <row r="105" spans="4:10">
      <c r="D105" s="58"/>
      <c r="G105" s="58"/>
      <c r="J105" s="164"/>
    </row>
    <row r="106" spans="4:10">
      <c r="D106" s="58"/>
      <c r="G106" s="58"/>
      <c r="J106" s="164"/>
    </row>
    <row r="107" spans="4:10">
      <c r="D107" s="58"/>
      <c r="G107" s="58"/>
      <c r="J107" s="164"/>
    </row>
    <row r="108" spans="4:10">
      <c r="D108" s="58"/>
      <c r="G108" s="58"/>
      <c r="J108" s="164"/>
    </row>
    <row r="109" spans="4:10">
      <c r="D109" s="58"/>
      <c r="G109" s="58"/>
      <c r="J109" s="164"/>
    </row>
    <row r="110" spans="4:10">
      <c r="D110" s="58"/>
      <c r="G110" s="58"/>
      <c r="J110" s="164"/>
    </row>
    <row r="111" spans="4:10">
      <c r="D111" s="58"/>
      <c r="G111" s="58"/>
      <c r="J111" s="164"/>
    </row>
    <row r="112" spans="4:10">
      <c r="D112" s="58"/>
      <c r="G112" s="58"/>
      <c r="J112" s="164"/>
    </row>
    <row r="113" spans="4:10">
      <c r="D113" s="58"/>
      <c r="G113" s="58"/>
      <c r="J113" s="164"/>
    </row>
    <row r="114" spans="4:10">
      <c r="D114" s="58"/>
      <c r="G114" s="58"/>
      <c r="J114" s="164"/>
    </row>
    <row r="115" spans="4:10">
      <c r="D115" s="58"/>
      <c r="G115" s="58"/>
      <c r="J115" s="164"/>
    </row>
    <row r="116" spans="4:10">
      <c r="D116" s="58"/>
      <c r="G116" s="58"/>
    </row>
    <row r="117" spans="4:10">
      <c r="D117" s="58"/>
      <c r="G117" s="58"/>
    </row>
    <row r="118" spans="4:10">
      <c r="D118" s="58"/>
      <c r="G118" s="58"/>
    </row>
    <row r="119" spans="4:10">
      <c r="D119" s="58"/>
      <c r="G119" s="58"/>
    </row>
    <row r="120" spans="4:10">
      <c r="D120" s="58"/>
      <c r="G120" s="58"/>
    </row>
    <row r="121" spans="4:10">
      <c r="D121" s="58"/>
      <c r="G121" s="58"/>
    </row>
    <row r="122" spans="4:10">
      <c r="D122" s="58"/>
      <c r="G122" s="58"/>
    </row>
    <row r="123" spans="4:10">
      <c r="D123" s="58"/>
      <c r="G123" s="58"/>
    </row>
    <row r="124" spans="4:10">
      <c r="D124" s="58"/>
      <c r="G124" s="58"/>
    </row>
    <row r="125" spans="4:10">
      <c r="D125" s="58"/>
    </row>
    <row r="126" spans="4:10">
      <c r="D126" s="58"/>
    </row>
    <row r="127" spans="4:10">
      <c r="D127" s="58"/>
    </row>
    <row r="128" spans="4:10">
      <c r="D128" s="58"/>
    </row>
    <row r="129" spans="4:4">
      <c r="D129" s="58"/>
    </row>
    <row r="130" spans="4:4">
      <c r="D130" s="58"/>
    </row>
    <row r="131" spans="4:4">
      <c r="D131" s="58"/>
    </row>
    <row r="132" spans="4:4">
      <c r="D132" s="58"/>
    </row>
    <row r="133" spans="4:4">
      <c r="D133" s="58"/>
    </row>
    <row r="134" spans="4:4">
      <c r="D134" s="58"/>
    </row>
    <row r="135" spans="4:4">
      <c r="D135" s="58"/>
    </row>
    <row r="136" spans="4:4">
      <c r="D136" s="58"/>
    </row>
    <row r="137" spans="4:4">
      <c r="D137" s="58"/>
    </row>
    <row r="138" spans="4:4">
      <c r="D138" s="58"/>
    </row>
    <row r="139" spans="4:4">
      <c r="D139" s="58"/>
    </row>
    <row r="140" spans="4:4">
      <c r="D140" s="58"/>
    </row>
    <row r="141" spans="4:4">
      <c r="D141" s="58"/>
    </row>
    <row r="142" spans="4:4">
      <c r="D142" s="58"/>
    </row>
    <row r="143" spans="4:4">
      <c r="D143" s="58"/>
    </row>
    <row r="144" spans="4:4">
      <c r="D144" s="58"/>
    </row>
    <row r="145" spans="4:4">
      <c r="D145" s="58"/>
    </row>
    <row r="146" spans="4:4">
      <c r="D146" s="58"/>
    </row>
    <row r="147" spans="4:4">
      <c r="D147" s="58"/>
    </row>
    <row r="148" spans="4:4">
      <c r="D148" s="58"/>
    </row>
    <row r="149" spans="4:4">
      <c r="D149" s="58"/>
    </row>
    <row r="150" spans="4:4">
      <c r="D150" s="58"/>
    </row>
    <row r="151" spans="4:4">
      <c r="D151" s="58"/>
    </row>
    <row r="152" spans="4:4">
      <c r="D152" s="58"/>
    </row>
    <row r="153" spans="4:4">
      <c r="D153" s="58"/>
    </row>
    <row r="154" spans="4:4">
      <c r="D154" s="58"/>
    </row>
    <row r="155" spans="4:4">
      <c r="D155" s="58"/>
    </row>
    <row r="156" spans="4:4">
      <c r="D156" s="58"/>
    </row>
    <row r="157" spans="4:4">
      <c r="D157" s="58"/>
    </row>
    <row r="158" spans="4:4">
      <c r="D158" s="58"/>
    </row>
    <row r="159" spans="4:4">
      <c r="D159" s="58"/>
    </row>
    <row r="160" spans="4:4">
      <c r="D160" s="58"/>
    </row>
    <row r="161" spans="4:4">
      <c r="D161" s="58"/>
    </row>
    <row r="162" spans="4:4">
      <c r="D162" s="58"/>
    </row>
    <row r="163" spans="4:4">
      <c r="D163" s="58"/>
    </row>
    <row r="164" spans="4:4">
      <c r="D164" s="58"/>
    </row>
    <row r="165" spans="4:4">
      <c r="D165" s="58"/>
    </row>
    <row r="166" spans="4:4">
      <c r="D166" s="58"/>
    </row>
    <row r="167" spans="4:4">
      <c r="D167" s="58"/>
    </row>
    <row r="168" spans="4:4">
      <c r="D168" s="58"/>
    </row>
    <row r="169" spans="4:4">
      <c r="D169" s="58"/>
    </row>
    <row r="170" spans="4:4">
      <c r="D170" s="58"/>
    </row>
    <row r="171" spans="4:4">
      <c r="D171" s="58"/>
    </row>
    <row r="172" spans="4:4">
      <c r="D172" s="58"/>
    </row>
    <row r="173" spans="4:4">
      <c r="D173" s="58"/>
    </row>
    <row r="174" spans="4:4">
      <c r="D174" s="58"/>
    </row>
    <row r="175" spans="4:4">
      <c r="D175" s="58"/>
    </row>
    <row r="176" spans="4:4">
      <c r="D176" s="58"/>
    </row>
    <row r="177" spans="4:4">
      <c r="D177" s="58"/>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14"/>
  <sheetViews>
    <sheetView showGridLines="0" tabSelected="1" view="pageBreakPreview" zoomScale="70" zoomScaleNormal="90" zoomScaleSheetLayoutView="70" workbookViewId="0">
      <pane ySplit="8" topLeftCell="A100" activePane="bottomLeft" state="frozen"/>
      <selection pane="bottomLeft" activeCell="C113" sqref="C113"/>
    </sheetView>
  </sheetViews>
  <sheetFormatPr defaultColWidth="8" defaultRowHeight="12"/>
  <cols>
    <col min="1" max="1" width="16.90625" style="183" bestFit="1" customWidth="1"/>
    <col min="2" max="2" width="4.36328125" style="183" bestFit="1" customWidth="1"/>
    <col min="3" max="3" width="82.26953125" style="184" bestFit="1" customWidth="1"/>
    <col min="4" max="4" width="10.90625" style="183" bestFit="1" customWidth="1"/>
    <col min="5" max="9" width="2.7265625" style="183" customWidth="1"/>
    <col min="10" max="10" width="8" style="186"/>
    <col min="11" max="16384" width="8" style="183"/>
  </cols>
  <sheetData>
    <row r="1" spans="1:9">
      <c r="D1" s="185" t="s">
        <v>422</v>
      </c>
      <c r="E1" s="526" t="s">
        <v>437</v>
      </c>
      <c r="F1" s="526"/>
      <c r="G1" s="526"/>
      <c r="H1" s="526"/>
      <c r="I1" s="526"/>
    </row>
    <row r="2" spans="1:9">
      <c r="D2" s="185" t="s">
        <v>423</v>
      </c>
      <c r="E2" s="526" t="s">
        <v>424</v>
      </c>
      <c r="F2" s="526"/>
      <c r="G2" s="526"/>
      <c r="H2" s="526"/>
      <c r="I2" s="526"/>
    </row>
    <row r="3" spans="1:9" ht="14">
      <c r="A3" s="528" t="s">
        <v>483</v>
      </c>
      <c r="B3" s="528"/>
      <c r="C3" s="528"/>
      <c r="D3" s="528"/>
      <c r="E3" s="528"/>
    </row>
    <row r="5" spans="1:9">
      <c r="A5" s="527" t="s">
        <v>425</v>
      </c>
      <c r="B5" s="527"/>
      <c r="C5" s="187"/>
      <c r="D5" s="185" t="s">
        <v>460</v>
      </c>
      <c r="E5" s="525" t="s">
        <v>443</v>
      </c>
      <c r="F5" s="525"/>
      <c r="G5" s="525"/>
      <c r="H5" s="525"/>
      <c r="I5" s="525"/>
    </row>
    <row r="6" spans="1:9" ht="12.5" thickBot="1"/>
    <row r="7" spans="1:9" ht="73">
      <c r="A7" s="188" t="s">
        <v>426</v>
      </c>
      <c r="B7" s="189" t="s">
        <v>438</v>
      </c>
      <c r="C7" s="190" t="s">
        <v>427</v>
      </c>
      <c r="D7" s="190" t="s">
        <v>428</v>
      </c>
      <c r="E7" s="191" t="s">
        <v>461</v>
      </c>
      <c r="F7" s="191" t="s">
        <v>462</v>
      </c>
      <c r="G7" s="191" t="s">
        <v>463</v>
      </c>
      <c r="H7" s="191" t="s">
        <v>464</v>
      </c>
      <c r="I7" s="192" t="s">
        <v>465</v>
      </c>
    </row>
    <row r="8" spans="1:9" ht="3" customHeight="1">
      <c r="A8" s="193"/>
      <c r="B8" s="194"/>
      <c r="C8" s="195"/>
      <c r="D8" s="195"/>
      <c r="E8" s="196"/>
      <c r="F8" s="196"/>
      <c r="G8" s="196"/>
      <c r="H8" s="196"/>
      <c r="I8" s="197"/>
    </row>
    <row r="9" spans="1:9" ht="24">
      <c r="A9" s="198" t="s">
        <v>466</v>
      </c>
      <c r="B9" s="199">
        <v>1</v>
      </c>
      <c r="C9" s="200" t="s">
        <v>467</v>
      </c>
      <c r="D9" s="199"/>
      <c r="E9" s="199" t="s">
        <v>436</v>
      </c>
      <c r="F9" s="201" t="s">
        <v>436</v>
      </c>
      <c r="G9" s="201" t="s">
        <v>436</v>
      </c>
      <c r="H9" s="201" t="s">
        <v>436</v>
      </c>
      <c r="I9" s="202" t="s">
        <v>436</v>
      </c>
    </row>
    <row r="10" spans="1:9" ht="36">
      <c r="A10" s="203"/>
      <c r="B10" s="204">
        <v>2</v>
      </c>
      <c r="C10" s="205" t="s">
        <v>468</v>
      </c>
      <c r="D10" s="204"/>
      <c r="E10" s="204" t="s">
        <v>436</v>
      </c>
      <c r="F10" s="206" t="s">
        <v>436</v>
      </c>
      <c r="G10" s="206" t="s">
        <v>436</v>
      </c>
      <c r="H10" s="206" t="s">
        <v>436</v>
      </c>
      <c r="I10" s="207" t="s">
        <v>436</v>
      </c>
    </row>
    <row r="11" spans="1:9" ht="24">
      <c r="A11" s="203"/>
      <c r="B11" s="208">
        <v>3</v>
      </c>
      <c r="C11" s="209" t="s">
        <v>469</v>
      </c>
      <c r="D11" s="208"/>
      <c r="E11" s="208" t="s">
        <v>436</v>
      </c>
      <c r="F11" s="210" t="s">
        <v>436</v>
      </c>
      <c r="G11" s="210" t="s">
        <v>436</v>
      </c>
      <c r="H11" s="210" t="s">
        <v>436</v>
      </c>
      <c r="I11" s="211" t="s">
        <v>436</v>
      </c>
    </row>
    <row r="12" spans="1:9" ht="48">
      <c r="A12" s="203"/>
      <c r="B12" s="208">
        <v>4</v>
      </c>
      <c r="C12" s="209" t="s">
        <v>470</v>
      </c>
      <c r="D12" s="208"/>
      <c r="E12" s="208" t="s">
        <v>436</v>
      </c>
      <c r="F12" s="210" t="s">
        <v>436</v>
      </c>
      <c r="G12" s="210" t="s">
        <v>436</v>
      </c>
      <c r="H12" s="210" t="s">
        <v>436</v>
      </c>
      <c r="I12" s="211" t="s">
        <v>436</v>
      </c>
    </row>
    <row r="13" spans="1:9" ht="24">
      <c r="A13" s="203"/>
      <c r="B13" s="204">
        <v>5</v>
      </c>
      <c r="C13" s="205" t="s">
        <v>471</v>
      </c>
      <c r="D13" s="204"/>
      <c r="E13" s="208" t="s">
        <v>436</v>
      </c>
      <c r="F13" s="210" t="s">
        <v>436</v>
      </c>
      <c r="G13" s="210" t="s">
        <v>436</v>
      </c>
      <c r="H13" s="210" t="s">
        <v>436</v>
      </c>
      <c r="I13" s="211" t="s">
        <v>436</v>
      </c>
    </row>
    <row r="14" spans="1:9" ht="168">
      <c r="A14" s="203"/>
      <c r="B14" s="204">
        <v>6</v>
      </c>
      <c r="C14" s="529" t="s">
        <v>501</v>
      </c>
      <c r="D14" s="530"/>
      <c r="E14" s="530" t="s">
        <v>436</v>
      </c>
      <c r="F14" s="531" t="s">
        <v>436</v>
      </c>
      <c r="G14" s="531" t="s">
        <v>436</v>
      </c>
      <c r="H14" s="531" t="s">
        <v>436</v>
      </c>
      <c r="I14" s="532" t="s">
        <v>436</v>
      </c>
    </row>
    <row r="15" spans="1:9">
      <c r="A15" s="212"/>
      <c r="B15" s="213"/>
      <c r="C15" s="214"/>
      <c r="D15" s="213"/>
      <c r="E15" s="233"/>
      <c r="F15" s="235"/>
      <c r="G15" s="235"/>
      <c r="H15" s="235"/>
      <c r="I15" s="236"/>
    </row>
    <row r="16" spans="1:9" ht="96">
      <c r="A16" s="198" t="s">
        <v>484</v>
      </c>
      <c r="B16" s="199">
        <v>1</v>
      </c>
      <c r="C16" s="200" t="s">
        <v>472</v>
      </c>
      <c r="D16" s="199"/>
      <c r="E16" s="201" t="s">
        <v>473</v>
      </c>
      <c r="F16" s="201"/>
      <c r="G16" s="201"/>
      <c r="H16" s="201"/>
      <c r="I16" s="202"/>
    </row>
    <row r="17" spans="1:9" ht="24">
      <c r="A17" s="203"/>
      <c r="B17" s="204">
        <v>2</v>
      </c>
      <c r="C17" s="205" t="s">
        <v>474</v>
      </c>
      <c r="D17" s="204"/>
      <c r="E17" s="206" t="s">
        <v>440</v>
      </c>
      <c r="F17" s="206"/>
      <c r="G17" s="206"/>
      <c r="H17" s="206"/>
      <c r="I17" s="207"/>
    </row>
    <row r="18" spans="1:9" ht="24">
      <c r="A18" s="203"/>
      <c r="B18" s="204">
        <v>3</v>
      </c>
      <c r="C18" s="205" t="s">
        <v>475</v>
      </c>
      <c r="D18" s="204"/>
      <c r="E18" s="206" t="s">
        <v>441</v>
      </c>
      <c r="F18" s="206"/>
      <c r="G18" s="206"/>
      <c r="H18" s="206"/>
      <c r="I18" s="207"/>
    </row>
    <row r="19" spans="1:9" ht="24">
      <c r="A19" s="203"/>
      <c r="B19" s="204">
        <v>4</v>
      </c>
      <c r="C19" s="205" t="s">
        <v>476</v>
      </c>
      <c r="D19" s="204"/>
      <c r="E19" s="206" t="s">
        <v>440</v>
      </c>
      <c r="F19" s="206"/>
      <c r="G19" s="206"/>
      <c r="H19" s="206"/>
      <c r="I19" s="207"/>
    </row>
    <row r="20" spans="1:9" ht="24">
      <c r="A20" s="203"/>
      <c r="B20" s="204">
        <v>5</v>
      </c>
      <c r="C20" s="205" t="s">
        <v>477</v>
      </c>
      <c r="D20" s="204"/>
      <c r="E20" s="206" t="s">
        <v>436</v>
      </c>
      <c r="F20" s="206"/>
      <c r="G20" s="206"/>
      <c r="H20" s="206"/>
      <c r="I20" s="207"/>
    </row>
    <row r="21" spans="1:9" ht="24">
      <c r="A21" s="203"/>
      <c r="B21" s="204">
        <v>6</v>
      </c>
      <c r="C21" s="205" t="s">
        <v>478</v>
      </c>
      <c r="D21" s="204"/>
      <c r="E21" s="206" t="s">
        <v>436</v>
      </c>
      <c r="F21" s="206"/>
      <c r="G21" s="206"/>
      <c r="H21" s="206"/>
      <c r="I21" s="207"/>
    </row>
    <row r="22" spans="1:9" ht="24">
      <c r="A22" s="203"/>
      <c r="B22" s="204">
        <v>7</v>
      </c>
      <c r="C22" s="205" t="s">
        <v>479</v>
      </c>
      <c r="D22" s="204"/>
      <c r="E22" s="206" t="s">
        <v>436</v>
      </c>
      <c r="F22" s="206"/>
      <c r="G22" s="206"/>
      <c r="H22" s="206"/>
      <c r="I22" s="207"/>
    </row>
    <row r="23" spans="1:9" ht="24">
      <c r="A23" s="203"/>
      <c r="B23" s="204">
        <v>8</v>
      </c>
      <c r="C23" s="205" t="s">
        <v>480</v>
      </c>
      <c r="D23" s="204"/>
      <c r="E23" s="206" t="s">
        <v>436</v>
      </c>
      <c r="F23" s="206"/>
      <c r="G23" s="206"/>
      <c r="H23" s="206"/>
      <c r="I23" s="207"/>
    </row>
    <row r="24" spans="1:9" ht="36">
      <c r="A24" s="203"/>
      <c r="B24" s="204">
        <v>9</v>
      </c>
      <c r="C24" s="205" t="s">
        <v>481</v>
      </c>
      <c r="D24" s="204"/>
      <c r="E24" s="206" t="s">
        <v>436</v>
      </c>
      <c r="F24" s="206"/>
      <c r="G24" s="206"/>
      <c r="H24" s="206"/>
      <c r="I24" s="207"/>
    </row>
    <row r="25" spans="1:9" ht="36">
      <c r="A25" s="203"/>
      <c r="B25" s="208">
        <v>10</v>
      </c>
      <c r="C25" s="209" t="s">
        <v>482</v>
      </c>
      <c r="D25" s="208"/>
      <c r="E25" s="210" t="s">
        <v>436</v>
      </c>
      <c r="F25" s="210"/>
      <c r="G25" s="210"/>
      <c r="H25" s="210"/>
      <c r="I25" s="211"/>
    </row>
    <row r="26" spans="1:9">
      <c r="A26" s="212"/>
      <c r="B26" s="215"/>
      <c r="C26" s="216"/>
      <c r="D26" s="215"/>
      <c r="E26" s="217"/>
      <c r="F26" s="217"/>
      <c r="G26" s="217"/>
      <c r="H26" s="217"/>
      <c r="I26" s="218"/>
    </row>
    <row r="27" spans="1:9" ht="72">
      <c r="A27" s="198" t="s">
        <v>485</v>
      </c>
      <c r="B27" s="199">
        <v>1</v>
      </c>
      <c r="C27" s="200" t="s">
        <v>486</v>
      </c>
      <c r="D27" s="199"/>
      <c r="E27" s="201" t="s">
        <v>436</v>
      </c>
      <c r="F27" s="201"/>
      <c r="G27" s="201"/>
      <c r="H27" s="201"/>
      <c r="I27" s="202"/>
    </row>
    <row r="28" spans="1:9" ht="72">
      <c r="A28" s="203"/>
      <c r="B28" s="204">
        <v>2</v>
      </c>
      <c r="C28" s="205" t="s">
        <v>487</v>
      </c>
      <c r="D28" s="204"/>
      <c r="E28" s="206" t="s">
        <v>436</v>
      </c>
      <c r="F28" s="206"/>
      <c r="G28" s="206"/>
      <c r="H28" s="206"/>
      <c r="I28" s="207"/>
    </row>
    <row r="29" spans="1:9" ht="84">
      <c r="A29" s="203"/>
      <c r="B29" s="208">
        <v>3</v>
      </c>
      <c r="C29" s="209" t="s">
        <v>488</v>
      </c>
      <c r="D29" s="208"/>
      <c r="E29" s="210" t="s">
        <v>436</v>
      </c>
      <c r="F29" s="210"/>
      <c r="G29" s="210"/>
      <c r="H29" s="210"/>
      <c r="I29" s="211"/>
    </row>
    <row r="30" spans="1:9">
      <c r="A30" s="212"/>
      <c r="B30" s="215"/>
      <c r="C30" s="216"/>
      <c r="D30" s="215"/>
      <c r="E30" s="217"/>
      <c r="F30" s="217"/>
      <c r="G30" s="217"/>
      <c r="H30" s="217"/>
      <c r="I30" s="218"/>
    </row>
    <row r="31" spans="1:9" ht="36">
      <c r="A31" s="198" t="s">
        <v>489</v>
      </c>
      <c r="B31" s="199">
        <v>1</v>
      </c>
      <c r="C31" s="200" t="s">
        <v>0</v>
      </c>
      <c r="D31" s="199"/>
      <c r="E31" s="201" t="s">
        <v>436</v>
      </c>
      <c r="F31" s="201"/>
      <c r="G31" s="201"/>
      <c r="H31" s="201"/>
      <c r="I31" s="202"/>
    </row>
    <row r="32" spans="1:9" ht="36">
      <c r="A32" s="203"/>
      <c r="B32" s="204">
        <v>2</v>
      </c>
      <c r="C32" s="205" t="s">
        <v>1</v>
      </c>
      <c r="D32" s="204"/>
      <c r="E32" s="206" t="s">
        <v>436</v>
      </c>
      <c r="F32" s="206"/>
      <c r="G32" s="206"/>
      <c r="H32" s="206"/>
      <c r="I32" s="207"/>
    </row>
    <row r="33" spans="1:9" ht="36">
      <c r="A33" s="203"/>
      <c r="B33" s="204">
        <v>3</v>
      </c>
      <c r="C33" s="205" t="s">
        <v>2</v>
      </c>
      <c r="D33" s="204"/>
      <c r="E33" s="206" t="s">
        <v>436</v>
      </c>
      <c r="F33" s="206"/>
      <c r="G33" s="206"/>
      <c r="H33" s="206"/>
      <c r="I33" s="207"/>
    </row>
    <row r="34" spans="1:9" ht="36">
      <c r="A34" s="203"/>
      <c r="B34" s="204">
        <v>4</v>
      </c>
      <c r="C34" s="205" t="s">
        <v>3</v>
      </c>
      <c r="D34" s="204"/>
      <c r="E34" s="206" t="s">
        <v>436</v>
      </c>
      <c r="F34" s="206"/>
      <c r="G34" s="206"/>
      <c r="H34" s="206"/>
      <c r="I34" s="207"/>
    </row>
    <row r="35" spans="1:9" ht="36">
      <c r="A35" s="203"/>
      <c r="B35" s="204">
        <v>5</v>
      </c>
      <c r="C35" s="205" t="s">
        <v>4</v>
      </c>
      <c r="D35" s="204"/>
      <c r="E35" s="206" t="s">
        <v>436</v>
      </c>
      <c r="F35" s="206"/>
      <c r="G35" s="206"/>
      <c r="H35" s="206"/>
      <c r="I35" s="207"/>
    </row>
    <row r="36" spans="1:9" ht="36">
      <c r="A36" s="203"/>
      <c r="B36" s="204">
        <v>6</v>
      </c>
      <c r="C36" s="205" t="s">
        <v>5</v>
      </c>
      <c r="D36" s="204"/>
      <c r="E36" s="206" t="s">
        <v>436</v>
      </c>
      <c r="F36" s="206"/>
      <c r="G36" s="206"/>
      <c r="H36" s="206"/>
      <c r="I36" s="207"/>
    </row>
    <row r="37" spans="1:9" ht="36">
      <c r="A37" s="203"/>
      <c r="B37" s="204">
        <v>7</v>
      </c>
      <c r="C37" s="205" t="s">
        <v>6</v>
      </c>
      <c r="D37" s="204"/>
      <c r="E37" s="206" t="s">
        <v>436</v>
      </c>
      <c r="F37" s="206"/>
      <c r="G37" s="206"/>
      <c r="H37" s="206"/>
      <c r="I37" s="207"/>
    </row>
    <row r="38" spans="1:9" ht="36">
      <c r="A38" s="203"/>
      <c r="B38" s="204">
        <v>8</v>
      </c>
      <c r="C38" s="205" t="s">
        <v>7</v>
      </c>
      <c r="D38" s="204"/>
      <c r="E38" s="206" t="s">
        <v>436</v>
      </c>
      <c r="F38" s="206"/>
      <c r="G38" s="206"/>
      <c r="H38" s="206"/>
      <c r="I38" s="207"/>
    </row>
    <row r="39" spans="1:9" ht="36">
      <c r="A39" s="203"/>
      <c r="B39" s="204">
        <v>9</v>
      </c>
      <c r="C39" s="205" t="s">
        <v>8</v>
      </c>
      <c r="D39" s="204"/>
      <c r="E39" s="206" t="s">
        <v>436</v>
      </c>
      <c r="F39" s="206"/>
      <c r="G39" s="206"/>
      <c r="H39" s="206"/>
      <c r="I39" s="207"/>
    </row>
    <row r="40" spans="1:9" ht="60">
      <c r="A40" s="203"/>
      <c r="B40" s="204">
        <v>10</v>
      </c>
      <c r="C40" s="205" t="s">
        <v>9</v>
      </c>
      <c r="D40" s="204"/>
      <c r="E40" s="206" t="s">
        <v>436</v>
      </c>
      <c r="F40" s="206"/>
      <c r="G40" s="206"/>
      <c r="H40" s="206"/>
      <c r="I40" s="207"/>
    </row>
    <row r="41" spans="1:9" ht="84">
      <c r="A41" s="203"/>
      <c r="B41" s="204">
        <v>11</v>
      </c>
      <c r="C41" s="205" t="s">
        <v>490</v>
      </c>
      <c r="D41" s="204"/>
      <c r="E41" s="206" t="s">
        <v>436</v>
      </c>
      <c r="F41" s="206"/>
      <c r="G41" s="206"/>
      <c r="H41" s="206"/>
      <c r="I41" s="207"/>
    </row>
    <row r="42" spans="1:9" ht="36">
      <c r="A42" s="203"/>
      <c r="B42" s="204">
        <v>12</v>
      </c>
      <c r="C42" s="205" t="s">
        <v>10</v>
      </c>
      <c r="D42" s="204"/>
      <c r="E42" s="206" t="s">
        <v>436</v>
      </c>
      <c r="F42" s="206"/>
      <c r="G42" s="206"/>
      <c r="H42" s="206"/>
      <c r="I42" s="207"/>
    </row>
    <row r="43" spans="1:9" ht="36">
      <c r="A43" s="203"/>
      <c r="B43" s="204">
        <v>13</v>
      </c>
      <c r="C43" s="205" t="s">
        <v>11</v>
      </c>
      <c r="D43" s="204"/>
      <c r="E43" s="206" t="s">
        <v>436</v>
      </c>
      <c r="F43" s="206"/>
      <c r="G43" s="206"/>
      <c r="H43" s="206"/>
      <c r="I43" s="207"/>
    </row>
    <row r="44" spans="1:9" ht="24">
      <c r="A44" s="203"/>
      <c r="B44" s="208">
        <v>14</v>
      </c>
      <c r="C44" s="209" t="s">
        <v>12</v>
      </c>
      <c r="D44" s="208"/>
      <c r="E44" s="210" t="s">
        <v>436</v>
      </c>
      <c r="F44" s="210"/>
      <c r="G44" s="210"/>
      <c r="H44" s="210"/>
      <c r="I44" s="211"/>
    </row>
    <row r="45" spans="1:9">
      <c r="A45" s="212"/>
      <c r="B45" s="208"/>
      <c r="C45" s="216"/>
      <c r="D45" s="215"/>
      <c r="E45" s="217"/>
      <c r="F45" s="217"/>
      <c r="G45" s="217"/>
      <c r="H45" s="217"/>
      <c r="I45" s="218"/>
    </row>
    <row r="46" spans="1:9" ht="36">
      <c r="A46" s="219" t="s">
        <v>491</v>
      </c>
      <c r="B46" s="220"/>
      <c r="C46" s="200" t="s">
        <v>13</v>
      </c>
      <c r="D46" s="221"/>
      <c r="E46" s="222"/>
      <c r="F46" s="222"/>
      <c r="G46" s="222"/>
      <c r="H46" s="222"/>
      <c r="I46" s="223"/>
    </row>
    <row r="47" spans="1:9">
      <c r="A47" s="224"/>
      <c r="B47" s="204">
        <v>1</v>
      </c>
      <c r="C47" s="205" t="s">
        <v>492</v>
      </c>
      <c r="D47" s="204"/>
      <c r="E47" s="206" t="s">
        <v>14</v>
      </c>
      <c r="F47" s="206"/>
      <c r="G47" s="206"/>
      <c r="H47" s="206"/>
      <c r="I47" s="207"/>
    </row>
    <row r="48" spans="1:9">
      <c r="A48" s="224"/>
      <c r="B48" s="204">
        <v>2</v>
      </c>
      <c r="C48" s="205" t="s">
        <v>493</v>
      </c>
      <c r="D48" s="204"/>
      <c r="E48" s="206" t="s">
        <v>14</v>
      </c>
      <c r="F48" s="206"/>
      <c r="G48" s="206"/>
      <c r="H48" s="206"/>
      <c r="I48" s="207"/>
    </row>
    <row r="49" spans="1:9">
      <c r="A49" s="224"/>
      <c r="B49" s="204">
        <v>3</v>
      </c>
      <c r="C49" s="205" t="s">
        <v>494</v>
      </c>
      <c r="D49" s="204"/>
      <c r="E49" s="206" t="s">
        <v>14</v>
      </c>
      <c r="F49" s="206"/>
      <c r="G49" s="206"/>
      <c r="H49" s="206"/>
      <c r="I49" s="207"/>
    </row>
    <row r="50" spans="1:9">
      <c r="A50" s="224"/>
      <c r="B50" s="204">
        <v>4</v>
      </c>
      <c r="C50" s="205" t="s">
        <v>495</v>
      </c>
      <c r="D50" s="204"/>
      <c r="E50" s="206" t="s">
        <v>14</v>
      </c>
      <c r="F50" s="206"/>
      <c r="G50" s="206"/>
      <c r="H50" s="206"/>
      <c r="I50" s="207"/>
    </row>
    <row r="51" spans="1:9" ht="24">
      <c r="A51" s="224"/>
      <c r="B51" s="204">
        <v>5</v>
      </c>
      <c r="C51" s="205" t="s">
        <v>448</v>
      </c>
      <c r="D51" s="204"/>
      <c r="E51" s="206" t="s">
        <v>14</v>
      </c>
      <c r="F51" s="206"/>
      <c r="G51" s="206"/>
      <c r="H51" s="206"/>
      <c r="I51" s="207"/>
    </row>
    <row r="52" spans="1:9" ht="24">
      <c r="A52" s="224"/>
      <c r="B52" s="204">
        <v>6</v>
      </c>
      <c r="C52" s="205" t="s">
        <v>449</v>
      </c>
      <c r="D52" s="204"/>
      <c r="E52" s="206" t="s">
        <v>14</v>
      </c>
      <c r="F52" s="206"/>
      <c r="G52" s="206"/>
      <c r="H52" s="206"/>
      <c r="I52" s="207"/>
    </row>
    <row r="53" spans="1:9" ht="24">
      <c r="A53" s="224"/>
      <c r="B53" s="204">
        <v>7</v>
      </c>
      <c r="C53" s="205" t="s">
        <v>496</v>
      </c>
      <c r="D53" s="204"/>
      <c r="E53" s="206" t="s">
        <v>14</v>
      </c>
      <c r="F53" s="206"/>
      <c r="G53" s="206"/>
      <c r="H53" s="206"/>
      <c r="I53" s="207"/>
    </row>
    <row r="54" spans="1:9">
      <c r="A54" s="224"/>
      <c r="B54" s="204">
        <v>8</v>
      </c>
      <c r="C54" s="205" t="s">
        <v>497</v>
      </c>
      <c r="D54" s="204"/>
      <c r="E54" s="206" t="s">
        <v>14</v>
      </c>
      <c r="F54" s="206"/>
      <c r="G54" s="206"/>
      <c r="H54" s="206"/>
      <c r="I54" s="207"/>
    </row>
    <row r="55" spans="1:9" ht="24">
      <c r="A55" s="224"/>
      <c r="B55" s="208">
        <v>9</v>
      </c>
      <c r="C55" s="209" t="s">
        <v>498</v>
      </c>
      <c r="D55" s="208"/>
      <c r="E55" s="210" t="s">
        <v>14</v>
      </c>
      <c r="F55" s="210"/>
      <c r="G55" s="210"/>
      <c r="H55" s="210"/>
      <c r="I55" s="211"/>
    </row>
    <row r="56" spans="1:9" ht="36">
      <c r="A56" s="224"/>
      <c r="B56" s="204">
        <v>10</v>
      </c>
      <c r="C56" s="205" t="s">
        <v>15</v>
      </c>
      <c r="D56" s="204"/>
      <c r="E56" s="206" t="s">
        <v>441</v>
      </c>
      <c r="F56" s="206"/>
      <c r="G56" s="206"/>
      <c r="H56" s="206"/>
      <c r="I56" s="207"/>
    </row>
    <row r="57" spans="1:9" ht="24">
      <c r="A57" s="224"/>
      <c r="B57" s="220"/>
      <c r="C57" s="205" t="s">
        <v>16</v>
      </c>
      <c r="D57" s="220"/>
      <c r="E57" s="225"/>
      <c r="F57" s="225"/>
      <c r="G57" s="225"/>
      <c r="H57" s="225"/>
      <c r="I57" s="226"/>
    </row>
    <row r="58" spans="1:9">
      <c r="A58" s="224"/>
      <c r="B58" s="204">
        <v>11</v>
      </c>
      <c r="C58" s="227" t="s">
        <v>453</v>
      </c>
      <c r="D58" s="204"/>
      <c r="E58" s="206" t="s">
        <v>442</v>
      </c>
      <c r="F58" s="206"/>
      <c r="G58" s="206"/>
      <c r="H58" s="206"/>
      <c r="I58" s="207"/>
    </row>
    <row r="59" spans="1:9">
      <c r="A59" s="224"/>
      <c r="B59" s="204">
        <v>12</v>
      </c>
      <c r="C59" s="227" t="s">
        <v>454</v>
      </c>
      <c r="D59" s="204"/>
      <c r="E59" s="206" t="s">
        <v>442</v>
      </c>
      <c r="F59" s="206"/>
      <c r="G59" s="206"/>
      <c r="H59" s="206"/>
      <c r="I59" s="207"/>
    </row>
    <row r="60" spans="1:9" ht="24">
      <c r="A60" s="224"/>
      <c r="B60" s="204">
        <v>13</v>
      </c>
      <c r="C60" s="205" t="s">
        <v>17</v>
      </c>
      <c r="D60" s="204"/>
      <c r="E60" s="206" t="s">
        <v>442</v>
      </c>
      <c r="F60" s="206"/>
      <c r="G60" s="206"/>
      <c r="H60" s="206"/>
      <c r="I60" s="207"/>
    </row>
    <row r="61" spans="1:9" ht="36">
      <c r="A61" s="224"/>
      <c r="B61" s="220"/>
      <c r="C61" s="205" t="s">
        <v>18</v>
      </c>
      <c r="D61" s="220"/>
      <c r="E61" s="225"/>
      <c r="F61" s="225"/>
      <c r="G61" s="225"/>
      <c r="H61" s="225"/>
      <c r="I61" s="226"/>
    </row>
    <row r="62" spans="1:9">
      <c r="A62" s="224"/>
      <c r="B62" s="204">
        <v>14</v>
      </c>
      <c r="C62" s="205" t="s">
        <v>19</v>
      </c>
      <c r="D62" s="204"/>
      <c r="E62" s="206" t="s">
        <v>20</v>
      </c>
      <c r="F62" s="206"/>
      <c r="G62" s="206"/>
      <c r="H62" s="206"/>
      <c r="I62" s="207"/>
    </row>
    <row r="63" spans="1:9">
      <c r="A63" s="224"/>
      <c r="B63" s="204">
        <v>15</v>
      </c>
      <c r="C63" s="205" t="s">
        <v>445</v>
      </c>
      <c r="D63" s="204"/>
      <c r="E63" s="206" t="s">
        <v>20</v>
      </c>
      <c r="F63" s="206"/>
      <c r="G63" s="206"/>
      <c r="H63" s="206"/>
      <c r="I63" s="207"/>
    </row>
    <row r="64" spans="1:9">
      <c r="A64" s="224"/>
      <c r="B64" s="204">
        <v>16</v>
      </c>
      <c r="C64" s="205" t="s">
        <v>446</v>
      </c>
      <c r="D64" s="204"/>
      <c r="E64" s="206" t="s">
        <v>20</v>
      </c>
      <c r="F64" s="206"/>
      <c r="G64" s="206"/>
      <c r="H64" s="206"/>
      <c r="I64" s="207"/>
    </row>
    <row r="65" spans="1:9">
      <c r="A65" s="224"/>
      <c r="B65" s="204">
        <v>17</v>
      </c>
      <c r="C65" s="205" t="s">
        <v>447</v>
      </c>
      <c r="D65" s="204"/>
      <c r="E65" s="206" t="s">
        <v>20</v>
      </c>
      <c r="F65" s="206"/>
      <c r="G65" s="206"/>
      <c r="H65" s="206"/>
      <c r="I65" s="207"/>
    </row>
    <row r="66" spans="1:9" ht="24">
      <c r="A66" s="224"/>
      <c r="B66" s="204">
        <v>18</v>
      </c>
      <c r="C66" s="205" t="s">
        <v>448</v>
      </c>
      <c r="D66" s="204"/>
      <c r="E66" s="206" t="s">
        <v>20</v>
      </c>
      <c r="F66" s="206"/>
      <c r="G66" s="206"/>
      <c r="H66" s="206"/>
      <c r="I66" s="207"/>
    </row>
    <row r="67" spans="1:9" ht="24">
      <c r="A67" s="224"/>
      <c r="B67" s="204">
        <v>19</v>
      </c>
      <c r="C67" s="205" t="s">
        <v>449</v>
      </c>
      <c r="D67" s="204"/>
      <c r="E67" s="206" t="s">
        <v>20</v>
      </c>
      <c r="F67" s="206"/>
      <c r="G67" s="206"/>
      <c r="H67" s="206"/>
      <c r="I67" s="207"/>
    </row>
    <row r="68" spans="1:9">
      <c r="A68" s="224"/>
      <c r="B68" s="204">
        <v>20</v>
      </c>
      <c r="C68" s="205" t="s">
        <v>450</v>
      </c>
      <c r="D68" s="204"/>
      <c r="E68" s="206" t="s">
        <v>20</v>
      </c>
      <c r="F68" s="206"/>
      <c r="G68" s="206"/>
      <c r="H68" s="206"/>
      <c r="I68" s="207"/>
    </row>
    <row r="69" spans="1:9">
      <c r="A69" s="224"/>
      <c r="B69" s="204">
        <v>21</v>
      </c>
      <c r="C69" s="205" t="s">
        <v>451</v>
      </c>
      <c r="D69" s="204"/>
      <c r="E69" s="206" t="s">
        <v>20</v>
      </c>
      <c r="F69" s="206"/>
      <c r="G69" s="206"/>
      <c r="H69" s="206"/>
      <c r="I69" s="207"/>
    </row>
    <row r="70" spans="1:9">
      <c r="A70" s="224"/>
      <c r="B70" s="204">
        <v>22</v>
      </c>
      <c r="C70" s="205" t="s">
        <v>452</v>
      </c>
      <c r="D70" s="204"/>
      <c r="E70" s="206" t="s">
        <v>20</v>
      </c>
      <c r="F70" s="206"/>
      <c r="G70" s="206"/>
      <c r="H70" s="206"/>
      <c r="I70" s="207"/>
    </row>
    <row r="71" spans="1:9" ht="36">
      <c r="A71" s="224"/>
      <c r="B71" s="220"/>
      <c r="C71" s="205" t="s">
        <v>21</v>
      </c>
      <c r="D71" s="220"/>
      <c r="E71" s="225"/>
      <c r="F71" s="225"/>
      <c r="G71" s="225"/>
      <c r="H71" s="225"/>
      <c r="I71" s="226"/>
    </row>
    <row r="72" spans="1:9">
      <c r="A72" s="224"/>
      <c r="B72" s="204">
        <v>18</v>
      </c>
      <c r="C72" s="205" t="s">
        <v>444</v>
      </c>
      <c r="D72" s="204"/>
      <c r="E72" s="206" t="s">
        <v>439</v>
      </c>
      <c r="F72" s="206"/>
      <c r="G72" s="206"/>
      <c r="H72" s="206"/>
      <c r="I72" s="207"/>
    </row>
    <row r="73" spans="1:9">
      <c r="A73" s="224"/>
      <c r="B73" s="204">
        <v>19</v>
      </c>
      <c r="C73" s="205" t="s">
        <v>455</v>
      </c>
      <c r="D73" s="204"/>
      <c r="E73" s="206" t="s">
        <v>439</v>
      </c>
      <c r="F73" s="206"/>
      <c r="G73" s="206"/>
      <c r="H73" s="206"/>
      <c r="I73" s="207"/>
    </row>
    <row r="74" spans="1:9">
      <c r="A74" s="224"/>
      <c r="B74" s="204">
        <v>20</v>
      </c>
      <c r="C74" s="205" t="s">
        <v>456</v>
      </c>
      <c r="D74" s="204"/>
      <c r="E74" s="206" t="s">
        <v>439</v>
      </c>
      <c r="F74" s="206"/>
      <c r="G74" s="206"/>
      <c r="H74" s="206"/>
      <c r="I74" s="207"/>
    </row>
    <row r="75" spans="1:9">
      <c r="A75" s="224"/>
      <c r="B75" s="204">
        <v>21</v>
      </c>
      <c r="C75" s="205" t="s">
        <v>457</v>
      </c>
      <c r="D75" s="204"/>
      <c r="E75" s="206" t="s">
        <v>439</v>
      </c>
      <c r="F75" s="206"/>
      <c r="G75" s="206"/>
      <c r="H75" s="206"/>
      <c r="I75" s="207"/>
    </row>
    <row r="76" spans="1:9" ht="36">
      <c r="A76" s="224"/>
      <c r="B76" s="204">
        <v>22</v>
      </c>
      <c r="C76" s="205" t="s">
        <v>22</v>
      </c>
      <c r="D76" s="204"/>
      <c r="E76" s="206" t="s">
        <v>442</v>
      </c>
      <c r="F76" s="206"/>
      <c r="G76" s="206"/>
      <c r="H76" s="206"/>
      <c r="I76" s="207"/>
    </row>
    <row r="77" spans="1:9" ht="36">
      <c r="A77" s="203"/>
      <c r="B77" s="220"/>
      <c r="C77" s="209" t="s">
        <v>23</v>
      </c>
      <c r="D77" s="220"/>
      <c r="E77" s="225"/>
      <c r="F77" s="225"/>
      <c r="G77" s="225"/>
      <c r="H77" s="225"/>
      <c r="I77" s="226"/>
    </row>
    <row r="78" spans="1:9">
      <c r="A78" s="203"/>
      <c r="B78" s="208">
        <v>23</v>
      </c>
      <c r="C78" s="209" t="s">
        <v>458</v>
      </c>
      <c r="D78" s="208"/>
      <c r="E78" s="210" t="s">
        <v>24</v>
      </c>
      <c r="F78" s="210"/>
      <c r="G78" s="210"/>
      <c r="H78" s="210"/>
      <c r="I78" s="211"/>
    </row>
    <row r="79" spans="1:9">
      <c r="A79" s="203"/>
      <c r="B79" s="208">
        <v>24</v>
      </c>
      <c r="C79" s="209" t="s">
        <v>459</v>
      </c>
      <c r="D79" s="208"/>
      <c r="E79" s="210" t="s">
        <v>24</v>
      </c>
      <c r="F79" s="210"/>
      <c r="G79" s="210"/>
      <c r="H79" s="210"/>
      <c r="I79" s="211"/>
    </row>
    <row r="80" spans="1:9" ht="24">
      <c r="A80" s="203"/>
      <c r="B80" s="208">
        <v>25</v>
      </c>
      <c r="C80" s="209" t="s">
        <v>25</v>
      </c>
      <c r="D80" s="208"/>
      <c r="E80" s="210" t="s">
        <v>436</v>
      </c>
      <c r="F80" s="210"/>
      <c r="G80" s="210"/>
      <c r="H80" s="210"/>
      <c r="I80" s="211"/>
    </row>
    <row r="81" spans="1:9">
      <c r="A81" s="212"/>
      <c r="B81" s="215"/>
      <c r="C81" s="216"/>
      <c r="D81" s="215"/>
      <c r="E81" s="217"/>
      <c r="F81" s="217"/>
      <c r="G81" s="217"/>
      <c r="H81" s="217"/>
      <c r="I81" s="218"/>
    </row>
    <row r="82" spans="1:9" ht="36">
      <c r="A82" s="219" t="s">
        <v>26</v>
      </c>
      <c r="B82" s="199">
        <v>1</v>
      </c>
      <c r="C82" s="200" t="s">
        <v>27</v>
      </c>
      <c r="D82" s="199"/>
      <c r="E82" s="201"/>
      <c r="F82" s="228" t="s">
        <v>436</v>
      </c>
      <c r="G82" s="228" t="s">
        <v>436</v>
      </c>
      <c r="H82" s="201" t="s">
        <v>436</v>
      </c>
      <c r="I82" s="202" t="s">
        <v>436</v>
      </c>
    </row>
    <row r="83" spans="1:9" ht="48">
      <c r="A83" s="203"/>
      <c r="B83" s="204">
        <v>2</v>
      </c>
      <c r="C83" s="205" t="s">
        <v>28</v>
      </c>
      <c r="D83" s="204"/>
      <c r="E83" s="206"/>
      <c r="F83" s="206" t="s">
        <v>436</v>
      </c>
      <c r="G83" s="206" t="s">
        <v>436</v>
      </c>
      <c r="H83" s="206" t="s">
        <v>436</v>
      </c>
      <c r="I83" s="207" t="s">
        <v>436</v>
      </c>
    </row>
    <row r="84" spans="1:9" ht="24">
      <c r="A84" s="203"/>
      <c r="B84" s="204">
        <v>3</v>
      </c>
      <c r="C84" s="205" t="s">
        <v>29</v>
      </c>
      <c r="D84" s="204"/>
      <c r="E84" s="206"/>
      <c r="F84" s="206" t="s">
        <v>436</v>
      </c>
      <c r="G84" s="206" t="s">
        <v>436</v>
      </c>
      <c r="H84" s="206" t="s">
        <v>436</v>
      </c>
      <c r="I84" s="207" t="s">
        <v>436</v>
      </c>
    </row>
    <row r="85" spans="1:9" ht="24">
      <c r="A85" s="203"/>
      <c r="B85" s="208">
        <v>4</v>
      </c>
      <c r="C85" s="209" t="s">
        <v>30</v>
      </c>
      <c r="D85" s="208"/>
      <c r="E85" s="210"/>
      <c r="F85" s="210" t="s">
        <v>436</v>
      </c>
      <c r="G85" s="210" t="s">
        <v>436</v>
      </c>
      <c r="H85" s="210" t="s">
        <v>436</v>
      </c>
      <c r="I85" s="211" t="s">
        <v>436</v>
      </c>
    </row>
    <row r="86" spans="1:9">
      <c r="A86" s="212"/>
      <c r="B86" s="215"/>
      <c r="C86" s="216"/>
      <c r="D86" s="215"/>
      <c r="E86" s="217"/>
      <c r="F86" s="217"/>
      <c r="G86" s="217"/>
      <c r="H86" s="217"/>
      <c r="I86" s="218"/>
    </row>
    <row r="87" spans="1:9" ht="36">
      <c r="A87" s="224" t="s">
        <v>31</v>
      </c>
      <c r="B87" s="229">
        <v>1</v>
      </c>
      <c r="C87" s="230" t="s">
        <v>32</v>
      </c>
      <c r="D87" s="229"/>
      <c r="E87" s="231"/>
      <c r="F87" s="201" t="s">
        <v>436</v>
      </c>
      <c r="G87" s="201" t="s">
        <v>436</v>
      </c>
      <c r="H87" s="231" t="s">
        <v>436</v>
      </c>
      <c r="I87" s="232" t="s">
        <v>436</v>
      </c>
    </row>
    <row r="88" spans="1:9" ht="48">
      <c r="A88" s="203"/>
      <c r="B88" s="204">
        <v>2</v>
      </c>
      <c r="C88" s="205" t="s">
        <v>33</v>
      </c>
      <c r="D88" s="204"/>
      <c r="E88" s="206"/>
      <c r="F88" s="206" t="s">
        <v>436</v>
      </c>
      <c r="G88" s="206" t="s">
        <v>436</v>
      </c>
      <c r="H88" s="206" t="s">
        <v>436</v>
      </c>
      <c r="I88" s="207" t="s">
        <v>436</v>
      </c>
    </row>
    <row r="89" spans="1:9" ht="24">
      <c r="A89" s="203"/>
      <c r="B89" s="204">
        <v>3</v>
      </c>
      <c r="C89" s="205" t="s">
        <v>34</v>
      </c>
      <c r="D89" s="204"/>
      <c r="E89" s="206"/>
      <c r="F89" s="206" t="s">
        <v>436</v>
      </c>
      <c r="G89" s="206" t="s">
        <v>436</v>
      </c>
      <c r="H89" s="206" t="s">
        <v>436</v>
      </c>
      <c r="I89" s="207" t="s">
        <v>436</v>
      </c>
    </row>
    <row r="90" spans="1:9" ht="24">
      <c r="A90" s="203"/>
      <c r="B90" s="204">
        <v>4</v>
      </c>
      <c r="C90" s="205" t="s">
        <v>35</v>
      </c>
      <c r="D90" s="204"/>
      <c r="E90" s="206"/>
      <c r="F90" s="206" t="s">
        <v>436</v>
      </c>
      <c r="G90" s="206" t="s">
        <v>436</v>
      </c>
      <c r="H90" s="206" t="s">
        <v>436</v>
      </c>
      <c r="I90" s="207" t="s">
        <v>436</v>
      </c>
    </row>
    <row r="91" spans="1:9" ht="24">
      <c r="A91" s="203"/>
      <c r="B91" s="204">
        <v>5</v>
      </c>
      <c r="C91" s="205" t="s">
        <v>36</v>
      </c>
      <c r="D91" s="204"/>
      <c r="E91" s="206"/>
      <c r="F91" s="206" t="s">
        <v>436</v>
      </c>
      <c r="G91" s="206" t="s">
        <v>436</v>
      </c>
      <c r="H91" s="206" t="s">
        <v>436</v>
      </c>
      <c r="I91" s="207" t="s">
        <v>436</v>
      </c>
    </row>
    <row r="92" spans="1:9" ht="24">
      <c r="A92" s="203"/>
      <c r="B92" s="204">
        <v>6</v>
      </c>
      <c r="C92" s="205" t="s">
        <v>37</v>
      </c>
      <c r="D92" s="204"/>
      <c r="E92" s="206"/>
      <c r="F92" s="206" t="s">
        <v>436</v>
      </c>
      <c r="G92" s="206" t="s">
        <v>436</v>
      </c>
      <c r="H92" s="206" t="s">
        <v>436</v>
      </c>
      <c r="I92" s="207" t="s">
        <v>436</v>
      </c>
    </row>
    <row r="93" spans="1:9" ht="24">
      <c r="A93" s="203"/>
      <c r="B93" s="204">
        <v>7</v>
      </c>
      <c r="C93" s="205" t="s">
        <v>38</v>
      </c>
      <c r="D93" s="204"/>
      <c r="E93" s="206"/>
      <c r="F93" s="206" t="s">
        <v>436</v>
      </c>
      <c r="G93" s="206" t="s">
        <v>436</v>
      </c>
      <c r="H93" s="206" t="s">
        <v>436</v>
      </c>
      <c r="I93" s="207" t="s">
        <v>436</v>
      </c>
    </row>
    <row r="94" spans="1:9" ht="24">
      <c r="A94" s="203"/>
      <c r="B94" s="204">
        <v>8</v>
      </c>
      <c r="C94" s="205" t="s">
        <v>39</v>
      </c>
      <c r="D94" s="204"/>
      <c r="E94" s="206"/>
      <c r="F94" s="206" t="s">
        <v>436</v>
      </c>
      <c r="G94" s="206" t="s">
        <v>436</v>
      </c>
      <c r="H94" s="206" t="s">
        <v>436</v>
      </c>
      <c r="I94" s="207" t="s">
        <v>436</v>
      </c>
    </row>
    <row r="95" spans="1:9">
      <c r="A95" s="212"/>
      <c r="B95" s="215"/>
      <c r="C95" s="216"/>
      <c r="D95" s="215"/>
      <c r="E95" s="217"/>
      <c r="F95" s="217"/>
      <c r="G95" s="217"/>
      <c r="H95" s="217"/>
      <c r="I95" s="218"/>
    </row>
    <row r="96" spans="1:9" ht="84">
      <c r="A96" s="219" t="s">
        <v>40</v>
      </c>
      <c r="B96" s="199">
        <v>1</v>
      </c>
      <c r="C96" s="200" t="s">
        <v>41</v>
      </c>
      <c r="D96" s="199"/>
      <c r="E96" s="201"/>
      <c r="F96" s="201" t="s">
        <v>436</v>
      </c>
      <c r="G96" s="201" t="s">
        <v>436</v>
      </c>
      <c r="H96" s="201"/>
      <c r="I96" s="202"/>
    </row>
    <row r="97" spans="1:9" ht="36">
      <c r="A97" s="203"/>
      <c r="B97" s="204">
        <v>2</v>
      </c>
      <c r="C97" s="205" t="s">
        <v>42</v>
      </c>
      <c r="D97" s="204"/>
      <c r="E97" s="206"/>
      <c r="F97" s="206" t="s">
        <v>436</v>
      </c>
      <c r="G97" s="206" t="s">
        <v>436</v>
      </c>
      <c r="H97" s="206"/>
      <c r="I97" s="207"/>
    </row>
    <row r="98" spans="1:9" ht="60">
      <c r="A98" s="203"/>
      <c r="B98" s="204">
        <v>3</v>
      </c>
      <c r="C98" s="205" t="s">
        <v>43</v>
      </c>
      <c r="D98" s="204"/>
      <c r="E98" s="206"/>
      <c r="F98" s="206" t="s">
        <v>436</v>
      </c>
      <c r="G98" s="206" t="s">
        <v>436</v>
      </c>
      <c r="H98" s="206"/>
      <c r="I98" s="207"/>
    </row>
    <row r="99" spans="1:9" ht="60">
      <c r="A99" s="203"/>
      <c r="B99" s="204">
        <v>4</v>
      </c>
      <c r="C99" s="205" t="s">
        <v>44</v>
      </c>
      <c r="D99" s="204"/>
      <c r="E99" s="206"/>
      <c r="F99" s="206" t="s">
        <v>436</v>
      </c>
      <c r="G99" s="206" t="s">
        <v>436</v>
      </c>
      <c r="H99" s="206"/>
      <c r="I99" s="207"/>
    </row>
    <row r="100" spans="1:9" ht="24">
      <c r="A100" s="203"/>
      <c r="B100" s="208">
        <v>5</v>
      </c>
      <c r="C100" s="209" t="s">
        <v>45</v>
      </c>
      <c r="D100" s="208"/>
      <c r="E100" s="210"/>
      <c r="F100" s="210" t="s">
        <v>436</v>
      </c>
      <c r="G100" s="210" t="s">
        <v>436</v>
      </c>
      <c r="H100" s="210"/>
      <c r="I100" s="211"/>
    </row>
    <row r="101" spans="1:9">
      <c r="A101" s="212"/>
      <c r="B101" s="215"/>
      <c r="C101" s="216"/>
      <c r="D101" s="215"/>
      <c r="E101" s="217"/>
      <c r="F101" s="217"/>
      <c r="G101" s="217"/>
      <c r="H101" s="217"/>
      <c r="I101" s="218"/>
    </row>
    <row r="102" spans="1:9" ht="36">
      <c r="A102" s="198" t="s">
        <v>46</v>
      </c>
      <c r="B102" s="199">
        <v>1</v>
      </c>
      <c r="C102" s="200" t="s">
        <v>47</v>
      </c>
      <c r="D102" s="199"/>
      <c r="E102" s="201" t="s">
        <v>436</v>
      </c>
      <c r="F102" s="201" t="s">
        <v>436</v>
      </c>
      <c r="G102" s="201" t="s">
        <v>436</v>
      </c>
      <c r="H102" s="201" t="s">
        <v>436</v>
      </c>
      <c r="I102" s="202" t="s">
        <v>436</v>
      </c>
    </row>
    <row r="103" spans="1:9" ht="60">
      <c r="A103" s="203"/>
      <c r="B103" s="204">
        <v>2</v>
      </c>
      <c r="C103" s="205" t="s">
        <v>48</v>
      </c>
      <c r="D103" s="204"/>
      <c r="E103" s="206" t="s">
        <v>436</v>
      </c>
      <c r="F103" s="206" t="s">
        <v>436</v>
      </c>
      <c r="G103" s="206" t="s">
        <v>436</v>
      </c>
      <c r="H103" s="206" t="s">
        <v>436</v>
      </c>
      <c r="I103" s="207" t="s">
        <v>436</v>
      </c>
    </row>
    <row r="104" spans="1:9" ht="36">
      <c r="A104" s="203"/>
      <c r="B104" s="208">
        <v>3</v>
      </c>
      <c r="C104" s="209" t="s">
        <v>49</v>
      </c>
      <c r="D104" s="208"/>
      <c r="E104" s="210" t="s">
        <v>436</v>
      </c>
      <c r="F104" s="210" t="s">
        <v>436</v>
      </c>
      <c r="G104" s="210" t="s">
        <v>436</v>
      </c>
      <c r="H104" s="210" t="s">
        <v>436</v>
      </c>
      <c r="I104" s="211" t="s">
        <v>436</v>
      </c>
    </row>
    <row r="105" spans="1:9" ht="36">
      <c r="A105" s="203"/>
      <c r="B105" s="208">
        <v>4</v>
      </c>
      <c r="C105" s="209" t="s">
        <v>50</v>
      </c>
      <c r="D105" s="208"/>
      <c r="E105" s="210" t="s">
        <v>436</v>
      </c>
      <c r="F105" s="210" t="s">
        <v>436</v>
      </c>
      <c r="G105" s="210" t="s">
        <v>436</v>
      </c>
      <c r="H105" s="210" t="s">
        <v>436</v>
      </c>
      <c r="I105" s="211" t="s">
        <v>436</v>
      </c>
    </row>
    <row r="106" spans="1:9">
      <c r="A106" s="212"/>
      <c r="B106" s="215"/>
      <c r="C106" s="216"/>
      <c r="D106" s="215"/>
      <c r="E106" s="217"/>
      <c r="F106" s="217"/>
      <c r="G106" s="217"/>
      <c r="H106" s="217"/>
      <c r="I106" s="218"/>
    </row>
    <row r="107" spans="1:9" ht="48">
      <c r="A107" s="203" t="s">
        <v>51</v>
      </c>
      <c r="B107" s="233">
        <v>1</v>
      </c>
      <c r="C107" s="234" t="s">
        <v>52</v>
      </c>
      <c r="D107" s="233"/>
      <c r="E107" s="235" t="s">
        <v>436</v>
      </c>
      <c r="F107" s="235" t="s">
        <v>436</v>
      </c>
      <c r="G107" s="235" t="s">
        <v>436</v>
      </c>
      <c r="H107" s="235" t="s">
        <v>436</v>
      </c>
      <c r="I107" s="236" t="s">
        <v>436</v>
      </c>
    </row>
    <row r="108" spans="1:9">
      <c r="A108" s="212"/>
      <c r="B108" s="215"/>
      <c r="C108" s="216"/>
      <c r="D108" s="215"/>
      <c r="E108" s="217"/>
      <c r="F108" s="217"/>
      <c r="G108" s="217"/>
      <c r="H108" s="217"/>
      <c r="I108" s="218"/>
    </row>
    <row r="109" spans="1:9" ht="24">
      <c r="A109" s="198" t="s">
        <v>53</v>
      </c>
      <c r="B109" s="237">
        <v>1</v>
      </c>
      <c r="C109" s="238" t="s">
        <v>54</v>
      </c>
      <c r="D109" s="237"/>
      <c r="E109" s="228" t="s">
        <v>436</v>
      </c>
      <c r="F109" s="228" t="s">
        <v>436</v>
      </c>
      <c r="G109" s="228" t="s">
        <v>436</v>
      </c>
      <c r="H109" s="228" t="s">
        <v>436</v>
      </c>
      <c r="I109" s="239" t="s">
        <v>436</v>
      </c>
    </row>
    <row r="110" spans="1:9">
      <c r="A110" s="212"/>
      <c r="B110" s="215"/>
      <c r="C110" s="216"/>
      <c r="D110" s="215"/>
      <c r="E110" s="217"/>
      <c r="F110" s="217"/>
      <c r="G110" s="217"/>
      <c r="H110" s="217"/>
      <c r="I110" s="218"/>
    </row>
    <row r="111" spans="1:9" ht="24">
      <c r="A111" s="198" t="s">
        <v>55</v>
      </c>
      <c r="B111" s="237">
        <v>1</v>
      </c>
      <c r="C111" s="238" t="s">
        <v>56</v>
      </c>
      <c r="D111" s="237"/>
      <c r="E111" s="228" t="s">
        <v>436</v>
      </c>
      <c r="F111" s="228" t="s">
        <v>436</v>
      </c>
      <c r="G111" s="228" t="s">
        <v>436</v>
      </c>
      <c r="H111" s="228" t="s">
        <v>436</v>
      </c>
      <c r="I111" s="239" t="s">
        <v>436</v>
      </c>
    </row>
    <row r="112" spans="1:9">
      <c r="A112" s="212"/>
      <c r="B112" s="215"/>
      <c r="C112" s="216"/>
      <c r="D112" s="215"/>
      <c r="E112" s="217"/>
      <c r="F112" s="217"/>
      <c r="G112" s="217"/>
      <c r="H112" s="217"/>
      <c r="I112" s="218"/>
    </row>
    <row r="113" spans="1:9" ht="24">
      <c r="A113" s="198" t="s">
        <v>57</v>
      </c>
      <c r="B113" s="237">
        <v>1</v>
      </c>
      <c r="C113" s="238" t="s">
        <v>58</v>
      </c>
      <c r="D113" s="237"/>
      <c r="E113" s="228" t="s">
        <v>436</v>
      </c>
      <c r="F113" s="228" t="s">
        <v>436</v>
      </c>
      <c r="G113" s="228" t="s">
        <v>436</v>
      </c>
      <c r="H113" s="228" t="s">
        <v>436</v>
      </c>
      <c r="I113" s="239" t="s">
        <v>436</v>
      </c>
    </row>
    <row r="114" spans="1:9" ht="12.5" thickBot="1">
      <c r="A114" s="240"/>
      <c r="B114" s="241"/>
      <c r="C114" s="242"/>
      <c r="D114" s="241"/>
      <c r="E114" s="243"/>
      <c r="F114" s="243"/>
      <c r="G114" s="243"/>
      <c r="H114" s="243"/>
      <c r="I114" s="244"/>
    </row>
  </sheetData>
  <mergeCells count="5">
    <mergeCell ref="E5:I5"/>
    <mergeCell ref="E1:I1"/>
    <mergeCell ref="E2:I2"/>
    <mergeCell ref="A5:B5"/>
    <mergeCell ref="A3:E3"/>
  </mergeCells>
  <phoneticPr fontId="95"/>
  <dataValidations disablePrompts="1"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6"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EVCTUWYQZQYC-538864054-23676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https://mitsubishielectricgroup.sharepoint.com/sites/009989/_layouts/15/DocIdRedir.aspx?ID=EVCTUWYQZQYC-538864054-23676</Url>
      <Description>EVCTUWYQZQYC-538864054-23676</Description>
    </_dlc_DocIdUrl>
  </documentManagement>
</p:properties>
</file>

<file path=customXml/itemProps1.xml><?xml version="1.0" encoding="utf-8"?>
<ds:datastoreItem xmlns:ds="http://schemas.openxmlformats.org/officeDocument/2006/customXml" ds:itemID="{BCA95426-DE18-408B-96F5-5BB3D29AFEEB}"/>
</file>

<file path=customXml/itemProps2.xml><?xml version="1.0" encoding="utf-8"?>
<ds:datastoreItem xmlns:ds="http://schemas.openxmlformats.org/officeDocument/2006/customXml" ds:itemID="{A07D3A11-2CC9-48E9-921F-721AF3C039BB}"/>
</file>

<file path=customXml/itemProps3.xml><?xml version="1.0" encoding="utf-8"?>
<ds:datastoreItem xmlns:ds="http://schemas.openxmlformats.org/officeDocument/2006/customXml" ds:itemID="{FA3665D7-A8D5-475E-997B-92106B9D6514}"/>
</file>

<file path=customXml/itemProps4.xml><?xml version="1.0" encoding="utf-8"?>
<ds:datastoreItem xmlns:ds="http://schemas.openxmlformats.org/officeDocument/2006/customXml" ds:itemID="{51F0EE61-B195-4CB1-87A3-4E5E2F9B47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cp:lastPrinted>2013-04-02T04:52:40Z</cp:lastPrinted>
  <dcterms:created xsi:type="dcterms:W3CDTF">2002-04-16T00:52:35Z</dcterms:created>
  <dcterms:modified xsi:type="dcterms:W3CDTF">2022-11-16T04:46:21Z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776f1e3a-ef8c-43de-b247-48b0bbfec1ee</vt:lpwstr>
  </property>
</Properties>
</file>