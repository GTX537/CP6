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filterPrivacy="1"/>
  <xr:revisionPtr revIDLastSave="0" documentId="13_ncr:1_{0A4869DE-30DF-4ADA-9D2E-928F2A525C3A}" xr6:coauthVersionLast="47" xr6:coauthVersionMax="47" xr10:uidLastSave="{00000000-0000-0000-0000-000000000000}"/>
  <bookViews>
    <workbookView xWindow="12585" yWindow="1845" windowWidth="15330" windowHeight="11490" tabRatio="589" firstSheet="1"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<sst xmlns="http://schemas.openxmlformats.org/spreadsheetml/2006/main" count="1478" uniqueCount="514">
  <si>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</si>
  <si>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</si>
  <si>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</si>
  <si>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</si>
  <si>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</si>
  <si>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</si>
  <si>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</si>
  <si>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</si>
  <si>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</si>
  <si>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</si>
  <si>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</si>
  <si>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</si>
  <si>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</si>
  <si>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</si>
  <si>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t>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</si>
  <si>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</si>
  <si>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</si>
  <si>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</si>
  <si>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</si>
  <si>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</si>
  <si>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t>
    <phoneticPr fontId="95"/>
  </si>
  <si>
    <t>＜削除ボタン＞
削除ボタンによって発生するイベントが設計書と一致していることを確認する。
以下の試験項目は必ず含めること。</t>
    <rPh sb="1" eb="3">
      <t>サクジョ</t>
    </rPh>
    <rPh sb="8" eb="10">
      <t>サクジョ</t>
    </rPh>
    <phoneticPr fontId="95"/>
  </si>
  <si>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</si>
  <si>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</si>
  <si>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t>
    <phoneticPr fontId="95"/>
  </si>
  <si>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</si>
  <si>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</si>
  <si>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</si>
  <si>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</si>
  <si>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</si>
  <si>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</si>
  <si>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</si>
  <si>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</si>
  <si>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</si>
  <si>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</si>
  <si>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</si>
  <si>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</si>
  <si>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</si>
  <si>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</si>
  <si>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</si>
  <si>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</si>
  <si>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</si>
  <si>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</si>
  <si>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</si>
  <si>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</si>
  <si>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</si>
  <si>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</si>
  <si>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</si>
  <si>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</si>
  <si>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</si>
  <si>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</si>
  <si>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</si>
  <si>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</si>
  <si>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</si>
  <si>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</si>
  <si>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</si>
  <si>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</si>
  <si>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</si>
  <si>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</si>
  <si>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その他</t>
    <rPh sb="2" eb="3">
      <t>タ</t>
    </rPh>
    <phoneticPr fontId="2"/>
  </si>
  <si>
    <t>レビュー履歴</t>
    <rPh sb="4" eb="6">
      <t>リレキ</t>
    </rPh>
    <phoneticPr fontId="2"/>
  </si>
  <si>
    <t>回数</t>
    <rPh sb="0" eb="2">
      <t>カイスウ</t>
    </rPh>
    <phoneticPr fontId="2"/>
  </si>
  <si>
    <t>部</t>
    <rPh sb="0" eb="1">
      <t>ブ</t>
    </rPh>
    <phoneticPr fontId="2"/>
  </si>
  <si>
    <t>課</t>
    <rPh sb="0" eb="1">
      <t>カ</t>
    </rPh>
    <phoneticPr fontId="2"/>
  </si>
  <si>
    <t>回答期限</t>
    <rPh sb="0" eb="2">
      <t>カイトウ</t>
    </rPh>
    <rPh sb="2" eb="4">
      <t>キゲン</t>
    </rPh>
    <phoneticPr fontId="2"/>
  </si>
  <si>
    <t>No.</t>
    <phoneticPr fontId="2"/>
  </si>
  <si>
    <t>ページ</t>
    <phoneticPr fontId="2"/>
  </si>
  <si>
    <t>査読コメント</t>
    <rPh sb="0" eb="2">
      <t>サドク</t>
    </rPh>
    <phoneticPr fontId="2"/>
  </si>
  <si>
    <t>回　　答</t>
    <rPh sb="0" eb="1">
      <t>カイ</t>
    </rPh>
    <rPh sb="3" eb="4">
      <t>コタエ</t>
    </rPh>
    <phoneticPr fontId="2"/>
  </si>
  <si>
    <t>確認</t>
    <rPh sb="0" eb="2">
      <t>カクニン</t>
    </rPh>
    <phoneticPr fontId="2"/>
  </si>
  <si>
    <t>誤り分類</t>
    <rPh sb="0" eb="1">
      <t>アヤマ</t>
    </rPh>
    <rPh sb="2" eb="4">
      <t>ブンルイ</t>
    </rPh>
    <phoneticPr fontId="2"/>
  </si>
  <si>
    <t>件数</t>
    <rPh sb="0" eb="2">
      <t>ケンスウ</t>
    </rPh>
    <phoneticPr fontId="2"/>
  </si>
  <si>
    <t>１Ａ</t>
    <phoneticPr fontId="2"/>
  </si>
  <si>
    <t>1A</t>
    <phoneticPr fontId="2"/>
  </si>
  <si>
    <t>１A</t>
    <phoneticPr fontId="2"/>
  </si>
  <si>
    <t>1ａ</t>
    <phoneticPr fontId="2"/>
  </si>
  <si>
    <t>”1A”合計</t>
    <rPh sb="4" eb="6">
      <t>ゴウケイ</t>
    </rPh>
    <phoneticPr fontId="2"/>
  </si>
  <si>
    <t>１Ｂ</t>
    <phoneticPr fontId="2"/>
  </si>
  <si>
    <t>1B</t>
    <phoneticPr fontId="2"/>
  </si>
  <si>
    <t>１B</t>
    <phoneticPr fontId="2"/>
  </si>
  <si>
    <t>1ｂ</t>
    <phoneticPr fontId="2"/>
  </si>
  <si>
    <t>１Ｃ</t>
    <phoneticPr fontId="2"/>
  </si>
  <si>
    <t>1C</t>
    <phoneticPr fontId="2"/>
  </si>
  <si>
    <t>１C</t>
    <phoneticPr fontId="2"/>
  </si>
  <si>
    <t>1ｃ</t>
    <phoneticPr fontId="2"/>
  </si>
  <si>
    <t>”1C”合計</t>
    <rPh sb="4" eb="6">
      <t>ゴウケイ</t>
    </rPh>
    <phoneticPr fontId="2"/>
  </si>
  <si>
    <t>”1B”合計</t>
    <rPh sb="4" eb="6">
      <t>ゴウケイ</t>
    </rPh>
    <phoneticPr fontId="2"/>
  </si>
  <si>
    <t>２Ａ</t>
  </si>
  <si>
    <t>２A</t>
  </si>
  <si>
    <t>２Ｂ</t>
  </si>
  <si>
    <t>２Ｃ</t>
  </si>
  <si>
    <t>２B</t>
  </si>
  <si>
    <t>２C</t>
  </si>
  <si>
    <t>2A</t>
  </si>
  <si>
    <t>2B</t>
  </si>
  <si>
    <t>2C</t>
  </si>
  <si>
    <t>2ａ</t>
  </si>
  <si>
    <t>2ｂ</t>
  </si>
  <si>
    <t>2ｃ</t>
  </si>
  <si>
    <t>3A</t>
  </si>
  <si>
    <t>3B</t>
  </si>
  <si>
    <t>3C</t>
  </si>
  <si>
    <t>3ａ</t>
  </si>
  <si>
    <t>3ｂ</t>
  </si>
  <si>
    <t>3ｃ</t>
  </si>
  <si>
    <t>３Ａ</t>
  </si>
  <si>
    <t>３Ｂ</t>
  </si>
  <si>
    <t>３Ｃ</t>
  </si>
  <si>
    <t>３A</t>
  </si>
  <si>
    <t>３B</t>
  </si>
  <si>
    <t>３C</t>
  </si>
  <si>
    <t>”2B”合計</t>
    <rPh sb="4" eb="6">
      <t>ゴウケイ</t>
    </rPh>
    <phoneticPr fontId="2"/>
  </si>
  <si>
    <t>”2C”合計</t>
    <rPh sb="4" eb="6">
      <t>ゴウケイ</t>
    </rPh>
    <phoneticPr fontId="2"/>
  </si>
  <si>
    <t>”2A”合計</t>
    <rPh sb="4" eb="6">
      <t>ゴウケイ</t>
    </rPh>
    <phoneticPr fontId="2"/>
  </si>
  <si>
    <t>”3C”合計</t>
    <rPh sb="4" eb="6">
      <t>ゴウケイ</t>
    </rPh>
    <phoneticPr fontId="2"/>
  </si>
  <si>
    <t>”3A”合計</t>
    <rPh sb="4" eb="6">
      <t>ゴウケイ</t>
    </rPh>
    <phoneticPr fontId="2"/>
  </si>
  <si>
    <t>”3B”合計</t>
    <rPh sb="4" eb="6">
      <t>ゴウケイ</t>
    </rPh>
    <phoneticPr fontId="2"/>
  </si>
  <si>
    <t>4A</t>
  </si>
  <si>
    <t>4B</t>
  </si>
  <si>
    <t>4C</t>
  </si>
  <si>
    <t>4ａ</t>
  </si>
  <si>
    <t>4ｂ</t>
  </si>
  <si>
    <t>4ｃ</t>
  </si>
  <si>
    <t>”4A”合計</t>
    <rPh sb="4" eb="6">
      <t>ゴウケイ</t>
    </rPh>
    <phoneticPr fontId="2"/>
  </si>
  <si>
    <t>”4B”合計</t>
    <rPh sb="4" eb="6">
      <t>ゴウケイ</t>
    </rPh>
    <phoneticPr fontId="2"/>
  </si>
  <si>
    <t>”4C”合計</t>
    <rPh sb="4" eb="6">
      <t>ゴウケイ</t>
    </rPh>
    <phoneticPr fontId="2"/>
  </si>
  <si>
    <t>４Ａ</t>
  </si>
  <si>
    <t>４Ｂ</t>
  </si>
  <si>
    <t>４Ｃ</t>
  </si>
  <si>
    <t>４A</t>
  </si>
  <si>
    <t>４B</t>
  </si>
  <si>
    <t>４C</t>
  </si>
  <si>
    <t>５Ａ</t>
  </si>
  <si>
    <t>５Ｂ</t>
  </si>
  <si>
    <t>５Ｃ</t>
  </si>
  <si>
    <t>５A</t>
  </si>
  <si>
    <t>５B</t>
  </si>
  <si>
    <t>５C</t>
  </si>
  <si>
    <t>5A</t>
  </si>
  <si>
    <t>5B</t>
  </si>
  <si>
    <t>5C</t>
  </si>
  <si>
    <t>5ａ</t>
  </si>
  <si>
    <t>5ｂ</t>
  </si>
  <si>
    <t>5ｃ</t>
  </si>
  <si>
    <t>”5A”合計</t>
    <rPh sb="4" eb="6">
      <t>ゴウケイ</t>
    </rPh>
    <phoneticPr fontId="2"/>
  </si>
  <si>
    <t>”5B”合計</t>
    <rPh sb="4" eb="6">
      <t>ゴウケイ</t>
    </rPh>
    <phoneticPr fontId="2"/>
  </si>
  <si>
    <t>”5C”合計</t>
    <rPh sb="4" eb="6">
      <t>ゴウケイ</t>
    </rPh>
    <phoneticPr fontId="2"/>
  </si>
  <si>
    <t>５Ｄ</t>
  </si>
  <si>
    <t>5Ｄ</t>
  </si>
  <si>
    <t>5D</t>
  </si>
  <si>
    <t>５D</t>
  </si>
  <si>
    <t>”5D”合計</t>
    <rPh sb="4" eb="6">
      <t>ゴウケイ</t>
    </rPh>
    <phoneticPr fontId="2"/>
  </si>
  <si>
    <t>記入日</t>
    <rPh sb="0" eb="2">
      <t>キニュウ</t>
    </rPh>
    <rPh sb="2" eb="3">
      <t>ビ</t>
    </rPh>
    <phoneticPr fontId="2"/>
  </si>
  <si>
    <t>コメント数</t>
    <rPh sb="4" eb="5">
      <t>スウ</t>
    </rPh>
    <phoneticPr fontId="2"/>
  </si>
  <si>
    <t>記入者</t>
    <rPh sb="0" eb="2">
      <t>キニュウ</t>
    </rPh>
    <rPh sb="2" eb="3">
      <t>シャ</t>
    </rPh>
    <phoneticPr fontId="2"/>
  </si>
  <si>
    <t>回答日</t>
    <rPh sb="0" eb="3">
      <t>カイトウビ</t>
    </rPh>
    <phoneticPr fontId="2"/>
  </si>
  <si>
    <t>回答者</t>
    <rPh sb="0" eb="2">
      <t>カイトウ</t>
    </rPh>
    <rPh sb="2" eb="3">
      <t>シャ</t>
    </rPh>
    <phoneticPr fontId="2"/>
  </si>
  <si>
    <t>担当 部課名</t>
    <rPh sb="0" eb="2">
      <t>タントウ</t>
    </rPh>
    <rPh sb="3" eb="5">
      <t>ブカ</t>
    </rPh>
    <rPh sb="5" eb="6">
      <t>メイ</t>
    </rPh>
    <phoneticPr fontId="2"/>
  </si>
  <si>
    <t>合計</t>
    <rPh sb="0" eb="2">
      <t>ゴウケイ</t>
    </rPh>
    <phoneticPr fontId="2"/>
  </si>
  <si>
    <t>PID</t>
    <phoneticPr fontId="2"/>
  </si>
  <si>
    <t>作成者</t>
    <rPh sb="0" eb="3">
      <t>サクセイシャ</t>
    </rPh>
    <phoneticPr fontId="2"/>
  </si>
  <si>
    <t>要件定義書</t>
    <rPh sb="0" eb="2">
      <t>ヨウケン</t>
    </rPh>
    <rPh sb="2" eb="5">
      <t>テイギショ</t>
    </rPh>
    <phoneticPr fontId="2"/>
  </si>
  <si>
    <t>レビュー結果</t>
    <rPh sb="4" eb="6">
      <t>ケッカ</t>
    </rPh>
    <phoneticPr fontId="2"/>
  </si>
  <si>
    <t>レビュー対象</t>
    <rPh sb="4" eb="6">
      <t>タイショウ</t>
    </rPh>
    <phoneticPr fontId="2"/>
  </si>
  <si>
    <t>プログラム仕様書</t>
    <rPh sb="5" eb="8">
      <t>シヨウショ</t>
    </rPh>
    <phoneticPr fontId="2"/>
  </si>
  <si>
    <t>(0)</t>
    <phoneticPr fontId="2"/>
  </si>
  <si>
    <t>要件定義段階での誤り</t>
    <rPh sb="0" eb="2">
      <t>ヨウケン</t>
    </rPh>
    <rPh sb="2" eb="4">
      <t>テイギ</t>
    </rPh>
    <rPh sb="4" eb="6">
      <t>ダンカイ</t>
    </rPh>
    <rPh sb="8" eb="9">
      <t>アヤマ</t>
    </rPh>
    <phoneticPr fontId="2"/>
  </si>
  <si>
    <t>ドキュメント</t>
    <phoneticPr fontId="2"/>
  </si>
  <si>
    <t>体制</t>
    <rPh sb="0" eb="2">
      <t>タイセイ</t>
    </rPh>
    <phoneticPr fontId="2"/>
  </si>
  <si>
    <t>区分</t>
    <rPh sb="0" eb="2">
      <t>クブン</t>
    </rPh>
    <phoneticPr fontId="2"/>
  </si>
  <si>
    <t>人数</t>
    <rPh sb="0" eb="1">
      <t>ヒト</t>
    </rPh>
    <rPh sb="1" eb="2">
      <t>スウ</t>
    </rPh>
    <phoneticPr fontId="2"/>
  </si>
  <si>
    <t>(1)</t>
    <phoneticPr fontId="2"/>
  </si>
  <si>
    <t>PJ件名</t>
    <rPh sb="2" eb="3">
      <t>ケン</t>
    </rPh>
    <rPh sb="3" eb="4">
      <t>メイ</t>
    </rPh>
    <phoneticPr fontId="2"/>
  </si>
  <si>
    <t>その他</t>
  </si>
  <si>
    <t>1Z:その他</t>
  </si>
  <si>
    <t>1C:機能間インターフェース仕様の誤り</t>
    <phoneticPr fontId="2"/>
  </si>
  <si>
    <t>1B:外部仕様の誤り</t>
    <phoneticPr fontId="2"/>
  </si>
  <si>
    <t>1A:外部仕様の抜け及び要件定義の解釈誤り</t>
    <phoneticPr fontId="2"/>
  </si>
  <si>
    <t>(2)</t>
    <phoneticPr fontId="2"/>
  </si>
  <si>
    <t>(3)</t>
    <phoneticPr fontId="2"/>
  </si>
  <si>
    <t>2Z:その他</t>
  </si>
  <si>
    <t>2C:モジュール間インターフェース仕様の誤り</t>
  </si>
  <si>
    <t>2B:内部設計の誤り</t>
  </si>
  <si>
    <t>2A:内部設計漏れ及び外部仕様の解釈誤り</t>
    <phoneticPr fontId="2"/>
  </si>
  <si>
    <t>(4)</t>
    <phoneticPr fontId="2"/>
  </si>
  <si>
    <t>(5)</t>
    <phoneticPr fontId="2"/>
  </si>
  <si>
    <t>コーディング段階での誤り</t>
  </si>
  <si>
    <t>試験段階での誤り</t>
  </si>
  <si>
    <t>5B:試験仕様の誤り</t>
  </si>
  <si>
    <t>5C:試験プログラム/データの誤り</t>
  </si>
  <si>
    <t>5D:試験項目抜け</t>
  </si>
  <si>
    <t>4B:表現不備(誤字/脱字など)</t>
  </si>
  <si>
    <t>5Z:その他</t>
  </si>
  <si>
    <t>3Z:その他</t>
  </si>
  <si>
    <t>3B:不注意なコーディング・ミス</t>
  </si>
  <si>
    <t>5A:仕様の解釈誤り</t>
    <phoneticPr fontId="2"/>
  </si>
  <si>
    <t>4A:お客様からの仕様変更</t>
    <phoneticPr fontId="2"/>
  </si>
  <si>
    <t>3A:設計どおりのコーディングがされていない</t>
    <phoneticPr fontId="2"/>
  </si>
  <si>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</si>
  <si>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</si>
  <si>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</si>
  <si>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</si>
  <si>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0A</t>
  </si>
  <si>
    <t>0ａ</t>
  </si>
  <si>
    <t>０A</t>
  </si>
  <si>
    <t>０Ａ</t>
  </si>
  <si>
    <t>”0A”合計</t>
    <rPh sb="4" eb="6">
      <t>ゴウケイ</t>
    </rPh>
    <phoneticPr fontId="2"/>
  </si>
  <si>
    <t>０B</t>
  </si>
  <si>
    <t>０Ｂ</t>
  </si>
  <si>
    <t>0B</t>
  </si>
  <si>
    <t>0ｂ</t>
  </si>
  <si>
    <t>0C</t>
  </si>
  <si>
    <t>0ｃ</t>
  </si>
  <si>
    <t>０C</t>
  </si>
  <si>
    <t>０Ｃ</t>
  </si>
  <si>
    <t>”0C”合計</t>
    <rPh sb="4" eb="6">
      <t>ゴウケイ</t>
    </rPh>
    <phoneticPr fontId="2"/>
  </si>
  <si>
    <t>”0B”合計</t>
    <rPh sb="4" eb="6">
      <t>ゴウケイ</t>
    </rPh>
    <phoneticPr fontId="2"/>
  </si>
  <si>
    <t>１Ｚ</t>
  </si>
  <si>
    <t>２Ｚ</t>
  </si>
  <si>
    <t>３Ｚ</t>
  </si>
  <si>
    <t>４Ｚ</t>
  </si>
  <si>
    <t>０Ｚ</t>
  </si>
  <si>
    <t>1Z</t>
  </si>
  <si>
    <t>2Z</t>
  </si>
  <si>
    <t>3Z</t>
  </si>
  <si>
    <t>4Z</t>
  </si>
  <si>
    <t>0Z</t>
  </si>
  <si>
    <t>１Z</t>
  </si>
  <si>
    <t>２Z</t>
  </si>
  <si>
    <t>３Z</t>
  </si>
  <si>
    <t>４Z</t>
  </si>
  <si>
    <t>０Z</t>
  </si>
  <si>
    <t>1ｚ</t>
  </si>
  <si>
    <t>2ｚ</t>
  </si>
  <si>
    <t>3ｚ</t>
  </si>
  <si>
    <t>4ｚ</t>
  </si>
  <si>
    <t>0ｚ</t>
  </si>
  <si>
    <t>”1Z”合計</t>
    <rPh sb="4" eb="6">
      <t>ゴウケイ</t>
    </rPh>
    <phoneticPr fontId="2"/>
  </si>
  <si>
    <t>”0Z”合計</t>
    <rPh sb="4" eb="6">
      <t>ゴウケイ</t>
    </rPh>
    <phoneticPr fontId="2"/>
  </si>
  <si>
    <t>”2Z”合計</t>
    <rPh sb="4" eb="6">
      <t>ゴウケイ</t>
    </rPh>
    <phoneticPr fontId="2"/>
  </si>
  <si>
    <t>”3Z”合計</t>
    <rPh sb="4" eb="6">
      <t>ゴウケイ</t>
    </rPh>
    <phoneticPr fontId="2"/>
  </si>
  <si>
    <t>”4Z”合計</t>
    <rPh sb="4" eb="6">
      <t>ゴウケイ</t>
    </rPh>
    <phoneticPr fontId="2"/>
  </si>
  <si>
    <t>５Ｚ</t>
    <phoneticPr fontId="2"/>
  </si>
  <si>
    <t>5Z</t>
    <phoneticPr fontId="2"/>
  </si>
  <si>
    <t>５Z</t>
    <phoneticPr fontId="2"/>
  </si>
  <si>
    <t>5ｚ</t>
    <phoneticPr fontId="2"/>
  </si>
  <si>
    <t>”5Z”合計</t>
    <rPh sb="4" eb="6">
      <t>ゴウケイ</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</si>
  <si>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</si>
  <si>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</si>
  <si>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</si>
  <si>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</si>
  <si>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備　考</t>
    <rPh sb="0" eb="1">
      <t>ビ</t>
    </rPh>
    <rPh sb="2" eb="3">
      <t>コウ</t>
    </rPh>
    <phoneticPr fontId="2"/>
  </si>
  <si>
    <t>～</t>
    <phoneticPr fontId="2"/>
  </si>
  <si>
    <t>～</t>
    <phoneticPr fontId="2"/>
  </si>
  <si>
    <t>～</t>
    <phoneticPr fontId="2"/>
  </si>
  <si>
    <t>～</t>
    <phoneticPr fontId="2"/>
  </si>
  <si>
    <t>当該仕様担当者</t>
    <rPh sb="0" eb="2">
      <t>トウガイ</t>
    </rPh>
    <rPh sb="2" eb="4">
      <t>シヨウ</t>
    </rPh>
    <rPh sb="4" eb="7">
      <t>タントウシャ</t>
    </rPh>
    <phoneticPr fontId="2"/>
  </si>
  <si>
    <t>営業担当者</t>
    <rPh sb="0" eb="2">
      <t>エイギョウ</t>
    </rPh>
    <rPh sb="2" eb="4">
      <t>タントウ</t>
    </rPh>
    <rPh sb="4" eb="5">
      <t>シャ</t>
    </rPh>
    <phoneticPr fontId="2"/>
  </si>
  <si>
    <t>製外</t>
    <rPh sb="0" eb="2">
      <t>セイガイ</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</si>
  <si>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</si>
  <si>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</si>
  <si>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</si>
  <si>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試験要領書</t>
    <rPh sb="0" eb="2">
      <t>シケン</t>
    </rPh>
    <rPh sb="2" eb="4">
      <t>ヨウリョウ</t>
    </rPh>
    <rPh sb="4" eb="5">
      <t>ショ</t>
    </rPh>
    <phoneticPr fontId="2"/>
  </si>
  <si>
    <t>ソースプログラムリスト</t>
    <phoneticPr fontId="2"/>
  </si>
  <si>
    <t>日付記入数</t>
    <rPh sb="0" eb="2">
      <t>ヒヅケ</t>
    </rPh>
    <rPh sb="2" eb="4">
      <t>キニュウ</t>
    </rPh>
    <rPh sb="4" eb="5">
      <t>スウ</t>
    </rPh>
    <phoneticPr fontId="2"/>
  </si>
  <si>
    <t>日付累計</t>
    <rPh sb="0" eb="2">
      <t>ヒヅケ</t>
    </rPh>
    <rPh sb="2" eb="4">
      <t>ルイケイ</t>
    </rPh>
    <phoneticPr fontId="2"/>
  </si>
  <si>
    <t>上位仕様担当者</t>
    <rPh sb="0" eb="2">
      <t>ジョウイ</t>
    </rPh>
    <rPh sb="2" eb="4">
      <t>シヨウ</t>
    </rPh>
    <rPh sb="4" eb="7">
      <t>タントウシャ</t>
    </rPh>
    <phoneticPr fontId="2"/>
  </si>
  <si>
    <t>下位仕様担当者</t>
    <rPh sb="0" eb="2">
      <t>カイ</t>
    </rPh>
    <rPh sb="2" eb="4">
      <t>シヨウ</t>
    </rPh>
    <rPh sb="4" eb="7">
      <t>タントウシャ</t>
    </rPh>
    <phoneticPr fontId="2"/>
  </si>
  <si>
    <t>ドキュメントレビュー
誤り指摘率(件/頁)</t>
    <rPh sb="11" eb="12">
      <t>アヤマ</t>
    </rPh>
    <rPh sb="13" eb="15">
      <t>シテキ</t>
    </rPh>
    <rPh sb="15" eb="16">
      <t>リツ</t>
    </rPh>
    <rPh sb="17" eb="18">
      <t>ケン</t>
    </rPh>
    <rPh sb="19" eb="20">
      <t>ページ</t>
    </rPh>
    <phoneticPr fontId="2"/>
  </si>
  <si>
    <t>ドキュメントレビュー
指摘率(件/頁)</t>
    <rPh sb="11" eb="13">
      <t>シテキ</t>
    </rPh>
    <rPh sb="13" eb="14">
      <t>リツ</t>
    </rPh>
    <phoneticPr fontId="2"/>
  </si>
  <si>
    <t>コードレビュー
指摘率(件/KL)</t>
    <rPh sb="8" eb="10">
      <t>シテキ</t>
    </rPh>
    <rPh sb="10" eb="11">
      <t>リツ</t>
    </rPh>
    <phoneticPr fontId="2"/>
  </si>
  <si>
    <t>コードレビュー
誤り指摘率(件/KL)</t>
    <rPh sb="8" eb="9">
      <t>アヤマ</t>
    </rPh>
    <rPh sb="10" eb="12">
      <t>シテキ</t>
    </rPh>
    <rPh sb="12" eb="13">
      <t>リツ</t>
    </rPh>
    <rPh sb="14" eb="15">
      <t>ケン</t>
    </rPh>
    <phoneticPr fontId="2"/>
  </si>
  <si>
    <t>総指摘件数</t>
    <rPh sb="0" eb="1">
      <t>ソウ</t>
    </rPh>
    <rPh sb="1" eb="3">
      <t>シテキ</t>
    </rPh>
    <rPh sb="3" eb="5">
      <t>ケンスウ</t>
    </rPh>
    <phoneticPr fontId="2"/>
  </si>
  <si>
    <t>件</t>
  </si>
  <si>
    <t>件</t>
    <rPh sb="0" eb="1">
      <t>ケン</t>
    </rPh>
    <phoneticPr fontId="2"/>
  </si>
  <si>
    <t>件）</t>
    <rPh sb="0" eb="1">
      <t>ケン</t>
    </rPh>
    <phoneticPr fontId="2"/>
  </si>
  <si>
    <t>ﾄﾞｷｭﾒﾝﾄ番号：</t>
    <rPh sb="7" eb="9">
      <t>バンゴウ</t>
    </rPh>
    <phoneticPr fontId="2"/>
  </si>
  <si>
    <t>ﾄﾞｷｭﾒﾝﾄ名／
ﾌﾟﾛｸﾞﾗﾑ名　　：</t>
    <rPh sb="7" eb="8">
      <t>メイ</t>
    </rPh>
    <rPh sb="17" eb="18">
      <t>メイ</t>
    </rPh>
    <phoneticPr fontId="2"/>
  </si>
  <si>
    <t>合　計　（人）</t>
    <rPh sb="0" eb="1">
      <t>ゴウ</t>
    </rPh>
    <rPh sb="2" eb="3">
      <t>ケイ</t>
    </rPh>
    <rPh sb="5" eb="6">
      <t>ヒト</t>
    </rPh>
    <phoneticPr fontId="2"/>
  </si>
  <si>
    <t>＜査読シートの誤り分類の集計＞</t>
    <rPh sb="1" eb="3">
      <t>サドク</t>
    </rPh>
    <rPh sb="7" eb="8">
      <t>アヤマ</t>
    </rPh>
    <rPh sb="9" eb="11">
      <t>ブンルイ</t>
    </rPh>
    <rPh sb="12" eb="14">
      <t>シュウケイ</t>
    </rPh>
    <phoneticPr fontId="2"/>
  </si>
  <si>
    <t>件　　（内 誤り件数</t>
    <rPh sb="0" eb="1">
      <t>ケン</t>
    </rPh>
    <rPh sb="4" eb="5">
      <t>ウチ</t>
    </rPh>
    <rPh sb="6" eb="7">
      <t>アヤマ</t>
    </rPh>
    <rPh sb="8" eb="10">
      <t>ケンスウ</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</si>
  <si>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</si>
  <si>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未使用</t>
    <rPh sb="0" eb="1">
      <t>ミ</t>
    </rPh>
    <rPh sb="1" eb="3">
      <t>シヨウ</t>
    </rPh>
    <phoneticPr fontId="2"/>
  </si>
  <si>
    <t>ﾓｼﾞｭｰﾙ数(個)</t>
    <phoneticPr fontId="2"/>
  </si>
  <si>
    <t>作　成　日　</t>
    <rPh sb="0" eb="1">
      <t>サク</t>
    </rPh>
    <rPh sb="2" eb="3">
      <t>シゲル</t>
    </rPh>
    <rPh sb="4" eb="5">
      <t>ヒ</t>
    </rPh>
    <phoneticPr fontId="2"/>
  </si>
  <si>
    <t>　</t>
    <phoneticPr fontId="2"/>
  </si>
  <si>
    <t>ライン数（KL）</t>
    <rPh sb="3" eb="4">
      <t>スウ</t>
    </rPh>
    <phoneticPr fontId="2"/>
  </si>
  <si>
    <t>ページ数(頁)</t>
    <rPh sb="3" eb="4">
      <t>スウ</t>
    </rPh>
    <rPh sb="5" eb="6">
      <t>ページ</t>
    </rPh>
    <phoneticPr fontId="2"/>
  </si>
  <si>
    <t>査読コメント</t>
  </si>
  <si>
    <t>&lt;&gt;""</t>
    <phoneticPr fontId="2"/>
  </si>
  <si>
    <t>：レビューア</t>
    <phoneticPr fontId="2"/>
  </si>
  <si>
    <t>ﾚﾋﾞｭｰ指摘率（件/頁）orｺｰﾄﾞﾚﾋﾞｭｰ指摘率（件/KL）</t>
    <phoneticPr fontId="2"/>
  </si>
  <si>
    <t>ページ数(頁) 
or
ライン数（KL)</t>
    <rPh sb="3" eb="4">
      <t>スウ</t>
    </rPh>
    <rPh sb="5" eb="6">
      <t>ページ</t>
    </rPh>
    <phoneticPr fontId="2"/>
  </si>
  <si>
    <t>PL</t>
    <phoneticPr fontId="2"/>
  </si>
  <si>
    <t>QR</t>
    <phoneticPr fontId="2"/>
  </si>
  <si>
    <t>評価</t>
    <rPh sb="0" eb="2">
      <t>ヒョウカ</t>
    </rPh>
    <phoneticPr fontId="2"/>
  </si>
  <si>
    <t>審査
責任者
欄</t>
    <rPh sb="0" eb="2">
      <t>シンサ</t>
    </rPh>
    <rPh sb="3" eb="6">
      <t>セキニンシャ</t>
    </rPh>
    <rPh sb="7" eb="8">
      <t>ラン</t>
    </rPh>
    <phoneticPr fontId="2"/>
  </si>
  <si>
    <t>添付資料</t>
    <rPh sb="0" eb="2">
      <t>テンプ</t>
    </rPh>
    <rPh sb="2" eb="4">
      <t>シリョウ</t>
    </rPh>
    <phoneticPr fontId="2"/>
  </si>
  <si>
    <t>□</t>
    <phoneticPr fontId="2"/>
  </si>
  <si>
    <t>レビューチェックリスト</t>
    <phoneticPr fontId="2"/>
  </si>
  <si>
    <t>査読シート</t>
    <rPh sb="0" eb="2">
      <t>サドク</t>
    </rPh>
    <phoneticPr fontId="2"/>
  </si>
  <si>
    <t>査　読　シ ー ト</t>
  </si>
  <si>
    <t>プロジェクト実行計画書</t>
    <rPh sb="6" eb="8">
      <t>ジッコウ</t>
    </rPh>
    <rPh sb="8" eb="10">
      <t>ケイカク</t>
    </rPh>
    <rPh sb="10" eb="11">
      <t>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</si>
  <si>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</si>
  <si>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</si>
  <si>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ソースプログラムリスト</t>
    <phoneticPr fontId="2"/>
  </si>
  <si>
    <t>D1：計画内容の抜け</t>
    <phoneticPr fontId="2"/>
  </si>
  <si>
    <t>(D)</t>
    <phoneticPr fontId="2"/>
  </si>
  <si>
    <t>プロ完段階での誤り</t>
    <rPh sb="2" eb="3">
      <t>カン</t>
    </rPh>
    <rPh sb="3" eb="5">
      <t>ダンカイ</t>
    </rPh>
    <rPh sb="7" eb="8">
      <t>アヤマ</t>
    </rPh>
    <phoneticPr fontId="2"/>
  </si>
  <si>
    <t>DZ：その他</t>
    <phoneticPr fontId="2"/>
  </si>
  <si>
    <t>(6)</t>
    <phoneticPr fontId="2"/>
  </si>
  <si>
    <t>6A：報告内容の抜け</t>
    <phoneticPr fontId="2"/>
  </si>
  <si>
    <t>6Z：その他</t>
    <phoneticPr fontId="2"/>
  </si>
  <si>
    <t>レビュー評価シート</t>
    <rPh sb="4" eb="6">
      <t>ヒョウカ</t>
    </rPh>
    <phoneticPr fontId="2"/>
  </si>
  <si>
    <t>計画段階での誤り</t>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</si>
  <si>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</si>
  <si>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0A:要件の抜け及び解釈誤り</t>
    <rPh sb="3" eb="5">
      <t>ヨウケン</t>
    </rPh>
    <rPh sb="6" eb="7">
      <t>ヌ</t>
    </rPh>
    <rPh sb="8" eb="9">
      <t>オヨ</t>
    </rPh>
    <rPh sb="10" eb="12">
      <t>カイシャク</t>
    </rPh>
    <rPh sb="12" eb="13">
      <t>アヤマ</t>
    </rPh>
    <phoneticPr fontId="2"/>
  </si>
  <si>
    <t>0B:要件定義の誤り</t>
    <rPh sb="3" eb="5">
      <t>ヨウケン</t>
    </rPh>
    <rPh sb="5" eb="7">
      <t>テイギ</t>
    </rPh>
    <rPh sb="8" eb="9">
      <t>アヤマ</t>
    </rPh>
    <phoneticPr fontId="2"/>
  </si>
  <si>
    <t>0C:システム化対象範囲外とのインターフェースの誤り</t>
    <rPh sb="7" eb="8">
      <t>カ</t>
    </rPh>
    <rPh sb="8" eb="10">
      <t>タイショウ</t>
    </rPh>
    <rPh sb="10" eb="12">
      <t>ハンイ</t>
    </rPh>
    <rPh sb="12" eb="13">
      <t>ガイ</t>
    </rPh>
    <rPh sb="24" eb="25">
      <t>アヤマ</t>
    </rPh>
    <phoneticPr fontId="2"/>
  </si>
  <si>
    <t>0Z:その他</t>
    <rPh sb="5" eb="6">
      <t>タ</t>
    </rPh>
    <phoneticPr fontId="2"/>
  </si>
  <si>
    <t>審査責任者</t>
    <phoneticPr fontId="2"/>
  </si>
  <si>
    <t>その他（　　　　　　　　　　　　　　　　　　　　　　　）</t>
    <rPh sb="2" eb="3">
      <t>タ</t>
    </rPh>
    <phoneticPr fontId="2"/>
  </si>
  <si>
    <t>Ｄ１</t>
    <phoneticPr fontId="2"/>
  </si>
  <si>
    <t>D1</t>
    <phoneticPr fontId="2"/>
  </si>
  <si>
    <t>d1</t>
    <phoneticPr fontId="2"/>
  </si>
  <si>
    <t>Ｄ1</t>
    <phoneticPr fontId="2"/>
  </si>
  <si>
    <t>”D1”合計</t>
    <rPh sb="4" eb="6">
      <t>ゴウケイ</t>
    </rPh>
    <phoneticPr fontId="2"/>
  </si>
  <si>
    <t>”D2”合計</t>
    <rPh sb="4" eb="6">
      <t>ゴウケイ</t>
    </rPh>
    <phoneticPr fontId="2"/>
  </si>
  <si>
    <t>”DZ”合計</t>
    <rPh sb="4" eb="6">
      <t>ゴウケイ</t>
    </rPh>
    <phoneticPr fontId="2"/>
  </si>
  <si>
    <t>D2</t>
    <phoneticPr fontId="2"/>
  </si>
  <si>
    <t>d2</t>
    <phoneticPr fontId="2"/>
  </si>
  <si>
    <t>Ｄ２</t>
    <phoneticPr fontId="2"/>
  </si>
  <si>
    <t>ＤＺ</t>
    <phoneticPr fontId="2"/>
  </si>
  <si>
    <t>DZ</t>
    <phoneticPr fontId="2"/>
  </si>
  <si>
    <t>ＤZ</t>
    <phoneticPr fontId="2"/>
  </si>
  <si>
    <t>dz</t>
    <phoneticPr fontId="2"/>
  </si>
  <si>
    <t>”6A”合計</t>
    <rPh sb="4" eb="6">
      <t>ゴウケイ</t>
    </rPh>
    <phoneticPr fontId="2"/>
  </si>
  <si>
    <t>”6B”合計</t>
    <rPh sb="4" eb="6">
      <t>ゴウケイ</t>
    </rPh>
    <phoneticPr fontId="2"/>
  </si>
  <si>
    <t>”6Z”合計</t>
    <rPh sb="4" eb="6">
      <t>ゴウケイ</t>
    </rPh>
    <phoneticPr fontId="2"/>
  </si>
  <si>
    <t>6ａ</t>
    <phoneticPr fontId="2"/>
  </si>
  <si>
    <t>６Ａ</t>
    <phoneticPr fontId="2"/>
  </si>
  <si>
    <t>６A</t>
    <phoneticPr fontId="2"/>
  </si>
  <si>
    <t>6A</t>
    <phoneticPr fontId="2"/>
  </si>
  <si>
    <t>6B</t>
    <phoneticPr fontId="2"/>
  </si>
  <si>
    <t>6ｂ</t>
    <phoneticPr fontId="2"/>
  </si>
  <si>
    <t>６Ｂ</t>
    <phoneticPr fontId="2"/>
  </si>
  <si>
    <t>６B</t>
    <phoneticPr fontId="2"/>
  </si>
  <si>
    <t>６Ｚ</t>
    <phoneticPr fontId="2"/>
  </si>
  <si>
    <t>６Z</t>
    <phoneticPr fontId="2"/>
  </si>
  <si>
    <t>6Z</t>
    <phoneticPr fontId="2"/>
  </si>
  <si>
    <t>6ｚ</t>
    <phoneticPr fontId="2"/>
  </si>
  <si>
    <t>（注1）　　　　　：ピア/公式ﾚﾋﾞｭｰを行うドキュメントの場合の必須記入項目
（注2）　　　　　：計算式セル（入力不要）　　　　　　</t>
    <rPh sb="35" eb="37">
      <t>キニュウ</t>
    </rPh>
    <phoneticPr fontId="2"/>
  </si>
  <si>
    <t>処置期限</t>
    <rPh sb="0" eb="2">
      <t>ショチ</t>
    </rPh>
    <rPh sb="2" eb="4">
      <t>キゲン</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</si>
  <si>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</si>
  <si>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D2：計画内容の誤り，不整合，記述不足</t>
  </si>
  <si>
    <t>6B：報告内容の誤り，不整合，記述不足</t>
  </si>
  <si>
    <t>[ガイド] 誤り分類の傾向，レビュー工数，参加者，対象ページ数などの相関から，レビューの妥当性を判断する。</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</si>
  <si>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</si>
  <si>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</si>
  <si>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（複数ﾒﾝﾊﾞによるﾚﾋﾞｭｰの場合，工数加算する）</t>
  </si>
  <si>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</si>
  <si>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</si>
  <si>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</si>
  <si>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ＰＪ外有識者（QA)</t>
    <rPh sb="2" eb="3">
      <t>ガイ</t>
    </rPh>
    <rPh sb="3" eb="6">
      <t>ユウシキシャ</t>
    </rPh>
    <phoneticPr fontId="2"/>
  </si>
  <si>
    <t>名前</t>
    <rPh sb="0" eb="2">
      <t>ナマエ</t>
    </rPh>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</si>
  <si>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</si>
  <si>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ﾚﾋﾞｭｰ形式：
（○を記入）</t>
    <rPh sb="12" eb="14">
      <t>キニュウ</t>
    </rPh>
    <phoneticPr fontId="2"/>
  </si>
  <si>
    <t>ピアレビュー</t>
    <phoneticPr fontId="2"/>
  </si>
  <si>
    <t>公式レビュー</t>
    <rPh sb="0" eb="2">
      <t>コウシキ</t>
    </rPh>
    <phoneticPr fontId="2"/>
  </si>
  <si>
    <t>ドキュメントレビュー
密度(Ｈｒ/頁)</t>
    <rPh sb="11" eb="13">
      <t>ミツド</t>
    </rPh>
    <rPh sb="17" eb="18">
      <t>ページ</t>
    </rPh>
    <phoneticPr fontId="2"/>
  </si>
  <si>
    <t>コードレビュー
密度(Ｈｒ/KL)</t>
    <rPh sb="8" eb="10">
      <t>ミツド</t>
    </rPh>
    <phoneticPr fontId="2"/>
  </si>
  <si>
    <t>総レビュー工数（Hr）</t>
    <rPh sb="0" eb="1">
      <t>ソウ</t>
    </rPh>
    <rPh sb="5" eb="7">
      <t>コウスウ</t>
    </rPh>
    <phoneticPr fontId="2"/>
  </si>
  <si>
    <t>Hr</t>
    <phoneticPr fontId="2"/>
  </si>
  <si>
    <t>ﾚﾋﾞｭｰ工数(Hr)</t>
    <rPh sb="5" eb="7">
      <t>コウスウ</t>
    </rPh>
    <phoneticPr fontId="2"/>
  </si>
  <si>
    <t>作成工数（Hr）</t>
    <rPh sb="0" eb="2">
      <t>サクセイ</t>
    </rPh>
    <rPh sb="2" eb="4">
      <t>コウスウ</t>
    </rPh>
    <phoneticPr fontId="2"/>
  </si>
  <si>
    <t>システムフロー_S100_01f_レビューシート.xls</t>
    <phoneticPr fontId="2"/>
  </si>
  <si>
    <t>Ｄ１</t>
    <phoneticPr fontId="2"/>
  </si>
  <si>
    <t>Ｄ２</t>
    <phoneticPr fontId="2"/>
  </si>
  <si>
    <t>ＤＺ</t>
    <phoneticPr fontId="2"/>
  </si>
  <si>
    <t>１Ａ</t>
    <phoneticPr fontId="2"/>
  </si>
  <si>
    <t>１Ｂ</t>
    <phoneticPr fontId="2"/>
  </si>
  <si>
    <t>１Ｃ</t>
    <phoneticPr fontId="2"/>
  </si>
  <si>
    <t>５Ｚ</t>
    <phoneticPr fontId="2"/>
  </si>
  <si>
    <t>６Ａ</t>
    <phoneticPr fontId="2"/>
  </si>
  <si>
    <t>６Ｂ</t>
    <phoneticPr fontId="2"/>
  </si>
  <si>
    <t>６Ｚ</t>
    <phoneticPr fontId="2"/>
  </si>
  <si>
    <t>D1</t>
    <phoneticPr fontId="2"/>
  </si>
  <si>
    <t>D2</t>
    <phoneticPr fontId="2"/>
  </si>
  <si>
    <t>DZ</t>
    <phoneticPr fontId="2"/>
  </si>
  <si>
    <t>1A</t>
    <phoneticPr fontId="2"/>
  </si>
  <si>
    <t>1B</t>
    <phoneticPr fontId="2"/>
  </si>
  <si>
    <t>1C</t>
    <phoneticPr fontId="2"/>
  </si>
  <si>
    <t>5Z</t>
    <phoneticPr fontId="2"/>
  </si>
  <si>
    <t>6A</t>
    <phoneticPr fontId="2"/>
  </si>
  <si>
    <t>6B</t>
    <phoneticPr fontId="2"/>
  </si>
  <si>
    <t>6Z</t>
    <phoneticPr fontId="2"/>
  </si>
  <si>
    <t>Ｄ1</t>
    <phoneticPr fontId="2"/>
  </si>
  <si>
    <t>ＤZ</t>
    <phoneticPr fontId="2"/>
  </si>
  <si>
    <t>１A</t>
    <phoneticPr fontId="2"/>
  </si>
  <si>
    <t>１B</t>
    <phoneticPr fontId="2"/>
  </si>
  <si>
    <t>１C</t>
    <phoneticPr fontId="2"/>
  </si>
  <si>
    <t>５Z</t>
    <phoneticPr fontId="2"/>
  </si>
  <si>
    <t>６A</t>
    <phoneticPr fontId="2"/>
  </si>
  <si>
    <t>６B</t>
    <phoneticPr fontId="2"/>
  </si>
  <si>
    <t>６Z</t>
    <phoneticPr fontId="2"/>
  </si>
  <si>
    <t>d1</t>
    <phoneticPr fontId="2"/>
  </si>
  <si>
    <t>d2</t>
    <phoneticPr fontId="2"/>
  </si>
  <si>
    <t>dz</t>
    <phoneticPr fontId="2"/>
  </si>
  <si>
    <t>1ａ</t>
    <phoneticPr fontId="2"/>
  </si>
  <si>
    <t>1ｂ</t>
    <phoneticPr fontId="2"/>
  </si>
  <si>
    <t>1ｃ</t>
    <phoneticPr fontId="2"/>
  </si>
  <si>
    <t>5ｚ</t>
    <phoneticPr fontId="2"/>
  </si>
  <si>
    <t>6ａ</t>
    <phoneticPr fontId="2"/>
  </si>
  <si>
    <t>6ｂ</t>
    <phoneticPr fontId="2"/>
  </si>
  <si>
    <t>6ｚ</t>
    <phoneticPr fontId="2"/>
  </si>
  <si>
    <t>&lt;&gt;""</t>
    <phoneticPr fontId="2"/>
  </si>
  <si>
    <t>：レビューア</t>
    <phoneticPr fontId="2"/>
  </si>
  <si>
    <t>ﾚﾋﾞｭｰ指摘率（件/頁）orｺｰﾄﾞﾚﾋﾞｭｰ指摘率（件/KL）</t>
    <phoneticPr fontId="2"/>
  </si>
  <si>
    <t>　</t>
    <phoneticPr fontId="2"/>
  </si>
  <si>
    <t>No.</t>
    <phoneticPr fontId="2"/>
  </si>
  <si>
    <t>ページ</t>
    <phoneticPr fontId="2"/>
  </si>
  <si>
    <t>○</t>
  </si>
  <si>
    <t>実施日：</t>
    <rPh sb="0" eb="2">
      <t>ジッシ</t>
    </rPh>
    <rPh sb="2" eb="3">
      <t>ビ</t>
    </rPh>
    <phoneticPr fontId="95"/>
  </si>
  <si>
    <t>実施者：</t>
    <rPh sb="0" eb="2">
      <t>ジッシ</t>
    </rPh>
    <rPh sb="2" eb="3">
      <t>シャ</t>
    </rPh>
    <phoneticPr fontId="95"/>
  </si>
  <si>
    <t>ドキュメント番号：</t>
    <rPh sb="6" eb="8">
      <t>バンゴウ</t>
    </rPh>
    <phoneticPr fontId="95"/>
  </si>
  <si>
    <t>チェック項目</t>
    <rPh sb="4" eb="6">
      <t>コウモク</t>
    </rPh>
    <phoneticPr fontId="95"/>
  </si>
  <si>
    <t>チェック内容</t>
    <rPh sb="4" eb="6">
      <t>ナイヨウ</t>
    </rPh>
    <phoneticPr fontId="95"/>
  </si>
  <si>
    <t>結果
(○／×／－)</t>
    <rPh sb="0" eb="2">
      <t>ケッカ</t>
    </rPh>
    <phoneticPr fontId="95"/>
  </si>
  <si>
    <t>■</t>
  </si>
  <si>
    <t>結合テスト計画書</t>
    <rPh sb="0" eb="2">
      <t>ケツゴウ</t>
    </rPh>
    <rPh sb="5" eb="8">
      <t>ケイカクショ</t>
    </rPh>
    <phoneticPr fontId="2"/>
  </si>
  <si>
    <t>システムテスト計画書</t>
    <rPh sb="7" eb="10">
      <t>ケイカクショ</t>
    </rPh>
    <phoneticPr fontId="2"/>
  </si>
  <si>
    <t>基本設計（外部設計）段階での誤り</t>
    <rPh sb="0" eb="2">
      <t>キホン</t>
    </rPh>
    <rPh sb="2" eb="4">
      <t>セッケイ</t>
    </rPh>
    <rPh sb="5" eb="7">
      <t>ガイブ</t>
    </rPh>
    <rPh sb="7" eb="9">
      <t>セッケイ</t>
    </rPh>
    <rPh sb="10" eb="12">
      <t>ダンカイ</t>
    </rPh>
    <rPh sb="14" eb="15">
      <t>アヤマ</t>
    </rPh>
    <phoneticPr fontId="2"/>
  </si>
  <si>
    <t>基本設計書（外部仕様書）</t>
    <rPh sb="0" eb="2">
      <t>キホン</t>
    </rPh>
    <rPh sb="2" eb="5">
      <t>セッケイショ</t>
    </rPh>
    <rPh sb="6" eb="8">
      <t>ガイブ</t>
    </rPh>
    <rPh sb="8" eb="11">
      <t>シヨウショ</t>
    </rPh>
    <phoneticPr fontId="2"/>
  </si>
  <si>
    <t>詳細設計書（内部仕様書）</t>
    <rPh sb="0" eb="2">
      <t>ショウサイ</t>
    </rPh>
    <rPh sb="2" eb="5">
      <t>セッケイショ</t>
    </rPh>
    <rPh sb="6" eb="8">
      <t>ナイブ</t>
    </rPh>
    <rPh sb="8" eb="11">
      <t>シヨウショ</t>
    </rPh>
    <phoneticPr fontId="2"/>
  </si>
  <si>
    <t>詳細設計/プログラム設計(内部設計)段階での誤り</t>
    <phoneticPr fontId="2"/>
  </si>
  <si>
    <t>●</t>
  </si>
  <si>
    <t>No.</t>
    <phoneticPr fontId="95"/>
  </si>
  <si>
    <t>●</t>
    <phoneticPr fontId="95"/>
  </si>
  <si>
    <t>●</t>
    <phoneticPr fontId="95"/>
  </si>
  <si>
    <t>●</t>
    <phoneticPr fontId="95"/>
  </si>
  <si>
    <t>●</t>
    <phoneticPr fontId="95"/>
  </si>
  <si>
    <t>画面</t>
  </si>
  <si>
    <t>・対象０件の場合の結果を確認する。</t>
  </si>
  <si>
    <t>・対象１件の場合、登録処理を確認する。</t>
  </si>
  <si>
    <t>・対象複数件（５件以上）の場合、登録処理を確認する。</t>
  </si>
  <si>
    <t>・合計値項目など導出値が正しく登録されているかを確認する。</t>
  </si>
  <si>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</si>
  <si>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</si>
  <si>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</si>
  <si>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</si>
  <si>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</si>
  <si>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・削除処理の対象行が空行の場合は削除されることを確認する。</t>
  </si>
  <si>
    <t>・削除処理の対象行が空行以外の場合は、行ステータスが「D：削除」になることを確認する。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</si>
  <si>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</si>
  <si>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</si>
  <si>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</si>
  <si>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・正常系の処理は、標準仕様にて動作が保証されている場合、試験項目は不要とする。</t>
  </si>
  <si>
    <t>・異常系の処理は、標準仕様にて動作が保証されている場合、試験項目として確認する。</t>
  </si>
  <si>
    <t>機能区分：</t>
    <rPh sb="0" eb="2">
      <t>キノウ</t>
    </rPh>
    <rPh sb="2" eb="4">
      <t>クブン</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</si>
  <si>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</si>
  <si>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</si>
  <si>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</si>
  <si>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</si>
  <si>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</si>
  <si>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</si>
  <si>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</si>
  <si>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</si>
  <si>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</si>
  <si>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</si>
  <si>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</si>
  <si>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</si>
  <si>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</si>
  <si>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</si>
  <si>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</si>
  <si>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</si>
  <si>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</si>
  <si>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</si>
  <si>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</si>
  <si>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</si>
  <si>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</si>
  <si>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</si>
  <si>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単体テスト要領書チェックリスト（Ｒｅｖ１．０）</t>
    <rPh sb="0" eb="2">
      <t>タンタイ</t>
    </rPh>
    <rPh sb="5" eb="7">
      <t>ヨウリョウ</t>
    </rPh>
    <rPh sb="7" eb="8">
      <t>ショ</t>
    </rPh>
    <phoneticPr fontId="95"/>
  </si>
  <si>
    <t>１．画面全体</t>
    <rPh sb="2" eb="4">
      <t>ガメン</t>
    </rPh>
    <rPh sb="4" eb="6">
      <t>ゼンタイ</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</si>
  <si>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</si>
  <si>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</si>
  <si>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</si>
  <si>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</si>
  <si>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</si>
  <si>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</si>
  <si>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４．画面イベント</t>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</si>
  <si>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</si>
  <si>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</si>
  <si>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</si>
  <si>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</si>
  <si>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</si>
  <si>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</si>
  <si>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</si>
  <si>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株式会社クラウン・パッケージ新基幹システム導入</t>
    <phoneticPr fontId="2"/>
  </si>
  <si>
    <t>ー</t>
    <phoneticPr fontId="2"/>
  </si>
  <si>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</si>
  <si>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〇</t>
  </si>
  <si>
    <t>単体試験要領書_MSBBPA100_【画面】WebFSC製品化チェックシート出力.xlsx</t>
    <phoneticPr fontId="2"/>
  </si>
  <si>
    <t>TBK高</t>
    <rPh sb="3" eb="4">
      <t>コウ</t>
    </rPh>
    <phoneticPr fontId="95"/>
  </si>
  <si>
    <t>ケース４７
確認対象：版型No
⇒どこに記載がある</t>
    <rPh sb="6" eb="8">
      <t>カクニン</t>
    </rPh>
    <rPh sb="8" eb="10">
      <t>タイショウ</t>
    </rPh>
    <rPh sb="20" eb="22">
      <t>キサイ</t>
    </rPh>
    <phoneticPr fontId="2"/>
  </si>
  <si>
    <t>TBK徐</t>
    <rPh sb="3" eb="4">
      <t>ジョ</t>
    </rPh>
    <phoneticPr fontId="2"/>
  </si>
  <si>
    <t>修正しました。</t>
    <rPh sb="0" eb="2">
      <t>シュウセイ</t>
    </rPh>
    <phoneticPr fontId="2"/>
  </si>
  <si>
    <t>TBK高</t>
    <rPh sb="3" eb="4">
      <t>コウ</t>
    </rPh>
    <phoneticPr fontId="2"/>
  </si>
  <si>
    <t>TBK徐</t>
    <phoneticPr fontId="2"/>
  </si>
  <si>
    <t>MDSOL
野村</t>
    <rPh sb="6" eb="8">
      <t>ノムラ</t>
    </rPh>
    <phoneticPr fontId="2"/>
  </si>
  <si>
    <t xml:space="preserve">帳票出力確認に関して
FSC製品化チェックシートは、その他帳票と異なり、WEB内で完結するため、単体の試験に含めてください
WEBから直接ダウンロードでEXCEL出力する
※項目値が合っているかどうかは、【帳票】FSC製品化チェックシートでの確認となります
</t>
    <rPh sb="7" eb="8">
      <t>カン</t>
    </rPh>
    <rPh sb="28" eb="29">
      <t>タ</t>
    </rPh>
    <rPh sb="29" eb="31">
      <t>チョウヒョウ</t>
    </rPh>
    <rPh sb="32" eb="33">
      <t>コト</t>
    </rPh>
    <rPh sb="39" eb="40">
      <t>ナイ</t>
    </rPh>
    <rPh sb="41" eb="43">
      <t>カンケツ</t>
    </rPh>
    <rPh sb="48" eb="50">
      <t>タンタイ</t>
    </rPh>
    <rPh sb="51" eb="53">
      <t>シケン</t>
    </rPh>
    <rPh sb="54" eb="55">
      <t>フク</t>
    </rPh>
    <rPh sb="67" eb="69">
      <t>チョクセツ</t>
    </rPh>
    <rPh sb="81" eb="83">
      <t>シュツリョク</t>
    </rPh>
    <rPh sb="87" eb="90">
      <t>コウモクチ</t>
    </rPh>
    <rPh sb="91" eb="92">
      <t>ア</t>
    </rPh>
    <rPh sb="121" eb="123">
      <t>カクニン</t>
    </rPh>
    <phoneticPr fontId="2"/>
  </si>
  <si>
    <t>FSC管理NOが正しく採番されるかことを確認ください</t>
    <rPh sb="8" eb="9">
      <t>タダ</t>
    </rPh>
    <rPh sb="11" eb="13">
      <t>サイバン</t>
    </rPh>
    <rPh sb="20" eb="22">
      <t>カクニン</t>
    </rPh>
    <phoneticPr fontId="2"/>
  </si>
  <si>
    <t>出力フォーマット変更時に選択したフォーマットでFSC製品化チェックシートが出力されることを確認ください。
※【帳票】FSC製品化チェックシート側に含まれていれば問題ありません。</t>
    <rPh sb="8" eb="11">
      <t>ヘンコウジ</t>
    </rPh>
    <rPh sb="12" eb="14">
      <t>センタク</t>
    </rPh>
    <rPh sb="37" eb="39">
      <t>シュツリョク</t>
    </rPh>
    <rPh sb="45" eb="47">
      <t>カクニン</t>
    </rPh>
    <rPh sb="71" eb="72">
      <t>ガワ</t>
    </rPh>
    <rPh sb="73" eb="74">
      <t>フク</t>
    </rPh>
    <rPh sb="80" eb="82">
      <t>モンダイ</t>
    </rPh>
    <phoneticPr fontId="2"/>
  </si>
  <si>
    <t>修正しました。</t>
  </si>
  <si>
    <t>追加しました。</t>
    <rPh sb="0" eb="2">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</si>
</sst>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0">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17">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72" xfId="272" applyFont="1" applyBorder="1" applyAlignment="1">
      <alignment horizontal="center" vertical="top"/>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8" fillId="0" borderId="61" xfId="272" applyFont="1" applyBorder="1" applyAlignment="1">
      <alignment horizontal="center" vertical="top"/>
    </xf>
    <xf numFmtId="0" fontId="91" fillId="0" borderId="32" xfId="272" applyFont="1" applyBorder="1" applyAlignment="1">
      <alignment horizontal="center" vertical="top"/>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3" xfId="0" applyBorder="1" applyAlignment="1">
      <alignment vertical="center" shrinkToFit="1"/>
    </xf>
    <xf numFmtId="0" fontId="0" fillId="0" borderId="25" xfId="0" applyBorder="1" applyAlignment="1">
      <alignment vertical="center" shrinkToFit="1"/>
    </xf>
    <xf numFmtId="0" fontId="5" fillId="0" borderId="52" xfId="0" applyFont="1" applyBorder="1" applyAlignment="1">
      <alignment horizontal="center" vertical="center" textRotation="255" shrinkToFit="1"/>
    </xf>
    <xf numFmtId="0" fontId="5" fillId="0" borderId="53"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83" xfId="0" applyFont="1" applyBorder="1" applyAlignment="1">
      <alignment horizontal="center" vertical="center" shrinkToFit="1"/>
    </xf>
    <xf numFmtId="0" fontId="0" fillId="0" borderId="84" xfId="0" applyBorder="1" applyAlignment="1">
      <alignment vertical="center" shrinkToFit="1"/>
    </xf>
    <xf numFmtId="0" fontId="0" fillId="0" borderId="51" xfId="0" applyBorder="1" applyAlignment="1">
      <alignment vertical="center" shrinkToFit="1"/>
    </xf>
    <xf numFmtId="0" fontId="5" fillId="0" borderId="5" xfId="0" applyFont="1" applyBorder="1" applyAlignment="1">
      <alignment horizontal="center" vertical="center" shrinkToFit="1"/>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32" xfId="0" applyFont="1" applyBorder="1" applyAlignment="1">
      <alignment vertical="center" shrinkToFit="1"/>
    </xf>
    <xf numFmtId="0" fontId="5" fillId="0" borderId="5"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49" fontId="5" fillId="0" borderId="19" xfId="0" applyNumberFormat="1" applyFont="1" applyBorder="1" applyAlignment="1">
      <alignment horizontal="right" vertical="top" shrinkToFit="1"/>
    </xf>
    <xf numFmtId="49" fontId="0" fillId="0" borderId="19" xfId="0" applyNumberFormat="1" applyBorder="1" applyAlignment="1">
      <alignment shrinkToFit="1"/>
    </xf>
    <xf numFmtId="0" fontId="5" fillId="0" borderId="32" xfId="0" applyFont="1" applyBorder="1" applyAlignment="1">
      <alignment horizontal="center" vertical="center" shrinkToFit="1"/>
    </xf>
    <xf numFmtId="0" fontId="5" fillId="0" borderId="0" xfId="0" applyFont="1" applyAlignment="1">
      <alignment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4" xfId="0" applyFont="1" applyBorder="1" applyAlignment="1">
      <alignment horizontal="center" vertical="center" shrinkToFit="1"/>
    </xf>
    <xf numFmtId="0" fontId="5" fillId="0" borderId="41" xfId="0" applyFont="1" applyBorder="1" applyAlignment="1">
      <alignment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19" xfId="0" applyFont="1" applyBorder="1" applyAlignment="1">
      <alignment horizontal="center" vertical="center"/>
    </xf>
    <xf numFmtId="0" fontId="5" fillId="0" borderId="27" xfId="0" applyFont="1" applyBorder="1" applyAlignment="1">
      <alignment horizontal="center" vertical="center"/>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0" fontId="5" fillId="0" borderId="5" xfId="0" applyFont="1" applyBorder="1" applyAlignment="1">
      <alignment vertical="center" wrapText="1" shrinkToFit="1"/>
    </xf>
    <xf numFmtId="0" fontId="5" fillId="0" borderId="19" xfId="0" applyFont="1" applyBorder="1" applyAlignment="1">
      <alignment vertical="center"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179" fontId="15" fillId="31" borderId="5"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xf>
    <xf numFmtId="0" fontId="14" fillId="0" borderId="5" xfId="0" applyFont="1" applyBorder="1" applyAlignment="1">
      <alignment vertical="center" wrapText="1" shrinkToFi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5" fillId="30" borderId="83" xfId="0" applyFont="1" applyFill="1" applyBorder="1" applyAlignment="1">
      <alignment horizontal="center" vertical="center" shrinkToFit="1"/>
    </xf>
    <xf numFmtId="0" fontId="0" fillId="0" borderId="85" xfId="0" applyBorder="1" applyAlignment="1">
      <alignment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0" fontId="0" fillId="0" borderId="27"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9" fillId="0" borderId="0" xfId="0" applyFont="1" applyAlignment="1">
      <alignment horizontal="right" vertical="center"/>
    </xf>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49" fontId="0" fillId="23" borderId="4" xfId="0" applyNumberFormat="1" applyFill="1" applyBorder="1"/>
    <xf numFmtId="0" fontId="13" fillId="0" borderId="91" xfId="0" applyFont="1" applyBorder="1" applyAlignment="1">
      <alignment wrapText="1"/>
    </xf>
    <xf numFmtId="0" fontId="13" fillId="0" borderId="91" xfId="0" applyFont="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9686192"/>
          <a:ext cx="8303602"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06" t="s">
        <v>313</v>
      </c>
      <c r="G2" s="306"/>
      <c r="H2" s="306"/>
      <c r="I2" s="306"/>
      <c r="J2" s="306"/>
      <c r="K2" s="306"/>
      <c r="L2" s="112"/>
      <c r="M2" s="112"/>
      <c r="N2" s="32"/>
      <c r="O2" s="32"/>
      <c r="P2" s="22"/>
      <c r="Q2"/>
      <c r="R2"/>
      <c r="S2" s="64" t="s">
        <v>284</v>
      </c>
      <c r="T2" s="307"/>
      <c r="U2" s="308"/>
      <c r="V2" s="308"/>
      <c r="W2" s="309"/>
    </row>
    <row r="3" spans="2:26" ht="15" customHeight="1">
      <c r="C3" s="102"/>
      <c r="D3" s="102"/>
      <c r="E3" s="102"/>
      <c r="F3" s="306"/>
      <c r="G3" s="306"/>
      <c r="H3" s="306"/>
      <c r="I3" s="306"/>
      <c r="J3" s="306"/>
      <c r="K3" s="306"/>
      <c r="L3" s="112"/>
      <c r="M3" s="112"/>
      <c r="N3" s="84" t="s">
        <v>353</v>
      </c>
      <c r="O3" s="51"/>
      <c r="P3" s="32"/>
      <c r="Q3" s="22"/>
      <c r="R3"/>
      <c r="S3" s="10"/>
    </row>
    <row r="4" spans="2:26" ht="28.5" customHeight="1">
      <c r="B4" s="20"/>
      <c r="C4" s="327" t="s">
        <v>366</v>
      </c>
      <c r="D4" s="327"/>
      <c r="E4" s="327"/>
      <c r="F4" s="328"/>
      <c r="G4" s="152" t="s">
        <v>421</v>
      </c>
      <c r="H4" s="329" t="s">
        <v>367</v>
      </c>
      <c r="I4" s="330"/>
      <c r="J4" s="153"/>
      <c r="K4" s="322" t="s">
        <v>368</v>
      </c>
      <c r="L4" s="322"/>
      <c r="M4" s="323"/>
      <c r="N4" s="333" t="s">
        <v>351</v>
      </c>
      <c r="O4" s="334"/>
      <c r="P4" s="334"/>
      <c r="Q4" s="334"/>
      <c r="R4" s="334"/>
      <c r="S4" s="334"/>
      <c r="T4" s="334"/>
      <c r="U4" s="334"/>
      <c r="V4" s="334"/>
      <c r="W4" s="334"/>
    </row>
    <row r="5" spans="2:26" ht="9" customHeight="1" thickBot="1"/>
    <row r="6" spans="2:26" ht="15" customHeight="1">
      <c r="B6" s="312" t="s">
        <v>157</v>
      </c>
      <c r="C6" s="313"/>
      <c r="D6" s="313"/>
      <c r="E6" s="313"/>
      <c r="F6" s="317"/>
      <c r="G6" s="318"/>
      <c r="H6" s="318"/>
      <c r="I6" s="35" t="s">
        <v>62</v>
      </c>
      <c r="J6" s="314"/>
      <c r="K6" s="315"/>
      <c r="L6" s="35" t="s">
        <v>63</v>
      </c>
      <c r="M6" s="331" t="s">
        <v>160</v>
      </c>
      <c r="N6" s="331"/>
      <c r="O6" s="314"/>
      <c r="P6" s="315"/>
      <c r="Q6" s="315"/>
      <c r="R6" s="315"/>
      <c r="S6" s="315"/>
      <c r="T6" s="149"/>
      <c r="U6" s="332"/>
      <c r="V6" s="332"/>
      <c r="W6" s="36"/>
    </row>
    <row r="7" spans="2:26" ht="15" customHeight="1" thickBot="1">
      <c r="B7" s="310" t="s">
        <v>159</v>
      </c>
      <c r="C7" s="311"/>
      <c r="D7" s="311"/>
      <c r="E7" s="311"/>
      <c r="F7" s="319" t="s">
        <v>498</v>
      </c>
      <c r="G7" s="320"/>
      <c r="H7" s="320"/>
      <c r="I7" s="321"/>
      <c r="J7" s="316" t="s">
        <v>172</v>
      </c>
      <c r="K7" s="316"/>
      <c r="L7" s="324" t="s">
        <v>497</v>
      </c>
      <c r="M7" s="325"/>
      <c r="N7" s="325"/>
      <c r="O7" s="325"/>
      <c r="P7" s="325"/>
      <c r="Q7" s="325"/>
      <c r="R7" s="325"/>
      <c r="S7" s="325"/>
      <c r="T7" s="325"/>
      <c r="U7" s="325"/>
      <c r="V7" s="325"/>
      <c r="W7" s="326"/>
    </row>
    <row r="8" spans="2:26" ht="6.75" customHeight="1" thickBot="1">
      <c r="B8" s="10"/>
      <c r="C8" s="10"/>
      <c r="D8" s="10"/>
      <c r="E8" s="11"/>
      <c r="F8" s="11"/>
      <c r="G8" s="11"/>
      <c r="H8" s="11"/>
      <c r="I8" s="11"/>
      <c r="J8" s="10"/>
      <c r="K8" s="10"/>
      <c r="L8" s="10"/>
      <c r="M8" s="10"/>
      <c r="N8" s="10"/>
      <c r="R8" s="10"/>
      <c r="S8" s="10"/>
      <c r="T8" s="10"/>
    </row>
    <row r="9" spans="2:26" ht="15" customHeight="1" thickBot="1">
      <c r="B9" s="393" t="s">
        <v>163</v>
      </c>
      <c r="C9" s="394"/>
      <c r="D9" s="335" t="s">
        <v>259</v>
      </c>
      <c r="E9" s="402"/>
      <c r="F9" s="336"/>
      <c r="G9" s="337"/>
      <c r="H9" s="399" t="str">
        <f>IF(査読ｼｰﾄ!C37="","（転記）",査読ｼｰﾄ!C37)</f>
        <v>（転記）</v>
      </c>
      <c r="I9" s="400"/>
      <c r="J9" s="401"/>
      <c r="K9" s="335" t="s">
        <v>260</v>
      </c>
      <c r="L9" s="336"/>
      <c r="M9" s="337"/>
      <c r="N9" s="348" t="str">
        <f>IF(査読ｼｰﾄ!C38="","（転記）",査読ｼｰﾄ!C38)</f>
        <v>単体試験要領書_MSBBPA100_【画面】WebFSC製品化チェックシート出力.xlsx</v>
      </c>
      <c r="O9" s="349"/>
      <c r="P9" s="349"/>
      <c r="Q9" s="349"/>
      <c r="R9" s="349"/>
      <c r="S9" s="349"/>
      <c r="T9" s="349"/>
      <c r="U9" s="349"/>
      <c r="V9" s="349"/>
      <c r="W9" s="350"/>
    </row>
    <row r="10" spans="2:26" ht="15" customHeight="1" thickTop="1">
      <c r="B10" s="395"/>
      <c r="C10" s="396"/>
      <c r="D10" s="358" t="s">
        <v>261</v>
      </c>
      <c r="E10" s="358"/>
      <c r="F10" s="346" t="s">
        <v>161</v>
      </c>
      <c r="G10" s="346"/>
      <c r="H10" s="346"/>
      <c r="I10" s="346"/>
      <c r="J10" s="346"/>
      <c r="K10" s="60"/>
      <c r="L10" s="346" t="s">
        <v>262</v>
      </c>
      <c r="M10" s="346"/>
      <c r="N10" s="346"/>
      <c r="O10" s="368"/>
      <c r="P10" s="369"/>
      <c r="Q10" s="362" t="s">
        <v>302</v>
      </c>
      <c r="R10" s="363"/>
      <c r="S10" s="363"/>
      <c r="T10" s="363"/>
      <c r="U10" s="364"/>
      <c r="V10" s="351"/>
      <c r="W10" s="352"/>
    </row>
    <row r="11" spans="2:26" ht="15" customHeight="1">
      <c r="B11" s="395"/>
      <c r="C11" s="396"/>
      <c r="D11" s="359"/>
      <c r="E11" s="359"/>
      <c r="F11" s="347" t="s">
        <v>432</v>
      </c>
      <c r="G11" s="347"/>
      <c r="H11" s="347"/>
      <c r="I11" s="347"/>
      <c r="J11" s="347"/>
      <c r="K11" s="60"/>
      <c r="L11" s="347" t="s">
        <v>303</v>
      </c>
      <c r="M11" s="347"/>
      <c r="N11" s="347"/>
      <c r="O11" s="404"/>
      <c r="P11" s="405"/>
      <c r="Q11" s="365" t="s">
        <v>304</v>
      </c>
      <c r="R11" s="366"/>
      <c r="S11" s="366"/>
      <c r="T11" s="366"/>
      <c r="U11" s="367"/>
      <c r="V11" s="406"/>
      <c r="W11" s="407"/>
    </row>
    <row r="12" spans="2:26" ht="15" customHeight="1">
      <c r="B12" s="395"/>
      <c r="C12" s="396"/>
      <c r="D12" s="359"/>
      <c r="E12" s="359"/>
      <c r="F12" s="347" t="s">
        <v>433</v>
      </c>
      <c r="G12" s="347"/>
      <c r="H12" s="347"/>
      <c r="I12" s="347"/>
      <c r="J12" s="347"/>
      <c r="K12" s="60" t="s">
        <v>421</v>
      </c>
      <c r="L12" s="338" t="s">
        <v>305</v>
      </c>
      <c r="M12" s="338"/>
      <c r="N12" s="338"/>
      <c r="O12" s="404"/>
      <c r="P12" s="405"/>
      <c r="Q12" s="365" t="s">
        <v>429</v>
      </c>
      <c r="R12" s="366"/>
      <c r="S12" s="366"/>
      <c r="T12" s="366"/>
      <c r="U12" s="367"/>
      <c r="V12" s="406"/>
      <c r="W12" s="407"/>
    </row>
    <row r="13" spans="2:26" ht="15" customHeight="1" thickBot="1">
      <c r="B13" s="395"/>
      <c r="C13" s="396"/>
      <c r="D13" s="359"/>
      <c r="E13" s="359"/>
      <c r="F13" s="347" t="s">
        <v>164</v>
      </c>
      <c r="G13" s="347"/>
      <c r="H13" s="347"/>
      <c r="I13" s="347"/>
      <c r="J13" s="347"/>
      <c r="K13" s="60"/>
      <c r="L13" s="346" t="s">
        <v>59</v>
      </c>
      <c r="M13" s="346"/>
      <c r="N13" s="346"/>
      <c r="O13" s="353"/>
      <c r="P13" s="354"/>
      <c r="Q13" s="355" t="s">
        <v>430</v>
      </c>
      <c r="R13" s="356"/>
      <c r="S13" s="356"/>
      <c r="T13" s="356"/>
      <c r="U13" s="357"/>
      <c r="V13" s="360"/>
      <c r="W13" s="361"/>
    </row>
    <row r="14" spans="2:26" ht="15" customHeight="1">
      <c r="B14" s="395"/>
      <c r="C14" s="396"/>
      <c r="D14" s="338" t="s">
        <v>167</v>
      </c>
      <c r="E14" s="338"/>
      <c r="F14" s="338"/>
      <c r="G14" s="338" t="s">
        <v>287</v>
      </c>
      <c r="H14" s="338"/>
      <c r="I14" s="338"/>
      <c r="J14" s="76" t="str">
        <f>IF(査読ｼｰﾄ!J37=0,"（転記）",査読ｼｰﾄ!J37)</f>
        <v>（転記）</v>
      </c>
      <c r="K14" s="338" t="s">
        <v>374</v>
      </c>
      <c r="L14" s="388"/>
      <c r="M14" s="388"/>
      <c r="N14" s="66"/>
      <c r="O14" s="403"/>
      <c r="P14" s="389"/>
      <c r="Q14" s="389"/>
      <c r="R14" s="389"/>
      <c r="S14" s="389"/>
      <c r="T14" s="389"/>
      <c r="U14" s="389"/>
      <c r="V14" s="389"/>
      <c r="W14" s="389"/>
    </row>
    <row r="15" spans="2:26" ht="15" customHeight="1" thickBot="1">
      <c r="B15" s="397"/>
      <c r="C15" s="398"/>
      <c r="D15" s="311" t="s">
        <v>263</v>
      </c>
      <c r="E15" s="311"/>
      <c r="F15" s="311"/>
      <c r="G15" s="311" t="s">
        <v>286</v>
      </c>
      <c r="H15" s="311"/>
      <c r="I15" s="311"/>
      <c r="J15" s="77" t="str">
        <f>IF(査読ｼｰﾄ!J38=0,"（転記）",査読ｼｰﾄ!J38)</f>
        <v>（転記）</v>
      </c>
      <c r="K15" s="311" t="s">
        <v>283</v>
      </c>
      <c r="L15" s="311"/>
      <c r="M15" s="311"/>
      <c r="N15" s="52"/>
      <c r="O15" s="403"/>
      <c r="P15" s="389"/>
      <c r="Q15" s="389"/>
      <c r="R15" s="389"/>
      <c r="S15" s="389"/>
      <c r="T15" s="389"/>
      <c r="U15" s="389"/>
      <c r="V15" s="389"/>
      <c r="W15" s="389"/>
      <c r="X15"/>
      <c r="Y15"/>
      <c r="Z15"/>
    </row>
    <row r="16" spans="2:26" ht="6.75" customHeight="1" thickBot="1">
      <c r="B16" s="389"/>
      <c r="C16" s="389"/>
      <c r="D16" s="389"/>
      <c r="E16" s="389"/>
      <c r="F16" s="389"/>
      <c r="G16" s="389"/>
      <c r="H16" s="389"/>
      <c r="I16" s="389"/>
      <c r="J16" s="389"/>
      <c r="K16" s="389"/>
      <c r="L16" s="389"/>
      <c r="M16" s="389"/>
      <c r="N16" s="389"/>
      <c r="O16" s="389"/>
      <c r="P16" s="389"/>
      <c r="Q16" s="389"/>
      <c r="R16" s="389"/>
      <c r="S16" s="389"/>
      <c r="T16" s="389"/>
      <c r="U16" s="389"/>
    </row>
    <row r="17" spans="2:23" ht="15" customHeight="1" thickBot="1">
      <c r="B17" s="91"/>
      <c r="C17" s="83"/>
      <c r="D17" s="98"/>
      <c r="E17" s="380" t="s">
        <v>307</v>
      </c>
      <c r="F17" s="342" t="s">
        <v>314</v>
      </c>
      <c r="G17" s="343"/>
      <c r="H17" s="390" t="s">
        <v>306</v>
      </c>
      <c r="I17" s="391"/>
      <c r="J17" s="391"/>
      <c r="K17" s="391"/>
      <c r="L17" s="391"/>
      <c r="M17" s="391"/>
      <c r="N17" s="392"/>
      <c r="O17" s="110">
        <f>査読ｼｰﾄ!N12</f>
        <v>0</v>
      </c>
      <c r="P17" s="93" t="s">
        <v>274</v>
      </c>
      <c r="Q17" s="9"/>
      <c r="R17" s="263" t="s">
        <v>168</v>
      </c>
      <c r="S17" s="151" t="s">
        <v>169</v>
      </c>
      <c r="T17" s="374" t="s">
        <v>364</v>
      </c>
      <c r="U17" s="375"/>
      <c r="V17" s="370" t="s">
        <v>170</v>
      </c>
      <c r="W17" s="371"/>
    </row>
    <row r="18" spans="2:23" ht="15" customHeight="1" thickTop="1">
      <c r="B18" s="92"/>
      <c r="D18" s="99"/>
      <c r="E18" s="381"/>
      <c r="F18" s="344"/>
      <c r="G18" s="345"/>
      <c r="H18" s="339" t="s">
        <v>354</v>
      </c>
      <c r="I18" s="340"/>
      <c r="J18" s="340"/>
      <c r="K18" s="340"/>
      <c r="L18" s="340"/>
      <c r="M18" s="340"/>
      <c r="N18" s="341"/>
      <c r="O18" s="53">
        <f>査読ｼｰﾄ!Q12</f>
        <v>0</v>
      </c>
      <c r="P18" s="38" t="s">
        <v>274</v>
      </c>
      <c r="Q18" s="9"/>
      <c r="R18" s="265"/>
      <c r="S18" s="146" t="s">
        <v>256</v>
      </c>
      <c r="T18" s="376"/>
      <c r="U18" s="377"/>
      <c r="V18" s="378"/>
      <c r="W18" s="379"/>
    </row>
    <row r="19" spans="2:23" ht="15" customHeight="1">
      <c r="B19" s="92"/>
      <c r="D19" s="100"/>
      <c r="E19" s="382"/>
      <c r="F19" s="344"/>
      <c r="G19" s="345"/>
      <c r="H19" s="383" t="s">
        <v>309</v>
      </c>
      <c r="I19" s="384"/>
      <c r="J19" s="384"/>
      <c r="K19" s="384"/>
      <c r="L19" s="384"/>
      <c r="M19" s="384"/>
      <c r="N19" s="385"/>
      <c r="O19" s="53">
        <f>査読ｼｰﾄ!T12</f>
        <v>0</v>
      </c>
      <c r="P19" s="94" t="s">
        <v>274</v>
      </c>
      <c r="Q19" s="9"/>
      <c r="R19" s="265"/>
      <c r="S19" s="147" t="s">
        <v>266</v>
      </c>
      <c r="T19" s="414"/>
      <c r="U19" s="415"/>
      <c r="V19" s="372"/>
      <c r="W19" s="373"/>
    </row>
    <row r="20" spans="2:23" ht="15" customHeight="1">
      <c r="B20" s="468" t="s">
        <v>162</v>
      </c>
      <c r="C20" s="469"/>
      <c r="D20" s="408" t="s">
        <v>70</v>
      </c>
      <c r="E20" s="386" t="s">
        <v>165</v>
      </c>
      <c r="F20" s="421" t="s">
        <v>166</v>
      </c>
      <c r="G20" s="422"/>
      <c r="H20" s="419" t="s">
        <v>316</v>
      </c>
      <c r="I20" s="419"/>
      <c r="J20" s="419"/>
      <c r="K20" s="419"/>
      <c r="L20" s="419"/>
      <c r="M20" s="419"/>
      <c r="N20" s="419"/>
      <c r="O20" s="53">
        <f>査読ｼｰﾄ!W12</f>
        <v>0</v>
      </c>
      <c r="P20" s="38" t="s">
        <v>274</v>
      </c>
      <c r="Q20" s="156"/>
      <c r="R20" s="265"/>
      <c r="S20" s="147" t="s">
        <v>267</v>
      </c>
      <c r="T20" s="414"/>
      <c r="U20" s="415"/>
      <c r="V20" s="372"/>
      <c r="W20" s="373"/>
    </row>
    <row r="21" spans="2:23" ht="15" customHeight="1">
      <c r="B21" s="470"/>
      <c r="C21" s="471"/>
      <c r="D21" s="409"/>
      <c r="E21" s="387"/>
      <c r="F21" s="421"/>
      <c r="G21" s="422"/>
      <c r="H21" s="419" t="s">
        <v>317</v>
      </c>
      <c r="I21" s="419"/>
      <c r="J21" s="419"/>
      <c r="K21" s="419"/>
      <c r="L21" s="419"/>
      <c r="M21" s="419"/>
      <c r="N21" s="419"/>
      <c r="O21" s="53">
        <f>査読ｼｰﾄ!Z12</f>
        <v>0</v>
      </c>
      <c r="P21" s="38" t="s">
        <v>273</v>
      </c>
      <c r="Q21" s="156"/>
      <c r="R21" s="265"/>
      <c r="S21" s="147" t="s">
        <v>257</v>
      </c>
      <c r="T21" s="414"/>
      <c r="U21" s="415"/>
      <c r="V21" s="372"/>
      <c r="W21" s="373"/>
    </row>
    <row r="22" spans="2:23" ht="15" customHeight="1">
      <c r="B22" s="470"/>
      <c r="C22" s="471"/>
      <c r="D22" s="409"/>
      <c r="E22" s="387"/>
      <c r="F22" s="421"/>
      <c r="G22" s="422"/>
      <c r="H22" s="339" t="s">
        <v>318</v>
      </c>
      <c r="I22" s="340"/>
      <c r="J22" s="340"/>
      <c r="K22" s="340"/>
      <c r="L22" s="340"/>
      <c r="M22" s="340"/>
      <c r="N22" s="341"/>
      <c r="O22" s="53">
        <f>査読ｼｰﾄ!AC12</f>
        <v>0</v>
      </c>
      <c r="P22" s="38" t="s">
        <v>273</v>
      </c>
      <c r="Q22" s="156"/>
      <c r="R22" s="265"/>
      <c r="S22" s="147" t="s">
        <v>363</v>
      </c>
      <c r="T22" s="414"/>
      <c r="U22" s="415"/>
      <c r="V22" s="372"/>
      <c r="W22" s="373"/>
    </row>
    <row r="23" spans="2:23" ht="15" customHeight="1">
      <c r="B23" s="470"/>
      <c r="C23" s="471"/>
      <c r="D23" s="409"/>
      <c r="E23" s="387"/>
      <c r="F23" s="421"/>
      <c r="G23" s="422"/>
      <c r="H23" s="419" t="s">
        <v>319</v>
      </c>
      <c r="I23" s="419"/>
      <c r="J23" s="419"/>
      <c r="K23" s="419"/>
      <c r="L23" s="419"/>
      <c r="M23" s="419"/>
      <c r="N23" s="419"/>
      <c r="O23" s="53">
        <f>査読ｼｰﾄ!AF12</f>
        <v>0</v>
      </c>
      <c r="P23" s="38" t="s">
        <v>273</v>
      </c>
      <c r="Q23" s="156"/>
      <c r="R23" s="265"/>
      <c r="S23" s="147" t="s">
        <v>258</v>
      </c>
      <c r="T23" s="414"/>
      <c r="U23" s="415"/>
      <c r="V23" s="372"/>
      <c r="W23" s="373"/>
    </row>
    <row r="24" spans="2:23" ht="15" customHeight="1">
      <c r="B24" s="470"/>
      <c r="C24" s="471"/>
      <c r="D24" s="409"/>
      <c r="E24" s="386" t="s">
        <v>171</v>
      </c>
      <c r="F24" s="421" t="s">
        <v>431</v>
      </c>
      <c r="G24" s="422"/>
      <c r="H24" s="419" t="s">
        <v>177</v>
      </c>
      <c r="I24" s="419"/>
      <c r="J24" s="419"/>
      <c r="K24" s="419"/>
      <c r="L24" s="419"/>
      <c r="M24" s="419"/>
      <c r="N24" s="420"/>
      <c r="O24" s="53">
        <f>査読ｼｰﾄ!AI12</f>
        <v>0</v>
      </c>
      <c r="P24" s="38" t="s">
        <v>273</v>
      </c>
      <c r="Q24" s="156"/>
      <c r="R24" s="265"/>
      <c r="S24" s="147" t="s">
        <v>293</v>
      </c>
      <c r="T24" s="414"/>
      <c r="U24" s="415"/>
      <c r="V24" s="372"/>
      <c r="W24" s="373"/>
    </row>
    <row r="25" spans="2:23" ht="15" customHeight="1">
      <c r="B25" s="470"/>
      <c r="C25" s="471"/>
      <c r="D25" s="409"/>
      <c r="E25" s="387"/>
      <c r="F25" s="421"/>
      <c r="G25" s="422"/>
      <c r="H25" s="419" t="s">
        <v>176</v>
      </c>
      <c r="I25" s="419"/>
      <c r="J25" s="419"/>
      <c r="K25" s="419"/>
      <c r="L25" s="419"/>
      <c r="M25" s="419"/>
      <c r="N25" s="420"/>
      <c r="O25" s="53">
        <f>査読ｼｰﾄ!AL12</f>
        <v>0</v>
      </c>
      <c r="P25" s="38" t="s">
        <v>273</v>
      </c>
      <c r="Q25" s="156"/>
      <c r="R25" s="265"/>
      <c r="S25" s="150" t="s">
        <v>294</v>
      </c>
      <c r="T25" s="412"/>
      <c r="U25" s="413"/>
      <c r="V25" s="372"/>
      <c r="W25" s="373"/>
    </row>
    <row r="26" spans="2:23" ht="15" customHeight="1">
      <c r="B26" s="470"/>
      <c r="C26" s="471"/>
      <c r="D26" s="409"/>
      <c r="E26" s="387"/>
      <c r="F26" s="421"/>
      <c r="G26" s="422"/>
      <c r="H26" s="419" t="s">
        <v>175</v>
      </c>
      <c r="I26" s="419"/>
      <c r="J26" s="419"/>
      <c r="K26" s="419"/>
      <c r="L26" s="419"/>
      <c r="M26" s="419"/>
      <c r="N26" s="420"/>
      <c r="O26" s="53">
        <f>査読ｼｰﾄ!AO12</f>
        <v>0</v>
      </c>
      <c r="P26" s="38" t="s">
        <v>273</v>
      </c>
      <c r="Q26" s="156"/>
      <c r="R26" s="265"/>
      <c r="S26" s="150" t="s">
        <v>59</v>
      </c>
      <c r="T26" s="412"/>
      <c r="U26" s="413"/>
      <c r="V26" s="372"/>
      <c r="W26" s="373"/>
    </row>
    <row r="27" spans="2:23" ht="15" customHeight="1">
      <c r="B27" s="470"/>
      <c r="C27" s="471"/>
      <c r="D27" s="409"/>
      <c r="E27" s="387"/>
      <c r="F27" s="421"/>
      <c r="G27" s="422"/>
      <c r="H27" s="419" t="s">
        <v>174</v>
      </c>
      <c r="I27" s="419"/>
      <c r="J27" s="419"/>
      <c r="K27" s="419"/>
      <c r="L27" s="419"/>
      <c r="M27" s="419"/>
      <c r="N27" s="420"/>
      <c r="O27" s="53">
        <f>査読ｼｰﾄ!AR12</f>
        <v>0</v>
      </c>
      <c r="P27" s="38" t="s">
        <v>273</v>
      </c>
      <c r="Q27" s="156"/>
      <c r="R27" s="265"/>
      <c r="S27" s="148"/>
      <c r="T27" s="412"/>
      <c r="U27" s="413"/>
      <c r="V27" s="372"/>
      <c r="W27" s="373"/>
    </row>
    <row r="28" spans="2:23" ht="15" customHeight="1" thickBot="1">
      <c r="B28" s="470"/>
      <c r="C28" s="471"/>
      <c r="D28" s="409"/>
      <c r="E28" s="386" t="s">
        <v>178</v>
      </c>
      <c r="F28" s="474" t="s">
        <v>434</v>
      </c>
      <c r="G28" s="475"/>
      <c r="H28" s="419" t="s">
        <v>183</v>
      </c>
      <c r="I28" s="419"/>
      <c r="J28" s="419"/>
      <c r="K28" s="419"/>
      <c r="L28" s="419"/>
      <c r="M28" s="419"/>
      <c r="N28" s="420"/>
      <c r="O28" s="53">
        <f>査読ｼｰﾄ!AU12</f>
        <v>0</v>
      </c>
      <c r="P28" s="38" t="s">
        <v>273</v>
      </c>
      <c r="Q28" s="156"/>
      <c r="R28" s="267"/>
      <c r="S28" s="423" t="s">
        <v>278</v>
      </c>
      <c r="T28" s="424"/>
      <c r="U28" s="425"/>
      <c r="V28" s="438">
        <f>SUM(V18:W27)</f>
        <v>0</v>
      </c>
      <c r="W28" s="439"/>
    </row>
    <row r="29" spans="2:23" ht="15" customHeight="1" thickBot="1">
      <c r="B29" s="470"/>
      <c r="C29" s="471"/>
      <c r="D29" s="409"/>
      <c r="E29" s="387"/>
      <c r="F29" s="474"/>
      <c r="G29" s="475"/>
      <c r="H29" s="419" t="s">
        <v>182</v>
      </c>
      <c r="I29" s="419"/>
      <c r="J29" s="419"/>
      <c r="K29" s="419"/>
      <c r="L29" s="419"/>
      <c r="M29" s="419"/>
      <c r="N29" s="420"/>
      <c r="O29" s="53">
        <f>査読ｼｰﾄ!AX12</f>
        <v>0</v>
      </c>
      <c r="P29" s="38" t="s">
        <v>273</v>
      </c>
      <c r="Q29" s="157"/>
    </row>
    <row r="30" spans="2:23" ht="15" customHeight="1" thickBot="1">
      <c r="B30" s="470"/>
      <c r="C30" s="471"/>
      <c r="D30" s="409"/>
      <c r="E30" s="387"/>
      <c r="F30" s="474"/>
      <c r="G30" s="475"/>
      <c r="H30" s="419" t="s">
        <v>181</v>
      </c>
      <c r="I30" s="419"/>
      <c r="J30" s="419"/>
      <c r="K30" s="419"/>
      <c r="L30" s="419"/>
      <c r="M30" s="419"/>
      <c r="N30" s="420"/>
      <c r="O30" s="53">
        <f>査読ｼｰﾄ!BA12</f>
        <v>0</v>
      </c>
      <c r="P30" s="38" t="s">
        <v>273</v>
      </c>
      <c r="Q30" s="157"/>
      <c r="R30" s="433" t="s">
        <v>198</v>
      </c>
      <c r="S30" s="158" t="s">
        <v>199</v>
      </c>
      <c r="T30" s="370" t="s">
        <v>200</v>
      </c>
      <c r="U30" s="370"/>
      <c r="V30" s="370" t="s">
        <v>201</v>
      </c>
      <c r="W30" s="371"/>
    </row>
    <row r="31" spans="2:23" ht="15" customHeight="1" thickTop="1">
      <c r="B31" s="470"/>
      <c r="C31" s="471"/>
      <c r="D31" s="409"/>
      <c r="E31" s="387"/>
      <c r="F31" s="474"/>
      <c r="G31" s="475"/>
      <c r="H31" s="419" t="s">
        <v>180</v>
      </c>
      <c r="I31" s="419"/>
      <c r="J31" s="419"/>
      <c r="K31" s="419"/>
      <c r="L31" s="419"/>
      <c r="M31" s="419"/>
      <c r="N31" s="420"/>
      <c r="O31" s="53">
        <f>査読ｼｰﾄ!BD12</f>
        <v>0</v>
      </c>
      <c r="P31" s="38" t="s">
        <v>273</v>
      </c>
      <c r="Q31" s="157"/>
      <c r="R31" s="434"/>
      <c r="S31" s="444" t="s">
        <v>269</v>
      </c>
      <c r="T31" s="445"/>
      <c r="U31" s="445"/>
      <c r="V31" s="483">
        <f>IF(J14="（転記）",0,J45/J14)</f>
        <v>0</v>
      </c>
      <c r="W31" s="484"/>
    </row>
    <row r="32" spans="2:23" ht="15" customHeight="1">
      <c r="B32" s="470"/>
      <c r="C32" s="471"/>
      <c r="D32" s="409"/>
      <c r="E32" s="386" t="s">
        <v>179</v>
      </c>
      <c r="F32" s="474" t="s">
        <v>186</v>
      </c>
      <c r="G32" s="475"/>
      <c r="H32" s="419" t="s">
        <v>197</v>
      </c>
      <c r="I32" s="419"/>
      <c r="J32" s="419"/>
      <c r="K32" s="419"/>
      <c r="L32" s="419"/>
      <c r="M32" s="419"/>
      <c r="N32" s="420"/>
      <c r="O32" s="53">
        <f>査読ｼｰﾄ!BG12</f>
        <v>0</v>
      </c>
      <c r="P32" s="38" t="s">
        <v>273</v>
      </c>
      <c r="Q32" s="9"/>
      <c r="R32" s="434"/>
      <c r="S32" s="429"/>
      <c r="T32" s="428"/>
      <c r="U32" s="428"/>
      <c r="V32" s="481"/>
      <c r="W32" s="482"/>
    </row>
    <row r="33" spans="2:31" ht="15" customHeight="1">
      <c r="B33" s="470"/>
      <c r="C33" s="471"/>
      <c r="D33" s="409"/>
      <c r="E33" s="386"/>
      <c r="F33" s="474"/>
      <c r="G33" s="475"/>
      <c r="H33" s="419" t="s">
        <v>194</v>
      </c>
      <c r="I33" s="419"/>
      <c r="J33" s="419"/>
      <c r="K33" s="419"/>
      <c r="L33" s="419"/>
      <c r="M33" s="419"/>
      <c r="N33" s="420"/>
      <c r="O33" s="53">
        <f>査読ｼｰﾄ!BJ12</f>
        <v>0</v>
      </c>
      <c r="P33" s="38" t="s">
        <v>273</v>
      </c>
      <c r="Q33" s="9"/>
      <c r="R33" s="434"/>
      <c r="S33" s="429" t="s">
        <v>268</v>
      </c>
      <c r="T33" s="428"/>
      <c r="U33" s="428"/>
      <c r="V33" s="479">
        <f>IF(J14="（転記）",0,N45/J14)</f>
        <v>0</v>
      </c>
      <c r="W33" s="480"/>
    </row>
    <row r="34" spans="2:31" ht="15" customHeight="1">
      <c r="B34" s="470"/>
      <c r="C34" s="471"/>
      <c r="D34" s="409"/>
      <c r="E34" s="386"/>
      <c r="F34" s="474"/>
      <c r="G34" s="475"/>
      <c r="H34" s="419" t="s">
        <v>193</v>
      </c>
      <c r="I34" s="419"/>
      <c r="J34" s="419"/>
      <c r="K34" s="419"/>
      <c r="L34" s="419"/>
      <c r="M34" s="419"/>
      <c r="N34" s="420"/>
      <c r="O34" s="53">
        <f>査読ｼｰﾄ!BP12</f>
        <v>0</v>
      </c>
      <c r="P34" s="38" t="s">
        <v>273</v>
      </c>
      <c r="Q34" s="9"/>
      <c r="R34" s="434"/>
      <c r="S34" s="429"/>
      <c r="T34" s="428"/>
      <c r="U34" s="428"/>
      <c r="V34" s="481"/>
      <c r="W34" s="482"/>
      <c r="X34" s="37"/>
    </row>
    <row r="35" spans="2:31" ht="15" customHeight="1">
      <c r="B35" s="470"/>
      <c r="C35" s="471"/>
      <c r="D35" s="409"/>
      <c r="E35" s="386" t="s">
        <v>184</v>
      </c>
      <c r="F35" s="474" t="s">
        <v>173</v>
      </c>
      <c r="G35" s="475"/>
      <c r="H35" s="419" t="s">
        <v>196</v>
      </c>
      <c r="I35" s="419"/>
      <c r="J35" s="419"/>
      <c r="K35" s="419"/>
      <c r="L35" s="419"/>
      <c r="M35" s="419"/>
      <c r="N35" s="420"/>
      <c r="O35" s="53">
        <f>査読ｼｰﾄ!BS12</f>
        <v>0</v>
      </c>
      <c r="P35" s="38" t="s">
        <v>273</v>
      </c>
      <c r="Q35" s="9"/>
      <c r="R35" s="434"/>
      <c r="S35" s="446" t="s">
        <v>270</v>
      </c>
      <c r="T35" s="428"/>
      <c r="U35" s="428"/>
      <c r="V35" s="479">
        <f>IF(J15="（転記）",0,J45/J15)</f>
        <v>0</v>
      </c>
      <c r="W35" s="480"/>
    </row>
    <row r="36" spans="2:31" ht="15" customHeight="1">
      <c r="B36" s="470"/>
      <c r="C36" s="471"/>
      <c r="D36" s="409"/>
      <c r="E36" s="386"/>
      <c r="F36" s="474"/>
      <c r="G36" s="475"/>
      <c r="H36" s="419" t="s">
        <v>191</v>
      </c>
      <c r="I36" s="419"/>
      <c r="J36" s="419"/>
      <c r="K36" s="419"/>
      <c r="L36" s="419"/>
      <c r="M36" s="419"/>
      <c r="N36" s="420"/>
      <c r="O36" s="53">
        <f>査読ｼｰﾄ!BV12</f>
        <v>0</v>
      </c>
      <c r="P36" s="38" t="s">
        <v>273</v>
      </c>
      <c r="Q36" s="9"/>
      <c r="R36" s="434"/>
      <c r="S36" s="446"/>
      <c r="T36" s="428"/>
      <c r="U36" s="428"/>
      <c r="V36" s="481"/>
      <c r="W36" s="482"/>
    </row>
    <row r="37" spans="2:31" ht="15" customHeight="1">
      <c r="B37" s="470"/>
      <c r="C37" s="471"/>
      <c r="D37" s="409"/>
      <c r="E37" s="386" t="s">
        <v>185</v>
      </c>
      <c r="F37" s="474" t="s">
        <v>187</v>
      </c>
      <c r="G37" s="475"/>
      <c r="H37" s="419" t="s">
        <v>195</v>
      </c>
      <c r="I37" s="419"/>
      <c r="J37" s="419"/>
      <c r="K37" s="419"/>
      <c r="L37" s="419"/>
      <c r="M37" s="419"/>
      <c r="N37" s="420"/>
      <c r="O37" s="53">
        <f>査読ｼｰﾄ!CE12</f>
        <v>0</v>
      </c>
      <c r="P37" s="38" t="s">
        <v>273</v>
      </c>
      <c r="Q37" s="9"/>
      <c r="R37" s="434"/>
      <c r="S37" s="430" t="s">
        <v>271</v>
      </c>
      <c r="T37" s="428"/>
      <c r="U37" s="428"/>
      <c r="V37" s="440">
        <f>IF(J15="（転記）",0,N45/J15)</f>
        <v>0</v>
      </c>
      <c r="W37" s="441"/>
    </row>
    <row r="38" spans="2:31" ht="15" customHeight="1">
      <c r="B38" s="470"/>
      <c r="C38" s="471"/>
      <c r="D38" s="409"/>
      <c r="E38" s="386"/>
      <c r="F38" s="474"/>
      <c r="G38" s="475"/>
      <c r="H38" s="419" t="s">
        <v>188</v>
      </c>
      <c r="I38" s="419"/>
      <c r="J38" s="419"/>
      <c r="K38" s="419"/>
      <c r="L38" s="419"/>
      <c r="M38" s="419"/>
      <c r="N38" s="420"/>
      <c r="O38" s="53">
        <f>査読ｼｰﾄ!CH12</f>
        <v>0</v>
      </c>
      <c r="P38" s="38" t="s">
        <v>273</v>
      </c>
      <c r="Q38" s="9"/>
      <c r="R38" s="434"/>
      <c r="S38" s="430"/>
      <c r="T38" s="428"/>
      <c r="U38" s="428"/>
      <c r="V38" s="440"/>
      <c r="W38" s="441"/>
    </row>
    <row r="39" spans="2:31" ht="15" customHeight="1">
      <c r="B39" s="470"/>
      <c r="C39" s="471"/>
      <c r="D39" s="409"/>
      <c r="E39" s="386"/>
      <c r="F39" s="474"/>
      <c r="G39" s="475"/>
      <c r="H39" s="347" t="s">
        <v>189</v>
      </c>
      <c r="I39" s="347"/>
      <c r="J39" s="347"/>
      <c r="K39" s="347"/>
      <c r="L39" s="347"/>
      <c r="M39" s="347"/>
      <c r="N39" s="339"/>
      <c r="O39" s="53">
        <f>査読ｼｰﾄ!CK12</f>
        <v>0</v>
      </c>
      <c r="P39" s="38" t="s">
        <v>273</v>
      </c>
      <c r="Q39" s="9"/>
      <c r="R39" s="434"/>
      <c r="S39" s="430" t="s">
        <v>369</v>
      </c>
      <c r="T39" s="428"/>
      <c r="U39" s="428"/>
      <c r="V39" s="440">
        <f>IF(J14="（転記）",0,O46/J14)</f>
        <v>0</v>
      </c>
      <c r="W39" s="441"/>
    </row>
    <row r="40" spans="2:31" ht="15" customHeight="1">
      <c r="B40" s="470"/>
      <c r="C40" s="471"/>
      <c r="D40" s="409"/>
      <c r="E40" s="386"/>
      <c r="F40" s="474"/>
      <c r="G40" s="475"/>
      <c r="H40" s="347" t="s">
        <v>190</v>
      </c>
      <c r="I40" s="347"/>
      <c r="J40" s="347"/>
      <c r="K40" s="347"/>
      <c r="L40" s="347"/>
      <c r="M40" s="347"/>
      <c r="N40" s="339"/>
      <c r="O40" s="53">
        <f>査読ｼｰﾄ!CN12</f>
        <v>0</v>
      </c>
      <c r="P40" s="38" t="s">
        <v>273</v>
      </c>
      <c r="R40" s="434"/>
      <c r="S40" s="430"/>
      <c r="T40" s="428"/>
      <c r="U40" s="428"/>
      <c r="V40" s="440"/>
      <c r="W40" s="441"/>
      <c r="Z40" s="11"/>
      <c r="AA40" s="11"/>
      <c r="AB40" s="11"/>
      <c r="AC40" s="11"/>
      <c r="AD40" s="11"/>
      <c r="AE40" s="11"/>
    </row>
    <row r="41" spans="2:31" ht="15" customHeight="1">
      <c r="B41" s="470"/>
      <c r="C41" s="471"/>
      <c r="D41" s="409"/>
      <c r="E41" s="386"/>
      <c r="F41" s="474"/>
      <c r="G41" s="475"/>
      <c r="H41" s="347" t="s">
        <v>192</v>
      </c>
      <c r="I41" s="347"/>
      <c r="J41" s="347"/>
      <c r="K41" s="347"/>
      <c r="L41" s="347"/>
      <c r="M41" s="347"/>
      <c r="N41" s="339"/>
      <c r="O41" s="53">
        <f>査読ｼｰﾄ!CQ12</f>
        <v>0</v>
      </c>
      <c r="P41" s="38" t="s">
        <v>273</v>
      </c>
      <c r="R41" s="434"/>
      <c r="S41" s="430" t="s">
        <v>370</v>
      </c>
      <c r="T41" s="428"/>
      <c r="U41" s="428"/>
      <c r="V41" s="440">
        <f>IF(J15="（転記）",0,O46/J15)</f>
        <v>0</v>
      </c>
      <c r="W41" s="441"/>
      <c r="Z41" s="11"/>
      <c r="AA41" s="11"/>
      <c r="AB41" s="11"/>
      <c r="AC41" s="11"/>
      <c r="AD41" s="11"/>
      <c r="AE41" s="11"/>
    </row>
    <row r="42" spans="2:31" ht="15" customHeight="1" thickBot="1">
      <c r="B42" s="470"/>
      <c r="C42" s="471"/>
      <c r="D42" s="410"/>
      <c r="E42" s="416" t="s">
        <v>310</v>
      </c>
      <c r="F42" s="450" t="s">
        <v>308</v>
      </c>
      <c r="G42" s="451"/>
      <c r="H42" s="339" t="s">
        <v>311</v>
      </c>
      <c r="I42" s="261"/>
      <c r="J42" s="261"/>
      <c r="K42" s="261"/>
      <c r="L42" s="261"/>
      <c r="M42" s="261"/>
      <c r="N42" s="464"/>
      <c r="O42" s="53">
        <f>査読ｼｰﾄ!CT12</f>
        <v>0</v>
      </c>
      <c r="P42" s="94" t="s">
        <v>274</v>
      </c>
      <c r="R42" s="435"/>
      <c r="S42" s="431"/>
      <c r="T42" s="432"/>
      <c r="U42" s="432"/>
      <c r="V42" s="442"/>
      <c r="W42" s="443"/>
      <c r="Z42" s="11"/>
      <c r="AA42" s="11"/>
      <c r="AB42" s="11"/>
      <c r="AC42" s="11"/>
      <c r="AD42" s="11"/>
      <c r="AE42" s="11"/>
    </row>
    <row r="43" spans="2:31" ht="15" customHeight="1">
      <c r="B43" s="470"/>
      <c r="C43" s="471"/>
      <c r="D43" s="410"/>
      <c r="E43" s="417"/>
      <c r="F43" s="344"/>
      <c r="G43" s="345"/>
      <c r="H43" s="339" t="s">
        <v>355</v>
      </c>
      <c r="I43" s="261"/>
      <c r="J43" s="261"/>
      <c r="K43" s="261"/>
      <c r="L43" s="261"/>
      <c r="M43" s="261"/>
      <c r="N43" s="464"/>
      <c r="O43" s="53">
        <f>査読ｼｰﾄ!CW12</f>
        <v>0</v>
      </c>
      <c r="P43" s="94" t="s">
        <v>274</v>
      </c>
      <c r="R43" s="95"/>
      <c r="S43" s="96"/>
      <c r="T43" s="101"/>
      <c r="U43" s="101"/>
      <c r="V43" s="97"/>
      <c r="W43" s="97"/>
      <c r="Z43" s="11"/>
      <c r="AA43" s="11"/>
      <c r="AB43" s="11"/>
      <c r="AC43" s="11"/>
      <c r="AD43" s="11"/>
      <c r="AE43" s="11"/>
    </row>
    <row r="44" spans="2:31" ht="15" customHeight="1">
      <c r="B44" s="470"/>
      <c r="C44" s="471"/>
      <c r="D44" s="410"/>
      <c r="E44" s="418"/>
      <c r="F44" s="452"/>
      <c r="G44" s="453"/>
      <c r="H44" s="339" t="s">
        <v>312</v>
      </c>
      <c r="I44" s="261"/>
      <c r="J44" s="261"/>
      <c r="K44" s="261"/>
      <c r="L44" s="261"/>
      <c r="M44" s="261"/>
      <c r="N44" s="464"/>
      <c r="O44" s="53">
        <f>査読ｼｰﾄ!CZ12</f>
        <v>0</v>
      </c>
      <c r="P44" s="94" t="s">
        <v>274</v>
      </c>
      <c r="R44" s="95"/>
      <c r="S44" s="96"/>
      <c r="T44" s="101"/>
      <c r="U44" s="101"/>
      <c r="V44" s="97"/>
      <c r="W44" s="97"/>
      <c r="Z44" s="11"/>
      <c r="AA44" s="11"/>
      <c r="AB44" s="11"/>
      <c r="AC44" s="11"/>
      <c r="AD44" s="11"/>
      <c r="AE44" s="11"/>
    </row>
    <row r="45" spans="2:31" ht="15" customHeight="1" thickBot="1">
      <c r="B45" s="470"/>
      <c r="C45" s="471"/>
      <c r="D45" s="411"/>
      <c r="E45" s="33"/>
      <c r="F45" s="34"/>
      <c r="G45" s="34"/>
      <c r="H45" s="454" t="s">
        <v>272</v>
      </c>
      <c r="I45" s="455"/>
      <c r="J45" s="54">
        <f>査読ｼｰﾄ!L12</f>
        <v>0</v>
      </c>
      <c r="K45" s="476" t="s">
        <v>280</v>
      </c>
      <c r="L45" s="477"/>
      <c r="M45" s="478"/>
      <c r="N45" s="54">
        <f>査読ｼｰﾄ!L12-(査読ｼｰﾄ!BS12+査読ｼｰﾄ!BV12)</f>
        <v>0</v>
      </c>
      <c r="O45" s="69" t="s">
        <v>275</v>
      </c>
      <c r="P45" s="70"/>
      <c r="Q45" s="47" t="s">
        <v>281</v>
      </c>
      <c r="X45" s="11"/>
      <c r="Y45" s="11"/>
      <c r="Z45" s="11"/>
      <c r="AA45" s="11"/>
      <c r="AB45" s="11"/>
      <c r="AC45" s="11"/>
    </row>
    <row r="46" spans="2:31" ht="15" customHeight="1" thickTop="1" thickBot="1">
      <c r="B46" s="472"/>
      <c r="C46" s="473"/>
      <c r="D46" s="456" t="s">
        <v>371</v>
      </c>
      <c r="E46" s="457"/>
      <c r="F46" s="457"/>
      <c r="G46" s="457"/>
      <c r="H46" s="457"/>
      <c r="I46" s="457"/>
      <c r="J46" s="457"/>
      <c r="K46" s="457"/>
      <c r="L46" s="457"/>
      <c r="M46" s="458"/>
      <c r="N46" s="459"/>
      <c r="O46" s="67" t="str">
        <f>IF(査読ｼｰﾄ!D41=0,"（転記）",査読ｼｰﾄ!D41)</f>
        <v>（転記）</v>
      </c>
      <c r="P46" s="68" t="s">
        <v>372</v>
      </c>
      <c r="Z46" s="11"/>
      <c r="AA46" s="11"/>
      <c r="AB46" s="11"/>
      <c r="AC46" s="11"/>
      <c r="AD46" s="11"/>
      <c r="AE46" s="11"/>
    </row>
    <row r="47" spans="2:31" ht="6.75" customHeight="1" thickBot="1">
      <c r="Z47" s="11"/>
      <c r="AA47" s="11"/>
      <c r="AB47" s="11"/>
      <c r="AC47" s="11"/>
      <c r="AD47" s="11"/>
      <c r="AE47" s="11"/>
    </row>
    <row r="48" spans="2:31" ht="21.75" customHeight="1" thickBot="1">
      <c r="B48" s="460" t="s">
        <v>60</v>
      </c>
      <c r="C48" s="461"/>
      <c r="D48" s="461"/>
      <c r="E48" s="461"/>
      <c r="F48" s="16" t="s">
        <v>61</v>
      </c>
      <c r="G48" s="436" t="s">
        <v>247</v>
      </c>
      <c r="H48" s="448"/>
      <c r="I48" s="447"/>
      <c r="J48" s="436" t="s">
        <v>248</v>
      </c>
      <c r="K48" s="447"/>
      <c r="L48" s="436" t="s">
        <v>249</v>
      </c>
      <c r="M48" s="448"/>
      <c r="N48" s="337"/>
      <c r="O48" s="436" t="s">
        <v>250</v>
      </c>
      <c r="P48" s="449"/>
      <c r="Q48" s="426" t="s">
        <v>373</v>
      </c>
      <c r="R48" s="427"/>
      <c r="S48" s="436" t="s">
        <v>251</v>
      </c>
      <c r="T48" s="336"/>
      <c r="U48" s="336"/>
      <c r="V48" s="336"/>
      <c r="W48" s="437"/>
      <c r="Z48" s="11"/>
      <c r="AA48" s="11"/>
      <c r="AB48" s="11"/>
      <c r="AC48" s="11"/>
      <c r="AD48" s="11"/>
      <c r="AE48" s="11"/>
    </row>
    <row r="49" spans="2:31" ht="16.5" customHeight="1" thickTop="1">
      <c r="B49" s="403"/>
      <c r="C49" s="389"/>
      <c r="D49" s="389"/>
      <c r="E49" s="389"/>
      <c r="F49" s="17">
        <v>1</v>
      </c>
      <c r="G49" s="57" t="str">
        <f>IF(査読ｼｰﾄ!V17=" ","（転記）",査読ｼｰﾄ!V17)</f>
        <v>（転記）</v>
      </c>
      <c r="H49" s="467" t="s">
        <v>252</v>
      </c>
      <c r="I49" s="467"/>
      <c r="J49" s="243"/>
      <c r="K49" s="244"/>
      <c r="L49" s="251"/>
      <c r="M49" s="252"/>
      <c r="N49" s="253"/>
      <c r="O49" s="55">
        <f>査読ｼｰﾄ!X17</f>
        <v>0</v>
      </c>
      <c r="P49" s="39" t="s">
        <v>273</v>
      </c>
      <c r="Q49" s="249"/>
      <c r="R49" s="250"/>
      <c r="S49" s="245"/>
      <c r="T49" s="246"/>
      <c r="U49" s="246"/>
      <c r="V49" s="247"/>
      <c r="W49" s="248"/>
      <c r="Z49" s="11"/>
      <c r="AA49" s="11"/>
      <c r="AB49" s="11"/>
      <c r="AC49" s="11"/>
      <c r="AD49" s="11"/>
      <c r="AE49" s="11"/>
    </row>
    <row r="50" spans="2:31" ht="16.5" customHeight="1">
      <c r="B50" s="403"/>
      <c r="C50" s="389"/>
      <c r="D50" s="389"/>
      <c r="E50" s="389"/>
      <c r="F50" s="18">
        <v>2</v>
      </c>
      <c r="G50" s="58" t="str">
        <f>IF(査読ｼｰﾄ!V19=" ","（転記）",査読ｼｰﾄ!V19)</f>
        <v>（転記）</v>
      </c>
      <c r="H50" s="239" t="s">
        <v>253</v>
      </c>
      <c r="I50" s="240"/>
      <c r="J50" s="241"/>
      <c r="K50" s="242"/>
      <c r="L50" s="256"/>
      <c r="M50" s="257"/>
      <c r="N50" s="258"/>
      <c r="O50" s="53">
        <f>査読ｼｰﾄ!X19</f>
        <v>0</v>
      </c>
      <c r="P50" s="40" t="s">
        <v>273</v>
      </c>
      <c r="Q50" s="254"/>
      <c r="R50" s="255"/>
      <c r="S50" s="259"/>
      <c r="T50" s="260"/>
      <c r="U50" s="260"/>
      <c r="V50" s="261"/>
      <c r="W50" s="262"/>
      <c r="Z50" s="11"/>
      <c r="AA50" s="11"/>
      <c r="AB50" s="11"/>
      <c r="AC50" s="11"/>
      <c r="AD50" s="11"/>
      <c r="AE50" s="11"/>
    </row>
    <row r="51" spans="2:31" ht="16.5" customHeight="1">
      <c r="B51" s="403"/>
      <c r="C51" s="389"/>
      <c r="D51" s="389"/>
      <c r="E51" s="389"/>
      <c r="F51" s="18">
        <v>3</v>
      </c>
      <c r="G51" s="58" t="str">
        <f>IF(査読ｼｰﾄ!V21=" ","（転記）",査読ｼｰﾄ!V21)</f>
        <v>（転記）</v>
      </c>
      <c r="H51" s="239" t="s">
        <v>254</v>
      </c>
      <c r="I51" s="240"/>
      <c r="J51" s="241"/>
      <c r="K51" s="242"/>
      <c r="L51" s="256"/>
      <c r="M51" s="257"/>
      <c r="N51" s="258"/>
      <c r="O51" s="53">
        <f>査読ｼｰﾄ!X21</f>
        <v>0</v>
      </c>
      <c r="P51" s="40" t="s">
        <v>273</v>
      </c>
      <c r="Q51" s="254"/>
      <c r="R51" s="255"/>
      <c r="S51" s="259"/>
      <c r="T51" s="260"/>
      <c r="U51" s="260"/>
      <c r="V51" s="261"/>
      <c r="W51" s="262"/>
      <c r="Z51" s="11"/>
      <c r="AA51" s="11"/>
      <c r="AB51" s="11"/>
      <c r="AC51" s="11"/>
      <c r="AD51" s="11"/>
      <c r="AE51" s="11"/>
    </row>
    <row r="52" spans="2:31" ht="16.5" customHeight="1">
      <c r="B52" s="403"/>
      <c r="C52" s="389"/>
      <c r="D52" s="389"/>
      <c r="E52" s="389"/>
      <c r="F52" s="18">
        <v>4</v>
      </c>
      <c r="G52" s="58" t="str">
        <f>IF(査読ｼｰﾄ!V23=" ","（転記）",査読ｼｰﾄ!V23)</f>
        <v>（転記）</v>
      </c>
      <c r="H52" s="239" t="s">
        <v>254</v>
      </c>
      <c r="I52" s="240"/>
      <c r="J52" s="241"/>
      <c r="K52" s="242"/>
      <c r="L52" s="256"/>
      <c r="M52" s="257"/>
      <c r="N52" s="258"/>
      <c r="O52" s="53">
        <f>査読ｼｰﾄ!X23</f>
        <v>0</v>
      </c>
      <c r="P52" s="40" t="s">
        <v>273</v>
      </c>
      <c r="Q52" s="254"/>
      <c r="R52" s="255"/>
      <c r="S52" s="259"/>
      <c r="T52" s="260"/>
      <c r="U52" s="260"/>
      <c r="V52" s="261"/>
      <c r="W52" s="262"/>
      <c r="Z52" s="11"/>
      <c r="AA52" s="11"/>
      <c r="AB52" s="11"/>
      <c r="AC52" s="11"/>
      <c r="AD52" s="11"/>
      <c r="AE52" s="11"/>
    </row>
    <row r="53" spans="2:31" ht="16.5" customHeight="1" thickBot="1">
      <c r="B53" s="462"/>
      <c r="C53" s="463"/>
      <c r="D53" s="463"/>
      <c r="E53" s="463"/>
      <c r="F53" s="19">
        <v>5</v>
      </c>
      <c r="G53" s="59" t="str">
        <f>IF(査読ｼｰﾄ!V25=" ","（転記）",査読ｼｰﾄ!V25)</f>
        <v>（転記）</v>
      </c>
      <c r="H53" s="286" t="s">
        <v>255</v>
      </c>
      <c r="I53" s="287"/>
      <c r="J53" s="465"/>
      <c r="K53" s="466"/>
      <c r="L53" s="283"/>
      <c r="M53" s="284"/>
      <c r="N53" s="285"/>
      <c r="O53" s="56">
        <f>査読ｼｰﾄ!X25</f>
        <v>0</v>
      </c>
      <c r="P53" s="41" t="s">
        <v>273</v>
      </c>
      <c r="Q53" s="281"/>
      <c r="R53" s="282"/>
      <c r="S53" s="277"/>
      <c r="T53" s="278"/>
      <c r="U53" s="278"/>
      <c r="V53" s="279"/>
      <c r="W53" s="280"/>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263" t="s">
        <v>295</v>
      </c>
      <c r="C55" s="264"/>
      <c r="D55" s="269" t="s">
        <v>296</v>
      </c>
      <c r="E55" s="270"/>
      <c r="F55" s="288" t="s">
        <v>356</v>
      </c>
      <c r="G55" s="289"/>
      <c r="H55" s="289"/>
      <c r="I55" s="289"/>
      <c r="J55" s="289"/>
      <c r="K55" s="289"/>
      <c r="L55" s="289"/>
      <c r="M55" s="289"/>
      <c r="N55" s="289"/>
      <c r="O55" s="289"/>
      <c r="P55" s="289"/>
      <c r="Q55" s="289"/>
      <c r="R55" s="289"/>
      <c r="S55" s="289"/>
      <c r="T55" s="289"/>
      <c r="U55" s="294" t="s">
        <v>320</v>
      </c>
      <c r="V55" s="295"/>
      <c r="W55" s="296"/>
    </row>
    <row r="56" spans="2:31" ht="18" customHeight="1">
      <c r="B56" s="265"/>
      <c r="C56" s="266"/>
      <c r="D56" s="271"/>
      <c r="E56" s="272"/>
      <c r="F56" s="290"/>
      <c r="G56" s="291"/>
      <c r="H56" s="291"/>
      <c r="I56" s="291"/>
      <c r="J56" s="291"/>
      <c r="K56" s="291"/>
      <c r="L56" s="291"/>
      <c r="M56" s="291"/>
      <c r="N56" s="291"/>
      <c r="O56" s="291"/>
      <c r="P56" s="291"/>
      <c r="Q56" s="291"/>
      <c r="R56" s="291"/>
      <c r="S56" s="291"/>
      <c r="T56" s="291"/>
      <c r="U56" s="297"/>
      <c r="V56" s="298"/>
      <c r="W56" s="299"/>
    </row>
    <row r="57" spans="2:31" ht="18" customHeight="1">
      <c r="B57" s="265"/>
      <c r="C57" s="266"/>
      <c r="D57" s="273"/>
      <c r="E57" s="274"/>
      <c r="F57" s="290"/>
      <c r="G57" s="291"/>
      <c r="H57" s="291"/>
      <c r="I57" s="291"/>
      <c r="J57" s="291"/>
      <c r="K57" s="291"/>
      <c r="L57" s="291"/>
      <c r="M57" s="291"/>
      <c r="N57" s="291"/>
      <c r="O57" s="291"/>
      <c r="P57" s="291"/>
      <c r="Q57" s="291"/>
      <c r="R57" s="291"/>
      <c r="S57" s="291"/>
      <c r="T57" s="291"/>
      <c r="U57" s="300"/>
      <c r="V57" s="301"/>
      <c r="W57" s="302"/>
    </row>
    <row r="58" spans="2:31" ht="18" customHeight="1" thickBot="1">
      <c r="B58" s="267"/>
      <c r="C58" s="268"/>
      <c r="D58" s="275"/>
      <c r="E58" s="276"/>
      <c r="F58" s="292"/>
      <c r="G58" s="293"/>
      <c r="H58" s="293"/>
      <c r="I58" s="293"/>
      <c r="J58" s="293"/>
      <c r="K58" s="293"/>
      <c r="L58" s="293"/>
      <c r="M58" s="293"/>
      <c r="N58" s="293"/>
      <c r="O58" s="293"/>
      <c r="P58" s="293"/>
      <c r="Q58" s="293"/>
      <c r="R58" s="293"/>
      <c r="S58" s="293"/>
      <c r="T58" s="293"/>
      <c r="U58" s="303"/>
      <c r="V58" s="304"/>
      <c r="W58" s="305"/>
    </row>
    <row r="59" spans="2:31" s="113" customFormat="1" ht="18" customHeight="1" thickBot="1">
      <c r="D59" s="114" t="s">
        <v>365</v>
      </c>
      <c r="O59" s="115"/>
      <c r="P59" s="115"/>
      <c r="Q59" s="115"/>
      <c r="U59" s="116"/>
      <c r="V59" s="116"/>
      <c r="W59" s="116"/>
    </row>
    <row r="60" spans="2:31" ht="13.5">
      <c r="B60" s="85" t="s">
        <v>297</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428</v>
      </c>
      <c r="E61" s="89" t="s">
        <v>299</v>
      </c>
      <c r="F61" s="14"/>
      <c r="G61" s="14"/>
      <c r="H61" s="14"/>
      <c r="I61" s="82" t="s">
        <v>428</v>
      </c>
      <c r="J61" s="89" t="s">
        <v>300</v>
      </c>
      <c r="K61" s="14"/>
      <c r="L61" s="14"/>
      <c r="M61" s="82" t="s">
        <v>298</v>
      </c>
      <c r="N61" s="89" t="s">
        <v>321</v>
      </c>
      <c r="O61" s="90"/>
      <c r="P61" s="90"/>
      <c r="Q61" s="90"/>
      <c r="R61" s="14"/>
      <c r="S61" s="14"/>
      <c r="T61" s="14"/>
      <c r="U61" s="105"/>
      <c r="V61" s="105"/>
      <c r="W61" s="106"/>
    </row>
  </sheetData>
  <mergeCells count="18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279</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70</v>
      </c>
      <c r="M3" s="3"/>
      <c r="N3" s="3" t="s">
        <v>71</v>
      </c>
      <c r="O3" s="1" t="s">
        <v>70</v>
      </c>
      <c r="P3" s="3"/>
      <c r="Q3" s="3" t="s">
        <v>71</v>
      </c>
      <c r="R3" s="1" t="s">
        <v>70</v>
      </c>
      <c r="S3" s="3"/>
      <c r="T3" s="3" t="s">
        <v>71</v>
      </c>
      <c r="U3" s="1" t="s">
        <v>70</v>
      </c>
      <c r="V3" s="3"/>
      <c r="W3" s="3" t="s">
        <v>71</v>
      </c>
      <c r="X3" s="1" t="s">
        <v>70</v>
      </c>
      <c r="Y3" s="3"/>
      <c r="Z3" s="3" t="s">
        <v>71</v>
      </c>
      <c r="AA3" s="1" t="s">
        <v>70</v>
      </c>
      <c r="AB3" s="3"/>
      <c r="AC3" s="3" t="s">
        <v>71</v>
      </c>
      <c r="AD3" s="1" t="s">
        <v>70</v>
      </c>
      <c r="AE3" s="3"/>
      <c r="AF3" s="3" t="s">
        <v>71</v>
      </c>
      <c r="AG3" s="1" t="s">
        <v>70</v>
      </c>
      <c r="AH3" s="3"/>
      <c r="AI3" s="3" t="s">
        <v>71</v>
      </c>
      <c r="AJ3" s="1" t="s">
        <v>70</v>
      </c>
      <c r="AK3" s="3"/>
      <c r="AL3" s="3" t="s">
        <v>71</v>
      </c>
      <c r="AM3" s="1" t="s">
        <v>70</v>
      </c>
      <c r="AN3" s="3"/>
      <c r="AO3" s="3" t="s">
        <v>71</v>
      </c>
      <c r="AP3" s="1" t="s">
        <v>70</v>
      </c>
      <c r="AQ3" s="3"/>
      <c r="AR3" s="3" t="s">
        <v>71</v>
      </c>
      <c r="AS3" s="1" t="s">
        <v>70</v>
      </c>
      <c r="AT3" s="3"/>
      <c r="AU3" s="3" t="s">
        <v>71</v>
      </c>
      <c r="AV3" s="1" t="s">
        <v>70</v>
      </c>
      <c r="AW3" s="3"/>
      <c r="AX3" s="3" t="s">
        <v>71</v>
      </c>
      <c r="AY3" s="1" t="s">
        <v>70</v>
      </c>
      <c r="AZ3" s="3"/>
      <c r="BA3" s="3" t="s">
        <v>71</v>
      </c>
      <c r="BB3" s="1" t="s">
        <v>70</v>
      </c>
      <c r="BC3" s="3"/>
      <c r="BD3" s="3" t="s">
        <v>71</v>
      </c>
      <c r="BE3" s="1" t="s">
        <v>70</v>
      </c>
      <c r="BF3" s="3"/>
      <c r="BG3" s="3" t="s">
        <v>71</v>
      </c>
      <c r="BH3" s="1" t="s">
        <v>70</v>
      </c>
      <c r="BI3" s="3"/>
      <c r="BJ3" s="3" t="s">
        <v>71</v>
      </c>
      <c r="BK3" s="1" t="s">
        <v>70</v>
      </c>
      <c r="BL3" s="3"/>
      <c r="BM3" s="3" t="s">
        <v>71</v>
      </c>
      <c r="BN3" s="1" t="s">
        <v>70</v>
      </c>
      <c r="BO3" s="3"/>
      <c r="BP3" s="3" t="s">
        <v>71</v>
      </c>
      <c r="BQ3" s="1" t="s">
        <v>70</v>
      </c>
      <c r="BR3" s="3"/>
      <c r="BS3" s="3" t="s">
        <v>71</v>
      </c>
      <c r="BT3" s="1" t="s">
        <v>70</v>
      </c>
      <c r="BU3" s="3"/>
      <c r="BV3" s="3" t="s">
        <v>71</v>
      </c>
      <c r="BW3" s="1" t="s">
        <v>70</v>
      </c>
      <c r="BX3" s="3"/>
      <c r="BY3" s="3" t="s">
        <v>71</v>
      </c>
      <c r="BZ3" s="1" t="s">
        <v>70</v>
      </c>
      <c r="CA3" s="3"/>
      <c r="CB3" s="3" t="s">
        <v>71</v>
      </c>
      <c r="CC3" s="1" t="s">
        <v>70</v>
      </c>
      <c r="CD3" s="3"/>
      <c r="CE3" s="3" t="s">
        <v>71</v>
      </c>
      <c r="CF3" s="1" t="s">
        <v>70</v>
      </c>
      <c r="CG3" s="3"/>
      <c r="CH3" s="3" t="s">
        <v>71</v>
      </c>
      <c r="CI3" s="1" t="s">
        <v>70</v>
      </c>
      <c r="CJ3" s="3"/>
      <c r="CK3" s="3" t="s">
        <v>71</v>
      </c>
      <c r="CL3" s="1" t="s">
        <v>70</v>
      </c>
      <c r="CM3" s="3"/>
      <c r="CN3" s="3" t="s">
        <v>71</v>
      </c>
      <c r="CO3" s="1" t="s">
        <v>70</v>
      </c>
      <c r="CP3" s="3"/>
      <c r="CQ3" s="3" t="s">
        <v>71</v>
      </c>
      <c r="CR3" s="1" t="s">
        <v>70</v>
      </c>
      <c r="CS3" s="3"/>
      <c r="CT3" s="3" t="s">
        <v>71</v>
      </c>
      <c r="CU3" s="1" t="s">
        <v>70</v>
      </c>
      <c r="CV3" s="3"/>
      <c r="CW3" s="3" t="s">
        <v>71</v>
      </c>
      <c r="CX3" s="1" t="s">
        <v>70</v>
      </c>
      <c r="CY3" s="3"/>
      <c r="CZ3" s="3" t="s">
        <v>71</v>
      </c>
    </row>
    <row r="4" spans="1:104" ht="11.25" hidden="1" customHeight="1">
      <c r="A4"/>
      <c r="D4"/>
      <c r="E4"/>
      <c r="G4"/>
      <c r="H4"/>
      <c r="I4"/>
      <c r="J4"/>
      <c r="K4" s="44"/>
      <c r="L4" s="2" t="s">
        <v>322</v>
      </c>
      <c r="M4" s="2"/>
      <c r="N4" s="2">
        <f>IF(ISNUMBER(DCOUNTA(査読範囲,L3,L3:L4)), DCOUNTA(査読範囲,L3,L3:L4), 0)</f>
        <v>0</v>
      </c>
      <c r="O4" s="2" t="s">
        <v>331</v>
      </c>
      <c r="P4" s="2"/>
      <c r="Q4" s="2">
        <f>IF(ISNUMBER(DCOUNTA(査読範囲,O3,O3:O4)), DCOUNTA(査読範囲,O3,O3:O4), 0)</f>
        <v>0</v>
      </c>
      <c r="R4" s="2" t="s">
        <v>332</v>
      </c>
      <c r="S4" s="2"/>
      <c r="T4" s="2">
        <f>IF(ISNUMBER(DCOUNTA(査読範囲,R3,R3:R4)), DCOUNTA(査読範囲,R3,R3:R4), 0)</f>
        <v>0</v>
      </c>
      <c r="U4" s="2" t="s">
        <v>205</v>
      </c>
      <c r="V4" s="2"/>
      <c r="W4" s="2">
        <f>IF(ISNUMBER(DCOUNTA(査読範囲,U3,U3:U4)), DCOUNTA(査読範囲,U3,U3:U4), 0)</f>
        <v>0</v>
      </c>
      <c r="X4" s="2" t="s">
        <v>208</v>
      </c>
      <c r="Y4" s="2"/>
      <c r="Z4" s="2">
        <f>IF(ISNUMBER(DCOUNTA(査読範囲,X3,X3:X4)), DCOUNTA(査読範囲,X3,X3:X4), 0)</f>
        <v>0</v>
      </c>
      <c r="AA4" s="2" t="s">
        <v>214</v>
      </c>
      <c r="AB4" s="2"/>
      <c r="AC4" s="2">
        <f>IF(ISNUMBER(DCOUNTA(査読範囲,AA3,AA3:AA4)), DCOUNTA(査読範囲,AA3,AA3:AA4), 0)</f>
        <v>0</v>
      </c>
      <c r="AD4" s="2" t="s">
        <v>221</v>
      </c>
      <c r="AE4" s="2"/>
      <c r="AF4" s="2">
        <f>IF(ISNUMBER(DCOUNTA(査読範囲,AD3,AD3:AD4)), DCOUNTA(査読範囲,AD3,AD3:AD4), 0)</f>
        <v>0</v>
      </c>
      <c r="AG4" s="2" t="s">
        <v>72</v>
      </c>
      <c r="AH4" s="2"/>
      <c r="AI4" s="2">
        <f>IF(ISNUMBER(DCOUNTA(査読範囲,AG3,AG3:AG4)), DCOUNTA(査読範囲,AG3,AG3:AG4), 0)</f>
        <v>0</v>
      </c>
      <c r="AJ4" s="2" t="s">
        <v>77</v>
      </c>
      <c r="AK4" s="2"/>
      <c r="AL4" s="2">
        <f>IF(ISNUMBER(DCOUNTA(査読範囲,AJ3,AJ3:AJ4)), DCOUNTA(査読範囲,AJ3,AJ3:AJ4), 0)</f>
        <v>0</v>
      </c>
      <c r="AM4" s="2" t="s">
        <v>81</v>
      </c>
      <c r="AN4" s="2"/>
      <c r="AO4" s="2">
        <f>IF(ISNUMBER(DCOUNTA(査読範囲,AM3,AM3:AM4)), DCOUNTA(査読範囲,AM3,AM3:AM4), 0)</f>
        <v>0</v>
      </c>
      <c r="AP4" s="2" t="s">
        <v>217</v>
      </c>
      <c r="AQ4" s="2"/>
      <c r="AR4" s="2">
        <f>IF(ISNUMBER(DCOUNTA(査読範囲,AP3,AP3:AP4)), DCOUNTA(査読範囲,AP3,AP3:AP4), 0)</f>
        <v>0</v>
      </c>
      <c r="AS4" s="2" t="s">
        <v>87</v>
      </c>
      <c r="AT4" s="2"/>
      <c r="AU4" s="2">
        <f>IF(ISNUMBER(DCOUNTA(査読範囲,AS3,AS3:AS4)), DCOUNTA(査読範囲,AS3,AS3:AS4), 0)</f>
        <v>0</v>
      </c>
      <c r="AV4" s="2" t="s">
        <v>89</v>
      </c>
      <c r="AW4" s="2"/>
      <c r="AX4" s="2">
        <f>IF(ISNUMBER(DCOUNTA(査読範囲,AV3,AV3:AV4)), DCOUNTA(査読範囲,AV3,AV3:AV4), 0)</f>
        <v>0</v>
      </c>
      <c r="AY4" s="2" t="s">
        <v>90</v>
      </c>
      <c r="AZ4" s="2"/>
      <c r="BA4" s="2">
        <f>IF(ISNUMBER(DCOUNTA(査読範囲,AY3,AY3:AY4)), DCOUNTA(査読範囲,AY3,AY3:AY4), 0)</f>
        <v>0</v>
      </c>
      <c r="BB4" s="2" t="s">
        <v>218</v>
      </c>
      <c r="BC4" s="2"/>
      <c r="BD4" s="2">
        <f>IF(ISNUMBER(DCOUNTA(査読範囲,BB3,BB3:BB4)), DCOUNTA(査読範囲,BB3,BB3:BB4), 0)</f>
        <v>0</v>
      </c>
      <c r="BE4" s="2" t="s">
        <v>105</v>
      </c>
      <c r="BF4" s="2"/>
      <c r="BG4" s="2">
        <f>IF(ISNUMBER(DCOUNTA(査読範囲,BE3,BE3:BE4)), DCOUNTA(査読範囲,BE3,BE3:BE4), 0)</f>
        <v>0</v>
      </c>
      <c r="BH4" s="2" t="s">
        <v>106</v>
      </c>
      <c r="BI4" s="2"/>
      <c r="BJ4" s="2">
        <f>IF(ISNUMBER(DCOUNTA(査読範囲,BH3,BH3:BH4)), DCOUNTA(査読範囲,BH3,BH3:BH4), 0)</f>
        <v>0</v>
      </c>
      <c r="BK4" s="2" t="s">
        <v>107</v>
      </c>
      <c r="BL4" s="2"/>
      <c r="BM4" s="2">
        <f>IF(ISNUMBER(DCOUNTA(査読範囲,BK3,BK3:BK4)), DCOUNTA(査読範囲,BK3,BK3:BK4), 0)</f>
        <v>0</v>
      </c>
      <c r="BN4" s="2" t="s">
        <v>219</v>
      </c>
      <c r="BO4" s="2"/>
      <c r="BP4" s="2">
        <f>IF(ISNUMBER(DCOUNTA(査読範囲,BN3,BN3:BN4)), DCOUNTA(査読範囲,BN3,BN3:BN4), 0)</f>
        <v>0</v>
      </c>
      <c r="BQ4" s="2" t="s">
        <v>126</v>
      </c>
      <c r="BR4" s="2"/>
      <c r="BS4" s="2">
        <f>IF(ISNUMBER(DCOUNTA(査読範囲,BQ3,BQ3:BQ4)), DCOUNTA(査読範囲,BQ3,BQ3:BQ4), 0)</f>
        <v>0</v>
      </c>
      <c r="BT4" s="2" t="s">
        <v>127</v>
      </c>
      <c r="BU4" s="2"/>
      <c r="BV4" s="2">
        <f>IF(ISNUMBER(DCOUNTA(査読範囲,BT3,BT3:BT4)), DCOUNTA(査読範囲,BT3,BT3:BT4), 0)</f>
        <v>0</v>
      </c>
      <c r="BW4" s="2" t="s">
        <v>128</v>
      </c>
      <c r="BX4" s="2"/>
      <c r="BY4" s="2">
        <f>IF(ISNUMBER(DCOUNTA(査読範囲,BW3,BW3:BW4)), DCOUNTA(査読範囲,BW3,BW3:BW4), 0)</f>
        <v>0</v>
      </c>
      <c r="BZ4" s="2" t="s">
        <v>220</v>
      </c>
      <c r="CA4" s="2"/>
      <c r="CB4" s="2">
        <f>IF(ISNUMBER(DCOUNTA(査読範囲,BZ3,BZ3:BZ4)), DCOUNTA(査読範囲,BZ3,BZ3:BZ4), 0)</f>
        <v>0</v>
      </c>
      <c r="CC4" s="2" t="s">
        <v>132</v>
      </c>
      <c r="CD4" s="2"/>
      <c r="CE4" s="2">
        <f>IF(ISNUMBER(DCOUNTA(査読範囲,CC3,CC3:CC4)), DCOUNTA(査読範囲,CC3,CC3:CC4), 0)</f>
        <v>0</v>
      </c>
      <c r="CF4" s="2" t="s">
        <v>133</v>
      </c>
      <c r="CG4" s="2"/>
      <c r="CH4" s="2">
        <f>IF(ISNUMBER(DCOUNTA(査読範囲,CF3,CF3:CF4)), DCOUNTA(査読範囲,CF3,CF3:CF4), 0)</f>
        <v>0</v>
      </c>
      <c r="CI4" s="2" t="s">
        <v>134</v>
      </c>
      <c r="CJ4" s="2"/>
      <c r="CK4" s="2">
        <f>IF(ISNUMBER(DCOUNTA(査読範囲,CI3,CI3:CI4)), DCOUNTA(査読範囲,CI3,CI3:CI4), 0)</f>
        <v>0</v>
      </c>
      <c r="CL4" s="2" t="s">
        <v>147</v>
      </c>
      <c r="CM4" s="2"/>
      <c r="CN4" s="2">
        <f>IF(ISNUMBER(DCOUNTA(査読範囲,CL3,CL3:CL4)), DCOUNTA(査読範囲,CL3,CL3:CL4), 0)</f>
        <v>0</v>
      </c>
      <c r="CO4" s="2" t="s">
        <v>242</v>
      </c>
      <c r="CP4" s="2"/>
      <c r="CQ4" s="2">
        <f>IF(ISNUMBER(DCOUNTA(査読範囲,CO3,CO3:CO4)), DCOUNTA(査読範囲,CO3,CO3:CO4), 0)</f>
        <v>0</v>
      </c>
      <c r="CR4" s="2" t="s">
        <v>340</v>
      </c>
      <c r="CS4" s="2"/>
      <c r="CT4" s="2">
        <f>IF(ISNUMBER(DCOUNTA(査読範囲,CR3,CR3:CR4)), DCOUNTA(査読範囲,CR3,CR3:CR4), 0)</f>
        <v>0</v>
      </c>
      <c r="CU4" s="2" t="s">
        <v>345</v>
      </c>
      <c r="CV4" s="2"/>
      <c r="CW4" s="2">
        <f>IF(ISNUMBER(DCOUNTA(査読範囲,CU3,CU3:CU4)), DCOUNTA(査読範囲,CU3,CU3:CU4), 0)</f>
        <v>0</v>
      </c>
      <c r="CX4" s="2" t="s">
        <v>347</v>
      </c>
      <c r="CY4" s="2"/>
      <c r="CZ4" s="2">
        <f>IF(ISNUMBER(DCOUNTA(査読範囲,CX3,CX3:CX4)), DCOUNTA(査読範囲,CX3,CX3:CX4), 0)</f>
        <v>0</v>
      </c>
    </row>
    <row r="5" spans="1:104" ht="11.25" hidden="1" customHeight="1">
      <c r="A5"/>
      <c r="D5"/>
      <c r="E5"/>
      <c r="G5"/>
      <c r="H5"/>
      <c r="I5"/>
      <c r="J5"/>
      <c r="K5" s="44"/>
      <c r="L5" s="1" t="s">
        <v>70</v>
      </c>
      <c r="M5" s="3"/>
      <c r="N5" s="3" t="s">
        <v>71</v>
      </c>
      <c r="O5" s="1" t="s">
        <v>70</v>
      </c>
      <c r="P5" s="3"/>
      <c r="Q5" s="3" t="s">
        <v>71</v>
      </c>
      <c r="R5" s="1" t="s">
        <v>70</v>
      </c>
      <c r="S5" s="3"/>
      <c r="T5" s="3" t="s">
        <v>71</v>
      </c>
      <c r="U5" s="1" t="s">
        <v>70</v>
      </c>
      <c r="V5" s="3"/>
      <c r="W5" s="3" t="s">
        <v>71</v>
      </c>
      <c r="X5" s="1" t="s">
        <v>70</v>
      </c>
      <c r="Y5" s="3"/>
      <c r="Z5" s="3" t="s">
        <v>71</v>
      </c>
      <c r="AA5" s="1" t="s">
        <v>70</v>
      </c>
      <c r="AB5" s="3"/>
      <c r="AC5" s="3" t="s">
        <v>71</v>
      </c>
      <c r="AD5" s="1" t="s">
        <v>70</v>
      </c>
      <c r="AE5" s="3"/>
      <c r="AF5" s="3" t="s">
        <v>71</v>
      </c>
      <c r="AG5" s="1" t="s">
        <v>70</v>
      </c>
      <c r="AH5" s="3"/>
      <c r="AI5" s="3" t="s">
        <v>71</v>
      </c>
      <c r="AJ5" s="1" t="s">
        <v>70</v>
      </c>
      <c r="AK5" s="3"/>
      <c r="AL5" s="3" t="s">
        <v>71</v>
      </c>
      <c r="AM5" s="1" t="s">
        <v>70</v>
      </c>
      <c r="AN5" s="3"/>
      <c r="AO5" s="3" t="s">
        <v>71</v>
      </c>
      <c r="AP5" s="1" t="s">
        <v>70</v>
      </c>
      <c r="AQ5" s="3"/>
      <c r="AR5" s="3" t="s">
        <v>71</v>
      </c>
      <c r="AS5" s="1" t="s">
        <v>70</v>
      </c>
      <c r="AT5" s="3"/>
      <c r="AU5" s="3" t="s">
        <v>71</v>
      </c>
      <c r="AV5" s="1" t="s">
        <v>70</v>
      </c>
      <c r="AW5" s="3"/>
      <c r="AX5" s="3" t="s">
        <v>71</v>
      </c>
      <c r="AY5" s="1" t="s">
        <v>70</v>
      </c>
      <c r="AZ5" s="3"/>
      <c r="BA5" s="3" t="s">
        <v>71</v>
      </c>
      <c r="BB5" s="1" t="s">
        <v>70</v>
      </c>
      <c r="BC5" s="3"/>
      <c r="BD5" s="3" t="s">
        <v>71</v>
      </c>
      <c r="BE5" s="1" t="s">
        <v>70</v>
      </c>
      <c r="BF5" s="3"/>
      <c r="BG5" s="3" t="s">
        <v>71</v>
      </c>
      <c r="BH5" s="1" t="s">
        <v>70</v>
      </c>
      <c r="BI5" s="3"/>
      <c r="BJ5" s="3" t="s">
        <v>71</v>
      </c>
      <c r="BK5" s="1" t="s">
        <v>70</v>
      </c>
      <c r="BL5" s="3"/>
      <c r="BM5" s="3" t="s">
        <v>71</v>
      </c>
      <c r="BN5" s="1" t="s">
        <v>70</v>
      </c>
      <c r="BO5" s="3"/>
      <c r="BP5" s="3" t="s">
        <v>71</v>
      </c>
      <c r="BQ5" s="1" t="s">
        <v>70</v>
      </c>
      <c r="BR5" s="3"/>
      <c r="BS5" s="3" t="s">
        <v>71</v>
      </c>
      <c r="BT5" s="1" t="s">
        <v>70</v>
      </c>
      <c r="BU5" s="3"/>
      <c r="BV5" s="3" t="s">
        <v>71</v>
      </c>
      <c r="BW5" s="1" t="s">
        <v>70</v>
      </c>
      <c r="BX5" s="3"/>
      <c r="BY5" s="3" t="s">
        <v>71</v>
      </c>
      <c r="BZ5" s="1" t="s">
        <v>70</v>
      </c>
      <c r="CA5" s="3"/>
      <c r="CB5" s="3" t="s">
        <v>71</v>
      </c>
      <c r="CC5" s="1" t="s">
        <v>70</v>
      </c>
      <c r="CD5" s="3"/>
      <c r="CE5" s="3" t="s">
        <v>71</v>
      </c>
      <c r="CF5" s="1" t="s">
        <v>70</v>
      </c>
      <c r="CG5" s="3"/>
      <c r="CH5" s="3" t="s">
        <v>71</v>
      </c>
      <c r="CI5" s="1" t="s">
        <v>70</v>
      </c>
      <c r="CJ5" s="3"/>
      <c r="CK5" s="3" t="s">
        <v>71</v>
      </c>
      <c r="CL5" s="1" t="s">
        <v>70</v>
      </c>
      <c r="CM5" s="3"/>
      <c r="CN5" s="3" t="s">
        <v>71</v>
      </c>
      <c r="CO5" s="1" t="s">
        <v>70</v>
      </c>
      <c r="CP5" s="3"/>
      <c r="CQ5" s="3" t="s">
        <v>71</v>
      </c>
      <c r="CR5" s="1" t="s">
        <v>70</v>
      </c>
      <c r="CS5" s="3"/>
      <c r="CT5" s="3" t="s">
        <v>71</v>
      </c>
      <c r="CU5" s="1" t="s">
        <v>70</v>
      </c>
      <c r="CV5" s="3"/>
      <c r="CW5" s="3" t="s">
        <v>71</v>
      </c>
      <c r="CX5" s="1" t="s">
        <v>70</v>
      </c>
      <c r="CY5" s="3"/>
      <c r="CZ5" s="3" t="s">
        <v>71</v>
      </c>
    </row>
    <row r="6" spans="1:104" ht="11.25" hidden="1" customHeight="1">
      <c r="A6"/>
      <c r="D6"/>
      <c r="E6"/>
      <c r="G6"/>
      <c r="H6"/>
      <c r="I6"/>
      <c r="J6"/>
      <c r="K6" s="44"/>
      <c r="L6" s="2" t="s">
        <v>323</v>
      </c>
      <c r="M6" s="2"/>
      <c r="N6" s="2">
        <f>IF(ISNUMBER(DCOUNTA(査読範囲,L5,L5:L6)), DCOUNTA(査読範囲,L5,L5:L6), 0)</f>
        <v>0</v>
      </c>
      <c r="O6" s="2" t="s">
        <v>329</v>
      </c>
      <c r="P6" s="2"/>
      <c r="Q6" s="2">
        <f>IF(ISNUMBER(DCOUNTA(査読範囲,O5,O5:O6)), DCOUNTA(査読範囲,O5,O5:O6), 0)</f>
        <v>0</v>
      </c>
      <c r="R6" s="2" t="s">
        <v>333</v>
      </c>
      <c r="S6" s="2"/>
      <c r="T6" s="2">
        <f>IF(ISNUMBER(DCOUNTA(査読範囲,R5,R5:R6)), DCOUNTA(査読範囲,R5,R5:R6), 0)</f>
        <v>0</v>
      </c>
      <c r="U6" s="2" t="s">
        <v>202</v>
      </c>
      <c r="V6" s="2"/>
      <c r="W6" s="2">
        <f>IF(ISNUMBER(DCOUNTA(査読範囲,U5,U5:U6)), DCOUNTA(査読範囲,U5,U5:U6), 0)</f>
        <v>0</v>
      </c>
      <c r="X6" s="2" t="s">
        <v>209</v>
      </c>
      <c r="Y6" s="2"/>
      <c r="Z6" s="2">
        <f>IF(ISNUMBER(DCOUNTA(査読範囲,X5,X5:X6)), DCOUNTA(査読範囲,X5,X5:X6), 0)</f>
        <v>0</v>
      </c>
      <c r="AA6" s="2" t="s">
        <v>211</v>
      </c>
      <c r="AB6" s="2"/>
      <c r="AC6" s="2">
        <f>IF(ISNUMBER(DCOUNTA(査読範囲,AA5,AA5:AA6)), DCOUNTA(査読範囲,AA5,AA5:AA6), 0)</f>
        <v>0</v>
      </c>
      <c r="AD6" s="2" t="s">
        <v>226</v>
      </c>
      <c r="AE6" s="2"/>
      <c r="AF6" s="2">
        <f>IF(ISNUMBER(DCOUNTA(査読範囲,AD5,AD5:AD6)), DCOUNTA(査読範囲,AD5,AD5:AD6), 0)</f>
        <v>0</v>
      </c>
      <c r="AG6" s="2" t="s">
        <v>73</v>
      </c>
      <c r="AH6" s="2"/>
      <c r="AI6" s="2">
        <f>IF(ISNUMBER(DCOUNTA(査読範囲,AG5,AG5:AG6)), DCOUNTA(査読範囲,AG5,AG5:AG6), 0)</f>
        <v>0</v>
      </c>
      <c r="AJ6" s="2" t="s">
        <v>78</v>
      </c>
      <c r="AK6" s="2"/>
      <c r="AL6" s="2">
        <f>IF(ISNUMBER(DCOUNTA(査読範囲,AJ5,AJ5:AJ6)), DCOUNTA(査読範囲,AJ5,AJ5:AJ6), 0)</f>
        <v>0</v>
      </c>
      <c r="AM6" s="2" t="s">
        <v>82</v>
      </c>
      <c r="AN6" s="2"/>
      <c r="AO6" s="2">
        <f>IF(ISNUMBER(DCOUNTA(査読範囲,AM5,AM5:AM6)), DCOUNTA(査読範囲,AM5,AM5:AM6), 0)</f>
        <v>0</v>
      </c>
      <c r="AP6" s="2" t="s">
        <v>222</v>
      </c>
      <c r="AQ6" s="2"/>
      <c r="AR6" s="2">
        <f>IF(ISNUMBER(DCOUNTA(査読範囲,AP5,AP5:AP6)), DCOUNTA(査読範囲,AP5,AP5:AP6), 0)</f>
        <v>0</v>
      </c>
      <c r="AS6" s="2" t="s">
        <v>93</v>
      </c>
      <c r="AT6" s="2"/>
      <c r="AU6" s="2">
        <f>IF(ISNUMBER(DCOUNTA(査読範囲,AS5,AS5:AS6)), DCOUNTA(査読範囲,AS5,AS5:AS6), 0)</f>
        <v>0</v>
      </c>
      <c r="AV6" s="2" t="s">
        <v>94</v>
      </c>
      <c r="AW6" s="2"/>
      <c r="AX6" s="2">
        <f>IF(ISNUMBER(DCOUNTA(査読範囲,AV5,AV5:AV6)), DCOUNTA(査読範囲,AV5,AV5:AV6), 0)</f>
        <v>0</v>
      </c>
      <c r="AY6" s="2" t="s">
        <v>95</v>
      </c>
      <c r="AZ6" s="2"/>
      <c r="BA6" s="2">
        <f>IF(ISNUMBER(DCOUNTA(査読範囲,AY5,AY5:AY6)), DCOUNTA(査読範囲,AY5,AY5:AY6), 0)</f>
        <v>0</v>
      </c>
      <c r="BB6" s="2" t="s">
        <v>223</v>
      </c>
      <c r="BC6" s="2"/>
      <c r="BD6" s="2">
        <f>IF(ISNUMBER(DCOUNTA(査読範囲,BB5,BB5:BB6)), DCOUNTA(査読範囲,BB5,BB5:BB6), 0)</f>
        <v>0</v>
      </c>
      <c r="BE6" s="2" t="s">
        <v>99</v>
      </c>
      <c r="BF6" s="2"/>
      <c r="BG6" s="2">
        <f>IF(ISNUMBER(DCOUNTA(査読範囲,BE5,BE5:BE6)), DCOUNTA(査読範囲,BE5,BE5:BE6), 0)</f>
        <v>0</v>
      </c>
      <c r="BH6" s="2" t="s">
        <v>100</v>
      </c>
      <c r="BI6" s="2"/>
      <c r="BJ6" s="2">
        <f>IF(ISNUMBER(DCOUNTA(査読範囲,BH5,BH5:BH6)), DCOUNTA(査読範囲,BH5,BH5:BH6), 0)</f>
        <v>0</v>
      </c>
      <c r="BK6" s="2" t="s">
        <v>101</v>
      </c>
      <c r="BL6" s="2"/>
      <c r="BM6" s="2">
        <f>IF(ISNUMBER(DCOUNTA(査読範囲,BK5,BK5:BK6)), DCOUNTA(査読範囲,BK5,BK5:BK6), 0)</f>
        <v>0</v>
      </c>
      <c r="BN6" s="2" t="s">
        <v>224</v>
      </c>
      <c r="BO6" s="2"/>
      <c r="BP6" s="2">
        <f>IF(ISNUMBER(DCOUNTA(査読範囲,BN5,BN5:BN6)), DCOUNTA(査読範囲,BN5,BN5:BN6), 0)</f>
        <v>0</v>
      </c>
      <c r="BQ6" s="2" t="s">
        <v>117</v>
      </c>
      <c r="BR6" s="2"/>
      <c r="BS6" s="2">
        <f>IF(ISNUMBER(DCOUNTA(査読範囲,BQ5,BQ5:BQ6)), DCOUNTA(査読範囲,BQ5,BQ5:BQ6), 0)</f>
        <v>0</v>
      </c>
      <c r="BT6" s="2" t="s">
        <v>118</v>
      </c>
      <c r="BU6" s="2"/>
      <c r="BV6" s="2">
        <f>IF(ISNUMBER(DCOUNTA(査読範囲,BT5,BT5:BT6)), DCOUNTA(査読範囲,BT5,BT5:BT6), 0)</f>
        <v>0</v>
      </c>
      <c r="BW6" s="2" t="s">
        <v>119</v>
      </c>
      <c r="BX6" s="2"/>
      <c r="BY6" s="2">
        <f>IF(ISNUMBER(DCOUNTA(査読範囲,BW5,BW5:BW6)), DCOUNTA(査読範囲,BW5,BW5:BW6), 0)</f>
        <v>0</v>
      </c>
      <c r="BZ6" s="2" t="s">
        <v>225</v>
      </c>
      <c r="CA6" s="2"/>
      <c r="CB6" s="2">
        <f>IF(ISNUMBER(DCOUNTA(査読範囲,BZ5,BZ5:BZ6)), DCOUNTA(査読範囲,BZ5,BZ5:BZ6), 0)</f>
        <v>0</v>
      </c>
      <c r="CC6" s="2" t="s">
        <v>138</v>
      </c>
      <c r="CD6" s="2"/>
      <c r="CE6" s="2">
        <f>IF(ISNUMBER(DCOUNTA(査読範囲,CC5,CC5:CC6)), DCOUNTA(査読範囲,CC5,CC5:CC6), 0)</f>
        <v>0</v>
      </c>
      <c r="CF6" s="2" t="s">
        <v>139</v>
      </c>
      <c r="CG6" s="2"/>
      <c r="CH6" s="2">
        <f>IF(ISNUMBER(DCOUNTA(査読範囲,CF5,CF5:CF6)), DCOUNTA(査読範囲,CF5,CF5:CF6), 0)</f>
        <v>0</v>
      </c>
      <c r="CI6" s="2" t="s">
        <v>140</v>
      </c>
      <c r="CJ6" s="2"/>
      <c r="CK6" s="2">
        <f>IF(ISNUMBER(DCOUNTA(査読範囲,CI5,CI5:CI6)), DCOUNTA(査読範囲,CI5,CI5:CI6), 0)</f>
        <v>0</v>
      </c>
      <c r="CL6" s="2" t="s">
        <v>149</v>
      </c>
      <c r="CM6" s="2"/>
      <c r="CN6" s="2">
        <f>IF(ISNUMBER(DCOUNTA(査読範囲,CL5,CL5:CL6)), DCOUNTA(査読範囲,CL5,CL5:CL6), 0)</f>
        <v>0</v>
      </c>
      <c r="CO6" s="2" t="s">
        <v>243</v>
      </c>
      <c r="CP6" s="2"/>
      <c r="CQ6" s="2">
        <f>IF(ISNUMBER(DCOUNTA(査読範囲,CO5,CO5:CO6)), DCOUNTA(査読範囲,CO5,CO5:CO6), 0)</f>
        <v>0</v>
      </c>
      <c r="CR6" s="2" t="s">
        <v>342</v>
      </c>
      <c r="CS6" s="2"/>
      <c r="CT6" s="2">
        <f>IF(ISNUMBER(DCOUNTA(査読範囲,CR5,CR5:CR6)), DCOUNTA(査読範囲,CR5,CR5:CR6), 0)</f>
        <v>0</v>
      </c>
      <c r="CU6" s="2" t="s">
        <v>343</v>
      </c>
      <c r="CV6" s="2"/>
      <c r="CW6" s="2">
        <f>IF(ISNUMBER(DCOUNTA(査読範囲,CU5,CU5:CU6)), DCOUNTA(査読範囲,CU5,CU5:CU6), 0)</f>
        <v>0</v>
      </c>
      <c r="CX6" s="2" t="s">
        <v>349</v>
      </c>
      <c r="CY6" s="2"/>
      <c r="CZ6" s="2">
        <f>IF(ISNUMBER(DCOUNTA(査読範囲,CX5,CX5:CX6)), DCOUNTA(査読範囲,CX5,CX5:CX6), 0)</f>
        <v>0</v>
      </c>
    </row>
    <row r="7" spans="1:104" ht="11.25" hidden="1" customHeight="1">
      <c r="A7"/>
      <c r="D7"/>
      <c r="E7"/>
      <c r="G7"/>
      <c r="H7"/>
      <c r="I7"/>
      <c r="J7"/>
      <c r="K7" s="44"/>
      <c r="L7" s="1" t="s">
        <v>70</v>
      </c>
      <c r="M7" s="3"/>
      <c r="N7" s="3" t="s">
        <v>71</v>
      </c>
      <c r="O7" s="1" t="s">
        <v>70</v>
      </c>
      <c r="P7" s="3"/>
      <c r="Q7" s="3" t="s">
        <v>71</v>
      </c>
      <c r="R7" s="1" t="s">
        <v>70</v>
      </c>
      <c r="S7" s="3"/>
      <c r="T7" s="3" t="s">
        <v>71</v>
      </c>
      <c r="U7" s="1" t="s">
        <v>70</v>
      </c>
      <c r="V7" s="3"/>
      <c r="W7" s="3" t="s">
        <v>71</v>
      </c>
      <c r="X7" s="1" t="s">
        <v>70</v>
      </c>
      <c r="Y7" s="3"/>
      <c r="Z7" s="3" t="s">
        <v>71</v>
      </c>
      <c r="AA7" s="1" t="s">
        <v>70</v>
      </c>
      <c r="AB7" s="3"/>
      <c r="AC7" s="3" t="s">
        <v>71</v>
      </c>
      <c r="AD7" s="1" t="s">
        <v>70</v>
      </c>
      <c r="AE7" s="3"/>
      <c r="AF7" s="3" t="s">
        <v>71</v>
      </c>
      <c r="AG7" s="1" t="s">
        <v>70</v>
      </c>
      <c r="AH7" s="3"/>
      <c r="AI7" s="3" t="s">
        <v>71</v>
      </c>
      <c r="AJ7" s="1" t="s">
        <v>70</v>
      </c>
      <c r="AK7" s="3"/>
      <c r="AL7" s="3" t="s">
        <v>71</v>
      </c>
      <c r="AM7" s="1" t="s">
        <v>70</v>
      </c>
      <c r="AN7" s="3"/>
      <c r="AO7" s="3" t="s">
        <v>71</v>
      </c>
      <c r="AP7" s="1" t="s">
        <v>70</v>
      </c>
      <c r="AQ7" s="3"/>
      <c r="AR7" s="3" t="s">
        <v>71</v>
      </c>
      <c r="AS7" s="1" t="s">
        <v>70</v>
      </c>
      <c r="AT7" s="3"/>
      <c r="AU7" s="3" t="s">
        <v>71</v>
      </c>
      <c r="AV7" s="1" t="s">
        <v>70</v>
      </c>
      <c r="AW7" s="3"/>
      <c r="AX7" s="3" t="s">
        <v>71</v>
      </c>
      <c r="AY7" s="1" t="s">
        <v>70</v>
      </c>
      <c r="AZ7" s="3"/>
      <c r="BA7" s="3" t="s">
        <v>71</v>
      </c>
      <c r="BB7" s="1" t="s">
        <v>70</v>
      </c>
      <c r="BC7" s="3"/>
      <c r="BD7" s="3" t="s">
        <v>71</v>
      </c>
      <c r="BE7" s="1" t="s">
        <v>70</v>
      </c>
      <c r="BF7" s="3"/>
      <c r="BG7" s="3" t="s">
        <v>71</v>
      </c>
      <c r="BH7" s="1" t="s">
        <v>70</v>
      </c>
      <c r="BI7" s="3"/>
      <c r="BJ7" s="3" t="s">
        <v>71</v>
      </c>
      <c r="BK7" s="1" t="s">
        <v>70</v>
      </c>
      <c r="BL7" s="3"/>
      <c r="BM7" s="3" t="s">
        <v>71</v>
      </c>
      <c r="BN7" s="1" t="s">
        <v>70</v>
      </c>
      <c r="BO7" s="3"/>
      <c r="BP7" s="3" t="s">
        <v>71</v>
      </c>
      <c r="BQ7" s="1" t="s">
        <v>70</v>
      </c>
      <c r="BR7" s="3"/>
      <c r="BS7" s="3" t="s">
        <v>71</v>
      </c>
      <c r="BT7" s="1" t="s">
        <v>70</v>
      </c>
      <c r="BU7" s="3"/>
      <c r="BV7" s="3" t="s">
        <v>71</v>
      </c>
      <c r="BW7" s="1" t="s">
        <v>70</v>
      </c>
      <c r="BX7" s="3"/>
      <c r="BY7" s="3" t="s">
        <v>71</v>
      </c>
      <c r="BZ7" s="1" t="s">
        <v>70</v>
      </c>
      <c r="CA7" s="3"/>
      <c r="CB7" s="3" t="s">
        <v>71</v>
      </c>
      <c r="CC7" s="1" t="s">
        <v>70</v>
      </c>
      <c r="CD7" s="3"/>
      <c r="CE7" s="3" t="s">
        <v>71</v>
      </c>
      <c r="CF7" s="1" t="s">
        <v>70</v>
      </c>
      <c r="CG7" s="3"/>
      <c r="CH7" s="3" t="s">
        <v>71</v>
      </c>
      <c r="CI7" s="1" t="s">
        <v>70</v>
      </c>
      <c r="CJ7" s="3"/>
      <c r="CK7" s="3" t="s">
        <v>71</v>
      </c>
      <c r="CL7" s="1" t="s">
        <v>70</v>
      </c>
      <c r="CM7" s="3"/>
      <c r="CN7" s="3" t="s">
        <v>71</v>
      </c>
      <c r="CO7" s="1" t="s">
        <v>70</v>
      </c>
      <c r="CP7" s="3"/>
      <c r="CQ7" s="3" t="s">
        <v>71</v>
      </c>
      <c r="CR7" s="1" t="s">
        <v>70</v>
      </c>
      <c r="CS7" s="3"/>
      <c r="CT7" s="3" t="s">
        <v>71</v>
      </c>
      <c r="CU7" s="1" t="s">
        <v>70</v>
      </c>
      <c r="CV7" s="3"/>
      <c r="CW7" s="3" t="s">
        <v>71</v>
      </c>
      <c r="CX7" s="1" t="s">
        <v>70</v>
      </c>
      <c r="CY7" s="3"/>
      <c r="CZ7" s="3" t="s">
        <v>71</v>
      </c>
    </row>
    <row r="8" spans="1:104" ht="11.25" hidden="1" customHeight="1">
      <c r="A8"/>
      <c r="D8"/>
      <c r="E8"/>
      <c r="G8"/>
      <c r="H8"/>
      <c r="I8"/>
      <c r="J8"/>
      <c r="K8" s="44"/>
      <c r="L8" s="2" t="s">
        <v>325</v>
      </c>
      <c r="M8" s="2"/>
      <c r="N8" s="2">
        <f>IF(ISNUMBER(DCOUNTA(査読範囲,L7,L7:L8)), DCOUNTA(査読範囲,L7,L7:L8), 0)</f>
        <v>0</v>
      </c>
      <c r="O8" s="2" t="s">
        <v>325</v>
      </c>
      <c r="P8" s="2"/>
      <c r="Q8" s="2">
        <f>IF(ISNUMBER(DCOUNTA(査読範囲,O7,O7:O8)), DCOUNTA(査読範囲,O7,O7:O8), 0)</f>
        <v>0</v>
      </c>
      <c r="R8" s="2" t="s">
        <v>334</v>
      </c>
      <c r="S8" s="2"/>
      <c r="T8" s="2">
        <f>IF(ISNUMBER(DCOUNTA(査読範囲,R7,R7:R8)), DCOUNTA(査読範囲,R7,R7:R8), 0)</f>
        <v>0</v>
      </c>
      <c r="U8" s="2" t="s">
        <v>204</v>
      </c>
      <c r="V8" s="2"/>
      <c r="W8" s="2">
        <f>IF(ISNUMBER(DCOUNTA(査読範囲,U7,U7:U8)), DCOUNTA(査読範囲,U7,U7:U8), 0)</f>
        <v>0</v>
      </c>
      <c r="X8" s="2" t="s">
        <v>207</v>
      </c>
      <c r="Y8" s="2"/>
      <c r="Z8" s="2">
        <f>IF(ISNUMBER(DCOUNTA(査読範囲,X7,X7:X8)), DCOUNTA(査読範囲,X7,X7:X8), 0)</f>
        <v>0</v>
      </c>
      <c r="AA8" s="2" t="s">
        <v>213</v>
      </c>
      <c r="AB8" s="2"/>
      <c r="AC8" s="2">
        <f>IF(ISNUMBER(DCOUNTA(査読範囲,AA7,AA7:AA8)), DCOUNTA(査読範囲,AA7,AA7:AA8), 0)</f>
        <v>0</v>
      </c>
      <c r="AD8" s="2" t="s">
        <v>231</v>
      </c>
      <c r="AE8" s="2"/>
      <c r="AF8" s="2">
        <f>IF(ISNUMBER(DCOUNTA(査読範囲,AD7,AD7:AD8)), DCOUNTA(査読範囲,AD7,AD7:AD8), 0)</f>
        <v>0</v>
      </c>
      <c r="AG8" s="2" t="s">
        <v>74</v>
      </c>
      <c r="AH8" s="2"/>
      <c r="AI8" s="2">
        <f>IF(ISNUMBER(DCOUNTA(査読範囲,AG7,AG7:AG8)), DCOUNTA(査読範囲,AG7,AG7:AG8), 0)</f>
        <v>0</v>
      </c>
      <c r="AJ8" s="2" t="s">
        <v>79</v>
      </c>
      <c r="AK8" s="2"/>
      <c r="AL8" s="2">
        <f>IF(ISNUMBER(DCOUNTA(査読範囲,AJ7,AJ7:AJ8)), DCOUNTA(査読範囲,AJ7,AJ7:AJ8), 0)</f>
        <v>0</v>
      </c>
      <c r="AM8" s="2" t="s">
        <v>83</v>
      </c>
      <c r="AN8" s="2"/>
      <c r="AO8" s="2">
        <f>IF(ISNUMBER(DCOUNTA(査読範囲,AM7,AM7:AM8)), DCOUNTA(査読範囲,AM7,AM7:AM8), 0)</f>
        <v>0</v>
      </c>
      <c r="AP8" s="2" t="s">
        <v>227</v>
      </c>
      <c r="AQ8" s="2"/>
      <c r="AR8" s="2">
        <f>IF(ISNUMBER(DCOUNTA(査読範囲,AP7,AP7:AP8)), DCOUNTA(査読範囲,AP7,AP7:AP8), 0)</f>
        <v>0</v>
      </c>
      <c r="AS8" s="2" t="s">
        <v>88</v>
      </c>
      <c r="AT8" s="2"/>
      <c r="AU8" s="2">
        <f>IF(ISNUMBER(DCOUNTA(査読範囲,AS7,AS7:AS8)), DCOUNTA(査読範囲,AS7,AS7:AS8), 0)</f>
        <v>0</v>
      </c>
      <c r="AV8" s="2" t="s">
        <v>91</v>
      </c>
      <c r="AW8" s="2"/>
      <c r="AX8" s="2">
        <f>IF(ISNUMBER(DCOUNTA(査読範囲,AV7,AV7:AV8)), DCOUNTA(査読範囲,AV7,AV7:AV8), 0)</f>
        <v>0</v>
      </c>
      <c r="AY8" s="2" t="s">
        <v>92</v>
      </c>
      <c r="AZ8" s="2"/>
      <c r="BA8" s="2">
        <f>IF(ISNUMBER(DCOUNTA(査読範囲,AY7,AY7:AY8)), DCOUNTA(査読範囲,AY7,AY7:AY8), 0)</f>
        <v>0</v>
      </c>
      <c r="BB8" s="2" t="s">
        <v>228</v>
      </c>
      <c r="BC8" s="2"/>
      <c r="BD8" s="2">
        <f>IF(ISNUMBER(DCOUNTA(査読範囲,BB7,BB7:BB8)), DCOUNTA(査読範囲,BB7,BB7:BB8), 0)</f>
        <v>0</v>
      </c>
      <c r="BE8" s="2" t="s">
        <v>108</v>
      </c>
      <c r="BF8" s="2"/>
      <c r="BG8" s="2">
        <f>IF(ISNUMBER(DCOUNTA(査読範囲,BE7,BE7:BE8)), DCOUNTA(査読範囲,BE7,BE7:BE8), 0)</f>
        <v>0</v>
      </c>
      <c r="BH8" s="2" t="s">
        <v>109</v>
      </c>
      <c r="BI8" s="2"/>
      <c r="BJ8" s="2">
        <f>IF(ISNUMBER(DCOUNTA(査読範囲,BH7,BH7:BH8)), DCOUNTA(査読範囲,BH7,BH7:BH8), 0)</f>
        <v>0</v>
      </c>
      <c r="BK8" s="2" t="s">
        <v>110</v>
      </c>
      <c r="BL8" s="2"/>
      <c r="BM8" s="2">
        <f>IF(ISNUMBER(DCOUNTA(査読範囲,BK7,BK7:BK8)), DCOUNTA(査読範囲,BK7,BK7:BK8), 0)</f>
        <v>0</v>
      </c>
      <c r="BN8" s="2" t="s">
        <v>229</v>
      </c>
      <c r="BO8" s="2"/>
      <c r="BP8" s="2">
        <f>IF(ISNUMBER(DCOUNTA(査読範囲,BN7,BN7:BN8)), DCOUNTA(査読範囲,BN7,BN7:BN8), 0)</f>
        <v>0</v>
      </c>
      <c r="BQ8" s="2" t="s">
        <v>129</v>
      </c>
      <c r="BR8" s="2"/>
      <c r="BS8" s="2">
        <f>IF(ISNUMBER(DCOUNTA(査読範囲,BQ7,BQ7:BQ8)), DCOUNTA(査読範囲,BQ7,BQ7:BQ8), 0)</f>
        <v>0</v>
      </c>
      <c r="BT8" s="2" t="s">
        <v>130</v>
      </c>
      <c r="BU8" s="2"/>
      <c r="BV8" s="2">
        <f>IF(ISNUMBER(DCOUNTA(査読範囲,BT7,BT7:BT8)), DCOUNTA(査読範囲,BT7,BT7:BT8), 0)</f>
        <v>0</v>
      </c>
      <c r="BW8" s="2" t="s">
        <v>131</v>
      </c>
      <c r="BX8" s="2"/>
      <c r="BY8" s="2">
        <f>IF(ISNUMBER(DCOUNTA(査読範囲,BW7,BW7:BW8)), DCOUNTA(査読範囲,BW7,BW7:BW8), 0)</f>
        <v>0</v>
      </c>
      <c r="BZ8" s="2" t="s">
        <v>230</v>
      </c>
      <c r="CA8" s="2"/>
      <c r="CB8" s="2">
        <f>IF(ISNUMBER(DCOUNTA(査読範囲,BZ7,BZ7:BZ8)), DCOUNTA(査読範囲,BZ7,BZ7:BZ8), 0)</f>
        <v>0</v>
      </c>
      <c r="CC8" s="2" t="s">
        <v>135</v>
      </c>
      <c r="CD8" s="2"/>
      <c r="CE8" s="2">
        <f>IF(ISNUMBER(DCOUNTA(査読範囲,CC7,CC7:CC8)), DCOUNTA(査読範囲,CC7,CC7:CC8), 0)</f>
        <v>0</v>
      </c>
      <c r="CF8" s="2" t="s">
        <v>136</v>
      </c>
      <c r="CG8" s="2"/>
      <c r="CH8" s="2">
        <f>IF(ISNUMBER(DCOUNTA(査読範囲,CF7,CF7:CF8)), DCOUNTA(査読範囲,CF7,CF7:CF8), 0)</f>
        <v>0</v>
      </c>
      <c r="CI8" s="2" t="s">
        <v>137</v>
      </c>
      <c r="CJ8" s="2"/>
      <c r="CK8" s="2">
        <f>IF(ISNUMBER(DCOUNTA(査読範囲,CI7,CI7:CI8)), DCOUNTA(査読範囲,CI7,CI7:CI8), 0)</f>
        <v>0</v>
      </c>
      <c r="CL8" s="2" t="s">
        <v>150</v>
      </c>
      <c r="CM8" s="2"/>
      <c r="CN8" s="2">
        <f>IF(ISNUMBER(DCOUNTA(査読範囲,CL7,CL7:CL8)), DCOUNTA(査読範囲,CL7,CL7:CL8), 0)</f>
        <v>0</v>
      </c>
      <c r="CO8" s="2" t="s">
        <v>244</v>
      </c>
      <c r="CP8" s="2"/>
      <c r="CQ8" s="2">
        <f>IF(ISNUMBER(DCOUNTA(査読範囲,CO7,CO7:CO8)), DCOUNTA(査読範囲,CO7,CO7:CO8), 0)</f>
        <v>0</v>
      </c>
      <c r="CR8" s="2" t="s">
        <v>341</v>
      </c>
      <c r="CS8" s="2"/>
      <c r="CT8" s="2">
        <f>IF(ISNUMBER(DCOUNTA(査読範囲,CR7,CR7:CR8)), DCOUNTA(査読範囲,CR7,CR7:CR8), 0)</f>
        <v>0</v>
      </c>
      <c r="CU8" s="2" t="s">
        <v>346</v>
      </c>
      <c r="CV8" s="2"/>
      <c r="CW8" s="2">
        <f>IF(ISNUMBER(DCOUNTA(査読範囲,CU7,CU7:CU8)), DCOUNTA(査読範囲,CU7,CU7:CU8), 0)</f>
        <v>0</v>
      </c>
      <c r="CX8" s="2" t="s">
        <v>348</v>
      </c>
      <c r="CY8" s="2"/>
      <c r="CZ8" s="2">
        <f>IF(ISNUMBER(DCOUNTA(査読範囲,CX7,CX7:CX8)), DCOUNTA(査読範囲,CX7,CX7:CX8), 0)</f>
        <v>0</v>
      </c>
    </row>
    <row r="9" spans="1:104" ht="11.25" hidden="1" customHeight="1">
      <c r="A9"/>
      <c r="D9"/>
      <c r="E9"/>
      <c r="G9"/>
      <c r="H9"/>
      <c r="I9"/>
      <c r="J9"/>
      <c r="K9" s="44"/>
      <c r="L9" s="1" t="s">
        <v>70</v>
      </c>
      <c r="M9" s="3"/>
      <c r="N9" s="3" t="s">
        <v>71</v>
      </c>
      <c r="O9" s="1" t="s">
        <v>70</v>
      </c>
      <c r="P9" s="3"/>
      <c r="Q9" s="3" t="s">
        <v>71</v>
      </c>
      <c r="R9" s="1" t="s">
        <v>70</v>
      </c>
      <c r="S9" s="3"/>
      <c r="T9" s="3" t="s">
        <v>71</v>
      </c>
      <c r="U9" s="1" t="s">
        <v>70</v>
      </c>
      <c r="V9" s="3"/>
      <c r="W9" s="3" t="s">
        <v>71</v>
      </c>
      <c r="X9" s="1" t="s">
        <v>70</v>
      </c>
      <c r="Y9" s="3"/>
      <c r="Z9" s="3" t="s">
        <v>71</v>
      </c>
      <c r="AA9" s="1" t="s">
        <v>70</v>
      </c>
      <c r="AB9" s="3"/>
      <c r="AC9" s="3" t="s">
        <v>71</v>
      </c>
      <c r="AD9" s="1" t="s">
        <v>70</v>
      </c>
      <c r="AE9" s="3"/>
      <c r="AF9" s="3" t="s">
        <v>71</v>
      </c>
      <c r="AG9" s="1" t="s">
        <v>70</v>
      </c>
      <c r="AH9" s="3"/>
      <c r="AI9" s="3" t="s">
        <v>71</v>
      </c>
      <c r="AJ9" s="1" t="s">
        <v>70</v>
      </c>
      <c r="AK9" s="3"/>
      <c r="AL9" s="3" t="s">
        <v>71</v>
      </c>
      <c r="AM9" s="1" t="s">
        <v>70</v>
      </c>
      <c r="AN9" s="3"/>
      <c r="AO9" s="3" t="s">
        <v>71</v>
      </c>
      <c r="AP9" s="1" t="s">
        <v>70</v>
      </c>
      <c r="AQ9" s="3"/>
      <c r="AR9" s="3" t="s">
        <v>71</v>
      </c>
      <c r="AS9" s="1" t="s">
        <v>70</v>
      </c>
      <c r="AT9" s="3"/>
      <c r="AU9" s="3" t="s">
        <v>71</v>
      </c>
      <c r="AV9" s="1" t="s">
        <v>70</v>
      </c>
      <c r="AW9" s="3"/>
      <c r="AX9" s="3" t="s">
        <v>71</v>
      </c>
      <c r="AY9" s="1" t="s">
        <v>70</v>
      </c>
      <c r="AZ9" s="3"/>
      <c r="BA9" s="3" t="s">
        <v>71</v>
      </c>
      <c r="BB9" s="1" t="s">
        <v>70</v>
      </c>
      <c r="BC9" s="3"/>
      <c r="BD9" s="3" t="s">
        <v>71</v>
      </c>
      <c r="BE9" s="1" t="s">
        <v>70</v>
      </c>
      <c r="BF9" s="3"/>
      <c r="BG9" s="3" t="s">
        <v>71</v>
      </c>
      <c r="BH9" s="1" t="s">
        <v>70</v>
      </c>
      <c r="BI9" s="3"/>
      <c r="BJ9" s="3" t="s">
        <v>71</v>
      </c>
      <c r="BK9" s="1" t="s">
        <v>70</v>
      </c>
      <c r="BL9" s="3"/>
      <c r="BM9" s="3" t="s">
        <v>71</v>
      </c>
      <c r="BN9" s="1" t="s">
        <v>70</v>
      </c>
      <c r="BO9" s="3"/>
      <c r="BP9" s="3" t="s">
        <v>71</v>
      </c>
      <c r="BQ9" s="1" t="s">
        <v>70</v>
      </c>
      <c r="BR9" s="3"/>
      <c r="BS9" s="3" t="s">
        <v>71</v>
      </c>
      <c r="BT9" s="1" t="s">
        <v>70</v>
      </c>
      <c r="BU9" s="3"/>
      <c r="BV9" s="3" t="s">
        <v>71</v>
      </c>
      <c r="BW9" s="1" t="s">
        <v>70</v>
      </c>
      <c r="BX9" s="3"/>
      <c r="BY9" s="3" t="s">
        <v>71</v>
      </c>
      <c r="BZ9" s="1" t="s">
        <v>70</v>
      </c>
      <c r="CA9" s="3"/>
      <c r="CB9" s="3" t="s">
        <v>71</v>
      </c>
      <c r="CC9" s="1" t="s">
        <v>70</v>
      </c>
      <c r="CD9" s="3"/>
      <c r="CE9" s="3" t="s">
        <v>71</v>
      </c>
      <c r="CF9" s="1" t="s">
        <v>70</v>
      </c>
      <c r="CG9" s="3"/>
      <c r="CH9" s="3" t="s">
        <v>71</v>
      </c>
      <c r="CI9" s="1" t="s">
        <v>70</v>
      </c>
      <c r="CJ9" s="3"/>
      <c r="CK9" s="3" t="s">
        <v>71</v>
      </c>
      <c r="CL9" s="1" t="s">
        <v>70</v>
      </c>
      <c r="CM9" s="3"/>
      <c r="CN9" s="3" t="s">
        <v>71</v>
      </c>
      <c r="CO9" s="1" t="s">
        <v>70</v>
      </c>
      <c r="CP9" s="3"/>
      <c r="CQ9" s="3" t="s">
        <v>71</v>
      </c>
      <c r="CR9" s="1" t="s">
        <v>70</v>
      </c>
      <c r="CS9" s="3"/>
      <c r="CT9" s="3" t="s">
        <v>71</v>
      </c>
      <c r="CU9" s="1" t="s">
        <v>70</v>
      </c>
      <c r="CV9" s="3"/>
      <c r="CW9" s="3" t="s">
        <v>71</v>
      </c>
      <c r="CX9" s="1" t="s">
        <v>70</v>
      </c>
      <c r="CY9" s="3"/>
      <c r="CZ9" s="3" t="s">
        <v>71</v>
      </c>
    </row>
    <row r="10" spans="1:104" ht="11.25" hidden="1" customHeight="1">
      <c r="A10"/>
      <c r="D10"/>
      <c r="E10"/>
      <c r="G10"/>
      <c r="H10"/>
      <c r="I10"/>
      <c r="J10"/>
      <c r="K10" s="44"/>
      <c r="L10" s="2" t="s">
        <v>324</v>
      </c>
      <c r="M10" s="2"/>
      <c r="N10" s="123"/>
      <c r="O10" s="2" t="s">
        <v>330</v>
      </c>
      <c r="P10" s="2"/>
      <c r="Q10" s="123"/>
      <c r="R10" s="2" t="s">
        <v>335</v>
      </c>
      <c r="S10" s="2"/>
      <c r="T10" s="123"/>
      <c r="U10" s="2" t="s">
        <v>203</v>
      </c>
      <c r="V10" s="2"/>
      <c r="W10" s="2">
        <f>IF(ISNUMBER(DCOUNTA(査読範囲,U9,U9:U10)), DCOUNTA(査読範囲,U9,U9:U10), 0)</f>
        <v>0</v>
      </c>
      <c r="X10" s="2" t="s">
        <v>210</v>
      </c>
      <c r="Y10" s="2"/>
      <c r="Z10" s="2">
        <f>IF(ISNUMBER(DCOUNTA(査読範囲,X9,X9:X10)), DCOUNTA(査読範囲,X9,X9:X10), 0)</f>
        <v>0</v>
      </c>
      <c r="AA10" s="2" t="s">
        <v>212</v>
      </c>
      <c r="AB10" s="2"/>
      <c r="AC10" s="2">
        <f>IF(ISNUMBER(DCOUNTA(査読範囲,AA9,AA9:AA10)), DCOUNTA(査読範囲,AA9,AA9:AA10), 0)</f>
        <v>0</v>
      </c>
      <c r="AD10" s="2" t="s">
        <v>236</v>
      </c>
      <c r="AE10" s="2"/>
      <c r="AF10" s="2">
        <f>IF(ISNUMBER(DCOUNTA(査読範囲,AD9,AD9:AD10)), DCOUNTA(査読範囲,AD9,AD9:AD10), 0)</f>
        <v>0</v>
      </c>
      <c r="AG10" s="2" t="s">
        <v>75</v>
      </c>
      <c r="AH10" s="2"/>
      <c r="AI10" s="2">
        <f>IF(ISNUMBER(DCOUNTA(査読範囲,AG9,AG9:AG10)), DCOUNTA(査読範囲,AG9,AG9:AG10), 0)</f>
        <v>0</v>
      </c>
      <c r="AJ10" s="2" t="s">
        <v>80</v>
      </c>
      <c r="AK10" s="2"/>
      <c r="AL10" s="2">
        <f>IF(ISNUMBER(DCOUNTA(査読範囲,AJ9,AJ9:AJ10)), DCOUNTA(査読範囲,AJ9,AJ9:AJ10), 0)</f>
        <v>0</v>
      </c>
      <c r="AM10" s="2" t="s">
        <v>84</v>
      </c>
      <c r="AN10" s="2"/>
      <c r="AO10" s="2">
        <f>IF(ISNUMBER(DCOUNTA(査読範囲,AM9,AM9:AM10)), DCOUNTA(査読範囲,AM9,AM9:AM10), 0)</f>
        <v>0</v>
      </c>
      <c r="AP10" s="2" t="s">
        <v>232</v>
      </c>
      <c r="AQ10" s="2"/>
      <c r="AR10" s="2">
        <f>IF(ISNUMBER(DCOUNTA(査読範囲,AP9,AP9:AP10)), DCOUNTA(査読範囲,AP9,AP9:AP10), 0)</f>
        <v>0</v>
      </c>
      <c r="AS10" s="2" t="s">
        <v>96</v>
      </c>
      <c r="AT10" s="2"/>
      <c r="AU10" s="2">
        <f>IF(ISNUMBER(DCOUNTA(査読範囲,AS9,AS9:AS10)), DCOUNTA(査読範囲,AS9,AS9:AS10), 0)</f>
        <v>0</v>
      </c>
      <c r="AV10" s="2" t="s">
        <v>97</v>
      </c>
      <c r="AW10" s="2"/>
      <c r="AX10" s="2">
        <f>IF(ISNUMBER(DCOUNTA(査読範囲,AV9,AV9:AV10)), DCOUNTA(査読範囲,AV9,AV9:AV10), 0)</f>
        <v>0</v>
      </c>
      <c r="AY10" s="2" t="s">
        <v>98</v>
      </c>
      <c r="AZ10" s="2"/>
      <c r="BA10" s="2">
        <f>IF(ISNUMBER(DCOUNTA(査読範囲,AY9,AY9:AY10)), DCOUNTA(査読範囲,AY9,AY9:AY10), 0)</f>
        <v>0</v>
      </c>
      <c r="BB10" s="2" t="s">
        <v>233</v>
      </c>
      <c r="BC10" s="2"/>
      <c r="BD10" s="2">
        <f>IF(ISNUMBER(DCOUNTA(査読範囲,BB9,BB9:BB10)), DCOUNTA(査読範囲,BB9,BB9:BB10), 0)</f>
        <v>0</v>
      </c>
      <c r="BE10" s="2" t="s">
        <v>102</v>
      </c>
      <c r="BF10" s="2"/>
      <c r="BG10" s="2">
        <f>IF(ISNUMBER(DCOUNTA(査読範囲,BE9,BE9:BE10)), DCOUNTA(査読範囲,BE9,BE9:BE10), 0)</f>
        <v>0</v>
      </c>
      <c r="BH10" s="2" t="s">
        <v>103</v>
      </c>
      <c r="BI10" s="2"/>
      <c r="BJ10" s="2">
        <f>IF(ISNUMBER(DCOUNTA(査読範囲,BH9,BH9:BH10)), DCOUNTA(査読範囲,BH9,BH9:BH10), 0)</f>
        <v>0</v>
      </c>
      <c r="BK10" s="2" t="s">
        <v>104</v>
      </c>
      <c r="BL10" s="2"/>
      <c r="BM10" s="2">
        <f>IF(ISNUMBER(DCOUNTA(査読範囲,BK9,BK9:BK10)), DCOUNTA(査読範囲,BK9,BK9:BK10), 0)</f>
        <v>0</v>
      </c>
      <c r="BN10" s="2" t="s">
        <v>234</v>
      </c>
      <c r="BO10" s="2"/>
      <c r="BP10" s="2">
        <f>IF(ISNUMBER(DCOUNTA(査読範囲,BN9,BN9:BN10)), DCOUNTA(査読範囲,BN9,BN9:BN10), 0)</f>
        <v>0</v>
      </c>
      <c r="BQ10" s="2" t="s">
        <v>120</v>
      </c>
      <c r="BR10" s="2"/>
      <c r="BS10" s="2">
        <f>IF(ISNUMBER(DCOUNTA(査読範囲,BQ9,BQ9:BQ10)), DCOUNTA(査読範囲,BQ9,BQ9:BQ10), 0)</f>
        <v>0</v>
      </c>
      <c r="BT10" s="2" t="s">
        <v>121</v>
      </c>
      <c r="BU10" s="2"/>
      <c r="BV10" s="48">
        <f>IF(ISNUMBER(DCOUNTA(査読範囲,BT9,BT9:BT10)), DCOUNTA(査読範囲,BT9,BT9:BT10), 0)</f>
        <v>0</v>
      </c>
      <c r="BW10" s="2" t="s">
        <v>122</v>
      </c>
      <c r="BX10" s="2"/>
      <c r="BY10" s="48">
        <f>IF(ISNUMBER(DCOUNTA(査読範囲,BW9,BW9:BW10)), DCOUNTA(査読範囲,BW9,BW9:BW10), 0)</f>
        <v>0</v>
      </c>
      <c r="BZ10" s="2" t="s">
        <v>235</v>
      </c>
      <c r="CA10" s="2"/>
      <c r="CB10" s="2">
        <f>IF(ISNUMBER(DCOUNTA(査読範囲,BZ9,BZ9:BZ10)), DCOUNTA(査読範囲,BZ9,BZ9:BZ10), 0)</f>
        <v>0</v>
      </c>
      <c r="CC10" s="2" t="s">
        <v>141</v>
      </c>
      <c r="CD10" s="2"/>
      <c r="CE10" s="2">
        <f>IF(ISNUMBER(DCOUNTA(査読範囲,CC9,CC9:CC10)), DCOUNTA(査読範囲,CC9,CC9:CC10), 0)</f>
        <v>0</v>
      </c>
      <c r="CF10" s="2" t="s">
        <v>142</v>
      </c>
      <c r="CG10" s="2"/>
      <c r="CH10" s="48">
        <f>IF(ISNUMBER(DCOUNTA(査読範囲,CF9,CF9:CF10)), DCOUNTA(査読範囲,CF9,CF9:CF10), 0)</f>
        <v>0</v>
      </c>
      <c r="CI10" s="2" t="s">
        <v>143</v>
      </c>
      <c r="CJ10" s="2"/>
      <c r="CK10" s="48">
        <f>IF(ISNUMBER(DCOUNTA(査読範囲,CI9,CI9:CI10)), DCOUNTA(査読範囲,CI9,CI9:CI10), 0)</f>
        <v>0</v>
      </c>
      <c r="CL10" s="2" t="s">
        <v>148</v>
      </c>
      <c r="CM10" s="2"/>
      <c r="CN10" s="2">
        <f>IF(ISNUMBER(DCOUNTA(査読範囲,CL9,CL9:CL10)), DCOUNTA(査読範囲,CL9,CL9:CL10), 0)</f>
        <v>0</v>
      </c>
      <c r="CO10" s="2" t="s">
        <v>245</v>
      </c>
      <c r="CP10" s="2"/>
      <c r="CQ10" s="2">
        <f>IF(ISNUMBER(DCOUNTA(査読範囲,CO9,CO9:CO10)), DCOUNTA(査読範囲,CO9,CO9:CO10), 0)</f>
        <v>0</v>
      </c>
      <c r="CR10" s="2" t="s">
        <v>339</v>
      </c>
      <c r="CS10" s="2"/>
      <c r="CT10" s="2">
        <f>IF(ISNUMBER(DCOUNTA(査読範囲,CR9,CR9:CR10)), DCOUNTA(査読範囲,CR9,CR9:CR10), 0)</f>
        <v>0</v>
      </c>
      <c r="CU10" s="2" t="s">
        <v>344</v>
      </c>
      <c r="CV10" s="2"/>
      <c r="CW10" s="48">
        <f>IF(ISNUMBER(DCOUNTA(査読範囲,CU9,CU9:CU10)), DCOUNTA(査読範囲,CU9,CU9:CU10), 0)</f>
        <v>0</v>
      </c>
      <c r="CX10" s="2" t="s">
        <v>350</v>
      </c>
      <c r="CY10" s="2"/>
      <c r="CZ10" s="2">
        <f>IF(ISNUMBER(DCOUNTA(査読範囲,CX9,CX9:CX10)), DCOUNTA(査読範囲,CX9,CX9:CX10), 0)</f>
        <v>0</v>
      </c>
    </row>
    <row r="11" spans="1:104" ht="11.25" hidden="1" customHeight="1">
      <c r="A11"/>
      <c r="D11"/>
      <c r="E11"/>
      <c r="G11"/>
      <c r="H11"/>
      <c r="I11"/>
      <c r="J11"/>
      <c r="K11" s="44"/>
      <c r="L11" s="2" t="s">
        <v>158</v>
      </c>
      <c r="M11" s="2"/>
      <c r="N11" s="3" t="s">
        <v>326</v>
      </c>
      <c r="O11" s="2"/>
      <c r="P11" s="2"/>
      <c r="Q11" s="3" t="s">
        <v>327</v>
      </c>
      <c r="R11" s="2"/>
      <c r="S11" s="2"/>
      <c r="T11" s="3" t="s">
        <v>328</v>
      </c>
      <c r="U11" s="2"/>
      <c r="V11" s="2"/>
      <c r="W11" s="3" t="s">
        <v>206</v>
      </c>
      <c r="X11" s="2"/>
      <c r="Y11" s="2"/>
      <c r="Z11" s="3" t="s">
        <v>216</v>
      </c>
      <c r="AA11" s="2"/>
      <c r="AB11" s="2"/>
      <c r="AC11" s="3" t="s">
        <v>215</v>
      </c>
      <c r="AD11" s="2"/>
      <c r="AE11" s="2"/>
      <c r="AF11" s="3" t="s">
        <v>238</v>
      </c>
      <c r="AG11" s="2" t="s">
        <v>158</v>
      </c>
      <c r="AH11" s="2"/>
      <c r="AI11" s="3" t="s">
        <v>76</v>
      </c>
      <c r="AJ11" s="2"/>
      <c r="AK11" s="2"/>
      <c r="AL11" s="3" t="s">
        <v>86</v>
      </c>
      <c r="AM11" s="2"/>
      <c r="AN11" s="2"/>
      <c r="AO11" s="3" t="s">
        <v>85</v>
      </c>
      <c r="AP11" s="2"/>
      <c r="AQ11" s="2"/>
      <c r="AR11" s="3" t="s">
        <v>237</v>
      </c>
      <c r="AS11" s="2"/>
      <c r="AT11" s="2"/>
      <c r="AU11" s="3" t="s">
        <v>113</v>
      </c>
      <c r="AV11" s="2"/>
      <c r="AW11" s="2"/>
      <c r="AX11" s="3" t="s">
        <v>111</v>
      </c>
      <c r="AY11" s="2"/>
      <c r="AZ11" s="2"/>
      <c r="BA11" s="3" t="s">
        <v>112</v>
      </c>
      <c r="BB11" s="2"/>
      <c r="BC11" s="2"/>
      <c r="BD11" s="3" t="s">
        <v>239</v>
      </c>
      <c r="BE11" s="2"/>
      <c r="BF11" s="2"/>
      <c r="BG11" s="3" t="s">
        <v>115</v>
      </c>
      <c r="BH11" s="2"/>
      <c r="BI11" s="2"/>
      <c r="BJ11" s="3" t="s">
        <v>116</v>
      </c>
      <c r="BK11" s="2"/>
      <c r="BL11" s="2"/>
      <c r="BM11" s="3" t="s">
        <v>114</v>
      </c>
      <c r="BN11" s="2"/>
      <c r="BO11" s="2"/>
      <c r="BP11" s="3" t="s">
        <v>240</v>
      </c>
      <c r="BQ11" s="2"/>
      <c r="BR11" s="2"/>
      <c r="BS11" s="3" t="s">
        <v>123</v>
      </c>
      <c r="BT11" s="2"/>
      <c r="BU11" s="2"/>
      <c r="BV11" s="3" t="s">
        <v>124</v>
      </c>
      <c r="BW11" s="2"/>
      <c r="BX11" s="2"/>
      <c r="BY11" s="3" t="s">
        <v>125</v>
      </c>
      <c r="BZ11" s="2"/>
      <c r="CA11" s="2"/>
      <c r="CB11" s="3" t="s">
        <v>241</v>
      </c>
      <c r="CC11" s="2"/>
      <c r="CD11" s="2"/>
      <c r="CE11" s="3" t="s">
        <v>144</v>
      </c>
      <c r="CF11" s="2"/>
      <c r="CG11" s="2"/>
      <c r="CH11" s="3" t="s">
        <v>145</v>
      </c>
      <c r="CI11" s="2"/>
      <c r="CJ11" s="2"/>
      <c r="CK11" s="3" t="s">
        <v>146</v>
      </c>
      <c r="CL11" s="2"/>
      <c r="CM11" s="2"/>
      <c r="CN11" s="3" t="s">
        <v>151</v>
      </c>
      <c r="CO11" s="2"/>
      <c r="CP11" s="2"/>
      <c r="CQ11" s="3" t="s">
        <v>246</v>
      </c>
      <c r="CR11" s="2"/>
      <c r="CS11" s="2"/>
      <c r="CT11" s="3" t="s">
        <v>336</v>
      </c>
      <c r="CU11" s="2"/>
      <c r="CV11" s="2"/>
      <c r="CW11" s="3" t="s">
        <v>337</v>
      </c>
      <c r="CX11" s="2"/>
      <c r="CY11" s="2"/>
      <c r="CZ11" s="3" t="s">
        <v>338</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282</v>
      </c>
      <c r="BN12" s="2"/>
      <c r="BO12" s="2"/>
      <c r="BP12" s="2">
        <f>SUBTOTAL(9,BP4:BP10)</f>
        <v>0</v>
      </c>
      <c r="BQ12" s="2"/>
      <c r="BR12" s="2"/>
      <c r="BS12" s="2">
        <f>SUBTOTAL(9,BS4:BS10)</f>
        <v>0</v>
      </c>
      <c r="BT12" s="2"/>
      <c r="BU12" s="2"/>
      <c r="BV12" s="2">
        <f>SUBTOTAL(9,BV4:BV10)</f>
        <v>0</v>
      </c>
      <c r="BW12" s="2"/>
      <c r="BX12" s="2"/>
      <c r="BY12" s="2" t="s">
        <v>282</v>
      </c>
      <c r="BZ12" s="2"/>
      <c r="CA12" s="2"/>
      <c r="CB12" s="2" t="s">
        <v>282</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61</v>
      </c>
      <c r="V16" s="3" t="s">
        <v>152</v>
      </c>
      <c r="W16" s="1" t="s">
        <v>70</v>
      </c>
      <c r="X16" s="3" t="s">
        <v>153</v>
      </c>
      <c r="Y16" s="3" t="s">
        <v>264</v>
      </c>
      <c r="Z16" s="3" t="s">
        <v>265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152</v>
      </c>
      <c r="W18" s="1" t="s">
        <v>70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152</v>
      </c>
      <c r="W20" s="1" t="s">
        <v>70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152</v>
      </c>
      <c r="W22" s="1" t="s">
        <v>70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152</v>
      </c>
      <c r="W24" s="1" t="s">
        <v>70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288</v>
      </c>
      <c r="D26"/>
      <c r="E26"/>
      <c r="G26"/>
      <c r="H26"/>
      <c r="I26"/>
      <c r="J26"/>
      <c r="K26" s="44"/>
      <c r="L26"/>
      <c r="M26"/>
      <c r="N26"/>
      <c r="O26"/>
      <c r="P26"/>
      <c r="Q26"/>
      <c r="R26"/>
      <c r="S26"/>
      <c r="T26"/>
      <c r="U26" s="2"/>
      <c r="V26" s="3" t="s">
        <v>152</v>
      </c>
      <c r="W26" s="1" t="s">
        <v>70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289</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301</v>
      </c>
      <c r="E31" s="118"/>
      <c r="F31" s="117"/>
      <c r="G31" s="119"/>
      <c r="H31" s="119"/>
    </row>
    <row r="32" spans="1:104" ht="6.75" customHeight="1" thickBot="1">
      <c r="C32" s="498"/>
      <c r="D32" s="499"/>
      <c r="E32" s="499"/>
      <c r="F32" s="499"/>
      <c r="G32" s="499"/>
      <c r="H32" s="119"/>
    </row>
    <row r="33" spans="1:24" ht="15.75" customHeight="1">
      <c r="A33" s="65" t="s">
        <v>357</v>
      </c>
      <c r="D33"/>
      <c r="E33"/>
      <c r="G33"/>
      <c r="H33"/>
      <c r="I33"/>
      <c r="J33" s="508" t="s">
        <v>64</v>
      </c>
      <c r="K33" s="509"/>
      <c r="L33" s="107"/>
      <c r="M33" s="107"/>
      <c r="N33" s="107"/>
      <c r="O33" s="107"/>
      <c r="P33" s="107"/>
      <c r="Q33" s="107"/>
      <c r="R33" s="107"/>
      <c r="S33" s="107"/>
      <c r="T33" s="107"/>
    </row>
    <row r="34" spans="1:24" ht="15" customHeight="1">
      <c r="A34" s="493"/>
      <c r="B34" s="507"/>
      <c r="C34" s="61" t="s">
        <v>290</v>
      </c>
      <c r="D34" s="49"/>
      <c r="E34" s="49"/>
      <c r="F34" s="2"/>
      <c r="G34" s="49"/>
      <c r="H34" s="49"/>
      <c r="I34" s="49"/>
      <c r="J34" s="501"/>
      <c r="K34" s="502"/>
      <c r="L34" s="63"/>
      <c r="M34" s="63"/>
      <c r="N34" s="63"/>
      <c r="O34" s="63"/>
      <c r="P34" s="63"/>
      <c r="Q34" s="63"/>
      <c r="R34" s="63"/>
      <c r="S34" s="63"/>
      <c r="T34" s="63"/>
    </row>
    <row r="35" spans="1:24" ht="14.25" customHeight="1" thickBot="1">
      <c r="A35" s="493"/>
      <c r="B35" s="494"/>
      <c r="C35" s="61" t="s">
        <v>358</v>
      </c>
      <c r="D35" s="49"/>
      <c r="E35" s="49"/>
      <c r="F35" s="12"/>
      <c r="G35" s="12"/>
      <c r="H35" s="12"/>
      <c r="I35" s="12"/>
      <c r="J35" s="503"/>
      <c r="K35" s="504"/>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0" t="s">
        <v>276</v>
      </c>
      <c r="B37" s="247"/>
      <c r="C37" s="495"/>
      <c r="D37" s="495"/>
      <c r="E37" s="495"/>
      <c r="F37" s="495"/>
      <c r="G37" s="487" t="s">
        <v>292</v>
      </c>
      <c r="H37" s="487"/>
      <c r="I37" s="488"/>
      <c r="J37" s="505">
        <v>5</v>
      </c>
      <c r="K37" s="506"/>
      <c r="L37" s="120"/>
      <c r="M37" s="120"/>
      <c r="N37" s="120"/>
      <c r="O37" s="120"/>
      <c r="P37" s="120"/>
      <c r="Q37" s="120"/>
      <c r="R37" s="120"/>
      <c r="S37" s="120"/>
      <c r="T37" s="120"/>
    </row>
    <row r="38" spans="1:24" ht="23.25" customHeight="1" thickBot="1">
      <c r="A38" s="491" t="s">
        <v>277</v>
      </c>
      <c r="B38" s="492"/>
      <c r="C38" s="500" t="s">
        <v>375</v>
      </c>
      <c r="D38" s="500"/>
      <c r="E38" s="500"/>
      <c r="F38" s="500"/>
      <c r="G38" s="489"/>
      <c r="H38" s="489"/>
      <c r="I38" s="488"/>
      <c r="J38" s="496"/>
      <c r="K38" s="497"/>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291</v>
      </c>
      <c r="J40" s="485" t="e">
        <f>IF(J37&lt;&gt;0,DCOUNTA(査読範囲,C43,C26:C27)/J37,IF(J38&lt;&gt;0,DCOUNTA(査読範囲,C43,C26:C27)/J38,0))</f>
        <v>#NAME?</v>
      </c>
      <c r="K40" s="486"/>
      <c r="L40" s="109"/>
      <c r="M40" s="109"/>
      <c r="N40" s="109"/>
      <c r="O40" s="109"/>
      <c r="P40" s="109"/>
      <c r="Q40" s="109"/>
      <c r="R40" s="109"/>
      <c r="S40" s="109"/>
      <c r="T40" s="109"/>
    </row>
    <row r="41" spans="1:24" ht="16.5" customHeight="1">
      <c r="A41" s="62"/>
      <c r="C41" s="50" t="s">
        <v>373</v>
      </c>
      <c r="D41" s="75">
        <v>1.5</v>
      </c>
      <c r="E41" s="124"/>
      <c r="F41" s="65" t="s">
        <v>359</v>
      </c>
      <c r="G41"/>
      <c r="H41"/>
      <c r="I41"/>
      <c r="J41"/>
      <c r="K41"/>
      <c r="L41"/>
      <c r="M41"/>
      <c r="N41"/>
      <c r="O41"/>
      <c r="P41"/>
      <c r="Q41"/>
      <c r="R41"/>
      <c r="S41"/>
      <c r="T41"/>
    </row>
    <row r="42" spans="1:24" ht="6" customHeight="1">
      <c r="F42" t="s">
        <v>285</v>
      </c>
    </row>
    <row r="43" spans="1:24" ht="20.25" customHeight="1">
      <c r="A43" s="122" t="s">
        <v>65</v>
      </c>
      <c r="B43" s="145" t="s">
        <v>66</v>
      </c>
      <c r="C43" s="122" t="s">
        <v>67</v>
      </c>
      <c r="D43" s="122" t="s">
        <v>152</v>
      </c>
      <c r="E43" s="125" t="s">
        <v>154</v>
      </c>
      <c r="F43" s="122" t="s">
        <v>68</v>
      </c>
      <c r="G43" s="122" t="s">
        <v>155</v>
      </c>
      <c r="H43" s="125" t="s">
        <v>156</v>
      </c>
      <c r="I43" s="122" t="s">
        <v>70</v>
      </c>
      <c r="J43" s="122" t="s">
        <v>352</v>
      </c>
      <c r="K43" s="122" t="s">
        <v>69</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315</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360</v>
      </c>
      <c r="D76" s="138"/>
      <c r="G76" s="138"/>
      <c r="J76" s="138"/>
    </row>
    <row r="77" spans="1:256">
      <c r="A77" s="46" t="s">
        <v>361</v>
      </c>
      <c r="D77" s="138"/>
      <c r="G77" s="138"/>
      <c r="J77" s="138"/>
    </row>
    <row r="78" spans="1:256">
      <c r="A78" s="46" t="s">
        <v>362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B31" zoomScale="130" zoomScaleNormal="100" zoomScaleSheetLayoutView="130" workbookViewId="0">
      <selection activeCell="F47" sqref="F47"/>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279</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70</v>
      </c>
      <c r="M3" s="3"/>
      <c r="N3" s="3" t="s">
        <v>71</v>
      </c>
      <c r="O3" s="1" t="s">
        <v>70</v>
      </c>
      <c r="P3" s="3"/>
      <c r="Q3" s="3" t="s">
        <v>71</v>
      </c>
      <c r="R3" s="1" t="s">
        <v>70</v>
      </c>
      <c r="S3" s="3"/>
      <c r="T3" s="3" t="s">
        <v>71</v>
      </c>
      <c r="U3" s="1" t="s">
        <v>70</v>
      </c>
      <c r="V3" s="3"/>
      <c r="W3" s="3" t="s">
        <v>71</v>
      </c>
      <c r="X3" s="1" t="s">
        <v>70</v>
      </c>
      <c r="Y3" s="3"/>
      <c r="Z3" s="3" t="s">
        <v>71</v>
      </c>
      <c r="AA3" s="1" t="s">
        <v>70</v>
      </c>
      <c r="AB3" s="3"/>
      <c r="AC3" s="3" t="s">
        <v>71</v>
      </c>
      <c r="AD3" s="1" t="s">
        <v>70</v>
      </c>
      <c r="AE3" s="3"/>
      <c r="AF3" s="3" t="s">
        <v>71</v>
      </c>
      <c r="AG3" s="1" t="s">
        <v>70</v>
      </c>
      <c r="AH3" s="3"/>
      <c r="AI3" s="3" t="s">
        <v>71</v>
      </c>
      <c r="AJ3" s="1" t="s">
        <v>70</v>
      </c>
      <c r="AK3" s="3"/>
      <c r="AL3" s="3" t="s">
        <v>71</v>
      </c>
      <c r="AM3" s="1" t="s">
        <v>70</v>
      </c>
      <c r="AN3" s="3"/>
      <c r="AO3" s="3" t="s">
        <v>71</v>
      </c>
      <c r="AP3" s="1" t="s">
        <v>70</v>
      </c>
      <c r="AQ3" s="3"/>
      <c r="AR3" s="3" t="s">
        <v>71</v>
      </c>
      <c r="AS3" s="1" t="s">
        <v>70</v>
      </c>
      <c r="AT3" s="3"/>
      <c r="AU3" s="3" t="s">
        <v>71</v>
      </c>
      <c r="AV3" s="1" t="s">
        <v>70</v>
      </c>
      <c r="AW3" s="3"/>
      <c r="AX3" s="3" t="s">
        <v>71</v>
      </c>
      <c r="AY3" s="1" t="s">
        <v>70</v>
      </c>
      <c r="AZ3" s="3"/>
      <c r="BA3" s="3" t="s">
        <v>71</v>
      </c>
      <c r="BB3" s="1" t="s">
        <v>70</v>
      </c>
      <c r="BC3" s="3"/>
      <c r="BD3" s="3" t="s">
        <v>71</v>
      </c>
      <c r="BE3" s="1" t="s">
        <v>70</v>
      </c>
      <c r="BF3" s="3"/>
      <c r="BG3" s="3" t="s">
        <v>71</v>
      </c>
      <c r="BH3" s="1" t="s">
        <v>70</v>
      </c>
      <c r="BI3" s="3"/>
      <c r="BJ3" s="3" t="s">
        <v>71</v>
      </c>
      <c r="BK3" s="1" t="s">
        <v>70</v>
      </c>
      <c r="BL3" s="3"/>
      <c r="BM3" s="3" t="s">
        <v>71</v>
      </c>
      <c r="BN3" s="1" t="s">
        <v>70</v>
      </c>
      <c r="BO3" s="3"/>
      <c r="BP3" s="3" t="s">
        <v>71</v>
      </c>
      <c r="BQ3" s="1" t="s">
        <v>70</v>
      </c>
      <c r="BR3" s="3"/>
      <c r="BS3" s="3" t="s">
        <v>71</v>
      </c>
      <c r="BT3" s="1" t="s">
        <v>70</v>
      </c>
      <c r="BU3" s="3"/>
      <c r="BV3" s="3" t="s">
        <v>71</v>
      </c>
      <c r="BW3" s="1" t="s">
        <v>70</v>
      </c>
      <c r="BX3" s="3"/>
      <c r="BY3" s="3" t="s">
        <v>71</v>
      </c>
      <c r="BZ3" s="1" t="s">
        <v>70</v>
      </c>
      <c r="CA3" s="3"/>
      <c r="CB3" s="3" t="s">
        <v>71</v>
      </c>
      <c r="CC3" s="1" t="s">
        <v>70</v>
      </c>
      <c r="CD3" s="3"/>
      <c r="CE3" s="3" t="s">
        <v>71</v>
      </c>
      <c r="CF3" s="1" t="s">
        <v>70</v>
      </c>
      <c r="CG3" s="3"/>
      <c r="CH3" s="3" t="s">
        <v>71</v>
      </c>
      <c r="CI3" s="1" t="s">
        <v>70</v>
      </c>
      <c r="CJ3" s="3"/>
      <c r="CK3" s="3" t="s">
        <v>71</v>
      </c>
      <c r="CL3" s="1" t="s">
        <v>70</v>
      </c>
      <c r="CM3" s="3"/>
      <c r="CN3" s="3" t="s">
        <v>71</v>
      </c>
      <c r="CO3" s="1" t="s">
        <v>70</v>
      </c>
      <c r="CP3" s="3"/>
      <c r="CQ3" s="3" t="s">
        <v>71</v>
      </c>
      <c r="CR3" s="1" t="s">
        <v>70</v>
      </c>
      <c r="CS3" s="3"/>
      <c r="CT3" s="3" t="s">
        <v>71</v>
      </c>
      <c r="CU3" s="1" t="s">
        <v>70</v>
      </c>
      <c r="CV3" s="3"/>
      <c r="CW3" s="3" t="s">
        <v>71</v>
      </c>
      <c r="CX3" s="1" t="s">
        <v>70</v>
      </c>
      <c r="CY3" s="3"/>
      <c r="CZ3" s="3" t="s">
        <v>71</v>
      </c>
    </row>
    <row r="4" spans="1:104" ht="11.25" hidden="1" customHeight="1">
      <c r="A4"/>
      <c r="D4"/>
      <c r="E4"/>
      <c r="G4"/>
      <c r="H4"/>
      <c r="I4"/>
      <c r="J4"/>
      <c r="K4" s="44"/>
      <c r="L4" s="2" t="s">
        <v>376</v>
      </c>
      <c r="M4" s="2"/>
      <c r="N4" s="2">
        <f>IF(ISNUMBER(DCOUNTA(査読範囲,L3,L3:L4)), DCOUNTA(査読範囲,L3,L3:L4), 0)</f>
        <v>0</v>
      </c>
      <c r="O4" s="2" t="s">
        <v>377</v>
      </c>
      <c r="P4" s="2"/>
      <c r="Q4" s="2">
        <f>IF(ISNUMBER(DCOUNTA(査読範囲,O3,O3:O4)), DCOUNTA(査読範囲,O3,O3:O4), 0)</f>
        <v>0</v>
      </c>
      <c r="R4" s="2" t="s">
        <v>378</v>
      </c>
      <c r="S4" s="2"/>
      <c r="T4" s="2">
        <f>IF(ISNUMBER(DCOUNTA(査読範囲,R3,R3:R4)), DCOUNTA(査読範囲,R3,R3:R4), 0)</f>
        <v>0</v>
      </c>
      <c r="U4" s="2" t="s">
        <v>205</v>
      </c>
      <c r="V4" s="2"/>
      <c r="W4" s="2">
        <f>IF(ISNUMBER(DCOUNTA(査読範囲,U3,U3:U4)), DCOUNTA(査読範囲,U3,U3:U4), 0)</f>
        <v>0</v>
      </c>
      <c r="X4" s="2" t="s">
        <v>208</v>
      </c>
      <c r="Y4" s="2"/>
      <c r="Z4" s="2">
        <f>IF(ISNUMBER(DCOUNTA(査読範囲,X3,X3:X4)), DCOUNTA(査読範囲,X3,X3:X4), 0)</f>
        <v>0</v>
      </c>
      <c r="AA4" s="2" t="s">
        <v>214</v>
      </c>
      <c r="AB4" s="2"/>
      <c r="AC4" s="2">
        <f>IF(ISNUMBER(DCOUNTA(査読範囲,AA3,AA3:AA4)), DCOUNTA(査読範囲,AA3,AA3:AA4), 0)</f>
        <v>0</v>
      </c>
      <c r="AD4" s="2" t="s">
        <v>221</v>
      </c>
      <c r="AE4" s="2"/>
      <c r="AF4" s="2">
        <f>IF(ISNUMBER(DCOUNTA(査読範囲,AD3,AD3:AD4)), DCOUNTA(査読範囲,AD3,AD3:AD4), 0)</f>
        <v>0</v>
      </c>
      <c r="AG4" s="2" t="s">
        <v>379</v>
      </c>
      <c r="AH4" s="2"/>
      <c r="AI4" s="2">
        <f>IF(ISNUMBER(DCOUNTA(査読範囲,AG3,AG3:AG4)), DCOUNTA(査読範囲,AG3,AG3:AG4), 0)</f>
        <v>0</v>
      </c>
      <c r="AJ4" s="2" t="s">
        <v>380</v>
      </c>
      <c r="AK4" s="2"/>
      <c r="AL4" s="2">
        <f>IF(ISNUMBER(DCOUNTA(査読範囲,AJ3,AJ3:AJ4)), DCOUNTA(査読範囲,AJ3,AJ3:AJ4), 0)</f>
        <v>0</v>
      </c>
      <c r="AM4" s="2" t="s">
        <v>381</v>
      </c>
      <c r="AN4" s="2"/>
      <c r="AO4" s="2">
        <f>IF(ISNUMBER(DCOUNTA(査読範囲,AM3,AM3:AM4)), DCOUNTA(査読範囲,AM3,AM3:AM4), 0)</f>
        <v>0</v>
      </c>
      <c r="AP4" s="2" t="s">
        <v>217</v>
      </c>
      <c r="AQ4" s="2"/>
      <c r="AR4" s="2">
        <f>IF(ISNUMBER(DCOUNTA(査読範囲,AP3,AP3:AP4)), DCOUNTA(査読範囲,AP3,AP3:AP4), 0)</f>
        <v>0</v>
      </c>
      <c r="AS4" s="2" t="s">
        <v>87</v>
      </c>
      <c r="AT4" s="2"/>
      <c r="AU4" s="2">
        <f>IF(ISNUMBER(DCOUNTA(査読範囲,AS3,AS3:AS4)), DCOUNTA(査読範囲,AS3,AS3:AS4), 0)</f>
        <v>0</v>
      </c>
      <c r="AV4" s="2" t="s">
        <v>89</v>
      </c>
      <c r="AW4" s="2"/>
      <c r="AX4" s="2">
        <f>IF(ISNUMBER(DCOUNTA(査読範囲,AV3,AV3:AV4)), DCOUNTA(査読範囲,AV3,AV3:AV4), 0)</f>
        <v>0</v>
      </c>
      <c r="AY4" s="2" t="s">
        <v>90</v>
      </c>
      <c r="AZ4" s="2"/>
      <c r="BA4" s="2">
        <f>IF(ISNUMBER(DCOUNTA(査読範囲,AY3,AY3:AY4)), DCOUNTA(査読範囲,AY3,AY3:AY4), 0)</f>
        <v>0</v>
      </c>
      <c r="BB4" s="2" t="s">
        <v>218</v>
      </c>
      <c r="BC4" s="2"/>
      <c r="BD4" s="2">
        <f>IF(ISNUMBER(DCOUNTA(査読範囲,BB3,BB3:BB4)), DCOUNTA(査読範囲,BB3,BB3:BB4), 0)</f>
        <v>0</v>
      </c>
      <c r="BE4" s="2" t="s">
        <v>105</v>
      </c>
      <c r="BF4" s="2"/>
      <c r="BG4" s="2">
        <f>IF(ISNUMBER(DCOUNTA(査読範囲,BE3,BE3:BE4)), DCOUNTA(査読範囲,BE3,BE3:BE4), 0)</f>
        <v>0</v>
      </c>
      <c r="BH4" s="2" t="s">
        <v>106</v>
      </c>
      <c r="BI4" s="2"/>
      <c r="BJ4" s="2">
        <f>IF(ISNUMBER(DCOUNTA(査読範囲,BH3,BH3:BH4)), DCOUNTA(査読範囲,BH3,BH3:BH4), 0)</f>
        <v>0</v>
      </c>
      <c r="BK4" s="2" t="s">
        <v>107</v>
      </c>
      <c r="BL4" s="2"/>
      <c r="BM4" s="2">
        <f>IF(ISNUMBER(DCOUNTA(査読範囲,BK3,BK3:BK4)), DCOUNTA(査読範囲,BK3,BK3:BK4), 0)</f>
        <v>0</v>
      </c>
      <c r="BN4" s="2" t="s">
        <v>219</v>
      </c>
      <c r="BO4" s="2"/>
      <c r="BP4" s="2">
        <f>IF(ISNUMBER(DCOUNTA(査読範囲,BN3,BN3:BN4)), DCOUNTA(査読範囲,BN3,BN3:BN4), 0)</f>
        <v>0</v>
      </c>
      <c r="BQ4" s="2" t="s">
        <v>126</v>
      </c>
      <c r="BR4" s="2"/>
      <c r="BS4" s="2">
        <f>IF(ISNUMBER(DCOUNTA(査読範囲,BQ3,BQ3:BQ4)), DCOUNTA(査読範囲,BQ3,BQ3:BQ4), 0)</f>
        <v>0</v>
      </c>
      <c r="BT4" s="2" t="s">
        <v>127</v>
      </c>
      <c r="BU4" s="2"/>
      <c r="BV4" s="2">
        <f>IF(ISNUMBER(DCOUNTA(査読範囲,BT3,BT3:BT4)), DCOUNTA(査読範囲,BT3,BT3:BT4), 0)</f>
        <v>0</v>
      </c>
      <c r="BW4" s="2" t="s">
        <v>128</v>
      </c>
      <c r="BX4" s="2"/>
      <c r="BY4" s="2">
        <f>IF(ISNUMBER(DCOUNTA(査読範囲,BW3,BW3:BW4)), DCOUNTA(査読範囲,BW3,BW3:BW4), 0)</f>
        <v>0</v>
      </c>
      <c r="BZ4" s="2" t="s">
        <v>220</v>
      </c>
      <c r="CA4" s="2"/>
      <c r="CB4" s="2">
        <f>IF(ISNUMBER(DCOUNTA(査読範囲,BZ3,BZ3:BZ4)), DCOUNTA(査読範囲,BZ3,BZ3:BZ4), 0)</f>
        <v>0</v>
      </c>
      <c r="CC4" s="2" t="s">
        <v>132</v>
      </c>
      <c r="CD4" s="2"/>
      <c r="CE4" s="2">
        <f>IF(ISNUMBER(DCOUNTA(査読範囲,CC3,CC3:CC4)), DCOUNTA(査読範囲,CC3,CC3:CC4), 0)</f>
        <v>0</v>
      </c>
      <c r="CF4" s="2" t="s">
        <v>133</v>
      </c>
      <c r="CG4" s="2"/>
      <c r="CH4" s="2">
        <f>IF(ISNUMBER(DCOUNTA(査読範囲,CF3,CF3:CF4)), DCOUNTA(査読範囲,CF3,CF3:CF4), 0)</f>
        <v>0</v>
      </c>
      <c r="CI4" s="2" t="s">
        <v>134</v>
      </c>
      <c r="CJ4" s="2"/>
      <c r="CK4" s="2">
        <f>IF(ISNUMBER(DCOUNTA(査読範囲,CI3,CI3:CI4)), DCOUNTA(査読範囲,CI3,CI3:CI4), 0)</f>
        <v>0</v>
      </c>
      <c r="CL4" s="2" t="s">
        <v>147</v>
      </c>
      <c r="CM4" s="2"/>
      <c r="CN4" s="2">
        <f>IF(ISNUMBER(DCOUNTA(査読範囲,CL3,CL3:CL4)), DCOUNTA(査読範囲,CL3,CL3:CL4), 0)</f>
        <v>0</v>
      </c>
      <c r="CO4" s="2" t="s">
        <v>382</v>
      </c>
      <c r="CP4" s="2"/>
      <c r="CQ4" s="2">
        <f>IF(ISNUMBER(DCOUNTA(査読範囲,CO3,CO3:CO4)), DCOUNTA(査読範囲,CO3,CO3:CO4), 0)</f>
        <v>0</v>
      </c>
      <c r="CR4" s="2" t="s">
        <v>383</v>
      </c>
      <c r="CS4" s="2"/>
      <c r="CT4" s="2">
        <f>IF(ISNUMBER(DCOUNTA(査読範囲,CR3,CR3:CR4)), DCOUNTA(査読範囲,CR3,CR3:CR4), 0)</f>
        <v>0</v>
      </c>
      <c r="CU4" s="2" t="s">
        <v>384</v>
      </c>
      <c r="CV4" s="2"/>
      <c r="CW4" s="2">
        <f>IF(ISNUMBER(DCOUNTA(査読範囲,CU3,CU3:CU4)), DCOUNTA(査読範囲,CU3,CU3:CU4), 0)</f>
        <v>0</v>
      </c>
      <c r="CX4" s="2" t="s">
        <v>385</v>
      </c>
      <c r="CY4" s="2"/>
      <c r="CZ4" s="2">
        <f>IF(ISNUMBER(DCOUNTA(査読範囲,CX3,CX3:CX4)), DCOUNTA(査読範囲,CX3,CX3:CX4), 0)</f>
        <v>0</v>
      </c>
    </row>
    <row r="5" spans="1:104" ht="11.25" hidden="1" customHeight="1">
      <c r="A5"/>
      <c r="D5"/>
      <c r="E5"/>
      <c r="G5"/>
      <c r="H5"/>
      <c r="I5"/>
      <c r="J5"/>
      <c r="K5" s="44"/>
      <c r="L5" s="1" t="s">
        <v>70</v>
      </c>
      <c r="M5" s="3"/>
      <c r="N5" s="3" t="s">
        <v>71</v>
      </c>
      <c r="O5" s="1" t="s">
        <v>70</v>
      </c>
      <c r="P5" s="3"/>
      <c r="Q5" s="3" t="s">
        <v>71</v>
      </c>
      <c r="R5" s="1" t="s">
        <v>70</v>
      </c>
      <c r="S5" s="3"/>
      <c r="T5" s="3" t="s">
        <v>71</v>
      </c>
      <c r="U5" s="1" t="s">
        <v>70</v>
      </c>
      <c r="V5" s="3"/>
      <c r="W5" s="3" t="s">
        <v>71</v>
      </c>
      <c r="X5" s="1" t="s">
        <v>70</v>
      </c>
      <c r="Y5" s="3"/>
      <c r="Z5" s="3" t="s">
        <v>71</v>
      </c>
      <c r="AA5" s="1" t="s">
        <v>70</v>
      </c>
      <c r="AB5" s="3"/>
      <c r="AC5" s="3" t="s">
        <v>71</v>
      </c>
      <c r="AD5" s="1" t="s">
        <v>70</v>
      </c>
      <c r="AE5" s="3"/>
      <c r="AF5" s="3" t="s">
        <v>71</v>
      </c>
      <c r="AG5" s="1" t="s">
        <v>70</v>
      </c>
      <c r="AH5" s="3"/>
      <c r="AI5" s="3" t="s">
        <v>71</v>
      </c>
      <c r="AJ5" s="1" t="s">
        <v>70</v>
      </c>
      <c r="AK5" s="3"/>
      <c r="AL5" s="3" t="s">
        <v>71</v>
      </c>
      <c r="AM5" s="1" t="s">
        <v>70</v>
      </c>
      <c r="AN5" s="3"/>
      <c r="AO5" s="3" t="s">
        <v>71</v>
      </c>
      <c r="AP5" s="1" t="s">
        <v>70</v>
      </c>
      <c r="AQ5" s="3"/>
      <c r="AR5" s="3" t="s">
        <v>71</v>
      </c>
      <c r="AS5" s="1" t="s">
        <v>70</v>
      </c>
      <c r="AT5" s="3"/>
      <c r="AU5" s="3" t="s">
        <v>71</v>
      </c>
      <c r="AV5" s="1" t="s">
        <v>70</v>
      </c>
      <c r="AW5" s="3"/>
      <c r="AX5" s="3" t="s">
        <v>71</v>
      </c>
      <c r="AY5" s="1" t="s">
        <v>70</v>
      </c>
      <c r="AZ5" s="3"/>
      <c r="BA5" s="3" t="s">
        <v>71</v>
      </c>
      <c r="BB5" s="1" t="s">
        <v>70</v>
      </c>
      <c r="BC5" s="3"/>
      <c r="BD5" s="3" t="s">
        <v>71</v>
      </c>
      <c r="BE5" s="1" t="s">
        <v>70</v>
      </c>
      <c r="BF5" s="3"/>
      <c r="BG5" s="3" t="s">
        <v>71</v>
      </c>
      <c r="BH5" s="1" t="s">
        <v>70</v>
      </c>
      <c r="BI5" s="3"/>
      <c r="BJ5" s="3" t="s">
        <v>71</v>
      </c>
      <c r="BK5" s="1" t="s">
        <v>70</v>
      </c>
      <c r="BL5" s="3"/>
      <c r="BM5" s="3" t="s">
        <v>71</v>
      </c>
      <c r="BN5" s="1" t="s">
        <v>70</v>
      </c>
      <c r="BO5" s="3"/>
      <c r="BP5" s="3" t="s">
        <v>71</v>
      </c>
      <c r="BQ5" s="1" t="s">
        <v>70</v>
      </c>
      <c r="BR5" s="3"/>
      <c r="BS5" s="3" t="s">
        <v>71</v>
      </c>
      <c r="BT5" s="1" t="s">
        <v>70</v>
      </c>
      <c r="BU5" s="3"/>
      <c r="BV5" s="3" t="s">
        <v>71</v>
      </c>
      <c r="BW5" s="1" t="s">
        <v>70</v>
      </c>
      <c r="BX5" s="3"/>
      <c r="BY5" s="3" t="s">
        <v>71</v>
      </c>
      <c r="BZ5" s="1" t="s">
        <v>70</v>
      </c>
      <c r="CA5" s="3"/>
      <c r="CB5" s="3" t="s">
        <v>71</v>
      </c>
      <c r="CC5" s="1" t="s">
        <v>70</v>
      </c>
      <c r="CD5" s="3"/>
      <c r="CE5" s="3" t="s">
        <v>71</v>
      </c>
      <c r="CF5" s="1" t="s">
        <v>70</v>
      </c>
      <c r="CG5" s="3"/>
      <c r="CH5" s="3" t="s">
        <v>71</v>
      </c>
      <c r="CI5" s="1" t="s">
        <v>70</v>
      </c>
      <c r="CJ5" s="3"/>
      <c r="CK5" s="3" t="s">
        <v>71</v>
      </c>
      <c r="CL5" s="1" t="s">
        <v>70</v>
      </c>
      <c r="CM5" s="3"/>
      <c r="CN5" s="3" t="s">
        <v>71</v>
      </c>
      <c r="CO5" s="1" t="s">
        <v>70</v>
      </c>
      <c r="CP5" s="3"/>
      <c r="CQ5" s="3" t="s">
        <v>71</v>
      </c>
      <c r="CR5" s="1" t="s">
        <v>70</v>
      </c>
      <c r="CS5" s="3"/>
      <c r="CT5" s="3" t="s">
        <v>71</v>
      </c>
      <c r="CU5" s="1" t="s">
        <v>70</v>
      </c>
      <c r="CV5" s="3"/>
      <c r="CW5" s="3" t="s">
        <v>71</v>
      </c>
      <c r="CX5" s="1" t="s">
        <v>70</v>
      </c>
      <c r="CY5" s="3"/>
      <c r="CZ5" s="3" t="s">
        <v>71</v>
      </c>
    </row>
    <row r="6" spans="1:104" ht="11.25" hidden="1" customHeight="1">
      <c r="A6"/>
      <c r="D6"/>
      <c r="E6"/>
      <c r="G6"/>
      <c r="H6"/>
      <c r="I6"/>
      <c r="J6"/>
      <c r="K6" s="44"/>
      <c r="L6" s="2" t="s">
        <v>386</v>
      </c>
      <c r="M6" s="2"/>
      <c r="N6" s="2">
        <f>IF(ISNUMBER(DCOUNTA(査読範囲,L5,L5:L6)), DCOUNTA(査読範囲,L5,L5:L6), 0)</f>
        <v>0</v>
      </c>
      <c r="O6" s="2" t="s">
        <v>387</v>
      </c>
      <c r="P6" s="2"/>
      <c r="Q6" s="2">
        <f>IF(ISNUMBER(DCOUNTA(査読範囲,O5,O5:O6)), DCOUNTA(査読範囲,O5,O5:O6), 0)</f>
        <v>0</v>
      </c>
      <c r="R6" s="2" t="s">
        <v>388</v>
      </c>
      <c r="S6" s="2"/>
      <c r="T6" s="2">
        <f>IF(ISNUMBER(DCOUNTA(査読範囲,R5,R5:R6)), DCOUNTA(査読範囲,R5,R5:R6), 0)</f>
        <v>0</v>
      </c>
      <c r="U6" s="2" t="s">
        <v>202</v>
      </c>
      <c r="V6" s="2"/>
      <c r="W6" s="2">
        <f>IF(ISNUMBER(DCOUNTA(査読範囲,U5,U5:U6)), DCOUNTA(査読範囲,U5,U5:U6), 0)</f>
        <v>0</v>
      </c>
      <c r="X6" s="2" t="s">
        <v>209</v>
      </c>
      <c r="Y6" s="2"/>
      <c r="Z6" s="2">
        <f>IF(ISNUMBER(DCOUNTA(査読範囲,X5,X5:X6)), DCOUNTA(査読範囲,X5,X5:X6), 0)</f>
        <v>0</v>
      </c>
      <c r="AA6" s="2" t="s">
        <v>211</v>
      </c>
      <c r="AB6" s="2"/>
      <c r="AC6" s="2">
        <f>IF(ISNUMBER(DCOUNTA(査読範囲,AA5,AA5:AA6)), DCOUNTA(査読範囲,AA5,AA5:AA6), 0)</f>
        <v>0</v>
      </c>
      <c r="AD6" s="2" t="s">
        <v>226</v>
      </c>
      <c r="AE6" s="2"/>
      <c r="AF6" s="2">
        <f>IF(ISNUMBER(DCOUNTA(査読範囲,AD5,AD5:AD6)), DCOUNTA(査読範囲,AD5,AD5:AD6), 0)</f>
        <v>0</v>
      </c>
      <c r="AG6" s="2" t="s">
        <v>389</v>
      </c>
      <c r="AH6" s="2"/>
      <c r="AI6" s="2">
        <f>IF(ISNUMBER(DCOUNTA(査読範囲,AG5,AG5:AG6)), DCOUNTA(査読範囲,AG5,AG5:AG6), 0)</f>
        <v>0</v>
      </c>
      <c r="AJ6" s="2" t="s">
        <v>390</v>
      </c>
      <c r="AK6" s="2"/>
      <c r="AL6" s="2">
        <f>IF(ISNUMBER(DCOUNTA(査読範囲,AJ5,AJ5:AJ6)), DCOUNTA(査読範囲,AJ5,AJ5:AJ6), 0)</f>
        <v>0</v>
      </c>
      <c r="AM6" s="2" t="s">
        <v>391</v>
      </c>
      <c r="AN6" s="2"/>
      <c r="AO6" s="2">
        <f>IF(ISNUMBER(DCOUNTA(査読範囲,AM5,AM5:AM6)), DCOUNTA(査読範囲,AM5,AM5:AM6), 0)</f>
        <v>0</v>
      </c>
      <c r="AP6" s="2" t="s">
        <v>222</v>
      </c>
      <c r="AQ6" s="2"/>
      <c r="AR6" s="2">
        <f>IF(ISNUMBER(DCOUNTA(査読範囲,AP5,AP5:AP6)), DCOUNTA(査読範囲,AP5,AP5:AP6), 0)</f>
        <v>0</v>
      </c>
      <c r="AS6" s="2" t="s">
        <v>93</v>
      </c>
      <c r="AT6" s="2"/>
      <c r="AU6" s="2">
        <f>IF(ISNUMBER(DCOUNTA(査読範囲,AS5,AS5:AS6)), DCOUNTA(査読範囲,AS5,AS5:AS6), 0)</f>
        <v>0</v>
      </c>
      <c r="AV6" s="2" t="s">
        <v>94</v>
      </c>
      <c r="AW6" s="2"/>
      <c r="AX6" s="2">
        <f>IF(ISNUMBER(DCOUNTA(査読範囲,AV5,AV5:AV6)), DCOUNTA(査読範囲,AV5,AV5:AV6), 0)</f>
        <v>0</v>
      </c>
      <c r="AY6" s="2" t="s">
        <v>95</v>
      </c>
      <c r="AZ6" s="2"/>
      <c r="BA6" s="2">
        <f>IF(ISNUMBER(DCOUNTA(査読範囲,AY5,AY5:AY6)), DCOUNTA(査読範囲,AY5,AY5:AY6), 0)</f>
        <v>0</v>
      </c>
      <c r="BB6" s="2" t="s">
        <v>223</v>
      </c>
      <c r="BC6" s="2"/>
      <c r="BD6" s="2">
        <f>IF(ISNUMBER(DCOUNTA(査読範囲,BB5,BB5:BB6)), DCOUNTA(査読範囲,BB5,BB5:BB6), 0)</f>
        <v>0</v>
      </c>
      <c r="BE6" s="2" t="s">
        <v>99</v>
      </c>
      <c r="BF6" s="2"/>
      <c r="BG6" s="2">
        <f>IF(ISNUMBER(DCOUNTA(査読範囲,BE5,BE5:BE6)), DCOUNTA(査読範囲,BE5,BE5:BE6), 0)</f>
        <v>0</v>
      </c>
      <c r="BH6" s="2" t="s">
        <v>100</v>
      </c>
      <c r="BI6" s="2"/>
      <c r="BJ6" s="2">
        <f>IF(ISNUMBER(DCOUNTA(査読範囲,BH5,BH5:BH6)), DCOUNTA(査読範囲,BH5,BH5:BH6), 0)</f>
        <v>0</v>
      </c>
      <c r="BK6" s="2" t="s">
        <v>101</v>
      </c>
      <c r="BL6" s="2"/>
      <c r="BM6" s="2">
        <f>IF(ISNUMBER(DCOUNTA(査読範囲,BK5,BK5:BK6)), DCOUNTA(査読範囲,BK5,BK5:BK6), 0)</f>
        <v>0</v>
      </c>
      <c r="BN6" s="2" t="s">
        <v>224</v>
      </c>
      <c r="BO6" s="2"/>
      <c r="BP6" s="2">
        <f>IF(ISNUMBER(DCOUNTA(査読範囲,BN5,BN5:BN6)), DCOUNTA(査読範囲,BN5,BN5:BN6), 0)</f>
        <v>0</v>
      </c>
      <c r="BQ6" s="2" t="s">
        <v>117</v>
      </c>
      <c r="BR6" s="2"/>
      <c r="BS6" s="2">
        <f>IF(ISNUMBER(DCOUNTA(査読範囲,BQ5,BQ5:BQ6)), DCOUNTA(査読範囲,BQ5,BQ5:BQ6), 0)</f>
        <v>0</v>
      </c>
      <c r="BT6" s="2" t="s">
        <v>118</v>
      </c>
      <c r="BU6" s="2"/>
      <c r="BV6" s="2">
        <f>IF(ISNUMBER(DCOUNTA(査読範囲,BT5,BT5:BT6)), DCOUNTA(査読範囲,BT5,BT5:BT6), 0)</f>
        <v>0</v>
      </c>
      <c r="BW6" s="2" t="s">
        <v>119</v>
      </c>
      <c r="BX6" s="2"/>
      <c r="BY6" s="2">
        <f>IF(ISNUMBER(DCOUNTA(査読範囲,BW5,BW5:BW6)), DCOUNTA(査読範囲,BW5,BW5:BW6), 0)</f>
        <v>0</v>
      </c>
      <c r="BZ6" s="2" t="s">
        <v>225</v>
      </c>
      <c r="CA6" s="2"/>
      <c r="CB6" s="2">
        <f>IF(ISNUMBER(DCOUNTA(査読範囲,BZ5,BZ5:BZ6)), DCOUNTA(査読範囲,BZ5,BZ5:BZ6), 0)</f>
        <v>0</v>
      </c>
      <c r="CC6" s="2" t="s">
        <v>138</v>
      </c>
      <c r="CD6" s="2"/>
      <c r="CE6" s="2">
        <f>IF(ISNUMBER(DCOUNTA(査読範囲,CC5,CC5:CC6)), DCOUNTA(査読範囲,CC5,CC5:CC6), 0)</f>
        <v>0</v>
      </c>
      <c r="CF6" s="2" t="s">
        <v>139</v>
      </c>
      <c r="CG6" s="2"/>
      <c r="CH6" s="2">
        <f>IF(ISNUMBER(DCOUNTA(査読範囲,CF5,CF5:CF6)), DCOUNTA(査読範囲,CF5,CF5:CF6), 0)</f>
        <v>0</v>
      </c>
      <c r="CI6" s="2" t="s">
        <v>140</v>
      </c>
      <c r="CJ6" s="2"/>
      <c r="CK6" s="2">
        <f>IF(ISNUMBER(DCOUNTA(査読範囲,CI5,CI5:CI6)), DCOUNTA(査読範囲,CI5,CI5:CI6), 0)</f>
        <v>0</v>
      </c>
      <c r="CL6" s="2" t="s">
        <v>149</v>
      </c>
      <c r="CM6" s="2"/>
      <c r="CN6" s="2">
        <f>IF(ISNUMBER(DCOUNTA(査読範囲,CL5,CL5:CL6)), DCOUNTA(査読範囲,CL5,CL5:CL6), 0)</f>
        <v>0</v>
      </c>
      <c r="CO6" s="2" t="s">
        <v>392</v>
      </c>
      <c r="CP6" s="2"/>
      <c r="CQ6" s="2">
        <f>IF(ISNUMBER(DCOUNTA(査読範囲,CO5,CO5:CO6)), DCOUNTA(査読範囲,CO5,CO5:CO6), 0)</f>
        <v>0</v>
      </c>
      <c r="CR6" s="2" t="s">
        <v>393</v>
      </c>
      <c r="CS6" s="2"/>
      <c r="CT6" s="2">
        <f>IF(ISNUMBER(DCOUNTA(査読範囲,CR5,CR5:CR6)), DCOUNTA(査読範囲,CR5,CR5:CR6), 0)</f>
        <v>0</v>
      </c>
      <c r="CU6" s="2" t="s">
        <v>394</v>
      </c>
      <c r="CV6" s="2"/>
      <c r="CW6" s="2">
        <f>IF(ISNUMBER(DCOUNTA(査読範囲,CU5,CU5:CU6)), DCOUNTA(査読範囲,CU5,CU5:CU6), 0)</f>
        <v>0</v>
      </c>
      <c r="CX6" s="2" t="s">
        <v>395</v>
      </c>
      <c r="CY6" s="2"/>
      <c r="CZ6" s="2">
        <f>IF(ISNUMBER(DCOUNTA(査読範囲,CX5,CX5:CX6)), DCOUNTA(査読範囲,CX5,CX5:CX6), 0)</f>
        <v>0</v>
      </c>
    </row>
    <row r="7" spans="1:104" ht="11.25" hidden="1" customHeight="1">
      <c r="A7"/>
      <c r="D7"/>
      <c r="E7"/>
      <c r="G7"/>
      <c r="H7"/>
      <c r="I7"/>
      <c r="J7"/>
      <c r="K7" s="44"/>
      <c r="L7" s="1" t="s">
        <v>70</v>
      </c>
      <c r="M7" s="3"/>
      <c r="N7" s="3" t="s">
        <v>71</v>
      </c>
      <c r="O7" s="1" t="s">
        <v>70</v>
      </c>
      <c r="P7" s="3"/>
      <c r="Q7" s="3" t="s">
        <v>71</v>
      </c>
      <c r="R7" s="1" t="s">
        <v>70</v>
      </c>
      <c r="S7" s="3"/>
      <c r="T7" s="3" t="s">
        <v>71</v>
      </c>
      <c r="U7" s="1" t="s">
        <v>70</v>
      </c>
      <c r="V7" s="3"/>
      <c r="W7" s="3" t="s">
        <v>71</v>
      </c>
      <c r="X7" s="1" t="s">
        <v>70</v>
      </c>
      <c r="Y7" s="3"/>
      <c r="Z7" s="3" t="s">
        <v>71</v>
      </c>
      <c r="AA7" s="1" t="s">
        <v>70</v>
      </c>
      <c r="AB7" s="3"/>
      <c r="AC7" s="3" t="s">
        <v>71</v>
      </c>
      <c r="AD7" s="1" t="s">
        <v>70</v>
      </c>
      <c r="AE7" s="3"/>
      <c r="AF7" s="3" t="s">
        <v>71</v>
      </c>
      <c r="AG7" s="1" t="s">
        <v>70</v>
      </c>
      <c r="AH7" s="3"/>
      <c r="AI7" s="3" t="s">
        <v>71</v>
      </c>
      <c r="AJ7" s="1" t="s">
        <v>70</v>
      </c>
      <c r="AK7" s="3"/>
      <c r="AL7" s="3" t="s">
        <v>71</v>
      </c>
      <c r="AM7" s="1" t="s">
        <v>70</v>
      </c>
      <c r="AN7" s="3"/>
      <c r="AO7" s="3" t="s">
        <v>71</v>
      </c>
      <c r="AP7" s="1" t="s">
        <v>70</v>
      </c>
      <c r="AQ7" s="3"/>
      <c r="AR7" s="3" t="s">
        <v>71</v>
      </c>
      <c r="AS7" s="1" t="s">
        <v>70</v>
      </c>
      <c r="AT7" s="3"/>
      <c r="AU7" s="3" t="s">
        <v>71</v>
      </c>
      <c r="AV7" s="1" t="s">
        <v>70</v>
      </c>
      <c r="AW7" s="3"/>
      <c r="AX7" s="3" t="s">
        <v>71</v>
      </c>
      <c r="AY7" s="1" t="s">
        <v>70</v>
      </c>
      <c r="AZ7" s="3"/>
      <c r="BA7" s="3" t="s">
        <v>71</v>
      </c>
      <c r="BB7" s="1" t="s">
        <v>70</v>
      </c>
      <c r="BC7" s="3"/>
      <c r="BD7" s="3" t="s">
        <v>71</v>
      </c>
      <c r="BE7" s="1" t="s">
        <v>70</v>
      </c>
      <c r="BF7" s="3"/>
      <c r="BG7" s="3" t="s">
        <v>71</v>
      </c>
      <c r="BH7" s="1" t="s">
        <v>70</v>
      </c>
      <c r="BI7" s="3"/>
      <c r="BJ7" s="3" t="s">
        <v>71</v>
      </c>
      <c r="BK7" s="1" t="s">
        <v>70</v>
      </c>
      <c r="BL7" s="3"/>
      <c r="BM7" s="3" t="s">
        <v>71</v>
      </c>
      <c r="BN7" s="1" t="s">
        <v>70</v>
      </c>
      <c r="BO7" s="3"/>
      <c r="BP7" s="3" t="s">
        <v>71</v>
      </c>
      <c r="BQ7" s="1" t="s">
        <v>70</v>
      </c>
      <c r="BR7" s="3"/>
      <c r="BS7" s="3" t="s">
        <v>71</v>
      </c>
      <c r="BT7" s="1" t="s">
        <v>70</v>
      </c>
      <c r="BU7" s="3"/>
      <c r="BV7" s="3" t="s">
        <v>71</v>
      </c>
      <c r="BW7" s="1" t="s">
        <v>70</v>
      </c>
      <c r="BX7" s="3"/>
      <c r="BY7" s="3" t="s">
        <v>71</v>
      </c>
      <c r="BZ7" s="1" t="s">
        <v>70</v>
      </c>
      <c r="CA7" s="3"/>
      <c r="CB7" s="3" t="s">
        <v>71</v>
      </c>
      <c r="CC7" s="1" t="s">
        <v>70</v>
      </c>
      <c r="CD7" s="3"/>
      <c r="CE7" s="3" t="s">
        <v>71</v>
      </c>
      <c r="CF7" s="1" t="s">
        <v>70</v>
      </c>
      <c r="CG7" s="3"/>
      <c r="CH7" s="3" t="s">
        <v>71</v>
      </c>
      <c r="CI7" s="1" t="s">
        <v>70</v>
      </c>
      <c r="CJ7" s="3"/>
      <c r="CK7" s="3" t="s">
        <v>71</v>
      </c>
      <c r="CL7" s="1" t="s">
        <v>70</v>
      </c>
      <c r="CM7" s="3"/>
      <c r="CN7" s="3" t="s">
        <v>71</v>
      </c>
      <c r="CO7" s="1" t="s">
        <v>70</v>
      </c>
      <c r="CP7" s="3"/>
      <c r="CQ7" s="3" t="s">
        <v>71</v>
      </c>
      <c r="CR7" s="1" t="s">
        <v>70</v>
      </c>
      <c r="CS7" s="3"/>
      <c r="CT7" s="3" t="s">
        <v>71</v>
      </c>
      <c r="CU7" s="1" t="s">
        <v>70</v>
      </c>
      <c r="CV7" s="3"/>
      <c r="CW7" s="3" t="s">
        <v>71</v>
      </c>
      <c r="CX7" s="1" t="s">
        <v>70</v>
      </c>
      <c r="CY7" s="3"/>
      <c r="CZ7" s="3" t="s">
        <v>71</v>
      </c>
    </row>
    <row r="8" spans="1:104" ht="11.25" hidden="1" customHeight="1">
      <c r="A8"/>
      <c r="D8"/>
      <c r="E8"/>
      <c r="G8"/>
      <c r="H8"/>
      <c r="I8"/>
      <c r="J8"/>
      <c r="K8" s="44"/>
      <c r="L8" s="2" t="s">
        <v>396</v>
      </c>
      <c r="M8" s="2"/>
      <c r="N8" s="2">
        <f>IF(ISNUMBER(DCOUNTA(査読範囲,L7,L7:L8)), DCOUNTA(査読範囲,L7,L7:L8), 0)</f>
        <v>0</v>
      </c>
      <c r="O8" s="2" t="s">
        <v>396</v>
      </c>
      <c r="P8" s="2"/>
      <c r="Q8" s="2">
        <f>IF(ISNUMBER(DCOUNTA(査読範囲,O7,O7:O8)), DCOUNTA(査読範囲,O7,O7:O8), 0)</f>
        <v>0</v>
      </c>
      <c r="R8" s="2" t="s">
        <v>397</v>
      </c>
      <c r="S8" s="2"/>
      <c r="T8" s="2">
        <f>IF(ISNUMBER(DCOUNTA(査読範囲,R7,R7:R8)), DCOUNTA(査読範囲,R7,R7:R8), 0)</f>
        <v>0</v>
      </c>
      <c r="U8" s="2" t="s">
        <v>204</v>
      </c>
      <c r="V8" s="2"/>
      <c r="W8" s="2">
        <f>IF(ISNUMBER(DCOUNTA(査読範囲,U7,U7:U8)), DCOUNTA(査読範囲,U7,U7:U8), 0)</f>
        <v>0</v>
      </c>
      <c r="X8" s="2" t="s">
        <v>207</v>
      </c>
      <c r="Y8" s="2"/>
      <c r="Z8" s="2">
        <f>IF(ISNUMBER(DCOUNTA(査読範囲,X7,X7:X8)), DCOUNTA(査読範囲,X7,X7:X8), 0)</f>
        <v>0</v>
      </c>
      <c r="AA8" s="2" t="s">
        <v>213</v>
      </c>
      <c r="AB8" s="2"/>
      <c r="AC8" s="2">
        <f>IF(ISNUMBER(DCOUNTA(査読範囲,AA7,AA7:AA8)), DCOUNTA(査読範囲,AA7,AA7:AA8), 0)</f>
        <v>0</v>
      </c>
      <c r="AD8" s="2" t="s">
        <v>231</v>
      </c>
      <c r="AE8" s="2"/>
      <c r="AF8" s="2">
        <f>IF(ISNUMBER(DCOUNTA(査読範囲,AD7,AD7:AD8)), DCOUNTA(査読範囲,AD7,AD7:AD8), 0)</f>
        <v>0</v>
      </c>
      <c r="AG8" s="2" t="s">
        <v>398</v>
      </c>
      <c r="AH8" s="2"/>
      <c r="AI8" s="2">
        <f>IF(ISNUMBER(DCOUNTA(査読範囲,AG7,AG7:AG8)), DCOUNTA(査読範囲,AG7,AG7:AG8), 0)</f>
        <v>0</v>
      </c>
      <c r="AJ8" s="2" t="s">
        <v>399</v>
      </c>
      <c r="AK8" s="2"/>
      <c r="AL8" s="2">
        <f>IF(ISNUMBER(DCOUNTA(査読範囲,AJ7,AJ7:AJ8)), DCOUNTA(査読範囲,AJ7,AJ7:AJ8), 0)</f>
        <v>0</v>
      </c>
      <c r="AM8" s="2" t="s">
        <v>400</v>
      </c>
      <c r="AN8" s="2"/>
      <c r="AO8" s="2">
        <f>IF(ISNUMBER(DCOUNTA(査読範囲,AM7,AM7:AM8)), DCOUNTA(査読範囲,AM7,AM7:AM8), 0)</f>
        <v>0</v>
      </c>
      <c r="AP8" s="2" t="s">
        <v>227</v>
      </c>
      <c r="AQ8" s="2"/>
      <c r="AR8" s="2">
        <f>IF(ISNUMBER(DCOUNTA(査読範囲,AP7,AP7:AP8)), DCOUNTA(査読範囲,AP7,AP7:AP8), 0)</f>
        <v>0</v>
      </c>
      <c r="AS8" s="2" t="s">
        <v>88</v>
      </c>
      <c r="AT8" s="2"/>
      <c r="AU8" s="2">
        <f>IF(ISNUMBER(DCOUNTA(査読範囲,AS7,AS7:AS8)), DCOUNTA(査読範囲,AS7,AS7:AS8), 0)</f>
        <v>0</v>
      </c>
      <c r="AV8" s="2" t="s">
        <v>91</v>
      </c>
      <c r="AW8" s="2"/>
      <c r="AX8" s="2">
        <f>IF(ISNUMBER(DCOUNTA(査読範囲,AV7,AV7:AV8)), DCOUNTA(査読範囲,AV7,AV7:AV8), 0)</f>
        <v>0</v>
      </c>
      <c r="AY8" s="2" t="s">
        <v>92</v>
      </c>
      <c r="AZ8" s="2"/>
      <c r="BA8" s="2">
        <f>IF(ISNUMBER(DCOUNTA(査読範囲,AY7,AY7:AY8)), DCOUNTA(査読範囲,AY7,AY7:AY8), 0)</f>
        <v>0</v>
      </c>
      <c r="BB8" s="2" t="s">
        <v>228</v>
      </c>
      <c r="BC8" s="2"/>
      <c r="BD8" s="2">
        <f>IF(ISNUMBER(DCOUNTA(査読範囲,BB7,BB7:BB8)), DCOUNTA(査読範囲,BB7,BB7:BB8), 0)</f>
        <v>0</v>
      </c>
      <c r="BE8" s="2" t="s">
        <v>108</v>
      </c>
      <c r="BF8" s="2"/>
      <c r="BG8" s="2">
        <f>IF(ISNUMBER(DCOUNTA(査読範囲,BE7,BE7:BE8)), DCOUNTA(査読範囲,BE7,BE7:BE8), 0)</f>
        <v>0</v>
      </c>
      <c r="BH8" s="2" t="s">
        <v>109</v>
      </c>
      <c r="BI8" s="2"/>
      <c r="BJ8" s="2">
        <f>IF(ISNUMBER(DCOUNTA(査読範囲,BH7,BH7:BH8)), DCOUNTA(査読範囲,BH7,BH7:BH8), 0)</f>
        <v>0</v>
      </c>
      <c r="BK8" s="2" t="s">
        <v>110</v>
      </c>
      <c r="BL8" s="2"/>
      <c r="BM8" s="2">
        <f>IF(ISNUMBER(DCOUNTA(査読範囲,BK7,BK7:BK8)), DCOUNTA(査読範囲,BK7,BK7:BK8), 0)</f>
        <v>0</v>
      </c>
      <c r="BN8" s="2" t="s">
        <v>229</v>
      </c>
      <c r="BO8" s="2"/>
      <c r="BP8" s="2">
        <f>IF(ISNUMBER(DCOUNTA(査読範囲,BN7,BN7:BN8)), DCOUNTA(査読範囲,BN7,BN7:BN8), 0)</f>
        <v>0</v>
      </c>
      <c r="BQ8" s="2" t="s">
        <v>129</v>
      </c>
      <c r="BR8" s="2"/>
      <c r="BS8" s="2">
        <f>IF(ISNUMBER(DCOUNTA(査読範囲,BQ7,BQ7:BQ8)), DCOUNTA(査読範囲,BQ7,BQ7:BQ8), 0)</f>
        <v>0</v>
      </c>
      <c r="BT8" s="2" t="s">
        <v>130</v>
      </c>
      <c r="BU8" s="2"/>
      <c r="BV8" s="2">
        <f>IF(ISNUMBER(DCOUNTA(査読範囲,BT7,BT7:BT8)), DCOUNTA(査読範囲,BT7,BT7:BT8), 0)</f>
        <v>0</v>
      </c>
      <c r="BW8" s="2" t="s">
        <v>131</v>
      </c>
      <c r="BX8" s="2"/>
      <c r="BY8" s="2">
        <f>IF(ISNUMBER(DCOUNTA(査読範囲,BW7,BW7:BW8)), DCOUNTA(査読範囲,BW7,BW7:BW8), 0)</f>
        <v>0</v>
      </c>
      <c r="BZ8" s="2" t="s">
        <v>230</v>
      </c>
      <c r="CA8" s="2"/>
      <c r="CB8" s="2">
        <f>IF(ISNUMBER(DCOUNTA(査読範囲,BZ7,BZ7:BZ8)), DCOUNTA(査読範囲,BZ7,BZ7:BZ8), 0)</f>
        <v>0</v>
      </c>
      <c r="CC8" s="2" t="s">
        <v>135</v>
      </c>
      <c r="CD8" s="2"/>
      <c r="CE8" s="2">
        <f>IF(ISNUMBER(DCOUNTA(査読範囲,CC7,CC7:CC8)), DCOUNTA(査読範囲,CC7,CC7:CC8), 0)</f>
        <v>0</v>
      </c>
      <c r="CF8" s="2" t="s">
        <v>136</v>
      </c>
      <c r="CG8" s="2"/>
      <c r="CH8" s="2">
        <f>IF(ISNUMBER(DCOUNTA(査読範囲,CF7,CF7:CF8)), DCOUNTA(査読範囲,CF7,CF7:CF8), 0)</f>
        <v>0</v>
      </c>
      <c r="CI8" s="2" t="s">
        <v>137</v>
      </c>
      <c r="CJ8" s="2"/>
      <c r="CK8" s="2">
        <f>IF(ISNUMBER(DCOUNTA(査読範囲,CI7,CI7:CI8)), DCOUNTA(査読範囲,CI7,CI7:CI8), 0)</f>
        <v>0</v>
      </c>
      <c r="CL8" s="2" t="s">
        <v>150</v>
      </c>
      <c r="CM8" s="2"/>
      <c r="CN8" s="2">
        <f>IF(ISNUMBER(DCOUNTA(査読範囲,CL7,CL7:CL8)), DCOUNTA(査読範囲,CL7,CL7:CL8), 0)</f>
        <v>0</v>
      </c>
      <c r="CO8" s="2" t="s">
        <v>401</v>
      </c>
      <c r="CP8" s="2"/>
      <c r="CQ8" s="2">
        <f>IF(ISNUMBER(DCOUNTA(査読範囲,CO7,CO7:CO8)), DCOUNTA(査読範囲,CO7,CO7:CO8), 0)</f>
        <v>0</v>
      </c>
      <c r="CR8" s="2" t="s">
        <v>402</v>
      </c>
      <c r="CS8" s="2"/>
      <c r="CT8" s="2">
        <f>IF(ISNUMBER(DCOUNTA(査読範囲,CR7,CR7:CR8)), DCOUNTA(査読範囲,CR7,CR7:CR8), 0)</f>
        <v>0</v>
      </c>
      <c r="CU8" s="2" t="s">
        <v>403</v>
      </c>
      <c r="CV8" s="2"/>
      <c r="CW8" s="2">
        <f>IF(ISNUMBER(DCOUNTA(査読範囲,CU7,CU7:CU8)), DCOUNTA(査読範囲,CU7,CU7:CU8), 0)</f>
        <v>0</v>
      </c>
      <c r="CX8" s="2" t="s">
        <v>404</v>
      </c>
      <c r="CY8" s="2"/>
      <c r="CZ8" s="2">
        <f>IF(ISNUMBER(DCOUNTA(査読範囲,CX7,CX7:CX8)), DCOUNTA(査読範囲,CX7,CX7:CX8), 0)</f>
        <v>0</v>
      </c>
    </row>
    <row r="9" spans="1:104" ht="11.25" hidden="1" customHeight="1">
      <c r="A9"/>
      <c r="D9"/>
      <c r="E9"/>
      <c r="G9"/>
      <c r="H9"/>
      <c r="I9"/>
      <c r="J9"/>
      <c r="K9" s="44"/>
      <c r="L9" s="1" t="s">
        <v>70</v>
      </c>
      <c r="M9" s="3"/>
      <c r="N9" s="3" t="s">
        <v>71</v>
      </c>
      <c r="O9" s="1" t="s">
        <v>70</v>
      </c>
      <c r="P9" s="3"/>
      <c r="Q9" s="3" t="s">
        <v>71</v>
      </c>
      <c r="R9" s="1" t="s">
        <v>70</v>
      </c>
      <c r="S9" s="3"/>
      <c r="T9" s="3" t="s">
        <v>71</v>
      </c>
      <c r="U9" s="1" t="s">
        <v>70</v>
      </c>
      <c r="V9" s="3"/>
      <c r="W9" s="3" t="s">
        <v>71</v>
      </c>
      <c r="X9" s="1" t="s">
        <v>70</v>
      </c>
      <c r="Y9" s="3"/>
      <c r="Z9" s="3" t="s">
        <v>71</v>
      </c>
      <c r="AA9" s="1" t="s">
        <v>70</v>
      </c>
      <c r="AB9" s="3"/>
      <c r="AC9" s="3" t="s">
        <v>71</v>
      </c>
      <c r="AD9" s="1" t="s">
        <v>70</v>
      </c>
      <c r="AE9" s="3"/>
      <c r="AF9" s="3" t="s">
        <v>71</v>
      </c>
      <c r="AG9" s="1" t="s">
        <v>70</v>
      </c>
      <c r="AH9" s="3"/>
      <c r="AI9" s="3" t="s">
        <v>71</v>
      </c>
      <c r="AJ9" s="1" t="s">
        <v>70</v>
      </c>
      <c r="AK9" s="3"/>
      <c r="AL9" s="3" t="s">
        <v>71</v>
      </c>
      <c r="AM9" s="1" t="s">
        <v>70</v>
      </c>
      <c r="AN9" s="3"/>
      <c r="AO9" s="3" t="s">
        <v>71</v>
      </c>
      <c r="AP9" s="1" t="s">
        <v>70</v>
      </c>
      <c r="AQ9" s="3"/>
      <c r="AR9" s="3" t="s">
        <v>71</v>
      </c>
      <c r="AS9" s="1" t="s">
        <v>70</v>
      </c>
      <c r="AT9" s="3"/>
      <c r="AU9" s="3" t="s">
        <v>71</v>
      </c>
      <c r="AV9" s="1" t="s">
        <v>70</v>
      </c>
      <c r="AW9" s="3"/>
      <c r="AX9" s="3" t="s">
        <v>71</v>
      </c>
      <c r="AY9" s="1" t="s">
        <v>70</v>
      </c>
      <c r="AZ9" s="3"/>
      <c r="BA9" s="3" t="s">
        <v>71</v>
      </c>
      <c r="BB9" s="1" t="s">
        <v>70</v>
      </c>
      <c r="BC9" s="3"/>
      <c r="BD9" s="3" t="s">
        <v>71</v>
      </c>
      <c r="BE9" s="1" t="s">
        <v>70</v>
      </c>
      <c r="BF9" s="3"/>
      <c r="BG9" s="3" t="s">
        <v>71</v>
      </c>
      <c r="BH9" s="1" t="s">
        <v>70</v>
      </c>
      <c r="BI9" s="3"/>
      <c r="BJ9" s="3" t="s">
        <v>71</v>
      </c>
      <c r="BK9" s="1" t="s">
        <v>70</v>
      </c>
      <c r="BL9" s="3"/>
      <c r="BM9" s="3" t="s">
        <v>71</v>
      </c>
      <c r="BN9" s="1" t="s">
        <v>70</v>
      </c>
      <c r="BO9" s="3"/>
      <c r="BP9" s="3" t="s">
        <v>71</v>
      </c>
      <c r="BQ9" s="1" t="s">
        <v>70</v>
      </c>
      <c r="BR9" s="3"/>
      <c r="BS9" s="3" t="s">
        <v>71</v>
      </c>
      <c r="BT9" s="1" t="s">
        <v>70</v>
      </c>
      <c r="BU9" s="3"/>
      <c r="BV9" s="3" t="s">
        <v>71</v>
      </c>
      <c r="BW9" s="1" t="s">
        <v>70</v>
      </c>
      <c r="BX9" s="3"/>
      <c r="BY9" s="3" t="s">
        <v>71</v>
      </c>
      <c r="BZ9" s="1" t="s">
        <v>70</v>
      </c>
      <c r="CA9" s="3"/>
      <c r="CB9" s="3" t="s">
        <v>71</v>
      </c>
      <c r="CC9" s="1" t="s">
        <v>70</v>
      </c>
      <c r="CD9" s="3"/>
      <c r="CE9" s="3" t="s">
        <v>71</v>
      </c>
      <c r="CF9" s="1" t="s">
        <v>70</v>
      </c>
      <c r="CG9" s="3"/>
      <c r="CH9" s="3" t="s">
        <v>71</v>
      </c>
      <c r="CI9" s="1" t="s">
        <v>70</v>
      </c>
      <c r="CJ9" s="3"/>
      <c r="CK9" s="3" t="s">
        <v>71</v>
      </c>
      <c r="CL9" s="1" t="s">
        <v>70</v>
      </c>
      <c r="CM9" s="3"/>
      <c r="CN9" s="3" t="s">
        <v>71</v>
      </c>
      <c r="CO9" s="1" t="s">
        <v>70</v>
      </c>
      <c r="CP9" s="3"/>
      <c r="CQ9" s="3" t="s">
        <v>71</v>
      </c>
      <c r="CR9" s="1" t="s">
        <v>70</v>
      </c>
      <c r="CS9" s="3"/>
      <c r="CT9" s="3" t="s">
        <v>71</v>
      </c>
      <c r="CU9" s="1" t="s">
        <v>70</v>
      </c>
      <c r="CV9" s="3"/>
      <c r="CW9" s="3" t="s">
        <v>71</v>
      </c>
      <c r="CX9" s="1" t="s">
        <v>70</v>
      </c>
      <c r="CY9" s="3"/>
      <c r="CZ9" s="3" t="s">
        <v>71</v>
      </c>
    </row>
    <row r="10" spans="1:104" ht="11.25" hidden="1" customHeight="1">
      <c r="A10"/>
      <c r="D10"/>
      <c r="E10"/>
      <c r="G10"/>
      <c r="H10"/>
      <c r="I10"/>
      <c r="J10"/>
      <c r="K10" s="44"/>
      <c r="L10" s="2" t="s">
        <v>405</v>
      </c>
      <c r="M10" s="2"/>
      <c r="N10" s="123"/>
      <c r="O10" s="2" t="s">
        <v>406</v>
      </c>
      <c r="P10" s="2"/>
      <c r="Q10" s="123"/>
      <c r="R10" s="2" t="s">
        <v>407</v>
      </c>
      <c r="S10" s="2"/>
      <c r="T10" s="123"/>
      <c r="U10" s="2" t="s">
        <v>203</v>
      </c>
      <c r="V10" s="2"/>
      <c r="W10" s="2">
        <f>IF(ISNUMBER(DCOUNTA(査読範囲,U9,U9:U10)), DCOUNTA(査読範囲,U9,U9:U10), 0)</f>
        <v>0</v>
      </c>
      <c r="X10" s="2" t="s">
        <v>210</v>
      </c>
      <c r="Y10" s="2"/>
      <c r="Z10" s="2">
        <f>IF(ISNUMBER(DCOUNTA(査読範囲,X9,X9:X10)), DCOUNTA(査読範囲,X9,X9:X10), 0)</f>
        <v>0</v>
      </c>
      <c r="AA10" s="2" t="s">
        <v>212</v>
      </c>
      <c r="AB10" s="2"/>
      <c r="AC10" s="2">
        <f>IF(ISNUMBER(DCOUNTA(査読範囲,AA9,AA9:AA10)), DCOUNTA(査読範囲,AA9,AA9:AA10), 0)</f>
        <v>0</v>
      </c>
      <c r="AD10" s="2" t="s">
        <v>236</v>
      </c>
      <c r="AE10" s="2"/>
      <c r="AF10" s="2">
        <f>IF(ISNUMBER(DCOUNTA(査読範囲,AD9,AD9:AD10)), DCOUNTA(査読範囲,AD9,AD9:AD10), 0)</f>
        <v>0</v>
      </c>
      <c r="AG10" s="2" t="s">
        <v>408</v>
      </c>
      <c r="AH10" s="2"/>
      <c r="AI10" s="2">
        <f>IF(ISNUMBER(DCOUNTA(査読範囲,AG9,AG9:AG10)), DCOUNTA(査読範囲,AG9,AG9:AG10), 0)</f>
        <v>0</v>
      </c>
      <c r="AJ10" s="2" t="s">
        <v>409</v>
      </c>
      <c r="AK10" s="2"/>
      <c r="AL10" s="2">
        <f>IF(ISNUMBER(DCOUNTA(査読範囲,AJ9,AJ9:AJ10)), DCOUNTA(査読範囲,AJ9,AJ9:AJ10), 0)</f>
        <v>0</v>
      </c>
      <c r="AM10" s="2" t="s">
        <v>410</v>
      </c>
      <c r="AN10" s="2"/>
      <c r="AO10" s="2">
        <f>IF(ISNUMBER(DCOUNTA(査読範囲,AM9,AM9:AM10)), DCOUNTA(査読範囲,AM9,AM9:AM10), 0)</f>
        <v>0</v>
      </c>
      <c r="AP10" s="2" t="s">
        <v>232</v>
      </c>
      <c r="AQ10" s="2"/>
      <c r="AR10" s="2">
        <f>IF(ISNUMBER(DCOUNTA(査読範囲,AP9,AP9:AP10)), DCOUNTA(査読範囲,AP9,AP9:AP10), 0)</f>
        <v>0</v>
      </c>
      <c r="AS10" s="2" t="s">
        <v>96</v>
      </c>
      <c r="AT10" s="2"/>
      <c r="AU10" s="2">
        <f>IF(ISNUMBER(DCOUNTA(査読範囲,AS9,AS9:AS10)), DCOUNTA(査読範囲,AS9,AS9:AS10), 0)</f>
        <v>0</v>
      </c>
      <c r="AV10" s="2" t="s">
        <v>97</v>
      </c>
      <c r="AW10" s="2"/>
      <c r="AX10" s="2">
        <f>IF(ISNUMBER(DCOUNTA(査読範囲,AV9,AV9:AV10)), DCOUNTA(査読範囲,AV9,AV9:AV10), 0)</f>
        <v>0</v>
      </c>
      <c r="AY10" s="2" t="s">
        <v>98</v>
      </c>
      <c r="AZ10" s="2"/>
      <c r="BA10" s="2">
        <f>IF(ISNUMBER(DCOUNTA(査読範囲,AY9,AY9:AY10)), DCOUNTA(査読範囲,AY9,AY9:AY10), 0)</f>
        <v>0</v>
      </c>
      <c r="BB10" s="2" t="s">
        <v>233</v>
      </c>
      <c r="BC10" s="2"/>
      <c r="BD10" s="2">
        <f>IF(ISNUMBER(DCOUNTA(査読範囲,BB9,BB9:BB10)), DCOUNTA(査読範囲,BB9,BB9:BB10), 0)</f>
        <v>0</v>
      </c>
      <c r="BE10" s="2" t="s">
        <v>102</v>
      </c>
      <c r="BF10" s="2"/>
      <c r="BG10" s="2">
        <f>IF(ISNUMBER(DCOUNTA(査読範囲,BE9,BE9:BE10)), DCOUNTA(査読範囲,BE9,BE9:BE10), 0)</f>
        <v>0</v>
      </c>
      <c r="BH10" s="2" t="s">
        <v>103</v>
      </c>
      <c r="BI10" s="2"/>
      <c r="BJ10" s="2">
        <f>IF(ISNUMBER(DCOUNTA(査読範囲,BH9,BH9:BH10)), DCOUNTA(査読範囲,BH9,BH9:BH10), 0)</f>
        <v>0</v>
      </c>
      <c r="BK10" s="2" t="s">
        <v>104</v>
      </c>
      <c r="BL10" s="2"/>
      <c r="BM10" s="2">
        <f>IF(ISNUMBER(DCOUNTA(査読範囲,BK9,BK9:BK10)), DCOUNTA(査読範囲,BK9,BK9:BK10), 0)</f>
        <v>0</v>
      </c>
      <c r="BN10" s="2" t="s">
        <v>234</v>
      </c>
      <c r="BO10" s="2"/>
      <c r="BP10" s="2">
        <f>IF(ISNUMBER(DCOUNTA(査読範囲,BN9,BN9:BN10)), DCOUNTA(査読範囲,BN9,BN9:BN10), 0)</f>
        <v>0</v>
      </c>
      <c r="BQ10" s="2" t="s">
        <v>120</v>
      </c>
      <c r="BR10" s="2"/>
      <c r="BS10" s="2">
        <f>IF(ISNUMBER(DCOUNTA(査読範囲,BQ9,BQ9:BQ10)), DCOUNTA(査読範囲,BQ9,BQ9:BQ10), 0)</f>
        <v>0</v>
      </c>
      <c r="BT10" s="2" t="s">
        <v>121</v>
      </c>
      <c r="BU10" s="2"/>
      <c r="BV10" s="48">
        <f>IF(ISNUMBER(DCOUNTA(査読範囲,BT9,BT9:BT10)), DCOUNTA(査読範囲,BT9,BT9:BT10), 0)</f>
        <v>0</v>
      </c>
      <c r="BW10" s="2" t="s">
        <v>122</v>
      </c>
      <c r="BX10" s="2"/>
      <c r="BY10" s="48">
        <f>IF(ISNUMBER(DCOUNTA(査読範囲,BW9,BW9:BW10)), DCOUNTA(査読範囲,BW9,BW9:BW10), 0)</f>
        <v>0</v>
      </c>
      <c r="BZ10" s="2" t="s">
        <v>235</v>
      </c>
      <c r="CA10" s="2"/>
      <c r="CB10" s="2">
        <f>IF(ISNUMBER(DCOUNTA(査読範囲,BZ9,BZ9:BZ10)), DCOUNTA(査読範囲,BZ9,BZ9:BZ10), 0)</f>
        <v>0</v>
      </c>
      <c r="CC10" s="2" t="s">
        <v>141</v>
      </c>
      <c r="CD10" s="2"/>
      <c r="CE10" s="2">
        <f>IF(ISNUMBER(DCOUNTA(査読範囲,CC9,CC9:CC10)), DCOUNTA(査読範囲,CC9,CC9:CC10), 0)</f>
        <v>0</v>
      </c>
      <c r="CF10" s="2" t="s">
        <v>142</v>
      </c>
      <c r="CG10" s="2"/>
      <c r="CH10" s="48">
        <f>IF(ISNUMBER(DCOUNTA(査読範囲,CF9,CF9:CF10)), DCOUNTA(査読範囲,CF9,CF9:CF10), 0)</f>
        <v>0</v>
      </c>
      <c r="CI10" s="2" t="s">
        <v>143</v>
      </c>
      <c r="CJ10" s="2"/>
      <c r="CK10" s="48">
        <f>IF(ISNUMBER(DCOUNTA(査読範囲,CI9,CI9:CI10)), DCOUNTA(査読範囲,CI9,CI9:CI10), 0)</f>
        <v>0</v>
      </c>
      <c r="CL10" s="2" t="s">
        <v>148</v>
      </c>
      <c r="CM10" s="2"/>
      <c r="CN10" s="2">
        <f>IF(ISNUMBER(DCOUNTA(査読範囲,CL9,CL9:CL10)), DCOUNTA(査読範囲,CL9,CL9:CL10), 0)</f>
        <v>0</v>
      </c>
      <c r="CO10" s="2" t="s">
        <v>411</v>
      </c>
      <c r="CP10" s="2"/>
      <c r="CQ10" s="2">
        <f>IF(ISNUMBER(DCOUNTA(査読範囲,CO9,CO9:CO10)), DCOUNTA(査読範囲,CO9,CO9:CO10), 0)</f>
        <v>0</v>
      </c>
      <c r="CR10" s="2" t="s">
        <v>412</v>
      </c>
      <c r="CS10" s="2"/>
      <c r="CT10" s="2">
        <f>IF(ISNUMBER(DCOUNTA(査読範囲,CR9,CR9:CR10)), DCOUNTA(査読範囲,CR9,CR9:CR10), 0)</f>
        <v>0</v>
      </c>
      <c r="CU10" s="2" t="s">
        <v>413</v>
      </c>
      <c r="CV10" s="2"/>
      <c r="CW10" s="48">
        <f>IF(ISNUMBER(DCOUNTA(査読範囲,CU9,CU9:CU10)), DCOUNTA(査読範囲,CU9,CU9:CU10), 0)</f>
        <v>0</v>
      </c>
      <c r="CX10" s="2" t="s">
        <v>414</v>
      </c>
      <c r="CY10" s="2"/>
      <c r="CZ10" s="2">
        <f>IF(ISNUMBER(DCOUNTA(査読範囲,CX9,CX9:CX10)), DCOUNTA(査読範囲,CX9,CX9:CX10), 0)</f>
        <v>0</v>
      </c>
    </row>
    <row r="11" spans="1:104" ht="11.25" hidden="1" customHeight="1">
      <c r="A11"/>
      <c r="D11"/>
      <c r="E11"/>
      <c r="G11"/>
      <c r="H11"/>
      <c r="I11"/>
      <c r="J11"/>
      <c r="K11" s="44"/>
      <c r="L11" s="2" t="s">
        <v>158</v>
      </c>
      <c r="M11" s="2"/>
      <c r="N11" s="3" t="s">
        <v>326</v>
      </c>
      <c r="O11" s="2"/>
      <c r="P11" s="2"/>
      <c r="Q11" s="3" t="s">
        <v>327</v>
      </c>
      <c r="R11" s="2"/>
      <c r="S11" s="2"/>
      <c r="T11" s="3" t="s">
        <v>328</v>
      </c>
      <c r="U11" s="2"/>
      <c r="V11" s="2"/>
      <c r="W11" s="3" t="s">
        <v>206</v>
      </c>
      <c r="X11" s="2"/>
      <c r="Y11" s="2"/>
      <c r="Z11" s="3" t="s">
        <v>216</v>
      </c>
      <c r="AA11" s="2"/>
      <c r="AB11" s="2"/>
      <c r="AC11" s="3" t="s">
        <v>215</v>
      </c>
      <c r="AD11" s="2"/>
      <c r="AE11" s="2"/>
      <c r="AF11" s="3" t="s">
        <v>238</v>
      </c>
      <c r="AG11" s="2" t="s">
        <v>158</v>
      </c>
      <c r="AH11" s="2"/>
      <c r="AI11" s="3" t="s">
        <v>76</v>
      </c>
      <c r="AJ11" s="2"/>
      <c r="AK11" s="2"/>
      <c r="AL11" s="3" t="s">
        <v>86</v>
      </c>
      <c r="AM11" s="2"/>
      <c r="AN11" s="2"/>
      <c r="AO11" s="3" t="s">
        <v>85</v>
      </c>
      <c r="AP11" s="2"/>
      <c r="AQ11" s="2"/>
      <c r="AR11" s="3" t="s">
        <v>237</v>
      </c>
      <c r="AS11" s="2"/>
      <c r="AT11" s="2"/>
      <c r="AU11" s="3" t="s">
        <v>113</v>
      </c>
      <c r="AV11" s="2"/>
      <c r="AW11" s="2"/>
      <c r="AX11" s="3" t="s">
        <v>111</v>
      </c>
      <c r="AY11" s="2"/>
      <c r="AZ11" s="2"/>
      <c r="BA11" s="3" t="s">
        <v>112</v>
      </c>
      <c r="BB11" s="2"/>
      <c r="BC11" s="2"/>
      <c r="BD11" s="3" t="s">
        <v>239</v>
      </c>
      <c r="BE11" s="2"/>
      <c r="BF11" s="2"/>
      <c r="BG11" s="3" t="s">
        <v>115</v>
      </c>
      <c r="BH11" s="2"/>
      <c r="BI11" s="2"/>
      <c r="BJ11" s="3" t="s">
        <v>116</v>
      </c>
      <c r="BK11" s="2"/>
      <c r="BL11" s="2"/>
      <c r="BM11" s="3" t="s">
        <v>114</v>
      </c>
      <c r="BN11" s="2"/>
      <c r="BO11" s="2"/>
      <c r="BP11" s="3" t="s">
        <v>240</v>
      </c>
      <c r="BQ11" s="2"/>
      <c r="BR11" s="2"/>
      <c r="BS11" s="3" t="s">
        <v>123</v>
      </c>
      <c r="BT11" s="2"/>
      <c r="BU11" s="2"/>
      <c r="BV11" s="3" t="s">
        <v>124</v>
      </c>
      <c r="BW11" s="2"/>
      <c r="BX11" s="2"/>
      <c r="BY11" s="3" t="s">
        <v>125</v>
      </c>
      <c r="BZ11" s="2"/>
      <c r="CA11" s="2"/>
      <c r="CB11" s="3" t="s">
        <v>241</v>
      </c>
      <c r="CC11" s="2"/>
      <c r="CD11" s="2"/>
      <c r="CE11" s="3" t="s">
        <v>144</v>
      </c>
      <c r="CF11" s="2"/>
      <c r="CG11" s="2"/>
      <c r="CH11" s="3" t="s">
        <v>145</v>
      </c>
      <c r="CI11" s="2"/>
      <c r="CJ11" s="2"/>
      <c r="CK11" s="3" t="s">
        <v>146</v>
      </c>
      <c r="CL11" s="2"/>
      <c r="CM11" s="2"/>
      <c r="CN11" s="3" t="s">
        <v>151</v>
      </c>
      <c r="CO11" s="2"/>
      <c r="CP11" s="2"/>
      <c r="CQ11" s="3" t="s">
        <v>246</v>
      </c>
      <c r="CR11" s="2"/>
      <c r="CS11" s="2"/>
      <c r="CT11" s="3" t="s">
        <v>336</v>
      </c>
      <c r="CU11" s="2"/>
      <c r="CV11" s="2"/>
      <c r="CW11" s="3" t="s">
        <v>337</v>
      </c>
      <c r="CX11" s="2"/>
      <c r="CY11" s="2"/>
      <c r="CZ11" s="3" t="s">
        <v>338</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282</v>
      </c>
      <c r="BN12" s="2"/>
      <c r="BO12" s="2"/>
      <c r="BP12" s="2">
        <f>SUBTOTAL(9,BP4:BP10)</f>
        <v>0</v>
      </c>
      <c r="BQ12" s="2"/>
      <c r="BR12" s="2"/>
      <c r="BS12" s="2">
        <f>SUBTOTAL(9,BS4:BS10)</f>
        <v>0</v>
      </c>
      <c r="BT12" s="2"/>
      <c r="BU12" s="2"/>
      <c r="BV12" s="2">
        <f>SUBTOTAL(9,BV4:BV10)</f>
        <v>0</v>
      </c>
      <c r="BW12" s="2"/>
      <c r="BX12" s="2"/>
      <c r="BY12" s="2" t="s">
        <v>282</v>
      </c>
      <c r="BZ12" s="2"/>
      <c r="CA12" s="2"/>
      <c r="CB12" s="2" t="s">
        <v>282</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61</v>
      </c>
      <c r="V16" s="3" t="s">
        <v>152</v>
      </c>
      <c r="W16" s="1" t="s">
        <v>70</v>
      </c>
      <c r="X16" s="3" t="s">
        <v>153</v>
      </c>
      <c r="Y16" s="3" t="s">
        <v>264</v>
      </c>
      <c r="Z16" s="3" t="s">
        <v>265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152</v>
      </c>
      <c r="W18" s="1" t="s">
        <v>70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152</v>
      </c>
      <c r="W20" s="1" t="s">
        <v>70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152</v>
      </c>
      <c r="W22" s="1" t="s">
        <v>70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152</v>
      </c>
      <c r="W24" s="1" t="s">
        <v>70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288</v>
      </c>
      <c r="D26"/>
      <c r="E26"/>
      <c r="G26"/>
      <c r="H26"/>
      <c r="I26"/>
      <c r="J26"/>
      <c r="K26" s="44"/>
      <c r="L26"/>
      <c r="M26"/>
      <c r="N26"/>
      <c r="O26"/>
      <c r="P26"/>
      <c r="Q26"/>
      <c r="R26"/>
      <c r="S26"/>
      <c r="T26"/>
      <c r="U26" s="2"/>
      <c r="V26" s="3" t="s">
        <v>152</v>
      </c>
      <c r="W26" s="1" t="s">
        <v>70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415</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301</v>
      </c>
      <c r="E31" s="118"/>
      <c r="F31" s="117"/>
      <c r="G31" s="119"/>
      <c r="H31" s="119"/>
    </row>
    <row r="32" spans="1:104" ht="6.75" customHeight="1" thickBot="1">
      <c r="C32" s="498"/>
      <c r="D32" s="499"/>
      <c r="E32" s="499"/>
      <c r="F32" s="499"/>
      <c r="G32" s="499"/>
      <c r="H32" s="119"/>
    </row>
    <row r="33" spans="1:24" ht="15.75" customHeight="1">
      <c r="A33" s="65" t="s">
        <v>357</v>
      </c>
      <c r="D33"/>
      <c r="E33"/>
      <c r="G33"/>
      <c r="H33"/>
      <c r="I33"/>
      <c r="J33" s="508" t="s">
        <v>64</v>
      </c>
      <c r="K33" s="509"/>
      <c r="L33" s="107"/>
      <c r="M33" s="107"/>
      <c r="N33" s="107"/>
      <c r="O33" s="107"/>
      <c r="P33" s="107"/>
      <c r="Q33" s="107"/>
      <c r="R33" s="107"/>
      <c r="S33" s="107"/>
      <c r="T33" s="107"/>
    </row>
    <row r="34" spans="1:24" ht="15" customHeight="1">
      <c r="A34" s="493"/>
      <c r="B34" s="507"/>
      <c r="C34" s="61" t="s">
        <v>416</v>
      </c>
      <c r="D34" s="49"/>
      <c r="E34" s="49"/>
      <c r="F34" s="2"/>
      <c r="G34" s="49"/>
      <c r="H34" s="49"/>
      <c r="I34" s="49"/>
      <c r="J34" s="501"/>
      <c r="K34" s="502"/>
      <c r="L34" s="63"/>
      <c r="M34" s="63"/>
      <c r="N34" s="63"/>
      <c r="O34" s="63"/>
      <c r="P34" s="63"/>
      <c r="Q34" s="63"/>
      <c r="R34" s="63"/>
      <c r="S34" s="63"/>
      <c r="T34" s="63"/>
    </row>
    <row r="35" spans="1:24" ht="14.25" customHeight="1" thickBot="1">
      <c r="A35" s="493"/>
      <c r="B35" s="494"/>
      <c r="C35" s="61" t="s">
        <v>358</v>
      </c>
      <c r="D35" s="49"/>
      <c r="E35" s="49"/>
      <c r="F35" s="12"/>
      <c r="G35" s="12"/>
      <c r="H35" s="12"/>
      <c r="I35" s="12"/>
      <c r="J35" s="503"/>
      <c r="K35" s="504"/>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0" t="s">
        <v>276</v>
      </c>
      <c r="B37" s="247"/>
      <c r="C37" s="495"/>
      <c r="D37" s="495"/>
      <c r="E37" s="495"/>
      <c r="F37" s="495"/>
      <c r="G37" s="487" t="s">
        <v>292</v>
      </c>
      <c r="H37" s="487"/>
      <c r="I37" s="488"/>
      <c r="J37" s="505"/>
      <c r="K37" s="506"/>
      <c r="L37" s="120"/>
      <c r="M37" s="120"/>
      <c r="N37" s="120"/>
      <c r="O37" s="120"/>
      <c r="P37" s="120"/>
      <c r="Q37" s="120"/>
      <c r="R37" s="120"/>
      <c r="S37" s="120"/>
      <c r="T37" s="120"/>
    </row>
    <row r="38" spans="1:24" ht="23.25" customHeight="1" thickBot="1">
      <c r="A38" s="511" t="s">
        <v>277</v>
      </c>
      <c r="B38" s="512"/>
      <c r="C38" s="510" t="s">
        <v>501</v>
      </c>
      <c r="D38" s="500"/>
      <c r="E38" s="500"/>
      <c r="F38" s="500"/>
      <c r="G38" s="489"/>
      <c r="H38" s="489"/>
      <c r="I38" s="488"/>
      <c r="J38" s="496"/>
      <c r="K38" s="497"/>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417</v>
      </c>
      <c r="J40" s="485">
        <f>IF(J37&lt;&gt;0,DCOUNTA(査読範囲,C43,C26:C27)/J37,IF(J38&lt;&gt;0,DCOUNTA(査読範囲,C43,C26:C27)/J38,0))</f>
        <v>0</v>
      </c>
      <c r="K40" s="486"/>
      <c r="L40" s="109"/>
      <c r="M40" s="109"/>
      <c r="N40" s="109"/>
      <c r="O40" s="109"/>
      <c r="P40" s="109"/>
      <c r="Q40" s="109"/>
      <c r="R40" s="109"/>
      <c r="S40" s="109"/>
      <c r="T40" s="109"/>
    </row>
    <row r="41" spans="1:24" ht="16.5" customHeight="1">
      <c r="A41" s="62"/>
      <c r="C41" s="50" t="s">
        <v>373</v>
      </c>
      <c r="D41" s="75"/>
      <c r="E41" s="124"/>
      <c r="F41" s="65" t="s">
        <v>359</v>
      </c>
      <c r="G41"/>
      <c r="H41"/>
      <c r="I41"/>
      <c r="J41"/>
      <c r="K41"/>
      <c r="L41"/>
      <c r="M41"/>
      <c r="N41"/>
      <c r="O41"/>
      <c r="P41"/>
      <c r="Q41"/>
      <c r="R41"/>
      <c r="S41"/>
      <c r="T41"/>
    </row>
    <row r="42" spans="1:24" ht="6" customHeight="1">
      <c r="F42" t="s">
        <v>418</v>
      </c>
    </row>
    <row r="43" spans="1:24" ht="20.25" customHeight="1">
      <c r="A43" s="122" t="s">
        <v>419</v>
      </c>
      <c r="B43" s="145" t="s">
        <v>420</v>
      </c>
      <c r="C43" s="122" t="s">
        <v>67</v>
      </c>
      <c r="D43" s="122" t="s">
        <v>152</v>
      </c>
      <c r="E43" s="125" t="s">
        <v>154</v>
      </c>
      <c r="F43" s="122" t="s">
        <v>68</v>
      </c>
      <c r="G43" s="122" t="s">
        <v>155</v>
      </c>
      <c r="H43" s="125" t="s">
        <v>156</v>
      </c>
      <c r="I43" s="122" t="s">
        <v>70</v>
      </c>
      <c r="J43" s="122" t="s">
        <v>352</v>
      </c>
      <c r="K43" s="122" t="s">
        <v>69</v>
      </c>
      <c r="L43" s="49"/>
      <c r="M43" s="49"/>
      <c r="N43" s="49"/>
      <c r="O43" s="49"/>
      <c r="P43" s="49"/>
      <c r="Q43" s="49"/>
      <c r="R43" s="49"/>
      <c r="S43" s="49"/>
      <c r="T43" s="49"/>
    </row>
    <row r="44" spans="1:24" s="79" customFormat="1" ht="36">
      <c r="A44" s="128">
        <v>1</v>
      </c>
      <c r="B44" s="160"/>
      <c r="C44" s="154" t="s">
        <v>503</v>
      </c>
      <c r="D44" s="134">
        <v>44972</v>
      </c>
      <c r="E44" s="126" t="s">
        <v>504</v>
      </c>
      <c r="F44" s="155" t="s">
        <v>505</v>
      </c>
      <c r="G44" s="139">
        <v>44973</v>
      </c>
      <c r="H44" s="130" t="s">
        <v>506</v>
      </c>
      <c r="I44" s="131"/>
      <c r="J44" s="142"/>
      <c r="K44" s="129" t="s">
        <v>507</v>
      </c>
      <c r="L44" s="132"/>
      <c r="M44" s="132"/>
      <c r="N44" s="132"/>
      <c r="O44" s="132"/>
      <c r="P44" s="132"/>
      <c r="Q44" s="132"/>
      <c r="R44" s="132"/>
      <c r="S44" s="132"/>
      <c r="T44" s="132"/>
    </row>
    <row r="45" spans="1:24" s="79" customFormat="1" ht="96">
      <c r="A45" s="128">
        <f t="shared" ref="A45:A63" si="0">A44+1</f>
        <v>2</v>
      </c>
      <c r="B45" s="161"/>
      <c r="C45" s="154" t="s">
        <v>509</v>
      </c>
      <c r="D45" s="134">
        <v>45023</v>
      </c>
      <c r="E45" s="126" t="s">
        <v>508</v>
      </c>
      <c r="F45" s="155" t="s">
        <v>512</v>
      </c>
      <c r="G45" s="139">
        <v>45029</v>
      </c>
      <c r="H45" s="127" t="s">
        <v>504</v>
      </c>
      <c r="I45" s="131"/>
      <c r="J45" s="142"/>
      <c r="K45" s="129"/>
      <c r="L45" s="132"/>
      <c r="M45" s="132"/>
      <c r="N45" s="132"/>
      <c r="O45" s="132"/>
      <c r="P45" s="132"/>
      <c r="Q45" s="132"/>
      <c r="R45" s="132"/>
      <c r="S45" s="132"/>
      <c r="T45" s="132"/>
      <c r="V45" s="133"/>
    </row>
    <row r="46" spans="1:24" s="79" customFormat="1" ht="24">
      <c r="A46" s="128">
        <f t="shared" si="0"/>
        <v>3</v>
      </c>
      <c r="B46" s="161"/>
      <c r="C46" s="154" t="s">
        <v>510</v>
      </c>
      <c r="D46" s="134">
        <v>45023</v>
      </c>
      <c r="E46" s="126" t="s">
        <v>508</v>
      </c>
      <c r="F46" s="155" t="s">
        <v>513</v>
      </c>
      <c r="G46" s="139">
        <v>45029</v>
      </c>
      <c r="H46" s="127" t="s">
        <v>504</v>
      </c>
      <c r="I46" s="131"/>
      <c r="J46" s="142"/>
      <c r="K46" s="129"/>
      <c r="L46" s="132"/>
      <c r="M46" s="132"/>
      <c r="N46" s="132"/>
      <c r="O46" s="132"/>
      <c r="P46" s="132"/>
      <c r="Q46" s="132"/>
      <c r="R46" s="132"/>
      <c r="S46" s="132"/>
      <c r="T46" s="132"/>
      <c r="V46" s="133"/>
      <c r="W46" s="133"/>
      <c r="X46" s="133"/>
    </row>
    <row r="47" spans="1:24" s="79" customFormat="1" ht="60">
      <c r="A47" s="128">
        <f t="shared" si="0"/>
        <v>4</v>
      </c>
      <c r="B47" s="160"/>
      <c r="C47" s="154" t="s">
        <v>511</v>
      </c>
      <c r="D47" s="134">
        <v>45023</v>
      </c>
      <c r="E47" s="126" t="s">
        <v>508</v>
      </c>
      <c r="F47" s="155" t="s">
        <v>513</v>
      </c>
      <c r="G47" s="139">
        <v>45029</v>
      </c>
      <c r="H47" s="127" t="s">
        <v>504</v>
      </c>
      <c r="I47" s="131"/>
      <c r="J47" s="142"/>
      <c r="K47" s="129"/>
      <c r="L47" s="132"/>
      <c r="M47" s="132"/>
      <c r="N47" s="132"/>
      <c r="O47" s="132"/>
      <c r="P47" s="132"/>
      <c r="Q47" s="132"/>
      <c r="R47" s="132"/>
      <c r="S47" s="132"/>
      <c r="T47" s="132"/>
      <c r="V47" s="133"/>
      <c r="W47" s="133"/>
      <c r="X47" s="133"/>
    </row>
    <row r="48" spans="1:24" s="79" customForma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315</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360</v>
      </c>
      <c r="D76" s="138"/>
      <c r="G76" s="138"/>
      <c r="J76" s="138"/>
    </row>
    <row r="77" spans="1:256">
      <c r="A77" s="46" t="s">
        <v>361</v>
      </c>
      <c r="D77" s="138"/>
      <c r="G77" s="138"/>
      <c r="J77" s="138"/>
    </row>
    <row r="78" spans="1:256">
      <c r="A78" s="46" t="s">
        <v>362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9" activePane="bottomLeft" state="frozen"/>
      <selection pane="bottomLeft" activeCell="E2" sqref="E2:I2"/>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422</v>
      </c>
      <c r="E1" s="514">
        <v>44971</v>
      </c>
      <c r="F1" s="514"/>
      <c r="G1" s="514"/>
      <c r="H1" s="514"/>
      <c r="I1" s="514"/>
    </row>
    <row r="2" spans="1:9">
      <c r="D2" s="164" t="s">
        <v>423</v>
      </c>
      <c r="E2" s="514" t="s">
        <v>502</v>
      </c>
      <c r="F2" s="514"/>
      <c r="G2" s="514"/>
      <c r="H2" s="514"/>
      <c r="I2" s="514"/>
    </row>
    <row r="3" spans="1:9" ht="14.25">
      <c r="A3" s="516" t="s">
        <v>481</v>
      </c>
      <c r="B3" s="516"/>
      <c r="C3" s="516"/>
      <c r="D3" s="516"/>
      <c r="E3" s="516"/>
    </row>
    <row r="5" spans="1:9">
      <c r="A5" s="515" t="s">
        <v>424</v>
      </c>
      <c r="B5" s="515"/>
      <c r="C5" s="214" t="str">
        <f>査読ｼｰﾄ!C38</f>
        <v>単体試験要領書_MSBBPA100_【画面】WebFSC製品化チェックシート出力.xlsx</v>
      </c>
      <c r="D5" s="164" t="s">
        <v>458</v>
      </c>
      <c r="E5" s="513" t="s">
        <v>441</v>
      </c>
      <c r="F5" s="513"/>
      <c r="G5" s="513"/>
      <c r="H5" s="513"/>
      <c r="I5" s="513"/>
    </row>
    <row r="6" spans="1:9" ht="12.75" thickBot="1"/>
    <row r="7" spans="1:9" ht="73.5">
      <c r="A7" s="166" t="s">
        <v>425</v>
      </c>
      <c r="B7" s="167" t="s">
        <v>436</v>
      </c>
      <c r="C7" s="168" t="s">
        <v>426</v>
      </c>
      <c r="D7" s="168" t="s">
        <v>427</v>
      </c>
      <c r="E7" s="169" t="s">
        <v>459</v>
      </c>
      <c r="F7" s="169" t="s">
        <v>460</v>
      </c>
      <c r="G7" s="169" t="s">
        <v>461</v>
      </c>
      <c r="H7" s="169" t="s">
        <v>462</v>
      </c>
      <c r="I7" s="170" t="s">
        <v>463</v>
      </c>
    </row>
    <row r="8" spans="1:9" ht="3" customHeight="1">
      <c r="A8" s="171"/>
      <c r="B8" s="172"/>
      <c r="C8" s="173"/>
      <c r="D8" s="173"/>
      <c r="E8" s="174"/>
      <c r="F8" s="174"/>
      <c r="G8" s="174"/>
      <c r="H8" s="174"/>
      <c r="I8" s="175"/>
    </row>
    <row r="9" spans="1:9" ht="24">
      <c r="A9" s="176" t="s">
        <v>464</v>
      </c>
      <c r="B9" s="177">
        <v>1</v>
      </c>
      <c r="C9" s="178" t="s">
        <v>465</v>
      </c>
      <c r="D9" s="179" t="s">
        <v>500</v>
      </c>
      <c r="E9" s="177" t="s">
        <v>435</v>
      </c>
      <c r="F9" s="215" t="s">
        <v>435</v>
      </c>
      <c r="G9" s="215" t="s">
        <v>435</v>
      </c>
      <c r="H9" s="215" t="s">
        <v>435</v>
      </c>
      <c r="I9" s="216" t="s">
        <v>435</v>
      </c>
    </row>
    <row r="10" spans="1:9" ht="36">
      <c r="A10" s="180"/>
      <c r="B10" s="181">
        <v>2</v>
      </c>
      <c r="C10" s="182" t="s">
        <v>466</v>
      </c>
      <c r="D10" s="183" t="s">
        <v>500</v>
      </c>
      <c r="E10" s="181" t="s">
        <v>435</v>
      </c>
      <c r="F10" s="217" t="s">
        <v>435</v>
      </c>
      <c r="G10" s="217" t="s">
        <v>435</v>
      </c>
      <c r="H10" s="217" t="s">
        <v>435</v>
      </c>
      <c r="I10" s="218" t="s">
        <v>435</v>
      </c>
    </row>
    <row r="11" spans="1:9" ht="24">
      <c r="A11" s="180"/>
      <c r="B11" s="184">
        <v>3</v>
      </c>
      <c r="C11" s="185" t="s">
        <v>467</v>
      </c>
      <c r="D11" s="186" t="s">
        <v>500</v>
      </c>
      <c r="E11" s="184" t="s">
        <v>435</v>
      </c>
      <c r="F11" s="219" t="s">
        <v>435</v>
      </c>
      <c r="G11" s="219" t="s">
        <v>435</v>
      </c>
      <c r="H11" s="219" t="s">
        <v>435</v>
      </c>
      <c r="I11" s="220" t="s">
        <v>435</v>
      </c>
    </row>
    <row r="12" spans="1:9" ht="48">
      <c r="A12" s="180"/>
      <c r="B12" s="184">
        <v>4</v>
      </c>
      <c r="C12" s="185" t="s">
        <v>468</v>
      </c>
      <c r="D12" s="186" t="s">
        <v>500</v>
      </c>
      <c r="E12" s="184" t="s">
        <v>435</v>
      </c>
      <c r="F12" s="219" t="s">
        <v>435</v>
      </c>
      <c r="G12" s="219" t="s">
        <v>435</v>
      </c>
      <c r="H12" s="219" t="s">
        <v>435</v>
      </c>
      <c r="I12" s="220" t="s">
        <v>435</v>
      </c>
    </row>
    <row r="13" spans="1:9" ht="24">
      <c r="A13" s="180"/>
      <c r="B13" s="181">
        <v>5</v>
      </c>
      <c r="C13" s="182" t="s">
        <v>469</v>
      </c>
      <c r="D13" s="183" t="s">
        <v>500</v>
      </c>
      <c r="E13" s="184" t="s">
        <v>435</v>
      </c>
      <c r="F13" s="219" t="s">
        <v>435</v>
      </c>
      <c r="G13" s="219" t="s">
        <v>435</v>
      </c>
      <c r="H13" s="219" t="s">
        <v>435</v>
      </c>
      <c r="I13" s="220" t="s">
        <v>435</v>
      </c>
    </row>
    <row r="14" spans="1:9" ht="168">
      <c r="A14" s="180"/>
      <c r="B14" s="181">
        <v>6</v>
      </c>
      <c r="C14" s="212" t="s">
        <v>499</v>
      </c>
      <c r="D14" s="237" t="s">
        <v>500</v>
      </c>
      <c r="E14" s="213" t="s">
        <v>435</v>
      </c>
      <c r="F14" s="221" t="s">
        <v>435</v>
      </c>
      <c r="G14" s="221" t="s">
        <v>435</v>
      </c>
      <c r="H14" s="221" t="s">
        <v>435</v>
      </c>
      <c r="I14" s="222" t="s">
        <v>435</v>
      </c>
    </row>
    <row r="15" spans="1:9">
      <c r="A15" s="187"/>
      <c r="B15" s="188"/>
      <c r="C15" s="189"/>
      <c r="D15" s="238"/>
      <c r="E15" s="203"/>
      <c r="F15" s="223"/>
      <c r="G15" s="223"/>
      <c r="H15" s="223"/>
      <c r="I15" s="224"/>
    </row>
    <row r="16" spans="1:9" ht="84">
      <c r="A16" s="176" t="s">
        <v>482</v>
      </c>
      <c r="B16" s="177">
        <v>1</v>
      </c>
      <c r="C16" s="178" t="s">
        <v>470</v>
      </c>
      <c r="D16" s="179" t="s">
        <v>500</v>
      </c>
      <c r="E16" s="179" t="s">
        <v>471</v>
      </c>
      <c r="F16" s="215"/>
      <c r="G16" s="215"/>
      <c r="H16" s="215"/>
      <c r="I16" s="216"/>
    </row>
    <row r="17" spans="1:9" ht="24">
      <c r="A17" s="180"/>
      <c r="B17" s="181">
        <v>2</v>
      </c>
      <c r="C17" s="182" t="s">
        <v>472</v>
      </c>
      <c r="D17" s="183" t="s">
        <v>500</v>
      </c>
      <c r="E17" s="183" t="s">
        <v>438</v>
      </c>
      <c r="F17" s="217"/>
      <c r="G17" s="217"/>
      <c r="H17" s="217"/>
      <c r="I17" s="218"/>
    </row>
    <row r="18" spans="1:9" ht="24">
      <c r="A18" s="180"/>
      <c r="B18" s="181">
        <v>3</v>
      </c>
      <c r="C18" s="182" t="s">
        <v>473</v>
      </c>
      <c r="D18" s="183" t="s">
        <v>500</v>
      </c>
      <c r="E18" s="183" t="s">
        <v>439</v>
      </c>
      <c r="F18" s="217"/>
      <c r="G18" s="217"/>
      <c r="H18" s="217"/>
      <c r="I18" s="218"/>
    </row>
    <row r="19" spans="1:9" ht="24">
      <c r="A19" s="180"/>
      <c r="B19" s="181">
        <v>4</v>
      </c>
      <c r="C19" s="182" t="s">
        <v>474</v>
      </c>
      <c r="D19" s="183" t="s">
        <v>500</v>
      </c>
      <c r="E19" s="183" t="s">
        <v>438</v>
      </c>
      <c r="F19" s="217"/>
      <c r="G19" s="217"/>
      <c r="H19" s="217"/>
      <c r="I19" s="218"/>
    </row>
    <row r="20" spans="1:9" ht="24">
      <c r="A20" s="180"/>
      <c r="B20" s="181">
        <v>5</v>
      </c>
      <c r="C20" s="182" t="s">
        <v>475</v>
      </c>
      <c r="D20" s="183" t="s">
        <v>500</v>
      </c>
      <c r="E20" s="183" t="s">
        <v>435</v>
      </c>
      <c r="F20" s="217"/>
      <c r="G20" s="217"/>
      <c r="H20" s="217"/>
      <c r="I20" s="218"/>
    </row>
    <row r="21" spans="1:9" ht="24">
      <c r="A21" s="180"/>
      <c r="B21" s="181">
        <v>6</v>
      </c>
      <c r="C21" s="182" t="s">
        <v>476</v>
      </c>
      <c r="D21" s="183" t="s">
        <v>500</v>
      </c>
      <c r="E21" s="183" t="s">
        <v>435</v>
      </c>
      <c r="F21" s="217"/>
      <c r="G21" s="217"/>
      <c r="H21" s="217"/>
      <c r="I21" s="218"/>
    </row>
    <row r="22" spans="1:9" ht="24">
      <c r="A22" s="180"/>
      <c r="B22" s="181">
        <v>7</v>
      </c>
      <c r="C22" s="182" t="s">
        <v>477</v>
      </c>
      <c r="D22" s="183" t="s">
        <v>500</v>
      </c>
      <c r="E22" s="183" t="s">
        <v>435</v>
      </c>
      <c r="F22" s="217"/>
      <c r="G22" s="217"/>
      <c r="H22" s="217"/>
      <c r="I22" s="218"/>
    </row>
    <row r="23" spans="1:9" ht="24">
      <c r="A23" s="180"/>
      <c r="B23" s="181">
        <v>8</v>
      </c>
      <c r="C23" s="182" t="s">
        <v>478</v>
      </c>
      <c r="D23" s="183" t="s">
        <v>500</v>
      </c>
      <c r="E23" s="183" t="s">
        <v>435</v>
      </c>
      <c r="F23" s="217"/>
      <c r="G23" s="217"/>
      <c r="H23" s="217"/>
      <c r="I23" s="218"/>
    </row>
    <row r="24" spans="1:9" ht="36">
      <c r="A24" s="180"/>
      <c r="B24" s="181">
        <v>9</v>
      </c>
      <c r="C24" s="182" t="s">
        <v>479</v>
      </c>
      <c r="D24" s="183" t="s">
        <v>500</v>
      </c>
      <c r="E24" s="183" t="s">
        <v>435</v>
      </c>
      <c r="F24" s="217"/>
      <c r="G24" s="217"/>
      <c r="H24" s="217"/>
      <c r="I24" s="218"/>
    </row>
    <row r="25" spans="1:9" ht="36">
      <c r="A25" s="180"/>
      <c r="B25" s="184">
        <v>10</v>
      </c>
      <c r="C25" s="185" t="s">
        <v>480</v>
      </c>
      <c r="D25" s="186" t="s">
        <v>500</v>
      </c>
      <c r="E25" s="186" t="s">
        <v>435</v>
      </c>
      <c r="F25" s="219"/>
      <c r="G25" s="219"/>
      <c r="H25" s="219"/>
      <c r="I25" s="220"/>
    </row>
    <row r="26" spans="1:9">
      <c r="A26" s="187"/>
      <c r="B26" s="190"/>
      <c r="C26" s="191"/>
      <c r="D26" s="192"/>
      <c r="E26" s="192"/>
      <c r="F26" s="225"/>
      <c r="G26" s="225"/>
      <c r="H26" s="225"/>
      <c r="I26" s="226"/>
    </row>
    <row r="27" spans="1:9" ht="60">
      <c r="A27" s="176" t="s">
        <v>483</v>
      </c>
      <c r="B27" s="177">
        <v>1</v>
      </c>
      <c r="C27" s="178" t="s">
        <v>484</v>
      </c>
      <c r="D27" s="179" t="s">
        <v>500</v>
      </c>
      <c r="E27" s="179" t="s">
        <v>435</v>
      </c>
      <c r="F27" s="215"/>
      <c r="G27" s="215"/>
      <c r="H27" s="215"/>
      <c r="I27" s="216"/>
    </row>
    <row r="28" spans="1:9" ht="60">
      <c r="A28" s="180"/>
      <c r="B28" s="181">
        <v>2</v>
      </c>
      <c r="C28" s="182" t="s">
        <v>485</v>
      </c>
      <c r="D28" s="183" t="s">
        <v>500</v>
      </c>
      <c r="E28" s="183" t="s">
        <v>435</v>
      </c>
      <c r="F28" s="217"/>
      <c r="G28" s="217"/>
      <c r="H28" s="217"/>
      <c r="I28" s="218"/>
    </row>
    <row r="29" spans="1:9" ht="72">
      <c r="A29" s="180"/>
      <c r="B29" s="184">
        <v>3</v>
      </c>
      <c r="C29" s="185" t="s">
        <v>486</v>
      </c>
      <c r="D29" s="186" t="s">
        <v>500</v>
      </c>
      <c r="E29" s="186" t="s">
        <v>435</v>
      </c>
      <c r="F29" s="219"/>
      <c r="G29" s="219"/>
      <c r="H29" s="219"/>
      <c r="I29" s="220"/>
    </row>
    <row r="30" spans="1:9">
      <c r="A30" s="187"/>
      <c r="B30" s="190"/>
      <c r="C30" s="191"/>
      <c r="D30" s="192"/>
      <c r="E30" s="192"/>
      <c r="F30" s="225"/>
      <c r="G30" s="225"/>
      <c r="H30" s="225"/>
      <c r="I30" s="226"/>
    </row>
    <row r="31" spans="1:9" ht="36">
      <c r="A31" s="176" t="s">
        <v>487</v>
      </c>
      <c r="B31" s="177">
        <v>1</v>
      </c>
      <c r="C31" s="178" t="s">
        <v>0</v>
      </c>
      <c r="D31" s="179" t="s">
        <v>500</v>
      </c>
      <c r="E31" s="179" t="s">
        <v>435</v>
      </c>
      <c r="F31" s="215"/>
      <c r="G31" s="215"/>
      <c r="H31" s="215"/>
      <c r="I31" s="216"/>
    </row>
    <row r="32" spans="1:9" ht="36">
      <c r="A32" s="180"/>
      <c r="B32" s="181">
        <v>2</v>
      </c>
      <c r="C32" s="182" t="s">
        <v>1</v>
      </c>
      <c r="D32" s="183" t="s">
        <v>500</v>
      </c>
      <c r="E32" s="183" t="s">
        <v>435</v>
      </c>
      <c r="F32" s="217"/>
      <c r="G32" s="217"/>
      <c r="H32" s="217"/>
      <c r="I32" s="218"/>
    </row>
    <row r="33" spans="1:9" ht="36">
      <c r="A33" s="180"/>
      <c r="B33" s="181">
        <v>3</v>
      </c>
      <c r="C33" s="182" t="s">
        <v>2</v>
      </c>
      <c r="D33" s="183" t="s">
        <v>500</v>
      </c>
      <c r="E33" s="183" t="s">
        <v>435</v>
      </c>
      <c r="F33" s="217"/>
      <c r="G33" s="217"/>
      <c r="H33" s="217"/>
      <c r="I33" s="218"/>
    </row>
    <row r="34" spans="1:9" ht="36">
      <c r="A34" s="180"/>
      <c r="B34" s="181">
        <v>4</v>
      </c>
      <c r="C34" s="182" t="s">
        <v>3</v>
      </c>
      <c r="D34" s="183" t="s">
        <v>500</v>
      </c>
      <c r="E34" s="183" t="s">
        <v>435</v>
      </c>
      <c r="F34" s="217"/>
      <c r="G34" s="217"/>
      <c r="H34" s="217"/>
      <c r="I34" s="218"/>
    </row>
    <row r="35" spans="1:9" ht="36">
      <c r="A35" s="180"/>
      <c r="B35" s="181">
        <v>5</v>
      </c>
      <c r="C35" s="182" t="s">
        <v>4</v>
      </c>
      <c r="D35" s="183" t="s">
        <v>500</v>
      </c>
      <c r="E35" s="183" t="s">
        <v>435</v>
      </c>
      <c r="F35" s="217"/>
      <c r="G35" s="217"/>
      <c r="H35" s="217"/>
      <c r="I35" s="218"/>
    </row>
    <row r="36" spans="1:9" ht="36">
      <c r="A36" s="180"/>
      <c r="B36" s="181">
        <v>6</v>
      </c>
      <c r="C36" s="182" t="s">
        <v>5</v>
      </c>
      <c r="D36" s="183" t="s">
        <v>500</v>
      </c>
      <c r="E36" s="183" t="s">
        <v>435</v>
      </c>
      <c r="F36" s="217"/>
      <c r="G36" s="217"/>
      <c r="H36" s="217"/>
      <c r="I36" s="218"/>
    </row>
    <row r="37" spans="1:9" ht="36">
      <c r="A37" s="180"/>
      <c r="B37" s="181">
        <v>7</v>
      </c>
      <c r="C37" s="182" t="s">
        <v>6</v>
      </c>
      <c r="D37" s="183" t="s">
        <v>500</v>
      </c>
      <c r="E37" s="183" t="s">
        <v>435</v>
      </c>
      <c r="F37" s="217"/>
      <c r="G37" s="217"/>
      <c r="H37" s="217"/>
      <c r="I37" s="218"/>
    </row>
    <row r="38" spans="1:9" ht="36">
      <c r="A38" s="180"/>
      <c r="B38" s="181">
        <v>8</v>
      </c>
      <c r="C38" s="182" t="s">
        <v>7</v>
      </c>
      <c r="D38" s="183" t="s">
        <v>500</v>
      </c>
      <c r="E38" s="183" t="s">
        <v>435</v>
      </c>
      <c r="F38" s="217"/>
      <c r="G38" s="217"/>
      <c r="H38" s="217"/>
      <c r="I38" s="218"/>
    </row>
    <row r="39" spans="1:9" ht="36">
      <c r="A39" s="180"/>
      <c r="B39" s="181">
        <v>9</v>
      </c>
      <c r="C39" s="182" t="s">
        <v>8</v>
      </c>
      <c r="D39" s="183" t="s">
        <v>500</v>
      </c>
      <c r="E39" s="183" t="s">
        <v>435</v>
      </c>
      <c r="F39" s="217"/>
      <c r="G39" s="217"/>
      <c r="H39" s="217"/>
      <c r="I39" s="218"/>
    </row>
    <row r="40" spans="1:9" ht="48">
      <c r="A40" s="180"/>
      <c r="B40" s="181">
        <v>10</v>
      </c>
      <c r="C40" s="182" t="s">
        <v>9</v>
      </c>
      <c r="D40" s="183" t="s">
        <v>500</v>
      </c>
      <c r="E40" s="183" t="s">
        <v>435</v>
      </c>
      <c r="F40" s="217"/>
      <c r="G40" s="217"/>
      <c r="H40" s="217"/>
      <c r="I40" s="218"/>
    </row>
    <row r="41" spans="1:9" ht="72">
      <c r="A41" s="180"/>
      <c r="B41" s="181">
        <v>11</v>
      </c>
      <c r="C41" s="182" t="s">
        <v>488</v>
      </c>
      <c r="D41" s="183" t="s">
        <v>500</v>
      </c>
      <c r="E41" s="183" t="s">
        <v>435</v>
      </c>
      <c r="F41" s="217"/>
      <c r="G41" s="217"/>
      <c r="H41" s="217"/>
      <c r="I41" s="218"/>
    </row>
    <row r="42" spans="1:9" ht="36">
      <c r="A42" s="180"/>
      <c r="B42" s="181">
        <v>12</v>
      </c>
      <c r="C42" s="182" t="s">
        <v>10</v>
      </c>
      <c r="D42" s="183" t="s">
        <v>500</v>
      </c>
      <c r="E42" s="183" t="s">
        <v>435</v>
      </c>
      <c r="F42" s="217"/>
      <c r="G42" s="217"/>
      <c r="H42" s="217"/>
      <c r="I42" s="218"/>
    </row>
    <row r="43" spans="1:9" ht="36">
      <c r="A43" s="180"/>
      <c r="B43" s="181">
        <v>13</v>
      </c>
      <c r="C43" s="182" t="s">
        <v>11</v>
      </c>
      <c r="D43" s="183" t="s">
        <v>500</v>
      </c>
      <c r="E43" s="183" t="s">
        <v>435</v>
      </c>
      <c r="F43" s="217"/>
      <c r="G43" s="217"/>
      <c r="H43" s="217"/>
      <c r="I43" s="218"/>
    </row>
    <row r="44" spans="1:9" ht="24">
      <c r="A44" s="180"/>
      <c r="B44" s="184">
        <v>14</v>
      </c>
      <c r="C44" s="185" t="s">
        <v>12</v>
      </c>
      <c r="D44" s="186" t="s">
        <v>500</v>
      </c>
      <c r="E44" s="186" t="s">
        <v>435</v>
      </c>
      <c r="F44" s="219"/>
      <c r="G44" s="219"/>
      <c r="H44" s="219"/>
      <c r="I44" s="220"/>
    </row>
    <row r="45" spans="1:9">
      <c r="A45" s="187"/>
      <c r="B45" s="184"/>
      <c r="C45" s="191"/>
      <c r="D45" s="192"/>
      <c r="E45" s="192"/>
      <c r="F45" s="225"/>
      <c r="G45" s="225"/>
      <c r="H45" s="225"/>
      <c r="I45" s="226"/>
    </row>
    <row r="46" spans="1:9" ht="36">
      <c r="A46" s="193" t="s">
        <v>489</v>
      </c>
      <c r="B46" s="194"/>
      <c r="C46" s="178" t="s">
        <v>13</v>
      </c>
      <c r="D46" s="195"/>
      <c r="E46" s="195"/>
      <c r="F46" s="227"/>
      <c r="G46" s="227"/>
      <c r="H46" s="227"/>
      <c r="I46" s="228"/>
    </row>
    <row r="47" spans="1:9">
      <c r="A47" s="196"/>
      <c r="B47" s="181">
        <v>1</v>
      </c>
      <c r="C47" s="182" t="s">
        <v>490</v>
      </c>
      <c r="D47" s="183" t="s">
        <v>500</v>
      </c>
      <c r="E47" s="183" t="s">
        <v>14</v>
      </c>
      <c r="F47" s="217"/>
      <c r="G47" s="217"/>
      <c r="H47" s="217"/>
      <c r="I47" s="218"/>
    </row>
    <row r="48" spans="1:9">
      <c r="A48" s="196"/>
      <c r="B48" s="181">
        <v>2</v>
      </c>
      <c r="C48" s="182" t="s">
        <v>491</v>
      </c>
      <c r="D48" s="183" t="s">
        <v>500</v>
      </c>
      <c r="E48" s="183" t="s">
        <v>14</v>
      </c>
      <c r="F48" s="217"/>
      <c r="G48" s="217"/>
      <c r="H48" s="217"/>
      <c r="I48" s="218"/>
    </row>
    <row r="49" spans="1:9">
      <c r="A49" s="196"/>
      <c r="B49" s="181">
        <v>3</v>
      </c>
      <c r="C49" s="182" t="s">
        <v>492</v>
      </c>
      <c r="D49" s="183" t="s">
        <v>500</v>
      </c>
      <c r="E49" s="183" t="s">
        <v>14</v>
      </c>
      <c r="F49" s="217"/>
      <c r="G49" s="217"/>
      <c r="H49" s="217"/>
      <c r="I49" s="218"/>
    </row>
    <row r="50" spans="1:9">
      <c r="A50" s="196"/>
      <c r="B50" s="181">
        <v>4</v>
      </c>
      <c r="C50" s="182" t="s">
        <v>493</v>
      </c>
      <c r="D50" s="183" t="s">
        <v>500</v>
      </c>
      <c r="E50" s="183" t="s">
        <v>14</v>
      </c>
      <c r="F50" s="217"/>
      <c r="G50" s="217"/>
      <c r="H50" s="217"/>
      <c r="I50" s="218"/>
    </row>
    <row r="51" spans="1:9" ht="24">
      <c r="A51" s="196"/>
      <c r="B51" s="181">
        <v>5</v>
      </c>
      <c r="C51" s="182" t="s">
        <v>446</v>
      </c>
      <c r="D51" s="183" t="s">
        <v>500</v>
      </c>
      <c r="E51" s="183" t="s">
        <v>14</v>
      </c>
      <c r="F51" s="217"/>
      <c r="G51" s="217"/>
      <c r="H51" s="217"/>
      <c r="I51" s="218"/>
    </row>
    <row r="52" spans="1:9">
      <c r="A52" s="196"/>
      <c r="B52" s="181">
        <v>6</v>
      </c>
      <c r="C52" s="182" t="s">
        <v>447</v>
      </c>
      <c r="D52" s="183" t="s">
        <v>500</v>
      </c>
      <c r="E52" s="183" t="s">
        <v>14</v>
      </c>
      <c r="F52" s="217"/>
      <c r="G52" s="217"/>
      <c r="H52" s="217"/>
      <c r="I52" s="218"/>
    </row>
    <row r="53" spans="1:9" ht="24">
      <c r="A53" s="196"/>
      <c r="B53" s="181">
        <v>7</v>
      </c>
      <c r="C53" s="182" t="s">
        <v>494</v>
      </c>
      <c r="D53" s="183" t="s">
        <v>500</v>
      </c>
      <c r="E53" s="183" t="s">
        <v>14</v>
      </c>
      <c r="F53" s="217"/>
      <c r="G53" s="217"/>
      <c r="H53" s="217"/>
      <c r="I53" s="218"/>
    </row>
    <row r="54" spans="1:9">
      <c r="A54" s="196"/>
      <c r="B54" s="181">
        <v>8</v>
      </c>
      <c r="C54" s="182" t="s">
        <v>495</v>
      </c>
      <c r="D54" s="183" t="s">
        <v>500</v>
      </c>
      <c r="E54" s="183" t="s">
        <v>14</v>
      </c>
      <c r="F54" s="217"/>
      <c r="G54" s="217"/>
      <c r="H54" s="217"/>
      <c r="I54" s="218"/>
    </row>
    <row r="55" spans="1:9" ht="24">
      <c r="A55" s="196"/>
      <c r="B55" s="184">
        <v>9</v>
      </c>
      <c r="C55" s="185" t="s">
        <v>496</v>
      </c>
      <c r="D55" s="186" t="s">
        <v>500</v>
      </c>
      <c r="E55" s="186" t="s">
        <v>14</v>
      </c>
      <c r="F55" s="219"/>
      <c r="G55" s="219"/>
      <c r="H55" s="219"/>
      <c r="I55" s="220"/>
    </row>
    <row r="56" spans="1:9" ht="36">
      <c r="A56" s="196"/>
      <c r="B56" s="181">
        <v>10</v>
      </c>
      <c r="C56" s="182" t="s">
        <v>15</v>
      </c>
      <c r="D56" s="183" t="s">
        <v>500</v>
      </c>
      <c r="E56" s="183" t="s">
        <v>439</v>
      </c>
      <c r="F56" s="217"/>
      <c r="G56" s="217"/>
      <c r="H56" s="217"/>
      <c r="I56" s="218"/>
    </row>
    <row r="57" spans="1:9" ht="24">
      <c r="A57" s="196"/>
      <c r="B57" s="194"/>
      <c r="C57" s="182" t="s">
        <v>16</v>
      </c>
      <c r="D57" s="197"/>
      <c r="E57" s="197"/>
      <c r="F57" s="229"/>
      <c r="G57" s="229"/>
      <c r="H57" s="229"/>
      <c r="I57" s="230"/>
    </row>
    <row r="58" spans="1:9">
      <c r="A58" s="196"/>
      <c r="B58" s="181">
        <v>11</v>
      </c>
      <c r="C58" s="198" t="s">
        <v>451</v>
      </c>
      <c r="D58" s="183" t="s">
        <v>500</v>
      </c>
      <c r="E58" s="183" t="s">
        <v>440</v>
      </c>
      <c r="F58" s="217"/>
      <c r="G58" s="217"/>
      <c r="H58" s="217"/>
      <c r="I58" s="218"/>
    </row>
    <row r="59" spans="1:9">
      <c r="A59" s="196"/>
      <c r="B59" s="181">
        <v>12</v>
      </c>
      <c r="C59" s="198" t="s">
        <v>452</v>
      </c>
      <c r="D59" s="183" t="s">
        <v>500</v>
      </c>
      <c r="E59" s="183" t="s">
        <v>440</v>
      </c>
      <c r="F59" s="217"/>
      <c r="G59" s="217"/>
      <c r="H59" s="217"/>
      <c r="I59" s="218"/>
    </row>
    <row r="60" spans="1:9" ht="24">
      <c r="A60" s="196"/>
      <c r="B60" s="181">
        <v>13</v>
      </c>
      <c r="C60" s="182" t="s">
        <v>17</v>
      </c>
      <c r="D60" s="183" t="s">
        <v>500</v>
      </c>
      <c r="E60" s="183" t="s">
        <v>440</v>
      </c>
      <c r="F60" s="217"/>
      <c r="G60" s="217"/>
      <c r="H60" s="217"/>
      <c r="I60" s="218"/>
    </row>
    <row r="61" spans="1:9" ht="36">
      <c r="A61" s="196"/>
      <c r="B61" s="194"/>
      <c r="C61" s="182" t="s">
        <v>18</v>
      </c>
      <c r="D61" s="197"/>
      <c r="E61" s="197"/>
      <c r="F61" s="229"/>
      <c r="G61" s="229"/>
      <c r="H61" s="229"/>
      <c r="I61" s="230"/>
    </row>
    <row r="62" spans="1:9">
      <c r="A62" s="196"/>
      <c r="B62" s="181">
        <v>14</v>
      </c>
      <c r="C62" s="182" t="s">
        <v>19</v>
      </c>
      <c r="D62" s="183" t="s">
        <v>500</v>
      </c>
      <c r="E62" s="183" t="s">
        <v>20</v>
      </c>
      <c r="F62" s="217"/>
      <c r="G62" s="217"/>
      <c r="H62" s="217"/>
      <c r="I62" s="218"/>
    </row>
    <row r="63" spans="1:9">
      <c r="A63" s="196"/>
      <c r="B63" s="181">
        <v>15</v>
      </c>
      <c r="C63" s="182" t="s">
        <v>443</v>
      </c>
      <c r="D63" s="183" t="s">
        <v>500</v>
      </c>
      <c r="E63" s="183" t="s">
        <v>20</v>
      </c>
      <c r="F63" s="217"/>
      <c r="G63" s="217"/>
      <c r="H63" s="217"/>
      <c r="I63" s="218"/>
    </row>
    <row r="64" spans="1:9">
      <c r="A64" s="196"/>
      <c r="B64" s="181">
        <v>16</v>
      </c>
      <c r="C64" s="182" t="s">
        <v>444</v>
      </c>
      <c r="D64" s="183" t="s">
        <v>500</v>
      </c>
      <c r="E64" s="183" t="s">
        <v>20</v>
      </c>
      <c r="F64" s="217"/>
      <c r="G64" s="217"/>
      <c r="H64" s="217"/>
      <c r="I64" s="218"/>
    </row>
    <row r="65" spans="1:9">
      <c r="A65" s="196"/>
      <c r="B65" s="181">
        <v>17</v>
      </c>
      <c r="C65" s="182" t="s">
        <v>445</v>
      </c>
      <c r="D65" s="183" t="s">
        <v>500</v>
      </c>
      <c r="E65" s="183" t="s">
        <v>20</v>
      </c>
      <c r="F65" s="217"/>
      <c r="G65" s="217"/>
      <c r="H65" s="217"/>
      <c r="I65" s="218"/>
    </row>
    <row r="66" spans="1:9" ht="24">
      <c r="A66" s="196"/>
      <c r="B66" s="181">
        <v>18</v>
      </c>
      <c r="C66" s="182" t="s">
        <v>446</v>
      </c>
      <c r="D66" s="183" t="s">
        <v>500</v>
      </c>
      <c r="E66" s="183" t="s">
        <v>20</v>
      </c>
      <c r="F66" s="217"/>
      <c r="G66" s="217"/>
      <c r="H66" s="217"/>
      <c r="I66" s="218"/>
    </row>
    <row r="67" spans="1:9">
      <c r="A67" s="196"/>
      <c r="B67" s="181">
        <v>19</v>
      </c>
      <c r="C67" s="182" t="s">
        <v>447</v>
      </c>
      <c r="D67" s="183" t="s">
        <v>500</v>
      </c>
      <c r="E67" s="183" t="s">
        <v>20</v>
      </c>
      <c r="F67" s="217"/>
      <c r="G67" s="217"/>
      <c r="H67" s="217"/>
      <c r="I67" s="218"/>
    </row>
    <row r="68" spans="1:9">
      <c r="A68" s="196"/>
      <c r="B68" s="181">
        <v>20</v>
      </c>
      <c r="C68" s="182" t="s">
        <v>448</v>
      </c>
      <c r="D68" s="183" t="s">
        <v>500</v>
      </c>
      <c r="E68" s="183" t="s">
        <v>20</v>
      </c>
      <c r="F68" s="217"/>
      <c r="G68" s="217"/>
      <c r="H68" s="217"/>
      <c r="I68" s="218"/>
    </row>
    <row r="69" spans="1:9">
      <c r="A69" s="196"/>
      <c r="B69" s="181">
        <v>21</v>
      </c>
      <c r="C69" s="182" t="s">
        <v>449</v>
      </c>
      <c r="D69" s="183" t="s">
        <v>500</v>
      </c>
      <c r="E69" s="183" t="s">
        <v>20</v>
      </c>
      <c r="F69" s="217"/>
      <c r="G69" s="217"/>
      <c r="H69" s="217"/>
      <c r="I69" s="218"/>
    </row>
    <row r="70" spans="1:9">
      <c r="A70" s="196"/>
      <c r="B70" s="181">
        <v>22</v>
      </c>
      <c r="C70" s="182" t="s">
        <v>450</v>
      </c>
      <c r="D70" s="183" t="s">
        <v>500</v>
      </c>
      <c r="E70" s="183" t="s">
        <v>20</v>
      </c>
      <c r="F70" s="217"/>
      <c r="G70" s="217"/>
      <c r="H70" s="217"/>
      <c r="I70" s="218"/>
    </row>
    <row r="71" spans="1:9" ht="36">
      <c r="A71" s="196"/>
      <c r="B71" s="194"/>
      <c r="C71" s="182" t="s">
        <v>21</v>
      </c>
      <c r="D71" s="197"/>
      <c r="E71" s="197"/>
      <c r="F71" s="229"/>
      <c r="G71" s="229"/>
      <c r="H71" s="229"/>
      <c r="I71" s="230"/>
    </row>
    <row r="72" spans="1:9">
      <c r="A72" s="196"/>
      <c r="B72" s="181">
        <v>18</v>
      </c>
      <c r="C72" s="182" t="s">
        <v>442</v>
      </c>
      <c r="D72" s="183" t="s">
        <v>500</v>
      </c>
      <c r="E72" s="183" t="s">
        <v>437</v>
      </c>
      <c r="F72" s="217"/>
      <c r="G72" s="217"/>
      <c r="H72" s="217"/>
      <c r="I72" s="218"/>
    </row>
    <row r="73" spans="1:9">
      <c r="A73" s="196"/>
      <c r="B73" s="181">
        <v>19</v>
      </c>
      <c r="C73" s="182" t="s">
        <v>453</v>
      </c>
      <c r="D73" s="183" t="s">
        <v>500</v>
      </c>
      <c r="E73" s="183" t="s">
        <v>437</v>
      </c>
      <c r="F73" s="217"/>
      <c r="G73" s="217"/>
      <c r="H73" s="217"/>
      <c r="I73" s="218"/>
    </row>
    <row r="74" spans="1:9">
      <c r="A74" s="196"/>
      <c r="B74" s="181">
        <v>20</v>
      </c>
      <c r="C74" s="182" t="s">
        <v>454</v>
      </c>
      <c r="D74" s="183" t="s">
        <v>500</v>
      </c>
      <c r="E74" s="183" t="s">
        <v>437</v>
      </c>
      <c r="F74" s="217"/>
      <c r="G74" s="217"/>
      <c r="H74" s="217"/>
      <c r="I74" s="218"/>
    </row>
    <row r="75" spans="1:9">
      <c r="A75" s="196"/>
      <c r="B75" s="181">
        <v>21</v>
      </c>
      <c r="C75" s="182" t="s">
        <v>455</v>
      </c>
      <c r="D75" s="183" t="s">
        <v>500</v>
      </c>
      <c r="E75" s="183" t="s">
        <v>437</v>
      </c>
      <c r="F75" s="217"/>
      <c r="G75" s="217"/>
      <c r="H75" s="217"/>
      <c r="I75" s="218"/>
    </row>
    <row r="76" spans="1:9" ht="36">
      <c r="A76" s="196"/>
      <c r="B76" s="181">
        <v>22</v>
      </c>
      <c r="C76" s="182" t="s">
        <v>22</v>
      </c>
      <c r="D76" s="183" t="s">
        <v>500</v>
      </c>
      <c r="E76" s="183" t="s">
        <v>440</v>
      </c>
      <c r="F76" s="217"/>
      <c r="G76" s="217"/>
      <c r="H76" s="217"/>
      <c r="I76" s="218"/>
    </row>
    <row r="77" spans="1:9" ht="24">
      <c r="A77" s="180"/>
      <c r="B77" s="194"/>
      <c r="C77" s="185" t="s">
        <v>23</v>
      </c>
      <c r="D77" s="197"/>
      <c r="E77" s="197"/>
      <c r="F77" s="229"/>
      <c r="G77" s="229"/>
      <c r="H77" s="229"/>
      <c r="I77" s="230"/>
    </row>
    <row r="78" spans="1:9">
      <c r="A78" s="180"/>
      <c r="B78" s="184">
        <v>23</v>
      </c>
      <c r="C78" s="185" t="s">
        <v>456</v>
      </c>
      <c r="D78" s="186" t="s">
        <v>500</v>
      </c>
      <c r="E78" s="186" t="s">
        <v>24</v>
      </c>
      <c r="F78" s="219"/>
      <c r="G78" s="219"/>
      <c r="H78" s="219"/>
      <c r="I78" s="220"/>
    </row>
    <row r="79" spans="1:9">
      <c r="A79" s="180"/>
      <c r="B79" s="184">
        <v>24</v>
      </c>
      <c r="C79" s="185" t="s">
        <v>457</v>
      </c>
      <c r="D79" s="186" t="s">
        <v>500</v>
      </c>
      <c r="E79" s="186" t="s">
        <v>24</v>
      </c>
      <c r="F79" s="219"/>
      <c r="G79" s="219"/>
      <c r="H79" s="219"/>
      <c r="I79" s="220"/>
    </row>
    <row r="80" spans="1:9" ht="24">
      <c r="A80" s="180"/>
      <c r="B80" s="184">
        <v>25</v>
      </c>
      <c r="C80" s="185" t="s">
        <v>25</v>
      </c>
      <c r="D80" s="186" t="s">
        <v>500</v>
      </c>
      <c r="E80" s="186" t="s">
        <v>435</v>
      </c>
      <c r="F80" s="219"/>
      <c r="G80" s="219"/>
      <c r="H80" s="219"/>
      <c r="I80" s="220"/>
    </row>
    <row r="81" spans="1:9">
      <c r="A81" s="187"/>
      <c r="B81" s="190"/>
      <c r="C81" s="191"/>
      <c r="D81" s="192"/>
      <c r="E81" s="192"/>
      <c r="F81" s="225"/>
      <c r="G81" s="225"/>
      <c r="H81" s="225"/>
      <c r="I81" s="226"/>
    </row>
    <row r="82" spans="1:9" ht="36">
      <c r="A82" s="193" t="s">
        <v>26</v>
      </c>
      <c r="B82" s="177">
        <v>1</v>
      </c>
      <c r="C82" s="178" t="s">
        <v>27</v>
      </c>
      <c r="D82" s="179"/>
      <c r="E82" s="179"/>
      <c r="F82" s="231" t="s">
        <v>435</v>
      </c>
      <c r="G82" s="231" t="s">
        <v>435</v>
      </c>
      <c r="H82" s="215" t="s">
        <v>435</v>
      </c>
      <c r="I82" s="216" t="s">
        <v>435</v>
      </c>
    </row>
    <row r="83" spans="1:9" ht="48">
      <c r="A83" s="180"/>
      <c r="B83" s="181">
        <v>2</v>
      </c>
      <c r="C83" s="182" t="s">
        <v>28</v>
      </c>
      <c r="D83" s="183"/>
      <c r="E83" s="183"/>
      <c r="F83" s="217" t="s">
        <v>435</v>
      </c>
      <c r="G83" s="217" t="s">
        <v>435</v>
      </c>
      <c r="H83" s="217" t="s">
        <v>435</v>
      </c>
      <c r="I83" s="218" t="s">
        <v>435</v>
      </c>
    </row>
    <row r="84" spans="1:9" ht="24">
      <c r="A84" s="180"/>
      <c r="B84" s="181">
        <v>3</v>
      </c>
      <c r="C84" s="182" t="s">
        <v>29</v>
      </c>
      <c r="D84" s="183"/>
      <c r="E84" s="183"/>
      <c r="F84" s="217" t="s">
        <v>435</v>
      </c>
      <c r="G84" s="217" t="s">
        <v>435</v>
      </c>
      <c r="H84" s="217" t="s">
        <v>435</v>
      </c>
      <c r="I84" s="218" t="s">
        <v>435</v>
      </c>
    </row>
    <row r="85" spans="1:9" ht="24">
      <c r="A85" s="180"/>
      <c r="B85" s="184">
        <v>4</v>
      </c>
      <c r="C85" s="185" t="s">
        <v>30</v>
      </c>
      <c r="D85" s="186"/>
      <c r="E85" s="186"/>
      <c r="F85" s="219" t="s">
        <v>435</v>
      </c>
      <c r="G85" s="219" t="s">
        <v>435</v>
      </c>
      <c r="H85" s="219" t="s">
        <v>435</v>
      </c>
      <c r="I85" s="220" t="s">
        <v>435</v>
      </c>
    </row>
    <row r="86" spans="1:9">
      <c r="A86" s="187"/>
      <c r="B86" s="190"/>
      <c r="C86" s="191"/>
      <c r="D86" s="192"/>
      <c r="E86" s="192"/>
      <c r="F86" s="225"/>
      <c r="G86" s="225"/>
      <c r="H86" s="225"/>
      <c r="I86" s="226"/>
    </row>
    <row r="87" spans="1:9" ht="36">
      <c r="A87" s="196" t="s">
        <v>31</v>
      </c>
      <c r="B87" s="200">
        <v>1</v>
      </c>
      <c r="C87" s="201" t="s">
        <v>32</v>
      </c>
      <c r="D87" s="202"/>
      <c r="E87" s="202"/>
      <c r="F87" s="215" t="s">
        <v>435</v>
      </c>
      <c r="G87" s="215" t="s">
        <v>435</v>
      </c>
      <c r="H87" s="232" t="s">
        <v>435</v>
      </c>
      <c r="I87" s="233" t="s">
        <v>435</v>
      </c>
    </row>
    <row r="88" spans="1:9" ht="48">
      <c r="A88" s="180"/>
      <c r="B88" s="181">
        <v>2</v>
      </c>
      <c r="C88" s="182" t="s">
        <v>33</v>
      </c>
      <c r="D88" s="183"/>
      <c r="E88" s="183"/>
      <c r="F88" s="217" t="s">
        <v>435</v>
      </c>
      <c r="G88" s="217" t="s">
        <v>435</v>
      </c>
      <c r="H88" s="217" t="s">
        <v>435</v>
      </c>
      <c r="I88" s="218" t="s">
        <v>435</v>
      </c>
    </row>
    <row r="89" spans="1:9" ht="24">
      <c r="A89" s="180"/>
      <c r="B89" s="181">
        <v>3</v>
      </c>
      <c r="C89" s="182" t="s">
        <v>34</v>
      </c>
      <c r="D89" s="183"/>
      <c r="E89" s="183"/>
      <c r="F89" s="217" t="s">
        <v>435</v>
      </c>
      <c r="G89" s="217" t="s">
        <v>435</v>
      </c>
      <c r="H89" s="217" t="s">
        <v>435</v>
      </c>
      <c r="I89" s="218" t="s">
        <v>435</v>
      </c>
    </row>
    <row r="90" spans="1:9" ht="24">
      <c r="A90" s="180"/>
      <c r="B90" s="181">
        <v>4</v>
      </c>
      <c r="C90" s="182" t="s">
        <v>35</v>
      </c>
      <c r="D90" s="183"/>
      <c r="E90" s="183"/>
      <c r="F90" s="217" t="s">
        <v>435</v>
      </c>
      <c r="G90" s="217" t="s">
        <v>435</v>
      </c>
      <c r="H90" s="217" t="s">
        <v>435</v>
      </c>
      <c r="I90" s="218" t="s">
        <v>435</v>
      </c>
    </row>
    <row r="91" spans="1:9" ht="24">
      <c r="A91" s="180"/>
      <c r="B91" s="181">
        <v>5</v>
      </c>
      <c r="C91" s="182" t="s">
        <v>36</v>
      </c>
      <c r="D91" s="183"/>
      <c r="E91" s="183"/>
      <c r="F91" s="217" t="s">
        <v>435</v>
      </c>
      <c r="G91" s="217" t="s">
        <v>435</v>
      </c>
      <c r="H91" s="217" t="s">
        <v>435</v>
      </c>
      <c r="I91" s="218" t="s">
        <v>435</v>
      </c>
    </row>
    <row r="92" spans="1:9" ht="24">
      <c r="A92" s="180"/>
      <c r="B92" s="181">
        <v>6</v>
      </c>
      <c r="C92" s="182" t="s">
        <v>37</v>
      </c>
      <c r="D92" s="183"/>
      <c r="E92" s="183"/>
      <c r="F92" s="217" t="s">
        <v>435</v>
      </c>
      <c r="G92" s="217" t="s">
        <v>435</v>
      </c>
      <c r="H92" s="217" t="s">
        <v>435</v>
      </c>
      <c r="I92" s="218" t="s">
        <v>435</v>
      </c>
    </row>
    <row r="93" spans="1:9" ht="24">
      <c r="A93" s="180"/>
      <c r="B93" s="181">
        <v>7</v>
      </c>
      <c r="C93" s="182" t="s">
        <v>38</v>
      </c>
      <c r="D93" s="183"/>
      <c r="E93" s="183"/>
      <c r="F93" s="217" t="s">
        <v>435</v>
      </c>
      <c r="G93" s="217" t="s">
        <v>435</v>
      </c>
      <c r="H93" s="217" t="s">
        <v>435</v>
      </c>
      <c r="I93" s="218" t="s">
        <v>435</v>
      </c>
    </row>
    <row r="94" spans="1:9" ht="24">
      <c r="A94" s="180"/>
      <c r="B94" s="181">
        <v>8</v>
      </c>
      <c r="C94" s="182" t="s">
        <v>39</v>
      </c>
      <c r="D94" s="183"/>
      <c r="E94" s="183"/>
      <c r="F94" s="217" t="s">
        <v>435</v>
      </c>
      <c r="G94" s="217" t="s">
        <v>435</v>
      </c>
      <c r="H94" s="217" t="s">
        <v>435</v>
      </c>
      <c r="I94" s="218" t="s">
        <v>435</v>
      </c>
    </row>
    <row r="95" spans="1:9">
      <c r="A95" s="187"/>
      <c r="B95" s="190"/>
      <c r="C95" s="191"/>
      <c r="D95" s="192"/>
      <c r="E95" s="192"/>
      <c r="F95" s="225"/>
      <c r="G95" s="225"/>
      <c r="H95" s="225"/>
      <c r="I95" s="226"/>
    </row>
    <row r="96" spans="1:9" ht="84">
      <c r="A96" s="193" t="s">
        <v>40</v>
      </c>
      <c r="B96" s="177">
        <v>1</v>
      </c>
      <c r="C96" s="178" t="s">
        <v>41</v>
      </c>
      <c r="D96" s="179"/>
      <c r="E96" s="179"/>
      <c r="F96" s="215" t="s">
        <v>435</v>
      </c>
      <c r="G96" s="215" t="s">
        <v>435</v>
      </c>
      <c r="H96" s="215"/>
      <c r="I96" s="216"/>
    </row>
    <row r="97" spans="1:9" ht="36">
      <c r="A97" s="180"/>
      <c r="B97" s="181">
        <v>2</v>
      </c>
      <c r="C97" s="182" t="s">
        <v>42</v>
      </c>
      <c r="D97" s="183"/>
      <c r="E97" s="183"/>
      <c r="F97" s="217" t="s">
        <v>435</v>
      </c>
      <c r="G97" s="217" t="s">
        <v>435</v>
      </c>
      <c r="H97" s="217"/>
      <c r="I97" s="218"/>
    </row>
    <row r="98" spans="1:9" ht="60">
      <c r="A98" s="180"/>
      <c r="B98" s="181">
        <v>3</v>
      </c>
      <c r="C98" s="182" t="s">
        <v>43</v>
      </c>
      <c r="D98" s="183"/>
      <c r="E98" s="183"/>
      <c r="F98" s="217" t="s">
        <v>435</v>
      </c>
      <c r="G98" s="217" t="s">
        <v>435</v>
      </c>
      <c r="H98" s="217"/>
      <c r="I98" s="218"/>
    </row>
    <row r="99" spans="1:9" ht="60">
      <c r="A99" s="180"/>
      <c r="B99" s="181">
        <v>4</v>
      </c>
      <c r="C99" s="182" t="s">
        <v>44</v>
      </c>
      <c r="D99" s="183"/>
      <c r="E99" s="183"/>
      <c r="F99" s="217" t="s">
        <v>435</v>
      </c>
      <c r="G99" s="217" t="s">
        <v>435</v>
      </c>
      <c r="H99" s="217"/>
      <c r="I99" s="218"/>
    </row>
    <row r="100" spans="1:9" ht="24">
      <c r="A100" s="180"/>
      <c r="B100" s="184">
        <v>5</v>
      </c>
      <c r="C100" s="185" t="s">
        <v>45</v>
      </c>
      <c r="D100" s="186"/>
      <c r="E100" s="186"/>
      <c r="F100" s="219" t="s">
        <v>435</v>
      </c>
      <c r="G100" s="219" t="s">
        <v>435</v>
      </c>
      <c r="H100" s="219"/>
      <c r="I100" s="220"/>
    </row>
    <row r="101" spans="1:9">
      <c r="A101" s="187"/>
      <c r="B101" s="190"/>
      <c r="C101" s="191"/>
      <c r="D101" s="192"/>
      <c r="E101" s="192"/>
      <c r="F101" s="225"/>
      <c r="G101" s="225"/>
      <c r="H101" s="225"/>
      <c r="I101" s="226"/>
    </row>
    <row r="102" spans="1:9" ht="36">
      <c r="A102" s="176" t="s">
        <v>46</v>
      </c>
      <c r="B102" s="177">
        <v>1</v>
      </c>
      <c r="C102" s="178" t="s">
        <v>47</v>
      </c>
      <c r="D102" s="179" t="s">
        <v>500</v>
      </c>
      <c r="E102" s="179" t="s">
        <v>435</v>
      </c>
      <c r="F102" s="215" t="s">
        <v>435</v>
      </c>
      <c r="G102" s="215" t="s">
        <v>435</v>
      </c>
      <c r="H102" s="215" t="s">
        <v>435</v>
      </c>
      <c r="I102" s="216" t="s">
        <v>435</v>
      </c>
    </row>
    <row r="103" spans="1:9" ht="60">
      <c r="A103" s="180"/>
      <c r="B103" s="181">
        <v>2</v>
      </c>
      <c r="C103" s="182" t="s">
        <v>48</v>
      </c>
      <c r="D103" s="183" t="s">
        <v>500</v>
      </c>
      <c r="E103" s="183" t="s">
        <v>435</v>
      </c>
      <c r="F103" s="217" t="s">
        <v>435</v>
      </c>
      <c r="G103" s="217" t="s">
        <v>435</v>
      </c>
      <c r="H103" s="217" t="s">
        <v>435</v>
      </c>
      <c r="I103" s="218" t="s">
        <v>435</v>
      </c>
    </row>
    <row r="104" spans="1:9" ht="36">
      <c r="A104" s="180"/>
      <c r="B104" s="184">
        <v>3</v>
      </c>
      <c r="C104" s="185" t="s">
        <v>49</v>
      </c>
      <c r="D104" s="186" t="s">
        <v>500</v>
      </c>
      <c r="E104" s="186" t="s">
        <v>435</v>
      </c>
      <c r="F104" s="219" t="s">
        <v>435</v>
      </c>
      <c r="G104" s="219" t="s">
        <v>435</v>
      </c>
      <c r="H104" s="219" t="s">
        <v>435</v>
      </c>
      <c r="I104" s="220" t="s">
        <v>435</v>
      </c>
    </row>
    <row r="105" spans="1:9" ht="36">
      <c r="A105" s="180"/>
      <c r="B105" s="184">
        <v>4</v>
      </c>
      <c r="C105" s="185" t="s">
        <v>50</v>
      </c>
      <c r="D105" s="186" t="s">
        <v>500</v>
      </c>
      <c r="E105" s="186" t="s">
        <v>435</v>
      </c>
      <c r="F105" s="219" t="s">
        <v>435</v>
      </c>
      <c r="G105" s="219" t="s">
        <v>435</v>
      </c>
      <c r="H105" s="219" t="s">
        <v>435</v>
      </c>
      <c r="I105" s="220" t="s">
        <v>435</v>
      </c>
    </row>
    <row r="106" spans="1:9">
      <c r="A106" s="187"/>
      <c r="B106" s="190"/>
      <c r="C106" s="191"/>
      <c r="D106" s="192"/>
      <c r="E106" s="192"/>
      <c r="F106" s="225"/>
      <c r="G106" s="225"/>
      <c r="H106" s="225"/>
      <c r="I106" s="226"/>
    </row>
    <row r="107" spans="1:9" ht="48">
      <c r="A107" s="180" t="s">
        <v>51</v>
      </c>
      <c r="B107" s="203">
        <v>1</v>
      </c>
      <c r="C107" s="204" t="s">
        <v>52</v>
      </c>
      <c r="D107" s="205" t="s">
        <v>500</v>
      </c>
      <c r="E107" s="205" t="s">
        <v>435</v>
      </c>
      <c r="F107" s="223" t="s">
        <v>435</v>
      </c>
      <c r="G107" s="223" t="s">
        <v>435</v>
      </c>
      <c r="H107" s="223" t="s">
        <v>435</v>
      </c>
      <c r="I107" s="224" t="s">
        <v>435</v>
      </c>
    </row>
    <row r="108" spans="1:9">
      <c r="A108" s="187"/>
      <c r="B108" s="190"/>
      <c r="C108" s="191"/>
      <c r="D108" s="192"/>
      <c r="E108" s="192"/>
      <c r="F108" s="225"/>
      <c r="G108" s="225"/>
      <c r="H108" s="225"/>
      <c r="I108" s="226"/>
    </row>
    <row r="109" spans="1:9" ht="24">
      <c r="A109" s="176" t="s">
        <v>53</v>
      </c>
      <c r="B109" s="206">
        <v>1</v>
      </c>
      <c r="C109" s="207" t="s">
        <v>54</v>
      </c>
      <c r="D109" s="199" t="s">
        <v>500</v>
      </c>
      <c r="E109" s="199" t="s">
        <v>435</v>
      </c>
      <c r="F109" s="231" t="s">
        <v>435</v>
      </c>
      <c r="G109" s="231" t="s">
        <v>435</v>
      </c>
      <c r="H109" s="231" t="s">
        <v>435</v>
      </c>
      <c r="I109" s="234" t="s">
        <v>435</v>
      </c>
    </row>
    <row r="110" spans="1:9">
      <c r="A110" s="187"/>
      <c r="B110" s="190"/>
      <c r="C110" s="191"/>
      <c r="D110" s="192"/>
      <c r="E110" s="192"/>
      <c r="F110" s="225"/>
      <c r="G110" s="225"/>
      <c r="H110" s="225"/>
      <c r="I110" s="226"/>
    </row>
    <row r="111" spans="1:9" ht="24">
      <c r="A111" s="176" t="s">
        <v>55</v>
      </c>
      <c r="B111" s="206">
        <v>1</v>
      </c>
      <c r="C111" s="207" t="s">
        <v>56</v>
      </c>
      <c r="D111" s="199" t="s">
        <v>500</v>
      </c>
      <c r="E111" s="199" t="s">
        <v>435</v>
      </c>
      <c r="F111" s="231" t="s">
        <v>435</v>
      </c>
      <c r="G111" s="231" t="s">
        <v>435</v>
      </c>
      <c r="H111" s="231" t="s">
        <v>435</v>
      </c>
      <c r="I111" s="234" t="s">
        <v>435</v>
      </c>
    </row>
    <row r="112" spans="1:9">
      <c r="A112" s="187"/>
      <c r="B112" s="190"/>
      <c r="C112" s="191"/>
      <c r="D112" s="192"/>
      <c r="E112" s="192"/>
      <c r="F112" s="225"/>
      <c r="G112" s="225"/>
      <c r="H112" s="225"/>
      <c r="I112" s="226"/>
    </row>
    <row r="113" spans="1:9" ht="24">
      <c r="A113" s="176" t="s">
        <v>57</v>
      </c>
      <c r="B113" s="206">
        <v>1</v>
      </c>
      <c r="C113" s="207" t="s">
        <v>58</v>
      </c>
      <c r="D113" s="199" t="s">
        <v>500</v>
      </c>
      <c r="E113" s="199" t="s">
        <v>435</v>
      </c>
      <c r="F113" s="231" t="s">
        <v>435</v>
      </c>
      <c r="G113" s="231" t="s">
        <v>435</v>
      </c>
      <c r="H113" s="231" t="s">
        <v>435</v>
      </c>
      <c r="I113" s="234" t="s">
        <v>435</v>
      </c>
    </row>
    <row r="114" spans="1:9" ht="12.75" thickBot="1">
      <c r="A114" s="208"/>
      <c r="B114" s="209"/>
      <c r="C114" s="210"/>
      <c r="D114" s="211"/>
      <c r="E114" s="211"/>
      <c r="F114" s="235"/>
      <c r="G114" s="235"/>
      <c r="H114" s="235"/>
      <c r="I114" s="236"/>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EVCTUWYQZQYC-538864054-47073</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https://mitsubishielectricgroup.sharepoint.com/sites/009989/_layouts/15/DocIdRedir.aspx?ID=EVCTUWYQZQYC-538864054-47073</Url>
      <Description>EVCTUWYQZQYC-538864054-47073</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F0EE61-B195-4CB1-87A3-4E5E2F9B4720}">
  <ds:schemaRefs>
    <ds:schemaRef ds:uri="761a324b-5d78-44cf-b9f7-03e8b2a8fda7"/>
    <ds:schemaRef ds:uri="http://schemas.microsoft.com/office/infopath/2007/PartnerControls"/>
    <ds:schemaRef ds:uri="276bdb53-d102-4a67-8437-273e78fbb7dc"/>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http://www.w3.org/XML/1998/namespace"/>
    <ds:schemaRef ds:uri="http://purl.org/dc/dcmitype/"/>
    <ds:schemaRef ds:uri="http://purl.org/dc/terms/"/>
  </ds:schemaRefs>
</ds:datastoreItem>
</file>

<file path=customXml/itemProps2.xml><?xml version="1.0" encoding="utf-8"?>
<ds:datastoreItem xmlns:ds="http://schemas.openxmlformats.org/officeDocument/2006/customXml" ds:itemID="{FA3665D7-A8D5-475E-997B-92106B9D6514}">
  <ds:schemaRefs>
    <ds:schemaRef ds:uri="http://schemas.microsoft.com/sharepoint/v3/contenttype/forms"/>
  </ds:schemaRefs>
</ds:datastoreItem>
</file>

<file path=customXml/itemProps3.xml><?xml version="1.0" encoding="utf-8"?>
<ds:datastoreItem xmlns:ds="http://schemas.openxmlformats.org/officeDocument/2006/customXml" ds:itemID="{A07D3A11-2CC9-48E9-921F-721AF3C039BB}">
  <ds:schemaRefs>
    <ds:schemaRef ds:uri="http://schemas.microsoft.com/sharepoint/events"/>
  </ds:schemaRefs>
</ds:datastoreItem>
</file>

<file path=customXml/itemProps4.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cp:lastPrinted>2013-04-02T04:52:40Z</cp:lastPrinted>
  <dcterms:created xsi:type="dcterms:W3CDTF">2002-04-16T00:52:35Z</dcterms:created>
  <dcterms:modified xsi:type="dcterms:W3CDTF">2023-04-13T08:40:05Z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bc1c9ad4-3c10-4673-8b6e-3fb270b1d585</vt:lpwstr>
  </property>
  <property fmtid="{D5CDD505-2E9C-101B-9397-08002B2CF9AE}" pid="5" name="MediaServiceImageTags">
    <vt:lpwstr/>
  </property>
</Properties>
</file>