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227"/>
  <workbookPr filterPrivacy="1"/>
  <xr:revisionPtr revIDLastSave="0" documentId="13_ncr:1_{7C228D50-523C-4B3B-9D40-DB6112AEA739}" xr6:coauthVersionLast="47" xr6:coauthVersionMax="47" xr10:uidLastSave="{00000000-0000-0000-0000-000000000000}"/>
  <bookViews>
    <workbookView xWindow="6525" yWindow="1575" windowWidth="21840" windowHeight="13245" tabRatio="589" firstSheet="2" activeTab="2" xr2:uid="{00000000-000D-0000-FFFF-FFFF00000000}"/>
  </bookViews>
  <sheets>
    <sheet name="ﾚﾋﾞｭｰ評価ｼｰﾄ" sheetId="7" r:id="rId1"/>
    <sheet name="査読ｼｰﾄ記入要領" sheetId="2" r:id="rId2"/>
    <sheet name="査読ｼｰﾄ" sheetId="8" r:id="rId3"/>
    <sheet name="単体テスト要領書レビューチェックリスト" sheetId="11" r:id="rId4"/>
  </sheets>
  <definedNames>
    <definedName name="_xlnm.Print_Area" localSheetId="3">単体テスト要領書レビューチェックリスト!$A$1:$I$114</definedName>
    <definedName name="weww" hidden="1">{#N/A,#N/A,FALSE,"１）背景";#N/A,#N/A,FALSE,"２）前提事項";#N/A,#N/A,FALSE,"３）優先順位";#N/A,#N/A,FALSE,"４）改善サマリー";#N/A,#N/A,FALSE,"５）懸念-1";#N/A,#N/A,FALSE,"５）懸念-2";#N/A,#N/A,FALSE,"５）懸念-3";#N/A,#N/A,FALSE,"５）懸念-4";#N/A,#N/A,FALSE,"６）組織図";#N/A,#N/A,FALSE,"６）スケジュール"}</definedName>
    <definedName name="wrn.すべて印刷." hidden="1">{#N/A,#N/A,FALSE,"１）背景";#N/A,#N/A,FALSE,"２）前提事項";#N/A,#N/A,FALSE,"３）優先順位";#N/A,#N/A,FALSE,"４）改善サマリー";#N/A,#N/A,FALSE,"５）懸念-1";#N/A,#N/A,FALSE,"５）懸念-2";#N/A,#N/A,FALSE,"５）懸念-3";#N/A,#N/A,FALSE,"５）懸念-4";#N/A,#N/A,FALSE,"６）組織図";#N/A,#N/A,FALSE,"６）スケジュール"}</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 i="11" l="1"/>
  <c r="V17" i="8"/>
  <c r="Y17" i="8"/>
  <c r="Z17" i="8" s="1"/>
  <c r="Y19" i="8"/>
  <c r="Y21" i="8"/>
  <c r="Y23" i="8"/>
  <c r="X25" i="8"/>
  <c r="O53" i="7" s="1"/>
  <c r="X23" i="8"/>
  <c r="O52" i="7" s="1"/>
  <c r="X21" i="8"/>
  <c r="O51" i="7" s="1"/>
  <c r="X19" i="8"/>
  <c r="O50" i="7" s="1"/>
  <c r="X17" i="8"/>
  <c r="O49" i="7" s="1"/>
  <c r="O46" i="7"/>
  <c r="N4" i="8"/>
  <c r="N6" i="8"/>
  <c r="N8" i="8"/>
  <c r="N12" i="8"/>
  <c r="Q4" i="8"/>
  <c r="Q12" i="8" s="1"/>
  <c r="O18" i="7" s="1"/>
  <c r="Q6" i="8"/>
  <c r="Q8" i="8"/>
  <c r="T4" i="8"/>
  <c r="T6" i="8"/>
  <c r="T8" i="8"/>
  <c r="T12" i="8"/>
  <c r="W4" i="8"/>
  <c r="W6" i="8"/>
  <c r="W8" i="8"/>
  <c r="W10" i="8"/>
  <c r="Z4" i="8"/>
  <c r="Z6" i="8"/>
  <c r="Z8" i="8"/>
  <c r="Z10" i="8"/>
  <c r="AC4" i="8"/>
  <c r="AC6" i="8"/>
  <c r="AC8" i="8"/>
  <c r="AC10" i="8"/>
  <c r="AF4" i="8"/>
  <c r="AF6" i="8"/>
  <c r="AF8" i="8"/>
  <c r="AF10" i="8"/>
  <c r="AF12" i="8"/>
  <c r="O23" i="7" s="1"/>
  <c r="AI4" i="8"/>
  <c r="AI6" i="8"/>
  <c r="AI8" i="8"/>
  <c r="AI10" i="8"/>
  <c r="AL4" i="8"/>
  <c r="AL6" i="8"/>
  <c r="AL8" i="8"/>
  <c r="AL10" i="8"/>
  <c r="AO4" i="8"/>
  <c r="AO6" i="8"/>
  <c r="AO12" i="8" s="1"/>
  <c r="O26" i="7" s="1"/>
  <c r="AO8" i="8"/>
  <c r="AO10" i="8"/>
  <c r="AR4" i="8"/>
  <c r="AR6" i="8"/>
  <c r="AR8" i="8"/>
  <c r="AR12" i="8" s="1"/>
  <c r="O27" i="7" s="1"/>
  <c r="AR10" i="8"/>
  <c r="AU4" i="8"/>
  <c r="AU6" i="8"/>
  <c r="AU8" i="8"/>
  <c r="AU10" i="8"/>
  <c r="AX4" i="8"/>
  <c r="AX6" i="8"/>
  <c r="AX8" i="8"/>
  <c r="AX12" i="8" s="1"/>
  <c r="O29" i="7" s="1"/>
  <c r="AX10" i="8"/>
  <c r="BA4" i="8"/>
  <c r="BA6" i="8"/>
  <c r="BA8" i="8"/>
  <c r="BA10" i="8"/>
  <c r="BD4" i="8"/>
  <c r="BD6" i="8"/>
  <c r="BD8" i="8"/>
  <c r="BD12" i="8" s="1"/>
  <c r="O31" i="7" s="1"/>
  <c r="BD10" i="8"/>
  <c r="BG4" i="8"/>
  <c r="BG6" i="8"/>
  <c r="BG8" i="8"/>
  <c r="BG10" i="8"/>
  <c r="BJ4" i="8"/>
  <c r="BJ6" i="8"/>
  <c r="BJ8" i="8"/>
  <c r="BJ10" i="8"/>
  <c r="BP4" i="8"/>
  <c r="BP6" i="8"/>
  <c r="BP8" i="8"/>
  <c r="BP10" i="8"/>
  <c r="BS4" i="8"/>
  <c r="BS6" i="8"/>
  <c r="BS12" i="8" s="1"/>
  <c r="O35" i="7" s="1"/>
  <c r="BS8" i="8"/>
  <c r="BS10" i="8"/>
  <c r="BV4" i="8"/>
  <c r="BV6" i="8"/>
  <c r="BV8" i="8"/>
  <c r="BV10" i="8"/>
  <c r="BV12" i="8" s="1"/>
  <c r="O36" i="7" s="1"/>
  <c r="CE4" i="8"/>
  <c r="CE6" i="8"/>
  <c r="CE8" i="8"/>
  <c r="CE10" i="8"/>
  <c r="CH4" i="8"/>
  <c r="CH6" i="8"/>
  <c r="CH8" i="8"/>
  <c r="CH10" i="8"/>
  <c r="CK4" i="8"/>
  <c r="CK12" i="8" s="1"/>
  <c r="O39" i="7" s="1"/>
  <c r="CK6" i="8"/>
  <c r="CK8" i="8"/>
  <c r="CK10" i="8"/>
  <c r="CN4" i="8"/>
  <c r="CN6" i="8"/>
  <c r="CN8" i="8"/>
  <c r="CN10" i="8"/>
  <c r="CN12" i="8" s="1"/>
  <c r="O40" i="7" s="1"/>
  <c r="CQ4" i="8"/>
  <c r="CQ6" i="8"/>
  <c r="CQ8" i="8"/>
  <c r="CQ10" i="8"/>
  <c r="CT4" i="8"/>
  <c r="CT6" i="8"/>
  <c r="CT8" i="8"/>
  <c r="CT10" i="8"/>
  <c r="CW4" i="8"/>
  <c r="CW12" i="8" s="1"/>
  <c r="O43" i="7" s="1"/>
  <c r="CW6" i="8"/>
  <c r="CW8" i="8"/>
  <c r="CW10" i="8"/>
  <c r="CZ4" i="8"/>
  <c r="CZ6" i="8"/>
  <c r="CZ8" i="8"/>
  <c r="CZ10" i="8"/>
  <c r="O19" i="7"/>
  <c r="O17" i="7"/>
  <c r="J15" i="7"/>
  <c r="V35" i="7" s="1"/>
  <c r="J14" i="7"/>
  <c r="V31" i="7" s="1"/>
  <c r="H9" i="7"/>
  <c r="N9" i="7"/>
  <c r="BM4" i="8"/>
  <c r="BY4" i="8"/>
  <c r="CB4" i="8"/>
  <c r="BM6" i="8"/>
  <c r="BY6" i="8"/>
  <c r="CB6" i="8"/>
  <c r="BM8" i="8"/>
  <c r="BY8" i="8"/>
  <c r="CB8" i="8"/>
  <c r="BM10" i="8"/>
  <c r="BY10" i="8"/>
  <c r="CB10" i="8"/>
  <c r="G49" i="7"/>
  <c r="J40" i="8"/>
  <c r="A45" i="8"/>
  <c r="A46" i="8" s="1"/>
  <c r="A47" i="8" s="1"/>
  <c r="A48" i="8" s="1"/>
  <c r="A49" i="8" s="1"/>
  <c r="A50" i="8" s="1"/>
  <c r="A51" i="8" s="1"/>
  <c r="A52" i="8" s="1"/>
  <c r="A53" i="8" s="1"/>
  <c r="A54" i="8" s="1"/>
  <c r="A55" i="8" s="1"/>
  <c r="A56" i="8" s="1"/>
  <c r="A57" i="8" s="1"/>
  <c r="A58" i="8" s="1"/>
  <c r="A59" i="8" s="1"/>
  <c r="A60" i="8" s="1"/>
  <c r="A61" i="8" s="1"/>
  <c r="A62" i="8" s="1"/>
  <c r="A63" i="8" s="1"/>
  <c r="A45" i="2"/>
  <c r="A46" i="2" s="1"/>
  <c r="A47" i="2" s="1"/>
  <c r="A48" i="2" s="1"/>
  <c r="A49" i="2" s="1"/>
  <c r="A50" i="2" s="1"/>
  <c r="A51" i="2" s="1"/>
  <c r="A52" i="2" s="1"/>
  <c r="A53" i="2" s="1"/>
  <c r="A54" i="2" s="1"/>
  <c r="A55" i="2" s="1"/>
  <c r="A56" i="2" s="1"/>
  <c r="A57" i="2" s="1"/>
  <c r="A58" i="2" s="1"/>
  <c r="A59" i="2" s="1"/>
  <c r="A60" i="2" s="1"/>
  <c r="A61" i="2" s="1"/>
  <c r="A62" i="2" s="1"/>
  <c r="A63" i="2" s="1"/>
  <c r="V28" i="7"/>
  <c r="V17" i="2"/>
  <c r="X17" i="2"/>
  <c r="CW4" i="2"/>
  <c r="CW6" i="2"/>
  <c r="CW8" i="2"/>
  <c r="CW10" i="2"/>
  <c r="CZ4" i="2"/>
  <c r="CZ6" i="2"/>
  <c r="CZ8" i="2"/>
  <c r="CZ10" i="2"/>
  <c r="CT4" i="2"/>
  <c r="CT6" i="2"/>
  <c r="CT12" i="2" s="1"/>
  <c r="CT8" i="2"/>
  <c r="CT10" i="2"/>
  <c r="W4" i="2"/>
  <c r="W6" i="2"/>
  <c r="W8" i="2"/>
  <c r="W10" i="2"/>
  <c r="CK4" i="2"/>
  <c r="CK6" i="2"/>
  <c r="CK8" i="2"/>
  <c r="CK12" i="2" s="1"/>
  <c r="CK10" i="2"/>
  <c r="CH4" i="2"/>
  <c r="CH6" i="2"/>
  <c r="CH12" i="2" s="1"/>
  <c r="CH8" i="2"/>
  <c r="CH10" i="2"/>
  <c r="BV4" i="2"/>
  <c r="BV6" i="2"/>
  <c r="BV8" i="2"/>
  <c r="BV10" i="2"/>
  <c r="Z4" i="2"/>
  <c r="Z6" i="2"/>
  <c r="Z12" i="2" s="1"/>
  <c r="Z8" i="2"/>
  <c r="Z10" i="2"/>
  <c r="AC4" i="2"/>
  <c r="AC12" i="2" s="1"/>
  <c r="AC6" i="2"/>
  <c r="AC8" i="2"/>
  <c r="AC10" i="2"/>
  <c r="AF4" i="2"/>
  <c r="AF6" i="2"/>
  <c r="AF8" i="2"/>
  <c r="AF10" i="2"/>
  <c r="AI4" i="2"/>
  <c r="AI6" i="2"/>
  <c r="AI8" i="2"/>
  <c r="AI10" i="2"/>
  <c r="AL4" i="2"/>
  <c r="AL6" i="2"/>
  <c r="AL8" i="2"/>
  <c r="AL10" i="2"/>
  <c r="AO4" i="2"/>
  <c r="AO6" i="2"/>
  <c r="AO12" i="2" s="1"/>
  <c r="AO8" i="2"/>
  <c r="AO10" i="2"/>
  <c r="AR4" i="2"/>
  <c r="AR12" i="2" s="1"/>
  <c r="AR6" i="2"/>
  <c r="AR8" i="2"/>
  <c r="AR10" i="2"/>
  <c r="AU4" i="2"/>
  <c r="AU6" i="2"/>
  <c r="AU8" i="2"/>
  <c r="AU10" i="2"/>
  <c r="AX4" i="2"/>
  <c r="AX6" i="2"/>
  <c r="AX8" i="2"/>
  <c r="AX10" i="2"/>
  <c r="BA4" i="2"/>
  <c r="BA6" i="2"/>
  <c r="BA8" i="2"/>
  <c r="BA10" i="2"/>
  <c r="BD4" i="2"/>
  <c r="BD12" i="2" s="1"/>
  <c r="BD6" i="2"/>
  <c r="BD8" i="2"/>
  <c r="BD10" i="2"/>
  <c r="CQ4" i="2"/>
  <c r="CQ12" i="2" s="1"/>
  <c r="CQ6" i="2"/>
  <c r="CQ8" i="2"/>
  <c r="CQ10" i="2"/>
  <c r="CN4" i="2"/>
  <c r="CN6" i="2"/>
  <c r="CN8" i="2"/>
  <c r="CN10" i="2"/>
  <c r="CN12" i="2" s="1"/>
  <c r="CE4" i="2"/>
  <c r="CE6" i="2"/>
  <c r="CE8" i="2"/>
  <c r="CE10" i="2"/>
  <c r="BS4" i="2"/>
  <c r="BS6" i="2"/>
  <c r="BS8" i="2"/>
  <c r="BS10" i="2"/>
  <c r="BP4" i="2"/>
  <c r="BP12" i="2" s="1"/>
  <c r="BP6" i="2"/>
  <c r="BP8" i="2"/>
  <c r="BP10" i="2"/>
  <c r="BG4" i="2"/>
  <c r="BG6" i="2"/>
  <c r="BG8" i="2"/>
  <c r="BG10" i="2"/>
  <c r="BJ4" i="2"/>
  <c r="BJ6" i="2"/>
  <c r="BJ8" i="2"/>
  <c r="BJ12" i="2" s="1"/>
  <c r="BJ10" i="2"/>
  <c r="N4" i="2"/>
  <c r="N6" i="2"/>
  <c r="N8" i="2"/>
  <c r="Q4" i="2"/>
  <c r="Q6" i="2"/>
  <c r="Q8" i="2"/>
  <c r="T4" i="2"/>
  <c r="T6" i="2"/>
  <c r="T8" i="2"/>
  <c r="J40" i="2"/>
  <c r="BY10" i="2"/>
  <c r="BM4" i="2"/>
  <c r="BM6" i="2"/>
  <c r="BM8" i="2"/>
  <c r="BM10" i="2"/>
  <c r="BY4" i="2"/>
  <c r="CB4" i="2"/>
  <c r="BY6" i="2"/>
  <c r="CB6" i="2"/>
  <c r="BY8" i="2"/>
  <c r="CB8" i="2"/>
  <c r="CB10" i="2"/>
  <c r="AF12" i="2"/>
  <c r="Y17" i="2"/>
  <c r="Z17" i="2" s="1"/>
  <c r="X19" i="2"/>
  <c r="Y19" i="2"/>
  <c r="X21" i="2"/>
  <c r="Y21" i="2"/>
  <c r="Y23" i="2"/>
  <c r="X23" i="2"/>
  <c r="Y25" i="8"/>
  <c r="X25" i="2"/>
  <c r="Y25" i="2"/>
  <c r="V41" i="7"/>
  <c r="V37" i="7"/>
  <c r="V39" i="7"/>
  <c r="V33" i="7"/>
  <c r="AL12" i="2" l="1"/>
  <c r="AL12" i="8"/>
  <c r="O25" i="7" s="1"/>
  <c r="AU12" i="2"/>
  <c r="Q12" i="2"/>
  <c r="AI12" i="2"/>
  <c r="CZ12" i="2"/>
  <c r="CT12" i="8"/>
  <c r="O42" i="7" s="1"/>
  <c r="BG12" i="8"/>
  <c r="O32" i="7" s="1"/>
  <c r="Z12" i="8"/>
  <c r="O21" i="7" s="1"/>
  <c r="CE12" i="2"/>
  <c r="BG12" i="2"/>
  <c r="BA12" i="2"/>
  <c r="CH12" i="8"/>
  <c r="O38" i="7" s="1"/>
  <c r="AU12" i="8"/>
  <c r="O28" i="7" s="1"/>
  <c r="BP12" i="8"/>
  <c r="O34" i="7" s="1"/>
  <c r="AI12" i="8"/>
  <c r="O24" i="7" s="1"/>
  <c r="N12" i="2"/>
  <c r="L12" i="2" s="1"/>
  <c r="BV12" i="2"/>
  <c r="CQ12" i="8"/>
  <c r="O41" i="7" s="1"/>
  <c r="BA12" i="8"/>
  <c r="O30" i="7" s="1"/>
  <c r="W12" i="8"/>
  <c r="L12" i="8" s="1"/>
  <c r="CW12" i="2"/>
  <c r="CE12" i="8"/>
  <c r="O37" i="7" s="1"/>
  <c r="BS12" i="2"/>
  <c r="T12" i="2"/>
  <c r="AX12" i="2"/>
  <c r="W12" i="2"/>
  <c r="CZ12" i="8"/>
  <c r="O44" i="7" s="1"/>
  <c r="BJ12" i="8"/>
  <c r="O33" i="7" s="1"/>
  <c r="AC12" i="8"/>
  <c r="O22" i="7" s="1"/>
  <c r="V19" i="2"/>
  <c r="Z19" i="2"/>
  <c r="O20" i="7"/>
  <c r="Z19" i="8"/>
  <c r="V19" i="8"/>
  <c r="G50" i="7" s="1"/>
  <c r="J45" i="7" l="1"/>
  <c r="N45" i="7"/>
  <c r="Z21" i="8"/>
  <c r="V21" i="8"/>
  <c r="G51" i="7" s="1"/>
  <c r="Z21" i="2"/>
  <c r="V21" i="2"/>
  <c r="Z23" i="2" l="1"/>
  <c r="V23" i="2"/>
  <c r="V23" i="8"/>
  <c r="G52" i="7" s="1"/>
  <c r="Z23" i="8"/>
  <c r="V25" i="2" l="1"/>
  <c r="Z25" i="2"/>
  <c r="V25" i="8"/>
  <c r="G53" i="7" s="1"/>
  <c r="Z25" i="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C5" authorId="0" shapeId="0" xr:uid="{00000000-0006-0000-0300-000001000000}">
      <text>
        <r>
          <rPr>
            <b/>
            <sz val="9"/>
            <color indexed="81"/>
            <rFont val="ＭＳ Ｐゴシック"/>
            <family val="3"/>
            <charset val="128"/>
          </rPr>
          <t>【機能ＩＤ】_【機能名】
※査読シートと同じにする</t>
        </r>
      </text>
    </comment>
    <comment ref="D7" authorId="0" shapeId="0" xr:uid="{00000000-0006-0000-0300-000002000000}">
      <text>
        <r>
          <rPr>
            <b/>
            <sz val="9"/>
            <color indexed="81"/>
            <rFont val="ＭＳ Ｐゴシック"/>
            <family val="3"/>
            <charset val="128"/>
          </rPr>
          <t>チェック結果を記載する。
機能区分が「－」の場合は、結果を「－」とする。</t>
        </r>
      </text>
    </comment>
  </commentList>
</comments>
</file>

<file path=xl/sharedStrings.xml><?xml version="1.0" encoding="utf-8"?>
<sst xmlns="http://schemas.openxmlformats.org/spreadsheetml/2006/main" count="1496" uniqueCount="464">
  <si>
    <t>レビュー評価シート</t>
    <rPh sb="4" eb="6">
      <t>ヒョウカ</t>
    </rPh>
    <phoneticPr fontId="2"/>
  </si>
  <si>
    <t>作　成　日　</t>
    <rPh sb="0" eb="1">
      <t>サク</t>
    </rPh>
    <rPh sb="2" eb="3">
      <t>シゲル</t>
    </rPh>
    <rPh sb="4" eb="5">
      <t>ヒ</t>
    </rPh>
    <phoneticPr fontId="2"/>
  </si>
  <si>
    <t>※本評価シートは作業成果物に添付して，登録すること。</t>
    <rPh sb="1" eb="2">
      <t>ホン</t>
    </rPh>
    <rPh sb="2" eb="4">
      <t>ヒョウカ</t>
    </rPh>
    <rPh sb="8" eb="10">
      <t>サギョウ</t>
    </rPh>
    <rPh sb="10" eb="12">
      <t>セイカ</t>
    </rPh>
    <rPh sb="12" eb="13">
      <t>ブツ</t>
    </rPh>
    <rPh sb="14" eb="16">
      <t>テンプ</t>
    </rPh>
    <rPh sb="19" eb="21">
      <t>トウロク</t>
    </rPh>
    <phoneticPr fontId="2"/>
  </si>
  <si>
    <t>ﾚﾋﾞｭｰ形式：
（○を記入）</t>
    <rPh sb="12" eb="14">
      <t>キニュウ</t>
    </rPh>
    <phoneticPr fontId="2"/>
  </si>
  <si>
    <t>○</t>
  </si>
  <si>
    <t>ピアレビュー</t>
    <phoneticPr fontId="2"/>
  </si>
  <si>
    <t>公式レビュー</t>
    <rPh sb="0" eb="2">
      <t>コウシキ</t>
    </rPh>
    <phoneticPr fontId="2"/>
  </si>
  <si>
    <t>（注1）　　　　　：ピア/公式ﾚﾋﾞｭｰを行うドキュメントの場合の必須記入項目
（注2）　　　　　：計算式セル（入力不要）　　　　　　</t>
    <rPh sb="35" eb="37">
      <t>キニュウ</t>
    </rPh>
    <phoneticPr fontId="2"/>
  </si>
  <si>
    <t>担当 部課名</t>
    <rPh sb="0" eb="2">
      <t>タントウ</t>
    </rPh>
    <rPh sb="3" eb="5">
      <t>ブカ</t>
    </rPh>
    <rPh sb="5" eb="6">
      <t>メイ</t>
    </rPh>
    <phoneticPr fontId="2"/>
  </si>
  <si>
    <t>部</t>
    <rPh sb="0" eb="1">
      <t>ブ</t>
    </rPh>
    <phoneticPr fontId="2"/>
  </si>
  <si>
    <t>課</t>
    <rPh sb="0" eb="1">
      <t>カ</t>
    </rPh>
    <phoneticPr fontId="2"/>
  </si>
  <si>
    <t>作成者</t>
    <rPh sb="0" eb="3">
      <t>サクセイシャ</t>
    </rPh>
    <phoneticPr fontId="2"/>
  </si>
  <si>
    <t>PID</t>
    <phoneticPr fontId="2"/>
  </si>
  <si>
    <t>ー</t>
    <phoneticPr fontId="2"/>
  </si>
  <si>
    <t>PJ件名</t>
    <rPh sb="2" eb="3">
      <t>ケン</t>
    </rPh>
    <rPh sb="3" eb="4">
      <t>メイ</t>
    </rPh>
    <phoneticPr fontId="2"/>
  </si>
  <si>
    <t>株式会社クラウン・パッケージ新基幹システム導入</t>
    <phoneticPr fontId="2"/>
  </si>
  <si>
    <t>レビュー対象</t>
    <rPh sb="4" eb="6">
      <t>タイショウ</t>
    </rPh>
    <phoneticPr fontId="2"/>
  </si>
  <si>
    <t>ﾄﾞｷｭﾒﾝﾄ番号/ﾌﾟﾛｸﾞﾗﾑ番号</t>
    <rPh sb="7" eb="9">
      <t>バンゴウ</t>
    </rPh>
    <rPh sb="17" eb="19">
      <t>バンゴウ</t>
    </rPh>
    <phoneticPr fontId="2"/>
  </si>
  <si>
    <t>ﾄﾞｷｭﾒﾝﾄ名/ﾌﾟﾛｸﾞﾗﾑ名</t>
    <phoneticPr fontId="2"/>
  </si>
  <si>
    <t>種類(該当に○)</t>
    <rPh sb="0" eb="2">
      <t>シュルイ</t>
    </rPh>
    <rPh sb="3" eb="5">
      <t>ガイトウ</t>
    </rPh>
    <phoneticPr fontId="2"/>
  </si>
  <si>
    <t>要件定義書</t>
    <rPh sb="0" eb="2">
      <t>ヨウケン</t>
    </rPh>
    <rPh sb="2" eb="5">
      <t>テイギショ</t>
    </rPh>
    <phoneticPr fontId="2"/>
  </si>
  <si>
    <t>試験要領書</t>
    <rPh sb="0" eb="2">
      <t>シケン</t>
    </rPh>
    <rPh sb="2" eb="4">
      <t>ヨウリョウ</t>
    </rPh>
    <rPh sb="4" eb="5">
      <t>ショ</t>
    </rPh>
    <phoneticPr fontId="2"/>
  </si>
  <si>
    <t>プロジェクト実行計画書</t>
    <rPh sb="6" eb="8">
      <t>ジッコウ</t>
    </rPh>
    <rPh sb="8" eb="10">
      <t>ケイカク</t>
    </rPh>
    <rPh sb="10" eb="11">
      <t>ショ</t>
    </rPh>
    <phoneticPr fontId="2"/>
  </si>
  <si>
    <t>基本設計書（外部仕様書）</t>
    <rPh sb="0" eb="2">
      <t>キホン</t>
    </rPh>
    <rPh sb="2" eb="5">
      <t>セッケイショ</t>
    </rPh>
    <rPh sb="6" eb="8">
      <t>ガイブ</t>
    </rPh>
    <rPh sb="8" eb="11">
      <t>シヨウショ</t>
    </rPh>
    <phoneticPr fontId="2"/>
  </si>
  <si>
    <t>試験成績書</t>
    <rPh sb="0" eb="2">
      <t>シケン</t>
    </rPh>
    <rPh sb="2" eb="4">
      <t>セイセキ</t>
    </rPh>
    <rPh sb="4" eb="5">
      <t>ショ</t>
    </rPh>
    <phoneticPr fontId="2"/>
  </si>
  <si>
    <t>プロジェクト完了報告書</t>
    <rPh sb="6" eb="8">
      <t>カンリョウ</t>
    </rPh>
    <rPh sb="8" eb="10">
      <t>ホウコク</t>
    </rPh>
    <rPh sb="10" eb="11">
      <t>ショ</t>
    </rPh>
    <phoneticPr fontId="2"/>
  </si>
  <si>
    <t>詳細設計書（内部仕様書）</t>
    <rPh sb="0" eb="2">
      <t>ショウサイ</t>
    </rPh>
    <rPh sb="2" eb="5">
      <t>セッケイショ</t>
    </rPh>
    <rPh sb="6" eb="8">
      <t>ナイブ</t>
    </rPh>
    <rPh sb="8" eb="11">
      <t>シヨウショ</t>
    </rPh>
    <phoneticPr fontId="2"/>
  </si>
  <si>
    <t>ソースプログラムリスト</t>
    <phoneticPr fontId="2"/>
  </si>
  <si>
    <t>結合テスト計画書</t>
    <rPh sb="0" eb="2">
      <t>ケツゴウ</t>
    </rPh>
    <rPh sb="5" eb="8">
      <t>ケイカクショ</t>
    </rPh>
    <phoneticPr fontId="2"/>
  </si>
  <si>
    <t>プログラム仕様書</t>
    <rPh sb="5" eb="8">
      <t>シヨウショ</t>
    </rPh>
    <phoneticPr fontId="2"/>
  </si>
  <si>
    <t>その他</t>
    <rPh sb="2" eb="3">
      <t>タ</t>
    </rPh>
    <phoneticPr fontId="2"/>
  </si>
  <si>
    <t>システムテスト計画書</t>
    <rPh sb="7" eb="10">
      <t>ケイカクショ</t>
    </rPh>
    <phoneticPr fontId="2"/>
  </si>
  <si>
    <t>ドキュメント</t>
    <phoneticPr fontId="2"/>
  </si>
  <si>
    <t>ページ数(頁)</t>
    <rPh sb="3" eb="4">
      <t>スウ</t>
    </rPh>
    <rPh sb="5" eb="6">
      <t>ページ</t>
    </rPh>
    <phoneticPr fontId="2"/>
  </si>
  <si>
    <t>作成工数（Hr）</t>
    <rPh sb="0" eb="2">
      <t>サクセイ</t>
    </rPh>
    <rPh sb="2" eb="4">
      <t>コウスウ</t>
    </rPh>
    <phoneticPr fontId="2"/>
  </si>
  <si>
    <t>ライン数（KL）</t>
    <rPh sb="3" eb="4">
      <t>スウ</t>
    </rPh>
    <phoneticPr fontId="2"/>
  </si>
  <si>
    <t>ﾓｼﾞｭｰﾙ数(個)</t>
    <phoneticPr fontId="2"/>
  </si>
  <si>
    <t>(D)</t>
    <phoneticPr fontId="2"/>
  </si>
  <si>
    <t>計画段階での誤り</t>
    <phoneticPr fontId="2"/>
  </si>
  <si>
    <t>D1：計画内容の抜け</t>
    <phoneticPr fontId="2"/>
  </si>
  <si>
    <t>件</t>
    <rPh sb="0" eb="1">
      <t>ケン</t>
    </rPh>
    <phoneticPr fontId="2"/>
  </si>
  <si>
    <t>体制</t>
    <rPh sb="0" eb="2">
      <t>タイセイ</t>
    </rPh>
    <phoneticPr fontId="2"/>
  </si>
  <si>
    <t>区分</t>
    <rPh sb="0" eb="2">
      <t>クブン</t>
    </rPh>
    <phoneticPr fontId="2"/>
  </si>
  <si>
    <t>名前</t>
    <rPh sb="0" eb="2">
      <t>ナマエ</t>
    </rPh>
    <phoneticPr fontId="2"/>
  </si>
  <si>
    <t>人数</t>
    <rPh sb="0" eb="1">
      <t>ヒト</t>
    </rPh>
    <rPh sb="1" eb="2">
      <t>スウ</t>
    </rPh>
    <phoneticPr fontId="2"/>
  </si>
  <si>
    <t>D2：計画内容の誤り，不整合，記述不足</t>
  </si>
  <si>
    <t>当該仕様担当者</t>
    <rPh sb="0" eb="2">
      <t>トウガイ</t>
    </rPh>
    <rPh sb="2" eb="4">
      <t>シヨウ</t>
    </rPh>
    <rPh sb="4" eb="7">
      <t>タントウシャ</t>
    </rPh>
    <phoneticPr fontId="2"/>
  </si>
  <si>
    <t>DZ：その他</t>
    <phoneticPr fontId="2"/>
  </si>
  <si>
    <t>上位仕様担当者</t>
    <rPh sb="0" eb="2">
      <t>ジョウイ</t>
    </rPh>
    <rPh sb="2" eb="4">
      <t>シヨウ</t>
    </rPh>
    <rPh sb="4" eb="7">
      <t>タントウシャ</t>
    </rPh>
    <phoneticPr fontId="2"/>
  </si>
  <si>
    <t>レビュー結果</t>
    <rPh sb="4" eb="6">
      <t>ケッカ</t>
    </rPh>
    <phoneticPr fontId="2"/>
  </si>
  <si>
    <t>誤り分類</t>
    <rPh sb="0" eb="1">
      <t>アヤマ</t>
    </rPh>
    <rPh sb="2" eb="4">
      <t>ブンルイ</t>
    </rPh>
    <phoneticPr fontId="2"/>
  </si>
  <si>
    <t>(0)</t>
    <phoneticPr fontId="2"/>
  </si>
  <si>
    <t>要件定義段階での誤り</t>
    <rPh sb="0" eb="2">
      <t>ヨウケン</t>
    </rPh>
    <rPh sb="2" eb="4">
      <t>テイギ</t>
    </rPh>
    <rPh sb="4" eb="6">
      <t>ダンカイ</t>
    </rPh>
    <rPh sb="8" eb="9">
      <t>アヤマ</t>
    </rPh>
    <phoneticPr fontId="2"/>
  </si>
  <si>
    <t>0A:要件の抜け及び解釈誤り</t>
    <rPh sb="3" eb="5">
      <t>ヨウケン</t>
    </rPh>
    <rPh sb="6" eb="7">
      <t>ヌ</t>
    </rPh>
    <rPh sb="8" eb="9">
      <t>オヨ</t>
    </rPh>
    <rPh sb="10" eb="12">
      <t>カイシャク</t>
    </rPh>
    <rPh sb="12" eb="13">
      <t>アヤマ</t>
    </rPh>
    <phoneticPr fontId="2"/>
  </si>
  <si>
    <t>下位仕様担当者</t>
    <rPh sb="0" eb="2">
      <t>カイ</t>
    </rPh>
    <rPh sb="2" eb="4">
      <t>シヨウ</t>
    </rPh>
    <rPh sb="4" eb="7">
      <t>タントウシャ</t>
    </rPh>
    <phoneticPr fontId="2"/>
  </si>
  <si>
    <t>0B:要件定義の誤り</t>
    <rPh sb="3" eb="5">
      <t>ヨウケン</t>
    </rPh>
    <rPh sb="5" eb="7">
      <t>テイギ</t>
    </rPh>
    <rPh sb="8" eb="9">
      <t>アヤマ</t>
    </rPh>
    <phoneticPr fontId="2"/>
  </si>
  <si>
    <t>件</t>
  </si>
  <si>
    <t>営業担当者</t>
    <rPh sb="0" eb="2">
      <t>エイギョウ</t>
    </rPh>
    <rPh sb="2" eb="4">
      <t>タントウ</t>
    </rPh>
    <rPh sb="4" eb="5">
      <t>シャ</t>
    </rPh>
    <phoneticPr fontId="2"/>
  </si>
  <si>
    <t>0C:システム化対象範囲外とのインターフェースの誤り</t>
    <rPh sb="7" eb="8">
      <t>カ</t>
    </rPh>
    <rPh sb="8" eb="10">
      <t>タイショウ</t>
    </rPh>
    <rPh sb="10" eb="12">
      <t>ハンイ</t>
    </rPh>
    <rPh sb="12" eb="13">
      <t>ガイ</t>
    </rPh>
    <rPh sb="24" eb="25">
      <t>アヤマ</t>
    </rPh>
    <phoneticPr fontId="2"/>
  </si>
  <si>
    <t>ＰＪ外有識者（QA)</t>
    <rPh sb="2" eb="3">
      <t>ガイ</t>
    </rPh>
    <rPh sb="3" eb="6">
      <t>ユウシキシャ</t>
    </rPh>
    <phoneticPr fontId="2"/>
  </si>
  <si>
    <t>0Z:その他</t>
    <rPh sb="5" eb="6">
      <t>タ</t>
    </rPh>
    <phoneticPr fontId="2"/>
  </si>
  <si>
    <t>製外</t>
    <rPh sb="0" eb="2">
      <t>セイガイ</t>
    </rPh>
    <phoneticPr fontId="2"/>
  </si>
  <si>
    <t>(1)</t>
    <phoneticPr fontId="2"/>
  </si>
  <si>
    <t>基本設計（外部設計）段階での誤り</t>
    <rPh sb="0" eb="2">
      <t>キホン</t>
    </rPh>
    <rPh sb="2" eb="4">
      <t>セッケイ</t>
    </rPh>
    <rPh sb="5" eb="7">
      <t>ガイブ</t>
    </rPh>
    <rPh sb="7" eb="9">
      <t>セッケイ</t>
    </rPh>
    <rPh sb="10" eb="12">
      <t>ダンカイ</t>
    </rPh>
    <rPh sb="14" eb="15">
      <t>アヤマ</t>
    </rPh>
    <phoneticPr fontId="2"/>
  </si>
  <si>
    <t>1A:外部仕様の抜け及び要件定義の解釈誤り</t>
    <phoneticPr fontId="2"/>
  </si>
  <si>
    <t>PL</t>
    <phoneticPr fontId="2"/>
  </si>
  <si>
    <t>1B:外部仕様の誤り</t>
    <phoneticPr fontId="2"/>
  </si>
  <si>
    <t>QR</t>
    <phoneticPr fontId="2"/>
  </si>
  <si>
    <t>1C:機能間インターフェース仕様の誤り</t>
    <phoneticPr fontId="2"/>
  </si>
  <si>
    <t>1Z:その他</t>
  </si>
  <si>
    <t>(2)</t>
    <phoneticPr fontId="2"/>
  </si>
  <si>
    <t>詳細設計/プログラム設計(内部設計)段階での誤り</t>
    <phoneticPr fontId="2"/>
  </si>
  <si>
    <t>2A:内部設計漏れ及び外部仕様の解釈誤り</t>
    <phoneticPr fontId="2"/>
  </si>
  <si>
    <t>合　計　（人）</t>
    <rPh sb="0" eb="1">
      <t>ゴウ</t>
    </rPh>
    <rPh sb="2" eb="3">
      <t>ケイ</t>
    </rPh>
    <rPh sb="5" eb="6">
      <t>ヒト</t>
    </rPh>
    <phoneticPr fontId="2"/>
  </si>
  <si>
    <t>2B:内部設計の誤り</t>
  </si>
  <si>
    <t>2C:モジュール間インターフェース仕様の誤り</t>
  </si>
  <si>
    <t>品質目標</t>
    <rPh sb="0" eb="2">
      <t>ヒンシツ</t>
    </rPh>
    <rPh sb="2" eb="4">
      <t>モクヒョウ</t>
    </rPh>
    <phoneticPr fontId="2"/>
  </si>
  <si>
    <t>基準</t>
    <rPh sb="0" eb="2">
      <t>キジュン</t>
    </rPh>
    <phoneticPr fontId="2"/>
  </si>
  <si>
    <t>計画</t>
    <rPh sb="0" eb="2">
      <t>ケイカク</t>
    </rPh>
    <phoneticPr fontId="2"/>
  </si>
  <si>
    <t>実績</t>
    <rPh sb="0" eb="2">
      <t>ジッセキ</t>
    </rPh>
    <phoneticPr fontId="2"/>
  </si>
  <si>
    <t>2Z:その他</t>
  </si>
  <si>
    <t>ドキュメントレビュー
指摘率(件/頁)</t>
    <rPh sb="11" eb="13">
      <t>シテキ</t>
    </rPh>
    <rPh sb="13" eb="14">
      <t>リツ</t>
    </rPh>
    <phoneticPr fontId="2"/>
  </si>
  <si>
    <t>(3)</t>
    <phoneticPr fontId="2"/>
  </si>
  <si>
    <t>コーディング段階での誤り</t>
  </si>
  <si>
    <t>3A:設計どおりのコーディングがされていない</t>
    <phoneticPr fontId="2"/>
  </si>
  <si>
    <t>3B:不注意なコーディング・ミス</t>
  </si>
  <si>
    <t>ドキュメントレビュー
誤り指摘率(件/頁)</t>
    <rPh sb="11" eb="12">
      <t>アヤマ</t>
    </rPh>
    <rPh sb="13" eb="15">
      <t>シテキ</t>
    </rPh>
    <rPh sb="15" eb="16">
      <t>リツ</t>
    </rPh>
    <rPh sb="17" eb="18">
      <t>ケン</t>
    </rPh>
    <rPh sb="19" eb="20">
      <t>ページ</t>
    </rPh>
    <phoneticPr fontId="2"/>
  </si>
  <si>
    <t>3Z:その他</t>
  </si>
  <si>
    <t>(4)</t>
    <phoneticPr fontId="2"/>
  </si>
  <si>
    <t>その他</t>
  </si>
  <si>
    <t>4A:お客様からの仕様変更</t>
    <phoneticPr fontId="2"/>
  </si>
  <si>
    <t>コードレビュー
指摘率(件/KL)</t>
    <rPh sb="8" eb="10">
      <t>シテキ</t>
    </rPh>
    <rPh sb="10" eb="11">
      <t>リツ</t>
    </rPh>
    <phoneticPr fontId="2"/>
  </si>
  <si>
    <t>4B:表現不備(誤字/脱字など)</t>
  </si>
  <si>
    <t>(5)</t>
    <phoneticPr fontId="2"/>
  </si>
  <si>
    <t>試験段階での誤り</t>
  </si>
  <si>
    <t>5A:仕様の解釈誤り</t>
    <phoneticPr fontId="2"/>
  </si>
  <si>
    <t>コードレビュー
誤り指摘率(件/KL)</t>
    <rPh sb="8" eb="9">
      <t>アヤマ</t>
    </rPh>
    <rPh sb="10" eb="12">
      <t>シテキ</t>
    </rPh>
    <rPh sb="12" eb="13">
      <t>リツ</t>
    </rPh>
    <rPh sb="14" eb="15">
      <t>ケン</t>
    </rPh>
    <phoneticPr fontId="2"/>
  </si>
  <si>
    <t>5B:試験仕様の誤り</t>
  </si>
  <si>
    <t>5C:試験プログラム/データの誤り</t>
  </si>
  <si>
    <t>ドキュメントレビュー
密度(Ｈｒ/頁)</t>
    <rPh sb="11" eb="13">
      <t>ミツド</t>
    </rPh>
    <rPh sb="17" eb="18">
      <t>ページ</t>
    </rPh>
    <phoneticPr fontId="2"/>
  </si>
  <si>
    <t>5D:試験項目抜け</t>
  </si>
  <si>
    <t>5Z:その他</t>
  </si>
  <si>
    <t>コードレビュー
密度(Ｈｒ/KL)</t>
    <rPh sb="8" eb="10">
      <t>ミツド</t>
    </rPh>
    <phoneticPr fontId="2"/>
  </si>
  <si>
    <t>(6)</t>
    <phoneticPr fontId="2"/>
  </si>
  <si>
    <t>プロ完段階での誤り</t>
    <rPh sb="2" eb="3">
      <t>カン</t>
    </rPh>
    <rPh sb="3" eb="5">
      <t>ダンカイ</t>
    </rPh>
    <rPh sb="7" eb="8">
      <t>アヤマ</t>
    </rPh>
    <phoneticPr fontId="2"/>
  </si>
  <si>
    <t>6A：報告内容の抜け</t>
    <phoneticPr fontId="2"/>
  </si>
  <si>
    <t>6B：報告内容の誤り，不整合，記述不足</t>
  </si>
  <si>
    <t>6Z：その他</t>
    <phoneticPr fontId="2"/>
  </si>
  <si>
    <t>総指摘件数</t>
    <rPh sb="0" eb="1">
      <t>ソウ</t>
    </rPh>
    <rPh sb="1" eb="3">
      <t>シテキ</t>
    </rPh>
    <rPh sb="3" eb="5">
      <t>ケンスウ</t>
    </rPh>
    <phoneticPr fontId="2"/>
  </si>
  <si>
    <t>件　　（内 誤り件数</t>
    <rPh sb="0" eb="1">
      <t>ケン</t>
    </rPh>
    <rPh sb="4" eb="5">
      <t>ウチ</t>
    </rPh>
    <rPh sb="6" eb="7">
      <t>アヤマ</t>
    </rPh>
    <rPh sb="8" eb="10">
      <t>ケンスウ</t>
    </rPh>
    <phoneticPr fontId="2"/>
  </si>
  <si>
    <t>件）</t>
    <rPh sb="0" eb="1">
      <t>ケン</t>
    </rPh>
    <phoneticPr fontId="2"/>
  </si>
  <si>
    <t>(注)誤り件数＝総指摘件数－その他(4A・4B)件数</t>
    <rPh sb="1" eb="2">
      <t>チュウ</t>
    </rPh>
    <rPh sb="3" eb="4">
      <t>アヤマ</t>
    </rPh>
    <rPh sb="5" eb="7">
      <t>ケンスウ</t>
    </rPh>
    <rPh sb="8" eb="9">
      <t>ソウ</t>
    </rPh>
    <rPh sb="9" eb="11">
      <t>シテキ</t>
    </rPh>
    <rPh sb="11" eb="13">
      <t>ケンスウ</t>
    </rPh>
    <rPh sb="16" eb="17">
      <t>タ</t>
    </rPh>
    <rPh sb="24" eb="26">
      <t>ケンスウ</t>
    </rPh>
    <phoneticPr fontId="2"/>
  </si>
  <si>
    <t>総レビュー工数（Hr）</t>
    <rPh sb="0" eb="1">
      <t>ソウ</t>
    </rPh>
    <rPh sb="5" eb="7">
      <t>コウスウ</t>
    </rPh>
    <phoneticPr fontId="2"/>
  </si>
  <si>
    <t>Hr</t>
    <phoneticPr fontId="2"/>
  </si>
  <si>
    <t>レビュー履歴</t>
    <rPh sb="4" eb="6">
      <t>リレキ</t>
    </rPh>
    <phoneticPr fontId="2"/>
  </si>
  <si>
    <t>回数</t>
    <rPh sb="0" eb="2">
      <t>カイスウ</t>
    </rPh>
    <phoneticPr fontId="2"/>
  </si>
  <si>
    <t>レビュー日時</t>
    <rPh sb="4" eb="6">
      <t>ニチジ</t>
    </rPh>
    <phoneticPr fontId="2"/>
  </si>
  <si>
    <t>完成度(%)</t>
    <rPh sb="0" eb="3">
      <t>カンセイド</t>
    </rPh>
    <phoneticPr fontId="2"/>
  </si>
  <si>
    <t>実施確認者名</t>
    <rPh sb="0" eb="2">
      <t>ジッシ</t>
    </rPh>
    <rPh sb="2" eb="4">
      <t>カクニン</t>
    </rPh>
    <rPh sb="4" eb="5">
      <t>シャ</t>
    </rPh>
    <rPh sb="5" eb="6">
      <t>ナ</t>
    </rPh>
    <phoneticPr fontId="2"/>
  </si>
  <si>
    <t>指摘件数</t>
    <rPh sb="0" eb="2">
      <t>シテキ</t>
    </rPh>
    <rPh sb="2" eb="4">
      <t>ケンスウ</t>
    </rPh>
    <phoneticPr fontId="2"/>
  </si>
  <si>
    <t>ﾚﾋﾞｭｰ工数(Hr)</t>
    <rPh sb="5" eb="7">
      <t>コウスウ</t>
    </rPh>
    <phoneticPr fontId="2"/>
  </si>
  <si>
    <t>備　考</t>
    <rPh sb="0" eb="1">
      <t>ビ</t>
    </rPh>
    <rPh sb="2" eb="3">
      <t>コウ</t>
    </rPh>
    <phoneticPr fontId="2"/>
  </si>
  <si>
    <t>～</t>
    <phoneticPr fontId="2"/>
  </si>
  <si>
    <t>評価</t>
    <rPh sb="0" eb="2">
      <t>ヒョウカ</t>
    </rPh>
    <phoneticPr fontId="2"/>
  </si>
  <si>
    <t>審査
責任者
欄</t>
    <rPh sb="0" eb="2">
      <t>シンサ</t>
    </rPh>
    <rPh sb="3" eb="6">
      <t>セキニンシャ</t>
    </rPh>
    <rPh sb="7" eb="8">
      <t>ラン</t>
    </rPh>
    <phoneticPr fontId="2"/>
  </si>
  <si>
    <t>[ガイド] 誤り分類の傾向，レビュー工数，参加者，対象ページ数などの相関から，レビューの妥当性を判断する。</t>
  </si>
  <si>
    <t>審査責任者</t>
    <phoneticPr fontId="2"/>
  </si>
  <si>
    <t>審査責任者は実施計画で計画する。（所属部門長，PM，PL，QRなど。　ピアレビュー時は作成担当者で可。）</t>
    <rPh sb="41" eb="42">
      <t>ジ</t>
    </rPh>
    <rPh sb="43" eb="45">
      <t>サクセイ</t>
    </rPh>
    <rPh sb="45" eb="47">
      <t>タントウ</t>
    </rPh>
    <rPh sb="47" eb="48">
      <t>シャ</t>
    </rPh>
    <rPh sb="49" eb="50">
      <t>カ</t>
    </rPh>
    <phoneticPr fontId="2"/>
  </si>
  <si>
    <t>添付資料</t>
    <rPh sb="0" eb="2">
      <t>テンプ</t>
    </rPh>
    <rPh sb="2" eb="4">
      <t>シリョウ</t>
    </rPh>
    <phoneticPr fontId="2"/>
  </si>
  <si>
    <t>■</t>
  </si>
  <si>
    <t>レビューチェックリスト</t>
    <phoneticPr fontId="2"/>
  </si>
  <si>
    <t>査読シート</t>
    <rPh sb="0" eb="2">
      <t>サドク</t>
    </rPh>
    <phoneticPr fontId="2"/>
  </si>
  <si>
    <t>□</t>
    <phoneticPr fontId="2"/>
  </si>
  <si>
    <t>その他（　　　　　　　　　　　　　　　　　　　　　　　）</t>
    <rPh sb="2" eb="3">
      <t>タ</t>
    </rPh>
    <phoneticPr fontId="2"/>
  </si>
  <si>
    <t>＜査読シートの誤り分類の集計＞</t>
    <rPh sb="1" eb="3">
      <t>サドク</t>
    </rPh>
    <rPh sb="7" eb="8">
      <t>アヤマ</t>
    </rPh>
    <rPh sb="9" eb="11">
      <t>ブンルイ</t>
    </rPh>
    <rPh sb="12" eb="14">
      <t>シュウケイ</t>
    </rPh>
    <phoneticPr fontId="2"/>
  </si>
  <si>
    <t>件数</t>
    <rPh sb="0" eb="2">
      <t>ケンスウ</t>
    </rPh>
    <phoneticPr fontId="2"/>
  </si>
  <si>
    <t>Ｄ１</t>
    <phoneticPr fontId="2"/>
  </si>
  <si>
    <t>Ｄ２</t>
    <phoneticPr fontId="2"/>
  </si>
  <si>
    <t>ＤＺ</t>
    <phoneticPr fontId="2"/>
  </si>
  <si>
    <t>０Ａ</t>
  </si>
  <si>
    <t>０Ｂ</t>
  </si>
  <si>
    <t>０Ｃ</t>
  </si>
  <si>
    <t>０Ｚ</t>
  </si>
  <si>
    <t>１Ａ</t>
    <phoneticPr fontId="2"/>
  </si>
  <si>
    <t>１Ｂ</t>
    <phoneticPr fontId="2"/>
  </si>
  <si>
    <t>１Ｃ</t>
    <phoneticPr fontId="2"/>
  </si>
  <si>
    <t>１Ｚ</t>
  </si>
  <si>
    <t>２Ａ</t>
  </si>
  <si>
    <t>２Ｂ</t>
  </si>
  <si>
    <t>２Ｃ</t>
  </si>
  <si>
    <t>２Ｚ</t>
  </si>
  <si>
    <t>３Ａ</t>
  </si>
  <si>
    <t>３Ｂ</t>
  </si>
  <si>
    <t>３Ｃ</t>
  </si>
  <si>
    <t>３Ｚ</t>
  </si>
  <si>
    <t>４Ａ</t>
  </si>
  <si>
    <t>４Ｂ</t>
  </si>
  <si>
    <t>４Ｃ</t>
  </si>
  <si>
    <t>４Ｚ</t>
  </si>
  <si>
    <t>５Ａ</t>
  </si>
  <si>
    <t>５Ｂ</t>
  </si>
  <si>
    <t>５Ｃ</t>
  </si>
  <si>
    <t>５Ｄ</t>
  </si>
  <si>
    <t>５Ｚ</t>
    <phoneticPr fontId="2"/>
  </si>
  <si>
    <t>６Ａ</t>
    <phoneticPr fontId="2"/>
  </si>
  <si>
    <t>６Ｂ</t>
    <phoneticPr fontId="2"/>
  </si>
  <si>
    <t>６Ｚ</t>
    <phoneticPr fontId="2"/>
  </si>
  <si>
    <t>D1</t>
    <phoneticPr fontId="2"/>
  </si>
  <si>
    <t>D2</t>
    <phoneticPr fontId="2"/>
  </si>
  <si>
    <t>DZ</t>
    <phoneticPr fontId="2"/>
  </si>
  <si>
    <t>0A</t>
  </si>
  <si>
    <t>0B</t>
  </si>
  <si>
    <t>0C</t>
  </si>
  <si>
    <t>0Z</t>
  </si>
  <si>
    <t>1A</t>
    <phoneticPr fontId="2"/>
  </si>
  <si>
    <t>1B</t>
    <phoneticPr fontId="2"/>
  </si>
  <si>
    <t>1C</t>
    <phoneticPr fontId="2"/>
  </si>
  <si>
    <t>1Z</t>
  </si>
  <si>
    <t>2A</t>
  </si>
  <si>
    <t>2B</t>
  </si>
  <si>
    <t>2C</t>
  </si>
  <si>
    <t>2Z</t>
  </si>
  <si>
    <t>3A</t>
  </si>
  <si>
    <t>3B</t>
  </si>
  <si>
    <t>3C</t>
  </si>
  <si>
    <t>3Z</t>
  </si>
  <si>
    <t>4A</t>
  </si>
  <si>
    <t>4B</t>
  </si>
  <si>
    <t>4C</t>
  </si>
  <si>
    <t>4Z</t>
  </si>
  <si>
    <t>5A</t>
  </si>
  <si>
    <t>5B</t>
  </si>
  <si>
    <t>5C</t>
  </si>
  <si>
    <t>5D</t>
  </si>
  <si>
    <t>5Z</t>
    <phoneticPr fontId="2"/>
  </si>
  <si>
    <t>6A</t>
    <phoneticPr fontId="2"/>
  </si>
  <si>
    <t>6B</t>
    <phoneticPr fontId="2"/>
  </si>
  <si>
    <t>6Z</t>
    <phoneticPr fontId="2"/>
  </si>
  <si>
    <t>Ｄ1</t>
    <phoneticPr fontId="2"/>
  </si>
  <si>
    <t>ＤZ</t>
    <phoneticPr fontId="2"/>
  </si>
  <si>
    <t>０A</t>
  </si>
  <si>
    <t>０B</t>
  </si>
  <si>
    <t>０C</t>
  </si>
  <si>
    <t>０Z</t>
  </si>
  <si>
    <t>１A</t>
    <phoneticPr fontId="2"/>
  </si>
  <si>
    <t>１B</t>
    <phoneticPr fontId="2"/>
  </si>
  <si>
    <t>１C</t>
    <phoneticPr fontId="2"/>
  </si>
  <si>
    <t>１Z</t>
  </si>
  <si>
    <t>２A</t>
  </si>
  <si>
    <t>２B</t>
  </si>
  <si>
    <t>２C</t>
  </si>
  <si>
    <t>２Z</t>
  </si>
  <si>
    <t>３A</t>
  </si>
  <si>
    <t>３B</t>
  </si>
  <si>
    <t>３C</t>
  </si>
  <si>
    <t>３Z</t>
  </si>
  <si>
    <t>４A</t>
  </si>
  <si>
    <t>４B</t>
  </si>
  <si>
    <t>４C</t>
  </si>
  <si>
    <t>４Z</t>
  </si>
  <si>
    <t>５A</t>
  </si>
  <si>
    <t>５B</t>
  </si>
  <si>
    <t>５C</t>
  </si>
  <si>
    <t>５D</t>
  </si>
  <si>
    <t>５Z</t>
    <phoneticPr fontId="2"/>
  </si>
  <si>
    <t>６A</t>
    <phoneticPr fontId="2"/>
  </si>
  <si>
    <t>６B</t>
    <phoneticPr fontId="2"/>
  </si>
  <si>
    <t>６Z</t>
    <phoneticPr fontId="2"/>
  </si>
  <si>
    <t>d1</t>
    <phoneticPr fontId="2"/>
  </si>
  <si>
    <t>d2</t>
    <phoneticPr fontId="2"/>
  </si>
  <si>
    <t>dz</t>
    <phoneticPr fontId="2"/>
  </si>
  <si>
    <t>0ａ</t>
  </si>
  <si>
    <t>0ｂ</t>
  </si>
  <si>
    <t>0ｃ</t>
  </si>
  <si>
    <t>0ｚ</t>
  </si>
  <si>
    <t>1ａ</t>
    <phoneticPr fontId="2"/>
  </si>
  <si>
    <t>1ｂ</t>
    <phoneticPr fontId="2"/>
  </si>
  <si>
    <t>1ｃ</t>
    <phoneticPr fontId="2"/>
  </si>
  <si>
    <t>1ｚ</t>
  </si>
  <si>
    <t>2ａ</t>
  </si>
  <si>
    <t>2ｂ</t>
  </si>
  <si>
    <t>2ｃ</t>
  </si>
  <si>
    <t>2ｚ</t>
  </si>
  <si>
    <t>3ａ</t>
  </si>
  <si>
    <t>3ｂ</t>
  </si>
  <si>
    <t>3ｃ</t>
  </si>
  <si>
    <t>3ｚ</t>
  </si>
  <si>
    <t>4ａ</t>
  </si>
  <si>
    <t>4ｂ</t>
  </si>
  <si>
    <t>4ｃ</t>
  </si>
  <si>
    <t>4ｚ</t>
  </si>
  <si>
    <t>5ａ</t>
  </si>
  <si>
    <t>5ｂ</t>
  </si>
  <si>
    <t>5ｃ</t>
  </si>
  <si>
    <t>5Ｄ</t>
  </si>
  <si>
    <t>5ｚ</t>
    <phoneticPr fontId="2"/>
  </si>
  <si>
    <t>6ａ</t>
    <phoneticPr fontId="2"/>
  </si>
  <si>
    <t>6ｂ</t>
    <phoneticPr fontId="2"/>
  </si>
  <si>
    <t>6ｚ</t>
    <phoneticPr fontId="2"/>
  </si>
  <si>
    <t>合計</t>
    <rPh sb="0" eb="2">
      <t>ゴウケイ</t>
    </rPh>
    <phoneticPr fontId="2"/>
  </si>
  <si>
    <t>”D1”合計</t>
    <rPh sb="4" eb="6">
      <t>ゴウケイ</t>
    </rPh>
    <phoneticPr fontId="2"/>
  </si>
  <si>
    <t>”D2”合計</t>
    <rPh sb="4" eb="6">
      <t>ゴウケイ</t>
    </rPh>
    <phoneticPr fontId="2"/>
  </si>
  <si>
    <t>”DZ”合計</t>
    <rPh sb="4" eb="6">
      <t>ゴウケイ</t>
    </rPh>
    <phoneticPr fontId="2"/>
  </si>
  <si>
    <t>”0A”合計</t>
    <rPh sb="4" eb="6">
      <t>ゴウケイ</t>
    </rPh>
    <phoneticPr fontId="2"/>
  </si>
  <si>
    <t>”0B”合計</t>
    <rPh sb="4" eb="6">
      <t>ゴウケイ</t>
    </rPh>
    <phoneticPr fontId="2"/>
  </si>
  <si>
    <t>”0C”合計</t>
    <rPh sb="4" eb="6">
      <t>ゴウケイ</t>
    </rPh>
    <phoneticPr fontId="2"/>
  </si>
  <si>
    <t>”0Z”合計</t>
    <rPh sb="4" eb="6">
      <t>ゴウケイ</t>
    </rPh>
    <phoneticPr fontId="2"/>
  </si>
  <si>
    <t>”1A”合計</t>
    <rPh sb="4" eb="6">
      <t>ゴウケイ</t>
    </rPh>
    <phoneticPr fontId="2"/>
  </si>
  <si>
    <t>”1B”合計</t>
    <rPh sb="4" eb="6">
      <t>ゴウケイ</t>
    </rPh>
    <phoneticPr fontId="2"/>
  </si>
  <si>
    <t>”1C”合計</t>
    <rPh sb="4" eb="6">
      <t>ゴウケイ</t>
    </rPh>
    <phoneticPr fontId="2"/>
  </si>
  <si>
    <t>”1Z”合計</t>
    <rPh sb="4" eb="6">
      <t>ゴウケイ</t>
    </rPh>
    <phoneticPr fontId="2"/>
  </si>
  <si>
    <t>”2A”合計</t>
    <rPh sb="4" eb="6">
      <t>ゴウケイ</t>
    </rPh>
    <phoneticPr fontId="2"/>
  </si>
  <si>
    <t>”2B”合計</t>
    <rPh sb="4" eb="6">
      <t>ゴウケイ</t>
    </rPh>
    <phoneticPr fontId="2"/>
  </si>
  <si>
    <t>”2C”合計</t>
    <rPh sb="4" eb="6">
      <t>ゴウケイ</t>
    </rPh>
    <phoneticPr fontId="2"/>
  </si>
  <si>
    <t>”2Z”合計</t>
    <rPh sb="4" eb="6">
      <t>ゴウケイ</t>
    </rPh>
    <phoneticPr fontId="2"/>
  </si>
  <si>
    <t>”3A”合計</t>
    <rPh sb="4" eb="6">
      <t>ゴウケイ</t>
    </rPh>
    <phoneticPr fontId="2"/>
  </si>
  <si>
    <t>”3B”合計</t>
    <rPh sb="4" eb="6">
      <t>ゴウケイ</t>
    </rPh>
    <phoneticPr fontId="2"/>
  </si>
  <si>
    <t>”3C”合計</t>
    <rPh sb="4" eb="6">
      <t>ゴウケイ</t>
    </rPh>
    <phoneticPr fontId="2"/>
  </si>
  <si>
    <t>”3Z”合計</t>
    <rPh sb="4" eb="6">
      <t>ゴウケイ</t>
    </rPh>
    <phoneticPr fontId="2"/>
  </si>
  <si>
    <t>”4A”合計</t>
    <rPh sb="4" eb="6">
      <t>ゴウケイ</t>
    </rPh>
    <phoneticPr fontId="2"/>
  </si>
  <si>
    <t>”4B”合計</t>
    <rPh sb="4" eb="6">
      <t>ゴウケイ</t>
    </rPh>
    <phoneticPr fontId="2"/>
  </si>
  <si>
    <t>”4C”合計</t>
    <rPh sb="4" eb="6">
      <t>ゴウケイ</t>
    </rPh>
    <phoneticPr fontId="2"/>
  </si>
  <si>
    <t>”4Z”合計</t>
    <rPh sb="4" eb="6">
      <t>ゴウケイ</t>
    </rPh>
    <phoneticPr fontId="2"/>
  </si>
  <si>
    <t>”5A”合計</t>
    <rPh sb="4" eb="6">
      <t>ゴウケイ</t>
    </rPh>
    <phoneticPr fontId="2"/>
  </si>
  <si>
    <t>”5B”合計</t>
    <rPh sb="4" eb="6">
      <t>ゴウケイ</t>
    </rPh>
    <phoneticPr fontId="2"/>
  </si>
  <si>
    <t>”5C”合計</t>
    <rPh sb="4" eb="6">
      <t>ゴウケイ</t>
    </rPh>
    <phoneticPr fontId="2"/>
  </si>
  <si>
    <t>”5D”合計</t>
    <rPh sb="4" eb="6">
      <t>ゴウケイ</t>
    </rPh>
    <phoneticPr fontId="2"/>
  </si>
  <si>
    <t>”5Z”合計</t>
    <rPh sb="4" eb="6">
      <t>ゴウケイ</t>
    </rPh>
    <phoneticPr fontId="2"/>
  </si>
  <si>
    <t>”6A”合計</t>
    <rPh sb="4" eb="6">
      <t>ゴウケイ</t>
    </rPh>
    <phoneticPr fontId="2"/>
  </si>
  <si>
    <t>”6B”合計</t>
    <rPh sb="4" eb="6">
      <t>ゴウケイ</t>
    </rPh>
    <phoneticPr fontId="2"/>
  </si>
  <si>
    <t>”6Z”合計</t>
    <rPh sb="4" eb="6">
      <t>ゴウケイ</t>
    </rPh>
    <phoneticPr fontId="2"/>
  </si>
  <si>
    <t>未使用</t>
    <rPh sb="0" eb="1">
      <t>ミ</t>
    </rPh>
    <rPh sb="1" eb="3">
      <t>シヨウ</t>
    </rPh>
    <phoneticPr fontId="2"/>
  </si>
  <si>
    <t>記入日</t>
    <rPh sb="0" eb="2">
      <t>キニュウ</t>
    </rPh>
    <rPh sb="2" eb="3">
      <t>ビ</t>
    </rPh>
    <phoneticPr fontId="2"/>
  </si>
  <si>
    <t>コメント数</t>
    <rPh sb="4" eb="5">
      <t>スウ</t>
    </rPh>
    <phoneticPr fontId="2"/>
  </si>
  <si>
    <t>日付記入数</t>
    <rPh sb="0" eb="2">
      <t>ヒヅケ</t>
    </rPh>
    <rPh sb="2" eb="4">
      <t>キニュウ</t>
    </rPh>
    <rPh sb="4" eb="5">
      <t>スウ</t>
    </rPh>
    <phoneticPr fontId="2"/>
  </si>
  <si>
    <t>日付累計</t>
    <rPh sb="0" eb="2">
      <t>ヒヅケ</t>
    </rPh>
    <rPh sb="2" eb="4">
      <t>ルイケイ</t>
    </rPh>
    <phoneticPr fontId="2"/>
  </si>
  <si>
    <t>査読コメント</t>
  </si>
  <si>
    <t>&lt;&gt;""</t>
    <phoneticPr fontId="2"/>
  </si>
  <si>
    <t>査　読　シ ー ト</t>
  </si>
  <si>
    <t>　＜必須記入項目＞以下の区分毎に，色分けされた必須項目を記入する。（注）赤字セルは，計算式（入力不要）</t>
    <rPh sb="2" eb="4">
      <t>ヒッス</t>
    </rPh>
    <rPh sb="4" eb="6">
      <t>キニュウ</t>
    </rPh>
    <rPh sb="6" eb="8">
      <t>コウモク</t>
    </rPh>
    <rPh sb="34" eb="35">
      <t>チュウ</t>
    </rPh>
    <rPh sb="36" eb="37">
      <t>アカ</t>
    </rPh>
    <rPh sb="37" eb="38">
      <t>ジ</t>
    </rPh>
    <rPh sb="42" eb="44">
      <t>ケイサン</t>
    </rPh>
    <rPh sb="44" eb="45">
      <t>シキ</t>
    </rPh>
    <rPh sb="46" eb="48">
      <t>ニュウリョク</t>
    </rPh>
    <rPh sb="48" eb="50">
      <t>フヨウ</t>
    </rPh>
    <phoneticPr fontId="2"/>
  </si>
  <si>
    <t>回答期限</t>
    <rPh sb="0" eb="2">
      <t>カイトウ</t>
    </rPh>
    <rPh sb="2" eb="4">
      <t>キゲン</t>
    </rPh>
    <phoneticPr fontId="2"/>
  </si>
  <si>
    <t>：レビューア</t>
    <phoneticPr fontId="2"/>
  </si>
  <si>
    <t>：回答者　（インスペクション／公式レビュー対象ドキュメントの場合は，緑色セルも記入する）　　　　</t>
    <rPh sb="1" eb="3">
      <t>カイトウ</t>
    </rPh>
    <rPh sb="3" eb="4">
      <t>シャ</t>
    </rPh>
    <rPh sb="15" eb="17">
      <t>コウシキ</t>
    </rPh>
    <rPh sb="21" eb="23">
      <t>タイショウ</t>
    </rPh>
    <rPh sb="30" eb="32">
      <t>バアイ</t>
    </rPh>
    <rPh sb="34" eb="35">
      <t>ミドリ</t>
    </rPh>
    <rPh sb="35" eb="36">
      <t>イロ</t>
    </rPh>
    <rPh sb="39" eb="41">
      <t>キニュウ</t>
    </rPh>
    <phoneticPr fontId="2"/>
  </si>
  <si>
    <t>ﾄﾞｷｭﾒﾝﾄ番号：</t>
    <rPh sb="7" eb="9">
      <t>バンゴウ</t>
    </rPh>
    <phoneticPr fontId="2"/>
  </si>
  <si>
    <t>ページ数(頁) 
or
ライン数（KL)</t>
    <rPh sb="3" eb="4">
      <t>スウ</t>
    </rPh>
    <rPh sb="5" eb="6">
      <t>ページ</t>
    </rPh>
    <phoneticPr fontId="2"/>
  </si>
  <si>
    <t>ﾄﾞｷｭﾒﾝﾄ名／
ﾌﾟﾛｸﾞﾗﾑ名　　：</t>
    <rPh sb="7" eb="8">
      <t>メイ</t>
    </rPh>
    <rPh sb="17" eb="18">
      <t>メイ</t>
    </rPh>
    <phoneticPr fontId="2"/>
  </si>
  <si>
    <t>システムフロー_S100_01f_レビューシート.xls</t>
    <phoneticPr fontId="2"/>
  </si>
  <si>
    <t>ﾚﾋﾞｭｰ指摘率（件/頁）orｺｰﾄﾞﾚﾋﾞｭｰ指摘率（件/KL）</t>
    <phoneticPr fontId="2"/>
  </si>
  <si>
    <t>（複数ﾒﾝﾊﾞによるﾚﾋﾞｭｰの場合，工数加算する）</t>
  </si>
  <si>
    <t>　</t>
    <phoneticPr fontId="2"/>
  </si>
  <si>
    <t>No.</t>
    <phoneticPr fontId="2"/>
  </si>
  <si>
    <t>ページ</t>
    <phoneticPr fontId="2"/>
  </si>
  <si>
    <t>査読コメント</t>
    <rPh sb="0" eb="2">
      <t>サドク</t>
    </rPh>
    <phoneticPr fontId="2"/>
  </si>
  <si>
    <t>記入者</t>
    <rPh sb="0" eb="2">
      <t>キニュウ</t>
    </rPh>
    <rPh sb="2" eb="3">
      <t>シャ</t>
    </rPh>
    <phoneticPr fontId="2"/>
  </si>
  <si>
    <t>回　　答</t>
    <rPh sb="0" eb="1">
      <t>カイ</t>
    </rPh>
    <rPh sb="3" eb="4">
      <t>コタエ</t>
    </rPh>
    <phoneticPr fontId="2"/>
  </si>
  <si>
    <t>回答日</t>
    <rPh sb="0" eb="3">
      <t>カイトウビ</t>
    </rPh>
    <phoneticPr fontId="2"/>
  </si>
  <si>
    <t>回答者</t>
    <rPh sb="0" eb="2">
      <t>カイトウ</t>
    </rPh>
    <rPh sb="2" eb="3">
      <t>シャ</t>
    </rPh>
    <phoneticPr fontId="2"/>
  </si>
  <si>
    <t>処置期限</t>
    <rPh sb="0" eb="2">
      <t>ショチ</t>
    </rPh>
    <rPh sb="2" eb="4">
      <t>キゲン</t>
    </rPh>
    <phoneticPr fontId="2"/>
  </si>
  <si>
    <t>確認</t>
    <rPh sb="0" eb="2">
      <t>カクニン</t>
    </rPh>
    <phoneticPr fontId="2"/>
  </si>
  <si>
    <t>誤り分類コード(誤り分類の欄に下記コード 0A～DZを記入)</t>
    <rPh sb="0" eb="1">
      <t>アヤマ</t>
    </rPh>
    <rPh sb="2" eb="4">
      <t>ブンルイ</t>
    </rPh>
    <rPh sb="8" eb="9">
      <t>アヤマ</t>
    </rPh>
    <rPh sb="10" eb="12">
      <t>ブンルイ</t>
    </rPh>
    <rPh sb="13" eb="14">
      <t>ラン</t>
    </rPh>
    <rPh sb="15" eb="17">
      <t>カキ</t>
    </rPh>
    <rPh sb="27" eb="29">
      <t>キニュウ</t>
    </rPh>
    <phoneticPr fontId="2"/>
  </si>
  <si>
    <t>(注1)査読ｼｰﾄとﾚﾋﾞｭｰ評価ｼｰﾄは，対象とするﾄﾞｷｭﾒﾝﾄ／ﾌﾟﾛｸﾞﾗﾑ単位にファイルコピーして，使用して下さい。</t>
    <rPh sb="1" eb="2">
      <t>チュウ</t>
    </rPh>
    <rPh sb="4" eb="6">
      <t>サドク</t>
    </rPh>
    <rPh sb="15" eb="17">
      <t>ヒョウカ</t>
    </rPh>
    <rPh sb="22" eb="24">
      <t>タイショウ</t>
    </rPh>
    <rPh sb="42" eb="44">
      <t>タンイ</t>
    </rPh>
    <rPh sb="55" eb="57">
      <t>シヨウ</t>
    </rPh>
    <rPh sb="59" eb="60">
      <t>クダ</t>
    </rPh>
    <phoneticPr fontId="2"/>
  </si>
  <si>
    <t>　　　（各ｼｰﾄを同一ﾌｧｲﾙ内にｺﾋﾟｰして使用すると，ｺﾋﾟｰしたﾚﾋﾞｭｰ評価ｼｰﾄ内での計算式参照箇所が対応しなくなります。）</t>
    <rPh sb="23" eb="25">
      <t>シヨウ</t>
    </rPh>
    <phoneticPr fontId="2"/>
  </si>
  <si>
    <t>(注2)行数を増やす場合は，行単位で挿入＆書式コピーして下さい。</t>
    <rPh sb="1" eb="2">
      <t>チュウ</t>
    </rPh>
    <rPh sb="4" eb="6">
      <t>ギョウスウ</t>
    </rPh>
    <rPh sb="7" eb="8">
      <t>フ</t>
    </rPh>
    <rPh sb="10" eb="12">
      <t>バアイ</t>
    </rPh>
    <rPh sb="14" eb="15">
      <t>ギョウ</t>
    </rPh>
    <rPh sb="15" eb="17">
      <t>タンイ</t>
    </rPh>
    <rPh sb="18" eb="20">
      <t>ソウニュウ</t>
    </rPh>
    <rPh sb="21" eb="23">
      <t>ショシキ</t>
    </rPh>
    <rPh sb="28" eb="29">
      <t>クダ</t>
    </rPh>
    <phoneticPr fontId="2"/>
  </si>
  <si>
    <t>単体試験要領書_MSBBPA050_【画面】Web製品マスタ.xlsx</t>
    <phoneticPr fontId="2"/>
  </si>
  <si>
    <t>指摘なし</t>
    <phoneticPr fontId="2"/>
  </si>
  <si>
    <t>TBK徐</t>
    <rPh sb="3" eb="4">
      <t>ジョ</t>
    </rPh>
    <phoneticPr fontId="2"/>
  </si>
  <si>
    <t>エラーメッセージ(チェック仕様)の出力確認を試験追加ください。
※件数が多いため、1試験として、別一覧でチェック等でも問題ありません。</t>
    <rPh sb="13" eb="15">
      <t>シヨウ</t>
    </rPh>
    <rPh sb="17" eb="21">
      <t>シュツリョクカクニン</t>
    </rPh>
    <rPh sb="22" eb="26">
      <t>シケンツイカ</t>
    </rPh>
    <rPh sb="33" eb="35">
      <t>ケンスウ</t>
    </rPh>
    <rPh sb="36" eb="37">
      <t>オオ</t>
    </rPh>
    <rPh sb="42" eb="44">
      <t>シケン</t>
    </rPh>
    <rPh sb="48" eb="51">
      <t>ベツイチラン</t>
    </rPh>
    <rPh sb="56" eb="57">
      <t>トウ</t>
    </rPh>
    <rPh sb="59" eb="61">
      <t>モンダイ</t>
    </rPh>
    <phoneticPr fontId="2"/>
  </si>
  <si>
    <t>MDSOL
野村</t>
    <rPh sb="6" eb="8">
      <t>ノムラ</t>
    </rPh>
    <phoneticPr fontId="2"/>
  </si>
  <si>
    <t>仕掛チェック仕様のパターン確認をお願いいたします。右図参照</t>
    <rPh sb="13" eb="15">
      <t>カクニン</t>
    </rPh>
    <rPh sb="17" eb="18">
      <t>ネガ</t>
    </rPh>
    <rPh sb="25" eb="27">
      <t>ミギズ</t>
    </rPh>
    <rPh sb="27" eb="29">
      <t>サンショウ</t>
    </rPh>
    <phoneticPr fontId="2"/>
  </si>
  <si>
    <t>→</t>
    <phoneticPr fontId="2"/>
  </si>
  <si>
    <t>製品マスタ内での画面遷移に関しての試験を追加ください
例：1ページ目⇔2ページ目
　  ３ページ目：工程情報画面⇔Popup 等</t>
    <rPh sb="0" eb="2">
      <t>セイヒン</t>
    </rPh>
    <rPh sb="5" eb="6">
      <t>ナイ</t>
    </rPh>
    <rPh sb="8" eb="12">
      <t>ガメンセンイ</t>
    </rPh>
    <rPh sb="13" eb="14">
      <t>カン</t>
    </rPh>
    <rPh sb="17" eb="19">
      <t>シケン</t>
    </rPh>
    <rPh sb="20" eb="22">
      <t>ツイカ</t>
    </rPh>
    <rPh sb="27" eb="28">
      <t>レイ</t>
    </rPh>
    <rPh sb="63" eb="64">
      <t>ナド</t>
    </rPh>
    <phoneticPr fontId="2"/>
  </si>
  <si>
    <t xml:space="preserve">操作種別：訂正、削除、コピー時の更新処理の試験を追加ください
</t>
    <rPh sb="0" eb="4">
      <t>ソウサシュベツ</t>
    </rPh>
    <rPh sb="5" eb="7">
      <t>テイセイ</t>
    </rPh>
    <rPh sb="8" eb="10">
      <t>サクジョ</t>
    </rPh>
    <rPh sb="14" eb="15">
      <t>ジ</t>
    </rPh>
    <rPh sb="16" eb="20">
      <t>コウシンショリ</t>
    </rPh>
    <rPh sb="21" eb="23">
      <t>シケン</t>
    </rPh>
    <rPh sb="24" eb="26">
      <t>ツイカ</t>
    </rPh>
    <phoneticPr fontId="2"/>
  </si>
  <si>
    <t>処理概要(生産並び順)に関する試験が見当たりません。</t>
    <rPh sb="12" eb="13">
      <t>カン</t>
    </rPh>
    <rPh sb="15" eb="17">
      <t>シケン</t>
    </rPh>
    <rPh sb="18" eb="20">
      <t>ミア</t>
    </rPh>
    <phoneticPr fontId="2"/>
  </si>
  <si>
    <t>MDSOL
石田</t>
  </si>
  <si>
    <t>実施日：</t>
    <rPh sb="0" eb="2">
      <t>ジッシ</t>
    </rPh>
    <rPh sb="2" eb="3">
      <t>ビ</t>
    </rPh>
    <phoneticPr fontId="95"/>
  </si>
  <si>
    <t>実施者：</t>
    <rPh sb="0" eb="2">
      <t>ジッシ</t>
    </rPh>
    <rPh sb="2" eb="3">
      <t>シャ</t>
    </rPh>
    <phoneticPr fontId="95"/>
  </si>
  <si>
    <t>TBK徐</t>
    <rPh sb="3" eb="4">
      <t>ジョ</t>
    </rPh>
    <phoneticPr fontId="95"/>
  </si>
  <si>
    <t>単体テスト要領書チェックリスト（Ｒｅｖ１．０）</t>
    <rPh sb="0" eb="2">
      <t>タンタイ</t>
    </rPh>
    <rPh sb="5" eb="7">
      <t>ヨウリョウ</t>
    </rPh>
    <rPh sb="7" eb="8">
      <t>ショ</t>
    </rPh>
    <phoneticPr fontId="95"/>
  </si>
  <si>
    <t>ドキュメント番号：</t>
    <rPh sb="6" eb="8">
      <t>バンゴウ</t>
    </rPh>
    <phoneticPr fontId="95"/>
  </si>
  <si>
    <t>機能区分：</t>
    <rPh sb="0" eb="2">
      <t>キノウ</t>
    </rPh>
    <rPh sb="2" eb="4">
      <t>クブン</t>
    </rPh>
    <phoneticPr fontId="95"/>
  </si>
  <si>
    <t>画面</t>
  </si>
  <si>
    <t>チェック項目</t>
    <rPh sb="4" eb="6">
      <t>コウモク</t>
    </rPh>
    <phoneticPr fontId="95"/>
  </si>
  <si>
    <t>No.</t>
    <phoneticPr fontId="95"/>
  </si>
  <si>
    <t>チェック内容</t>
    <rPh sb="4" eb="6">
      <t>ナイヨウ</t>
    </rPh>
    <phoneticPr fontId="95"/>
  </si>
  <si>
    <t>結果
(○／×／－)</t>
    <rPh sb="0" eb="2">
      <t>ケッカ</t>
    </rPh>
    <phoneticPr fontId="95"/>
  </si>
  <si>
    <t>画面</t>
    <rPh sb="0" eb="2">
      <t>ガメン</t>
    </rPh>
    <phoneticPr fontId="95"/>
  </si>
  <si>
    <t>帳票（紙）</t>
    <rPh sb="0" eb="2">
      <t>チョウヒョウ</t>
    </rPh>
    <rPh sb="3" eb="4">
      <t>カミ</t>
    </rPh>
    <phoneticPr fontId="95"/>
  </si>
  <si>
    <t>帳票（Ex）</t>
    <rPh sb="0" eb="2">
      <t>チョウヒョウ</t>
    </rPh>
    <phoneticPr fontId="95"/>
  </si>
  <si>
    <t>バッチ</t>
    <phoneticPr fontId="95"/>
  </si>
  <si>
    <t>Ｉ／Ｆ</t>
    <phoneticPr fontId="95"/>
  </si>
  <si>
    <t>０．全体</t>
    <rPh sb="2" eb="4">
      <t>ゼンタイ</t>
    </rPh>
    <phoneticPr fontId="95"/>
  </si>
  <si>
    <t xml:space="preserve">全ページがレビュー済みであるか。
</t>
    <phoneticPr fontId="95"/>
  </si>
  <si>
    <t>〇</t>
  </si>
  <si>
    <t>●</t>
  </si>
  <si>
    <t>語句が統一されていることを確認したか。（業務用語はお客様と認識を合わせておく）
　例）納品先と納入先 ⇒ 納品先、仕入先⇒発注先 等
※業務用語集はドキュメント・リンク集から参照のこと</t>
    <rPh sb="57" eb="59">
      <t>シイ</t>
    </rPh>
    <rPh sb="59" eb="60">
      <t>サキ</t>
    </rPh>
    <rPh sb="61" eb="63">
      <t>ハッチュウ</t>
    </rPh>
    <rPh sb="63" eb="64">
      <t>サキ</t>
    </rPh>
    <rPh sb="65" eb="66">
      <t>ナド</t>
    </rPh>
    <rPh sb="68" eb="70">
      <t>ギョウム</t>
    </rPh>
    <rPh sb="70" eb="72">
      <t>ヨウゴ</t>
    </rPh>
    <rPh sb="72" eb="73">
      <t>シュウ</t>
    </rPh>
    <rPh sb="84" eb="85">
      <t>シュウ</t>
    </rPh>
    <rPh sb="87" eb="89">
      <t>サンショウ</t>
    </rPh>
    <phoneticPr fontId="95"/>
  </si>
  <si>
    <t xml:space="preserve">仕様書を印刷した際に、各ページにヘッダが存在すること。
</t>
    <rPh sb="8" eb="9">
      <t>サイ</t>
    </rPh>
    <phoneticPr fontId="95"/>
  </si>
  <si>
    <t>試験実施の要否が正しく記載されていること
なお「×」のものについては理由が明記されていること
※試験ができない項目に「○」がついていないか
※試験を実施すべき項目に「×」がついていないか</t>
    <rPh sb="0" eb="2">
      <t>シケン</t>
    </rPh>
    <rPh sb="2" eb="4">
      <t>ジッシ</t>
    </rPh>
    <rPh sb="5" eb="7">
      <t>ヨウヒ</t>
    </rPh>
    <rPh sb="8" eb="9">
      <t>タダ</t>
    </rPh>
    <rPh sb="11" eb="13">
      <t>キサイ</t>
    </rPh>
    <rPh sb="34" eb="36">
      <t>リユウ</t>
    </rPh>
    <rPh sb="37" eb="39">
      <t>メイキ</t>
    </rPh>
    <rPh sb="48" eb="50">
      <t>シケン</t>
    </rPh>
    <rPh sb="55" eb="57">
      <t>コウモク</t>
    </rPh>
    <rPh sb="71" eb="73">
      <t>シケン</t>
    </rPh>
    <rPh sb="74" eb="76">
      <t>ジッシ</t>
    </rPh>
    <rPh sb="79" eb="81">
      <t>コウモク</t>
    </rPh>
    <phoneticPr fontId="95"/>
  </si>
  <si>
    <t>誰でも試験を実施できる内容になっているか。
必要に応じて「試験データシート」または「試験シート」にInput/Outputが明記されているか</t>
    <rPh sb="0" eb="1">
      <t>ダレ</t>
    </rPh>
    <rPh sb="3" eb="5">
      <t>シケン</t>
    </rPh>
    <rPh sb="6" eb="8">
      <t>ジッシ</t>
    </rPh>
    <rPh sb="11" eb="13">
      <t>ナイヨウ</t>
    </rPh>
    <rPh sb="22" eb="24">
      <t>ヒツヨウ</t>
    </rPh>
    <rPh sb="25" eb="26">
      <t>オウ</t>
    </rPh>
    <rPh sb="29" eb="31">
      <t>シケン</t>
    </rPh>
    <rPh sb="42" eb="44">
      <t>シケン</t>
    </rPh>
    <rPh sb="62" eb="64">
      <t>メイキ</t>
    </rPh>
    <phoneticPr fontId="95"/>
  </si>
  <si>
    <t>テスト方法、期待される結果が曖昧な表現となっていないこと
例1　
　　正しく処理されること　×
　　ログファイルに以下が出力されること　〇
　　処理件数：0件
　　戻り値：0　←期待される結果として、具体的な値、事象を記載すること
例2
　　詳細設計通りであること　×
　　別紙：詳細設計書.DB項目転送シートの編集内容通りに値が設定されていること　〇
　　←詳細設計書.DB項目転送シートのINS02の表を別紙に添付する。
　　　単体試験成績書で結果のエビデンスと表横にOK、NGを記載していただくイメージ
　　</t>
    <rPh sb="3" eb="5">
      <t>ホウホウ</t>
    </rPh>
    <rPh sb="6" eb="8">
      <t>キタイ</t>
    </rPh>
    <rPh sb="11" eb="13">
      <t>ケッカ</t>
    </rPh>
    <rPh sb="14" eb="16">
      <t>アイマイ</t>
    </rPh>
    <rPh sb="17" eb="19">
      <t>ヒョウゲン</t>
    </rPh>
    <rPh sb="29" eb="30">
      <t>レイ</t>
    </rPh>
    <rPh sb="35" eb="36">
      <t>タダ</t>
    </rPh>
    <rPh sb="38" eb="40">
      <t>ショリ</t>
    </rPh>
    <rPh sb="58" eb="60">
      <t>イカ</t>
    </rPh>
    <rPh sb="61" eb="63">
      <t>シュツリョク</t>
    </rPh>
    <rPh sb="73" eb="75">
      <t>ショリ</t>
    </rPh>
    <rPh sb="75" eb="77">
      <t>ケンスウ</t>
    </rPh>
    <rPh sb="79" eb="80">
      <t>ケン</t>
    </rPh>
    <rPh sb="83" eb="84">
      <t>モド</t>
    </rPh>
    <rPh sb="85" eb="86">
      <t>チ</t>
    </rPh>
    <rPh sb="90" eb="92">
      <t>キタイ</t>
    </rPh>
    <rPh sb="95" eb="97">
      <t>ケッカ</t>
    </rPh>
    <rPh sb="101" eb="104">
      <t>グタイテキ</t>
    </rPh>
    <rPh sb="105" eb="106">
      <t>アタイ</t>
    </rPh>
    <rPh sb="107" eb="109">
      <t>ジショウ</t>
    </rPh>
    <rPh sb="110" eb="112">
      <t>キサイ</t>
    </rPh>
    <rPh sb="122" eb="124">
      <t>ショウサイ</t>
    </rPh>
    <rPh sb="124" eb="126">
      <t>セッケイ</t>
    </rPh>
    <rPh sb="126" eb="127">
      <t>トオ</t>
    </rPh>
    <rPh sb="141" eb="143">
      <t>ベッシ</t>
    </rPh>
    <rPh sb="144" eb="146">
      <t>ショウサイ</t>
    </rPh>
    <rPh sb="146" eb="148">
      <t>セッケイ</t>
    </rPh>
    <rPh sb="148" eb="149">
      <t>ショ</t>
    </rPh>
    <rPh sb="152" eb="154">
      <t>コウモク</t>
    </rPh>
    <rPh sb="154" eb="156">
      <t>テンソウ</t>
    </rPh>
    <rPh sb="160" eb="162">
      <t>ヘンシュウ</t>
    </rPh>
    <rPh sb="162" eb="164">
      <t>ナイヨウ</t>
    </rPh>
    <rPh sb="164" eb="165">
      <t>トオ</t>
    </rPh>
    <rPh sb="167" eb="168">
      <t>アタイ</t>
    </rPh>
    <rPh sb="169" eb="171">
      <t>セッテイ</t>
    </rPh>
    <rPh sb="184" eb="186">
      <t>ショウサイ</t>
    </rPh>
    <rPh sb="186" eb="188">
      <t>セッケイ</t>
    </rPh>
    <rPh sb="188" eb="189">
      <t>ショ</t>
    </rPh>
    <rPh sb="192" eb="194">
      <t>コウモク</t>
    </rPh>
    <rPh sb="194" eb="196">
      <t>テンソウ</t>
    </rPh>
    <rPh sb="206" eb="207">
      <t>ヒョウ</t>
    </rPh>
    <rPh sb="208" eb="210">
      <t>ベッシ</t>
    </rPh>
    <rPh sb="211" eb="213">
      <t>テンプ</t>
    </rPh>
    <rPh sb="220" eb="222">
      <t>タンタイ</t>
    </rPh>
    <rPh sb="222" eb="224">
      <t>シケン</t>
    </rPh>
    <rPh sb="224" eb="227">
      <t>セイセキショ</t>
    </rPh>
    <rPh sb="228" eb="230">
      <t>ケッカ</t>
    </rPh>
    <rPh sb="237" eb="238">
      <t>ヒョウ</t>
    </rPh>
    <rPh sb="238" eb="239">
      <t>ヨコ</t>
    </rPh>
    <rPh sb="246" eb="248">
      <t>キサイ</t>
    </rPh>
    <phoneticPr fontId="95"/>
  </si>
  <si>
    <t>１．画面全体</t>
    <rPh sb="2" eb="4">
      <t>ガメン</t>
    </rPh>
    <rPh sb="4" eb="6">
      <t>ゼンタイ</t>
    </rPh>
    <phoneticPr fontId="95"/>
  </si>
  <si>
    <t>＜全体＞
レイアウトが設計書の画面イメージと一致していることを確認する。
タブがある場合は、全てのタブについて確認する。
遷移元からの指定やパラメータなどの処理条件でレイアウトが異なる場合、全ての条件で確認する。
・項目やボタンの配置
・画面サイズ
・一覧枠の項目並び順</t>
    <rPh sb="1" eb="3">
      <t>ゼンタイ</t>
    </rPh>
    <rPh sb="31" eb="33">
      <t>カクニン</t>
    </rPh>
    <rPh sb="42" eb="44">
      <t>バアイ</t>
    </rPh>
    <rPh sb="46" eb="47">
      <t>スベ</t>
    </rPh>
    <rPh sb="55" eb="57">
      <t>カクニン</t>
    </rPh>
    <rPh sb="61" eb="63">
      <t>センイ</t>
    </rPh>
    <rPh sb="63" eb="64">
      <t>モト</t>
    </rPh>
    <rPh sb="67" eb="69">
      <t>シテイ</t>
    </rPh>
    <rPh sb="78" eb="80">
      <t>ショリ</t>
    </rPh>
    <rPh sb="80" eb="82">
      <t>ジョウケン</t>
    </rPh>
    <rPh sb="89" eb="90">
      <t>コト</t>
    </rPh>
    <rPh sb="92" eb="94">
      <t>バアイ</t>
    </rPh>
    <rPh sb="95" eb="96">
      <t>スベ</t>
    </rPh>
    <rPh sb="98" eb="100">
      <t>ジョウケン</t>
    </rPh>
    <rPh sb="101" eb="103">
      <t>カクニン</t>
    </rPh>
    <phoneticPr fontId="92"/>
  </si>
  <si>
    <t>●</t>
    <phoneticPr fontId="95"/>
  </si>
  <si>
    <t>＜名称＞
トップバーに画面名称が正しく表示されていることを確認する。</t>
    <rPh sb="29" eb="31">
      <t>カクニン</t>
    </rPh>
    <phoneticPr fontId="95"/>
  </si>
  <si>
    <t>＜各項目タイトル＞
各項目のタイトル（ラベル）が設計書と一致していることを確認する。</t>
    <rPh sb="1" eb="4">
      <t>カクコウモク</t>
    </rPh>
    <rPh sb="37" eb="39">
      <t>カクニン</t>
    </rPh>
    <phoneticPr fontId="92"/>
  </si>
  <si>
    <t>＜ボタンのタイトル＞
各ボタンのタイトル（ラベル）が設計書と一致していることを確認する。</t>
    <rPh sb="39" eb="41">
      <t>カクニン</t>
    </rPh>
    <phoneticPr fontId="95"/>
  </si>
  <si>
    <t>＜一覧枠のサイズ＞
一覧枠のサイズが設計書と一致していることを確認する。</t>
    <rPh sb="1" eb="3">
      <t>イチラン</t>
    </rPh>
    <rPh sb="3" eb="4">
      <t>ワク</t>
    </rPh>
    <rPh sb="31" eb="33">
      <t>カクニン</t>
    </rPh>
    <phoneticPr fontId="92"/>
  </si>
  <si>
    <t>＜一覧枠のタイトル＞
一覧枠のタイトルが設計書と一致していることを確認する。</t>
    <rPh sb="1" eb="3">
      <t>イチラン</t>
    </rPh>
    <rPh sb="3" eb="4">
      <t>ワク</t>
    </rPh>
    <phoneticPr fontId="92"/>
  </si>
  <si>
    <t>＜入力枠＞
入力項目の桁・型・種類（入力補助/コンボボックス）が設計書と一致していることを確認する。</t>
    <rPh sb="1" eb="3">
      <t>ニュウリョク</t>
    </rPh>
    <rPh sb="3" eb="4">
      <t>ワク</t>
    </rPh>
    <rPh sb="11" eb="12">
      <t>ケタ</t>
    </rPh>
    <rPh sb="13" eb="14">
      <t>カタ</t>
    </rPh>
    <phoneticPr fontId="92"/>
  </si>
  <si>
    <t>＜入力枠　一覧＞
入力項目の桁・型・種類（入力補助/コンボボックス）が設計書と一致していることを確認する。</t>
    <rPh sb="1" eb="3">
      <t>ニュウリョク</t>
    </rPh>
    <rPh sb="3" eb="4">
      <t>ワク</t>
    </rPh>
    <rPh sb="5" eb="7">
      <t>イチラン</t>
    </rPh>
    <rPh sb="14" eb="15">
      <t>ケタ</t>
    </rPh>
    <rPh sb="16" eb="17">
      <t>カタ</t>
    </rPh>
    <phoneticPr fontId="92"/>
  </si>
  <si>
    <t>＜最大化・最小化＞
画面の最大化、最小化、ドラッグによるサイズ変更が可能であること（設計書に記載がなければフレームワークの標準仕様とする）を確認する。</t>
    <rPh sb="1" eb="4">
      <t>サイダイカ</t>
    </rPh>
    <rPh sb="5" eb="8">
      <t>サイショウカ</t>
    </rPh>
    <phoneticPr fontId="92"/>
  </si>
  <si>
    <t>＜「×」ボタン動作＞
「×」ボタン押下時に画面が終了することを確認する。
・更新中の項目があれば確認ダイアログを表示する。</t>
    <rPh sb="38" eb="40">
      <t>コウシン</t>
    </rPh>
    <rPh sb="40" eb="41">
      <t>チュウ</t>
    </rPh>
    <rPh sb="42" eb="44">
      <t>コウモク</t>
    </rPh>
    <rPh sb="48" eb="50">
      <t>カクニン</t>
    </rPh>
    <rPh sb="56" eb="58">
      <t>ヒョウジ</t>
    </rPh>
    <phoneticPr fontId="95"/>
  </si>
  <si>
    <t>２．画面初期動作</t>
    <rPh sb="4" eb="6">
      <t>ショキ</t>
    </rPh>
    <rPh sb="6" eb="8">
      <t>ドウサ</t>
    </rPh>
    <phoneticPr fontId="95"/>
  </si>
  <si>
    <t>＜初期表示時の項目制御＞
画面起動時に項目毎に必要に応じて「入力可」「入力不可」の制御が行われていることを確認する。
・遷移元の指定やパラメータなどの処理条件によって制御が異なる場合、全ての条件で確認する。
※各フィールドやボタンについて
　項目シートに直接記載するかデータシートまたはマトリックスシートに記載しているか</t>
    <rPh sb="1" eb="3">
      <t>ショキ</t>
    </rPh>
    <rPh sb="3" eb="5">
      <t>ヒョウジ</t>
    </rPh>
    <rPh sb="5" eb="6">
      <t>ジ</t>
    </rPh>
    <rPh sb="7" eb="9">
      <t>コウモク</t>
    </rPh>
    <rPh sb="9" eb="11">
      <t>セイギョ</t>
    </rPh>
    <rPh sb="83" eb="85">
      <t>セイギョ</t>
    </rPh>
    <rPh sb="105" eb="106">
      <t>カク</t>
    </rPh>
    <rPh sb="121" eb="123">
      <t>コウモク</t>
    </rPh>
    <rPh sb="127" eb="129">
      <t>チョクセツ</t>
    </rPh>
    <rPh sb="129" eb="131">
      <t>キサイ</t>
    </rPh>
    <phoneticPr fontId="92"/>
  </si>
  <si>
    <t>＜初期表示時のボタン制御＞
画面起動時にボタン毎に必要に応じて「押下可」「押下不可」の制御が行われていることを確認する。
・遷移元の指定やパラメータなどの処理条件によって制御が異なる場合、全ての条件で確認する。
※各ボタンについて
　項目シートに直接記載するかデータシートまたはマトリックスシートに記載しているか</t>
    <rPh sb="1" eb="3">
      <t>ショキ</t>
    </rPh>
    <rPh sb="3" eb="5">
      <t>ヒョウジ</t>
    </rPh>
    <rPh sb="5" eb="6">
      <t>ジ</t>
    </rPh>
    <rPh sb="10" eb="12">
      <t>セイギョ</t>
    </rPh>
    <rPh sb="85" eb="87">
      <t>セイギョ</t>
    </rPh>
    <rPh sb="107" eb="108">
      <t>カク</t>
    </rPh>
    <phoneticPr fontId="92"/>
  </si>
  <si>
    <t>＜初期値の設定＞
画面起動時の入力項目に設定されている値が設計書と一致していることを確認する。
・初期値が設定されていない項目は、設定されていないことを確認する。
・遷移元の指定やパラメータなどの処理条件によって初期値が異なる場合、全ての条件で確認する。
※各フィールドおよび値について
　項目シートに直接記載するかデータシートまたはマトリックスシートに記載しているか</t>
    <rPh sb="1" eb="4">
      <t>ショキチ</t>
    </rPh>
    <rPh sb="5" eb="7">
      <t>セッテイ</t>
    </rPh>
    <rPh sb="83" eb="85">
      <t>センイ</t>
    </rPh>
    <rPh sb="85" eb="86">
      <t>モト</t>
    </rPh>
    <rPh sb="87" eb="89">
      <t>シテイ</t>
    </rPh>
    <rPh sb="98" eb="100">
      <t>ショリ</t>
    </rPh>
    <rPh sb="100" eb="102">
      <t>ジョウケン</t>
    </rPh>
    <rPh sb="106" eb="109">
      <t>ショキチ</t>
    </rPh>
    <rPh sb="110" eb="111">
      <t>コト</t>
    </rPh>
    <rPh sb="113" eb="115">
      <t>バアイ</t>
    </rPh>
    <rPh sb="116" eb="117">
      <t>スベ</t>
    </rPh>
    <rPh sb="119" eb="121">
      <t>ジョウケン</t>
    </rPh>
    <rPh sb="122" eb="124">
      <t>カクニン</t>
    </rPh>
    <rPh sb="129" eb="130">
      <t>カク</t>
    </rPh>
    <rPh sb="138" eb="139">
      <t>アタイ</t>
    </rPh>
    <phoneticPr fontId="92"/>
  </si>
  <si>
    <t>３．画面基本動作</t>
    <rPh sb="4" eb="6">
      <t>キホン</t>
    </rPh>
    <rPh sb="6" eb="8">
      <t>ドウサ</t>
    </rPh>
    <phoneticPr fontId="95"/>
  </si>
  <si>
    <t>＜Tabキー移動＞
TabキーまたはEnterキーでの移動が設計書と一致していることを確認する。
（画面項目定義の項目順に準拠していること）</t>
    <rPh sb="6" eb="8">
      <t>イドウ</t>
    </rPh>
    <phoneticPr fontId="92"/>
  </si>
  <si>
    <t>＜ファンクションキー(F1)の押下＞
ファンクションキー押下時の動作が標準仕様、または設計書と一致していることを確認する。
・検索ボタン</t>
    <rPh sb="15" eb="17">
      <t>オウカ</t>
    </rPh>
    <phoneticPr fontId="92"/>
  </si>
  <si>
    <t>＜ファンクションキー(F2)の押下＞
ファンクションキー押下時の動作が標準仕様、または設計書と一致していることを確認する。
・入力補助画面起動</t>
    <rPh sb="15" eb="17">
      <t>オウカ</t>
    </rPh>
    <phoneticPr fontId="92"/>
  </si>
  <si>
    <t>＜ファンクションキー(F5)の押下＞
ファンクションキー押下時の動作が標準仕様、または設計書と一致していることを確認する。
・行追加ボタン</t>
    <rPh sb="15" eb="17">
      <t>オウカ</t>
    </rPh>
    <phoneticPr fontId="92"/>
  </si>
  <si>
    <t>＜ファンクションキー(F6)の押下＞
ファンクションキー押下時の動作が標準仕様、または設計書と一致していることを確認する。
・行削除ボタン</t>
    <rPh sb="15" eb="17">
      <t>オウカ</t>
    </rPh>
    <phoneticPr fontId="92"/>
  </si>
  <si>
    <t>＜ファンクションキー(F7)の押下＞
ファンクションキー押下時の動作が標準仕様、または設計書と一致していることを確認する。
・テーブルクリアボタン</t>
    <rPh sb="15" eb="17">
      <t>オウカ</t>
    </rPh>
    <phoneticPr fontId="92"/>
  </si>
  <si>
    <t>＜ファンクションキー(F9)の押下＞
ファンクションキー押下時の動作が標準仕様、または設計書と一致していることを確認する。
・登録ボタン</t>
    <rPh sb="15" eb="17">
      <t>オウカ</t>
    </rPh>
    <phoneticPr fontId="92"/>
  </si>
  <si>
    <t>＜ファンクションキー(F12)の押下＞
ファンクションキー押下時の動作が標準仕様、または設計書と一致していることを確認する。
・削除ボタン</t>
    <rPh sb="16" eb="18">
      <t>オウカ</t>
    </rPh>
    <phoneticPr fontId="92"/>
  </si>
  <si>
    <t>＜ファンクションキー(F17)の押下＞
ファンクションキー押下時の動作が標準仕様、または設計書と一致していることを確認する。
・行コピーボタン</t>
    <rPh sb="16" eb="18">
      <t>オウカ</t>
    </rPh>
    <phoneticPr fontId="92"/>
  </si>
  <si>
    <t>＜入力補助の動作＞
全項目の入力補助について、起動と値の受渡しが設計書と一致していることを確認する。
・マスタから値を取得する場合は、マスタを準備する。
・遷移元の指定やパラメータなどの処理条件によってリストが異なる場合、全ての条件で確認する。</t>
    <rPh sb="10" eb="11">
      <t>ゼン</t>
    </rPh>
    <rPh sb="11" eb="13">
      <t>コウモク</t>
    </rPh>
    <rPh sb="45" eb="47">
      <t>カクニン</t>
    </rPh>
    <phoneticPr fontId="95"/>
  </si>
  <si>
    <t>＜コンボボックスの動作＞
全項目のコンボボックスについて、起動と値の受渡しが設計書と一致していることを確認する。
※システム仕様書の「項目説明」に記載のあるもの全てが対象
・マスタから値を取得する場合は、マスタを準備する。
・遷移元の指定やパラメータなどの処理条件によってリストが異なる場合、全ての条件で確認する。
　Ex.倉庫CDに所属する場所CDの入力が可能（所属しない場合には入力不可）</t>
    <rPh sb="13" eb="14">
      <t>ゼン</t>
    </rPh>
    <rPh sb="14" eb="16">
      <t>コウモク</t>
    </rPh>
    <rPh sb="51" eb="53">
      <t>カクニン</t>
    </rPh>
    <rPh sb="62" eb="65">
      <t>シヨウショ</t>
    </rPh>
    <rPh sb="67" eb="69">
      <t>コウモク</t>
    </rPh>
    <rPh sb="69" eb="71">
      <t>セツメイ</t>
    </rPh>
    <rPh sb="73" eb="75">
      <t>キサイ</t>
    </rPh>
    <rPh sb="80" eb="81">
      <t>スベ</t>
    </rPh>
    <rPh sb="83" eb="85">
      <t>タイショウ</t>
    </rPh>
    <rPh sb="92" eb="93">
      <t>アタイ</t>
    </rPh>
    <rPh sb="94" eb="96">
      <t>シュトク</t>
    </rPh>
    <rPh sb="98" eb="100">
      <t>バアイ</t>
    </rPh>
    <rPh sb="106" eb="108">
      <t>ジュンビ</t>
    </rPh>
    <rPh sb="162" eb="164">
      <t>ソウコ</t>
    </rPh>
    <rPh sb="167" eb="169">
      <t>ショゾク</t>
    </rPh>
    <rPh sb="171" eb="173">
      <t>バショ</t>
    </rPh>
    <rPh sb="176" eb="178">
      <t>ニュウリョク</t>
    </rPh>
    <rPh sb="179" eb="181">
      <t>カノウ</t>
    </rPh>
    <rPh sb="182" eb="184">
      <t>ショゾク</t>
    </rPh>
    <rPh sb="187" eb="189">
      <t>バアイ</t>
    </rPh>
    <rPh sb="191" eb="193">
      <t>ニュウリョク</t>
    </rPh>
    <rPh sb="193" eb="195">
      <t>フカ</t>
    </rPh>
    <phoneticPr fontId="95"/>
  </si>
  <si>
    <t>＜入力項目の値の制限＞
各項目に対して、形式（日付、数値）、桁数、右詰、左詰、及びIME制御（全半角）が設計書と一致していることを確認する。</t>
    <rPh sb="1" eb="3">
      <t>ニュウリョク</t>
    </rPh>
    <rPh sb="3" eb="5">
      <t>コウモク</t>
    </rPh>
    <rPh sb="6" eb="7">
      <t>アタイ</t>
    </rPh>
    <rPh sb="8" eb="10">
      <t>セイゲン</t>
    </rPh>
    <rPh sb="65" eb="67">
      <t>カクニン</t>
    </rPh>
    <phoneticPr fontId="92"/>
  </si>
  <si>
    <t>＜数値の有効桁数（表示形式）＞
全数値項目に対して、は小数点以下の桁数、端数の扱い（四捨五入、切り上げ、切り捨て）が設計書と一致していることを確認する。</t>
    <rPh sb="1" eb="3">
      <t>スウチ</t>
    </rPh>
    <rPh sb="4" eb="6">
      <t>ユウコウ</t>
    </rPh>
    <rPh sb="6" eb="8">
      <t>ケタスウ</t>
    </rPh>
    <rPh sb="9" eb="11">
      <t>ヒョウジ</t>
    </rPh>
    <rPh sb="11" eb="13">
      <t>ケイシキ</t>
    </rPh>
    <rPh sb="16" eb="17">
      <t>ゼン</t>
    </rPh>
    <rPh sb="19" eb="21">
      <t>コウモク</t>
    </rPh>
    <rPh sb="22" eb="23">
      <t>タイ</t>
    </rPh>
    <rPh sb="71" eb="73">
      <t>カクニン</t>
    </rPh>
    <phoneticPr fontId="92"/>
  </si>
  <si>
    <t>＜日付の表示形式＞
全日付項目に対して、は表示形式（YMD形式など）が設計書と一致していることを確認する。</t>
    <rPh sb="1" eb="3">
      <t>ヒヅケ</t>
    </rPh>
    <rPh sb="4" eb="6">
      <t>ヒョウジ</t>
    </rPh>
    <rPh sb="6" eb="8">
      <t>ケイシキ</t>
    </rPh>
    <rPh sb="10" eb="11">
      <t>ゼン</t>
    </rPh>
    <rPh sb="11" eb="13">
      <t>ヒヅケ</t>
    </rPh>
    <rPh sb="13" eb="15">
      <t>コウモク</t>
    </rPh>
    <rPh sb="16" eb="17">
      <t>タイ</t>
    </rPh>
    <rPh sb="21" eb="23">
      <t>ヒョウジ</t>
    </rPh>
    <rPh sb="23" eb="25">
      <t>ケイシキ</t>
    </rPh>
    <rPh sb="29" eb="31">
      <t>ケイシキ</t>
    </rPh>
    <rPh sb="48" eb="50">
      <t>カクニン</t>
    </rPh>
    <phoneticPr fontId="92"/>
  </si>
  <si>
    <t>４．画面イベント</t>
    <phoneticPr fontId="95"/>
  </si>
  <si>
    <t>＜検索ボタン＞
検索ボタンによって発生するイベントが設計書と一致していることを確認する。
以下の試験項目は必ず含めること。</t>
    <rPh sb="1" eb="3">
      <t>ケンサク</t>
    </rPh>
    <rPh sb="8" eb="10">
      <t>ケンサク</t>
    </rPh>
    <rPh sb="17" eb="19">
      <t>ハッセイ</t>
    </rPh>
    <rPh sb="26" eb="29">
      <t>セッケイショ</t>
    </rPh>
    <rPh sb="30" eb="32">
      <t>イッチ</t>
    </rPh>
    <rPh sb="39" eb="41">
      <t>カクニン</t>
    </rPh>
    <rPh sb="45" eb="47">
      <t>イカ</t>
    </rPh>
    <rPh sb="48" eb="50">
      <t>シケン</t>
    </rPh>
    <rPh sb="50" eb="52">
      <t>コウモク</t>
    </rPh>
    <rPh sb="53" eb="54">
      <t>カナラ</t>
    </rPh>
    <rPh sb="55" eb="56">
      <t>フク</t>
    </rPh>
    <phoneticPr fontId="95"/>
  </si>
  <si>
    <t>・対象０件の場合の検索結果を確認する。</t>
    <rPh sb="9" eb="11">
      <t>ケンサク</t>
    </rPh>
    <phoneticPr fontId="95"/>
  </si>
  <si>
    <t>・対象１件の場合の、登録処理の検索結果を確認する。</t>
    <rPh sb="15" eb="17">
      <t>ケンサク</t>
    </rPh>
    <rPh sb="17" eb="19">
      <t>ケッカ</t>
    </rPh>
    <phoneticPr fontId="95"/>
  </si>
  <si>
    <t>・対象複数件（５件以上）の場合の、登録処理の検索結果を確認する。</t>
    <rPh sb="22" eb="24">
      <t>ケンサク</t>
    </rPh>
    <rPh sb="24" eb="26">
      <t>ケッカ</t>
    </rPh>
    <phoneticPr fontId="95"/>
  </si>
  <si>
    <t>・合計値項目など導出値が正しく登録されているか検索結果を確認する。</t>
    <rPh sb="23" eb="25">
      <t>ケンサク</t>
    </rPh>
    <rPh sb="25" eb="27">
      <t>ケッカ</t>
    </rPh>
    <phoneticPr fontId="95"/>
  </si>
  <si>
    <t>・入力項目の境界値（上限範囲内・範囲外、下限範囲内・範囲外）が正しく動作しているかを確認する。</t>
  </si>
  <si>
    <t>・入力チェック処理（必須、重複、整合など）が全てのケースで正しく動作しているかを確認する。</t>
  </si>
  <si>
    <t>・パラメータや処理モードなどの条件によって登録処理が異なる場合、全ての条件で出力結果を確認する。</t>
    <rPh sb="38" eb="40">
      <t>シュツリョク</t>
    </rPh>
    <rPh sb="40" eb="42">
      <t>ケッカ</t>
    </rPh>
    <phoneticPr fontId="95"/>
  </si>
  <si>
    <t>・登録処理において、新規と更新のケースで各々確認する。</t>
    <phoneticPr fontId="95"/>
  </si>
  <si>
    <t>・登録処理において、新規と更新が同時に処理可能な場合、新規と更新の処理を織り交ぜた出力結果を確認する。</t>
    <rPh sb="33" eb="35">
      <t>ショリ</t>
    </rPh>
    <rPh sb="41" eb="43">
      <t>シュツリョク</t>
    </rPh>
    <rPh sb="43" eb="45">
      <t>ケッカ</t>
    </rPh>
    <phoneticPr fontId="95"/>
  </si>
  <si>
    <t>＜行追加ボタン＞
行追加ボタンによって発生するイベントが設計書と一致していることを確認する。
・空行が追加されていることを確認する。</t>
    <rPh sb="1" eb="2">
      <t>ギョウ</t>
    </rPh>
    <rPh sb="2" eb="4">
      <t>ツイカ</t>
    </rPh>
    <rPh sb="48" eb="49">
      <t>カラ</t>
    </rPh>
    <rPh sb="49" eb="50">
      <t>ギョウ</t>
    </rPh>
    <rPh sb="51" eb="53">
      <t>ツイカ</t>
    </rPh>
    <rPh sb="61" eb="63">
      <t>カクニン</t>
    </rPh>
    <phoneticPr fontId="95"/>
  </si>
  <si>
    <t>＜行削除ボタン＞
行削除ボタンによって発生するイベントが設計書と一致していることを確認する。</t>
    <rPh sb="1" eb="2">
      <t>ギョウ</t>
    </rPh>
    <rPh sb="2" eb="4">
      <t>サクジョ</t>
    </rPh>
    <rPh sb="10" eb="12">
      <t>サクジョ</t>
    </rPh>
    <phoneticPr fontId="95"/>
  </si>
  <si>
    <t>・削除処理の対象行が空行の場合は削除されることを確認する。</t>
  </si>
  <si>
    <t>・削除処理の対象行が空行以外の場合は、行ステータスが「D：削除」になることを確認する。</t>
  </si>
  <si>
    <t>＜テーブルクリアボタン＞
テーブルクリアボタンによって発生するイベントが設計書と一致していることを確認する。</t>
    <phoneticPr fontId="95"/>
  </si>
  <si>
    <t>＜登録ボタン＞
登録ボタンによって発生するイベントが設計書と一致していることを確認する。
以下の試験項目は必ず含めること。</t>
    <rPh sb="1" eb="3">
      <t>トウロク</t>
    </rPh>
    <rPh sb="8" eb="10">
      <t>トウロク</t>
    </rPh>
    <phoneticPr fontId="95"/>
  </si>
  <si>
    <t>・対象０件の場合の結果を確認する。</t>
    <phoneticPr fontId="95"/>
  </si>
  <si>
    <t>・対象１件の場合、登録処理を確認する。</t>
  </si>
  <si>
    <t>・対象複数件（５件以上）の場合、登録処理を確認する。</t>
  </si>
  <si>
    <t>・合計値項目など導出値が正しく登録されているかを確認する。</t>
  </si>
  <si>
    <t>・パラメータや処理モードなどの条件によって登録処理が異なる場合、全ての条件で確認する。</t>
  </si>
  <si>
    <t>・登録処理において、新規と更新を各々確認する。</t>
  </si>
  <si>
    <t>・登録処理において、新規と更新が同時に処理可能な場合、新規と更新を織り交ぜて確認する。</t>
  </si>
  <si>
    <t>＜削除ボタン＞
削除ボタンによって発生するイベントが設計書と一致していることを確認する。
以下の試験項目は必ず含めること。</t>
    <rPh sb="1" eb="3">
      <t>サクジョ</t>
    </rPh>
    <rPh sb="8" eb="10">
      <t>サクジョ</t>
    </rPh>
    <phoneticPr fontId="95"/>
  </si>
  <si>
    <t>・対象０件の場合の結果を確認する。</t>
  </si>
  <si>
    <t>・対象１件の場合、削除処理を確認する。</t>
  </si>
  <si>
    <t>・対象複数件（５件以上）の場合、削除処理を確認する。</t>
  </si>
  <si>
    <t>・削除処理において、新規と更新と削除が同時に処理可能な場合、すべてを織り交ぜて確認する。</t>
  </si>
  <si>
    <t>＜行コピーボタン＞
行コピーボタンによって発生するイベントが設計書と一致していることを確認する。
・コピーの対象項目に値が引き継がれていることを確認する。</t>
    <rPh sb="1" eb="2">
      <t>ギョウ</t>
    </rPh>
    <rPh sb="54" eb="56">
      <t>タイショウ</t>
    </rPh>
    <rPh sb="56" eb="58">
      <t>コウモク</t>
    </rPh>
    <rPh sb="59" eb="60">
      <t>アタイ</t>
    </rPh>
    <rPh sb="61" eb="62">
      <t>ヒ</t>
    </rPh>
    <rPh sb="63" eb="64">
      <t>ツ</t>
    </rPh>
    <rPh sb="72" eb="74">
      <t>カクニン</t>
    </rPh>
    <phoneticPr fontId="95"/>
  </si>
  <si>
    <t>＜その他イベントボタン＞
その他のイベントボタンによって発生するイベントの処理が設計書と一致していることを確認する。</t>
    <rPh sb="28" eb="30">
      <t>ハッセイ</t>
    </rPh>
    <rPh sb="37" eb="39">
      <t>ショリ</t>
    </rPh>
    <rPh sb="40" eb="43">
      <t>セッケイショ</t>
    </rPh>
    <rPh sb="44" eb="46">
      <t>イッチ</t>
    </rPh>
    <rPh sb="53" eb="55">
      <t>カクニン</t>
    </rPh>
    <phoneticPr fontId="95"/>
  </si>
  <si>
    <t>・正常系の処理は、標準仕様にて動作が保証されている場合、試験項目は不要とする。</t>
  </si>
  <si>
    <t>・異常系の処理は、標準仕様にて動作が保証されている場合、試験項目として確認する。</t>
  </si>
  <si>
    <t>＜標準のボタンの動作＞
標準のボタンに関する試験項目が記載されているか（クリックしてもアベンドしないこと）。</t>
    <rPh sb="1" eb="3">
      <t>ヒョウジュン</t>
    </rPh>
    <rPh sb="8" eb="10">
      <t>ドウサ</t>
    </rPh>
    <rPh sb="12" eb="14">
      <t>ヒョウジュン</t>
    </rPh>
    <rPh sb="19" eb="20">
      <t>カン</t>
    </rPh>
    <rPh sb="22" eb="24">
      <t>シケン</t>
    </rPh>
    <rPh sb="24" eb="26">
      <t>コウモク</t>
    </rPh>
    <rPh sb="27" eb="29">
      <t>キサイ</t>
    </rPh>
    <phoneticPr fontId="92"/>
  </si>
  <si>
    <t>５．ファイル入力
　（Excel、テキスト)</t>
    <rPh sb="6" eb="7">
      <t>ニュウ</t>
    </rPh>
    <phoneticPr fontId="95"/>
  </si>
  <si>
    <t>＜Excel・ファイル　フォーマット確認＞
指定フォーマット/指定外フォーマットを入力した場合の結果を確認する。</t>
    <rPh sb="18" eb="20">
      <t>カクニン</t>
    </rPh>
    <rPh sb="22" eb="24">
      <t>シテイ</t>
    </rPh>
    <rPh sb="31" eb="33">
      <t>シテイ</t>
    </rPh>
    <rPh sb="33" eb="34">
      <t>ガイ</t>
    </rPh>
    <rPh sb="41" eb="43">
      <t>ニュウリョク</t>
    </rPh>
    <rPh sb="45" eb="47">
      <t>バアイ</t>
    </rPh>
    <rPh sb="48" eb="50">
      <t>ケッカ</t>
    </rPh>
    <rPh sb="51" eb="53">
      <t>カクニン</t>
    </rPh>
    <phoneticPr fontId="95"/>
  </si>
  <si>
    <t>＜Excel・ファイル　項目確認＞
Excel・ファイルに対応した項目に値が設定されることを確認する。
・各項目が正しく値が反映されていること。
　（数値項目の前ゼロや小数点、日付形式など）</t>
    <rPh sb="12" eb="14">
      <t>コウモク</t>
    </rPh>
    <rPh sb="14" eb="16">
      <t>カクニン</t>
    </rPh>
    <phoneticPr fontId="95"/>
  </si>
  <si>
    <t>＜Excel・ファイル　件数確認＞
対象１件、５件以上の２パターンの結果を確認する。</t>
    <rPh sb="12" eb="14">
      <t>ケンスウ</t>
    </rPh>
    <rPh sb="14" eb="16">
      <t>カクニン</t>
    </rPh>
    <phoneticPr fontId="95"/>
  </si>
  <si>
    <t>＜Excel・ファイル　対象ゼロ件確認＞
対象０件の結果を確認する。</t>
    <rPh sb="12" eb="14">
      <t>タイショウ</t>
    </rPh>
    <rPh sb="16" eb="17">
      <t>ケン</t>
    </rPh>
    <rPh sb="17" eb="19">
      <t>カクニン</t>
    </rPh>
    <phoneticPr fontId="95"/>
  </si>
  <si>
    <t>６．ファイル出力
　（Excel帳票含む）</t>
    <rPh sb="6" eb="8">
      <t>シュツリョク</t>
    </rPh>
    <rPh sb="16" eb="18">
      <t>チョウヒョウ</t>
    </rPh>
    <rPh sb="18" eb="19">
      <t>フク</t>
    </rPh>
    <phoneticPr fontId="95"/>
  </si>
  <si>
    <t>＜Excel・ファイル　フォーマット確認＞
出力対象データが指定したフォーマットで正しく出力されていることを確認する。</t>
    <rPh sb="22" eb="24">
      <t>シュツリョク</t>
    </rPh>
    <rPh sb="24" eb="26">
      <t>タイショウ</t>
    </rPh>
    <rPh sb="30" eb="32">
      <t>シテイ</t>
    </rPh>
    <rPh sb="41" eb="42">
      <t>タダ</t>
    </rPh>
    <rPh sb="44" eb="46">
      <t>シュツリョク</t>
    </rPh>
    <phoneticPr fontId="95"/>
  </si>
  <si>
    <t>＜Excel・ファイル　ファイル名確認＞
ファイル名、フォルダ構成を確認する。
・新規の場合
・出力先に同一ファイル名で存在する場合</t>
    <rPh sb="16" eb="17">
      <t>メイ</t>
    </rPh>
    <rPh sb="17" eb="19">
      <t>カクニン</t>
    </rPh>
    <rPh sb="25" eb="26">
      <t>メイ</t>
    </rPh>
    <rPh sb="31" eb="33">
      <t>コウセイ</t>
    </rPh>
    <rPh sb="34" eb="36">
      <t>カクニン</t>
    </rPh>
    <rPh sb="41" eb="43">
      <t>シンキ</t>
    </rPh>
    <rPh sb="44" eb="46">
      <t>バアイ</t>
    </rPh>
    <rPh sb="48" eb="50">
      <t>シュツリョク</t>
    </rPh>
    <rPh sb="50" eb="51">
      <t>サキ</t>
    </rPh>
    <rPh sb="52" eb="54">
      <t>ドウイツ</t>
    </rPh>
    <rPh sb="58" eb="59">
      <t>メイ</t>
    </rPh>
    <rPh sb="60" eb="62">
      <t>ソンザイ</t>
    </rPh>
    <rPh sb="64" eb="66">
      <t>バアイ</t>
    </rPh>
    <phoneticPr fontId="95"/>
  </si>
  <si>
    <t>＜Excel・ファイル　文字コード確認＞
文字コード、改行コードを確認する。</t>
    <rPh sb="12" eb="14">
      <t>モジ</t>
    </rPh>
    <rPh sb="17" eb="19">
      <t>カクニン</t>
    </rPh>
    <rPh sb="21" eb="23">
      <t>モジ</t>
    </rPh>
    <rPh sb="27" eb="29">
      <t>カイギョウ</t>
    </rPh>
    <rPh sb="33" eb="35">
      <t>カクニン</t>
    </rPh>
    <phoneticPr fontId="95"/>
  </si>
  <si>
    <t>＜Excel・ファイル　対象件数の確認＞
対象１件、５件以上の２パターンの結果を確認する。</t>
    <rPh sb="12" eb="14">
      <t>タイショウ</t>
    </rPh>
    <rPh sb="14" eb="16">
      <t>ケンスウ</t>
    </rPh>
    <rPh sb="17" eb="19">
      <t>カクニン</t>
    </rPh>
    <phoneticPr fontId="95"/>
  </si>
  <si>
    <t>＜Excel・ファイル　出力項目確認＞
Excel・ファイルに対応した項目に値が設定されることを確認する（固定値を含める）。</t>
    <rPh sb="14" eb="16">
      <t>コウモク</t>
    </rPh>
    <rPh sb="16" eb="18">
      <t>カクニン</t>
    </rPh>
    <rPh sb="53" eb="56">
      <t>コテイチ</t>
    </rPh>
    <rPh sb="57" eb="58">
      <t>フク</t>
    </rPh>
    <phoneticPr fontId="95"/>
  </si>
  <si>
    <t>＜Excel・ファイル　限界値確認＞
各項目の値を限界値に設定した場合の結果を確認する。</t>
    <rPh sb="12" eb="14">
      <t>ゲンカイ</t>
    </rPh>
    <rPh sb="14" eb="15">
      <t>チ</t>
    </rPh>
    <rPh sb="15" eb="17">
      <t>カクニン</t>
    </rPh>
    <phoneticPr fontId="95"/>
  </si>
  <si>
    <t>＜Excel・ファイル　ソート順・改ページ＞
複数ページを印字し、項目のはみ出しや、ソート順や改ページが正しいことを確認する。</t>
    <rPh sb="15" eb="16">
      <t>ジュン</t>
    </rPh>
    <rPh sb="17" eb="18">
      <t>カイ</t>
    </rPh>
    <phoneticPr fontId="95"/>
  </si>
  <si>
    <t>＜Excel・ファイル　対象ゼロ件確認＞
対象０件の結果を確認する。</t>
    <phoneticPr fontId="95"/>
  </si>
  <si>
    <t>７．帳票</t>
    <rPh sb="2" eb="4">
      <t>チョウヒョウ</t>
    </rPh>
    <phoneticPr fontId="95"/>
  </si>
  <si>
    <t>＜レイアウト＞
レイアウトが設計書の画面イメージと一致していることを確認する。
・用紙サイズ
・印字文字列
・フォント・サイズ
・罫線の位置、線種、幅
・ページ数、総ページ数、バーコードなど</t>
    <rPh sb="41" eb="43">
      <t>ヨウシ</t>
    </rPh>
    <rPh sb="48" eb="50">
      <t>インジ</t>
    </rPh>
    <rPh sb="50" eb="53">
      <t>モジレツ</t>
    </rPh>
    <rPh sb="65" eb="67">
      <t>ケイセン</t>
    </rPh>
    <rPh sb="68" eb="70">
      <t>イチ</t>
    </rPh>
    <rPh sb="71" eb="73">
      <t>センシュ</t>
    </rPh>
    <rPh sb="74" eb="75">
      <t>ハバ</t>
    </rPh>
    <rPh sb="80" eb="81">
      <t>スウ</t>
    </rPh>
    <rPh sb="82" eb="83">
      <t>ソウ</t>
    </rPh>
    <rPh sb="86" eb="87">
      <t>スウ</t>
    </rPh>
    <phoneticPr fontId="95"/>
  </si>
  <si>
    <t>＜表示形式＞
各項目の表示形式（日付、数値カンマ、マイナス）が設計書と一致していることを確認する。
・各項目をコード定義に従って、最大の値を準備して試験を行うこと。</t>
    <rPh sb="1" eb="3">
      <t>ヒョウジ</t>
    </rPh>
    <rPh sb="3" eb="5">
      <t>ケイシキ</t>
    </rPh>
    <rPh sb="7" eb="8">
      <t>カク</t>
    </rPh>
    <rPh sb="8" eb="10">
      <t>コウモク</t>
    </rPh>
    <rPh sb="11" eb="13">
      <t>ヒョウジ</t>
    </rPh>
    <rPh sb="13" eb="15">
      <t>ケイシキ</t>
    </rPh>
    <rPh sb="16" eb="18">
      <t>ヒヅケ</t>
    </rPh>
    <rPh sb="19" eb="21">
      <t>スウチ</t>
    </rPh>
    <rPh sb="31" eb="34">
      <t>セッケイショ</t>
    </rPh>
    <rPh sb="35" eb="37">
      <t>イッチ</t>
    </rPh>
    <rPh sb="44" eb="46">
      <t>カクニン</t>
    </rPh>
    <rPh sb="51" eb="52">
      <t>カク</t>
    </rPh>
    <rPh sb="52" eb="54">
      <t>コウモク</t>
    </rPh>
    <rPh sb="58" eb="60">
      <t>テイギ</t>
    </rPh>
    <rPh sb="61" eb="62">
      <t>シタガ</t>
    </rPh>
    <rPh sb="65" eb="67">
      <t>サイダイ</t>
    </rPh>
    <rPh sb="68" eb="69">
      <t>アタイ</t>
    </rPh>
    <rPh sb="70" eb="72">
      <t>ジュンビ</t>
    </rPh>
    <rPh sb="74" eb="76">
      <t>シケン</t>
    </rPh>
    <rPh sb="77" eb="78">
      <t>オコナ</t>
    </rPh>
    <phoneticPr fontId="95"/>
  </si>
  <si>
    <t>＜複数行印字＞
対象データが複数行になる場合、設計書と一致していることを確認する。
・改行、改ページの位置
・印字順（ソート順）
・合計値項目など導出値が正しく表示されているかを確認する。</t>
    <rPh sb="1" eb="3">
      <t>フクスウ</t>
    </rPh>
    <rPh sb="3" eb="4">
      <t>ギョウ</t>
    </rPh>
    <rPh sb="4" eb="6">
      <t>インジ</t>
    </rPh>
    <rPh sb="8" eb="10">
      <t>タイショウ</t>
    </rPh>
    <rPh sb="14" eb="16">
      <t>フクスウ</t>
    </rPh>
    <rPh sb="16" eb="17">
      <t>ギョウ</t>
    </rPh>
    <rPh sb="20" eb="22">
      <t>バアイ</t>
    </rPh>
    <rPh sb="23" eb="26">
      <t>セッケイショ</t>
    </rPh>
    <rPh sb="27" eb="29">
      <t>イッチ</t>
    </rPh>
    <rPh sb="36" eb="38">
      <t>カクニン</t>
    </rPh>
    <rPh sb="43" eb="45">
      <t>カイギョウ</t>
    </rPh>
    <rPh sb="46" eb="47">
      <t>カイ</t>
    </rPh>
    <rPh sb="51" eb="53">
      <t>イチ</t>
    </rPh>
    <rPh sb="55" eb="57">
      <t>インジ</t>
    </rPh>
    <rPh sb="57" eb="58">
      <t>ジュン</t>
    </rPh>
    <rPh sb="62" eb="63">
      <t>ジュン</t>
    </rPh>
    <phoneticPr fontId="95"/>
  </si>
  <si>
    <t xml:space="preserve">＜DB更新＞
印刷処理を行った後、出力済フラグなどの更新処理が設計書の画面イメージと一致していることを確認する。
・DB更新ができること
</t>
    <rPh sb="3" eb="5">
      <t>コウシン</t>
    </rPh>
    <rPh sb="7" eb="9">
      <t>インサツ</t>
    </rPh>
    <rPh sb="9" eb="11">
      <t>ショリ</t>
    </rPh>
    <rPh sb="12" eb="13">
      <t>オコナ</t>
    </rPh>
    <rPh sb="15" eb="16">
      <t>ノチ</t>
    </rPh>
    <rPh sb="17" eb="19">
      <t>シュツリョク</t>
    </rPh>
    <rPh sb="19" eb="20">
      <t>ズ</t>
    </rPh>
    <rPh sb="26" eb="28">
      <t>コウシン</t>
    </rPh>
    <rPh sb="28" eb="30">
      <t>ショリ</t>
    </rPh>
    <rPh sb="60" eb="62">
      <t>コウシン</t>
    </rPh>
    <phoneticPr fontId="95"/>
  </si>
  <si>
    <t>＜対象データなし＞
印刷対象がゼロ件の場合の動作が設計書の画面イメージと一致していることを確認する。</t>
    <rPh sb="1" eb="3">
      <t>タイショウ</t>
    </rPh>
    <rPh sb="10" eb="12">
      <t>インサツ</t>
    </rPh>
    <rPh sb="12" eb="14">
      <t>タイショウ</t>
    </rPh>
    <rPh sb="17" eb="18">
      <t>ケン</t>
    </rPh>
    <rPh sb="19" eb="21">
      <t>バアイ</t>
    </rPh>
    <rPh sb="22" eb="24">
      <t>ドウサ</t>
    </rPh>
    <phoneticPr fontId="95"/>
  </si>
  <si>
    <t>８．DB</t>
    <phoneticPr fontId="95"/>
  </si>
  <si>
    <t>＜更新＞
入力された内容でテーブルが設計書通りに更新できること。
・登録対象のテーブルと項目の試験項目に抜けがないことをマトリクス表を用いて確認する。</t>
    <rPh sb="1" eb="3">
      <t>コウシン</t>
    </rPh>
    <rPh sb="5" eb="7">
      <t>ニュウリョク</t>
    </rPh>
    <rPh sb="10" eb="12">
      <t>ナイヨウ</t>
    </rPh>
    <rPh sb="18" eb="20">
      <t>セッケイ</t>
    </rPh>
    <rPh sb="20" eb="21">
      <t>ショ</t>
    </rPh>
    <rPh sb="21" eb="22">
      <t>ドオ</t>
    </rPh>
    <rPh sb="24" eb="26">
      <t>コウシン</t>
    </rPh>
    <rPh sb="34" eb="36">
      <t>トウロク</t>
    </rPh>
    <rPh sb="36" eb="38">
      <t>タイショウ</t>
    </rPh>
    <rPh sb="44" eb="46">
      <t>コウモク</t>
    </rPh>
    <rPh sb="47" eb="49">
      <t>シケン</t>
    </rPh>
    <rPh sb="49" eb="51">
      <t>コウモク</t>
    </rPh>
    <rPh sb="52" eb="53">
      <t>ヌ</t>
    </rPh>
    <rPh sb="65" eb="66">
      <t>ヒョウ</t>
    </rPh>
    <rPh sb="67" eb="68">
      <t>モチ</t>
    </rPh>
    <rPh sb="70" eb="72">
      <t>カクニン</t>
    </rPh>
    <phoneticPr fontId="92"/>
  </si>
  <si>
    <t xml:space="preserve">＜削除＞
削除した内容でテーブルが設計書通りに削除できること。
・削除（論理or物理）対象のテーブルと項目の試験項目に抜けがないことをマトリクス表を用いて確認する。
</t>
    <rPh sb="1" eb="3">
      <t>サクジョ</t>
    </rPh>
    <rPh sb="5" eb="7">
      <t>サクジョ</t>
    </rPh>
    <rPh sb="9" eb="11">
      <t>ナイヨウ</t>
    </rPh>
    <rPh sb="23" eb="25">
      <t>サクジョ</t>
    </rPh>
    <rPh sb="33" eb="35">
      <t>サクジョ</t>
    </rPh>
    <rPh sb="36" eb="38">
      <t>ロンリ</t>
    </rPh>
    <rPh sb="40" eb="42">
      <t>ブツリ</t>
    </rPh>
    <rPh sb="43" eb="45">
      <t>タイショウ</t>
    </rPh>
    <rPh sb="51" eb="53">
      <t>コウモク</t>
    </rPh>
    <rPh sb="54" eb="56">
      <t>シケン</t>
    </rPh>
    <rPh sb="56" eb="58">
      <t>コウモク</t>
    </rPh>
    <rPh sb="59" eb="60">
      <t>ヌ</t>
    </rPh>
    <rPh sb="72" eb="73">
      <t>ヒョウ</t>
    </rPh>
    <rPh sb="74" eb="75">
      <t>モチ</t>
    </rPh>
    <rPh sb="77" eb="79">
      <t>カクニン</t>
    </rPh>
    <phoneticPr fontId="92"/>
  </si>
  <si>
    <t>＜追加＞
入力された内容でテーブルが設計書通りに追加できること。
・登録対象のテーブルと項目の試験項目に抜けがないことをマトリクス表を用いて確認する。</t>
    <rPh sb="1" eb="3">
      <t>ツイカ</t>
    </rPh>
    <rPh sb="5" eb="7">
      <t>ニュウリョク</t>
    </rPh>
    <rPh sb="10" eb="12">
      <t>ナイヨウ</t>
    </rPh>
    <rPh sb="18" eb="21">
      <t>セッケイショ</t>
    </rPh>
    <rPh sb="21" eb="22">
      <t>ドオ</t>
    </rPh>
    <rPh sb="24" eb="26">
      <t>ツイカ</t>
    </rPh>
    <phoneticPr fontId="92"/>
  </si>
  <si>
    <t>＜参照＞
適用開始/終了日付けを持ったマスタを参照する場合に、これらの日付けを意識した試験項目が挙げられていること。</t>
    <rPh sb="1" eb="3">
      <t>サンショウ</t>
    </rPh>
    <rPh sb="5" eb="7">
      <t>テキヨウ</t>
    </rPh>
    <rPh sb="7" eb="9">
      <t>カイシ</t>
    </rPh>
    <rPh sb="10" eb="12">
      <t>シュウリョウ</t>
    </rPh>
    <rPh sb="12" eb="14">
      <t>ヒヅ</t>
    </rPh>
    <rPh sb="16" eb="17">
      <t>モ</t>
    </rPh>
    <rPh sb="23" eb="25">
      <t>サンショウ</t>
    </rPh>
    <rPh sb="27" eb="29">
      <t>バアイ</t>
    </rPh>
    <rPh sb="35" eb="37">
      <t>ヒヅ</t>
    </rPh>
    <rPh sb="39" eb="41">
      <t>イシキ</t>
    </rPh>
    <rPh sb="43" eb="45">
      <t>シケン</t>
    </rPh>
    <rPh sb="45" eb="47">
      <t>コウモク</t>
    </rPh>
    <rPh sb="48" eb="49">
      <t>ア</t>
    </rPh>
    <phoneticPr fontId="92"/>
  </si>
  <si>
    <t>９．性能</t>
    <rPh sb="2" eb="4">
      <t>セイノウ</t>
    </rPh>
    <phoneticPr fontId="95"/>
  </si>
  <si>
    <t>＜SQLトレース＞
SQLの実行計画を確認して、非効率なSQLがないこと。
・全表走査（FullScan）に対する評価
・SELECT文の発行回数（無駄に多いと問題あり）に対する評価</t>
    <rPh sb="54" eb="55">
      <t>タイ</t>
    </rPh>
    <rPh sb="57" eb="59">
      <t>ヒョウカ</t>
    </rPh>
    <rPh sb="86" eb="87">
      <t>タイ</t>
    </rPh>
    <rPh sb="89" eb="91">
      <t>ヒョウカ</t>
    </rPh>
    <phoneticPr fontId="95"/>
  </si>
  <si>
    <t>２１．マトリックス</t>
    <phoneticPr fontId="95"/>
  </si>
  <si>
    <t xml:space="preserve">試験項目番号が正しく記載（表示）されていること。
</t>
    <rPh sb="0" eb="2">
      <t>シケン</t>
    </rPh>
    <rPh sb="2" eb="4">
      <t>コウモク</t>
    </rPh>
    <rPh sb="4" eb="6">
      <t>バンゴウ</t>
    </rPh>
    <rPh sb="7" eb="8">
      <t>タダ</t>
    </rPh>
    <rPh sb="10" eb="12">
      <t>キサイ</t>
    </rPh>
    <rPh sb="13" eb="15">
      <t>ヒョウジ</t>
    </rPh>
    <phoneticPr fontId="95"/>
  </si>
  <si>
    <t>３１．試験データシート</t>
    <rPh sb="3" eb="5">
      <t>シケン</t>
    </rPh>
    <phoneticPr fontId="95"/>
  </si>
  <si>
    <t xml:space="preserve">試験項目番号が正しく記載されていること。
</t>
    <rPh sb="0" eb="2">
      <t>シケン</t>
    </rPh>
    <rPh sb="2" eb="4">
      <t>コウモク</t>
    </rPh>
    <rPh sb="4" eb="6">
      <t>バンゴウ</t>
    </rPh>
    <rPh sb="7" eb="8">
      <t>タダ</t>
    </rPh>
    <rPh sb="10" eb="12">
      <t>キサイ</t>
    </rPh>
    <phoneticPr fontId="95"/>
  </si>
  <si>
    <t>８１．不具合対応</t>
    <rPh sb="3" eb="6">
      <t>フグアイ</t>
    </rPh>
    <rPh sb="6" eb="8">
      <t>タイオウ</t>
    </rPh>
    <phoneticPr fontId="95"/>
  </si>
  <si>
    <t>不具合対応の試験項目が挙げられていること。
※故障対応のみ</t>
    <rPh sb="0" eb="3">
      <t>フグアイ</t>
    </rPh>
    <rPh sb="3" eb="5">
      <t>タイオウ</t>
    </rPh>
    <rPh sb="6" eb="8">
      <t>シケン</t>
    </rPh>
    <rPh sb="8" eb="10">
      <t>コウモク</t>
    </rPh>
    <rPh sb="11" eb="12">
      <t>ア</t>
    </rPh>
    <rPh sb="23" eb="25">
      <t>コショウ</t>
    </rPh>
    <rPh sb="25" eb="27">
      <t>タイオウ</t>
    </rPh>
    <phoneticPr fontId="95"/>
  </si>
  <si>
    <t>追加しました。</t>
    <rPh sb="0" eb="2">
      <t>ツイカ</t>
    </rPh>
    <phoneticPr fontId="2"/>
  </si>
  <si>
    <t>工程仕様変更時の処理分岐が網羅できているか？が不明なためテストケースをわけるか検証内容を別表でつけてください。</t>
    <phoneticPr fontId="2"/>
  </si>
  <si>
    <t>POPUPは選択工程によって作業仕様の部品が変更されているか？複数のパタンを検証してください。</t>
    <phoneticPr fontId="2"/>
  </si>
  <si>
    <t>追加しました。</t>
    <phoneticPr fontId="2"/>
  </si>
  <si>
    <t>朱</t>
    <rPh sb="0" eb="1">
      <t>シュ</t>
    </rPh>
    <phoneticPr fontId="2"/>
  </si>
  <si>
    <t>仕様入力のパリエーションを追加しましたが（「Popupレイアウト確認」）、認識があっていますでしょか。違うでしたら、関連する仕様の記載がどこにあるかを教えてください。</t>
    <rPh sb="0" eb="2">
      <t>シヨウ</t>
    </rPh>
    <rPh sb="2" eb="4">
      <t>ニュウリョク</t>
    </rPh>
    <rPh sb="37" eb="39">
      <t>ニンシキ</t>
    </rPh>
    <rPh sb="51" eb="52">
      <t>チガ</t>
    </rPh>
    <rPh sb="58" eb="60">
      <t>カンレン</t>
    </rPh>
    <rPh sb="62" eb="64">
      <t>シヨウ</t>
    </rPh>
    <rPh sb="65" eb="67">
      <t>キサイ</t>
    </rPh>
    <rPh sb="75" eb="76">
      <t>オシ</t>
    </rPh>
    <phoneticPr fontId="2"/>
  </si>
  <si>
    <t>材料設定の初期セットについてWEB共通仕様の条件分岐を網羅するようにテストしてください。</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</si>
</sst>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1">
    <numFmt numFmtId="41" formatCode="_ * #,##0_ ;_ * \-#,##0_ ;_ * &quot;-&quot;_ ;_ @_ "/>
    <numFmt numFmtId="43" formatCode="_ * #,##0.00_ ;_ * \-#,##0.00_ ;_ * &quot;-&quot;??_ ;_ @_ "/>
    <numFmt numFmtId="176" formatCode="0_ "/>
    <numFmt numFmtId="177" formatCode="m/d"/>
    <numFmt numFmtId="178" formatCode="0.0_ "/>
    <numFmt numFmtId="179" formatCode="0.00_ "/>
    <numFmt numFmtId="180" formatCode="0.0%"/>
    <numFmt numFmtId="181" formatCode="0.0"/>
    <numFmt numFmtId="182" formatCode="0.00_);[Red]\(0.00\)"/>
    <numFmt numFmtId="183" formatCode="#,##0;\-#,##0;&quot;-&quot;"/>
    <numFmt numFmtId="184" formatCode="0.00&quot;  &quot;"/>
    <numFmt numFmtId="185" formatCode="#,##0.0"/>
    <numFmt numFmtId="186" formatCode="&quot;$&quot;#,##0.00_);[Red]\(&quot;$&quot;#,##0.00\)"/>
    <numFmt numFmtId="187" formatCode="_(&quot;$&quot;* #,##0_);_(&quot;$&quot;* \(#,##0\);_(&quot;$&quot;* &quot;-&quot;_);_(@_)"/>
    <numFmt numFmtId="188" formatCode="_(&quot;$&quot;* #,##0.00_);_(&quot;$&quot;* \(#,##0.00\);_(&quot;$&quot;* &quot;-&quot;??_);_(@_)"/>
    <numFmt numFmtId="189" formatCode="&quot;¥&quot;#,##0.\-;&quot;¥&quot;\-#,##0.\-"/>
    <numFmt numFmtId="190" formatCode="#,##0_ ;[Red]\-#,##0\ "/>
    <numFmt numFmtId="191" formatCode="#,##0.00&quot;｣&quot;_);[Red]\(#,##0.00&quot;｣&quot;\)"/>
    <numFmt numFmtId="192" formatCode="#,##0.00&quot;｣&quot;_);\(#,##0.00&quot;｣&quot;\)"/>
    <numFmt numFmtId="193" formatCode="_-* #,##0.0_-;\-* #,##0.0_-;_-* &quot;-&quot;??_-;_-@_-"/>
    <numFmt numFmtId="194" formatCode="&quot;$&quot;#,##0;\-&quot;$&quot;#,##0"/>
  </numFmts>
  <fonts count="100">
    <font>
      <sz val="11"/>
      <name val="ＭＳ Ｐゴシック"/>
      <family val="3"/>
      <charset val="128"/>
    </font>
    <font>
      <sz val="11"/>
      <name val="ＭＳ Ｐゴシック"/>
      <family val="3"/>
      <charset val="128"/>
    </font>
    <font>
      <sz val="6"/>
      <name val="ＭＳ Ｐゴシック"/>
      <family val="3"/>
      <charset val="128"/>
    </font>
    <font>
      <sz val="8"/>
      <name val="ＭＳ Ｐ明朝"/>
      <family val="1"/>
      <charset val="128"/>
    </font>
    <font>
      <b/>
      <u/>
      <sz val="18"/>
      <name val="ＭＳ Ｐ明朝"/>
      <family val="1"/>
      <charset val="128"/>
    </font>
    <font>
      <sz val="9"/>
      <name val="ＭＳ Ｐ明朝"/>
      <family val="1"/>
      <charset val="128"/>
    </font>
    <font>
      <b/>
      <sz val="11"/>
      <name val="ＭＳ Ｐ明朝"/>
      <family val="1"/>
      <charset val="128"/>
    </font>
    <font>
      <b/>
      <sz val="12"/>
      <name val="ＭＳ Ｐ明朝"/>
      <family val="1"/>
      <charset val="128"/>
    </font>
    <font>
      <sz val="11"/>
      <name val="ＭＳ Ｐ明朝"/>
      <family val="1"/>
      <charset val="128"/>
    </font>
    <font>
      <sz val="10"/>
      <name val="ＭＳ Ｐゴシック"/>
      <family val="3"/>
      <charset val="128"/>
    </font>
    <font>
      <sz val="9"/>
      <name val="ＭＳ Ｐゴシック"/>
      <family val="3"/>
      <charset val="128"/>
    </font>
    <font>
      <b/>
      <u/>
      <sz val="16"/>
      <name val="ＭＳ Ｐゴシック"/>
      <family val="3"/>
      <charset val="128"/>
    </font>
    <font>
      <sz val="16"/>
      <name val="ＭＳ Ｐゴシック"/>
      <family val="3"/>
      <charset val="128"/>
    </font>
    <font>
      <sz val="8"/>
      <name val="ＭＳ Ｐゴシック"/>
      <family val="3"/>
      <charset val="128"/>
    </font>
    <font>
      <sz val="7"/>
      <name val="ＭＳ Ｐ明朝"/>
      <family val="1"/>
      <charset val="128"/>
    </font>
    <font>
      <sz val="10"/>
      <name val="ＭＳ Ｐ明朝"/>
      <family val="1"/>
      <charset val="128"/>
    </font>
    <font>
      <sz val="10"/>
      <color indexed="61"/>
      <name val="ＭＳ Ｐゴシック"/>
      <family val="3"/>
      <charset val="128"/>
    </font>
    <font>
      <sz val="9"/>
      <color indexed="10"/>
      <name val="ＭＳ Ｐ明朝"/>
      <family val="1"/>
      <charset val="128"/>
    </font>
    <font>
      <sz val="10"/>
      <color indexed="10"/>
      <name val="ＭＳ Ｐ明朝"/>
      <family val="1"/>
      <charset val="128"/>
    </font>
    <font>
      <sz val="11"/>
      <color indexed="10"/>
      <name val="ＭＳ Ｐゴシック"/>
      <family val="3"/>
      <charset val="128"/>
    </font>
    <font>
      <u/>
      <sz val="10.5"/>
      <name val="ＭＳ Ｐ明朝"/>
      <family val="1"/>
      <charset val="128"/>
    </font>
    <font>
      <sz val="11"/>
      <color indexed="8"/>
      <name val="ＭＳ Ｐゴシック"/>
      <family val="3"/>
      <charset val="128"/>
    </font>
    <font>
      <sz val="11"/>
      <color indexed="9"/>
      <name val="ＭＳ Ｐゴシック"/>
      <family val="3"/>
      <charset val="128"/>
    </font>
    <font>
      <b/>
      <sz val="11"/>
      <color indexed="9"/>
      <name val="ＭＳ Ｐゴシック"/>
      <family val="3"/>
      <charset val="128"/>
    </font>
    <font>
      <sz val="11"/>
      <color indexed="20"/>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1"/>
      <color indexed="17"/>
      <name val="ＭＳ Ｐゴシック"/>
      <family val="3"/>
      <charset val="128"/>
    </font>
    <font>
      <sz val="8"/>
      <name val="Arial"/>
      <family val="2"/>
    </font>
    <font>
      <sz val="11"/>
      <name val="ＭＳ 明朝"/>
      <family val="1"/>
      <charset val="128"/>
    </font>
    <font>
      <sz val="8"/>
      <name val="Times New Roman"/>
      <family val="1"/>
    </font>
    <font>
      <sz val="10"/>
      <color indexed="8"/>
      <name val="Arial"/>
      <family val="2"/>
    </font>
    <font>
      <sz val="10"/>
      <name val="Arial"/>
      <family val="2"/>
    </font>
    <font>
      <sz val="12"/>
      <name val="ＭＳ ゴシック"/>
      <family val="3"/>
      <charset val="128"/>
    </font>
    <font>
      <sz val="10"/>
      <name val="MS Serif"/>
      <family val="1"/>
    </font>
    <font>
      <b/>
      <sz val="12"/>
      <name val="Helv"/>
      <family val="2"/>
    </font>
    <font>
      <sz val="10"/>
      <color indexed="12"/>
      <name val="Arial"/>
      <family val="2"/>
    </font>
    <font>
      <sz val="10"/>
      <color indexed="16"/>
      <name val="MS Serif"/>
      <family val="1"/>
    </font>
    <font>
      <sz val="9"/>
      <name val="Times New Roman"/>
      <family val="1"/>
    </font>
    <font>
      <u/>
      <sz val="10"/>
      <color indexed="36"/>
      <name val="Arial"/>
      <family val="2"/>
    </font>
    <font>
      <b/>
      <sz val="12"/>
      <name val="Arial"/>
      <family val="2"/>
    </font>
    <font>
      <b/>
      <sz val="8"/>
      <name val="MS Sans Serif"/>
      <family val="2"/>
    </font>
    <font>
      <u/>
      <sz val="8"/>
      <color indexed="12"/>
      <name val="Times New Roman"/>
      <family val="1"/>
    </font>
    <font>
      <sz val="10"/>
      <color indexed="14"/>
      <name val="Arial"/>
      <family val="2"/>
    </font>
    <font>
      <sz val="10"/>
      <name val="Helv"/>
      <family val="2"/>
    </font>
    <font>
      <sz val="11"/>
      <name val="ＭＳ ゴシック"/>
      <family val="3"/>
      <charset val="128"/>
    </font>
    <font>
      <sz val="10"/>
      <name val="MS Sans Serif"/>
      <family val="2"/>
    </font>
    <font>
      <sz val="10"/>
      <color indexed="10"/>
      <name val="Arial"/>
      <family val="2"/>
    </font>
    <font>
      <sz val="10"/>
      <name val="Tms Rmn"/>
      <family val="1"/>
    </font>
    <font>
      <b/>
      <sz val="10"/>
      <name val="MS Sans Serif"/>
      <family val="2"/>
    </font>
    <font>
      <sz val="8"/>
      <name val="Wingdings"/>
      <charset val="2"/>
    </font>
    <font>
      <sz val="8"/>
      <color indexed="16"/>
      <name val="Century Schoolbook"/>
      <family val="1"/>
    </font>
    <font>
      <sz val="8"/>
      <name val="Helv"/>
      <family val="2"/>
    </font>
    <font>
      <b/>
      <sz val="11"/>
      <color indexed="18"/>
      <name val="Arial"/>
      <family val="2"/>
    </font>
    <font>
      <b/>
      <i/>
      <sz val="11"/>
      <color indexed="18"/>
      <name val="Arial"/>
      <family val="2"/>
    </font>
    <font>
      <sz val="12"/>
      <color indexed="18"/>
      <name val="MS Sans Serif"/>
      <family val="2"/>
    </font>
    <font>
      <sz val="12"/>
      <color indexed="9"/>
      <name val="MS Sans Serif"/>
      <family val="2"/>
    </font>
    <font>
      <sz val="11"/>
      <color indexed="9"/>
      <name val="Arial"/>
      <family val="2"/>
    </font>
    <font>
      <sz val="11"/>
      <name val="Arial"/>
      <family val="2"/>
    </font>
    <font>
      <b/>
      <sz val="11"/>
      <color indexed="9"/>
      <name val="Arial"/>
      <family val="2"/>
    </font>
    <font>
      <b/>
      <sz val="11"/>
      <color indexed="18"/>
      <name val="Arial Narrow"/>
      <family val="2"/>
    </font>
    <font>
      <b/>
      <sz val="11"/>
      <color indexed="9"/>
      <name val="Arial Narrow"/>
      <family val="2"/>
    </font>
    <font>
      <sz val="11"/>
      <color indexed="18"/>
      <name val="Arial"/>
      <family val="2"/>
    </font>
    <font>
      <sz val="10"/>
      <color indexed="56"/>
      <name val="Arial"/>
      <family val="2"/>
    </font>
    <font>
      <sz val="10"/>
      <color indexed="18"/>
      <name val="Arial"/>
      <family val="2"/>
    </font>
    <font>
      <sz val="10"/>
      <color indexed="9"/>
      <name val="Arial"/>
      <family val="2"/>
    </font>
    <font>
      <sz val="12"/>
      <color indexed="56"/>
      <name val="Arial"/>
      <family val="2"/>
    </font>
    <font>
      <i/>
      <sz val="12"/>
      <color indexed="56"/>
      <name val="Arial"/>
      <family val="2"/>
    </font>
    <font>
      <sz val="11"/>
      <color indexed="56"/>
      <name val="Arial"/>
      <family val="2"/>
    </font>
    <font>
      <i/>
      <sz val="11"/>
      <color indexed="56"/>
      <name val="Arial"/>
      <family val="2"/>
    </font>
    <font>
      <b/>
      <sz val="11"/>
      <color indexed="56"/>
      <name val="Arial"/>
      <family val="2"/>
    </font>
    <font>
      <b/>
      <i/>
      <sz val="11"/>
      <color indexed="56"/>
      <name val="Arial"/>
      <family val="2"/>
    </font>
    <font>
      <sz val="18"/>
      <color indexed="18"/>
      <name val="Arial"/>
      <family val="2"/>
    </font>
    <font>
      <sz val="11"/>
      <color indexed="10"/>
      <name val="Arial"/>
      <family val="2"/>
    </font>
    <font>
      <b/>
      <i/>
      <sz val="10"/>
      <name val="Times New Roman"/>
      <family val="1"/>
    </font>
    <font>
      <sz val="8"/>
      <name val="MS Sans Serif"/>
      <family val="2"/>
    </font>
    <font>
      <sz val="10"/>
      <name val="Times New Roman"/>
      <family val="1"/>
    </font>
    <font>
      <b/>
      <sz val="11"/>
      <name val="Helv"/>
      <family val="2"/>
    </font>
    <font>
      <b/>
      <sz val="8"/>
      <color indexed="8"/>
      <name val="Helv"/>
      <family val="2"/>
    </font>
    <font>
      <b/>
      <sz val="9"/>
      <name val="Times New Roman"/>
      <family val="1"/>
    </font>
    <font>
      <sz val="12"/>
      <name val="Osaka"/>
      <family val="3"/>
      <charset val="128"/>
    </font>
    <font>
      <sz val="22"/>
      <name val="ＭＳ 明朝"/>
      <family val="1"/>
      <charset val="128"/>
    </font>
    <font>
      <b/>
      <sz val="18"/>
      <color indexed="62"/>
      <name val="ＭＳ Ｐゴシック"/>
      <family val="3"/>
      <charset val="128"/>
    </font>
    <font>
      <sz val="11"/>
      <color indexed="19"/>
      <name val="ＭＳ Ｐゴシック"/>
      <family val="3"/>
      <charset val="128"/>
    </font>
    <font>
      <b/>
      <sz val="11"/>
      <color indexed="10"/>
      <name val="ＭＳ Ｐゴシック"/>
      <family val="3"/>
      <charset val="128"/>
    </font>
    <font>
      <sz val="11"/>
      <name val="・団"/>
      <family val="1"/>
      <charset val="128"/>
    </font>
    <font>
      <b/>
      <sz val="15"/>
      <color indexed="62"/>
      <name val="ＭＳ Ｐゴシック"/>
      <family val="3"/>
      <charset val="128"/>
    </font>
    <font>
      <b/>
      <sz val="13"/>
      <color indexed="62"/>
      <name val="ＭＳ Ｐゴシック"/>
      <family val="3"/>
      <charset val="128"/>
    </font>
    <font>
      <b/>
      <sz val="11"/>
      <color indexed="62"/>
      <name val="ＭＳ Ｐゴシック"/>
      <family val="3"/>
      <charset val="128"/>
    </font>
    <font>
      <sz val="10"/>
      <name val="ＭＳ ゴシック"/>
      <family val="3"/>
      <charset val="128"/>
    </font>
    <font>
      <sz val="10"/>
      <name val="ＭＳ 明朝"/>
      <family val="1"/>
      <charset val="128"/>
    </font>
    <font>
      <sz val="12"/>
      <name val="ＭＳ Ｐゴシック"/>
      <family val="3"/>
      <charset val="128"/>
    </font>
    <font>
      <sz val="11"/>
      <name val="明朝"/>
      <family val="1"/>
      <charset val="128"/>
    </font>
    <font>
      <sz val="6"/>
      <name val="ＭＳ 明朝"/>
      <family val="1"/>
      <charset val="128"/>
    </font>
    <font>
      <b/>
      <sz val="9"/>
      <color indexed="81"/>
      <name val="ＭＳ Ｐゴシック"/>
      <family val="3"/>
      <charset val="128"/>
    </font>
    <font>
      <b/>
      <sz val="10"/>
      <name val="ＭＳ Ｐ明朝"/>
      <family val="1"/>
      <charset val="128"/>
    </font>
    <font>
      <sz val="10"/>
      <color theme="1"/>
      <name val="ＭＳ ゴシック"/>
      <family val="3"/>
      <charset val="128"/>
    </font>
    <font>
      <u/>
      <sz val="12"/>
      <name val="ＭＳ Ｐゴシック"/>
      <family val="3"/>
      <charset val="128"/>
    </font>
  </fonts>
  <fills count="34">
    <fill>
      <patternFill patternType="none"/>
    </fill>
    <fill>
      <patternFill patternType="gray125"/>
    </fill>
    <fill>
      <patternFill patternType="solid">
        <fgColor indexed="44"/>
      </patternFill>
    </fill>
    <fill>
      <patternFill patternType="solid">
        <fgColor indexed="29"/>
      </patternFill>
    </fill>
    <fill>
      <patternFill patternType="solid">
        <fgColor indexed="45"/>
      </patternFill>
    </fill>
    <fill>
      <patternFill patternType="solid">
        <fgColor indexed="26"/>
      </patternFill>
    </fill>
    <fill>
      <patternFill patternType="solid">
        <fgColor indexed="47"/>
      </patternFill>
    </fill>
    <fill>
      <patternFill patternType="solid">
        <fgColor indexed="46"/>
      </patternFill>
    </fill>
    <fill>
      <patternFill patternType="solid">
        <fgColor indexed="27"/>
      </patternFill>
    </fill>
    <fill>
      <patternFill patternType="solid">
        <fgColor indexed="43"/>
      </patternFill>
    </fill>
    <fill>
      <patternFill patternType="solid">
        <fgColor indexed="51"/>
      </patternFill>
    </fill>
    <fill>
      <patternFill patternType="solid">
        <fgColor indexed="53"/>
      </patternFill>
    </fill>
    <fill>
      <patternFill patternType="solid">
        <fgColor indexed="49"/>
      </patternFill>
    </fill>
    <fill>
      <patternFill patternType="solid">
        <fgColor indexed="22"/>
        <bgColor indexed="64"/>
      </patternFill>
    </fill>
    <fill>
      <patternFill patternType="solid">
        <fgColor indexed="26"/>
        <bgColor indexed="64"/>
      </patternFill>
    </fill>
    <fill>
      <patternFill patternType="solid">
        <fgColor indexed="9"/>
        <bgColor indexed="64"/>
      </patternFill>
    </fill>
    <fill>
      <patternFill patternType="mediumGray">
        <fgColor indexed="22"/>
      </patternFill>
    </fill>
    <fill>
      <patternFill patternType="darkVertical"/>
    </fill>
    <fill>
      <patternFill patternType="solid">
        <fgColor indexed="43"/>
        <bgColor indexed="64"/>
      </patternFill>
    </fill>
    <fill>
      <patternFill patternType="solid">
        <fgColor indexed="54"/>
        <bgColor indexed="64"/>
      </patternFill>
    </fill>
    <fill>
      <patternFill patternType="solid">
        <fgColor indexed="10"/>
        <bgColor indexed="64"/>
      </patternFill>
    </fill>
    <fill>
      <patternFill patternType="solid">
        <fgColor indexed="21"/>
        <bgColor indexed="64"/>
      </patternFill>
    </fill>
    <fill>
      <patternFill patternType="lightUp">
        <fgColor indexed="54"/>
        <bgColor indexed="41"/>
      </patternFill>
    </fill>
    <fill>
      <patternFill patternType="solid">
        <fgColor indexed="41"/>
        <bgColor indexed="64"/>
      </patternFill>
    </fill>
    <fill>
      <patternFill patternType="solid">
        <fgColor indexed="44"/>
        <bgColor indexed="64"/>
      </patternFill>
    </fill>
    <fill>
      <patternFill patternType="solid">
        <fgColor indexed="56"/>
      </patternFill>
    </fill>
    <fill>
      <patternFill patternType="solid">
        <fgColor indexed="10"/>
      </patternFill>
    </fill>
    <fill>
      <patternFill patternType="solid">
        <fgColor indexed="54"/>
      </patternFill>
    </fill>
    <fill>
      <patternFill patternType="solid">
        <fgColor indexed="55"/>
      </patternFill>
    </fill>
    <fill>
      <patternFill patternType="solid">
        <fgColor indexed="9"/>
      </patternFill>
    </fill>
    <fill>
      <patternFill patternType="solid">
        <fgColor indexed="65"/>
        <bgColor indexed="64"/>
      </patternFill>
    </fill>
    <fill>
      <patternFill patternType="solid">
        <fgColor indexed="42"/>
        <bgColor indexed="64"/>
      </patternFill>
    </fill>
    <fill>
      <patternFill patternType="solid">
        <fgColor indexed="47"/>
        <bgColor indexed="64"/>
      </patternFill>
    </fill>
    <fill>
      <patternFill patternType="solid">
        <fgColor theme="0" tint="-0.14999847407452621"/>
        <bgColor indexed="64"/>
      </patternFill>
    </fill>
  </fills>
  <borders count="110">
    <border>
      <left/>
      <right/>
      <top/>
      <bottom/>
      <diagonal/>
    </border>
    <border>
      <left/>
      <right/>
      <top style="medium">
        <color indexed="64"/>
      </top>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right/>
      <top/>
      <bottom style="thick">
        <color indexed="44"/>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10"/>
      </bottom>
      <diagonal/>
    </border>
    <border>
      <left/>
      <right/>
      <top/>
      <bottom style="hair">
        <color indexed="64"/>
      </bottom>
      <diagonal/>
    </border>
    <border>
      <left style="thin">
        <color indexed="23"/>
      </left>
      <right style="thin">
        <color indexed="23"/>
      </right>
      <top style="thin">
        <color indexed="23"/>
      </top>
      <bottom style="thin">
        <color indexed="23"/>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style="thin">
        <color indexed="56"/>
      </top>
      <bottom style="double">
        <color indexed="56"/>
      </bottom>
      <diagonal/>
    </border>
    <border>
      <left style="thin">
        <color indexed="63"/>
      </left>
      <right style="thin">
        <color indexed="63"/>
      </right>
      <top style="thin">
        <color indexed="63"/>
      </top>
      <bottom style="thin">
        <color indexed="63"/>
      </bottom>
      <diagonal/>
    </border>
    <border>
      <left style="thin">
        <color indexed="64"/>
      </left>
      <right style="thin">
        <color indexed="64"/>
      </right>
      <top style="medium">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right/>
      <top/>
      <bottom style="double">
        <color indexed="64"/>
      </bottom>
      <diagonal/>
    </border>
    <border>
      <left/>
      <right style="thin">
        <color indexed="64"/>
      </right>
      <top/>
      <bottom/>
      <diagonal/>
    </border>
    <border>
      <left/>
      <right style="thin">
        <color indexed="64"/>
      </right>
      <top/>
      <bottom style="double">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style="thin">
        <color indexed="64"/>
      </left>
      <right/>
      <top/>
      <bottom style="medium">
        <color indexed="64"/>
      </bottom>
      <diagonal/>
    </border>
    <border>
      <left/>
      <right style="medium">
        <color indexed="64"/>
      </right>
      <top/>
      <bottom style="medium">
        <color indexed="64"/>
      </bottom>
      <diagonal/>
    </border>
    <border>
      <left/>
      <right style="medium">
        <color indexed="64"/>
      </right>
      <top style="thin">
        <color indexed="64"/>
      </top>
      <bottom style="double">
        <color indexed="64"/>
      </bottom>
      <diagonal/>
    </border>
    <border>
      <left style="thin">
        <color indexed="64"/>
      </left>
      <right style="thin">
        <color indexed="64"/>
      </right>
      <top style="thin">
        <color indexed="64"/>
      </top>
      <bottom style="medium">
        <color indexed="64"/>
      </bottom>
      <diagonal/>
    </border>
    <border>
      <left style="medium">
        <color indexed="64"/>
      </left>
      <right/>
      <top style="medium">
        <color indexed="64"/>
      </top>
      <bottom/>
      <diagonal/>
    </border>
    <border>
      <left style="medium">
        <color indexed="64"/>
      </left>
      <right/>
      <top/>
      <bottom style="medium">
        <color indexed="64"/>
      </bottom>
      <diagonal/>
    </border>
    <border>
      <left style="medium">
        <color indexed="64"/>
      </left>
      <right/>
      <top/>
      <bottom/>
      <diagonal/>
    </border>
    <border>
      <left/>
      <right style="medium">
        <color indexed="64"/>
      </right>
      <top style="thin">
        <color indexed="64"/>
      </top>
      <bottom/>
      <diagonal/>
    </border>
    <border>
      <left style="thin">
        <color indexed="64"/>
      </left>
      <right/>
      <top style="medium">
        <color indexed="64"/>
      </top>
      <bottom/>
      <diagonal/>
    </border>
    <border>
      <left style="thin">
        <color indexed="64"/>
      </left>
      <right/>
      <top/>
      <bottom/>
      <diagonal/>
    </border>
    <border>
      <left style="thin">
        <color indexed="64"/>
      </left>
      <right style="thin">
        <color indexed="64"/>
      </right>
      <top/>
      <bottom/>
      <diagonal/>
    </border>
    <border>
      <left/>
      <right style="medium">
        <color indexed="64"/>
      </right>
      <top style="medium">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style="thin">
        <color indexed="64"/>
      </left>
      <right style="hair">
        <color indexed="64"/>
      </right>
      <top style="thin">
        <color indexed="64"/>
      </top>
      <bottom style="thin">
        <color indexed="64"/>
      </bottom>
      <diagonal/>
    </border>
    <border>
      <left style="medium">
        <color indexed="64"/>
      </left>
      <right style="medium">
        <color indexed="64"/>
      </right>
      <top/>
      <bottom/>
      <diagonal/>
    </border>
    <border>
      <left/>
      <right style="thin">
        <color indexed="64"/>
      </right>
      <top style="medium">
        <color indexed="64"/>
      </top>
      <bottom style="double">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style="hair">
        <color indexed="64"/>
      </bottom>
      <diagonal/>
    </border>
    <border>
      <left style="thin">
        <color indexed="64"/>
      </left>
      <right style="medium">
        <color indexed="64"/>
      </right>
      <top style="thin">
        <color indexed="64"/>
      </top>
      <bottom style="hair">
        <color indexed="64"/>
      </bottom>
      <diagonal/>
    </border>
    <border>
      <left style="medium">
        <color indexed="64"/>
      </left>
      <right style="thin">
        <color indexed="64"/>
      </right>
      <top/>
      <bottom/>
      <diagonal/>
    </border>
    <border>
      <left style="thin">
        <color indexed="64"/>
      </left>
      <right style="thin">
        <color indexed="64"/>
      </right>
      <top style="hair">
        <color indexed="64"/>
      </top>
      <bottom style="hair">
        <color indexed="64"/>
      </bottom>
      <diagonal/>
    </border>
    <border>
      <left style="thin">
        <color indexed="64"/>
      </left>
      <right style="medium">
        <color indexed="64"/>
      </right>
      <top style="hair">
        <color indexed="64"/>
      </top>
      <bottom style="hair">
        <color indexed="64"/>
      </bottom>
      <diagonal/>
    </border>
    <border>
      <left style="thin">
        <color indexed="64"/>
      </left>
      <right style="thin">
        <color indexed="64"/>
      </right>
      <top style="hair">
        <color indexed="64"/>
      </top>
      <bottom/>
      <diagonal/>
    </border>
    <border>
      <left style="thin">
        <color indexed="64"/>
      </left>
      <right style="medium">
        <color indexed="64"/>
      </right>
      <top style="hair">
        <color indexed="64"/>
      </top>
      <bottom/>
      <diagonal/>
    </border>
    <border>
      <left style="medium">
        <color indexed="64"/>
      </left>
      <right style="thin">
        <color indexed="64"/>
      </right>
      <top/>
      <bottom style="thin">
        <color indexed="64"/>
      </bottom>
      <diagonal/>
    </border>
    <border>
      <left style="thin">
        <color indexed="64"/>
      </left>
      <right style="thin">
        <color indexed="64"/>
      </right>
      <top style="hair">
        <color indexed="64"/>
      </top>
      <bottom style="thin">
        <color indexed="64"/>
      </bottom>
      <diagonal/>
    </border>
    <border>
      <left style="thin">
        <color indexed="64"/>
      </left>
      <right style="medium">
        <color indexed="64"/>
      </right>
      <top style="hair">
        <color indexed="64"/>
      </top>
      <bottom style="thin">
        <color indexed="64"/>
      </bottom>
      <diagonal/>
    </border>
    <border diagonalUp="1">
      <left style="thin">
        <color indexed="64"/>
      </left>
      <right style="thin">
        <color indexed="64"/>
      </right>
      <top style="hair">
        <color indexed="64"/>
      </top>
      <bottom style="hair">
        <color indexed="64"/>
      </bottom>
      <diagonal style="thin">
        <color indexed="64"/>
      </diagonal>
    </border>
    <border diagonalUp="1">
      <left style="thin">
        <color indexed="64"/>
      </left>
      <right style="thin">
        <color indexed="64"/>
      </right>
      <top style="thin">
        <color indexed="64"/>
      </top>
      <bottom style="hair">
        <color indexed="64"/>
      </bottom>
      <diagonal style="thin">
        <color indexed="64"/>
      </diagonal>
    </border>
    <border diagonalUp="1">
      <left style="thin">
        <color indexed="64"/>
      </left>
      <right style="medium">
        <color indexed="64"/>
      </right>
      <top style="thin">
        <color indexed="64"/>
      </top>
      <bottom style="hair">
        <color indexed="64"/>
      </bottom>
      <diagonal style="thin">
        <color indexed="64"/>
      </diagonal>
    </border>
    <border diagonalUp="1">
      <left style="thin">
        <color indexed="64"/>
      </left>
      <right style="medium">
        <color indexed="64"/>
      </right>
      <top style="hair">
        <color indexed="64"/>
      </top>
      <bottom style="hair">
        <color indexed="64"/>
      </bottom>
      <diagonal style="thin">
        <color indexed="64"/>
      </diagonal>
    </border>
    <border>
      <left style="thin">
        <color indexed="64"/>
      </left>
      <right style="thin">
        <color indexed="64"/>
      </right>
      <top/>
      <bottom style="hair">
        <color indexed="64"/>
      </bottom>
      <diagonal/>
    </border>
    <border>
      <left style="thin">
        <color indexed="64"/>
      </left>
      <right style="medium">
        <color indexed="64"/>
      </right>
      <top/>
      <bottom style="hair">
        <color indexed="64"/>
      </bottom>
      <diagonal/>
    </border>
    <border>
      <left style="thin">
        <color indexed="64"/>
      </left>
      <right style="medium">
        <color indexed="64"/>
      </right>
      <top/>
      <bottom/>
      <diagonal/>
    </border>
    <border>
      <left style="thin">
        <color indexed="64"/>
      </left>
      <right style="medium">
        <color indexed="64"/>
      </right>
      <top style="thin">
        <color indexed="64"/>
      </top>
      <bottom/>
      <diagonal/>
    </border>
    <border>
      <left style="medium">
        <color indexed="64"/>
      </left>
      <right style="thin">
        <color indexed="64"/>
      </right>
      <top/>
      <bottom style="medium">
        <color indexed="64"/>
      </bottom>
      <diagonal/>
    </border>
    <border>
      <left style="thin">
        <color indexed="64"/>
      </left>
      <right style="thin">
        <color indexed="64"/>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thin">
        <color indexed="64"/>
      </left>
      <right/>
      <top style="double">
        <color indexed="64"/>
      </top>
      <bottom style="thin">
        <color indexed="64"/>
      </bottom>
      <diagonal/>
    </border>
    <border>
      <left/>
      <right style="thin">
        <color indexed="64"/>
      </right>
      <top style="double">
        <color indexed="64"/>
      </top>
      <bottom style="thin">
        <color indexed="64"/>
      </bottom>
      <diagonal/>
    </border>
    <border>
      <left style="hair">
        <color indexed="64"/>
      </left>
      <right/>
      <top style="thin">
        <color indexed="64"/>
      </top>
      <bottom style="thin">
        <color indexed="64"/>
      </bottom>
      <diagonal/>
    </border>
    <border>
      <left/>
      <right/>
      <top style="double">
        <color indexed="64"/>
      </top>
      <bottom style="thin">
        <color indexed="64"/>
      </bottom>
      <diagonal/>
    </border>
    <border>
      <left style="thin">
        <color indexed="64"/>
      </left>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style="double">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medium">
        <color indexed="64"/>
      </right>
      <top style="thin">
        <color indexed="64"/>
      </top>
      <bottom style="medium">
        <color indexed="64"/>
      </bottom>
      <diagonal/>
    </border>
    <border>
      <left/>
      <right/>
      <top style="thin">
        <color indexed="64"/>
      </top>
      <bottom style="medium">
        <color indexed="64"/>
      </bottom>
      <diagonal/>
    </border>
    <border>
      <left style="thin">
        <color indexed="64"/>
      </left>
      <right/>
      <top/>
      <bottom style="double">
        <color indexed="64"/>
      </bottom>
      <diagonal/>
    </border>
    <border>
      <left/>
      <right style="medium">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right/>
      <top/>
      <bottom style="thin">
        <color indexed="64"/>
      </bottom>
      <diagonal/>
    </border>
    <border>
      <left style="thin">
        <color indexed="64"/>
      </left>
      <right/>
      <top style="double">
        <color indexed="64"/>
      </top>
      <bottom style="medium">
        <color indexed="64"/>
      </bottom>
      <diagonal/>
    </border>
    <border>
      <left/>
      <right/>
      <top style="double">
        <color indexed="64"/>
      </top>
      <bottom style="medium">
        <color indexed="64"/>
      </bottom>
      <diagonal/>
    </border>
    <border>
      <left/>
      <right style="thin">
        <color indexed="64"/>
      </right>
      <top/>
      <bottom style="medium">
        <color indexed="64"/>
      </bottom>
      <diagonal/>
    </border>
    <border>
      <left style="thin">
        <color indexed="64"/>
      </left>
      <right/>
      <top style="double">
        <color indexed="64"/>
      </top>
      <bottom/>
      <diagonal/>
    </border>
    <border>
      <left/>
      <right style="medium">
        <color indexed="64"/>
      </right>
      <top style="double">
        <color indexed="64"/>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style="double">
        <color indexed="64"/>
      </bottom>
      <diagonal/>
    </border>
    <border>
      <left/>
      <right style="thin">
        <color indexed="64"/>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right style="medium">
        <color indexed="64"/>
      </right>
      <top/>
      <bottom/>
      <diagonal/>
    </border>
  </borders>
  <cellStyleXfs count="280">
    <xf numFmtId="0" fontId="0"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0" fillId="0" borderId="0" applyNumberFormat="0" applyFill="0" applyBorder="0" applyAlignment="0" applyProtection="0"/>
    <xf numFmtId="0" fontId="82" fillId="0" borderId="0"/>
    <xf numFmtId="0" fontId="31" fillId="0" borderId="0"/>
    <xf numFmtId="0" fontId="31" fillId="0" borderId="0"/>
    <xf numFmtId="0" fontId="21" fillId="2" borderId="0" applyNumberFormat="0" applyBorder="0" applyAlignment="0" applyProtection="0">
      <alignment vertical="center"/>
    </xf>
    <xf numFmtId="0" fontId="21" fillId="2" borderId="0" applyNumberFormat="0" applyBorder="0" applyAlignment="0" applyProtection="0">
      <alignment vertical="center"/>
    </xf>
    <xf numFmtId="0" fontId="21" fillId="2" borderId="0" applyNumberFormat="0" applyBorder="0" applyAlignment="0" applyProtection="0">
      <alignment vertical="center"/>
    </xf>
    <xf numFmtId="0" fontId="21" fillId="3" borderId="0" applyNumberFormat="0" applyBorder="0" applyAlignment="0" applyProtection="0">
      <alignment vertical="center"/>
    </xf>
    <xf numFmtId="0" fontId="21" fillId="3" borderId="0" applyNumberFormat="0" applyBorder="0" applyAlignment="0" applyProtection="0">
      <alignment vertical="center"/>
    </xf>
    <xf numFmtId="0" fontId="21" fillId="3" borderId="0" applyNumberFormat="0" applyBorder="0" applyAlignment="0" applyProtection="0">
      <alignment vertical="center"/>
    </xf>
    <xf numFmtId="0" fontId="21" fillId="5" borderId="0" applyNumberFormat="0" applyBorder="0" applyAlignment="0" applyProtection="0">
      <alignment vertical="center"/>
    </xf>
    <xf numFmtId="0" fontId="21" fillId="5" borderId="0" applyNumberFormat="0" applyBorder="0" applyAlignment="0" applyProtection="0">
      <alignment vertical="center"/>
    </xf>
    <xf numFmtId="0" fontId="21" fillId="5" borderId="0" applyNumberFormat="0" applyBorder="0" applyAlignment="0" applyProtection="0">
      <alignment vertical="center"/>
    </xf>
    <xf numFmtId="0" fontId="21" fillId="6" borderId="0" applyNumberFormat="0" applyBorder="0" applyAlignment="0" applyProtection="0">
      <alignment vertical="center"/>
    </xf>
    <xf numFmtId="0" fontId="21" fillId="6" borderId="0" applyNumberFormat="0" applyBorder="0" applyAlignment="0" applyProtection="0">
      <alignment vertical="center"/>
    </xf>
    <xf numFmtId="0" fontId="21" fillId="6" borderId="0" applyNumberFormat="0" applyBorder="0" applyAlignment="0" applyProtection="0">
      <alignment vertical="center"/>
    </xf>
    <xf numFmtId="0" fontId="21" fillId="8" borderId="0" applyNumberFormat="0" applyBorder="0" applyAlignment="0" applyProtection="0">
      <alignment vertical="center"/>
    </xf>
    <xf numFmtId="0" fontId="21" fillId="8" borderId="0" applyNumberFormat="0" applyBorder="0" applyAlignment="0" applyProtection="0">
      <alignment vertical="center"/>
    </xf>
    <xf numFmtId="0" fontId="21" fillId="8" borderId="0" applyNumberFormat="0" applyBorder="0" applyAlignment="0" applyProtection="0">
      <alignment vertical="center"/>
    </xf>
    <xf numFmtId="0" fontId="21" fillId="5" borderId="0" applyNumberFormat="0" applyBorder="0" applyAlignment="0" applyProtection="0">
      <alignment vertical="center"/>
    </xf>
    <xf numFmtId="0" fontId="21" fillId="5" borderId="0" applyNumberFormat="0" applyBorder="0" applyAlignment="0" applyProtection="0">
      <alignment vertical="center"/>
    </xf>
    <xf numFmtId="0" fontId="21" fillId="5" borderId="0" applyNumberFormat="0" applyBorder="0" applyAlignment="0" applyProtection="0">
      <alignment vertical="center"/>
    </xf>
    <xf numFmtId="0" fontId="21" fillId="8" borderId="0" applyNumberFormat="0" applyBorder="0" applyAlignment="0" applyProtection="0">
      <alignment vertical="center"/>
    </xf>
    <xf numFmtId="0" fontId="21" fillId="8" borderId="0" applyNumberFormat="0" applyBorder="0" applyAlignment="0" applyProtection="0">
      <alignment vertical="center"/>
    </xf>
    <xf numFmtId="0" fontId="21" fillId="8" borderId="0" applyNumberFormat="0" applyBorder="0" applyAlignment="0" applyProtection="0">
      <alignment vertical="center"/>
    </xf>
    <xf numFmtId="0" fontId="21" fillId="3" borderId="0" applyNumberFormat="0" applyBorder="0" applyAlignment="0" applyProtection="0">
      <alignment vertical="center"/>
    </xf>
    <xf numFmtId="0" fontId="21" fillId="3" borderId="0" applyNumberFormat="0" applyBorder="0" applyAlignment="0" applyProtection="0">
      <alignment vertical="center"/>
    </xf>
    <xf numFmtId="0" fontId="21" fillId="3" borderId="0" applyNumberFormat="0" applyBorder="0" applyAlignment="0" applyProtection="0">
      <alignment vertical="center"/>
    </xf>
    <xf numFmtId="0" fontId="21" fillId="9" borderId="0" applyNumberFormat="0" applyBorder="0" applyAlignment="0" applyProtection="0">
      <alignment vertical="center"/>
    </xf>
    <xf numFmtId="0" fontId="21" fillId="9" borderId="0" applyNumberFormat="0" applyBorder="0" applyAlignment="0" applyProtection="0">
      <alignment vertical="center"/>
    </xf>
    <xf numFmtId="0" fontId="21" fillId="9" borderId="0" applyNumberFormat="0" applyBorder="0" applyAlignment="0" applyProtection="0">
      <alignment vertical="center"/>
    </xf>
    <xf numFmtId="0" fontId="21" fillId="4" borderId="0" applyNumberFormat="0" applyBorder="0" applyAlignment="0" applyProtection="0">
      <alignment vertical="center"/>
    </xf>
    <xf numFmtId="0" fontId="21" fillId="4" borderId="0" applyNumberFormat="0" applyBorder="0" applyAlignment="0" applyProtection="0">
      <alignment vertical="center"/>
    </xf>
    <xf numFmtId="0" fontId="21" fillId="4" borderId="0" applyNumberFormat="0" applyBorder="0" applyAlignment="0" applyProtection="0">
      <alignment vertical="center"/>
    </xf>
    <xf numFmtId="0" fontId="21" fillId="8" borderId="0" applyNumberFormat="0" applyBorder="0" applyAlignment="0" applyProtection="0">
      <alignment vertical="center"/>
    </xf>
    <xf numFmtId="0" fontId="21" fillId="8" borderId="0" applyNumberFormat="0" applyBorder="0" applyAlignment="0" applyProtection="0">
      <alignment vertical="center"/>
    </xf>
    <xf numFmtId="0" fontId="21" fillId="8" borderId="0" applyNumberFormat="0" applyBorder="0" applyAlignment="0" applyProtection="0">
      <alignment vertical="center"/>
    </xf>
    <xf numFmtId="0" fontId="21" fillId="5" borderId="0" applyNumberFormat="0" applyBorder="0" applyAlignment="0" applyProtection="0">
      <alignment vertical="center"/>
    </xf>
    <xf numFmtId="0" fontId="21" fillId="5" borderId="0" applyNumberFormat="0" applyBorder="0" applyAlignment="0" applyProtection="0">
      <alignment vertical="center"/>
    </xf>
    <xf numFmtId="0" fontId="21" fillId="5" borderId="0" applyNumberFormat="0" applyBorder="0" applyAlignment="0" applyProtection="0">
      <alignment vertical="center"/>
    </xf>
    <xf numFmtId="0" fontId="22" fillId="8" borderId="0" applyNumberFormat="0" applyBorder="0" applyAlignment="0" applyProtection="0">
      <alignment vertical="center"/>
    </xf>
    <xf numFmtId="0" fontId="22" fillId="8" borderId="0" applyNumberFormat="0" applyBorder="0" applyAlignment="0" applyProtection="0">
      <alignment vertical="center"/>
    </xf>
    <xf numFmtId="0" fontId="22" fillId="8" borderId="0" applyNumberFormat="0" applyBorder="0" applyAlignment="0" applyProtection="0">
      <alignment vertical="center"/>
    </xf>
    <xf numFmtId="0" fontId="22" fillId="11" borderId="0" applyNumberFormat="0" applyBorder="0" applyAlignment="0" applyProtection="0">
      <alignment vertical="center"/>
    </xf>
    <xf numFmtId="0" fontId="22" fillId="11" borderId="0" applyNumberFormat="0" applyBorder="0" applyAlignment="0" applyProtection="0">
      <alignment vertical="center"/>
    </xf>
    <xf numFmtId="0" fontId="22" fillId="11" borderId="0" applyNumberFormat="0" applyBorder="0" applyAlignment="0" applyProtection="0">
      <alignment vertical="center"/>
    </xf>
    <xf numFmtId="0" fontId="22" fillId="10" borderId="0" applyNumberFormat="0" applyBorder="0" applyAlignment="0" applyProtection="0">
      <alignment vertical="center"/>
    </xf>
    <xf numFmtId="0" fontId="22" fillId="10" borderId="0" applyNumberFormat="0" applyBorder="0" applyAlignment="0" applyProtection="0">
      <alignment vertical="center"/>
    </xf>
    <xf numFmtId="0" fontId="22" fillId="10" borderId="0" applyNumberFormat="0" applyBorder="0" applyAlignment="0" applyProtection="0">
      <alignment vertical="center"/>
    </xf>
    <xf numFmtId="0" fontId="22" fillId="4" borderId="0" applyNumberFormat="0" applyBorder="0" applyAlignment="0" applyProtection="0">
      <alignment vertical="center"/>
    </xf>
    <xf numFmtId="0" fontId="22" fillId="4" borderId="0" applyNumberFormat="0" applyBorder="0" applyAlignment="0" applyProtection="0">
      <alignment vertical="center"/>
    </xf>
    <xf numFmtId="0" fontId="22" fillId="4" borderId="0" applyNumberFormat="0" applyBorder="0" applyAlignment="0" applyProtection="0">
      <alignment vertical="center"/>
    </xf>
    <xf numFmtId="0" fontId="22" fillId="8" borderId="0" applyNumberFormat="0" applyBorder="0" applyAlignment="0" applyProtection="0">
      <alignment vertical="center"/>
    </xf>
    <xf numFmtId="0" fontId="22" fillId="8" borderId="0" applyNumberFormat="0" applyBorder="0" applyAlignment="0" applyProtection="0">
      <alignment vertical="center"/>
    </xf>
    <xf numFmtId="0" fontId="22" fillId="8" borderId="0" applyNumberFormat="0" applyBorder="0" applyAlignment="0" applyProtection="0">
      <alignment vertical="center"/>
    </xf>
    <xf numFmtId="0" fontId="22" fillId="3" borderId="0" applyNumberFormat="0" applyBorder="0" applyAlignment="0" applyProtection="0">
      <alignment vertical="center"/>
    </xf>
    <xf numFmtId="0" fontId="22" fillId="3" borderId="0" applyNumberFormat="0" applyBorder="0" applyAlignment="0" applyProtection="0">
      <alignment vertical="center"/>
    </xf>
    <xf numFmtId="0" fontId="22" fillId="3" borderId="0" applyNumberFormat="0" applyBorder="0" applyAlignment="0" applyProtection="0">
      <alignment vertical="center"/>
    </xf>
    <xf numFmtId="0" fontId="32" fillId="0" borderId="0">
      <alignment horizontal="center" wrapText="1"/>
      <protection locked="0"/>
    </xf>
    <xf numFmtId="183" fontId="33" fillId="0" borderId="0" applyFill="0" applyBorder="0" applyAlignment="0"/>
    <xf numFmtId="0" fontId="33" fillId="0" borderId="0" applyFill="0" applyBorder="0" applyAlignment="0"/>
    <xf numFmtId="0" fontId="34" fillId="0" borderId="0" applyFill="0" applyBorder="0" applyAlignment="0"/>
    <xf numFmtId="0" fontId="34" fillId="0" borderId="0" applyFill="0" applyBorder="0" applyAlignment="0"/>
    <xf numFmtId="0" fontId="34" fillId="0" borderId="0" applyFill="0" applyBorder="0" applyAlignment="0"/>
    <xf numFmtId="0" fontId="33" fillId="0" borderId="0" applyFill="0" applyBorder="0" applyAlignment="0"/>
    <xf numFmtId="0" fontId="34" fillId="0" borderId="0" applyFill="0" applyBorder="0" applyAlignment="0"/>
    <xf numFmtId="0" fontId="33" fillId="0" borderId="0" applyFill="0" applyBorder="0" applyAlignment="0"/>
    <xf numFmtId="41" fontId="1" fillId="0" borderId="0" applyFont="0" applyFill="0" applyBorder="0" applyAlignment="0" applyProtection="0"/>
    <xf numFmtId="0" fontId="34" fillId="0" borderId="0" applyFont="0" applyFill="0" applyBorder="0" applyAlignment="0" applyProtection="0"/>
    <xf numFmtId="43" fontId="1" fillId="0" borderId="0" applyFont="0" applyFill="0" applyBorder="0" applyAlignment="0" applyProtection="0"/>
    <xf numFmtId="0" fontId="35" fillId="0" borderId="0" applyNumberFormat="0" applyFont="0" applyBorder="0" applyAlignment="0" applyProtection="0"/>
    <xf numFmtId="0" fontId="36" fillId="0" borderId="0" applyNumberFormat="0" applyAlignment="0">
      <alignment horizontal="left"/>
    </xf>
    <xf numFmtId="187" fontId="1" fillId="0" borderId="0" applyFont="0" applyFill="0" applyBorder="0" applyAlignment="0" applyProtection="0"/>
    <xf numFmtId="0" fontId="34" fillId="0" borderId="0" applyFont="0" applyFill="0" applyBorder="0" applyAlignment="0" applyProtection="0"/>
    <xf numFmtId="188" fontId="1" fillId="0" borderId="0" applyFont="0" applyFill="0" applyBorder="0" applyAlignment="0" applyProtection="0"/>
    <xf numFmtId="0" fontId="37" fillId="0" borderId="1" applyNumberFormat="0" applyBorder="0">
      <alignment horizontal="centerContinuous"/>
    </xf>
    <xf numFmtId="14" fontId="33" fillId="0" borderId="0" applyFill="0" applyBorder="0" applyAlignment="0"/>
    <xf numFmtId="0" fontId="38" fillId="0" borderId="0" applyFill="0" applyBorder="0" applyAlignment="0"/>
    <xf numFmtId="0" fontId="38" fillId="0" borderId="0" applyFill="0" applyBorder="0" applyAlignment="0"/>
    <xf numFmtId="0" fontId="38" fillId="0" borderId="0" applyFill="0" applyBorder="0" applyAlignment="0"/>
    <xf numFmtId="0" fontId="34" fillId="0" borderId="0" applyFill="0" applyBorder="0" applyAlignment="0"/>
    <xf numFmtId="0" fontId="38" fillId="0" borderId="0" applyFill="0" applyBorder="0" applyAlignment="0"/>
    <xf numFmtId="0" fontId="39" fillId="0" borderId="0" applyNumberFormat="0" applyAlignment="0">
      <alignment horizontal="left"/>
    </xf>
    <xf numFmtId="0" fontId="40" fillId="0" borderId="0">
      <alignment horizontal="left"/>
    </xf>
    <xf numFmtId="0" fontId="41" fillId="0" borderId="0" applyNumberFormat="0" applyFill="0" applyBorder="0" applyAlignment="0" applyProtection="0">
      <alignment vertical="top"/>
      <protection locked="0"/>
    </xf>
    <xf numFmtId="38" fontId="1" fillId="13" borderId="0" applyNumberFormat="0" applyBorder="0" applyAlignment="0" applyProtection="0"/>
    <xf numFmtId="0" fontId="42" fillId="0" borderId="2" applyNumberFormat="0" applyAlignment="0" applyProtection="0">
      <alignment horizontal="left" vertical="center"/>
    </xf>
    <xf numFmtId="0" fontId="42" fillId="0" borderId="3">
      <alignment horizontal="left" vertical="center"/>
    </xf>
    <xf numFmtId="0" fontId="43" fillId="0" borderId="4">
      <alignment horizontal="center"/>
    </xf>
    <xf numFmtId="0" fontId="43" fillId="0" borderId="0">
      <alignment horizontal="center"/>
    </xf>
    <xf numFmtId="0" fontId="44" fillId="0" borderId="0" applyNumberFormat="0" applyFill="0" applyBorder="0" applyAlignment="0" applyProtection="0">
      <alignment vertical="top"/>
      <protection locked="0"/>
    </xf>
    <xf numFmtId="10" fontId="1" fillId="14" borderId="5" applyNumberFormat="0" applyBorder="0" applyAlignment="0" applyProtection="0"/>
    <xf numFmtId="0" fontId="45" fillId="0" borderId="0" applyFill="0" applyBorder="0" applyAlignment="0"/>
    <xf numFmtId="0" fontId="45" fillId="0" borderId="0" applyFill="0" applyBorder="0" applyAlignment="0"/>
    <xf numFmtId="0" fontId="45" fillId="0" borderId="0" applyFill="0" applyBorder="0" applyAlignment="0"/>
    <xf numFmtId="0" fontId="34" fillId="0" borderId="0" applyFill="0" applyBorder="0" applyAlignment="0"/>
    <xf numFmtId="0" fontId="45" fillId="0" borderId="0" applyFill="0" applyBorder="0" applyAlignment="0"/>
    <xf numFmtId="185" fontId="1" fillId="0" borderId="0" applyFont="0" applyFill="0" applyBorder="0" applyAlignment="0" applyProtection="0"/>
    <xf numFmtId="4" fontId="46" fillId="0" borderId="0" applyFont="0" applyFill="0" applyBorder="0" applyAlignment="0" applyProtection="0"/>
    <xf numFmtId="191" fontId="1" fillId="0" borderId="0" applyFont="0" applyFill="0" applyBorder="0" applyAlignment="0" applyProtection="0"/>
    <xf numFmtId="191" fontId="47" fillId="0" borderId="0" applyFont="0" applyFill="0" applyBorder="0" applyAlignment="0" applyProtection="0"/>
    <xf numFmtId="187" fontId="34" fillId="0" borderId="0" applyFont="0" applyFill="0" applyBorder="0" applyAlignment="0" applyProtection="0"/>
    <xf numFmtId="186" fontId="46" fillId="0" borderId="0" applyFont="0" applyFill="0" applyBorder="0" applyAlignment="0" applyProtection="0"/>
    <xf numFmtId="191" fontId="47" fillId="0" borderId="0" applyFont="0" applyFill="0" applyBorder="0" applyAlignment="0" applyProtection="0"/>
    <xf numFmtId="192" fontId="47" fillId="0" borderId="0" applyFont="0" applyFill="0" applyBorder="0" applyAlignment="0" applyProtection="0"/>
    <xf numFmtId="2" fontId="40" fillId="15" borderId="0"/>
    <xf numFmtId="184" fontId="1" fillId="0" borderId="0"/>
    <xf numFmtId="0" fontId="1" fillId="0" borderId="0"/>
    <xf numFmtId="0" fontId="48" fillId="0" borderId="0"/>
    <xf numFmtId="14" fontId="32" fillId="0" borderId="0">
      <alignment horizontal="center" wrapText="1"/>
      <protection locked="0"/>
    </xf>
    <xf numFmtId="0" fontId="34" fillId="0" borderId="0" applyFont="0" applyFill="0" applyBorder="0" applyAlignment="0" applyProtection="0"/>
    <xf numFmtId="193" fontId="34" fillId="0" borderId="0" applyFont="0" applyFill="0" applyBorder="0" applyAlignment="0" applyProtection="0"/>
    <xf numFmtId="10" fontId="1" fillId="0" borderId="0" applyFont="0" applyFill="0" applyBorder="0" applyAlignment="0" applyProtection="0"/>
    <xf numFmtId="0" fontId="34" fillId="0" borderId="0" applyFont="0" applyFill="0" applyBorder="0" applyAlignment="0" applyProtection="0"/>
    <xf numFmtId="0" fontId="49" fillId="0" borderId="0" applyFill="0" applyBorder="0" applyAlignment="0"/>
    <xf numFmtId="0" fontId="49" fillId="0" borderId="0" applyFill="0" applyBorder="0" applyAlignment="0"/>
    <xf numFmtId="0" fontId="49" fillId="0" borderId="0" applyFill="0" applyBorder="0" applyAlignment="0"/>
    <xf numFmtId="0" fontId="34" fillId="0" borderId="0" applyFill="0" applyBorder="0" applyAlignment="0"/>
    <xf numFmtId="0" fontId="49" fillId="0" borderId="0" applyFill="0" applyBorder="0" applyAlignment="0"/>
    <xf numFmtId="4" fontId="40" fillId="0" borderId="0">
      <alignment horizontal="right"/>
    </xf>
    <xf numFmtId="194" fontId="50" fillId="0" borderId="0"/>
    <xf numFmtId="0" fontId="48" fillId="0" borderId="0" applyNumberFormat="0" applyFont="0" applyFill="0" applyBorder="0" applyAlignment="0" applyProtection="0">
      <alignment horizontal="left"/>
    </xf>
    <xf numFmtId="15" fontId="1" fillId="0" borderId="0" applyFont="0" applyFill="0" applyBorder="0" applyAlignment="0" applyProtection="0"/>
    <xf numFmtId="4" fontId="1" fillId="0" borderId="0" applyFont="0" applyFill="0" applyBorder="0" applyAlignment="0" applyProtection="0"/>
    <xf numFmtId="0" fontId="51" fillId="0" borderId="4">
      <alignment horizontal="center"/>
    </xf>
    <xf numFmtId="3" fontId="1" fillId="0" borderId="0" applyFont="0" applyFill="0" applyBorder="0" applyAlignment="0" applyProtection="0"/>
    <xf numFmtId="0" fontId="1" fillId="16" borderId="0" applyNumberFormat="0" applyFont="0" applyBorder="0" applyAlignment="0" applyProtection="0"/>
    <xf numFmtId="0" fontId="52" fillId="17" borderId="0" applyNumberFormat="0" applyFont="0" applyBorder="0" applyAlignment="0">
      <alignment horizontal="center"/>
    </xf>
    <xf numFmtId="4" fontId="53" fillId="0" borderId="0">
      <alignment horizontal="right"/>
    </xf>
    <xf numFmtId="30" fontId="54" fillId="0" borderId="0" applyNumberFormat="0" applyFill="0" applyBorder="0" applyAlignment="0" applyProtection="0">
      <alignment horizontal="left"/>
    </xf>
    <xf numFmtId="4" fontId="55" fillId="18" borderId="6" applyNumberFormat="0" applyProtection="0">
      <alignment vertical="center"/>
    </xf>
    <xf numFmtId="4" fontId="56" fillId="18" borderId="6" applyNumberFormat="0" applyProtection="0">
      <alignment vertical="center"/>
    </xf>
    <xf numFmtId="4" fontId="57" fillId="18" borderId="6" applyNumberFormat="0" applyProtection="0">
      <alignment horizontal="left" vertical="center"/>
    </xf>
    <xf numFmtId="4" fontId="58" fillId="19" borderId="6">
      <alignment horizontal="left" vertical="center"/>
    </xf>
    <xf numFmtId="4" fontId="59" fillId="20" borderId="6" applyNumberFormat="0" applyProtection="0">
      <alignment vertical="center"/>
    </xf>
    <xf numFmtId="4" fontId="60" fillId="13" borderId="6" applyNumberFormat="0" applyProtection="0">
      <alignment vertical="center"/>
    </xf>
    <xf numFmtId="4" fontId="59" fillId="21" borderId="6" applyNumberFormat="0" applyProtection="0">
      <alignment vertical="center"/>
    </xf>
    <xf numFmtId="4" fontId="61" fillId="20" borderId="6" applyNumberFormat="0" applyProtection="0">
      <alignment vertical="center"/>
    </xf>
    <xf numFmtId="4" fontId="62" fillId="22" borderId="6">
      <alignment horizontal="left" vertical="center"/>
    </xf>
    <xf numFmtId="4" fontId="62" fillId="23" borderId="6">
      <alignment horizontal="left" vertical="center"/>
    </xf>
    <xf numFmtId="4" fontId="63" fillId="19" borderId="6">
      <alignment horizontal="left" vertical="center"/>
    </xf>
    <xf numFmtId="4" fontId="64" fillId="24" borderId="6" applyNumberFormat="0" applyProtection="0">
      <alignment vertical="center"/>
    </xf>
    <xf numFmtId="4" fontId="65" fillId="15" borderId="6" applyNumberFormat="0" applyProtection="0">
      <alignment horizontal="left" vertical="center"/>
    </xf>
    <xf numFmtId="4" fontId="66" fillId="23" borderId="6" applyNumberFormat="0" applyProtection="0">
      <alignment horizontal="left" vertical="center"/>
    </xf>
    <xf numFmtId="4" fontId="67" fillId="19" borderId="6" applyNumberFormat="0" applyProtection="0">
      <alignment horizontal="left" vertical="center"/>
    </xf>
    <xf numFmtId="4" fontId="68" fillId="15" borderId="6" applyNumberFormat="0" applyProtection="0">
      <alignment vertical="center"/>
    </xf>
    <xf numFmtId="4" fontId="69" fillId="15" borderId="6" applyNumberFormat="0" applyProtection="0">
      <alignment vertical="center"/>
    </xf>
    <xf numFmtId="4" fontId="62" fillId="23" borderId="6" applyNumberFormat="0" applyProtection="0">
      <alignment horizontal="left" vertical="center"/>
    </xf>
    <xf numFmtId="4" fontId="70" fillId="15" borderId="6">
      <alignment vertical="center"/>
    </xf>
    <xf numFmtId="4" fontId="71" fillId="15" borderId="6" applyNumberFormat="0" applyProtection="0">
      <alignment vertical="center"/>
    </xf>
    <xf numFmtId="4" fontId="62" fillId="23" borderId="6">
      <alignment horizontal="left" vertical="center"/>
    </xf>
    <xf numFmtId="4" fontId="72" fillId="15" borderId="6" applyNumberFormat="0" applyProtection="0">
      <alignment vertical="center"/>
    </xf>
    <xf numFmtId="4" fontId="73" fillId="15" borderId="6" applyNumberFormat="0" applyProtection="0">
      <alignment vertical="center"/>
    </xf>
    <xf numFmtId="4" fontId="62" fillId="14" borderId="6" applyNumberFormat="0" applyProtection="0">
      <alignment horizontal="left" vertical="center"/>
    </xf>
    <xf numFmtId="4" fontId="74" fillId="24" borderId="6" applyNumberFormat="0" applyProtection="0">
      <alignment horizontal="left"/>
    </xf>
    <xf numFmtId="4" fontId="75" fillId="15" borderId="6" applyNumberFormat="0" applyProtection="0">
      <alignment vertical="center"/>
    </xf>
    <xf numFmtId="0" fontId="76" fillId="0" borderId="0">
      <alignment horizontal="left"/>
    </xf>
    <xf numFmtId="0" fontId="52" fillId="1" borderId="3" applyNumberFormat="0" applyFont="0" applyAlignment="0">
      <alignment horizontal="center"/>
    </xf>
    <xf numFmtId="0" fontId="77" fillId="0" borderId="0" applyNumberFormat="0" applyFill="0" applyBorder="0" applyAlignment="0">
      <alignment horizontal="center"/>
    </xf>
    <xf numFmtId="1" fontId="78" fillId="0" borderId="0" applyBorder="0">
      <alignment horizontal="left" vertical="top" wrapText="1"/>
    </xf>
    <xf numFmtId="0" fontId="1" fillId="15" borderId="0">
      <alignment horizontal="left" vertical="top"/>
    </xf>
    <xf numFmtId="0" fontId="79" fillId="0" borderId="0"/>
    <xf numFmtId="40" fontId="80" fillId="0" borderId="0" applyBorder="0">
      <alignment horizontal="right"/>
    </xf>
    <xf numFmtId="49" fontId="33" fillId="0" borderId="0" applyFill="0" applyBorder="0" applyAlignment="0"/>
    <xf numFmtId="0" fontId="34" fillId="0" borderId="0" applyFill="0" applyBorder="0" applyAlignment="0"/>
    <xf numFmtId="0" fontId="34" fillId="0" borderId="0" applyFill="0" applyBorder="0" applyAlignment="0"/>
    <xf numFmtId="0" fontId="81" fillId="0" borderId="0">
      <alignment horizontal="center"/>
    </xf>
    <xf numFmtId="0" fontId="9" fillId="0" borderId="0">
      <alignment wrapText="1"/>
    </xf>
    <xf numFmtId="0" fontId="22" fillId="25" borderId="0" applyNumberFormat="0" applyBorder="0" applyAlignment="0" applyProtection="0">
      <alignment vertical="center"/>
    </xf>
    <xf numFmtId="0" fontId="22" fillId="25" borderId="0" applyNumberFormat="0" applyBorder="0" applyAlignment="0" applyProtection="0">
      <alignment vertical="center"/>
    </xf>
    <xf numFmtId="0" fontId="22" fillId="25" borderId="0" applyNumberFormat="0" applyBorder="0" applyAlignment="0" applyProtection="0">
      <alignment vertical="center"/>
    </xf>
    <xf numFmtId="0" fontId="22" fillId="11" borderId="0" applyNumberFormat="0" applyBorder="0" applyAlignment="0" applyProtection="0">
      <alignment vertical="center"/>
    </xf>
    <xf numFmtId="0" fontId="22" fillId="11" borderId="0" applyNumberFormat="0" applyBorder="0" applyAlignment="0" applyProtection="0">
      <alignment vertical="center"/>
    </xf>
    <xf numFmtId="0" fontId="22" fillId="11" borderId="0" applyNumberFormat="0" applyBorder="0" applyAlignment="0" applyProtection="0">
      <alignment vertical="center"/>
    </xf>
    <xf numFmtId="0" fontId="22" fillId="10" borderId="0" applyNumberFormat="0" applyBorder="0" applyAlignment="0" applyProtection="0">
      <alignment vertical="center"/>
    </xf>
    <xf numFmtId="0" fontId="22" fillId="10" borderId="0" applyNumberFormat="0" applyBorder="0" applyAlignment="0" applyProtection="0">
      <alignment vertical="center"/>
    </xf>
    <xf numFmtId="0" fontId="22" fillId="10" borderId="0" applyNumberFormat="0" applyBorder="0" applyAlignment="0" applyProtection="0">
      <alignment vertical="center"/>
    </xf>
    <xf numFmtId="0" fontId="22" fillId="27" borderId="0" applyNumberFormat="0" applyBorder="0" applyAlignment="0" applyProtection="0">
      <alignment vertical="center"/>
    </xf>
    <xf numFmtId="0" fontId="22" fillId="27" borderId="0" applyNumberFormat="0" applyBorder="0" applyAlignment="0" applyProtection="0">
      <alignment vertical="center"/>
    </xf>
    <xf numFmtId="0" fontId="22" fillId="27" borderId="0" applyNumberFormat="0" applyBorder="0" applyAlignment="0" applyProtection="0">
      <alignment vertical="center"/>
    </xf>
    <xf numFmtId="0" fontId="22" fillId="12" borderId="0" applyNumberFormat="0" applyBorder="0" applyAlignment="0" applyProtection="0">
      <alignment vertical="center"/>
    </xf>
    <xf numFmtId="0" fontId="22" fillId="12" borderId="0" applyNumberFormat="0" applyBorder="0" applyAlignment="0" applyProtection="0">
      <alignment vertical="center"/>
    </xf>
    <xf numFmtId="0" fontId="22" fillId="12" borderId="0" applyNumberFormat="0" applyBorder="0" applyAlignment="0" applyProtection="0">
      <alignment vertical="center"/>
    </xf>
    <xf numFmtId="0" fontId="22" fillId="26" borderId="0" applyNumberFormat="0" applyBorder="0" applyAlignment="0" applyProtection="0">
      <alignment vertical="center"/>
    </xf>
    <xf numFmtId="0" fontId="22" fillId="26" borderId="0" applyNumberFormat="0" applyBorder="0" applyAlignment="0" applyProtection="0">
      <alignment vertical="center"/>
    </xf>
    <xf numFmtId="0" fontId="22" fillId="26" borderId="0" applyNumberFormat="0" applyBorder="0" applyAlignment="0" applyProtection="0">
      <alignment vertical="center"/>
    </xf>
    <xf numFmtId="0" fontId="46" fillId="0" borderId="0"/>
    <xf numFmtId="0" fontId="83" fillId="0" borderId="0">
      <alignment vertical="center"/>
    </xf>
    <xf numFmtId="0" fontId="84" fillId="0" borderId="0" applyNumberFormat="0" applyFill="0" applyBorder="0" applyAlignment="0" applyProtection="0">
      <alignment vertical="center"/>
    </xf>
    <xf numFmtId="0" fontId="84" fillId="0" borderId="0" applyNumberFormat="0" applyFill="0" applyBorder="0" applyAlignment="0" applyProtection="0">
      <alignment vertical="center"/>
    </xf>
    <xf numFmtId="0" fontId="84" fillId="0" borderId="0" applyNumberFormat="0" applyFill="0" applyBorder="0" applyAlignment="0" applyProtection="0">
      <alignment vertical="center"/>
    </xf>
    <xf numFmtId="0" fontId="23" fillId="28" borderId="7" applyNumberFormat="0" applyAlignment="0" applyProtection="0">
      <alignment vertical="center"/>
    </xf>
    <xf numFmtId="0" fontId="23" fillId="28" borderId="7" applyNumberFormat="0" applyAlignment="0" applyProtection="0">
      <alignment vertical="center"/>
    </xf>
    <xf numFmtId="0" fontId="23" fillId="28" borderId="7" applyNumberFormat="0" applyAlignment="0" applyProtection="0">
      <alignment vertical="center"/>
    </xf>
    <xf numFmtId="0" fontId="85" fillId="9" borderId="0" applyNumberFormat="0" applyBorder="0" applyAlignment="0" applyProtection="0">
      <alignment vertical="center"/>
    </xf>
    <xf numFmtId="0" fontId="85" fillId="9" borderId="0" applyNumberFormat="0" applyBorder="0" applyAlignment="0" applyProtection="0">
      <alignment vertical="center"/>
    </xf>
    <xf numFmtId="0" fontId="85" fillId="9" borderId="0" applyNumberFormat="0" applyBorder="0" applyAlignment="0" applyProtection="0">
      <alignment vertical="center"/>
    </xf>
    <xf numFmtId="0" fontId="1" fillId="5" borderId="8" applyNumberFormat="0" applyFont="0" applyAlignment="0" applyProtection="0">
      <alignment vertical="center"/>
    </xf>
    <xf numFmtId="0" fontId="1" fillId="5" borderId="8" applyNumberFormat="0" applyFont="0" applyAlignment="0" applyProtection="0">
      <alignment vertical="center"/>
    </xf>
    <xf numFmtId="0" fontId="1" fillId="5" borderId="8" applyNumberFormat="0" applyFont="0" applyAlignment="0" applyProtection="0">
      <alignment vertical="center"/>
    </xf>
    <xf numFmtId="0" fontId="19" fillId="0" borderId="9" applyNumberFormat="0" applyFill="0" applyAlignment="0" applyProtection="0">
      <alignment vertical="center"/>
    </xf>
    <xf numFmtId="0" fontId="19" fillId="0" borderId="9" applyNumberFormat="0" applyFill="0" applyAlignment="0" applyProtection="0">
      <alignment vertical="center"/>
    </xf>
    <xf numFmtId="0" fontId="19" fillId="0" borderId="9" applyNumberFormat="0" applyFill="0" applyAlignment="0" applyProtection="0">
      <alignment vertical="center"/>
    </xf>
    <xf numFmtId="0" fontId="94" fillId="0" borderId="0"/>
    <xf numFmtId="0" fontId="24" fillId="7" borderId="0" applyNumberFormat="0" applyBorder="0" applyAlignment="0" applyProtection="0">
      <alignment vertical="center"/>
    </xf>
    <xf numFmtId="0" fontId="24" fillId="7" borderId="0" applyNumberFormat="0" applyBorder="0" applyAlignment="0" applyProtection="0">
      <alignment vertical="center"/>
    </xf>
    <xf numFmtId="0" fontId="24" fillId="7" borderId="0" applyNumberFormat="0" applyBorder="0" applyAlignment="0" applyProtection="0">
      <alignment vertical="center"/>
    </xf>
    <xf numFmtId="190" fontId="9" fillId="0" borderId="0" applyBorder="0">
      <alignment horizontal="right"/>
    </xf>
    <xf numFmtId="49" fontId="1" fillId="0" borderId="0" applyFont="0"/>
    <xf numFmtId="189" fontId="1" fillId="0" borderId="10" applyNumberFormat="0" applyFont="0" applyFill="0" applyAlignment="0" applyProtection="0">
      <alignment horizontal="left"/>
    </xf>
    <xf numFmtId="0" fontId="86" fillId="29" borderId="11" applyNumberFormat="0" applyAlignment="0" applyProtection="0">
      <alignment vertical="center"/>
    </xf>
    <xf numFmtId="0" fontId="86" fillId="29" borderId="11" applyNumberFormat="0" applyAlignment="0" applyProtection="0">
      <alignment vertical="center"/>
    </xf>
    <xf numFmtId="0" fontId="86" fillId="29" borderId="11" applyNumberFormat="0" applyAlignment="0" applyProtection="0">
      <alignment vertical="center"/>
    </xf>
    <xf numFmtId="0" fontId="19"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19" fillId="0" borderId="0" applyNumberFormat="0" applyFill="0" applyBorder="0" applyAlignment="0" applyProtection="0">
      <alignment vertical="center"/>
    </xf>
    <xf numFmtId="43" fontId="1" fillId="0" borderId="0" applyFont="0" applyFill="0" applyBorder="0" applyAlignment="0" applyProtection="0"/>
    <xf numFmtId="38" fontId="87" fillId="0" borderId="0" applyFont="0" applyFill="0" applyBorder="0" applyAlignment="0" applyProtection="0"/>
    <xf numFmtId="4" fontId="1" fillId="0" borderId="0" applyFont="0" applyFill="0" applyBorder="0" applyAlignment="0" applyProtection="0"/>
    <xf numFmtId="0" fontId="88" fillId="0" borderId="12" applyNumberFormat="0" applyFill="0" applyAlignment="0" applyProtection="0">
      <alignment vertical="center"/>
    </xf>
    <xf numFmtId="0" fontId="88" fillId="0" borderId="12" applyNumberFormat="0" applyFill="0" applyAlignment="0" applyProtection="0">
      <alignment vertical="center"/>
    </xf>
    <xf numFmtId="0" fontId="88" fillId="0" borderId="12" applyNumberFormat="0" applyFill="0" applyAlignment="0" applyProtection="0">
      <alignment vertical="center"/>
    </xf>
    <xf numFmtId="0" fontId="89" fillId="0" borderId="13" applyNumberFormat="0" applyFill="0" applyAlignment="0" applyProtection="0">
      <alignment vertical="center"/>
    </xf>
    <xf numFmtId="0" fontId="89" fillId="0" borderId="13" applyNumberFormat="0" applyFill="0" applyAlignment="0" applyProtection="0">
      <alignment vertical="center"/>
    </xf>
    <xf numFmtId="0" fontId="89" fillId="0" borderId="13" applyNumberFormat="0" applyFill="0" applyAlignment="0" applyProtection="0">
      <alignment vertical="center"/>
    </xf>
    <xf numFmtId="0" fontId="90" fillId="0" borderId="14" applyNumberFormat="0" applyFill="0" applyAlignment="0" applyProtection="0">
      <alignment vertical="center"/>
    </xf>
    <xf numFmtId="0" fontId="90" fillId="0" borderId="14" applyNumberFormat="0" applyFill="0" applyAlignment="0" applyProtection="0">
      <alignment vertical="center"/>
    </xf>
    <xf numFmtId="0" fontId="90" fillId="0" borderId="14" applyNumberFormat="0" applyFill="0" applyAlignment="0" applyProtection="0">
      <alignment vertical="center"/>
    </xf>
    <xf numFmtId="0" fontId="90" fillId="0" borderId="0" applyNumberFormat="0" applyFill="0" applyBorder="0" applyAlignment="0" applyProtection="0">
      <alignment vertical="center"/>
    </xf>
    <xf numFmtId="0" fontId="90" fillId="0" borderId="0" applyNumberFormat="0" applyFill="0" applyBorder="0" applyAlignment="0" applyProtection="0">
      <alignment vertical="center"/>
    </xf>
    <xf numFmtId="0" fontId="90" fillId="0" borderId="0" applyNumberFormat="0" applyFill="0" applyBorder="0" applyAlignment="0" applyProtection="0">
      <alignment vertical="center"/>
    </xf>
    <xf numFmtId="0" fontId="47" fillId="0" borderId="0"/>
    <xf numFmtId="0" fontId="47" fillId="0" borderId="0" applyNumberFormat="0"/>
    <xf numFmtId="0" fontId="91" fillId="0" borderId="0" applyBorder="0" applyAlignment="0"/>
    <xf numFmtId="0" fontId="25" fillId="0" borderId="15" applyNumberFormat="0" applyFill="0" applyAlignment="0" applyProtection="0">
      <alignment vertical="center"/>
    </xf>
    <xf numFmtId="0" fontId="25" fillId="0" borderId="15" applyNumberFormat="0" applyFill="0" applyAlignment="0" applyProtection="0">
      <alignment vertical="center"/>
    </xf>
    <xf numFmtId="0" fontId="25" fillId="0" borderId="15" applyNumberFormat="0" applyFill="0" applyAlignment="0" applyProtection="0">
      <alignment vertical="center"/>
    </xf>
    <xf numFmtId="0" fontId="26" fillId="29" borderId="16" applyNumberFormat="0" applyAlignment="0" applyProtection="0">
      <alignment vertical="center"/>
    </xf>
    <xf numFmtId="0" fontId="26" fillId="29" borderId="16" applyNumberFormat="0" applyAlignment="0" applyProtection="0">
      <alignment vertical="center"/>
    </xf>
    <xf numFmtId="0" fontId="26" fillId="29" borderId="16" applyNumberFormat="0" applyAlignment="0" applyProtection="0">
      <alignment vertical="center"/>
    </xf>
    <xf numFmtId="0" fontId="27"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8" fillId="9" borderId="11" applyNumberFormat="0" applyAlignment="0" applyProtection="0">
      <alignment vertical="center"/>
    </xf>
    <xf numFmtId="0" fontId="28" fillId="9" borderId="11" applyNumberFormat="0" applyAlignment="0" applyProtection="0">
      <alignment vertical="center"/>
    </xf>
    <xf numFmtId="0" fontId="28" fillId="9" borderId="11" applyNumberFormat="0" applyAlignment="0" applyProtection="0">
      <alignment vertical="center"/>
    </xf>
    <xf numFmtId="0" fontId="1" fillId="0" borderId="0">
      <alignment vertical="center"/>
    </xf>
    <xf numFmtId="0" fontId="1" fillId="0" borderId="0">
      <alignment vertical="center"/>
    </xf>
    <xf numFmtId="0" fontId="10" fillId="0" borderId="0"/>
    <xf numFmtId="0" fontId="1" fillId="0" borderId="0"/>
    <xf numFmtId="0" fontId="1" fillId="0" borderId="0"/>
    <xf numFmtId="0" fontId="1" fillId="0" borderId="0"/>
    <xf numFmtId="0" fontId="21" fillId="0" borderId="0">
      <alignment vertical="center"/>
    </xf>
    <xf numFmtId="0" fontId="92" fillId="0" borderId="0">
      <alignment vertical="center" wrapText="1"/>
    </xf>
    <xf numFmtId="0" fontId="47" fillId="0" borderId="0" applyNumberFormat="0"/>
    <xf numFmtId="0" fontId="91" fillId="0" borderId="0">
      <alignment vertical="center"/>
    </xf>
    <xf numFmtId="0" fontId="47" fillId="0" borderId="0" applyNumberFormat="0"/>
    <xf numFmtId="0" fontId="93" fillId="0" borderId="0"/>
    <xf numFmtId="0" fontId="29" fillId="8" borderId="0" applyNumberFormat="0" applyBorder="0" applyAlignment="0" applyProtection="0">
      <alignment vertical="center"/>
    </xf>
    <xf numFmtId="0" fontId="29" fillId="8" borderId="0" applyNumberFormat="0" applyBorder="0" applyAlignment="0" applyProtection="0">
      <alignment vertical="center"/>
    </xf>
    <xf numFmtId="0" fontId="29" fillId="8" borderId="0" applyNumberFormat="0" applyBorder="0" applyAlignment="0" applyProtection="0">
      <alignment vertical="center"/>
    </xf>
  </cellStyleXfs>
  <cellXfs count="517">
    <xf numFmtId="0" fontId="0" fillId="0" borderId="0" xfId="0"/>
    <xf numFmtId="0" fontId="9" fillId="0" borderId="0" xfId="0" applyFont="1" applyAlignment="1">
      <alignment horizontal="center" vertical="center" wrapText="1"/>
    </xf>
    <xf numFmtId="0" fontId="9" fillId="0" borderId="0" xfId="0" applyFont="1"/>
    <xf numFmtId="0" fontId="9" fillId="0" borderId="0" xfId="0" applyFont="1" applyAlignment="1">
      <alignment horizontal="center"/>
    </xf>
    <xf numFmtId="0" fontId="10" fillId="0" borderId="0" xfId="0" applyFont="1" applyAlignment="1">
      <alignment horizontal="center" vertical="center"/>
    </xf>
    <xf numFmtId="0" fontId="0" fillId="0" borderId="0" xfId="0" applyAlignment="1">
      <alignment horizontal="center" vertical="center"/>
    </xf>
    <xf numFmtId="0" fontId="10" fillId="0" borderId="0" xfId="0" applyFont="1" applyAlignment="1">
      <alignment horizontal="left" vertical="center"/>
    </xf>
    <xf numFmtId="0" fontId="10" fillId="0" borderId="0" xfId="0" applyFont="1" applyAlignment="1">
      <alignment horizontal="left"/>
    </xf>
    <xf numFmtId="14" fontId="9" fillId="0" borderId="0" xfId="0" applyNumberFormat="1" applyFont="1"/>
    <xf numFmtId="0" fontId="5" fillId="0" borderId="0" xfId="0" applyFont="1" applyAlignment="1">
      <alignment vertical="center" shrinkToFit="1"/>
    </xf>
    <xf numFmtId="0" fontId="5" fillId="0" borderId="0" xfId="0" applyFont="1" applyAlignment="1">
      <alignment horizontal="center" vertical="center" shrinkToFit="1"/>
    </xf>
    <xf numFmtId="0" fontId="5" fillId="0" borderId="0" xfId="0" applyFont="1" applyAlignment="1" applyProtection="1">
      <alignment vertical="center" shrinkToFit="1"/>
      <protection locked="0"/>
    </xf>
    <xf numFmtId="0" fontId="10" fillId="0" borderId="0" xfId="0" applyFont="1" applyAlignment="1">
      <alignment vertical="center"/>
    </xf>
    <xf numFmtId="0" fontId="0" fillId="0" borderId="0" xfId="0" applyAlignment="1">
      <alignment vertical="center"/>
    </xf>
    <xf numFmtId="0" fontId="5" fillId="0" borderId="4" xfId="0" applyFont="1" applyBorder="1" applyAlignment="1">
      <alignment vertical="center" shrinkToFit="1"/>
    </xf>
    <xf numFmtId="0" fontId="5" fillId="30" borderId="0" xfId="0" applyFont="1" applyFill="1" applyAlignment="1" applyProtection="1">
      <alignment horizontal="right" vertical="center" shrinkToFit="1"/>
      <protection locked="0"/>
    </xf>
    <xf numFmtId="0" fontId="5" fillId="0" borderId="17" xfId="0" applyFont="1" applyBorder="1" applyAlignment="1">
      <alignment horizontal="center" vertical="center" shrinkToFit="1"/>
    </xf>
    <xf numFmtId="0" fontId="5" fillId="0" borderId="18" xfId="0" applyFont="1" applyBorder="1" applyAlignment="1">
      <alignment horizontal="center" vertical="center" shrinkToFit="1"/>
    </xf>
    <xf numFmtId="0" fontId="5" fillId="0" borderId="19" xfId="0" applyFont="1" applyBorder="1" applyAlignment="1">
      <alignment horizontal="center" vertical="center" shrinkToFit="1"/>
    </xf>
    <xf numFmtId="0" fontId="5" fillId="0" borderId="20" xfId="0" applyFont="1" applyBorder="1" applyAlignment="1">
      <alignment horizontal="center" vertical="center" shrinkToFit="1"/>
    </xf>
    <xf numFmtId="0" fontId="7" fillId="30" borderId="0" xfId="0" applyFont="1" applyFill="1" applyAlignment="1">
      <alignment horizontal="right" vertical="center" shrinkToFit="1"/>
    </xf>
    <xf numFmtId="0" fontId="10" fillId="0" borderId="0" xfId="0" applyFont="1"/>
    <xf numFmtId="0" fontId="4" fillId="0" borderId="0" xfId="0" applyFont="1" applyAlignment="1">
      <alignment vertical="center" shrinkToFit="1"/>
    </xf>
    <xf numFmtId="177" fontId="5" fillId="0" borderId="1" xfId="0" applyNumberFormat="1" applyFont="1" applyBorder="1" applyAlignment="1" applyProtection="1">
      <alignment horizontal="center" vertical="center" shrinkToFit="1"/>
      <protection hidden="1"/>
    </xf>
    <xf numFmtId="49" fontId="5" fillId="0" borderId="1" xfId="0" applyNumberFormat="1" applyFont="1" applyBorder="1" applyAlignment="1" applyProtection="1">
      <alignment horizontal="center" vertical="center" shrinkToFit="1"/>
      <protection locked="0"/>
    </xf>
    <xf numFmtId="49" fontId="8" fillId="0" borderId="1" xfId="0" applyNumberFormat="1" applyFont="1" applyBorder="1" applyProtection="1">
      <protection locked="0"/>
    </xf>
    <xf numFmtId="180" fontId="5" fillId="0" borderId="1" xfId="0" applyNumberFormat="1" applyFont="1" applyBorder="1" applyAlignment="1" applyProtection="1">
      <alignment horizontal="right" vertical="center" shrinkToFit="1"/>
      <protection locked="0"/>
    </xf>
    <xf numFmtId="180" fontId="8" fillId="0" borderId="1" xfId="0" applyNumberFormat="1" applyFont="1" applyBorder="1" applyProtection="1">
      <protection locked="0"/>
    </xf>
    <xf numFmtId="49" fontId="5" fillId="0" borderId="1" xfId="0" applyNumberFormat="1" applyFont="1" applyBorder="1" applyAlignment="1" applyProtection="1">
      <alignment vertical="center" shrinkToFit="1"/>
      <protection locked="0"/>
    </xf>
    <xf numFmtId="0" fontId="5" fillId="0" borderId="1" xfId="0" applyFont="1" applyBorder="1" applyAlignment="1" applyProtection="1">
      <alignment horizontal="right" vertical="center" shrinkToFit="1"/>
      <protection hidden="1"/>
    </xf>
    <xf numFmtId="0" fontId="5" fillId="0" borderId="1" xfId="0" applyFont="1" applyBorder="1" applyAlignment="1" applyProtection="1">
      <alignment horizontal="right" vertical="center" shrinkToFit="1"/>
      <protection locked="0"/>
    </xf>
    <xf numFmtId="0" fontId="5" fillId="30" borderId="1" xfId="0" applyFont="1" applyFill="1" applyBorder="1" applyAlignment="1" applyProtection="1">
      <alignment horizontal="right" vertical="center" shrinkToFit="1"/>
      <protection locked="0"/>
    </xf>
    <xf numFmtId="0" fontId="4" fillId="0" borderId="0" xfId="0" applyFont="1" applyAlignment="1">
      <alignment horizontal="center" vertical="center" shrinkToFit="1"/>
    </xf>
    <xf numFmtId="0" fontId="5" fillId="0" borderId="21" xfId="0" applyFont="1" applyBorder="1" applyAlignment="1">
      <alignment horizontal="right" vertical="center" shrinkToFit="1"/>
    </xf>
    <xf numFmtId="0" fontId="5" fillId="0" borderId="22" xfId="0" applyFont="1" applyBorder="1" applyAlignment="1">
      <alignment horizontal="right" vertical="center" shrinkToFit="1"/>
    </xf>
    <xf numFmtId="0" fontId="5" fillId="0" borderId="23" xfId="0" applyFont="1" applyBorder="1" applyAlignment="1" applyProtection="1">
      <alignment horizontal="center" vertical="center" shrinkToFit="1"/>
      <protection locked="0"/>
    </xf>
    <xf numFmtId="0" fontId="5" fillId="0" borderId="24" xfId="0" applyFont="1" applyBorder="1" applyAlignment="1" applyProtection="1">
      <alignment vertical="center" shrinkToFit="1"/>
      <protection locked="0"/>
    </xf>
    <xf numFmtId="179" fontId="5" fillId="0" borderId="0" xfId="0" applyNumberFormat="1" applyFont="1" applyAlignment="1">
      <alignment vertical="center" shrinkToFit="1"/>
    </xf>
    <xf numFmtId="0" fontId="5" fillId="0" borderId="25" xfId="0" applyFont="1" applyBorder="1" applyAlignment="1">
      <alignment horizontal="right" vertical="center" shrinkToFit="1"/>
    </xf>
    <xf numFmtId="0" fontId="5" fillId="0" borderId="26" xfId="0" applyFont="1" applyBorder="1" applyAlignment="1">
      <alignment horizontal="right" vertical="center" shrinkToFit="1"/>
    </xf>
    <xf numFmtId="0" fontId="5" fillId="0" borderId="27" xfId="0" applyFont="1" applyBorder="1" applyAlignment="1">
      <alignment horizontal="right" vertical="center" shrinkToFit="1"/>
    </xf>
    <xf numFmtId="0" fontId="5" fillId="0" borderId="28" xfId="0" applyFont="1" applyBorder="1" applyAlignment="1">
      <alignment horizontal="right" vertical="center" shrinkToFit="1"/>
    </xf>
    <xf numFmtId="0" fontId="0" fillId="0" borderId="29" xfId="0" applyBorder="1" applyAlignment="1">
      <alignment horizontal="center" vertical="center"/>
    </xf>
    <xf numFmtId="0" fontId="0" fillId="0" borderId="29" xfId="0" applyBorder="1"/>
    <xf numFmtId="0" fontId="0" fillId="0" borderId="30" xfId="0" applyBorder="1"/>
    <xf numFmtId="0" fontId="0" fillId="0" borderId="31" xfId="0" applyBorder="1"/>
    <xf numFmtId="0" fontId="16" fillId="0" borderId="0" xfId="0" applyFont="1" applyAlignment="1">
      <alignment horizontal="left" vertical="center"/>
    </xf>
    <xf numFmtId="0" fontId="3" fillId="0" borderId="0" xfId="0" applyFont="1" applyAlignment="1">
      <alignment vertical="center"/>
    </xf>
    <xf numFmtId="0" fontId="9" fillId="18" borderId="0" xfId="0" applyFont="1" applyFill="1"/>
    <xf numFmtId="0" fontId="9" fillId="0" borderId="0" xfId="0" applyFont="1" applyAlignment="1">
      <alignment horizontal="center" vertical="center"/>
    </xf>
    <xf numFmtId="0" fontId="9" fillId="0" borderId="0" xfId="0" applyFont="1" applyAlignment="1">
      <alignment horizontal="right" vertical="center"/>
    </xf>
    <xf numFmtId="0" fontId="0" fillId="0" borderId="0" xfId="0" applyAlignment="1">
      <alignment horizontal="center" vertical="center" shrinkToFit="1"/>
    </xf>
    <xf numFmtId="181" fontId="5" fillId="0" borderId="20" xfId="0" applyNumberFormat="1" applyFont="1" applyBorder="1" applyAlignment="1" applyProtection="1">
      <alignment vertical="center" shrinkToFit="1"/>
      <protection locked="0"/>
    </xf>
    <xf numFmtId="0" fontId="17" fillId="0" borderId="19" xfId="0" applyFont="1" applyBorder="1" applyAlignment="1">
      <alignment horizontal="right" vertical="center" shrinkToFit="1"/>
    </xf>
    <xf numFmtId="0" fontId="18" fillId="0" borderId="22" xfId="0" applyFont="1" applyBorder="1" applyAlignment="1">
      <alignment horizontal="center" vertical="center" shrinkToFit="1"/>
    </xf>
    <xf numFmtId="0" fontId="17" fillId="0" borderId="18" xfId="0" applyFont="1" applyBorder="1" applyAlignment="1">
      <alignment horizontal="right" vertical="center" shrinkToFit="1"/>
    </xf>
    <xf numFmtId="0" fontId="17" fillId="0" borderId="20" xfId="0" applyFont="1" applyBorder="1" applyAlignment="1">
      <alignment horizontal="right" vertical="center" shrinkToFit="1"/>
    </xf>
    <xf numFmtId="177" fontId="17" fillId="0" borderId="32" xfId="0" applyNumberFormat="1" applyFont="1" applyBorder="1" applyAlignment="1">
      <alignment horizontal="center" vertical="center" shrinkToFit="1"/>
    </xf>
    <xf numFmtId="177" fontId="17" fillId="0" borderId="5" xfId="0" applyNumberFormat="1" applyFont="1" applyBorder="1" applyAlignment="1">
      <alignment horizontal="center" vertical="center" shrinkToFit="1"/>
    </xf>
    <xf numFmtId="177" fontId="17" fillId="0" borderId="33" xfId="0" applyNumberFormat="1" applyFont="1" applyBorder="1" applyAlignment="1">
      <alignment horizontal="center" vertical="center" shrinkToFit="1"/>
    </xf>
    <xf numFmtId="0" fontId="5" fillId="31" borderId="32" xfId="0" applyFont="1" applyFill="1" applyBorder="1" applyAlignment="1" applyProtection="1">
      <alignment horizontal="center" vertical="center" shrinkToFit="1"/>
      <protection locked="0"/>
    </xf>
    <xf numFmtId="0" fontId="9" fillId="0" borderId="0" xfId="0" applyFont="1" applyAlignment="1">
      <alignment vertical="center"/>
    </xf>
    <xf numFmtId="0" fontId="10" fillId="0" borderId="0" xfId="0" applyFont="1" applyAlignment="1">
      <alignment wrapText="1"/>
    </xf>
    <xf numFmtId="14" fontId="0" fillId="0" borderId="0" xfId="0" applyNumberFormat="1" applyAlignment="1">
      <alignment horizontal="center" vertical="center"/>
    </xf>
    <xf numFmtId="0" fontId="9" fillId="0" borderId="34" xfId="0" applyFont="1" applyBorder="1" applyAlignment="1">
      <alignment horizontal="right" vertical="center"/>
    </xf>
    <xf numFmtId="0" fontId="9" fillId="0" borderId="0" xfId="0" applyFont="1" applyAlignment="1">
      <alignment horizontal="left" vertical="center"/>
    </xf>
    <xf numFmtId="181" fontId="5" fillId="0" borderId="18" xfId="0" applyNumberFormat="1" applyFont="1" applyBorder="1" applyAlignment="1" applyProtection="1">
      <alignment vertical="center" shrinkToFit="1"/>
      <protection locked="0"/>
    </xf>
    <xf numFmtId="178" fontId="17" fillId="0" borderId="35" xfId="0" applyNumberFormat="1" applyFont="1" applyBorder="1" applyAlignment="1">
      <alignment horizontal="right" vertical="center" shrinkToFit="1"/>
    </xf>
    <xf numFmtId="178" fontId="5" fillId="0" borderId="36" xfId="0" applyNumberFormat="1" applyFont="1" applyBorder="1" applyAlignment="1">
      <alignment horizontal="right" vertical="center" shrinkToFit="1"/>
    </xf>
    <xf numFmtId="0" fontId="10" fillId="0" borderId="22" xfId="0" applyFont="1" applyBorder="1" applyAlignment="1">
      <alignment vertical="center" shrinkToFit="1"/>
    </xf>
    <xf numFmtId="0" fontId="10" fillId="0" borderId="37" xfId="0" applyFont="1" applyBorder="1" applyAlignment="1">
      <alignment vertical="center" shrinkToFit="1"/>
    </xf>
    <xf numFmtId="0" fontId="19" fillId="0" borderId="0" xfId="0" applyFont="1"/>
    <xf numFmtId="0" fontId="19" fillId="0" borderId="30" xfId="0" applyFont="1" applyBorder="1"/>
    <xf numFmtId="0" fontId="0" fillId="0" borderId="5" xfId="0" applyBorder="1"/>
    <xf numFmtId="0" fontId="0" fillId="0" borderId="5" xfId="0" applyBorder="1" applyAlignment="1">
      <alignment horizontal="center"/>
    </xf>
    <xf numFmtId="178" fontId="0" fillId="14" borderId="5" xfId="0" applyNumberFormat="1" applyFill="1" applyBorder="1" applyAlignment="1">
      <alignment horizontal="center" vertical="center"/>
    </xf>
    <xf numFmtId="0" fontId="17" fillId="0" borderId="5" xfId="0" applyFont="1" applyBorder="1" applyAlignment="1">
      <alignment vertical="center" shrinkToFit="1"/>
    </xf>
    <xf numFmtId="0" fontId="17" fillId="0" borderId="38" xfId="0" applyFont="1" applyBorder="1" applyAlignment="1">
      <alignment vertical="center" shrinkToFit="1"/>
    </xf>
    <xf numFmtId="0" fontId="9" fillId="0" borderId="0" xfId="0" applyFont="1" applyAlignment="1">
      <alignment vertical="top"/>
    </xf>
    <xf numFmtId="0" fontId="0" fillId="0" borderId="0" xfId="0" applyAlignment="1">
      <alignment vertical="top"/>
    </xf>
    <xf numFmtId="0" fontId="9" fillId="0" borderId="0" xfId="0" quotePrefix="1" applyFont="1" applyAlignment="1">
      <alignment vertical="top"/>
    </xf>
    <xf numFmtId="0" fontId="19" fillId="0" borderId="0" xfId="0" applyFont="1" applyAlignment="1">
      <alignment vertical="top"/>
    </xf>
    <xf numFmtId="0" fontId="5" fillId="0" borderId="4" xfId="0" applyFont="1" applyBorder="1" applyAlignment="1">
      <alignment horizontal="right" vertical="center" shrinkToFit="1"/>
    </xf>
    <xf numFmtId="0" fontId="5" fillId="0" borderId="1" xfId="0" applyFont="1" applyBorder="1" applyAlignment="1">
      <alignment vertical="center" shrinkToFit="1"/>
    </xf>
    <xf numFmtId="0" fontId="20" fillId="0" borderId="0" xfId="0" applyFont="1" applyAlignment="1">
      <alignment vertical="center"/>
    </xf>
    <xf numFmtId="0" fontId="8" fillId="0" borderId="39" xfId="0" applyFont="1" applyBorder="1" applyAlignment="1">
      <alignment vertical="center"/>
    </xf>
    <xf numFmtId="0" fontId="5" fillId="0" borderId="1" xfId="0" applyFont="1" applyBorder="1" applyAlignment="1">
      <alignment horizontal="center" vertical="center" shrinkToFit="1"/>
    </xf>
    <xf numFmtId="0" fontId="5" fillId="0" borderId="40" xfId="0" applyFont="1" applyBorder="1" applyAlignment="1">
      <alignment vertical="center" shrinkToFit="1"/>
    </xf>
    <xf numFmtId="0" fontId="5" fillId="0" borderId="4" xfId="0" applyFont="1" applyBorder="1" applyAlignment="1">
      <alignment horizontal="right" vertical="center"/>
    </xf>
    <xf numFmtId="0" fontId="5" fillId="0" borderId="4" xfId="0" applyFont="1" applyBorder="1" applyAlignment="1">
      <alignment vertical="center"/>
    </xf>
    <xf numFmtId="0" fontId="5" fillId="0" borderId="4" xfId="0" applyFont="1" applyBorder="1" applyAlignment="1">
      <alignment horizontal="center" vertical="center" shrinkToFit="1"/>
    </xf>
    <xf numFmtId="0" fontId="5" fillId="0" borderId="39" xfId="0" applyFont="1" applyBorder="1" applyAlignment="1">
      <alignment vertical="center" shrinkToFit="1"/>
    </xf>
    <xf numFmtId="0" fontId="5" fillId="0" borderId="41" xfId="0" applyFont="1" applyBorder="1" applyAlignment="1">
      <alignment vertical="center" shrinkToFit="1"/>
    </xf>
    <xf numFmtId="0" fontId="5" fillId="0" borderId="24" xfId="0" applyFont="1" applyBorder="1" applyAlignment="1">
      <alignment horizontal="right" vertical="center" shrinkToFit="1"/>
    </xf>
    <xf numFmtId="0" fontId="5" fillId="0" borderId="42" xfId="0" applyFont="1" applyBorder="1" applyAlignment="1">
      <alignment horizontal="right" vertical="center" shrinkToFit="1"/>
    </xf>
    <xf numFmtId="0" fontId="5" fillId="0" borderId="0" xfId="0" applyFont="1" applyAlignment="1">
      <alignment horizontal="center" vertical="center" textRotation="255"/>
    </xf>
    <xf numFmtId="0" fontId="14" fillId="0" borderId="0" xfId="0" applyFont="1" applyAlignment="1">
      <alignment vertical="center" wrapText="1" shrinkToFit="1"/>
    </xf>
    <xf numFmtId="179" fontId="18" fillId="0" borderId="0" xfId="0" applyNumberFormat="1" applyFont="1" applyAlignment="1">
      <alignment horizontal="center" vertical="center" wrapText="1"/>
    </xf>
    <xf numFmtId="0" fontId="5" fillId="0" borderId="43" xfId="0" applyFont="1" applyBorder="1" applyAlignment="1">
      <alignment vertical="center" shrinkToFit="1"/>
    </xf>
    <xf numFmtId="0" fontId="5" fillId="0" borderId="44" xfId="0" applyFont="1" applyBorder="1" applyAlignment="1">
      <alignment vertical="center" shrinkToFit="1"/>
    </xf>
    <xf numFmtId="0" fontId="5" fillId="0" borderId="45" xfId="0" applyFont="1" applyBorder="1" applyAlignment="1">
      <alignment vertical="center" shrinkToFit="1"/>
    </xf>
    <xf numFmtId="179" fontId="15" fillId="0" borderId="0" xfId="0" applyNumberFormat="1" applyFont="1" applyAlignment="1" applyProtection="1">
      <alignment horizontal="center" vertical="center" shrinkToFit="1"/>
      <protection locked="0"/>
    </xf>
    <xf numFmtId="0" fontId="5" fillId="0" borderId="0" xfId="0" applyFont="1" applyAlignment="1">
      <alignment vertical="center"/>
    </xf>
    <xf numFmtId="0" fontId="3" fillId="0" borderId="1" xfId="0" applyFont="1" applyBorder="1" applyAlignment="1">
      <alignment vertical="center"/>
    </xf>
    <xf numFmtId="0" fontId="3" fillId="0" borderId="46" xfId="0" applyFont="1" applyBorder="1" applyAlignment="1">
      <alignment vertical="center"/>
    </xf>
    <xf numFmtId="0" fontId="3" fillId="0" borderId="4" xfId="0" applyFont="1" applyBorder="1" applyAlignment="1">
      <alignment vertical="center"/>
    </xf>
    <xf numFmtId="0" fontId="3" fillId="0" borderId="36" xfId="0" applyFont="1" applyBorder="1" applyAlignment="1">
      <alignment vertical="center"/>
    </xf>
    <xf numFmtId="0" fontId="0" fillId="0" borderId="0" xfId="0" applyAlignment="1">
      <alignment horizontal="centerContinuous" vertical="center"/>
    </xf>
    <xf numFmtId="14" fontId="0" fillId="0" borderId="0" xfId="0" applyNumberFormat="1" applyAlignment="1">
      <alignment vertical="center"/>
    </xf>
    <xf numFmtId="182" fontId="19" fillId="0" borderId="0" xfId="0" applyNumberFormat="1" applyFont="1" applyAlignment="1">
      <alignment horizontal="center" vertical="center"/>
    </xf>
    <xf numFmtId="0" fontId="17" fillId="0" borderId="47" xfId="0" applyFont="1" applyBorder="1" applyAlignment="1">
      <alignment horizontal="right" vertical="center" shrinkToFit="1"/>
    </xf>
    <xf numFmtId="0" fontId="5" fillId="0" borderId="0" xfId="0" applyFont="1" applyAlignment="1">
      <alignment horizontal="center" vertical="top"/>
    </xf>
    <xf numFmtId="0" fontId="4" fillId="0" borderId="0" xfId="0" applyFont="1" applyAlignment="1">
      <alignment vertical="center"/>
    </xf>
    <xf numFmtId="0" fontId="5" fillId="0" borderId="0" xfId="0" applyFont="1" applyAlignment="1">
      <alignment vertical="top" shrinkToFit="1"/>
    </xf>
    <xf numFmtId="0" fontId="5" fillId="0" borderId="0" xfId="0" applyFont="1" applyAlignment="1">
      <alignment vertical="top"/>
    </xf>
    <xf numFmtId="0" fontId="5" fillId="0" borderId="0" xfId="0" applyFont="1" applyAlignment="1">
      <alignment horizontal="center" vertical="top" shrinkToFit="1"/>
    </xf>
    <xf numFmtId="0" fontId="3" fillId="0" borderId="1" xfId="0" applyFont="1" applyBorder="1" applyAlignment="1">
      <alignment vertical="top"/>
    </xf>
    <xf numFmtId="0" fontId="11" fillId="0" borderId="0" xfId="0" applyFont="1" applyAlignment="1">
      <alignment horizontal="center" vertical="center"/>
    </xf>
    <xf numFmtId="0" fontId="11" fillId="0" borderId="0" xfId="0" applyFont="1" applyAlignment="1">
      <alignment horizontal="right" vertical="center"/>
    </xf>
    <xf numFmtId="0" fontId="12" fillId="0" borderId="0" xfId="0" applyFont="1"/>
    <xf numFmtId="176" fontId="0" fillId="0" borderId="0" xfId="0" applyNumberFormat="1" applyAlignment="1">
      <alignment horizontal="center" vertical="center"/>
    </xf>
    <xf numFmtId="178" fontId="0" fillId="0" borderId="0" xfId="0" applyNumberFormat="1" applyAlignment="1">
      <alignment horizontal="center" vertical="center"/>
    </xf>
    <xf numFmtId="0" fontId="9" fillId="0" borderId="33" xfId="0" applyFont="1" applyBorder="1" applyAlignment="1">
      <alignment horizontal="center" vertical="center"/>
    </xf>
    <xf numFmtId="0" fontId="9" fillId="32" borderId="0" xfId="0" applyFont="1" applyFill="1"/>
    <xf numFmtId="178" fontId="0" fillId="14" borderId="0" xfId="0" applyNumberFormat="1" applyFill="1" applyAlignment="1">
      <alignment horizontal="center" vertical="center"/>
    </xf>
    <xf numFmtId="0" fontId="9" fillId="0" borderId="5" xfId="0" applyFont="1" applyBorder="1" applyAlignment="1">
      <alignment horizontal="center" vertical="center"/>
    </xf>
    <xf numFmtId="56" fontId="9" fillId="14" borderId="5" xfId="0" applyNumberFormat="1" applyFont="1" applyFill="1" applyBorder="1" applyAlignment="1" applyProtection="1">
      <alignment horizontal="center" vertical="top" wrapText="1"/>
      <protection locked="0"/>
    </xf>
    <xf numFmtId="0" fontId="9" fillId="23" borderId="5" xfId="0" applyFont="1" applyFill="1" applyBorder="1" applyAlignment="1" applyProtection="1">
      <alignment horizontal="center" vertical="top"/>
      <protection locked="0"/>
    </xf>
    <xf numFmtId="0" fontId="9" fillId="0" borderId="5" xfId="0" applyFont="1" applyBorder="1" applyAlignment="1">
      <alignment horizontal="center" vertical="top"/>
    </xf>
    <xf numFmtId="0" fontId="9" fillId="14" borderId="5" xfId="0" applyFont="1" applyFill="1" applyBorder="1" applyAlignment="1" applyProtection="1">
      <alignment horizontal="center" vertical="top"/>
      <protection locked="0"/>
    </xf>
    <xf numFmtId="56" fontId="9" fillId="23" borderId="5" xfId="0" applyNumberFormat="1" applyFont="1" applyFill="1" applyBorder="1" applyAlignment="1" applyProtection="1">
      <alignment horizontal="center" vertical="top"/>
      <protection locked="0"/>
    </xf>
    <xf numFmtId="0" fontId="9" fillId="31" borderId="5" xfId="0" applyFont="1" applyFill="1" applyBorder="1" applyAlignment="1" applyProtection="1">
      <alignment horizontal="center" vertical="top"/>
      <protection locked="0"/>
    </xf>
    <xf numFmtId="0" fontId="9" fillId="0" borderId="0" xfId="0" applyFont="1" applyAlignment="1" applyProtection="1">
      <alignment horizontal="center" vertical="top"/>
      <protection locked="0"/>
    </xf>
    <xf numFmtId="0" fontId="10" fillId="0" borderId="0" xfId="0" applyFont="1" applyAlignment="1">
      <alignment horizontal="left" vertical="top"/>
    </xf>
    <xf numFmtId="14" fontId="9" fillId="14" borderId="5" xfId="0" quotePrefix="1" applyNumberFormat="1" applyFont="1" applyFill="1" applyBorder="1" applyAlignment="1" applyProtection="1">
      <alignment horizontal="center" vertical="top" shrinkToFit="1"/>
      <protection locked="0"/>
    </xf>
    <xf numFmtId="14" fontId="9" fillId="14" borderId="5" xfId="0" applyNumberFormat="1" applyFont="1" applyFill="1" applyBorder="1" applyAlignment="1" applyProtection="1">
      <alignment horizontal="center" vertical="top" shrinkToFit="1"/>
      <protection locked="0"/>
    </xf>
    <xf numFmtId="14" fontId="10" fillId="0" borderId="0" xfId="0" applyNumberFormat="1" applyFont="1" applyAlignment="1">
      <alignment vertical="center" shrinkToFit="1"/>
    </xf>
    <xf numFmtId="14" fontId="0" fillId="0" borderId="0" xfId="0" applyNumberFormat="1" applyAlignment="1">
      <alignment vertical="center" shrinkToFit="1"/>
    </xf>
    <xf numFmtId="14" fontId="0" fillId="0" borderId="0" xfId="0" applyNumberFormat="1" applyAlignment="1">
      <alignment horizontal="center" vertical="center" shrinkToFit="1"/>
    </xf>
    <xf numFmtId="14" fontId="9" fillId="23" borderId="5" xfId="0" applyNumberFormat="1" applyFont="1" applyFill="1" applyBorder="1" applyAlignment="1" applyProtection="1">
      <alignment horizontal="center" vertical="top" shrinkToFit="1"/>
      <protection locked="0"/>
    </xf>
    <xf numFmtId="14" fontId="10" fillId="0" borderId="0" xfId="0" applyNumberFormat="1" applyFont="1" applyAlignment="1">
      <alignment shrinkToFit="1"/>
    </xf>
    <xf numFmtId="14" fontId="0" fillId="0" borderId="0" xfId="0" applyNumberFormat="1" applyAlignment="1">
      <alignment shrinkToFit="1"/>
    </xf>
    <xf numFmtId="14" fontId="9" fillId="0" borderId="5" xfId="0" applyNumberFormat="1" applyFont="1" applyBorder="1" applyAlignment="1" applyProtection="1">
      <alignment horizontal="center" vertical="top" shrinkToFit="1"/>
      <protection locked="0"/>
    </xf>
    <xf numFmtId="14" fontId="10" fillId="0" borderId="0" xfId="0" applyNumberFormat="1" applyFont="1" applyAlignment="1">
      <alignment horizontal="left" vertical="center" shrinkToFit="1"/>
    </xf>
    <xf numFmtId="14" fontId="10" fillId="0" borderId="0" xfId="0" applyNumberFormat="1" applyFont="1" applyAlignment="1">
      <alignment horizontal="center" vertical="center" shrinkToFit="1"/>
    </xf>
    <xf numFmtId="0" fontId="9" fillId="0" borderId="33" xfId="0" applyFont="1" applyBorder="1" applyAlignment="1">
      <alignment horizontal="center" vertical="center" shrinkToFit="1"/>
    </xf>
    <xf numFmtId="0" fontId="5" fillId="0" borderId="32" xfId="0" applyFont="1" applyBorder="1" applyAlignment="1">
      <alignment horizontal="center" vertical="center" shrinkToFit="1"/>
    </xf>
    <xf numFmtId="0" fontId="5" fillId="0" borderId="5" xfId="0" applyFont="1" applyBorder="1" applyAlignment="1">
      <alignment horizontal="center" vertical="center" shrinkToFit="1"/>
    </xf>
    <xf numFmtId="0" fontId="5" fillId="0" borderId="5" xfId="0" applyFont="1" applyBorder="1" applyAlignment="1" applyProtection="1">
      <alignment vertical="center" shrinkToFit="1"/>
      <protection locked="0"/>
    </xf>
    <xf numFmtId="0" fontId="5" fillId="0" borderId="48" xfId="0" applyFont="1" applyBorder="1" applyAlignment="1" applyProtection="1">
      <alignment horizontal="right" vertical="center" shrinkToFit="1"/>
      <protection locked="0"/>
    </xf>
    <xf numFmtId="0" fontId="5" fillId="0" borderId="19" xfId="0" applyFont="1" applyBorder="1" applyAlignment="1" applyProtection="1">
      <alignment horizontal="center" vertical="center" shrinkToFit="1"/>
      <protection locked="0"/>
    </xf>
    <xf numFmtId="0" fontId="5" fillId="0" borderId="17" xfId="0" applyFont="1" applyBorder="1" applyAlignment="1">
      <alignment horizontal="center" vertical="center"/>
    </xf>
    <xf numFmtId="0" fontId="6" fillId="0" borderId="19" xfId="0" applyFont="1" applyBorder="1" applyAlignment="1">
      <alignment horizontal="center" vertical="center"/>
    </xf>
    <xf numFmtId="0" fontId="6" fillId="0" borderId="49" xfId="0" applyFont="1" applyBorder="1" applyAlignment="1">
      <alignment horizontal="center" vertical="center" shrinkToFit="1"/>
    </xf>
    <xf numFmtId="0" fontId="9" fillId="14" borderId="5" xfId="0" applyFont="1" applyFill="1" applyBorder="1" applyAlignment="1" applyProtection="1">
      <alignment vertical="top" wrapText="1"/>
      <protection locked="0"/>
    </xf>
    <xf numFmtId="0" fontId="9" fillId="23" borderId="5" xfId="0" applyFont="1" applyFill="1" applyBorder="1" applyAlignment="1" applyProtection="1">
      <alignment vertical="top" wrapText="1"/>
      <protection locked="0"/>
    </xf>
    <xf numFmtId="0" fontId="5" fillId="0" borderId="50" xfId="0" applyFont="1" applyBorder="1" applyAlignment="1" applyProtection="1">
      <alignment vertical="center" shrinkToFit="1"/>
      <protection hidden="1"/>
    </xf>
    <xf numFmtId="0" fontId="5" fillId="0" borderId="41" xfId="0" applyFont="1" applyBorder="1" applyAlignment="1" applyProtection="1">
      <alignment vertical="center" shrinkToFit="1"/>
      <protection hidden="1"/>
    </xf>
    <xf numFmtId="0" fontId="5" fillId="0" borderId="51" xfId="0" applyFont="1" applyBorder="1" applyAlignment="1">
      <alignment horizontal="center" vertical="center" shrinkToFit="1"/>
    </xf>
    <xf numFmtId="0" fontId="9" fillId="23" borderId="5" xfId="0" applyFont="1" applyFill="1" applyBorder="1" applyAlignment="1" applyProtection="1">
      <alignment horizontal="center" vertical="top" wrapText="1"/>
      <protection locked="0"/>
    </xf>
    <xf numFmtId="0" fontId="9" fillId="14" borderId="5" xfId="0" applyFont="1" applyFill="1" applyBorder="1" applyAlignment="1" applyProtection="1">
      <alignment horizontal="center" vertical="top" wrapText="1"/>
      <protection locked="0"/>
    </xf>
    <xf numFmtId="0" fontId="13" fillId="14" borderId="5" xfId="0" applyFont="1" applyFill="1" applyBorder="1" applyAlignment="1" applyProtection="1">
      <alignment horizontal="center" vertical="top" wrapText="1"/>
      <protection locked="0"/>
    </xf>
    <xf numFmtId="0" fontId="9" fillId="0" borderId="0" xfId="272" applyFont="1" applyAlignment="1">
      <alignment vertical="top"/>
    </xf>
    <xf numFmtId="0" fontId="9" fillId="0" borderId="0" xfId="272" applyFont="1" applyAlignment="1">
      <alignment vertical="top" wrapText="1"/>
    </xf>
    <xf numFmtId="0" fontId="9" fillId="0" borderId="0" xfId="272" applyFont="1" applyAlignment="1">
      <alignment horizontal="right" vertical="top"/>
    </xf>
    <xf numFmtId="49" fontId="9" fillId="0" borderId="0" xfId="272" applyNumberFormat="1" applyFont="1" applyAlignment="1">
      <alignment horizontal="left" vertical="top"/>
    </xf>
    <xf numFmtId="0" fontId="9" fillId="31" borderId="52" xfId="272" applyFont="1" applyFill="1" applyBorder="1" applyAlignment="1">
      <alignment horizontal="center" vertical="center"/>
    </xf>
    <xf numFmtId="0" fontId="9" fillId="31" borderId="53" xfId="272" applyFont="1" applyFill="1" applyBorder="1" applyAlignment="1">
      <alignment horizontal="center" vertical="center"/>
    </xf>
    <xf numFmtId="0" fontId="9" fillId="31" borderId="53" xfId="272" applyFont="1" applyFill="1" applyBorder="1" applyAlignment="1">
      <alignment horizontal="center" vertical="center" wrapText="1"/>
    </xf>
    <xf numFmtId="0" fontId="9" fillId="31" borderId="53" xfId="272" applyFont="1" applyFill="1" applyBorder="1" applyAlignment="1">
      <alignment vertical="top" textRotation="255" shrinkToFit="1"/>
    </xf>
    <xf numFmtId="0" fontId="9" fillId="31" borderId="54" xfId="272" applyFont="1" applyFill="1" applyBorder="1" applyAlignment="1">
      <alignment vertical="top" textRotation="255" shrinkToFit="1"/>
    </xf>
    <xf numFmtId="0" fontId="9" fillId="0" borderId="55" xfId="272" applyFont="1" applyBorder="1" applyAlignment="1">
      <alignment horizontal="center" vertical="center"/>
    </xf>
    <xf numFmtId="0" fontId="9" fillId="0" borderId="5" xfId="272" applyFont="1" applyBorder="1" applyAlignment="1">
      <alignment horizontal="center" vertical="center"/>
    </xf>
    <xf numFmtId="0" fontId="9" fillId="0" borderId="5" xfId="272" applyFont="1" applyBorder="1" applyAlignment="1">
      <alignment horizontal="center" vertical="center" wrapText="1"/>
    </xf>
    <xf numFmtId="0" fontId="9" fillId="0" borderId="5" xfId="272" applyFont="1" applyBorder="1" applyAlignment="1">
      <alignment vertical="top"/>
    </xf>
    <xf numFmtId="0" fontId="9" fillId="0" borderId="56" xfId="272" applyFont="1" applyBorder="1" applyAlignment="1">
      <alignment vertical="top"/>
    </xf>
    <xf numFmtId="0" fontId="91" fillId="0" borderId="57" xfId="272" applyFont="1" applyBorder="1" applyAlignment="1">
      <alignment vertical="top"/>
    </xf>
    <xf numFmtId="0" fontId="91" fillId="0" borderId="58" xfId="272" applyFont="1" applyBorder="1" applyAlignment="1">
      <alignment vertical="top"/>
    </xf>
    <xf numFmtId="0" fontId="91" fillId="0" borderId="58" xfId="272" applyFont="1" applyBorder="1" applyAlignment="1">
      <alignment vertical="top" wrapText="1"/>
    </xf>
    <xf numFmtId="0" fontId="91" fillId="0" borderId="58" xfId="272" applyFont="1" applyBorder="1" applyAlignment="1">
      <alignment horizontal="center" vertical="top"/>
    </xf>
    <xf numFmtId="0" fontId="91" fillId="0" borderId="60" xfId="272" applyFont="1" applyBorder="1" applyAlignment="1">
      <alignment vertical="top"/>
    </xf>
    <xf numFmtId="0" fontId="91" fillId="0" borderId="61" xfId="272" applyFont="1" applyBorder="1" applyAlignment="1">
      <alignment vertical="top"/>
    </xf>
    <xf numFmtId="0" fontId="91" fillId="0" borderId="61" xfId="272" applyFont="1" applyBorder="1" applyAlignment="1">
      <alignment vertical="top" wrapText="1"/>
    </xf>
    <xf numFmtId="0" fontId="91" fillId="0" borderId="61" xfId="272" applyFont="1" applyBorder="1" applyAlignment="1">
      <alignment horizontal="center" vertical="top"/>
    </xf>
    <xf numFmtId="0" fontId="91" fillId="0" borderId="63" xfId="272" applyFont="1" applyBorder="1" applyAlignment="1">
      <alignment vertical="top"/>
    </xf>
    <xf numFmtId="0" fontId="91" fillId="0" borderId="63" xfId="272" applyFont="1" applyBorder="1" applyAlignment="1">
      <alignment vertical="top" wrapText="1"/>
    </xf>
    <xf numFmtId="0" fontId="91" fillId="0" borderId="63" xfId="272" applyFont="1" applyBorder="1" applyAlignment="1">
      <alignment horizontal="center" vertical="top"/>
    </xf>
    <xf numFmtId="0" fontId="91" fillId="0" borderId="65" xfId="272" applyFont="1" applyBorder="1" applyAlignment="1">
      <alignment vertical="top"/>
    </xf>
    <xf numFmtId="0" fontId="91" fillId="0" borderId="32" xfId="272" applyFont="1" applyBorder="1" applyAlignment="1">
      <alignment vertical="top"/>
    </xf>
    <xf numFmtId="0" fontId="91" fillId="0" borderId="32" xfId="272" applyFont="1" applyBorder="1" applyAlignment="1">
      <alignment vertical="top" wrapText="1"/>
    </xf>
    <xf numFmtId="0" fontId="91" fillId="0" borderId="66" xfId="272" applyFont="1" applyBorder="1" applyAlignment="1">
      <alignment vertical="top"/>
    </xf>
    <xf numFmtId="0" fontId="91" fillId="0" borderId="66" xfId="272" applyFont="1" applyBorder="1" applyAlignment="1">
      <alignment vertical="top" wrapText="1"/>
    </xf>
    <xf numFmtId="0" fontId="91" fillId="0" borderId="66" xfId="272" applyFont="1" applyBorder="1" applyAlignment="1">
      <alignment horizontal="center" vertical="top"/>
    </xf>
    <xf numFmtId="0" fontId="91" fillId="0" borderId="57" xfId="272" applyFont="1" applyBorder="1" applyAlignment="1">
      <alignment vertical="top" wrapText="1"/>
    </xf>
    <xf numFmtId="0" fontId="91" fillId="0" borderId="68" xfId="272" applyFont="1" applyBorder="1" applyAlignment="1">
      <alignment vertical="top"/>
    </xf>
    <xf numFmtId="0" fontId="91" fillId="0" borderId="69" xfId="272" applyFont="1" applyBorder="1" applyAlignment="1">
      <alignment horizontal="center" vertical="top"/>
    </xf>
    <xf numFmtId="0" fontId="91" fillId="0" borderId="60" xfId="272" applyFont="1" applyBorder="1" applyAlignment="1">
      <alignment vertical="top" wrapText="1"/>
    </xf>
    <xf numFmtId="0" fontId="91" fillId="0" borderId="68" xfId="272" applyFont="1" applyBorder="1" applyAlignment="1">
      <alignment horizontal="center" vertical="top"/>
    </xf>
    <xf numFmtId="0" fontId="91" fillId="0" borderId="61" xfId="272" applyFont="1" applyBorder="1" applyAlignment="1">
      <alignment horizontal="justify" vertical="center"/>
    </xf>
    <xf numFmtId="0" fontId="91" fillId="0" borderId="33" xfId="272" applyFont="1" applyBorder="1" applyAlignment="1">
      <alignment horizontal="center" vertical="top"/>
    </xf>
    <xf numFmtId="0" fontId="91" fillId="0" borderId="72" xfId="272" applyFont="1" applyBorder="1" applyAlignment="1">
      <alignment vertical="top"/>
    </xf>
    <xf numFmtId="0" fontId="91" fillId="0" borderId="72" xfId="272" applyFont="1" applyBorder="1" applyAlignment="1">
      <alignment vertical="top" wrapText="1"/>
    </xf>
    <xf numFmtId="0" fontId="91" fillId="0" borderId="72" xfId="272" applyFont="1" applyBorder="1" applyAlignment="1">
      <alignment horizontal="center" vertical="top"/>
    </xf>
    <xf numFmtId="0" fontId="91" fillId="0" borderId="45" xfId="272" applyFont="1" applyBorder="1" applyAlignment="1">
      <alignment vertical="top"/>
    </xf>
    <xf numFmtId="0" fontId="91" fillId="0" borderId="45" xfId="272" applyFont="1" applyBorder="1" applyAlignment="1">
      <alignment vertical="top" wrapText="1"/>
    </xf>
    <xf numFmtId="0" fontId="91" fillId="0" borderId="45" xfId="272" applyFont="1" applyBorder="1" applyAlignment="1">
      <alignment horizontal="center" vertical="top"/>
    </xf>
    <xf numFmtId="0" fontId="91" fillId="0" borderId="33" xfId="272" applyFont="1" applyBorder="1" applyAlignment="1">
      <alignment vertical="top"/>
    </xf>
    <xf numFmtId="0" fontId="91" fillId="0" borderId="33" xfId="272" applyFont="1" applyBorder="1" applyAlignment="1">
      <alignment vertical="top" wrapText="1"/>
    </xf>
    <xf numFmtId="0" fontId="91" fillId="0" borderId="76" xfId="272" applyFont="1" applyBorder="1" applyAlignment="1">
      <alignment vertical="top"/>
    </xf>
    <xf numFmtId="0" fontId="91" fillId="0" borderId="77" xfId="272" applyFont="1" applyBorder="1" applyAlignment="1">
      <alignment vertical="top"/>
    </xf>
    <xf numFmtId="0" fontId="91" fillId="0" borderId="77" xfId="272" applyFont="1" applyBorder="1" applyAlignment="1">
      <alignment vertical="top" wrapText="1"/>
    </xf>
    <xf numFmtId="0" fontId="91" fillId="0" borderId="77" xfId="272" applyFont="1" applyBorder="1" applyAlignment="1">
      <alignment horizontal="center" vertical="top"/>
    </xf>
    <xf numFmtId="0" fontId="98" fillId="0" borderId="61" xfId="272" applyFont="1" applyBorder="1" applyAlignment="1">
      <alignment vertical="top" wrapText="1"/>
    </xf>
    <xf numFmtId="0" fontId="98" fillId="0" borderId="61" xfId="272" applyFont="1" applyBorder="1" applyAlignment="1">
      <alignment vertical="top"/>
    </xf>
    <xf numFmtId="49" fontId="9" fillId="18" borderId="0" xfId="272" applyNumberFormat="1" applyFont="1" applyFill="1" applyAlignment="1">
      <alignment horizontal="left" vertical="top"/>
    </xf>
    <xf numFmtId="0" fontId="91" fillId="33" borderId="58" xfId="272" applyFont="1" applyFill="1" applyBorder="1" applyAlignment="1">
      <alignment horizontal="center" vertical="top"/>
    </xf>
    <xf numFmtId="0" fontId="91" fillId="33" borderId="59" xfId="272" applyFont="1" applyFill="1" applyBorder="1" applyAlignment="1">
      <alignment horizontal="center" vertical="top"/>
    </xf>
    <xf numFmtId="0" fontId="91" fillId="33" borderId="61" xfId="272" applyFont="1" applyFill="1" applyBorder="1" applyAlignment="1">
      <alignment horizontal="center" vertical="top"/>
    </xf>
    <xf numFmtId="0" fontId="91" fillId="33" borderId="62" xfId="272" applyFont="1" applyFill="1" applyBorder="1" applyAlignment="1">
      <alignment horizontal="center" vertical="top"/>
    </xf>
    <xf numFmtId="0" fontId="91" fillId="33" borderId="63" xfId="272" applyFont="1" applyFill="1" applyBorder="1" applyAlignment="1">
      <alignment horizontal="center" vertical="top"/>
    </xf>
    <xf numFmtId="0" fontId="91" fillId="33" borderId="64" xfId="272" applyFont="1" applyFill="1" applyBorder="1" applyAlignment="1">
      <alignment horizontal="center" vertical="top"/>
    </xf>
    <xf numFmtId="0" fontId="98" fillId="33" borderId="61" xfId="272" applyFont="1" applyFill="1" applyBorder="1" applyAlignment="1">
      <alignment horizontal="center" vertical="top"/>
    </xf>
    <xf numFmtId="0" fontId="98" fillId="33" borderId="62" xfId="272" applyFont="1" applyFill="1" applyBorder="1" applyAlignment="1">
      <alignment horizontal="center" vertical="top"/>
    </xf>
    <xf numFmtId="0" fontId="91" fillId="33" borderId="45" xfId="272" applyFont="1" applyFill="1" applyBorder="1" applyAlignment="1">
      <alignment horizontal="center" vertical="top"/>
    </xf>
    <xf numFmtId="0" fontId="91" fillId="33" borderId="74" xfId="272" applyFont="1" applyFill="1" applyBorder="1" applyAlignment="1">
      <alignment horizontal="center" vertical="top"/>
    </xf>
    <xf numFmtId="0" fontId="91" fillId="33" borderId="66" xfId="272" applyFont="1" applyFill="1" applyBorder="1" applyAlignment="1">
      <alignment horizontal="center" vertical="top"/>
    </xf>
    <xf numFmtId="0" fontId="91" fillId="33" borderId="67" xfId="272" applyFont="1" applyFill="1" applyBorder="1" applyAlignment="1">
      <alignment horizontal="center" vertical="top"/>
    </xf>
    <xf numFmtId="0" fontId="91" fillId="33" borderId="69" xfId="272" applyFont="1" applyFill="1" applyBorder="1" applyAlignment="1">
      <alignment horizontal="center" vertical="top"/>
    </xf>
    <xf numFmtId="0" fontId="91" fillId="33" borderId="70" xfId="272" applyFont="1" applyFill="1" applyBorder="1" applyAlignment="1">
      <alignment horizontal="center" vertical="top"/>
    </xf>
    <xf numFmtId="0" fontId="91" fillId="33" borderId="68" xfId="272" applyFont="1" applyFill="1" applyBorder="1" applyAlignment="1">
      <alignment horizontal="center" vertical="top"/>
    </xf>
    <xf numFmtId="0" fontId="91" fillId="33" borderId="71" xfId="272" applyFont="1" applyFill="1" applyBorder="1" applyAlignment="1">
      <alignment horizontal="center" vertical="top"/>
    </xf>
    <xf numFmtId="0" fontId="91" fillId="33" borderId="33" xfId="272" applyFont="1" applyFill="1" applyBorder="1" applyAlignment="1">
      <alignment horizontal="center" vertical="top"/>
    </xf>
    <xf numFmtId="0" fontId="91" fillId="33" borderId="72" xfId="272" applyFont="1" applyFill="1" applyBorder="1" applyAlignment="1">
      <alignment horizontal="center" vertical="top"/>
    </xf>
    <xf numFmtId="0" fontId="91" fillId="33" borderId="73" xfId="272" applyFont="1" applyFill="1" applyBorder="1" applyAlignment="1">
      <alignment horizontal="center" vertical="top"/>
    </xf>
    <xf numFmtId="0" fontId="91" fillId="33" borderId="75" xfId="272" applyFont="1" applyFill="1" applyBorder="1" applyAlignment="1">
      <alignment horizontal="center" vertical="top"/>
    </xf>
    <xf numFmtId="0" fontId="91" fillId="33" borderId="77" xfId="272" applyFont="1" applyFill="1" applyBorder="1" applyAlignment="1">
      <alignment horizontal="center" vertical="top"/>
    </xf>
    <xf numFmtId="0" fontId="91" fillId="33" borderId="78" xfId="272" applyFont="1" applyFill="1" applyBorder="1" applyAlignment="1">
      <alignment horizontal="center" vertical="top"/>
    </xf>
    <xf numFmtId="0" fontId="98" fillId="0" borderId="61" xfId="272" applyFont="1" applyBorder="1" applyAlignment="1">
      <alignment horizontal="center" vertical="top"/>
    </xf>
    <xf numFmtId="0" fontId="91" fillId="0" borderId="32" xfId="272" applyFont="1" applyBorder="1" applyAlignment="1">
      <alignment horizontal="center" vertical="top"/>
    </xf>
    <xf numFmtId="49" fontId="5" fillId="30" borderId="5" xfId="0" applyNumberFormat="1" applyFont="1" applyFill="1" applyBorder="1" applyAlignment="1" applyProtection="1">
      <alignment horizontal="center" vertical="center" shrinkToFit="1"/>
      <protection locked="0"/>
    </xf>
    <xf numFmtId="49" fontId="8" fillId="30" borderId="5" xfId="0" applyNumberFormat="1" applyFont="1" applyFill="1" applyBorder="1" applyProtection="1">
      <protection locked="0"/>
    </xf>
    <xf numFmtId="180" fontId="5" fillId="0" borderId="5" xfId="0" applyNumberFormat="1" applyFont="1" applyBorder="1" applyAlignment="1" applyProtection="1">
      <alignment horizontal="right" vertical="center" shrinkToFit="1"/>
      <protection locked="0"/>
    </xf>
    <xf numFmtId="180" fontId="8" fillId="0" borderId="5" xfId="0" applyNumberFormat="1" applyFont="1" applyBorder="1" applyProtection="1">
      <protection locked="0"/>
    </xf>
    <xf numFmtId="180" fontId="5" fillId="0" borderId="32" xfId="0" applyNumberFormat="1" applyFont="1" applyBorder="1" applyAlignment="1" applyProtection="1">
      <alignment horizontal="right" vertical="center" shrinkToFit="1"/>
      <protection locked="0"/>
    </xf>
    <xf numFmtId="180" fontId="8" fillId="0" borderId="32" xfId="0" applyNumberFormat="1" applyFont="1" applyBorder="1" applyProtection="1">
      <protection locked="0"/>
    </xf>
    <xf numFmtId="0" fontId="5" fillId="0" borderId="18" xfId="0" applyFont="1" applyBorder="1" applyAlignment="1" applyProtection="1">
      <alignment vertical="center" shrinkToFit="1"/>
      <protection locked="0"/>
    </xf>
    <xf numFmtId="0" fontId="0" fillId="0" borderId="96" xfId="0" applyBorder="1" applyAlignment="1" applyProtection="1">
      <alignment vertical="center" shrinkToFit="1"/>
      <protection locked="0"/>
    </xf>
    <xf numFmtId="0" fontId="0" fillId="0" borderId="96" xfId="0" applyBorder="1" applyAlignment="1">
      <alignment vertical="center" shrinkToFit="1"/>
    </xf>
    <xf numFmtId="0" fontId="0" fillId="0" borderId="93" xfId="0" applyBorder="1" applyAlignment="1">
      <alignment vertical="center" shrinkToFit="1"/>
    </xf>
    <xf numFmtId="178" fontId="5" fillId="0" borderId="32" xfId="0" applyNumberFormat="1" applyFont="1" applyBorder="1" applyAlignment="1" applyProtection="1">
      <alignment horizontal="center" vertical="center" shrinkToFit="1"/>
      <protection locked="0"/>
    </xf>
    <xf numFmtId="178" fontId="0" fillId="0" borderId="32" xfId="0" applyNumberFormat="1" applyBorder="1" applyAlignment="1" applyProtection="1">
      <alignment vertical="center" shrinkToFit="1"/>
      <protection locked="0"/>
    </xf>
    <xf numFmtId="49" fontId="5" fillId="0" borderId="18" xfId="0" applyNumberFormat="1" applyFont="1" applyBorder="1" applyAlignment="1" applyProtection="1">
      <alignment vertical="center" shrinkToFit="1"/>
      <protection locked="0"/>
    </xf>
    <xf numFmtId="49" fontId="5" fillId="0" borderId="96" xfId="0" applyNumberFormat="1" applyFont="1" applyBorder="1" applyAlignment="1" applyProtection="1">
      <alignment vertical="center" shrinkToFit="1"/>
      <protection locked="0"/>
    </xf>
    <xf numFmtId="0" fontId="0" fillId="0" borderId="26" xfId="0" applyBorder="1" applyAlignment="1" applyProtection="1">
      <alignment vertical="center" shrinkToFit="1"/>
      <protection locked="0"/>
    </xf>
    <xf numFmtId="178" fontId="5" fillId="0" borderId="5" xfId="0" applyNumberFormat="1" applyFont="1" applyBorder="1" applyAlignment="1" applyProtection="1">
      <alignment horizontal="center" vertical="center" shrinkToFit="1"/>
      <protection locked="0"/>
    </xf>
    <xf numFmtId="178" fontId="0" fillId="0" borderId="5" xfId="0" applyNumberFormat="1" applyBorder="1" applyAlignment="1" applyProtection="1">
      <alignment vertical="center" shrinkToFit="1"/>
      <protection locked="0"/>
    </xf>
    <xf numFmtId="49" fontId="5" fillId="0" borderId="19" xfId="0" applyNumberFormat="1" applyFont="1" applyBorder="1" applyAlignment="1" applyProtection="1">
      <alignment vertical="center" shrinkToFit="1"/>
      <protection locked="0"/>
    </xf>
    <xf numFmtId="49" fontId="5" fillId="0" borderId="3" xfId="0" applyNumberFormat="1" applyFont="1" applyBorder="1" applyAlignment="1" applyProtection="1">
      <alignment vertical="center" shrinkToFit="1"/>
      <protection locked="0"/>
    </xf>
    <xf numFmtId="0" fontId="0" fillId="0" borderId="27" xfId="0" applyBorder="1" applyAlignment="1" applyProtection="1">
      <alignment vertical="center" shrinkToFit="1"/>
      <protection locked="0"/>
    </xf>
    <xf numFmtId="0" fontId="5" fillId="0" borderId="19" xfId="0" applyFont="1" applyBorder="1" applyAlignment="1" applyProtection="1">
      <alignment vertical="center" shrinkToFit="1"/>
      <protection locked="0"/>
    </xf>
    <xf numFmtId="0" fontId="0" fillId="0" borderId="3" xfId="0" applyBorder="1" applyAlignment="1" applyProtection="1">
      <alignment vertical="center" shrinkToFit="1"/>
      <protection locked="0"/>
    </xf>
    <xf numFmtId="0" fontId="0" fillId="0" borderId="3" xfId="0" applyBorder="1" applyAlignment="1">
      <alignment vertical="center" shrinkToFit="1"/>
    </xf>
    <xf numFmtId="0" fontId="0" fillId="0" borderId="25" xfId="0" applyBorder="1" applyAlignment="1">
      <alignment vertical="center" shrinkToFit="1"/>
    </xf>
    <xf numFmtId="0" fontId="5" fillId="0" borderId="52" xfId="0" applyFont="1" applyBorder="1" applyAlignment="1">
      <alignment horizontal="center" vertical="center" textRotation="255" shrinkToFit="1"/>
    </xf>
    <xf numFmtId="0" fontId="5" fillId="0" borderId="53" xfId="0" applyFont="1" applyBorder="1" applyAlignment="1">
      <alignment horizontal="center" vertical="center" textRotation="255" shrinkToFit="1"/>
    </xf>
    <xf numFmtId="0" fontId="5" fillId="0" borderId="55" xfId="0" applyFont="1" applyBorder="1" applyAlignment="1">
      <alignment horizontal="center" vertical="center" textRotation="255" shrinkToFit="1"/>
    </xf>
    <xf numFmtId="0" fontId="5" fillId="0" borderId="5" xfId="0" applyFont="1" applyBorder="1" applyAlignment="1">
      <alignment horizontal="center" vertical="center" textRotation="255" shrinkToFit="1"/>
    </xf>
    <xf numFmtId="0" fontId="5" fillId="0" borderId="95" xfId="0" applyFont="1" applyBorder="1" applyAlignment="1">
      <alignment horizontal="center" vertical="center" textRotation="255" shrinkToFit="1"/>
    </xf>
    <xf numFmtId="0" fontId="5" fillId="0" borderId="38" xfId="0" applyFont="1" applyBorder="1" applyAlignment="1">
      <alignment horizontal="center" vertical="center" textRotation="255" shrinkToFit="1"/>
    </xf>
    <xf numFmtId="0" fontId="10" fillId="0" borderId="43" xfId="0" applyFont="1" applyBorder="1" applyAlignment="1" applyProtection="1">
      <alignment horizontal="center" vertical="center" wrapText="1" shrinkToFit="1"/>
      <protection hidden="1"/>
    </xf>
    <xf numFmtId="0" fontId="10" fillId="0" borderId="104" xfId="0" applyFont="1" applyBorder="1" applyAlignment="1">
      <alignment horizontal="center" vertical="center" wrapText="1" shrinkToFit="1"/>
    </xf>
    <xf numFmtId="0" fontId="10" fillId="0" borderId="44" xfId="0" applyFont="1" applyBorder="1" applyAlignment="1">
      <alignment horizontal="center" vertical="center" wrapText="1" shrinkToFit="1"/>
    </xf>
    <xf numFmtId="0" fontId="10" fillId="0" borderId="30" xfId="0" applyFont="1" applyBorder="1" applyAlignment="1">
      <alignment horizontal="center" vertical="center" wrapText="1" shrinkToFit="1"/>
    </xf>
    <xf numFmtId="0" fontId="0" fillId="0" borderId="44" xfId="0" applyBorder="1" applyAlignment="1">
      <alignment horizontal="center" vertical="center" wrapText="1" shrinkToFit="1"/>
    </xf>
    <xf numFmtId="0" fontId="0" fillId="0" borderId="30" xfId="0" applyBorder="1" applyAlignment="1">
      <alignment horizontal="center" vertical="center" wrapText="1" shrinkToFit="1"/>
    </xf>
    <xf numFmtId="0" fontId="0" fillId="0" borderId="35" xfId="0" applyBorder="1" applyAlignment="1">
      <alignment horizontal="center" vertical="center" wrapText="1" shrinkToFit="1"/>
    </xf>
    <xf numFmtId="0" fontId="0" fillId="0" borderId="99" xfId="0" applyBorder="1" applyAlignment="1">
      <alignment horizontal="center" vertical="center" wrapText="1" shrinkToFit="1"/>
    </xf>
    <xf numFmtId="0" fontId="5" fillId="0" borderId="20" xfId="0" applyFont="1" applyBorder="1" applyAlignment="1" applyProtection="1">
      <alignment vertical="center" shrinkToFit="1"/>
      <protection locked="0"/>
    </xf>
    <xf numFmtId="0" fontId="0" fillId="0" borderId="91" xfId="0" applyBorder="1" applyAlignment="1" applyProtection="1">
      <alignment vertical="center" shrinkToFit="1"/>
      <protection locked="0"/>
    </xf>
    <xf numFmtId="0" fontId="0" fillId="0" borderId="91" xfId="0" applyBorder="1" applyAlignment="1">
      <alignment vertical="center" shrinkToFit="1"/>
    </xf>
    <xf numFmtId="0" fontId="0" fillId="0" borderId="90" xfId="0" applyBorder="1" applyAlignment="1">
      <alignment vertical="center" shrinkToFit="1"/>
    </xf>
    <xf numFmtId="178" fontId="5" fillId="0" borderId="38" xfId="0" applyNumberFormat="1" applyFont="1" applyBorder="1" applyAlignment="1" applyProtection="1">
      <alignment horizontal="center" vertical="center" shrinkToFit="1"/>
      <protection locked="0"/>
    </xf>
    <xf numFmtId="178" fontId="0" fillId="0" borderId="38" xfId="0" applyNumberFormat="1" applyBorder="1" applyAlignment="1" applyProtection="1">
      <alignment vertical="center" shrinkToFit="1"/>
      <protection locked="0"/>
    </xf>
    <xf numFmtId="49" fontId="5" fillId="0" borderId="20" xfId="0" applyNumberFormat="1" applyFont="1" applyBorder="1" applyAlignment="1" applyProtection="1">
      <alignment vertical="center" shrinkToFit="1"/>
      <protection locked="0"/>
    </xf>
    <xf numFmtId="49" fontId="5" fillId="0" borderId="91" xfId="0" applyNumberFormat="1" applyFont="1" applyBorder="1" applyAlignment="1" applyProtection="1">
      <alignment vertical="center" shrinkToFit="1"/>
      <protection locked="0"/>
    </xf>
    <xf numFmtId="0" fontId="0" fillId="0" borderId="28" xfId="0" applyBorder="1" applyAlignment="1" applyProtection="1">
      <alignment vertical="center" shrinkToFit="1"/>
      <protection locked="0"/>
    </xf>
    <xf numFmtId="49" fontId="5" fillId="30" borderId="33" xfId="0" applyNumberFormat="1" applyFont="1" applyFill="1" applyBorder="1" applyAlignment="1" applyProtection="1">
      <alignment horizontal="center" vertical="center" shrinkToFit="1"/>
      <protection locked="0"/>
    </xf>
    <xf numFmtId="49" fontId="8" fillId="30" borderId="33" xfId="0" applyNumberFormat="1" applyFont="1" applyFill="1" applyBorder="1" applyProtection="1">
      <protection locked="0"/>
    </xf>
    <xf numFmtId="0" fontId="10" fillId="31" borderId="43" xfId="0" applyFont="1" applyFill="1" applyBorder="1" applyAlignment="1">
      <alignment vertical="top" wrapText="1" shrinkToFit="1"/>
    </xf>
    <xf numFmtId="0" fontId="10" fillId="31" borderId="1" xfId="0" applyFont="1" applyFill="1" applyBorder="1" applyAlignment="1">
      <alignment vertical="top" wrapText="1" shrinkToFit="1"/>
    </xf>
    <xf numFmtId="0" fontId="10" fillId="31" borderId="44" xfId="0" applyFont="1" applyFill="1" applyBorder="1" applyAlignment="1">
      <alignment vertical="top" wrapText="1" shrinkToFit="1"/>
    </xf>
    <xf numFmtId="0" fontId="10" fillId="31" borderId="0" xfId="0" applyFont="1" applyFill="1" applyAlignment="1">
      <alignment vertical="top" wrapText="1" shrinkToFit="1"/>
    </xf>
    <xf numFmtId="0" fontId="10" fillId="31" borderId="35" xfId="0" applyFont="1" applyFill="1" applyBorder="1" applyAlignment="1">
      <alignment vertical="top" wrapText="1" shrinkToFit="1"/>
    </xf>
    <xf numFmtId="0" fontId="10" fillId="31" borderId="4" xfId="0" applyFont="1" applyFill="1" applyBorder="1" applyAlignment="1">
      <alignment vertical="top" wrapText="1" shrinkToFit="1"/>
    </xf>
    <xf numFmtId="0" fontId="10" fillId="31" borderId="107" xfId="0" applyFont="1" applyFill="1" applyBorder="1" applyAlignment="1">
      <alignment horizontal="center" vertical="center" wrapText="1" shrinkToFit="1"/>
    </xf>
    <xf numFmtId="0" fontId="10" fillId="31" borderId="48" xfId="0" applyFont="1" applyFill="1" applyBorder="1" applyAlignment="1">
      <alignment horizontal="center" vertical="center" wrapText="1" shrinkToFit="1"/>
    </xf>
    <xf numFmtId="0" fontId="10" fillId="31" borderId="24" xfId="0" applyFont="1" applyFill="1" applyBorder="1" applyAlignment="1">
      <alignment horizontal="center" vertical="center" wrapText="1" shrinkToFit="1"/>
    </xf>
    <xf numFmtId="0" fontId="10" fillId="31" borderId="108" xfId="0" applyFont="1" applyFill="1" applyBorder="1" applyAlignment="1">
      <alignment horizontal="center" vertical="center" wrapText="1" shrinkToFit="1"/>
    </xf>
    <xf numFmtId="0" fontId="10" fillId="31" borderId="88" xfId="0" applyFont="1" applyFill="1" applyBorder="1" applyAlignment="1">
      <alignment horizontal="center" vertical="center" wrapText="1" shrinkToFit="1"/>
    </xf>
    <xf numFmtId="0" fontId="10" fillId="31" borderId="42" xfId="0" applyFont="1" applyFill="1" applyBorder="1" applyAlignment="1">
      <alignment horizontal="center" vertical="center" wrapText="1" shrinkToFit="1"/>
    </xf>
    <xf numFmtId="0" fontId="10" fillId="31" borderId="41" xfId="0" applyFont="1" applyFill="1" applyBorder="1" applyAlignment="1">
      <alignment horizontal="center" vertical="center" wrapText="1" shrinkToFit="1"/>
    </xf>
    <xf numFmtId="0" fontId="10" fillId="31" borderId="0" xfId="0" applyFont="1" applyFill="1" applyAlignment="1">
      <alignment horizontal="center" vertical="center" wrapText="1" shrinkToFit="1"/>
    </xf>
    <xf numFmtId="0" fontId="10" fillId="31" borderId="109" xfId="0" applyFont="1" applyFill="1" applyBorder="1" applyAlignment="1">
      <alignment horizontal="center" vertical="center" wrapText="1" shrinkToFit="1"/>
    </xf>
    <xf numFmtId="0" fontId="10" fillId="31" borderId="40" xfId="0" applyFont="1" applyFill="1" applyBorder="1" applyAlignment="1">
      <alignment horizontal="center" vertical="center" wrapText="1" shrinkToFit="1"/>
    </xf>
    <xf numFmtId="0" fontId="10" fillId="31" borderId="4" xfId="0" applyFont="1" applyFill="1" applyBorder="1" applyAlignment="1">
      <alignment horizontal="center" vertical="center" wrapText="1" shrinkToFit="1"/>
    </xf>
    <xf numFmtId="0" fontId="10" fillId="31" borderId="36" xfId="0" applyFont="1" applyFill="1" applyBorder="1" applyAlignment="1">
      <alignment horizontal="center" vertical="center" wrapText="1" shrinkToFit="1"/>
    </xf>
    <xf numFmtId="0" fontId="4" fillId="0" borderId="0" xfId="0" applyFont="1" applyAlignment="1">
      <alignment horizontal="center" vertical="center"/>
    </xf>
    <xf numFmtId="14" fontId="1" fillId="31" borderId="105" xfId="0" applyNumberFormat="1" applyFont="1" applyFill="1" applyBorder="1" applyAlignment="1">
      <alignment horizontal="center" vertical="center"/>
    </xf>
    <xf numFmtId="14" fontId="1" fillId="31" borderId="2" xfId="0" applyNumberFormat="1" applyFont="1" applyFill="1" applyBorder="1" applyAlignment="1">
      <alignment horizontal="center" vertical="center"/>
    </xf>
    <xf numFmtId="14" fontId="1" fillId="31" borderId="106" xfId="0" applyNumberFormat="1" applyFont="1" applyFill="1" applyBorder="1" applyAlignment="1">
      <alignment horizontal="center" vertical="center"/>
    </xf>
    <xf numFmtId="0" fontId="5" fillId="0" borderId="95" xfId="0" applyFont="1" applyBorder="1" applyAlignment="1">
      <alignment horizontal="center" vertical="center" shrinkToFit="1"/>
    </xf>
    <xf numFmtId="0" fontId="5" fillId="0" borderId="38" xfId="0" applyFont="1" applyBorder="1" applyAlignment="1">
      <alignment horizontal="center" vertical="center" shrinkToFit="1"/>
    </xf>
    <xf numFmtId="0" fontId="5" fillId="0" borderId="52" xfId="0" applyFont="1" applyBorder="1" applyAlignment="1">
      <alignment horizontal="center" vertical="center" shrinkToFit="1"/>
    </xf>
    <xf numFmtId="0" fontId="5" fillId="0" borderId="53" xfId="0" applyFont="1" applyBorder="1" applyAlignment="1">
      <alignment horizontal="center" vertical="center" shrinkToFit="1"/>
    </xf>
    <xf numFmtId="0" fontId="5" fillId="0" borderId="47" xfId="0" applyFont="1" applyBorder="1" applyAlignment="1" applyProtection="1">
      <alignment horizontal="center" vertical="center" shrinkToFit="1"/>
      <protection locked="0"/>
    </xf>
    <xf numFmtId="0" fontId="5" fillId="0" borderId="48" xfId="0" applyFont="1" applyBorder="1" applyAlignment="1" applyProtection="1">
      <alignment horizontal="center" vertical="center" shrinkToFit="1"/>
      <protection locked="0"/>
    </xf>
    <xf numFmtId="0" fontId="5" fillId="0" borderId="38" xfId="0" applyFont="1" applyBorder="1" applyAlignment="1" applyProtection="1">
      <alignment horizontal="center" vertical="center" shrinkToFit="1"/>
      <protection locked="0"/>
    </xf>
    <xf numFmtId="0" fontId="5" fillId="0" borderId="47" xfId="0" applyFont="1" applyBorder="1" applyAlignment="1" applyProtection="1">
      <alignment horizontal="center" vertical="center" wrapText="1"/>
      <protection locked="0"/>
    </xf>
    <xf numFmtId="0" fontId="0" fillId="0" borderId="48" xfId="0" applyBorder="1" applyAlignment="1" applyProtection="1">
      <alignment horizontal="center" vertical="center" wrapText="1"/>
      <protection locked="0"/>
    </xf>
    <xf numFmtId="49" fontId="5" fillId="0" borderId="20" xfId="0" quotePrefix="1" applyNumberFormat="1" applyFont="1" applyBorder="1" applyAlignment="1" applyProtection="1">
      <alignment horizontal="center" vertical="center" shrinkToFit="1"/>
      <protection locked="0"/>
    </xf>
    <xf numFmtId="49" fontId="5" fillId="0" borderId="91" xfId="0" applyNumberFormat="1" applyFont="1" applyBorder="1" applyAlignment="1" applyProtection="1">
      <alignment horizontal="center" vertical="center" shrinkToFit="1"/>
      <protection locked="0"/>
    </xf>
    <xf numFmtId="49" fontId="5" fillId="0" borderId="28" xfId="0" applyNumberFormat="1" applyFont="1" applyBorder="1" applyAlignment="1" applyProtection="1">
      <alignment horizontal="center" vertical="center" shrinkToFit="1"/>
      <protection locked="0"/>
    </xf>
    <xf numFmtId="0" fontId="8" fillId="30" borderId="3" xfId="0" applyFont="1" applyFill="1" applyBorder="1" applyAlignment="1" applyProtection="1">
      <alignment horizontal="center" vertical="center"/>
      <protection hidden="1"/>
    </xf>
    <xf numFmtId="0" fontId="8" fillId="30" borderId="27" xfId="0" applyFont="1" applyFill="1" applyBorder="1" applyAlignment="1" applyProtection="1">
      <alignment horizontal="center" vertical="center"/>
      <protection hidden="1"/>
    </xf>
    <xf numFmtId="49" fontId="5" fillId="0" borderId="20" xfId="0" applyNumberFormat="1" applyFont="1" applyBorder="1" applyAlignment="1" applyProtection="1">
      <alignment horizontal="left" vertical="center" shrinkToFit="1"/>
      <protection locked="0"/>
    </xf>
    <xf numFmtId="49" fontId="5" fillId="0" borderId="91" xfId="0" applyNumberFormat="1" applyFont="1" applyBorder="1" applyAlignment="1" applyProtection="1">
      <alignment horizontal="left" vertical="center" shrinkToFit="1"/>
      <protection locked="0"/>
    </xf>
    <xf numFmtId="49" fontId="5" fillId="0" borderId="90" xfId="0" applyNumberFormat="1" applyFont="1" applyBorder="1" applyAlignment="1" applyProtection="1">
      <alignment horizontal="left" vertical="center" shrinkToFit="1"/>
      <protection locked="0"/>
    </xf>
    <xf numFmtId="0" fontId="97" fillId="0" borderId="0" xfId="0" applyFont="1" applyAlignment="1">
      <alignment vertical="center" wrapText="1"/>
    </xf>
    <xf numFmtId="0" fontId="97" fillId="0" borderId="30" xfId="0" applyFont="1" applyBorder="1" applyAlignment="1">
      <alignment vertical="center" wrapText="1"/>
    </xf>
    <xf numFmtId="0" fontId="8" fillId="0" borderId="81" xfId="0" applyFont="1" applyBorder="1" applyAlignment="1">
      <alignment horizontal="center" vertical="center" shrinkToFit="1"/>
    </xf>
    <xf numFmtId="0" fontId="8" fillId="0" borderId="27" xfId="0" applyFont="1" applyBorder="1" applyAlignment="1">
      <alignment horizontal="center" vertical="center" shrinkToFit="1"/>
    </xf>
    <xf numFmtId="0" fontId="5" fillId="0" borderId="53" xfId="0" applyFont="1" applyBorder="1" applyAlignment="1" applyProtection="1">
      <alignment horizontal="center" vertical="center" shrinkToFit="1"/>
      <protection locked="0"/>
    </xf>
    <xf numFmtId="49" fontId="5" fillId="0" borderId="48" xfId="0" applyNumberFormat="1" applyFont="1" applyBorder="1" applyAlignment="1" applyProtection="1">
      <alignment horizontal="center" vertical="center" shrinkToFit="1"/>
      <protection locked="0"/>
    </xf>
    <xf numFmtId="0" fontId="5" fillId="30" borderId="0" xfId="0" applyFont="1" applyFill="1" applyAlignment="1">
      <alignment vertical="center" wrapText="1"/>
    </xf>
    <xf numFmtId="0" fontId="5" fillId="30" borderId="0" xfId="0" applyFont="1" applyFill="1" applyAlignment="1">
      <alignment vertical="center"/>
    </xf>
    <xf numFmtId="0" fontId="5" fillId="0" borderId="83" xfId="0" applyFont="1" applyBorder="1" applyAlignment="1">
      <alignment horizontal="center" vertical="center" shrinkToFit="1"/>
    </xf>
    <xf numFmtId="0" fontId="0" fillId="0" borderId="84" xfId="0" applyBorder="1" applyAlignment="1">
      <alignment vertical="center" shrinkToFit="1"/>
    </xf>
    <xf numFmtId="0" fontId="0" fillId="0" borderId="51" xfId="0" applyBorder="1" applyAlignment="1">
      <alignment vertical="center" shrinkToFit="1"/>
    </xf>
    <xf numFmtId="0" fontId="5" fillId="0" borderId="5" xfId="0" applyFont="1" applyBorder="1" applyAlignment="1">
      <alignment horizontal="center" vertical="center" shrinkToFit="1"/>
    </xf>
    <xf numFmtId="0" fontId="5" fillId="0" borderId="19" xfId="0" applyFont="1" applyBorder="1" applyAlignment="1">
      <alignment vertical="center" shrinkToFit="1"/>
    </xf>
    <xf numFmtId="0" fontId="5" fillId="0" borderId="3" xfId="0" applyFont="1" applyBorder="1" applyAlignment="1">
      <alignment vertical="center" shrinkToFit="1"/>
    </xf>
    <xf numFmtId="0" fontId="5" fillId="0" borderId="27" xfId="0" applyFont="1" applyBorder="1" applyAlignment="1">
      <alignment vertical="center" shrinkToFit="1"/>
    </xf>
    <xf numFmtId="0" fontId="5" fillId="0" borderId="1" xfId="0" applyFont="1" applyBorder="1" applyAlignment="1">
      <alignment vertical="top" wrapText="1"/>
    </xf>
    <xf numFmtId="0" fontId="5" fillId="0" borderId="104" xfId="0" applyFont="1" applyBorder="1" applyAlignment="1">
      <alignment vertical="top" wrapText="1"/>
    </xf>
    <xf numFmtId="0" fontId="5" fillId="0" borderId="0" xfId="0" applyFont="1" applyAlignment="1">
      <alignment vertical="top" wrapText="1"/>
    </xf>
    <xf numFmtId="0" fontId="5" fillId="0" borderId="30" xfId="0" applyFont="1" applyBorder="1" applyAlignment="1">
      <alignment vertical="top" wrapText="1"/>
    </xf>
    <xf numFmtId="0" fontId="5" fillId="0" borderId="32" xfId="0" applyFont="1" applyBorder="1" applyAlignment="1">
      <alignment vertical="center" shrinkToFit="1"/>
    </xf>
    <xf numFmtId="0" fontId="5" fillId="0" borderId="5" xfId="0" applyFont="1" applyBorder="1" applyAlignment="1">
      <alignment vertical="center" shrinkToFit="1"/>
    </xf>
    <xf numFmtId="0" fontId="18" fillId="0" borderId="83" xfId="0" applyFont="1" applyBorder="1" applyAlignment="1">
      <alignment horizontal="left" vertical="center" shrinkToFit="1"/>
    </xf>
    <xf numFmtId="0" fontId="18" fillId="0" borderId="84" xfId="0" applyFont="1" applyBorder="1" applyAlignment="1">
      <alignment horizontal="left" vertical="center" shrinkToFit="1"/>
    </xf>
    <xf numFmtId="0" fontId="18" fillId="0" borderId="85" xfId="0" applyFont="1" applyBorder="1" applyAlignment="1">
      <alignment horizontal="left" vertical="center" shrinkToFit="1"/>
    </xf>
    <xf numFmtId="0" fontId="5" fillId="31" borderId="79" xfId="0" applyFont="1" applyFill="1" applyBorder="1" applyAlignment="1" applyProtection="1">
      <alignment vertical="center"/>
      <protection locked="0"/>
    </xf>
    <xf numFmtId="0" fontId="0" fillId="31" borderId="86" xfId="0" applyFill="1" applyBorder="1" applyAlignment="1">
      <alignment vertical="center"/>
    </xf>
    <xf numFmtId="0" fontId="5" fillId="31" borderId="20" xfId="0" applyFont="1" applyFill="1" applyBorder="1" applyAlignment="1" applyProtection="1">
      <alignment horizontal="center" vertical="center" shrinkToFit="1"/>
      <protection locked="0"/>
    </xf>
    <xf numFmtId="0" fontId="0" fillId="31" borderId="91" xfId="0" applyFill="1" applyBorder="1" applyAlignment="1" applyProtection="1">
      <alignment horizontal="center" vertical="center" shrinkToFit="1"/>
      <protection locked="0"/>
    </xf>
    <xf numFmtId="0" fontId="5" fillId="0" borderId="20" xfId="0" applyFont="1" applyBorder="1" applyAlignment="1" applyProtection="1">
      <alignment vertical="center"/>
      <protection locked="0"/>
    </xf>
    <xf numFmtId="0" fontId="0" fillId="0" borderId="91" xfId="0" applyBorder="1" applyAlignment="1">
      <alignment vertical="center"/>
    </xf>
    <xf numFmtId="0" fontId="0" fillId="0" borderId="28" xfId="0" applyBorder="1" applyAlignment="1">
      <alignment vertical="center"/>
    </xf>
    <xf numFmtId="0" fontId="5" fillId="0" borderId="32" xfId="0" applyFont="1" applyBorder="1" applyAlignment="1">
      <alignment vertical="center" wrapText="1"/>
    </xf>
    <xf numFmtId="0" fontId="5" fillId="0" borderId="5" xfId="0" applyFont="1" applyBorder="1" applyAlignment="1">
      <alignment vertical="center" wrapText="1"/>
    </xf>
    <xf numFmtId="0" fontId="5" fillId="31" borderId="20" xfId="0" applyFont="1" applyFill="1" applyBorder="1" applyAlignment="1" applyProtection="1">
      <alignment vertical="center"/>
      <protection locked="0"/>
    </xf>
    <xf numFmtId="0" fontId="0" fillId="31" borderId="90" xfId="0" applyFill="1" applyBorder="1" applyAlignment="1">
      <alignment vertical="center"/>
    </xf>
    <xf numFmtId="0" fontId="5" fillId="0" borderId="79" xfId="0" applyFont="1" applyBorder="1" applyAlignment="1" applyProtection="1">
      <alignment vertical="center"/>
      <protection locked="0"/>
    </xf>
    <xf numFmtId="0" fontId="0" fillId="0" borderId="82" xfId="0" applyBorder="1" applyAlignment="1">
      <alignment vertical="center"/>
    </xf>
    <xf numFmtId="0" fontId="0" fillId="0" borderId="80" xfId="0" applyBorder="1" applyAlignment="1">
      <alignment vertical="center"/>
    </xf>
    <xf numFmtId="0" fontId="5" fillId="0" borderId="19" xfId="0" applyFont="1" applyBorder="1" applyAlignment="1" applyProtection="1">
      <alignment vertical="center"/>
      <protection locked="0"/>
    </xf>
    <xf numFmtId="0" fontId="0" fillId="0" borderId="3" xfId="0" applyBorder="1" applyAlignment="1">
      <alignment vertical="center"/>
    </xf>
    <xf numFmtId="0" fontId="0" fillId="0" borderId="27" xfId="0" applyBorder="1" applyAlignment="1">
      <alignment vertical="center"/>
    </xf>
    <xf numFmtId="0" fontId="5" fillId="31" borderId="79" xfId="0" applyFont="1" applyFill="1" applyBorder="1" applyAlignment="1" applyProtection="1">
      <alignment horizontal="center" vertical="center" shrinkToFit="1"/>
      <protection locked="0"/>
    </xf>
    <xf numFmtId="0" fontId="0" fillId="31" borderId="82" xfId="0" applyFill="1" applyBorder="1" applyAlignment="1" applyProtection="1">
      <alignment horizontal="center" vertical="center" shrinkToFit="1"/>
      <protection locked="0"/>
    </xf>
    <xf numFmtId="0" fontId="5" fillId="0" borderId="17" xfId="0" applyFont="1" applyBorder="1" applyAlignment="1">
      <alignment horizontal="center" vertical="center" shrinkToFit="1"/>
    </xf>
    <xf numFmtId="0" fontId="5" fillId="0" borderId="103" xfId="0" applyFont="1" applyBorder="1" applyAlignment="1">
      <alignment horizontal="center" vertical="center" shrinkToFit="1"/>
    </xf>
    <xf numFmtId="176" fontId="5" fillId="0" borderId="5" xfId="0" applyNumberFormat="1" applyFont="1" applyBorder="1" applyAlignment="1" applyProtection="1">
      <alignment horizontal="center" vertical="center" shrinkToFit="1"/>
      <protection locked="0"/>
    </xf>
    <xf numFmtId="176" fontId="5" fillId="0" borderId="56" xfId="0" applyNumberFormat="1" applyFont="1" applyBorder="1" applyAlignment="1" applyProtection="1">
      <alignment horizontal="center" vertical="center" shrinkToFit="1"/>
      <protection locked="0"/>
    </xf>
    <xf numFmtId="0" fontId="5" fillId="0" borderId="83" xfId="0" applyFont="1" applyBorder="1" applyAlignment="1">
      <alignment horizontal="center" vertical="center"/>
    </xf>
    <xf numFmtId="0" fontId="5" fillId="0" borderId="51" xfId="0" applyFont="1" applyBorder="1" applyAlignment="1">
      <alignment horizontal="center" vertical="center"/>
    </xf>
    <xf numFmtId="0" fontId="5" fillId="0" borderId="79" xfId="0" applyFont="1" applyBorder="1" applyAlignment="1">
      <alignment horizontal="center" vertical="center"/>
    </xf>
    <xf numFmtId="0" fontId="5" fillId="0" borderId="80" xfId="0" applyFont="1" applyBorder="1" applyAlignment="1">
      <alignment horizontal="center" vertical="center"/>
    </xf>
    <xf numFmtId="176" fontId="5" fillId="0" borderId="32" xfId="0" applyNumberFormat="1" applyFont="1" applyBorder="1" applyAlignment="1" applyProtection="1">
      <alignment horizontal="center" vertical="center" shrinkToFit="1"/>
      <protection locked="0"/>
    </xf>
    <xf numFmtId="176" fontId="5" fillId="0" borderId="94" xfId="0" applyNumberFormat="1" applyFont="1" applyBorder="1" applyAlignment="1" applyProtection="1">
      <alignment horizontal="center" vertical="center" shrinkToFit="1"/>
      <protection locked="0"/>
    </xf>
    <xf numFmtId="0" fontId="5" fillId="0" borderId="43" xfId="0" applyFont="1" applyBorder="1" applyAlignment="1">
      <alignment vertical="top" wrapText="1"/>
    </xf>
    <xf numFmtId="0" fontId="0" fillId="0" borderId="44" xfId="0" applyBorder="1" applyAlignment="1">
      <alignment vertical="top" wrapText="1"/>
    </xf>
    <xf numFmtId="0" fontId="0" fillId="0" borderId="18" xfId="0" applyBorder="1" applyAlignment="1">
      <alignment vertical="top" wrapText="1"/>
    </xf>
    <xf numFmtId="0" fontId="5" fillId="0" borderId="87" xfId="0" applyFont="1" applyBorder="1" applyAlignment="1">
      <alignment vertical="center" shrinkToFit="1"/>
    </xf>
    <xf numFmtId="0" fontId="5" fillId="0" borderId="88" xfId="0" applyFont="1" applyBorder="1" applyAlignment="1">
      <alignment vertical="center" shrinkToFit="1"/>
    </xf>
    <xf numFmtId="0" fontId="5" fillId="0" borderId="89" xfId="0" applyFont="1" applyBorder="1" applyAlignment="1">
      <alignment vertical="center" shrinkToFit="1"/>
    </xf>
    <xf numFmtId="49" fontId="5" fillId="0" borderId="19" xfId="0" applyNumberFormat="1" applyFont="1" applyBorder="1" applyAlignment="1">
      <alignment horizontal="right" vertical="top" shrinkToFit="1"/>
    </xf>
    <xf numFmtId="49" fontId="0" fillId="0" borderId="19" xfId="0" applyNumberFormat="1" applyBorder="1" applyAlignment="1">
      <alignment shrinkToFit="1"/>
    </xf>
    <xf numFmtId="0" fontId="5" fillId="0" borderId="32" xfId="0" applyFont="1" applyBorder="1" applyAlignment="1">
      <alignment horizontal="center" vertical="center" shrinkToFit="1"/>
    </xf>
    <xf numFmtId="0" fontId="5" fillId="0" borderId="0" xfId="0" applyFont="1" applyAlignment="1">
      <alignment vertical="center" shrinkToFit="1"/>
    </xf>
    <xf numFmtId="0" fontId="5" fillId="0" borderId="47" xfId="0" applyFont="1" applyBorder="1" applyAlignment="1">
      <alignment vertical="center" shrinkToFit="1"/>
    </xf>
    <xf numFmtId="0" fontId="5" fillId="0" borderId="48" xfId="0" applyFont="1" applyBorder="1" applyAlignment="1">
      <alignment vertical="center" shrinkToFit="1"/>
    </xf>
    <xf numFmtId="0" fontId="5" fillId="0" borderId="23" xfId="0" applyFont="1" applyBorder="1" applyAlignment="1">
      <alignment vertical="center" shrinkToFit="1"/>
    </xf>
    <xf numFmtId="0" fontId="5" fillId="0" borderId="52" xfId="0" applyFont="1" applyBorder="1" applyAlignment="1">
      <alignment vertical="center" textRotation="255" shrinkToFit="1"/>
    </xf>
    <xf numFmtId="0" fontId="5" fillId="0" borderId="53" xfId="0" applyFont="1" applyBorder="1" applyAlignment="1">
      <alignment vertical="center" textRotation="255" shrinkToFit="1"/>
    </xf>
    <xf numFmtId="0" fontId="5" fillId="0" borderId="55" xfId="0" applyFont="1" applyBorder="1" applyAlignment="1">
      <alignment vertical="center" textRotation="255" shrinkToFit="1"/>
    </xf>
    <xf numFmtId="0" fontId="5" fillId="0" borderId="5" xfId="0" applyFont="1" applyBorder="1" applyAlignment="1">
      <alignment vertical="center" textRotation="255" shrinkToFit="1"/>
    </xf>
    <xf numFmtId="0" fontId="5" fillId="0" borderId="95" xfId="0" applyFont="1" applyBorder="1" applyAlignment="1">
      <alignment vertical="center" textRotation="255" shrinkToFit="1"/>
    </xf>
    <xf numFmtId="0" fontId="5" fillId="0" borderId="38" xfId="0" applyFont="1" applyBorder="1" applyAlignment="1">
      <alignment vertical="center" textRotation="255" shrinkToFit="1"/>
    </xf>
    <xf numFmtId="0" fontId="17" fillId="0" borderId="83" xfId="0" applyFont="1" applyBorder="1" applyAlignment="1">
      <alignment horizontal="center" vertical="center" shrinkToFit="1"/>
    </xf>
    <xf numFmtId="0" fontId="19" fillId="0" borderId="84" xfId="0" applyFont="1" applyBorder="1" applyAlignment="1">
      <alignment horizontal="center" vertical="center" shrinkToFit="1"/>
    </xf>
    <xf numFmtId="0" fontId="19" fillId="0" borderId="51" xfId="0" applyFont="1" applyBorder="1" applyAlignment="1">
      <alignment horizontal="center" vertical="center" shrinkToFit="1"/>
    </xf>
    <xf numFmtId="0" fontId="5" fillId="0" borderId="84" xfId="0" applyFont="1" applyBorder="1" applyAlignment="1">
      <alignment horizontal="center" vertical="center" shrinkToFit="1"/>
    </xf>
    <xf numFmtId="0" fontId="5" fillId="0" borderId="41" xfId="0" applyFont="1" applyBorder="1" applyAlignment="1">
      <alignment vertical="center" shrinkToFit="1"/>
    </xf>
    <xf numFmtId="0" fontId="5" fillId="31" borderId="19" xfId="0" applyFont="1" applyFill="1" applyBorder="1" applyAlignment="1" applyProtection="1">
      <alignment horizontal="center" vertical="center" shrinkToFit="1"/>
      <protection locked="0"/>
    </xf>
    <xf numFmtId="0" fontId="0" fillId="31" borderId="3" xfId="0" applyFill="1" applyBorder="1" applyAlignment="1" applyProtection="1">
      <alignment horizontal="center" vertical="center" shrinkToFit="1"/>
      <protection locked="0"/>
    </xf>
    <xf numFmtId="0" fontId="5" fillId="31" borderId="19" xfId="0" applyFont="1" applyFill="1" applyBorder="1" applyAlignment="1" applyProtection="1">
      <alignment vertical="center"/>
      <protection locked="0"/>
    </xf>
    <xf numFmtId="0" fontId="0" fillId="31" borderId="25" xfId="0" applyFill="1" applyBorder="1" applyAlignment="1">
      <alignment vertical="center"/>
    </xf>
    <xf numFmtId="0" fontId="5" fillId="0" borderId="45" xfId="0" applyFont="1" applyBorder="1" applyAlignment="1">
      <alignment horizontal="center" vertical="center" textRotation="255" wrapText="1"/>
    </xf>
    <xf numFmtId="0" fontId="0" fillId="0" borderId="45" xfId="0" applyBorder="1"/>
    <xf numFmtId="0" fontId="0" fillId="0" borderId="44" xfId="0" applyBorder="1"/>
    <xf numFmtId="0" fontId="0" fillId="0" borderId="92" xfId="0" applyBorder="1"/>
    <xf numFmtId="0" fontId="5" fillId="0" borderId="19" xfId="0" applyFont="1" applyBorder="1" applyAlignment="1" applyProtection="1">
      <alignment horizontal="center" vertical="center"/>
      <protection locked="0"/>
    </xf>
    <xf numFmtId="0" fontId="5" fillId="0" borderId="27" xfId="0" applyFont="1" applyBorder="1" applyAlignment="1" applyProtection="1">
      <alignment horizontal="center" vertical="center"/>
      <protection locked="0"/>
    </xf>
    <xf numFmtId="0" fontId="5" fillId="0" borderId="19" xfId="0" applyFont="1" applyBorder="1" applyAlignment="1">
      <alignment horizontal="center" vertical="center"/>
    </xf>
    <xf numFmtId="0" fontId="5" fillId="0" borderId="27" xfId="0" applyFont="1" applyBorder="1" applyAlignment="1">
      <alignment horizontal="center" vertical="center"/>
    </xf>
    <xf numFmtId="49" fontId="5" fillId="0" borderId="87" xfId="0" applyNumberFormat="1" applyFont="1" applyBorder="1" applyAlignment="1">
      <alignment horizontal="right" vertical="top" shrinkToFit="1"/>
    </xf>
    <xf numFmtId="49" fontId="5" fillId="0" borderId="44" xfId="0" applyNumberFormat="1" applyFont="1" applyBorder="1" applyAlignment="1">
      <alignment horizontal="right" vertical="top" shrinkToFit="1"/>
    </xf>
    <xf numFmtId="49" fontId="5" fillId="0" borderId="18" xfId="0" applyNumberFormat="1" applyFont="1" applyBorder="1" applyAlignment="1">
      <alignment horizontal="right" vertical="top" shrinkToFit="1"/>
    </xf>
    <xf numFmtId="0" fontId="5" fillId="0" borderId="5" xfId="0" applyFont="1" applyBorder="1" applyAlignment="1">
      <alignment vertical="center" wrapText="1" shrinkToFit="1"/>
    </xf>
    <xf numFmtId="0" fontId="5" fillId="0" borderId="19" xfId="0" applyFont="1" applyBorder="1" applyAlignment="1">
      <alignment vertical="center" wrapText="1" shrinkToFit="1"/>
    </xf>
    <xf numFmtId="0" fontId="5" fillId="0" borderId="27" xfId="0" applyFont="1" applyBorder="1" applyAlignment="1">
      <alignment vertical="top" wrapText="1" shrinkToFit="1"/>
    </xf>
    <xf numFmtId="0" fontId="5" fillId="0" borderId="5" xfId="0" applyFont="1" applyBorder="1" applyAlignment="1">
      <alignment vertical="top" wrapText="1" shrinkToFit="1"/>
    </xf>
    <xf numFmtId="0" fontId="5" fillId="0" borderId="20" xfId="0" applyFont="1" applyBorder="1" applyAlignment="1">
      <alignment horizontal="center" vertical="center" shrinkToFit="1"/>
    </xf>
    <xf numFmtId="0" fontId="5" fillId="0" borderId="91" xfId="0" applyFont="1" applyBorder="1" applyAlignment="1">
      <alignment horizontal="center" vertical="center" shrinkToFit="1"/>
    </xf>
    <xf numFmtId="0" fontId="5" fillId="0" borderId="28" xfId="0" applyFont="1" applyBorder="1" applyAlignment="1">
      <alignment horizontal="center" vertical="center" shrinkToFit="1"/>
    </xf>
    <xf numFmtId="0" fontId="3" fillId="30" borderId="83" xfId="0" applyFont="1" applyFill="1" applyBorder="1" applyAlignment="1">
      <alignment horizontal="center" vertical="center" wrapText="1" shrinkToFit="1"/>
    </xf>
    <xf numFmtId="0" fontId="13" fillId="0" borderId="51" xfId="0" applyFont="1" applyBorder="1" applyAlignment="1">
      <alignment horizontal="center" vertical="center" wrapText="1" shrinkToFit="1"/>
    </xf>
    <xf numFmtId="179" fontId="15" fillId="31" borderId="5" xfId="0" applyNumberFormat="1" applyFont="1" applyFill="1" applyBorder="1" applyAlignment="1" applyProtection="1">
      <alignment horizontal="center" vertical="center" shrinkToFit="1"/>
      <protection locked="0"/>
    </xf>
    <xf numFmtId="0" fontId="14" fillId="0" borderId="27" xfId="0" applyFont="1" applyBorder="1" applyAlignment="1">
      <alignment vertical="center" wrapText="1"/>
    </xf>
    <xf numFmtId="0" fontId="14" fillId="0" borderId="5" xfId="0" applyFont="1" applyBorder="1" applyAlignment="1">
      <alignment vertical="center" wrapText="1" shrinkToFit="1"/>
    </xf>
    <xf numFmtId="0" fontId="14" fillId="0" borderId="38" xfId="0" applyFont="1" applyBorder="1" applyAlignment="1">
      <alignment vertical="center" wrapText="1" shrinkToFit="1"/>
    </xf>
    <xf numFmtId="179" fontId="15" fillId="31" borderId="38" xfId="0" applyNumberFormat="1" applyFont="1" applyFill="1" applyBorder="1" applyAlignment="1" applyProtection="1">
      <alignment horizontal="center" vertical="center" shrinkToFit="1"/>
      <protection locked="0"/>
    </xf>
    <xf numFmtId="0" fontId="5" fillId="0" borderId="102" xfId="0" applyFont="1" applyBorder="1" applyAlignment="1">
      <alignment horizontal="center" vertical="center" textRotation="255"/>
    </xf>
    <xf numFmtId="0" fontId="5" fillId="0" borderId="60" xfId="0" applyFont="1" applyBorder="1" applyAlignment="1">
      <alignment horizontal="center" vertical="center" textRotation="255"/>
    </xf>
    <xf numFmtId="0" fontId="5" fillId="0" borderId="76" xfId="0" applyFont="1" applyBorder="1" applyAlignment="1">
      <alignment horizontal="center" vertical="center" textRotation="255"/>
    </xf>
    <xf numFmtId="0" fontId="5" fillId="30" borderId="83" xfId="0" applyFont="1" applyFill="1" applyBorder="1" applyAlignment="1">
      <alignment horizontal="center" vertical="center" shrinkToFit="1"/>
    </xf>
    <xf numFmtId="0" fontId="0" fillId="0" borderId="85" xfId="0" applyBorder="1" applyAlignment="1">
      <alignment vertical="center" shrinkToFit="1"/>
    </xf>
    <xf numFmtId="176" fontId="17" fillId="0" borderId="35" xfId="0" applyNumberFormat="1" applyFont="1" applyBorder="1" applyAlignment="1">
      <alignment horizontal="center" vertical="center" shrinkToFit="1"/>
    </xf>
    <xf numFmtId="176" fontId="17" fillId="0" borderId="36" xfId="0" applyNumberFormat="1" applyFont="1" applyBorder="1" applyAlignment="1">
      <alignment horizontal="center" vertical="center" shrinkToFit="1"/>
    </xf>
    <xf numFmtId="179" fontId="18" fillId="0" borderId="19" xfId="0" applyNumberFormat="1" applyFont="1" applyBorder="1" applyAlignment="1">
      <alignment horizontal="center" vertical="center" wrapText="1"/>
    </xf>
    <xf numFmtId="179" fontId="18" fillId="0" borderId="25" xfId="0" applyNumberFormat="1" applyFont="1" applyBorder="1" applyAlignment="1">
      <alignment horizontal="center" vertical="center" wrapText="1"/>
    </xf>
    <xf numFmtId="179" fontId="18" fillId="0" borderId="20" xfId="0" applyNumberFormat="1" applyFont="1" applyBorder="1" applyAlignment="1">
      <alignment horizontal="center" vertical="center" wrapText="1"/>
    </xf>
    <xf numFmtId="179" fontId="18" fillId="0" borderId="90" xfId="0" applyNumberFormat="1" applyFont="1" applyBorder="1" applyAlignment="1">
      <alignment horizontal="center" vertical="center" wrapText="1"/>
    </xf>
    <xf numFmtId="0" fontId="14" fillId="0" borderId="26" xfId="0" applyFont="1" applyBorder="1" applyAlignment="1">
      <alignment vertical="center" wrapText="1"/>
    </xf>
    <xf numFmtId="179" fontId="15" fillId="31" borderId="32" xfId="0" applyNumberFormat="1" applyFont="1" applyFill="1" applyBorder="1" applyAlignment="1" applyProtection="1">
      <alignment horizontal="center" vertical="center" shrinkToFit="1"/>
      <protection locked="0"/>
    </xf>
    <xf numFmtId="0" fontId="14" fillId="0" borderId="27" xfId="0" applyFont="1" applyBorder="1" applyAlignment="1">
      <alignment vertical="center" wrapText="1" shrinkToFit="1"/>
    </xf>
    <xf numFmtId="0" fontId="5" fillId="30" borderId="51" xfId="0" applyFont="1" applyFill="1" applyBorder="1" applyAlignment="1">
      <alignment horizontal="center" vertical="center" shrinkToFit="1"/>
    </xf>
    <xf numFmtId="0" fontId="5" fillId="30" borderId="84" xfId="0" applyFont="1" applyFill="1" applyBorder="1" applyAlignment="1">
      <alignment horizontal="center" vertical="center" shrinkToFit="1"/>
    </xf>
    <xf numFmtId="0" fontId="0" fillId="0" borderId="51" xfId="0" applyBorder="1" applyAlignment="1">
      <alignment horizontal="center" vertical="center" shrinkToFit="1"/>
    </xf>
    <xf numFmtId="0" fontId="5" fillId="0" borderId="88" xfId="0" applyFont="1" applyBorder="1" applyAlignment="1">
      <alignment vertical="top" wrapText="1"/>
    </xf>
    <xf numFmtId="0" fontId="5" fillId="0" borderId="89" xfId="0" applyFont="1" applyBorder="1" applyAlignment="1">
      <alignment vertical="top" wrapText="1"/>
    </xf>
    <xf numFmtId="0" fontId="5" fillId="0" borderId="96" xfId="0" applyFont="1" applyBorder="1" applyAlignment="1">
      <alignment vertical="top" wrapText="1"/>
    </xf>
    <xf numFmtId="0" fontId="5" fillId="0" borderId="26" xfId="0" applyFont="1" applyBorder="1" applyAlignment="1">
      <alignment vertical="top" wrapText="1"/>
    </xf>
    <xf numFmtId="0" fontId="5" fillId="0" borderId="22" xfId="0" applyFont="1" applyBorder="1" applyAlignment="1">
      <alignment horizontal="right" vertical="center" shrinkToFit="1"/>
    </xf>
    <xf numFmtId="0" fontId="0" fillId="0" borderId="22" xfId="0" applyBorder="1"/>
    <xf numFmtId="0" fontId="5" fillId="0" borderId="97" xfId="0" applyFont="1" applyBorder="1" applyAlignment="1">
      <alignment horizontal="right" vertical="center" shrinkToFit="1"/>
    </xf>
    <xf numFmtId="0" fontId="5" fillId="0" borderId="98" xfId="0" applyFont="1" applyBorder="1" applyAlignment="1">
      <alignment horizontal="right" vertical="center" shrinkToFit="1"/>
    </xf>
    <xf numFmtId="0" fontId="5" fillId="0" borderId="4" xfId="0" applyFont="1" applyBorder="1" applyAlignment="1">
      <alignment horizontal="right" vertical="center" shrinkToFit="1"/>
    </xf>
    <xf numFmtId="0" fontId="5" fillId="0" borderId="99" xfId="0" applyFont="1" applyBorder="1" applyAlignment="1">
      <alignment horizontal="right" vertical="center" shrinkToFit="1"/>
    </xf>
    <xf numFmtId="0" fontId="5" fillId="0" borderId="39" xfId="0" applyFont="1" applyBorder="1" applyAlignment="1">
      <alignment vertical="center" shrinkToFit="1"/>
    </xf>
    <xf numFmtId="0" fontId="5" fillId="0" borderId="1" xfId="0" applyFont="1" applyBorder="1" applyAlignment="1">
      <alignment vertical="center" shrinkToFit="1"/>
    </xf>
    <xf numFmtId="0" fontId="0" fillId="0" borderId="40" xfId="0" applyBorder="1" applyAlignment="1">
      <alignment vertical="center" shrinkToFit="1"/>
    </xf>
    <xf numFmtId="0" fontId="0" fillId="0" borderId="4" xfId="0" applyBorder="1" applyAlignment="1">
      <alignment vertical="center" shrinkToFit="1"/>
    </xf>
    <xf numFmtId="0" fontId="0" fillId="0" borderId="27" xfId="0" applyBorder="1" applyAlignment="1">
      <alignment vertical="center" shrinkToFit="1"/>
    </xf>
    <xf numFmtId="180" fontId="5" fillId="0" borderId="33" xfId="0" applyNumberFormat="1" applyFont="1" applyBorder="1" applyAlignment="1" applyProtection="1">
      <alignment horizontal="right" vertical="center" shrinkToFit="1"/>
      <protection locked="0"/>
    </xf>
    <xf numFmtId="180" fontId="8" fillId="0" borderId="33" xfId="0" applyNumberFormat="1" applyFont="1" applyBorder="1" applyProtection="1">
      <protection locked="0"/>
    </xf>
    <xf numFmtId="49" fontId="5" fillId="30" borderId="32" xfId="0" applyNumberFormat="1" applyFont="1" applyFill="1" applyBorder="1" applyAlignment="1" applyProtection="1">
      <alignment horizontal="center" vertical="center" shrinkToFit="1"/>
      <protection locked="0"/>
    </xf>
    <xf numFmtId="0" fontId="5" fillId="0" borderId="65" xfId="0" applyFont="1" applyBorder="1" applyAlignment="1">
      <alignment horizontal="center" vertical="center" textRotation="255" wrapText="1" shrinkToFit="1"/>
    </xf>
    <xf numFmtId="0" fontId="5" fillId="0" borderId="32" xfId="0" applyFont="1" applyBorder="1" applyAlignment="1">
      <alignment horizontal="center" vertical="center" textRotation="255" wrapText="1" shrinkToFit="1"/>
    </xf>
    <xf numFmtId="0" fontId="5" fillId="0" borderId="55" xfId="0" applyFont="1" applyBorder="1" applyAlignment="1">
      <alignment horizontal="center" vertical="center" textRotation="255" wrapText="1" shrinkToFit="1"/>
    </xf>
    <xf numFmtId="0" fontId="5" fillId="0" borderId="5" xfId="0" applyFont="1" applyBorder="1" applyAlignment="1">
      <alignment horizontal="center" vertical="center" textRotation="255" wrapText="1" shrinkToFit="1"/>
    </xf>
    <xf numFmtId="0" fontId="5" fillId="0" borderId="95" xfId="0" applyFont="1" applyBorder="1" applyAlignment="1">
      <alignment horizontal="center" vertical="center" textRotation="255" wrapText="1" shrinkToFit="1"/>
    </xf>
    <xf numFmtId="0" fontId="5" fillId="0" borderId="38" xfId="0" applyFont="1" applyBorder="1" applyAlignment="1">
      <alignment horizontal="center" vertical="center" textRotation="255" wrapText="1" shrinkToFit="1"/>
    </xf>
    <xf numFmtId="0" fontId="5" fillId="0" borderId="27" xfId="0" applyFont="1" applyBorder="1" applyAlignment="1">
      <alignment vertical="top" wrapText="1"/>
    </xf>
    <xf numFmtId="0" fontId="5" fillId="0" borderId="5" xfId="0" applyFont="1" applyBorder="1" applyAlignment="1">
      <alignment vertical="top" wrapText="1"/>
    </xf>
    <xf numFmtId="0" fontId="5" fillId="0" borderId="22" xfId="0" applyFont="1" applyBorder="1" applyAlignment="1" applyProtection="1">
      <alignment horizontal="left" vertical="center" shrinkToFit="1"/>
      <protection hidden="1"/>
    </xf>
    <xf numFmtId="0" fontId="0" fillId="0" borderId="22" xfId="0" applyBorder="1" applyAlignment="1">
      <alignment horizontal="left" vertical="center"/>
    </xf>
    <xf numFmtId="0" fontId="0" fillId="0" borderId="22" xfId="0" applyBorder="1" applyAlignment="1">
      <alignment vertical="center"/>
    </xf>
    <xf numFmtId="179" fontId="18" fillId="0" borderId="87" xfId="0" applyNumberFormat="1" applyFont="1" applyBorder="1" applyAlignment="1">
      <alignment horizontal="center" vertical="center" wrapText="1"/>
    </xf>
    <xf numFmtId="179" fontId="18" fillId="0" borderId="42" xfId="0" applyNumberFormat="1" applyFont="1" applyBorder="1" applyAlignment="1">
      <alignment horizontal="center" vertical="center" wrapText="1"/>
    </xf>
    <xf numFmtId="179" fontId="18" fillId="0" borderId="18" xfId="0" applyNumberFormat="1" applyFont="1" applyBorder="1" applyAlignment="1">
      <alignment horizontal="center" vertical="center" wrapText="1"/>
    </xf>
    <xf numFmtId="179" fontId="18" fillId="0" borderId="93" xfId="0" applyNumberFormat="1" applyFont="1" applyBorder="1" applyAlignment="1">
      <alignment horizontal="center" vertical="center" wrapText="1"/>
    </xf>
    <xf numFmtId="179" fontId="18" fillId="0" borderId="100" xfId="0" applyNumberFormat="1" applyFont="1" applyBorder="1" applyAlignment="1">
      <alignment horizontal="center" vertical="center" wrapText="1"/>
    </xf>
    <xf numFmtId="179" fontId="18" fillId="0" borderId="101" xfId="0" applyNumberFormat="1" applyFont="1" applyBorder="1" applyAlignment="1">
      <alignment horizontal="center" vertical="center" wrapText="1"/>
    </xf>
    <xf numFmtId="182" fontId="19" fillId="0" borderId="19" xfId="0" applyNumberFormat="1" applyFont="1" applyBorder="1" applyAlignment="1">
      <alignment horizontal="center" vertical="center"/>
    </xf>
    <xf numFmtId="182" fontId="19" fillId="0" borderId="27" xfId="0" applyNumberFormat="1" applyFont="1" applyBorder="1" applyAlignment="1">
      <alignment horizontal="center" vertical="center"/>
    </xf>
    <xf numFmtId="0" fontId="9" fillId="0" borderId="0" xfId="0" applyFont="1" applyAlignment="1">
      <alignment horizontal="right" vertical="center" wrapText="1"/>
    </xf>
    <xf numFmtId="0" fontId="0" fillId="0" borderId="30" xfId="0" applyBorder="1" applyAlignment="1">
      <alignment vertical="center" wrapText="1"/>
    </xf>
    <xf numFmtId="0" fontId="0" fillId="0" borderId="0" xfId="0" applyAlignment="1">
      <alignment vertical="center" wrapText="1"/>
    </xf>
    <xf numFmtId="0" fontId="9" fillId="0" borderId="96" xfId="0" applyFont="1" applyBorder="1" applyAlignment="1" applyProtection="1">
      <alignment vertical="center" shrinkToFit="1"/>
      <protection hidden="1"/>
    </xf>
    <xf numFmtId="0" fontId="10" fillId="0" borderId="4" xfId="0" applyFont="1" applyBorder="1" applyAlignment="1">
      <alignment wrapText="1"/>
    </xf>
    <xf numFmtId="0" fontId="10" fillId="0" borderId="4" xfId="0" applyFont="1" applyBorder="1"/>
    <xf numFmtId="0" fontId="9" fillId="0" borderId="0" xfId="0" applyFont="1" applyAlignment="1">
      <alignment horizontal="right" vertical="center"/>
    </xf>
    <xf numFmtId="0" fontId="0" fillId="0" borderId="0" xfId="0" applyAlignment="1">
      <alignment vertical="center"/>
    </xf>
    <xf numFmtId="49" fontId="0" fillId="23" borderId="96" xfId="0" applyNumberFormat="1" applyFill="1" applyBorder="1" applyAlignment="1">
      <alignment vertical="center"/>
    </xf>
    <xf numFmtId="178" fontId="0" fillId="23" borderId="19" xfId="0" applyNumberFormat="1" applyFill="1" applyBorder="1" applyAlignment="1">
      <alignment horizontal="center" vertical="center"/>
    </xf>
    <xf numFmtId="178" fontId="0" fillId="23" borderId="27" xfId="0" applyNumberFormat="1" applyFill="1" applyBorder="1" applyAlignment="1">
      <alignment horizontal="center" vertical="center"/>
    </xf>
    <xf numFmtId="0" fontId="11" fillId="0" borderId="0" xfId="0" applyFont="1" applyAlignment="1">
      <alignment horizontal="center" vertical="center"/>
    </xf>
    <xf numFmtId="0" fontId="12" fillId="0" borderId="0" xfId="0" applyFont="1"/>
    <xf numFmtId="49" fontId="1" fillId="23" borderId="4" xfId="0" applyNumberFormat="1" applyFont="1" applyFill="1" applyBorder="1"/>
    <xf numFmtId="14" fontId="0" fillId="0" borderId="108" xfId="0" applyNumberFormat="1" applyBorder="1" applyAlignment="1">
      <alignment horizontal="center" vertical="center"/>
    </xf>
    <xf numFmtId="14" fontId="0" fillId="0" borderId="42" xfId="0" applyNumberFormat="1" applyBorder="1" applyAlignment="1">
      <alignment horizontal="center" vertical="center"/>
    </xf>
    <xf numFmtId="14" fontId="0" fillId="0" borderId="40" xfId="0" applyNumberFormat="1" applyBorder="1" applyAlignment="1">
      <alignment vertical="center"/>
    </xf>
    <xf numFmtId="14" fontId="0" fillId="0" borderId="36" xfId="0" applyNumberFormat="1" applyBorder="1" applyAlignment="1">
      <alignment vertical="center"/>
    </xf>
    <xf numFmtId="176" fontId="0" fillId="23" borderId="19" xfId="0" applyNumberFormat="1" applyFill="1" applyBorder="1" applyAlignment="1">
      <alignment horizontal="center" vertical="center"/>
    </xf>
    <xf numFmtId="176" fontId="0" fillId="23" borderId="27" xfId="0" applyNumberFormat="1" applyFill="1" applyBorder="1" applyAlignment="1">
      <alignment horizontal="center" vertical="center"/>
    </xf>
    <xf numFmtId="0" fontId="0" fillId="0" borderId="0" xfId="0" applyAlignment="1">
      <alignment horizontal="right"/>
    </xf>
    <xf numFmtId="0" fontId="9" fillId="0" borderId="107" xfId="0" applyFont="1" applyBorder="1" applyAlignment="1">
      <alignment horizontal="center" vertical="center"/>
    </xf>
    <xf numFmtId="0" fontId="9" fillId="0" borderId="24" xfId="0" applyFont="1" applyBorder="1" applyAlignment="1">
      <alignment horizontal="center" vertical="center"/>
    </xf>
    <xf numFmtId="49" fontId="0" fillId="23" borderId="4" xfId="0" applyNumberFormat="1" applyFill="1" applyBorder="1"/>
    <xf numFmtId="0" fontId="13" fillId="0" borderId="91" xfId="0" applyFont="1" applyBorder="1" applyAlignment="1">
      <alignment wrapText="1"/>
    </xf>
    <xf numFmtId="0" fontId="13" fillId="0" borderId="91" xfId="0" applyFont="1" applyBorder="1"/>
    <xf numFmtId="0" fontId="9" fillId="18" borderId="0" xfId="272" applyFont="1" applyFill="1" applyAlignment="1">
      <alignment horizontal="center" vertical="top"/>
    </xf>
    <xf numFmtId="14" fontId="9" fillId="18" borderId="0" xfId="272" applyNumberFormat="1" applyFont="1" applyFill="1" applyAlignment="1">
      <alignment horizontal="center" vertical="top" shrinkToFit="1"/>
    </xf>
    <xf numFmtId="0" fontId="9" fillId="0" borderId="0" xfId="272" applyFont="1" applyAlignment="1">
      <alignment horizontal="right" vertical="top"/>
    </xf>
    <xf numFmtId="0" fontId="99" fillId="0" borderId="0" xfId="272" applyFont="1" applyAlignment="1">
      <alignment horizontal="center" vertical="top"/>
    </xf>
  </cellXfs>
  <cellStyles count="280">
    <cellStyle name="_x000c_ーセン_x000c_" xfId="1" xr:uid="{00000000-0005-0000-0000-000000000000}"/>
    <cellStyle name="_C66E-1-0004_カスタマイズ仕様書（0表紙）" xfId="2" xr:uid="{00000000-0005-0000-0000-000001000000}"/>
    <cellStyle name="_C66E-1-0004_カスタマイズ仕様書（0表紙）_(sample)画面説明書（詳細）_HEP1050_リベート約定登録" xfId="3" xr:uid="{00000000-0005-0000-0000-000002000000}"/>
    <cellStyle name="_C66E-1-0004_カスタマイズ仕様書（0表紙）_(sample)画面説明書（詳細）_HEP1050_リベート約定登録_コピー画面説明書（詳細）_CFP0010_支払予定登録.xls-revHEAD.svn004.tmp" xfId="4" xr:uid="{00000000-0005-0000-0000-000003000000}"/>
    <cellStyle name="_C66E-1-0004_カスタマイズ仕様書（0表紙）_(sample)画面説明書（詳細）_HEP1050_リベート約定登録_画面説明書（詳細）_【機能ID】_【機能名】" xfId="5" xr:uid="{00000000-0005-0000-0000-000004000000}"/>
    <cellStyle name="_C66E-1-0004_カスタマイズ仕様書（0表紙）_(sample)画面説明書（詳細）_HEP1050_リベート約定登録_画面説明書（詳細）_CFP0010_支払予定登録" xfId="6" xr:uid="{00000000-0005-0000-0000-000005000000}"/>
    <cellStyle name="_C66E-1-0004_カスタマイズ仕様書（0表紙）_(sample)画面説明書（詳細）_HEP1050_リベート約定登録v2" xfId="7" xr:uid="{00000000-0005-0000-0000-000006000000}"/>
    <cellStyle name="_C66E-1-0004_カスタマイズ仕様書（0表紙）_(sample)画面説明書（詳細）_HEP1050_リベート約定登録v2_コピー画面説明書（詳細）_CFP0010_支払予定登録.xls-revHEAD.svn004.tmp" xfId="8" xr:uid="{00000000-0005-0000-0000-000007000000}"/>
    <cellStyle name="_C66E-1-0004_カスタマイズ仕様書（0表紙）_(sample)画面説明書（詳細）_HEP1050_リベート約定登録v2_画面説明書（詳細）_【機能ID】_【機能名】" xfId="9" xr:uid="{00000000-0005-0000-0000-000008000000}"/>
    <cellStyle name="_C66E-1-0004_カスタマイズ仕様書（0表紙）_(sample)画面説明書（詳細）_HEP1050_リベート約定登録v2_画面説明書（詳細）_CFP0010_支払予定登録" xfId="10" xr:uid="{00000000-0005-0000-0000-000009000000}"/>
    <cellStyle name="_C66E-1-0004_カスタマイズ仕様書（0表紙）_コ画面説明書（詳細）_CMP4201_補足情報マスタ登録" xfId="11" xr:uid="{00000000-0005-0000-0000-00000A000000}"/>
    <cellStyle name="_C66E-1-0004_カスタマイズ仕様書（0表紙）_コ画面説明書（詳細）_CMP4201_補足情報マスタ登録_コピー画面説明書（詳細）_CFP0010_支払予定登録.xls-revHEAD.svn004.tmp" xfId="12" xr:uid="{00000000-0005-0000-0000-00000B000000}"/>
    <cellStyle name="_C66E-1-0004_カスタマイズ仕様書（0表紙）_コ画面説明書（詳細）_CMP4201_補足情報マスタ登録_画面説明書（詳細）_【機能ID】_【機能名】" xfId="13" xr:uid="{00000000-0005-0000-0000-00000C000000}"/>
    <cellStyle name="_C66E-1-0004_カスタマイズ仕様書（0表紙）_コ画面説明書（詳細）_CMP4201_補足情報マスタ登録_画面説明書（詳細）_CFP0010_支払予定登録" xfId="14" xr:uid="{00000000-0005-0000-0000-00000D000000}"/>
    <cellStyle name="_C66E-1-0004_カスタマイズ仕様書（0表紙）_画面説明書（詳細）_HAP0010_月次出荷計画登録" xfId="15" xr:uid="{00000000-0005-0000-0000-00000E000000}"/>
    <cellStyle name="_C66E-1-0004_カスタマイズ仕様書（0表紙）_画面説明書（詳細）_HAP0010_月次出荷計画登録_コピー画面説明書（詳細）_CFP0010_支払予定登録.xls-revHEAD.svn004.tmp" xfId="16" xr:uid="{00000000-0005-0000-0000-00000F000000}"/>
    <cellStyle name="_C66E-1-0004_カスタマイズ仕様書（0表紙）_画面説明書（詳細）_HAP0010_月次出荷計画登録_画面説明書（詳細）_【機能ID】_【機能名】" xfId="17" xr:uid="{00000000-0005-0000-0000-000010000000}"/>
    <cellStyle name="_C66E-1-0004_カスタマイズ仕様書（0表紙）_画面説明書（詳細）_HAP0010_月次出荷計画登録_画面説明書（詳細）_CFP0010_支払予定登録" xfId="18" xr:uid="{00000000-0005-0000-0000-000011000000}"/>
    <cellStyle name="=C:\WINNT\SYSTEM32\COMMAND.COM" xfId="19" xr:uid="{00000000-0005-0000-0000-000012000000}"/>
    <cellStyle name="W_p2" xfId="20" xr:uid="{00000000-0005-0000-0000-000013000000}"/>
    <cellStyle name="0301" xfId="21" xr:uid="{00000000-0005-0000-0000-000014000000}"/>
    <cellStyle name="0_x0014_標準_F_02?P_Dd080301" xfId="22" xr:uid="{00000000-0005-0000-0000-000015000000}"/>
    <cellStyle name="20% - アクセント 1 2" xfId="23" xr:uid="{00000000-0005-0000-0000-000016000000}"/>
    <cellStyle name="20% - アクセント 1 3" xfId="24" xr:uid="{00000000-0005-0000-0000-000017000000}"/>
    <cellStyle name="20% - アクセント 1 4" xfId="25" xr:uid="{00000000-0005-0000-0000-000018000000}"/>
    <cellStyle name="20% - アクセント 2 2" xfId="26" xr:uid="{00000000-0005-0000-0000-000019000000}"/>
    <cellStyle name="20% - アクセント 2 3" xfId="27" xr:uid="{00000000-0005-0000-0000-00001A000000}"/>
    <cellStyle name="20% - アクセント 2 4" xfId="28" xr:uid="{00000000-0005-0000-0000-00001B000000}"/>
    <cellStyle name="20% - アクセント 3 2" xfId="29" xr:uid="{00000000-0005-0000-0000-00001C000000}"/>
    <cellStyle name="20% - アクセント 3 3" xfId="30" xr:uid="{00000000-0005-0000-0000-00001D000000}"/>
    <cellStyle name="20% - アクセント 3 4" xfId="31" xr:uid="{00000000-0005-0000-0000-00001E000000}"/>
    <cellStyle name="20% - アクセント 4 2" xfId="32" xr:uid="{00000000-0005-0000-0000-00001F000000}"/>
    <cellStyle name="20% - アクセント 4 3" xfId="33" xr:uid="{00000000-0005-0000-0000-000020000000}"/>
    <cellStyle name="20% - アクセント 4 4" xfId="34" xr:uid="{00000000-0005-0000-0000-000021000000}"/>
    <cellStyle name="20% - アクセント 5 2" xfId="35" xr:uid="{00000000-0005-0000-0000-000022000000}"/>
    <cellStyle name="20% - アクセント 5 3" xfId="36" xr:uid="{00000000-0005-0000-0000-000023000000}"/>
    <cellStyle name="20% - アクセント 5 4" xfId="37" xr:uid="{00000000-0005-0000-0000-000024000000}"/>
    <cellStyle name="20% - アクセント 6 2" xfId="38" xr:uid="{00000000-0005-0000-0000-000025000000}"/>
    <cellStyle name="20% - アクセント 6 3" xfId="39" xr:uid="{00000000-0005-0000-0000-000026000000}"/>
    <cellStyle name="20% - アクセント 6 4" xfId="40" xr:uid="{00000000-0005-0000-0000-000027000000}"/>
    <cellStyle name="40% - アクセント 1 2" xfId="41" xr:uid="{00000000-0005-0000-0000-000028000000}"/>
    <cellStyle name="40% - アクセント 1 3" xfId="42" xr:uid="{00000000-0005-0000-0000-000029000000}"/>
    <cellStyle name="40% - アクセント 1 4" xfId="43" xr:uid="{00000000-0005-0000-0000-00002A000000}"/>
    <cellStyle name="40% - アクセント 2 2" xfId="44" xr:uid="{00000000-0005-0000-0000-00002B000000}"/>
    <cellStyle name="40% - アクセント 2 3" xfId="45" xr:uid="{00000000-0005-0000-0000-00002C000000}"/>
    <cellStyle name="40% - アクセント 2 4" xfId="46" xr:uid="{00000000-0005-0000-0000-00002D000000}"/>
    <cellStyle name="40% - アクセント 3 2" xfId="47" xr:uid="{00000000-0005-0000-0000-00002E000000}"/>
    <cellStyle name="40% - アクセント 3 3" xfId="48" xr:uid="{00000000-0005-0000-0000-00002F000000}"/>
    <cellStyle name="40% - アクセント 3 4" xfId="49" xr:uid="{00000000-0005-0000-0000-000030000000}"/>
    <cellStyle name="40% - アクセント 4 2" xfId="50" xr:uid="{00000000-0005-0000-0000-000031000000}"/>
    <cellStyle name="40% - アクセント 4 3" xfId="51" xr:uid="{00000000-0005-0000-0000-000032000000}"/>
    <cellStyle name="40% - アクセント 4 4" xfId="52" xr:uid="{00000000-0005-0000-0000-000033000000}"/>
    <cellStyle name="40% - アクセント 5 2" xfId="53" xr:uid="{00000000-0005-0000-0000-000034000000}"/>
    <cellStyle name="40% - アクセント 5 3" xfId="54" xr:uid="{00000000-0005-0000-0000-000035000000}"/>
    <cellStyle name="40% - アクセント 5 4" xfId="55" xr:uid="{00000000-0005-0000-0000-000036000000}"/>
    <cellStyle name="40% - アクセント 6 2" xfId="56" xr:uid="{00000000-0005-0000-0000-000037000000}"/>
    <cellStyle name="40% - アクセント 6 3" xfId="57" xr:uid="{00000000-0005-0000-0000-000038000000}"/>
    <cellStyle name="40% - アクセント 6 4" xfId="58" xr:uid="{00000000-0005-0000-0000-000039000000}"/>
    <cellStyle name="60% - アクセント 1 2" xfId="59" xr:uid="{00000000-0005-0000-0000-00003A000000}"/>
    <cellStyle name="60% - アクセント 1 3" xfId="60" xr:uid="{00000000-0005-0000-0000-00003B000000}"/>
    <cellStyle name="60% - アクセント 1 4" xfId="61" xr:uid="{00000000-0005-0000-0000-00003C000000}"/>
    <cellStyle name="60% - アクセント 2 2" xfId="62" xr:uid="{00000000-0005-0000-0000-00003D000000}"/>
    <cellStyle name="60% - アクセント 2 3" xfId="63" xr:uid="{00000000-0005-0000-0000-00003E000000}"/>
    <cellStyle name="60% - アクセント 2 4" xfId="64" xr:uid="{00000000-0005-0000-0000-00003F000000}"/>
    <cellStyle name="60% - アクセント 3 2" xfId="65" xr:uid="{00000000-0005-0000-0000-000040000000}"/>
    <cellStyle name="60% - アクセント 3 3" xfId="66" xr:uid="{00000000-0005-0000-0000-000041000000}"/>
    <cellStyle name="60% - アクセント 3 4" xfId="67" xr:uid="{00000000-0005-0000-0000-000042000000}"/>
    <cellStyle name="60% - アクセント 4 2" xfId="68" xr:uid="{00000000-0005-0000-0000-000043000000}"/>
    <cellStyle name="60% - アクセント 4 3" xfId="69" xr:uid="{00000000-0005-0000-0000-000044000000}"/>
    <cellStyle name="60% - アクセント 4 4" xfId="70" xr:uid="{00000000-0005-0000-0000-000045000000}"/>
    <cellStyle name="60% - アクセント 5 2" xfId="71" xr:uid="{00000000-0005-0000-0000-000046000000}"/>
    <cellStyle name="60% - アクセント 5 3" xfId="72" xr:uid="{00000000-0005-0000-0000-000047000000}"/>
    <cellStyle name="60% - アクセント 5 4" xfId="73" xr:uid="{00000000-0005-0000-0000-000048000000}"/>
    <cellStyle name="60% - アクセント 6 2" xfId="74" xr:uid="{00000000-0005-0000-0000-000049000000}"/>
    <cellStyle name="60% - アクセント 6 3" xfId="75" xr:uid="{00000000-0005-0000-0000-00004A000000}"/>
    <cellStyle name="60% - アクセント 6 4" xfId="76" xr:uid="{00000000-0005-0000-0000-00004B000000}"/>
    <cellStyle name="args.style" xfId="77" xr:uid="{00000000-0005-0000-0000-00004C000000}"/>
    <cellStyle name="Calc Currency (0)" xfId="78" xr:uid="{00000000-0005-0000-0000-00004D000000}"/>
    <cellStyle name="Calc Currency (2)" xfId="79" xr:uid="{00000000-0005-0000-0000-00004E000000}"/>
    <cellStyle name="Calc Percent (0)" xfId="80" xr:uid="{00000000-0005-0000-0000-00004F000000}"/>
    <cellStyle name="Calc Percent (1)" xfId="81" xr:uid="{00000000-0005-0000-0000-000050000000}"/>
    <cellStyle name="Calc Percent (2)" xfId="82" xr:uid="{00000000-0005-0000-0000-000051000000}"/>
    <cellStyle name="Calc Units (0)" xfId="83" xr:uid="{00000000-0005-0000-0000-000052000000}"/>
    <cellStyle name="Calc Units (1)" xfId="84" xr:uid="{00000000-0005-0000-0000-000053000000}"/>
    <cellStyle name="Calc Units (2)" xfId="85" xr:uid="{00000000-0005-0000-0000-000054000000}"/>
    <cellStyle name="Comma [0]_ SG&amp;A Bridge " xfId="86" xr:uid="{00000000-0005-0000-0000-000055000000}"/>
    <cellStyle name="Comma [00]" xfId="87" xr:uid="{00000000-0005-0000-0000-000056000000}"/>
    <cellStyle name="Comma_ SG&amp;A Bridge " xfId="88" xr:uid="{00000000-0005-0000-0000-000057000000}"/>
    <cellStyle name="COMP定番表書式" xfId="89" xr:uid="{00000000-0005-0000-0000-000058000000}"/>
    <cellStyle name="Copied" xfId="90" xr:uid="{00000000-0005-0000-0000-000059000000}"/>
    <cellStyle name="Currency [0]_ SG&amp;A Bridge " xfId="91" xr:uid="{00000000-0005-0000-0000-00005A000000}"/>
    <cellStyle name="Currency [00]" xfId="92" xr:uid="{00000000-0005-0000-0000-00005B000000}"/>
    <cellStyle name="Currency_ SG&amp;A Bridge " xfId="93" xr:uid="{00000000-0005-0000-0000-00005C000000}"/>
    <cellStyle name="dak" xfId="94" xr:uid="{00000000-0005-0000-0000-00005D000000}"/>
    <cellStyle name="Date Short" xfId="95" xr:uid="{00000000-0005-0000-0000-00005E000000}"/>
    <cellStyle name="Enter Currency (0)" xfId="96" xr:uid="{00000000-0005-0000-0000-00005F000000}"/>
    <cellStyle name="Enter Currency (2)" xfId="97" xr:uid="{00000000-0005-0000-0000-000060000000}"/>
    <cellStyle name="Enter Units (0)" xfId="98" xr:uid="{00000000-0005-0000-0000-000061000000}"/>
    <cellStyle name="Enter Units (1)" xfId="99" xr:uid="{00000000-0005-0000-0000-000062000000}"/>
    <cellStyle name="Enter Units (2)" xfId="100" xr:uid="{00000000-0005-0000-0000-000063000000}"/>
    <cellStyle name="Entered" xfId="101" xr:uid="{00000000-0005-0000-0000-000064000000}"/>
    <cellStyle name="entry" xfId="102" xr:uid="{00000000-0005-0000-0000-000065000000}"/>
    <cellStyle name="Followed Hyperlink" xfId="103" xr:uid="{00000000-0005-0000-0000-000066000000}"/>
    <cellStyle name="Grey" xfId="104" xr:uid="{00000000-0005-0000-0000-000067000000}"/>
    <cellStyle name="Header1" xfId="105" xr:uid="{00000000-0005-0000-0000-000068000000}"/>
    <cellStyle name="Header2" xfId="106" xr:uid="{00000000-0005-0000-0000-000069000000}"/>
    <cellStyle name="HEADINGS" xfId="107" xr:uid="{00000000-0005-0000-0000-00006A000000}"/>
    <cellStyle name="HEADINGSTOP" xfId="108" xr:uid="{00000000-0005-0000-0000-00006B000000}"/>
    <cellStyle name="Hyperlink" xfId="109" xr:uid="{00000000-0005-0000-0000-00006C000000}"/>
    <cellStyle name="Input [yellow]" xfId="110" xr:uid="{00000000-0005-0000-0000-00006D000000}"/>
    <cellStyle name="Link Currency (0)" xfId="111" xr:uid="{00000000-0005-0000-0000-00006E000000}"/>
    <cellStyle name="Link Currency (2)" xfId="112" xr:uid="{00000000-0005-0000-0000-00006F000000}"/>
    <cellStyle name="Link Units (0)" xfId="113" xr:uid="{00000000-0005-0000-0000-000070000000}"/>
    <cellStyle name="Link Units (1)" xfId="114" xr:uid="{00000000-0005-0000-0000-000071000000}"/>
    <cellStyle name="Link Units (2)" xfId="115" xr:uid="{00000000-0005-0000-0000-000072000000}"/>
    <cellStyle name="Millares [0]_BRASIL (2)" xfId="116" xr:uid="{00000000-0005-0000-0000-000073000000}"/>
    <cellStyle name="Millares_5670-t123" xfId="117" xr:uid="{00000000-0005-0000-0000-000074000000}"/>
    <cellStyle name="Milliers [0]_!!!GO" xfId="118" xr:uid="{00000000-0005-0000-0000-000075000000}"/>
    <cellStyle name="Milliers_!!!GO" xfId="119" xr:uid="{00000000-0005-0000-0000-000076000000}"/>
    <cellStyle name="Moneda [0]_BRASIL (2)" xfId="120" xr:uid="{00000000-0005-0000-0000-000077000000}"/>
    <cellStyle name="Moneda_5670-t123" xfId="121" xr:uid="{00000000-0005-0000-0000-000078000000}"/>
    <cellStyle name="Mon騁aire [0]_!!!GO" xfId="122" xr:uid="{00000000-0005-0000-0000-000079000000}"/>
    <cellStyle name="Mon騁aire_!!!GO" xfId="123" xr:uid="{00000000-0005-0000-0000-00007A000000}"/>
    <cellStyle name="new" xfId="124" xr:uid="{00000000-0005-0000-0000-00007B000000}"/>
    <cellStyle name="Normal - Style1" xfId="125" xr:uid="{00000000-0005-0000-0000-00007C000000}"/>
    <cellStyle name="Normal_ SG&amp;A Bridge " xfId="126" xr:uid="{00000000-0005-0000-0000-00007D000000}"/>
    <cellStyle name="Normale_LSCO0697" xfId="127" xr:uid="{00000000-0005-0000-0000-00007E000000}"/>
    <cellStyle name="per.style" xfId="128" xr:uid="{00000000-0005-0000-0000-00007F000000}"/>
    <cellStyle name="Percent [0]" xfId="129" xr:uid="{00000000-0005-0000-0000-000080000000}"/>
    <cellStyle name="Percent [00]" xfId="130" xr:uid="{00000000-0005-0000-0000-000081000000}"/>
    <cellStyle name="Percent [2]" xfId="131" xr:uid="{00000000-0005-0000-0000-000082000000}"/>
    <cellStyle name="Percent_#6 Temps &amp; Contractors" xfId="132" xr:uid="{00000000-0005-0000-0000-000083000000}"/>
    <cellStyle name="PrePop Currency (0)" xfId="133" xr:uid="{00000000-0005-0000-0000-000084000000}"/>
    <cellStyle name="PrePop Currency (2)" xfId="134" xr:uid="{00000000-0005-0000-0000-000085000000}"/>
    <cellStyle name="PrePop Units (0)" xfId="135" xr:uid="{00000000-0005-0000-0000-000086000000}"/>
    <cellStyle name="PrePop Units (1)" xfId="136" xr:uid="{00000000-0005-0000-0000-000087000000}"/>
    <cellStyle name="PrePop Units (2)" xfId="137" xr:uid="{00000000-0005-0000-0000-000088000000}"/>
    <cellStyle name="price" xfId="138" xr:uid="{00000000-0005-0000-0000-000089000000}"/>
    <cellStyle name="pricing" xfId="139" xr:uid="{00000000-0005-0000-0000-00008A000000}"/>
    <cellStyle name="PSChar" xfId="140" xr:uid="{00000000-0005-0000-0000-00008B000000}"/>
    <cellStyle name="PSDate" xfId="141" xr:uid="{00000000-0005-0000-0000-00008C000000}"/>
    <cellStyle name="PSDec" xfId="142" xr:uid="{00000000-0005-0000-0000-00008D000000}"/>
    <cellStyle name="PSHeading" xfId="143" xr:uid="{00000000-0005-0000-0000-00008E000000}"/>
    <cellStyle name="PSInt" xfId="144" xr:uid="{00000000-0005-0000-0000-00008F000000}"/>
    <cellStyle name="PSSpacer" xfId="145" xr:uid="{00000000-0005-0000-0000-000090000000}"/>
    <cellStyle name="regstoresfromspecstores" xfId="146" xr:uid="{00000000-0005-0000-0000-000091000000}"/>
    <cellStyle name="revised" xfId="147" xr:uid="{00000000-0005-0000-0000-000092000000}"/>
    <cellStyle name="RevList" xfId="148" xr:uid="{00000000-0005-0000-0000-000093000000}"/>
    <cellStyle name="SAPBEXaggData" xfId="149" xr:uid="{00000000-0005-0000-0000-000094000000}"/>
    <cellStyle name="SAPBEXaggDataEmph" xfId="150" xr:uid="{00000000-0005-0000-0000-000095000000}"/>
    <cellStyle name="SAPBEXaggItem" xfId="151" xr:uid="{00000000-0005-0000-0000-000096000000}"/>
    <cellStyle name="SAPBEXchaText" xfId="152" xr:uid="{00000000-0005-0000-0000-000097000000}"/>
    <cellStyle name="SAPBEXexcBad" xfId="153" xr:uid="{00000000-0005-0000-0000-000098000000}"/>
    <cellStyle name="SAPBEXexcCritical" xfId="154" xr:uid="{00000000-0005-0000-0000-000099000000}"/>
    <cellStyle name="SAPBEXexcGood" xfId="155" xr:uid="{00000000-0005-0000-0000-00009A000000}"/>
    <cellStyle name="SAPBEXexcVeryBad" xfId="156" xr:uid="{00000000-0005-0000-0000-00009B000000}"/>
    <cellStyle name="SAPBEXfilterDrill" xfId="157" xr:uid="{00000000-0005-0000-0000-00009C000000}"/>
    <cellStyle name="SAPBEXfilterItem" xfId="158" xr:uid="{00000000-0005-0000-0000-00009D000000}"/>
    <cellStyle name="SAPBEXfilterText" xfId="159" xr:uid="{00000000-0005-0000-0000-00009E000000}"/>
    <cellStyle name="SAPBEXformats" xfId="160" xr:uid="{00000000-0005-0000-0000-00009F000000}"/>
    <cellStyle name="SAPBEXheaderData" xfId="161" xr:uid="{00000000-0005-0000-0000-0000A0000000}"/>
    <cellStyle name="SAPBEXheaderItem" xfId="162" xr:uid="{00000000-0005-0000-0000-0000A1000000}"/>
    <cellStyle name="SAPBEXheaderText" xfId="163" xr:uid="{00000000-0005-0000-0000-0000A2000000}"/>
    <cellStyle name="SAPBEXresData" xfId="164" xr:uid="{00000000-0005-0000-0000-0000A3000000}"/>
    <cellStyle name="SAPBEXresDataEmph" xfId="165" xr:uid="{00000000-0005-0000-0000-0000A4000000}"/>
    <cellStyle name="SAPBEXresItem" xfId="166" xr:uid="{00000000-0005-0000-0000-0000A5000000}"/>
    <cellStyle name="SAPBEXstdData" xfId="167" xr:uid="{00000000-0005-0000-0000-0000A6000000}"/>
    <cellStyle name="SAPBEXstdDataEmph" xfId="168" xr:uid="{00000000-0005-0000-0000-0000A7000000}"/>
    <cellStyle name="SAPBEXstdItem" xfId="169" xr:uid="{00000000-0005-0000-0000-0000A8000000}"/>
    <cellStyle name="SAPBEXsubData" xfId="170" xr:uid="{00000000-0005-0000-0000-0000A9000000}"/>
    <cellStyle name="SAPBEXsubDataEmph" xfId="171" xr:uid="{00000000-0005-0000-0000-0000AA000000}"/>
    <cellStyle name="SAPBEXsubItem" xfId="172" xr:uid="{00000000-0005-0000-0000-0000AB000000}"/>
    <cellStyle name="SAPBEXtitle" xfId="173" xr:uid="{00000000-0005-0000-0000-0000AC000000}"/>
    <cellStyle name="SAPBEXundefined" xfId="174" xr:uid="{00000000-0005-0000-0000-0000AD000000}"/>
    <cellStyle name="section" xfId="175" xr:uid="{00000000-0005-0000-0000-0000AE000000}"/>
    <cellStyle name="SHADEDSTORES" xfId="176" xr:uid="{00000000-0005-0000-0000-0000AF000000}"/>
    <cellStyle name="specstores" xfId="177" xr:uid="{00000000-0005-0000-0000-0000B0000000}"/>
    <cellStyle name="SPOl" xfId="178" xr:uid="{00000000-0005-0000-0000-0000B1000000}"/>
    <cellStyle name="standard" xfId="179" xr:uid="{00000000-0005-0000-0000-0000B2000000}"/>
    <cellStyle name="subhead" xfId="180" xr:uid="{00000000-0005-0000-0000-0000B3000000}"/>
    <cellStyle name="Subtotal" xfId="181" xr:uid="{00000000-0005-0000-0000-0000B4000000}"/>
    <cellStyle name="Text Indent A" xfId="182" xr:uid="{00000000-0005-0000-0000-0000B5000000}"/>
    <cellStyle name="Text Indent B" xfId="183" xr:uid="{00000000-0005-0000-0000-0000B6000000}"/>
    <cellStyle name="Text Indent C" xfId="184" xr:uid="{00000000-0005-0000-0000-0000B7000000}"/>
    <cellStyle name="title" xfId="185" xr:uid="{00000000-0005-0000-0000-0000B8000000}"/>
    <cellStyle name="u" xfId="186" xr:uid="{00000000-0005-0000-0000-0000B9000000}"/>
    <cellStyle name="アクセント 1 2" xfId="187" xr:uid="{00000000-0005-0000-0000-0000BA000000}"/>
    <cellStyle name="アクセント 1 3" xfId="188" xr:uid="{00000000-0005-0000-0000-0000BB000000}"/>
    <cellStyle name="アクセント 1 4" xfId="189" xr:uid="{00000000-0005-0000-0000-0000BC000000}"/>
    <cellStyle name="アクセント 2 2" xfId="190" xr:uid="{00000000-0005-0000-0000-0000BD000000}"/>
    <cellStyle name="アクセント 2 3" xfId="191" xr:uid="{00000000-0005-0000-0000-0000BE000000}"/>
    <cellStyle name="アクセント 2 4" xfId="192" xr:uid="{00000000-0005-0000-0000-0000BF000000}"/>
    <cellStyle name="アクセント 3 2" xfId="193" xr:uid="{00000000-0005-0000-0000-0000C0000000}"/>
    <cellStyle name="アクセント 3 3" xfId="194" xr:uid="{00000000-0005-0000-0000-0000C1000000}"/>
    <cellStyle name="アクセント 3 4" xfId="195" xr:uid="{00000000-0005-0000-0000-0000C2000000}"/>
    <cellStyle name="アクセント 4 2" xfId="196" xr:uid="{00000000-0005-0000-0000-0000C3000000}"/>
    <cellStyle name="アクセント 4 3" xfId="197" xr:uid="{00000000-0005-0000-0000-0000C4000000}"/>
    <cellStyle name="アクセント 4 4" xfId="198" xr:uid="{00000000-0005-0000-0000-0000C5000000}"/>
    <cellStyle name="アクセント 5 2" xfId="199" xr:uid="{00000000-0005-0000-0000-0000C6000000}"/>
    <cellStyle name="アクセント 5 3" xfId="200" xr:uid="{00000000-0005-0000-0000-0000C7000000}"/>
    <cellStyle name="アクセント 5 4" xfId="201" xr:uid="{00000000-0005-0000-0000-0000C8000000}"/>
    <cellStyle name="アクセント 6 2" xfId="202" xr:uid="{00000000-0005-0000-0000-0000C9000000}"/>
    <cellStyle name="アクセント 6 3" xfId="203" xr:uid="{00000000-0005-0000-0000-0000CA000000}"/>
    <cellStyle name="アクセント 6 4" xfId="204" xr:uid="{00000000-0005-0000-0000-0000CB000000}"/>
    <cellStyle name="スタイル 1" xfId="205" xr:uid="{00000000-0005-0000-0000-0000CC000000}"/>
    <cellStyle name="センター" xfId="206" xr:uid="{00000000-0005-0000-0000-0000CD000000}"/>
    <cellStyle name="タイトル 2" xfId="207" xr:uid="{00000000-0005-0000-0000-0000CE000000}"/>
    <cellStyle name="タイトル 3" xfId="208" xr:uid="{00000000-0005-0000-0000-0000CF000000}"/>
    <cellStyle name="タイトル 4" xfId="209" xr:uid="{00000000-0005-0000-0000-0000D0000000}"/>
    <cellStyle name="チェック セル 2" xfId="210" xr:uid="{00000000-0005-0000-0000-0000D1000000}"/>
    <cellStyle name="チェック セル 3" xfId="211" xr:uid="{00000000-0005-0000-0000-0000D2000000}"/>
    <cellStyle name="チェック セル 4" xfId="212" xr:uid="{00000000-0005-0000-0000-0000D3000000}"/>
    <cellStyle name="どちらでもない 2" xfId="213" xr:uid="{00000000-0005-0000-0000-0000D4000000}"/>
    <cellStyle name="どちらでもない 3" xfId="214" xr:uid="{00000000-0005-0000-0000-0000D5000000}"/>
    <cellStyle name="どちらでもない 4" xfId="215" xr:uid="{00000000-0005-0000-0000-0000D6000000}"/>
    <cellStyle name="メモ 2" xfId="216" xr:uid="{00000000-0005-0000-0000-0000D7000000}"/>
    <cellStyle name="メモ 3" xfId="217" xr:uid="{00000000-0005-0000-0000-0000D8000000}"/>
    <cellStyle name="メモ 4" xfId="218" xr:uid="{00000000-0005-0000-0000-0000D9000000}"/>
    <cellStyle name="リンク セル 2" xfId="219" xr:uid="{00000000-0005-0000-0000-0000DA000000}"/>
    <cellStyle name="リンク セル 3" xfId="220" xr:uid="{00000000-0005-0000-0000-0000DB000000}"/>
    <cellStyle name="リンク セル 4" xfId="221" xr:uid="{00000000-0005-0000-0000-0000DC000000}"/>
    <cellStyle name="_x001d__x000c_K_x0014__x000d_&gt;V_x0001_&gt;_x0014_n_x001e__x0007__x0001__x0001_" xfId="222" xr:uid="{00000000-0005-0000-0000-0000DD000000}"/>
    <cellStyle name="悪い 2" xfId="223" xr:uid="{00000000-0005-0000-0000-0000DE000000}"/>
    <cellStyle name="悪い 3" xfId="224" xr:uid="{00000000-0005-0000-0000-0000DF000000}"/>
    <cellStyle name="悪い 4" xfId="225" xr:uid="{00000000-0005-0000-0000-0000E0000000}"/>
    <cellStyle name="価格桁区切り" xfId="226" xr:uid="{00000000-0005-0000-0000-0000E1000000}"/>
    <cellStyle name="型番" xfId="227" xr:uid="{00000000-0005-0000-0000-0000E2000000}"/>
    <cellStyle name="罫線" xfId="228" xr:uid="{00000000-0005-0000-0000-0000E3000000}"/>
    <cellStyle name="計算 2" xfId="229" xr:uid="{00000000-0005-0000-0000-0000E4000000}"/>
    <cellStyle name="計算 3" xfId="230" xr:uid="{00000000-0005-0000-0000-0000E5000000}"/>
    <cellStyle name="計算 4" xfId="231" xr:uid="{00000000-0005-0000-0000-0000E6000000}"/>
    <cellStyle name="警告文 2" xfId="232" xr:uid="{00000000-0005-0000-0000-0000E7000000}"/>
    <cellStyle name="警告文 3" xfId="233" xr:uid="{00000000-0005-0000-0000-0000E8000000}"/>
    <cellStyle name="警告文 4" xfId="234" xr:uid="{00000000-0005-0000-0000-0000E9000000}"/>
    <cellStyle name="桁蟻唇Ｆ [0.00]_laroux" xfId="235" xr:uid="{00000000-0005-0000-0000-0000EA000000}"/>
    <cellStyle name="桁蟻唇Ｆ_A°DAU±ATIsA" xfId="236" xr:uid="{00000000-0005-0000-0000-0000EB000000}"/>
    <cellStyle name="桁区切り [0.00]???瑳?倨???渭湯??:l search ; *.xla; *.xlt; *.xlm; *t match these search criteria:" xfId="237" xr:uid="{00000000-0005-0000-0000-0000EC000000}"/>
    <cellStyle name="見出し 1 2" xfId="238" xr:uid="{00000000-0005-0000-0000-0000ED000000}"/>
    <cellStyle name="見出し 1 3" xfId="239" xr:uid="{00000000-0005-0000-0000-0000EE000000}"/>
    <cellStyle name="見出し 1 4" xfId="240" xr:uid="{00000000-0005-0000-0000-0000EF000000}"/>
    <cellStyle name="見出し 2 2" xfId="241" xr:uid="{00000000-0005-0000-0000-0000F0000000}"/>
    <cellStyle name="見出し 2 3" xfId="242" xr:uid="{00000000-0005-0000-0000-0000F1000000}"/>
    <cellStyle name="見出し 2 4" xfId="243" xr:uid="{00000000-0005-0000-0000-0000F2000000}"/>
    <cellStyle name="見出し 3 2" xfId="244" xr:uid="{00000000-0005-0000-0000-0000F3000000}"/>
    <cellStyle name="見出し 3 3" xfId="245" xr:uid="{00000000-0005-0000-0000-0000F4000000}"/>
    <cellStyle name="見出し 3 4" xfId="246" xr:uid="{00000000-0005-0000-0000-0000F5000000}"/>
    <cellStyle name="見出し 4 2" xfId="247" xr:uid="{00000000-0005-0000-0000-0000F6000000}"/>
    <cellStyle name="見出し 4 3" xfId="248" xr:uid="{00000000-0005-0000-0000-0000F7000000}"/>
    <cellStyle name="見出し 4 4" xfId="249" xr:uid="{00000000-0005-0000-0000-0000F8000000}"/>
    <cellStyle name="作業ﾌﾛｰ" xfId="250" xr:uid="{00000000-0005-0000-0000-0000F9000000}"/>
    <cellStyle name="資料" xfId="251" xr:uid="{00000000-0005-0000-0000-0000FA000000}"/>
    <cellStyle name="資料２" xfId="252" xr:uid="{00000000-0005-0000-0000-0000FB000000}"/>
    <cellStyle name="集計 2" xfId="253" xr:uid="{00000000-0005-0000-0000-0000FC000000}"/>
    <cellStyle name="集計 3" xfId="254" xr:uid="{00000000-0005-0000-0000-0000FD000000}"/>
    <cellStyle name="集計 4" xfId="255" xr:uid="{00000000-0005-0000-0000-0000FE000000}"/>
    <cellStyle name="出力 2" xfId="256" xr:uid="{00000000-0005-0000-0000-0000FF000000}"/>
    <cellStyle name="出力 3" xfId="257" xr:uid="{00000000-0005-0000-0000-000000010000}"/>
    <cellStyle name="出力 4" xfId="258" xr:uid="{00000000-0005-0000-0000-000001010000}"/>
    <cellStyle name="説明文 2" xfId="259" xr:uid="{00000000-0005-0000-0000-000002010000}"/>
    <cellStyle name="説明文 3" xfId="260" xr:uid="{00000000-0005-0000-0000-000003010000}"/>
    <cellStyle name="説明文 4" xfId="261" xr:uid="{00000000-0005-0000-0000-000004010000}"/>
    <cellStyle name="入力 2" xfId="262" xr:uid="{00000000-0005-0000-0000-000005010000}"/>
    <cellStyle name="入力 3" xfId="263" xr:uid="{00000000-0005-0000-0000-000006010000}"/>
    <cellStyle name="入力 4" xfId="264" xr:uid="{00000000-0005-0000-0000-000007010000}"/>
    <cellStyle name="標準" xfId="0" builtinId="0"/>
    <cellStyle name="標準 2" xfId="265" xr:uid="{00000000-0005-0000-0000-000009010000}"/>
    <cellStyle name="標準 3" xfId="266" xr:uid="{00000000-0005-0000-0000-00000A010000}"/>
    <cellStyle name="標準 4" xfId="267" xr:uid="{00000000-0005-0000-0000-00000B010000}"/>
    <cellStyle name="標準 5" xfId="268" xr:uid="{00000000-0005-0000-0000-00000C010000}"/>
    <cellStyle name="標準 6" xfId="269" xr:uid="{00000000-0005-0000-0000-00000D010000}"/>
    <cellStyle name="標準 7" xfId="270" xr:uid="{00000000-0005-0000-0000-00000E010000}"/>
    <cellStyle name="標準 8" xfId="271" xr:uid="{00000000-0005-0000-0000-00000F010000}"/>
    <cellStyle name="標準_32_単体テスト要領書レビューチェックリスト" xfId="272" xr:uid="{00000000-0005-0000-0000-000010010000}"/>
    <cellStyle name="標準2" xfId="273" xr:uid="{00000000-0005-0000-0000-000011010000}"/>
    <cellStyle name="標準２" xfId="274" xr:uid="{00000000-0005-0000-0000-000012010000}"/>
    <cellStyle name="標準2_DAIICH" xfId="275" xr:uid="{00000000-0005-0000-0000-000013010000}"/>
    <cellStyle name="未定義" xfId="276" xr:uid="{00000000-0005-0000-0000-000014010000}"/>
    <cellStyle name="良い 2" xfId="277" xr:uid="{00000000-0005-0000-0000-000015010000}"/>
    <cellStyle name="良い 3" xfId="278" xr:uid="{00000000-0005-0000-0000-000016010000}"/>
    <cellStyle name="良い 4" xfId="279" xr:uid="{00000000-0005-0000-0000-00001701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13</xdr:col>
      <xdr:colOff>419100</xdr:colOff>
      <xdr:row>39</xdr:row>
      <xdr:rowOff>0</xdr:rowOff>
    </xdr:from>
    <xdr:to>
      <xdr:col>13</xdr:col>
      <xdr:colOff>419100</xdr:colOff>
      <xdr:row>39</xdr:row>
      <xdr:rowOff>0</xdr:rowOff>
    </xdr:to>
    <xdr:sp macro="" textlink="">
      <xdr:nvSpPr>
        <xdr:cNvPr id="7380" name="Line 2">
          <a:extLst>
            <a:ext uri="{FF2B5EF4-FFF2-40B4-BE49-F238E27FC236}">
              <a16:creationId xmlns:a16="http://schemas.microsoft.com/office/drawing/2014/main" id="{00000000-0008-0000-0000-0000D41C0000}"/>
            </a:ext>
          </a:extLst>
        </xdr:cNvPr>
        <xdr:cNvSpPr>
          <a:spLocks noChangeShapeType="1"/>
        </xdr:cNvSpPr>
      </xdr:nvSpPr>
      <xdr:spPr bwMode="auto">
        <a:xfrm flipH="1">
          <a:off x="4067175" y="71532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13</xdr:col>
      <xdr:colOff>352425</xdr:colOff>
      <xdr:row>3</xdr:row>
      <xdr:rowOff>190500</xdr:rowOff>
    </xdr:from>
    <xdr:to>
      <xdr:col>14</xdr:col>
      <xdr:colOff>157257</xdr:colOff>
      <xdr:row>3</xdr:row>
      <xdr:rowOff>333375</xdr:rowOff>
    </xdr:to>
    <xdr:sp macro="" textlink="">
      <xdr:nvSpPr>
        <xdr:cNvPr id="7188" name="Rectangle 20">
          <a:extLst>
            <a:ext uri="{FF2B5EF4-FFF2-40B4-BE49-F238E27FC236}">
              <a16:creationId xmlns:a16="http://schemas.microsoft.com/office/drawing/2014/main" id="{00000000-0008-0000-0000-0000141C0000}"/>
            </a:ext>
          </a:extLst>
        </xdr:cNvPr>
        <xdr:cNvSpPr>
          <a:spLocks noChangeArrowheads="1"/>
        </xdr:cNvSpPr>
      </xdr:nvSpPr>
      <xdr:spPr bwMode="auto">
        <a:xfrm>
          <a:off x="4000500" y="600075"/>
          <a:ext cx="333375" cy="142875"/>
        </a:xfrm>
        <a:prstGeom prst="rect">
          <a:avLst/>
        </a:prstGeom>
        <a:noFill/>
        <a:ln w="9525">
          <a:solidFill>
            <a:srgbClr val="000000"/>
          </a:solidFill>
          <a:miter lim="800000"/>
          <a:headEnd/>
          <a:tailEnd/>
        </a:ln>
        <a:effectLst/>
      </xdr:spPr>
      <xdr:txBody>
        <a:bodyPr vertOverflow="clip" wrap="square" lIns="27432" tIns="18288" rIns="27432" bIns="18288" anchor="ctr" upright="1"/>
        <a:lstStyle/>
        <a:p>
          <a:pPr algn="ctr" rtl="0">
            <a:defRPr sz="1000"/>
          </a:pPr>
          <a:r>
            <a:rPr lang="ja-JP" altLang="en-US" sz="1000" b="0" i="0" u="none" strike="noStrike" baseline="0">
              <a:solidFill>
                <a:srgbClr val="FF0000"/>
              </a:solidFill>
              <a:latin typeface="ＭＳ Ｐゴシック"/>
              <a:ea typeface="ＭＳ Ｐゴシック"/>
            </a:rPr>
            <a:t>xxxx</a:t>
          </a:r>
          <a:endParaRPr lang="ja-JP" altLang="en-US"/>
        </a:p>
      </xdr:txBody>
    </xdr:sp>
    <xdr:clientData/>
  </xdr:twoCellAnchor>
  <xdr:twoCellAnchor>
    <xdr:from>
      <xdr:col>16</xdr:col>
      <xdr:colOff>0</xdr:colOff>
      <xdr:row>45</xdr:row>
      <xdr:rowOff>76200</xdr:rowOff>
    </xdr:from>
    <xdr:to>
      <xdr:col>17</xdr:col>
      <xdr:colOff>47625</xdr:colOff>
      <xdr:row>46</xdr:row>
      <xdr:rowOff>76200</xdr:rowOff>
    </xdr:to>
    <xdr:sp macro="" textlink="">
      <xdr:nvSpPr>
        <xdr:cNvPr id="7382" name="Freeform 21">
          <a:extLst>
            <a:ext uri="{FF2B5EF4-FFF2-40B4-BE49-F238E27FC236}">
              <a16:creationId xmlns:a16="http://schemas.microsoft.com/office/drawing/2014/main" id="{00000000-0008-0000-0000-0000D61C0000}"/>
            </a:ext>
          </a:extLst>
        </xdr:cNvPr>
        <xdr:cNvSpPr>
          <a:spLocks/>
        </xdr:cNvSpPr>
      </xdr:nvSpPr>
      <xdr:spPr bwMode="auto">
        <a:xfrm>
          <a:off x="4781550" y="8372475"/>
          <a:ext cx="323850" cy="190500"/>
        </a:xfrm>
        <a:custGeom>
          <a:avLst/>
          <a:gdLst>
            <a:gd name="T0" fmla="*/ 0 w 38"/>
            <a:gd name="T1" fmla="*/ 2147483647 h 26"/>
            <a:gd name="T2" fmla="*/ 2147483647 w 38"/>
            <a:gd name="T3" fmla="*/ 2147483647 h 26"/>
            <a:gd name="T4" fmla="*/ 2147483647 w 38"/>
            <a:gd name="T5" fmla="*/ 2147483647 h 26"/>
            <a:gd name="T6" fmla="*/ 0 60000 65536"/>
            <a:gd name="T7" fmla="*/ 0 60000 65536"/>
            <a:gd name="T8" fmla="*/ 0 60000 65536"/>
            <a:gd name="T9" fmla="*/ 0 w 38"/>
            <a:gd name="T10" fmla="*/ 0 h 26"/>
            <a:gd name="T11" fmla="*/ 38 w 38"/>
            <a:gd name="T12" fmla="*/ 26 h 26"/>
          </a:gdLst>
          <a:ahLst/>
          <a:cxnLst>
            <a:cxn ang="T6">
              <a:pos x="T0" y="T1"/>
            </a:cxn>
            <a:cxn ang="T7">
              <a:pos x="T2" y="T3"/>
            </a:cxn>
            <a:cxn ang="T8">
              <a:pos x="T4" y="T5"/>
            </a:cxn>
          </a:cxnLst>
          <a:rect l="T9" t="T10" r="T11" b="T12"/>
          <a:pathLst>
            <a:path w="38" h="26">
              <a:moveTo>
                <a:pt x="0" y="2"/>
              </a:moveTo>
              <a:cubicBezTo>
                <a:pt x="11" y="1"/>
                <a:pt x="23" y="0"/>
                <a:pt x="29" y="4"/>
              </a:cubicBezTo>
              <a:cubicBezTo>
                <a:pt x="35" y="8"/>
                <a:pt x="36" y="17"/>
                <a:pt x="38" y="26"/>
              </a:cubicBezTo>
            </a:path>
          </a:pathLst>
        </a:custGeom>
        <a:noFill/>
        <a:ln w="9525">
          <a:solidFill>
            <a:srgbClr val="000000"/>
          </a:solidFill>
          <a:prstDash val="dash"/>
          <a:round/>
          <a:headEnd/>
          <a:tailEnd type="triangle" w="med" len="me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352425</xdr:colOff>
      <xdr:row>3</xdr:row>
      <xdr:rowOff>9525</xdr:rowOff>
    </xdr:from>
    <xdr:to>
      <xdr:col>14</xdr:col>
      <xdr:colOff>161925</xdr:colOff>
      <xdr:row>3</xdr:row>
      <xdr:rowOff>152400</xdr:rowOff>
    </xdr:to>
    <xdr:sp macro="" textlink="">
      <xdr:nvSpPr>
        <xdr:cNvPr id="7383" name="Rectangle 22">
          <a:extLst>
            <a:ext uri="{FF2B5EF4-FFF2-40B4-BE49-F238E27FC236}">
              <a16:creationId xmlns:a16="http://schemas.microsoft.com/office/drawing/2014/main" id="{00000000-0008-0000-0000-0000D71C0000}"/>
            </a:ext>
          </a:extLst>
        </xdr:cNvPr>
        <xdr:cNvSpPr>
          <a:spLocks noChangeArrowheads="1"/>
        </xdr:cNvSpPr>
      </xdr:nvSpPr>
      <xdr:spPr bwMode="auto">
        <a:xfrm>
          <a:off x="4000500" y="419100"/>
          <a:ext cx="333375" cy="142875"/>
        </a:xfrm>
        <a:prstGeom prst="rect">
          <a:avLst/>
        </a:prstGeom>
        <a:solidFill>
          <a:srgbClr val="CCFFCC"/>
        </a:solidFill>
        <a:ln w="9525">
          <a:solidFill>
            <a:srgbClr val="000000"/>
          </a:solidFill>
          <a:miter lim="800000"/>
          <a:headEnd/>
          <a:tailEnd/>
        </a:ln>
      </xdr:spPr>
    </xdr:sp>
    <xdr:clientData/>
  </xdr:twoCellAnchor>
  <xdr:twoCellAnchor>
    <xdr:from>
      <xdr:col>0</xdr:col>
      <xdr:colOff>0</xdr:colOff>
      <xdr:row>0</xdr:row>
      <xdr:rowOff>0</xdr:rowOff>
    </xdr:from>
    <xdr:to>
      <xdr:col>3</xdr:col>
      <xdr:colOff>20998</xdr:colOff>
      <xdr:row>1</xdr:row>
      <xdr:rowOff>133737</xdr:rowOff>
    </xdr:to>
    <xdr:sp macro="" textlink="">
      <xdr:nvSpPr>
        <xdr:cNvPr id="7191" name="Text Box 23">
          <a:extLst>
            <a:ext uri="{FF2B5EF4-FFF2-40B4-BE49-F238E27FC236}">
              <a16:creationId xmlns:a16="http://schemas.microsoft.com/office/drawing/2014/main" id="{00000000-0008-0000-0000-0000171C0000}"/>
            </a:ext>
          </a:extLst>
        </xdr:cNvPr>
        <xdr:cNvSpPr txBox="1">
          <a:spLocks noChangeArrowheads="1"/>
        </xdr:cNvSpPr>
      </xdr:nvSpPr>
      <xdr:spPr bwMode="auto">
        <a:xfrm>
          <a:off x="0" y="0"/>
          <a:ext cx="314325" cy="152400"/>
        </a:xfrm>
        <a:prstGeom prst="rect">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秘</a:t>
          </a:r>
          <a:endParaRPr lang="ja-JP" altLang="en-US"/>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64</xdr:row>
      <xdr:rowOff>9525</xdr:rowOff>
    </xdr:from>
    <xdr:to>
      <xdr:col>2</xdr:col>
      <xdr:colOff>1895781</xdr:colOff>
      <xdr:row>75</xdr:row>
      <xdr:rowOff>918</xdr:rowOff>
    </xdr:to>
    <xdr:sp macro="" textlink="">
      <xdr:nvSpPr>
        <xdr:cNvPr id="2050" name="Text Box 2">
          <a:extLst>
            <a:ext uri="{FF2B5EF4-FFF2-40B4-BE49-F238E27FC236}">
              <a16:creationId xmlns:a16="http://schemas.microsoft.com/office/drawing/2014/main" id="{00000000-0008-0000-0100-000002080000}"/>
            </a:ext>
          </a:extLst>
        </xdr:cNvPr>
        <xdr:cNvSpPr txBox="1">
          <a:spLocks noChangeArrowheads="1"/>
        </xdr:cNvSpPr>
      </xdr:nvSpPr>
      <xdr:spPr bwMode="auto">
        <a:xfrm>
          <a:off x="0" y="10201275"/>
          <a:ext cx="2638425" cy="1876425"/>
        </a:xfrm>
        <a:prstGeom prst="rect">
          <a:avLst/>
        </a:prstGeom>
        <a:solidFill>
          <a:srgbClr val="FFFFFF"/>
        </a:solidFill>
        <a:ln w="9525">
          <a:solidFill>
            <a:srgbClr val="000000"/>
          </a:solidFill>
          <a:miter lim="800000"/>
          <a:headEnd/>
          <a:tailEnd/>
        </a:ln>
        <a:effectLst/>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Ｐゴシック"/>
              <a:ea typeface="ＭＳ Ｐゴシック"/>
            </a:rPr>
            <a:t>　(D)計画段階での誤り　</a:t>
          </a:r>
        </a:p>
        <a:p>
          <a:pPr algn="l" rtl="0">
            <a:defRPr sz="1000"/>
          </a:pPr>
          <a:r>
            <a:rPr lang="ja-JP" altLang="en-US" sz="800" b="0" i="0" u="none" strike="noStrike" baseline="0">
              <a:solidFill>
                <a:srgbClr val="000000"/>
              </a:solidFill>
              <a:latin typeface="ＭＳ Ｐゴシック"/>
              <a:ea typeface="ＭＳ Ｐゴシック"/>
            </a:rPr>
            <a:t>　　　D1：計画内容の抜け</a:t>
          </a:r>
        </a:p>
        <a:p>
          <a:pPr algn="l" rtl="0">
            <a:lnSpc>
              <a:spcPts val="900"/>
            </a:lnSpc>
            <a:defRPr sz="1000"/>
          </a:pPr>
          <a:r>
            <a:rPr lang="ja-JP" altLang="en-US" sz="800" b="0" i="0" u="none" strike="noStrike" baseline="0">
              <a:solidFill>
                <a:srgbClr val="000000"/>
              </a:solidFill>
              <a:latin typeface="ＭＳ Ｐゴシック"/>
              <a:ea typeface="ＭＳ Ｐゴシック"/>
            </a:rPr>
            <a:t>　　　D2：計画内容の誤り，不整合，記述不足</a:t>
          </a:r>
        </a:p>
        <a:p>
          <a:pPr algn="l" rtl="0">
            <a:defRPr sz="1000"/>
          </a:pPr>
          <a:r>
            <a:rPr lang="ja-JP" altLang="en-US" sz="800" b="0" i="0" u="none" strike="noStrike" baseline="0">
              <a:solidFill>
                <a:srgbClr val="000000"/>
              </a:solidFill>
              <a:latin typeface="ＭＳ Ｐゴシック"/>
              <a:ea typeface="ＭＳ Ｐゴシック"/>
            </a:rPr>
            <a:t>　　　DZ：その他</a:t>
          </a:r>
        </a:p>
        <a:p>
          <a:pPr algn="l" rtl="0">
            <a:lnSpc>
              <a:spcPts val="900"/>
            </a:lnSpc>
            <a:defRPr sz="1000"/>
          </a:pPr>
          <a:r>
            <a:rPr lang="ja-JP" altLang="en-US" sz="800" b="0" i="0" u="none" strike="noStrike" baseline="0">
              <a:solidFill>
                <a:srgbClr val="000000"/>
              </a:solidFill>
              <a:latin typeface="ＭＳ Ｐゴシック"/>
              <a:ea typeface="ＭＳ Ｐゴシック"/>
            </a:rPr>
            <a:t>　(0) 要件定義段階での誤り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0A:要件の抜け及び解釈誤り</a:t>
          </a:r>
        </a:p>
        <a:p>
          <a:pPr algn="l" rtl="0">
            <a:defRPr sz="1000"/>
          </a:pPr>
          <a:r>
            <a:rPr lang="ja-JP" altLang="en-US" sz="800" b="0" i="0" u="none" strike="noStrike" baseline="0">
              <a:solidFill>
                <a:srgbClr val="000000"/>
              </a:solidFill>
              <a:latin typeface="ＭＳ Ｐゴシック"/>
              <a:ea typeface="ＭＳ Ｐゴシック"/>
            </a:rPr>
            <a:t>　　　0B:要件定義の誤り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0C:システム化対象範囲外とのI/Fの誤り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0Z:その他</a:t>
          </a:r>
        </a:p>
        <a:p>
          <a:pPr algn="l" rtl="0">
            <a:defRPr sz="1000"/>
          </a:pPr>
          <a:r>
            <a:rPr lang="ja-JP" altLang="en-US" sz="800" b="0" i="0" u="none" strike="noStrike" baseline="0">
              <a:solidFill>
                <a:srgbClr val="000000"/>
              </a:solidFill>
              <a:latin typeface="ＭＳ Ｐゴシック"/>
              <a:ea typeface="ＭＳ Ｐゴシック"/>
            </a:rPr>
            <a:t>　(1) システム設計(外部設計)段階での誤り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1A:外部仕様の抜け及び要件定義の解釈誤り</a:t>
          </a:r>
        </a:p>
        <a:p>
          <a:pPr algn="l" rtl="0">
            <a:defRPr sz="1000"/>
          </a:pPr>
          <a:r>
            <a:rPr lang="ja-JP" altLang="en-US" sz="800" b="0" i="0" u="none" strike="noStrike" baseline="0">
              <a:solidFill>
                <a:srgbClr val="000000"/>
              </a:solidFill>
              <a:latin typeface="ＭＳ Ｐゴシック"/>
              <a:ea typeface="ＭＳ Ｐゴシック"/>
            </a:rPr>
            <a:t>　　　1B:外部仕様の誤り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1C:機能間I/F仕様の誤り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1Z:その他</a:t>
          </a:r>
          <a:endParaRPr lang="ja-JP" altLang="en-US"/>
        </a:p>
      </xdr:txBody>
    </xdr:sp>
    <xdr:clientData/>
  </xdr:twoCellAnchor>
  <xdr:twoCellAnchor>
    <xdr:from>
      <xdr:col>2</xdr:col>
      <xdr:colOff>1945005</xdr:colOff>
      <xdr:row>64</xdr:row>
      <xdr:rowOff>28575</xdr:rowOff>
    </xdr:from>
    <xdr:to>
      <xdr:col>5</xdr:col>
      <xdr:colOff>1611661</xdr:colOff>
      <xdr:row>74</xdr:row>
      <xdr:rowOff>166716</xdr:rowOff>
    </xdr:to>
    <xdr:sp macro="" textlink="">
      <xdr:nvSpPr>
        <xdr:cNvPr id="2051" name="Text Box 3">
          <a:extLst>
            <a:ext uri="{FF2B5EF4-FFF2-40B4-BE49-F238E27FC236}">
              <a16:creationId xmlns:a16="http://schemas.microsoft.com/office/drawing/2014/main" id="{00000000-0008-0000-0100-000003080000}"/>
            </a:ext>
          </a:extLst>
        </xdr:cNvPr>
        <xdr:cNvSpPr txBox="1">
          <a:spLocks noChangeArrowheads="1"/>
        </xdr:cNvSpPr>
      </xdr:nvSpPr>
      <xdr:spPr bwMode="auto">
        <a:xfrm>
          <a:off x="2695575" y="10220325"/>
          <a:ext cx="3171825" cy="1857375"/>
        </a:xfrm>
        <a:prstGeom prst="rect">
          <a:avLst/>
        </a:prstGeom>
        <a:solidFill>
          <a:srgbClr val="FFFFFF"/>
        </a:solidFill>
        <a:ln w="9525">
          <a:solidFill>
            <a:srgbClr val="000000"/>
          </a:solidFill>
          <a:miter lim="800000"/>
          <a:headEnd/>
          <a:tailEnd/>
        </a:ln>
        <a:effectLst/>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Ｐゴシック"/>
              <a:ea typeface="ＭＳ Ｐゴシック"/>
            </a:rPr>
            <a:t>　(2) SW設計/PRG設計(内部設計)段階での誤り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2A:内部設計漏れ及び外部仕様の解釈誤り</a:t>
          </a:r>
        </a:p>
        <a:p>
          <a:pPr algn="l" rtl="0">
            <a:defRPr sz="1000"/>
          </a:pPr>
          <a:r>
            <a:rPr lang="ja-JP" altLang="en-US" sz="800" b="0" i="0" u="none" strike="noStrike" baseline="0">
              <a:solidFill>
                <a:srgbClr val="000000"/>
              </a:solidFill>
              <a:latin typeface="ＭＳ Ｐゴシック"/>
              <a:ea typeface="ＭＳ Ｐゴシック"/>
            </a:rPr>
            <a:t>　　　2B:内部設計の誤り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2C:モジュール間I/F仕様の誤り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2Z:その他</a:t>
          </a:r>
        </a:p>
        <a:p>
          <a:pPr algn="l" rtl="0">
            <a:defRPr sz="1000"/>
          </a:pPr>
          <a:r>
            <a:rPr lang="ja-JP" altLang="en-US" sz="800" b="0" i="0" u="none" strike="noStrike" baseline="0">
              <a:solidFill>
                <a:srgbClr val="000000"/>
              </a:solidFill>
              <a:latin typeface="ＭＳ Ｐゴシック"/>
              <a:ea typeface="ＭＳ Ｐゴシック"/>
            </a:rPr>
            <a:t>　(3) コーディング段階での誤り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3A:設計どおりのコーディングがされていない</a:t>
          </a:r>
        </a:p>
        <a:p>
          <a:pPr algn="l" rtl="0">
            <a:lnSpc>
              <a:spcPts val="900"/>
            </a:lnSpc>
            <a:defRPr sz="1000"/>
          </a:pPr>
          <a:r>
            <a:rPr lang="ja-JP" altLang="en-US" sz="800" b="0" i="0" u="none" strike="noStrike" baseline="0">
              <a:solidFill>
                <a:srgbClr val="000000"/>
              </a:solidFill>
              <a:latin typeface="ＭＳ Ｐゴシック"/>
              <a:ea typeface="ＭＳ Ｐゴシック"/>
            </a:rPr>
            <a:t>　　　3B:不注意なコーディング・ミス</a:t>
          </a:r>
        </a:p>
        <a:p>
          <a:pPr algn="l" rtl="0">
            <a:lnSpc>
              <a:spcPts val="900"/>
            </a:lnSpc>
            <a:defRPr sz="1000"/>
          </a:pPr>
          <a:r>
            <a:rPr lang="ja-JP" altLang="en-US" sz="800" b="0" i="0" u="none" strike="noStrike" baseline="0">
              <a:solidFill>
                <a:srgbClr val="000000"/>
              </a:solidFill>
              <a:latin typeface="ＭＳ Ｐゴシック"/>
              <a:ea typeface="ＭＳ Ｐゴシック"/>
            </a:rPr>
            <a:t>　　　3Z:その他</a:t>
          </a:r>
          <a:endParaRPr lang="ja-JP" altLang="en-US"/>
        </a:p>
      </xdr:txBody>
    </xdr:sp>
    <xdr:clientData/>
  </xdr:twoCellAnchor>
  <xdr:twoCellAnchor>
    <xdr:from>
      <xdr:col>5</xdr:col>
      <xdr:colOff>1653540</xdr:colOff>
      <xdr:row>64</xdr:row>
      <xdr:rowOff>11430</xdr:rowOff>
    </xdr:from>
    <xdr:to>
      <xdr:col>10</xdr:col>
      <xdr:colOff>449409</xdr:colOff>
      <xdr:row>74</xdr:row>
      <xdr:rowOff>159166</xdr:rowOff>
    </xdr:to>
    <xdr:sp macro="" textlink="">
      <xdr:nvSpPr>
        <xdr:cNvPr id="2052" name="Text Box 4">
          <a:extLst>
            <a:ext uri="{FF2B5EF4-FFF2-40B4-BE49-F238E27FC236}">
              <a16:creationId xmlns:a16="http://schemas.microsoft.com/office/drawing/2014/main" id="{00000000-0008-0000-0100-000004080000}"/>
            </a:ext>
          </a:extLst>
        </xdr:cNvPr>
        <xdr:cNvSpPr txBox="1">
          <a:spLocks noChangeArrowheads="1"/>
        </xdr:cNvSpPr>
      </xdr:nvSpPr>
      <xdr:spPr bwMode="auto">
        <a:xfrm>
          <a:off x="5915025" y="10210800"/>
          <a:ext cx="2638425" cy="1857375"/>
        </a:xfrm>
        <a:prstGeom prst="rect">
          <a:avLst/>
        </a:prstGeom>
        <a:solidFill>
          <a:srgbClr val="FFFFFF"/>
        </a:solidFill>
        <a:ln w="9525">
          <a:solidFill>
            <a:srgbClr val="000000"/>
          </a:solidFill>
          <a:miter lim="800000"/>
          <a:headEnd/>
          <a:tailEnd/>
        </a:ln>
        <a:effectLst/>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Ｐゴシック"/>
              <a:ea typeface="ＭＳ Ｐゴシック"/>
            </a:rPr>
            <a:t>　(4) その他</a:t>
          </a:r>
        </a:p>
        <a:p>
          <a:pPr algn="l" rtl="0">
            <a:defRPr sz="1000"/>
          </a:pPr>
          <a:r>
            <a:rPr lang="ja-JP" altLang="en-US" sz="800" b="0" i="0" u="none" strike="noStrike" baseline="0">
              <a:solidFill>
                <a:srgbClr val="000000"/>
              </a:solidFill>
              <a:latin typeface="ＭＳ Ｐゴシック"/>
              <a:ea typeface="ＭＳ Ｐゴシック"/>
            </a:rPr>
            <a:t>　　　4A:お客様からの仕様変更</a:t>
          </a:r>
        </a:p>
        <a:p>
          <a:pPr algn="l" rtl="0">
            <a:lnSpc>
              <a:spcPts val="900"/>
            </a:lnSpc>
            <a:defRPr sz="1000"/>
          </a:pPr>
          <a:r>
            <a:rPr lang="ja-JP" altLang="en-US" sz="800" b="0" i="0" u="none" strike="noStrike" baseline="0">
              <a:solidFill>
                <a:srgbClr val="000000"/>
              </a:solidFill>
              <a:latin typeface="ＭＳ Ｐゴシック"/>
              <a:ea typeface="ＭＳ Ｐゴシック"/>
            </a:rPr>
            <a:t>　　　4B:表現不備(誤字/脱字など)</a:t>
          </a:r>
        </a:p>
        <a:p>
          <a:pPr algn="l" rtl="0">
            <a:defRPr sz="1000"/>
          </a:pPr>
          <a:r>
            <a:rPr lang="ja-JP" altLang="en-US" sz="800" b="0" i="0" u="none" strike="noStrike" baseline="0">
              <a:solidFill>
                <a:srgbClr val="000000"/>
              </a:solidFill>
              <a:latin typeface="ＭＳ Ｐゴシック"/>
              <a:ea typeface="ＭＳ Ｐゴシック"/>
            </a:rPr>
            <a:t>　(5) 試験段階での誤り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5A:仕様の解釈誤り</a:t>
          </a:r>
        </a:p>
        <a:p>
          <a:pPr algn="l" rtl="0">
            <a:lnSpc>
              <a:spcPts val="900"/>
            </a:lnSpc>
            <a:defRPr sz="1000"/>
          </a:pPr>
          <a:r>
            <a:rPr lang="ja-JP" altLang="en-US" sz="800" b="0" i="0" u="none" strike="noStrike" baseline="0">
              <a:solidFill>
                <a:srgbClr val="000000"/>
              </a:solidFill>
              <a:latin typeface="ＭＳ Ｐゴシック"/>
              <a:ea typeface="ＭＳ Ｐゴシック"/>
            </a:rPr>
            <a:t>　　　5B:試験仕様の誤り</a:t>
          </a:r>
        </a:p>
        <a:p>
          <a:pPr algn="l" rtl="0">
            <a:defRPr sz="1000"/>
          </a:pPr>
          <a:r>
            <a:rPr lang="ja-JP" altLang="en-US" sz="800" b="0" i="0" u="none" strike="noStrike" baseline="0">
              <a:solidFill>
                <a:srgbClr val="000000"/>
              </a:solidFill>
              <a:latin typeface="ＭＳ Ｐゴシック"/>
              <a:ea typeface="ＭＳ Ｐゴシック"/>
            </a:rPr>
            <a:t>　　　5C:試験プログラム/データの誤り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5D:試験項目抜け</a:t>
          </a:r>
        </a:p>
        <a:p>
          <a:pPr algn="l" rtl="0">
            <a:defRPr sz="1000"/>
          </a:pPr>
          <a:r>
            <a:rPr lang="ja-JP" altLang="en-US" sz="800" b="0" i="0" u="none" strike="noStrike" baseline="0">
              <a:solidFill>
                <a:srgbClr val="000000"/>
              </a:solidFill>
              <a:latin typeface="ＭＳ Ｐゴシック"/>
              <a:ea typeface="ＭＳ Ｐゴシック"/>
            </a:rPr>
            <a:t>　　　5Z:その他</a:t>
          </a:r>
        </a:p>
        <a:p>
          <a:pPr algn="l" rtl="0">
            <a:lnSpc>
              <a:spcPts val="900"/>
            </a:lnSpc>
            <a:defRPr sz="1000"/>
          </a:pPr>
          <a:r>
            <a:rPr lang="ja-JP" altLang="en-US" sz="800" b="0" i="0" u="none" strike="noStrike" baseline="0">
              <a:solidFill>
                <a:srgbClr val="000000"/>
              </a:solidFill>
              <a:latin typeface="ＭＳ Ｐゴシック"/>
              <a:ea typeface="ＭＳ Ｐゴシック"/>
            </a:rPr>
            <a:t>　(6)プロ完段階での誤り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6A：報告内容の抜け</a:t>
          </a:r>
        </a:p>
        <a:p>
          <a:pPr algn="l" rtl="0">
            <a:defRPr sz="1000"/>
          </a:pPr>
          <a:r>
            <a:rPr lang="ja-JP" altLang="en-US" sz="800" b="0" i="0" u="none" strike="noStrike" baseline="0">
              <a:solidFill>
                <a:srgbClr val="000000"/>
              </a:solidFill>
              <a:latin typeface="ＭＳ Ｐゴシック"/>
              <a:ea typeface="ＭＳ Ｐゴシック"/>
            </a:rPr>
            <a:t>　　　6B：報告内容の誤り，不整合，記述不足</a:t>
          </a:r>
        </a:p>
        <a:p>
          <a:pPr algn="l" rtl="0">
            <a:lnSpc>
              <a:spcPts val="800"/>
            </a:lnSpc>
            <a:defRPr sz="1000"/>
          </a:pPr>
          <a:r>
            <a:rPr lang="ja-JP" altLang="en-US" sz="800" b="0" i="0" u="none" strike="noStrike" baseline="0">
              <a:solidFill>
                <a:srgbClr val="000000"/>
              </a:solidFill>
              <a:latin typeface="ＭＳ Ｐゴシック"/>
              <a:ea typeface="ＭＳ Ｐゴシック"/>
            </a:rPr>
            <a:t>　　　6Z：その他</a:t>
          </a:r>
          <a:endParaRPr lang="ja-JP" altLang="en-US"/>
        </a:p>
      </xdr:txBody>
    </xdr:sp>
    <xdr:clientData/>
  </xdr:twoCellAnchor>
  <xdr:twoCellAnchor>
    <xdr:from>
      <xdr:col>0</xdr:col>
      <xdr:colOff>180975</xdr:colOff>
      <xdr:row>74</xdr:row>
      <xdr:rowOff>0</xdr:rowOff>
    </xdr:from>
    <xdr:to>
      <xdr:col>10</xdr:col>
      <xdr:colOff>381000</xdr:colOff>
      <xdr:row>74</xdr:row>
      <xdr:rowOff>0</xdr:rowOff>
    </xdr:to>
    <xdr:grpSp>
      <xdr:nvGrpSpPr>
        <xdr:cNvPr id="2727" name="Group 7">
          <a:extLst>
            <a:ext uri="{FF2B5EF4-FFF2-40B4-BE49-F238E27FC236}">
              <a16:creationId xmlns:a16="http://schemas.microsoft.com/office/drawing/2014/main" id="{00000000-0008-0000-0100-0000A70A0000}"/>
            </a:ext>
          </a:extLst>
        </xdr:cNvPr>
        <xdr:cNvGrpSpPr>
          <a:grpSpLocks/>
        </xdr:cNvGrpSpPr>
      </xdr:nvGrpSpPr>
      <xdr:grpSpPr bwMode="auto">
        <a:xfrm>
          <a:off x="180975" y="11811000"/>
          <a:ext cx="8305800" cy="0"/>
          <a:chOff x="24" y="1037"/>
          <a:chExt cx="802" cy="156"/>
        </a:xfrm>
      </xdr:grpSpPr>
      <xdr:sp macro="" textlink="">
        <xdr:nvSpPr>
          <xdr:cNvPr id="2056" name="Text Box 8">
            <a:extLst>
              <a:ext uri="{FF2B5EF4-FFF2-40B4-BE49-F238E27FC236}">
                <a16:creationId xmlns:a16="http://schemas.microsoft.com/office/drawing/2014/main" id="{00000000-0008-0000-0100-000008080000}"/>
              </a:ext>
            </a:extLst>
          </xdr:cNvPr>
          <xdr:cNvSpPr txBox="1">
            <a:spLocks noChangeArrowheads="1"/>
          </xdr:cNvSpPr>
        </xdr:nvSpPr>
        <xdr:spPr bwMode="auto">
          <a:xfrm>
            <a:off x="16344870605850" y="13430250"/>
            <a:ext cx="0" cy="0"/>
          </a:xfrm>
          <a:prstGeom prst="rect">
            <a:avLst/>
          </a:prstGeom>
          <a:solidFill>
            <a:srgbClr val="FFFFFF"/>
          </a:solidFill>
          <a:ln>
            <a:noFill/>
          </a:ln>
          <a:effectLst/>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Ｐゴシック"/>
                <a:ea typeface="ＭＳ Ｐゴシック"/>
              </a:rPr>
              <a:t>　(0) 要件定義段階での誤り</a:t>
            </a:r>
          </a:p>
          <a:p>
            <a:pPr algn="l" rtl="0">
              <a:defRPr sz="1000"/>
            </a:pPr>
            <a:r>
              <a:rPr lang="ja-JP" altLang="en-US" sz="900" b="0" i="0" u="none" strike="noStrike" baseline="0">
                <a:solidFill>
                  <a:srgbClr val="000000"/>
                </a:solidFill>
                <a:latin typeface="ＭＳ Ｐゴシック"/>
                <a:ea typeface="ＭＳ Ｐゴシック"/>
              </a:rPr>
              <a:t>　　　0A:要件の抜け及び解釈誤り</a:t>
            </a:r>
          </a:p>
          <a:p>
            <a:pPr algn="l" rtl="0">
              <a:defRPr sz="1000"/>
            </a:pPr>
            <a:r>
              <a:rPr lang="ja-JP" altLang="en-US" sz="900" b="0" i="0" u="none" strike="noStrike" baseline="0">
                <a:solidFill>
                  <a:srgbClr val="000000"/>
                </a:solidFill>
                <a:latin typeface="ＭＳ Ｐゴシック"/>
                <a:ea typeface="ＭＳ Ｐゴシック"/>
              </a:rPr>
              <a:t>　　　0B:要件定義の誤り</a:t>
            </a:r>
          </a:p>
          <a:p>
            <a:pPr algn="l" rtl="0">
              <a:defRPr sz="1000"/>
            </a:pPr>
            <a:r>
              <a:rPr lang="ja-JP" altLang="en-US" sz="900" b="0" i="0" u="none" strike="noStrike" baseline="0">
                <a:solidFill>
                  <a:srgbClr val="000000"/>
                </a:solidFill>
                <a:latin typeface="ＭＳ Ｐゴシック"/>
                <a:ea typeface="ＭＳ Ｐゴシック"/>
              </a:rPr>
              <a:t>　　　0C:システム化対象範囲外とのI/Fの誤り</a:t>
            </a:r>
          </a:p>
          <a:p>
            <a:pPr algn="l" rtl="0">
              <a:defRPr sz="1000"/>
            </a:pPr>
            <a:r>
              <a:rPr lang="ja-JP" altLang="en-US" sz="900" b="0" i="0" u="none" strike="noStrike" baseline="0">
                <a:solidFill>
                  <a:srgbClr val="000000"/>
                </a:solidFill>
                <a:latin typeface="ＭＳ Ｐゴシック"/>
                <a:ea typeface="ＭＳ Ｐゴシック"/>
              </a:rPr>
              <a:t>　　　0Z:その他</a:t>
            </a:r>
          </a:p>
          <a:p>
            <a:pPr algn="l" rtl="0">
              <a:defRPr sz="1000"/>
            </a:pPr>
            <a:r>
              <a:rPr lang="ja-JP" altLang="en-US" sz="900" b="0" i="0" u="none" strike="noStrike" baseline="0">
                <a:solidFill>
                  <a:srgbClr val="000000"/>
                </a:solidFill>
                <a:latin typeface="ＭＳ Ｐゴシック"/>
                <a:ea typeface="ＭＳ Ｐゴシック"/>
              </a:rPr>
              <a:t>　(1) システム設計(外部設計)段階での誤り</a:t>
            </a:r>
          </a:p>
          <a:p>
            <a:pPr algn="l" rtl="0">
              <a:defRPr sz="1000"/>
            </a:pPr>
            <a:r>
              <a:rPr lang="ja-JP" altLang="en-US" sz="900" b="0" i="0" u="none" strike="noStrike" baseline="0">
                <a:solidFill>
                  <a:srgbClr val="000000"/>
                </a:solidFill>
                <a:latin typeface="ＭＳ Ｐゴシック"/>
                <a:ea typeface="ＭＳ Ｐゴシック"/>
              </a:rPr>
              <a:t>　　　1A:外部仕様の抜け及び要件定義の解釈誤り</a:t>
            </a:r>
          </a:p>
          <a:p>
            <a:pPr algn="l" rtl="0">
              <a:defRPr sz="1000"/>
            </a:pPr>
            <a:r>
              <a:rPr lang="ja-JP" altLang="en-US" sz="900" b="0" i="0" u="none" strike="noStrike" baseline="0">
                <a:solidFill>
                  <a:srgbClr val="000000"/>
                </a:solidFill>
                <a:latin typeface="ＭＳ Ｐゴシック"/>
                <a:ea typeface="ＭＳ Ｐゴシック"/>
              </a:rPr>
              <a:t>　　　1B:外部仕様の誤り</a:t>
            </a:r>
          </a:p>
          <a:p>
            <a:pPr algn="l" rtl="0">
              <a:defRPr sz="1000"/>
            </a:pPr>
            <a:r>
              <a:rPr lang="ja-JP" altLang="en-US" sz="900" b="0" i="0" u="none" strike="noStrike" baseline="0">
                <a:solidFill>
                  <a:srgbClr val="000000"/>
                </a:solidFill>
                <a:latin typeface="ＭＳ Ｐゴシック"/>
                <a:ea typeface="ＭＳ Ｐゴシック"/>
              </a:rPr>
              <a:t>　　　1C:機能間I/F仕様の誤り</a:t>
            </a:r>
          </a:p>
          <a:p>
            <a:pPr algn="l" rtl="0">
              <a:defRPr sz="1000"/>
            </a:pPr>
            <a:r>
              <a:rPr lang="ja-JP" altLang="en-US" sz="900" b="0" i="0" u="none" strike="noStrike" baseline="0">
                <a:solidFill>
                  <a:srgbClr val="000000"/>
                </a:solidFill>
                <a:latin typeface="ＭＳ Ｐゴシック"/>
                <a:ea typeface="ＭＳ Ｐゴシック"/>
              </a:rPr>
              <a:t>　　　1Z:その他</a:t>
            </a:r>
            <a:endParaRPr lang="ja-JP" altLang="en-US"/>
          </a:p>
        </xdr:txBody>
      </xdr:sp>
      <xdr:sp macro="" textlink="">
        <xdr:nvSpPr>
          <xdr:cNvPr id="2057" name="Text Box 9">
            <a:extLst>
              <a:ext uri="{FF2B5EF4-FFF2-40B4-BE49-F238E27FC236}">
                <a16:creationId xmlns:a16="http://schemas.microsoft.com/office/drawing/2014/main" id="{00000000-0008-0000-0100-000009080000}"/>
              </a:ext>
            </a:extLst>
          </xdr:cNvPr>
          <xdr:cNvSpPr txBox="1">
            <a:spLocks noChangeArrowheads="1"/>
          </xdr:cNvSpPr>
        </xdr:nvSpPr>
        <xdr:spPr bwMode="auto">
          <a:xfrm>
            <a:off x="419397513375" y="13430250"/>
            <a:ext cx="0" cy="0"/>
          </a:xfrm>
          <a:prstGeom prst="rect">
            <a:avLst/>
          </a:prstGeom>
          <a:solidFill>
            <a:srgbClr val="FFFFFF"/>
          </a:solidFill>
          <a:ln>
            <a:noFill/>
          </a:ln>
          <a:effectLst/>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Ｐゴシック"/>
                <a:ea typeface="ＭＳ Ｐゴシック"/>
              </a:rPr>
              <a:t>　(2) SW設計/PRG設計(内部設計)段階での誤り</a:t>
            </a:r>
          </a:p>
          <a:p>
            <a:pPr algn="l" rtl="0">
              <a:defRPr sz="1000"/>
            </a:pPr>
            <a:r>
              <a:rPr lang="ja-JP" altLang="en-US" sz="900" b="0" i="0" u="none" strike="noStrike" baseline="0">
                <a:solidFill>
                  <a:srgbClr val="000000"/>
                </a:solidFill>
                <a:latin typeface="ＭＳ Ｐゴシック"/>
                <a:ea typeface="ＭＳ Ｐゴシック"/>
              </a:rPr>
              <a:t>　　　2A:内部設計漏れ及び外部仕様の解釈誤り</a:t>
            </a:r>
          </a:p>
          <a:p>
            <a:pPr algn="l" rtl="0">
              <a:defRPr sz="1000"/>
            </a:pPr>
            <a:r>
              <a:rPr lang="ja-JP" altLang="en-US" sz="900" b="0" i="0" u="none" strike="noStrike" baseline="0">
                <a:solidFill>
                  <a:srgbClr val="000000"/>
                </a:solidFill>
                <a:latin typeface="ＭＳ Ｐゴシック"/>
                <a:ea typeface="ＭＳ Ｐゴシック"/>
              </a:rPr>
              <a:t>　　　2B:内部設計の誤り</a:t>
            </a:r>
          </a:p>
          <a:p>
            <a:pPr algn="l" rtl="0">
              <a:defRPr sz="1000"/>
            </a:pPr>
            <a:r>
              <a:rPr lang="ja-JP" altLang="en-US" sz="900" b="0" i="0" u="none" strike="noStrike" baseline="0">
                <a:solidFill>
                  <a:srgbClr val="000000"/>
                </a:solidFill>
                <a:latin typeface="ＭＳ Ｐゴシック"/>
                <a:ea typeface="ＭＳ Ｐゴシック"/>
              </a:rPr>
              <a:t>　　　2C:モジュール間I/F仕様の誤り</a:t>
            </a:r>
          </a:p>
          <a:p>
            <a:pPr algn="l" rtl="0">
              <a:defRPr sz="1000"/>
            </a:pPr>
            <a:r>
              <a:rPr lang="ja-JP" altLang="en-US" sz="900" b="0" i="0" u="none" strike="noStrike" baseline="0">
                <a:solidFill>
                  <a:srgbClr val="000000"/>
                </a:solidFill>
                <a:latin typeface="ＭＳ Ｐゴシック"/>
                <a:ea typeface="ＭＳ Ｐゴシック"/>
              </a:rPr>
              <a:t>　　　2Z:その他</a:t>
            </a:r>
          </a:p>
          <a:p>
            <a:pPr algn="l" rtl="0">
              <a:defRPr sz="1000"/>
            </a:pPr>
            <a:r>
              <a:rPr lang="ja-JP" altLang="en-US" sz="900" b="0" i="0" u="none" strike="noStrike" baseline="0">
                <a:solidFill>
                  <a:srgbClr val="000000"/>
                </a:solidFill>
                <a:latin typeface="ＭＳ Ｐゴシック"/>
                <a:ea typeface="ＭＳ Ｐゴシック"/>
              </a:rPr>
              <a:t>　(3) コーディング段階での誤り</a:t>
            </a:r>
          </a:p>
          <a:p>
            <a:pPr algn="l" rtl="0">
              <a:defRPr sz="1000"/>
            </a:pPr>
            <a:r>
              <a:rPr lang="ja-JP" altLang="en-US" sz="900" b="0" i="0" u="none" strike="noStrike" baseline="0">
                <a:solidFill>
                  <a:srgbClr val="000000"/>
                </a:solidFill>
                <a:latin typeface="ＭＳ Ｐゴシック"/>
                <a:ea typeface="ＭＳ Ｐゴシック"/>
              </a:rPr>
              <a:t>　　　3A:設計どおりのコーディングがされていない</a:t>
            </a:r>
          </a:p>
          <a:p>
            <a:pPr algn="l" rtl="0">
              <a:defRPr sz="1000"/>
            </a:pPr>
            <a:r>
              <a:rPr lang="ja-JP" altLang="en-US" sz="900" b="0" i="0" u="none" strike="noStrike" baseline="0">
                <a:solidFill>
                  <a:srgbClr val="000000"/>
                </a:solidFill>
                <a:latin typeface="ＭＳ Ｐゴシック"/>
                <a:ea typeface="ＭＳ Ｐゴシック"/>
              </a:rPr>
              <a:t>　　　3B:不注意なコーディング・ミス</a:t>
            </a:r>
          </a:p>
          <a:p>
            <a:pPr algn="l" rtl="0">
              <a:defRPr sz="1000"/>
            </a:pPr>
            <a:r>
              <a:rPr lang="ja-JP" altLang="en-US" sz="900" b="0" i="0" u="none" strike="noStrike" baseline="0">
                <a:solidFill>
                  <a:srgbClr val="000000"/>
                </a:solidFill>
                <a:latin typeface="ＭＳ Ｐゴシック"/>
                <a:ea typeface="ＭＳ Ｐゴシック"/>
              </a:rPr>
              <a:t>　　　3Z:その他</a:t>
            </a:r>
            <a:endParaRPr lang="ja-JP" altLang="en-US"/>
          </a:p>
        </xdr:txBody>
      </xdr:sp>
      <xdr:sp macro="" textlink="">
        <xdr:nvSpPr>
          <xdr:cNvPr id="2058" name="Text Box 10">
            <a:extLst>
              <a:ext uri="{FF2B5EF4-FFF2-40B4-BE49-F238E27FC236}">
                <a16:creationId xmlns:a16="http://schemas.microsoft.com/office/drawing/2014/main" id="{00000000-0008-0000-0100-00000A080000}"/>
              </a:ext>
            </a:extLst>
          </xdr:cNvPr>
          <xdr:cNvSpPr txBox="1">
            <a:spLocks noChangeArrowheads="1"/>
          </xdr:cNvSpPr>
        </xdr:nvSpPr>
        <xdr:spPr bwMode="auto">
          <a:xfrm>
            <a:off x="171450" y="13430250"/>
            <a:ext cx="0" cy="0"/>
          </a:xfrm>
          <a:prstGeom prst="rect">
            <a:avLst/>
          </a:prstGeom>
          <a:solidFill>
            <a:srgbClr val="FFFFFF"/>
          </a:solidFill>
          <a:ln>
            <a:noFill/>
          </a:ln>
          <a:effectLst/>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Ｐゴシック"/>
                <a:ea typeface="ＭＳ Ｐゴシック"/>
              </a:rPr>
              <a:t>　(4) その他</a:t>
            </a:r>
          </a:p>
          <a:p>
            <a:pPr algn="l" rtl="0">
              <a:defRPr sz="1000"/>
            </a:pPr>
            <a:r>
              <a:rPr lang="ja-JP" altLang="en-US" sz="900" b="0" i="0" u="none" strike="noStrike" baseline="0">
                <a:solidFill>
                  <a:srgbClr val="000000"/>
                </a:solidFill>
                <a:latin typeface="ＭＳ Ｐゴシック"/>
                <a:ea typeface="ＭＳ Ｐゴシック"/>
              </a:rPr>
              <a:t>　　　4A:お客様からの仕様変更</a:t>
            </a:r>
          </a:p>
          <a:p>
            <a:pPr algn="l" rtl="0">
              <a:defRPr sz="1000"/>
            </a:pPr>
            <a:r>
              <a:rPr lang="ja-JP" altLang="en-US" sz="900" b="0" i="0" u="none" strike="noStrike" baseline="0">
                <a:solidFill>
                  <a:srgbClr val="000000"/>
                </a:solidFill>
                <a:latin typeface="ＭＳ Ｐゴシック"/>
                <a:ea typeface="ＭＳ Ｐゴシック"/>
              </a:rPr>
              <a:t>　　　4B:表現不備(誤字/脱字など)</a:t>
            </a:r>
          </a:p>
          <a:p>
            <a:pPr algn="l" rtl="0">
              <a:defRPr sz="1000"/>
            </a:pPr>
            <a:r>
              <a:rPr lang="ja-JP" altLang="en-US" sz="900" b="0" i="0" u="none" strike="noStrike" baseline="0">
                <a:solidFill>
                  <a:srgbClr val="000000"/>
                </a:solidFill>
                <a:latin typeface="ＭＳ Ｐゴシック"/>
                <a:ea typeface="ＭＳ Ｐゴシック"/>
              </a:rPr>
              <a:t>　(5) 試験段階での誤り</a:t>
            </a:r>
          </a:p>
          <a:p>
            <a:pPr algn="l" rtl="0">
              <a:defRPr sz="1000"/>
            </a:pPr>
            <a:r>
              <a:rPr lang="ja-JP" altLang="en-US" sz="900" b="0" i="0" u="none" strike="noStrike" baseline="0">
                <a:solidFill>
                  <a:srgbClr val="000000"/>
                </a:solidFill>
                <a:latin typeface="ＭＳ Ｐゴシック"/>
                <a:ea typeface="ＭＳ Ｐゴシック"/>
              </a:rPr>
              <a:t>　　　5A:仕様の解釈誤り</a:t>
            </a:r>
          </a:p>
          <a:p>
            <a:pPr algn="l" rtl="0">
              <a:defRPr sz="1000"/>
            </a:pPr>
            <a:r>
              <a:rPr lang="ja-JP" altLang="en-US" sz="900" b="0" i="0" u="none" strike="noStrike" baseline="0">
                <a:solidFill>
                  <a:srgbClr val="000000"/>
                </a:solidFill>
                <a:latin typeface="ＭＳ Ｐゴシック"/>
                <a:ea typeface="ＭＳ Ｐゴシック"/>
              </a:rPr>
              <a:t>　　　5B:試験仕様の誤り</a:t>
            </a:r>
          </a:p>
          <a:p>
            <a:pPr algn="l" rtl="0">
              <a:defRPr sz="1000"/>
            </a:pPr>
            <a:r>
              <a:rPr lang="ja-JP" altLang="en-US" sz="900" b="0" i="0" u="none" strike="noStrike" baseline="0">
                <a:solidFill>
                  <a:srgbClr val="000000"/>
                </a:solidFill>
                <a:latin typeface="ＭＳ Ｐゴシック"/>
                <a:ea typeface="ＭＳ Ｐゴシック"/>
              </a:rPr>
              <a:t>　　　5C:試験プログラム/データの誤り</a:t>
            </a:r>
          </a:p>
          <a:p>
            <a:pPr algn="l" rtl="0">
              <a:defRPr sz="1000"/>
            </a:pPr>
            <a:r>
              <a:rPr lang="ja-JP" altLang="en-US" sz="900" b="0" i="0" u="none" strike="noStrike" baseline="0">
                <a:solidFill>
                  <a:srgbClr val="000000"/>
                </a:solidFill>
                <a:latin typeface="ＭＳ Ｐゴシック"/>
                <a:ea typeface="ＭＳ Ｐゴシック"/>
              </a:rPr>
              <a:t>　　　5D:試験項目抜け</a:t>
            </a:r>
          </a:p>
          <a:p>
            <a:pPr algn="l" rtl="0">
              <a:defRPr sz="1000"/>
            </a:pPr>
            <a:r>
              <a:rPr lang="ja-JP" altLang="en-US" sz="900" b="0" i="0" u="none" strike="noStrike" baseline="0">
                <a:solidFill>
                  <a:srgbClr val="000000"/>
                </a:solidFill>
                <a:latin typeface="ＭＳ Ｐゴシック"/>
                <a:ea typeface="ＭＳ Ｐゴシック"/>
              </a:rPr>
              <a:t>　　　5Z:その他</a:t>
            </a:r>
            <a:endParaRPr lang="ja-JP" altLang="en-US"/>
          </a:p>
        </xdr:txBody>
      </xdr:sp>
    </xdr:grpSp>
    <xdr:clientData/>
  </xdr:twoCellAnchor>
  <xdr:twoCellAnchor>
    <xdr:from>
      <xdr:col>0</xdr:col>
      <xdr:colOff>171450</xdr:colOff>
      <xdr:row>33</xdr:row>
      <xdr:rowOff>38100</xdr:rowOff>
    </xdr:from>
    <xdr:to>
      <xdr:col>1</xdr:col>
      <xdr:colOff>85725</xdr:colOff>
      <xdr:row>33</xdr:row>
      <xdr:rowOff>180975</xdr:rowOff>
    </xdr:to>
    <xdr:sp macro="" textlink="">
      <xdr:nvSpPr>
        <xdr:cNvPr id="2728" name="Rectangle 12">
          <a:extLst>
            <a:ext uri="{FF2B5EF4-FFF2-40B4-BE49-F238E27FC236}">
              <a16:creationId xmlns:a16="http://schemas.microsoft.com/office/drawing/2014/main" id="{00000000-0008-0000-0100-0000A80A0000}"/>
            </a:ext>
          </a:extLst>
        </xdr:cNvPr>
        <xdr:cNvSpPr>
          <a:spLocks noChangeArrowheads="1"/>
        </xdr:cNvSpPr>
      </xdr:nvSpPr>
      <xdr:spPr bwMode="auto">
        <a:xfrm>
          <a:off x="171450" y="552450"/>
          <a:ext cx="247650" cy="142875"/>
        </a:xfrm>
        <a:prstGeom prst="rect">
          <a:avLst/>
        </a:prstGeom>
        <a:solidFill>
          <a:srgbClr val="FFFFCC"/>
        </a:solidFill>
        <a:ln w="12700">
          <a:solidFill>
            <a:srgbClr val="000000"/>
          </a:solidFill>
          <a:miter lim="800000"/>
          <a:headEnd/>
          <a:tailEnd/>
        </a:ln>
      </xdr:spPr>
    </xdr:sp>
    <xdr:clientData/>
  </xdr:twoCellAnchor>
  <xdr:twoCellAnchor>
    <xdr:from>
      <xdr:col>0</xdr:col>
      <xdr:colOff>171450</xdr:colOff>
      <xdr:row>34</xdr:row>
      <xdr:rowOff>38100</xdr:rowOff>
    </xdr:from>
    <xdr:to>
      <xdr:col>1</xdr:col>
      <xdr:colOff>57150</xdr:colOff>
      <xdr:row>35</xdr:row>
      <xdr:rowOff>0</xdr:rowOff>
    </xdr:to>
    <xdr:sp macro="" textlink="">
      <xdr:nvSpPr>
        <xdr:cNvPr id="2729" name="Rectangle 13">
          <a:extLst>
            <a:ext uri="{FF2B5EF4-FFF2-40B4-BE49-F238E27FC236}">
              <a16:creationId xmlns:a16="http://schemas.microsoft.com/office/drawing/2014/main" id="{00000000-0008-0000-0100-0000A90A0000}"/>
            </a:ext>
          </a:extLst>
        </xdr:cNvPr>
        <xdr:cNvSpPr>
          <a:spLocks noChangeArrowheads="1"/>
        </xdr:cNvSpPr>
      </xdr:nvSpPr>
      <xdr:spPr bwMode="auto">
        <a:xfrm>
          <a:off x="171450" y="742950"/>
          <a:ext cx="219075" cy="142875"/>
        </a:xfrm>
        <a:prstGeom prst="rect">
          <a:avLst/>
        </a:prstGeom>
        <a:solidFill>
          <a:srgbClr val="CCFFFF"/>
        </a:solidFill>
        <a:ln w="9525">
          <a:solidFill>
            <a:srgbClr val="000000"/>
          </a:solidFill>
          <a:miter lim="800000"/>
          <a:headEnd/>
          <a:tailEnd/>
        </a:ln>
      </xdr:spPr>
    </xdr:sp>
    <xdr:clientData/>
  </xdr:twoCellAnchor>
  <xdr:twoCellAnchor>
    <xdr:from>
      <xdr:col>1</xdr:col>
      <xdr:colOff>200025</xdr:colOff>
      <xdr:row>34</xdr:row>
      <xdr:rowOff>38100</xdr:rowOff>
    </xdr:from>
    <xdr:to>
      <xdr:col>1</xdr:col>
      <xdr:colOff>428625</xdr:colOff>
      <xdr:row>35</xdr:row>
      <xdr:rowOff>0</xdr:rowOff>
    </xdr:to>
    <xdr:sp macro="" textlink="">
      <xdr:nvSpPr>
        <xdr:cNvPr id="2730" name="Rectangle 14">
          <a:extLst>
            <a:ext uri="{FF2B5EF4-FFF2-40B4-BE49-F238E27FC236}">
              <a16:creationId xmlns:a16="http://schemas.microsoft.com/office/drawing/2014/main" id="{00000000-0008-0000-0100-0000AA0A0000}"/>
            </a:ext>
          </a:extLst>
        </xdr:cNvPr>
        <xdr:cNvSpPr>
          <a:spLocks noChangeArrowheads="1"/>
        </xdr:cNvSpPr>
      </xdr:nvSpPr>
      <xdr:spPr bwMode="auto">
        <a:xfrm>
          <a:off x="533400" y="742950"/>
          <a:ext cx="219075" cy="142875"/>
        </a:xfrm>
        <a:prstGeom prst="rect">
          <a:avLst/>
        </a:prstGeom>
        <a:solidFill>
          <a:srgbClr val="CCFFCC"/>
        </a:solidFill>
        <a:ln w="9525">
          <a:solidFill>
            <a:srgbClr val="000000"/>
          </a:solidFill>
          <a:miter lim="800000"/>
          <a:headEnd/>
          <a:tailEnd/>
        </a:ln>
      </xdr:spPr>
    </xdr:sp>
    <xdr:clientData/>
  </xdr:twoCellAnchor>
  <xdr:twoCellAnchor editAs="oneCell">
    <xdr:from>
      <xdr:col>1</xdr:col>
      <xdr:colOff>47625</xdr:colOff>
      <xdr:row>34</xdr:row>
      <xdr:rowOff>47625</xdr:rowOff>
    </xdr:from>
    <xdr:to>
      <xdr:col>1</xdr:col>
      <xdr:colOff>224608</xdr:colOff>
      <xdr:row>35</xdr:row>
      <xdr:rowOff>38100</xdr:rowOff>
    </xdr:to>
    <xdr:sp macro="" textlink="">
      <xdr:nvSpPr>
        <xdr:cNvPr id="2064" name="Text Box 16">
          <a:extLst>
            <a:ext uri="{FF2B5EF4-FFF2-40B4-BE49-F238E27FC236}">
              <a16:creationId xmlns:a16="http://schemas.microsoft.com/office/drawing/2014/main" id="{00000000-0008-0000-0100-000010080000}"/>
            </a:ext>
          </a:extLst>
        </xdr:cNvPr>
        <xdr:cNvSpPr txBox="1">
          <a:spLocks noChangeArrowheads="1"/>
        </xdr:cNvSpPr>
      </xdr:nvSpPr>
      <xdr:spPr bwMode="auto">
        <a:xfrm>
          <a:off x="381000" y="752475"/>
          <a:ext cx="180975" cy="171450"/>
        </a:xfrm>
        <a:prstGeom prst="rect">
          <a:avLst/>
        </a:prstGeom>
        <a:noFill/>
        <a:ln>
          <a:noFill/>
        </a:ln>
        <a:effectLst/>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Ｐゴシック"/>
              <a:ea typeface="ＭＳ Ｐゴシック"/>
            </a:rPr>
            <a:t>＋</a:t>
          </a:r>
        </a:p>
        <a:p>
          <a:pPr algn="l" rtl="0">
            <a:defRPr sz="1000"/>
          </a:pPr>
          <a:r>
            <a:rPr lang="ja-JP" altLang="en-US" sz="900" b="0" i="0" u="none" strike="noStrike" baseline="0">
              <a:solidFill>
                <a:srgbClr val="000000"/>
              </a:solidFill>
              <a:latin typeface="ＭＳ Ｐゴシック"/>
              <a:ea typeface="ＭＳ Ｐゴシック"/>
            </a:rPr>
            <a:t>（＋</a:t>
          </a:r>
          <a:endParaRPr lang="ja-JP" altLang="en-US"/>
        </a:p>
      </xdr:txBody>
    </xdr:sp>
    <xdr:clientData/>
  </xdr:twoCellAnchor>
  <xdr:twoCellAnchor>
    <xdr:from>
      <xdr:col>0</xdr:col>
      <xdr:colOff>76200</xdr:colOff>
      <xdr:row>32</xdr:row>
      <xdr:rowOff>9525</xdr:rowOff>
    </xdr:from>
    <xdr:to>
      <xdr:col>8</xdr:col>
      <xdr:colOff>133350</xdr:colOff>
      <xdr:row>35</xdr:row>
      <xdr:rowOff>47625</xdr:rowOff>
    </xdr:to>
    <xdr:sp macro="" textlink="">
      <xdr:nvSpPr>
        <xdr:cNvPr id="2732" name="Rectangle 17">
          <a:extLst>
            <a:ext uri="{FF2B5EF4-FFF2-40B4-BE49-F238E27FC236}">
              <a16:creationId xmlns:a16="http://schemas.microsoft.com/office/drawing/2014/main" id="{00000000-0008-0000-0100-0000AC0A0000}"/>
            </a:ext>
          </a:extLst>
        </xdr:cNvPr>
        <xdr:cNvSpPr>
          <a:spLocks noChangeArrowheads="1"/>
        </xdr:cNvSpPr>
      </xdr:nvSpPr>
      <xdr:spPr bwMode="auto">
        <a:xfrm>
          <a:off x="76200" y="323850"/>
          <a:ext cx="7115175" cy="609600"/>
        </a:xfrm>
        <a:prstGeom prst="rect">
          <a:avLst/>
        </a:prstGeom>
        <a:noFill/>
        <a:ln w="9525">
          <a:solidFill>
            <a:srgbClr val="000000"/>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9</xdr:col>
      <xdr:colOff>495300</xdr:colOff>
      <xdr:row>38</xdr:row>
      <xdr:rowOff>9525</xdr:rowOff>
    </xdr:from>
    <xdr:to>
      <xdr:col>9</xdr:col>
      <xdr:colOff>495300</xdr:colOff>
      <xdr:row>39</xdr:row>
      <xdr:rowOff>0</xdr:rowOff>
    </xdr:to>
    <xdr:sp macro="" textlink="">
      <xdr:nvSpPr>
        <xdr:cNvPr id="2733" name="Line 18">
          <a:extLst>
            <a:ext uri="{FF2B5EF4-FFF2-40B4-BE49-F238E27FC236}">
              <a16:creationId xmlns:a16="http://schemas.microsoft.com/office/drawing/2014/main" id="{00000000-0008-0000-0100-0000AD0A0000}"/>
            </a:ext>
          </a:extLst>
        </xdr:cNvPr>
        <xdr:cNvSpPr>
          <a:spLocks noChangeShapeType="1"/>
        </xdr:cNvSpPr>
      </xdr:nvSpPr>
      <xdr:spPr bwMode="auto">
        <a:xfrm>
          <a:off x="8067675" y="1552575"/>
          <a:ext cx="0" cy="1333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0</xdr:col>
      <xdr:colOff>0</xdr:colOff>
      <xdr:row>1</xdr:row>
      <xdr:rowOff>0</xdr:rowOff>
    </xdr:from>
    <xdr:to>
      <xdr:col>0</xdr:col>
      <xdr:colOff>312122</xdr:colOff>
      <xdr:row>30</xdr:row>
      <xdr:rowOff>152400</xdr:rowOff>
    </xdr:to>
    <xdr:sp macro="" textlink="">
      <xdr:nvSpPr>
        <xdr:cNvPr id="2067" name="Text Box 19">
          <a:extLst>
            <a:ext uri="{FF2B5EF4-FFF2-40B4-BE49-F238E27FC236}">
              <a16:creationId xmlns:a16="http://schemas.microsoft.com/office/drawing/2014/main" id="{00000000-0008-0000-0100-000013080000}"/>
            </a:ext>
          </a:extLst>
        </xdr:cNvPr>
        <xdr:cNvSpPr txBox="1">
          <a:spLocks noChangeArrowheads="1"/>
        </xdr:cNvSpPr>
      </xdr:nvSpPr>
      <xdr:spPr bwMode="auto">
        <a:xfrm>
          <a:off x="0" y="0"/>
          <a:ext cx="314325" cy="152400"/>
        </a:xfrm>
        <a:prstGeom prst="rect">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秘</a:t>
          </a:r>
          <a:endParaRPr lang="ja-JP" altLang="en-US"/>
        </a:p>
      </xdr:txBody>
    </xdr:sp>
    <xdr:clientData/>
  </xdr:twoCellAnchor>
  <xdr:twoCellAnchor>
    <xdr:from>
      <xdr:col>7</xdr:col>
      <xdr:colOff>438150</xdr:colOff>
      <xdr:row>41</xdr:row>
      <xdr:rowOff>28575</xdr:rowOff>
    </xdr:from>
    <xdr:to>
      <xdr:col>9</xdr:col>
      <xdr:colOff>19050</xdr:colOff>
      <xdr:row>48</xdr:row>
      <xdr:rowOff>85725</xdr:rowOff>
    </xdr:to>
    <xdr:sp macro="" textlink="">
      <xdr:nvSpPr>
        <xdr:cNvPr id="2735" name="AutoShape 258">
          <a:extLst>
            <a:ext uri="{FF2B5EF4-FFF2-40B4-BE49-F238E27FC236}">
              <a16:creationId xmlns:a16="http://schemas.microsoft.com/office/drawing/2014/main" id="{00000000-0008-0000-0100-0000AF0A0000}"/>
            </a:ext>
          </a:extLst>
        </xdr:cNvPr>
        <xdr:cNvSpPr>
          <a:spLocks noChangeArrowheads="1"/>
        </xdr:cNvSpPr>
      </xdr:nvSpPr>
      <xdr:spPr bwMode="auto">
        <a:xfrm>
          <a:off x="7019925" y="2095500"/>
          <a:ext cx="571500" cy="3819525"/>
        </a:xfrm>
        <a:prstGeom prst="roundRect">
          <a:avLst>
            <a:gd name="adj" fmla="val 16667"/>
          </a:avLst>
        </a:prstGeom>
        <a:solidFill>
          <a:srgbClr val="FF99CC">
            <a:alpha val="50195"/>
          </a:srgbClr>
        </a:solidFill>
        <a:ln w="28575">
          <a:solidFill>
            <a:srgbClr val="FF0000"/>
          </a:solidFill>
          <a:prstDash val="sysDot"/>
          <a:round/>
          <a:headEnd/>
          <a:tailEnd/>
        </a:ln>
      </xdr:spPr>
    </xdr:sp>
    <xdr:clientData/>
  </xdr:twoCellAnchor>
  <xdr:twoCellAnchor>
    <xdr:from>
      <xdr:col>9</xdr:col>
      <xdr:colOff>466725</xdr:colOff>
      <xdr:row>41</xdr:row>
      <xdr:rowOff>9525</xdr:rowOff>
    </xdr:from>
    <xdr:to>
      <xdr:col>11</xdr:col>
      <xdr:colOff>47625</xdr:colOff>
      <xdr:row>48</xdr:row>
      <xdr:rowOff>66675</xdr:rowOff>
    </xdr:to>
    <xdr:sp macro="" textlink="">
      <xdr:nvSpPr>
        <xdr:cNvPr id="2736" name="AutoShape 259">
          <a:extLst>
            <a:ext uri="{FF2B5EF4-FFF2-40B4-BE49-F238E27FC236}">
              <a16:creationId xmlns:a16="http://schemas.microsoft.com/office/drawing/2014/main" id="{00000000-0008-0000-0100-0000B00A0000}"/>
            </a:ext>
          </a:extLst>
        </xdr:cNvPr>
        <xdr:cNvSpPr>
          <a:spLocks noChangeArrowheads="1"/>
        </xdr:cNvSpPr>
      </xdr:nvSpPr>
      <xdr:spPr bwMode="auto">
        <a:xfrm>
          <a:off x="8039100" y="2076450"/>
          <a:ext cx="571500" cy="3819525"/>
        </a:xfrm>
        <a:prstGeom prst="roundRect">
          <a:avLst>
            <a:gd name="adj" fmla="val 16667"/>
          </a:avLst>
        </a:prstGeom>
        <a:solidFill>
          <a:srgbClr val="FF99CC">
            <a:alpha val="50195"/>
          </a:srgbClr>
        </a:solidFill>
        <a:ln w="28575">
          <a:solidFill>
            <a:srgbClr val="FF0000"/>
          </a:solidFill>
          <a:prstDash val="sysDot"/>
          <a:round/>
          <a:headEnd/>
          <a:tailEnd/>
        </a:ln>
      </xdr:spPr>
    </xdr:sp>
    <xdr:clientData/>
  </xdr:twoCellAnchor>
  <xdr:twoCellAnchor>
    <xdr:from>
      <xdr:col>7</xdr:col>
      <xdr:colOff>78105</xdr:colOff>
      <xdr:row>48</xdr:row>
      <xdr:rowOff>198120</xdr:rowOff>
    </xdr:from>
    <xdr:to>
      <xdr:col>8</xdr:col>
      <xdr:colOff>434138</xdr:colOff>
      <xdr:row>49</xdr:row>
      <xdr:rowOff>53340</xdr:rowOff>
    </xdr:to>
    <xdr:sp macro="" textlink="">
      <xdr:nvSpPr>
        <xdr:cNvPr id="2308" name="AutoShape 260">
          <a:extLst>
            <a:ext uri="{FF2B5EF4-FFF2-40B4-BE49-F238E27FC236}">
              <a16:creationId xmlns:a16="http://schemas.microsoft.com/office/drawing/2014/main" id="{00000000-0008-0000-0100-000004090000}"/>
            </a:ext>
          </a:extLst>
        </xdr:cNvPr>
        <xdr:cNvSpPr>
          <a:spLocks noChangeArrowheads="1"/>
        </xdr:cNvSpPr>
      </xdr:nvSpPr>
      <xdr:spPr bwMode="auto">
        <a:xfrm>
          <a:off x="5981700" y="6446520"/>
          <a:ext cx="754380" cy="236220"/>
        </a:xfrm>
        <a:prstGeom prst="wedgeRoundRectCallout">
          <a:avLst>
            <a:gd name="adj1" fmla="val -5681"/>
            <a:gd name="adj2" fmla="val -150000"/>
            <a:gd name="adj3" fmla="val 16667"/>
          </a:avLst>
        </a:prstGeom>
        <a:solidFill>
          <a:srgbClr val="FF99CC"/>
        </a:solidFill>
        <a:ln w="19050">
          <a:solidFill>
            <a:srgbClr val="FF0000"/>
          </a:solidFill>
          <a:miter lim="800000"/>
          <a:headEnd/>
          <a:tailEnd/>
        </a:ln>
        <a:effectLst/>
      </xdr:spPr>
      <xdr:txBody>
        <a:bodyPr vertOverflow="clip" wrap="square" lIns="36576" tIns="18288" rIns="0" bIns="0" anchor="t" upright="1"/>
        <a:lstStyle/>
        <a:p>
          <a:pPr algn="l" rtl="0">
            <a:defRPr sz="1000"/>
          </a:pPr>
          <a:r>
            <a:rPr lang="ja-JP" altLang="en-US" sz="1000" b="0" i="0" u="none" strike="noStrike" baseline="0">
              <a:solidFill>
                <a:srgbClr val="000000"/>
              </a:solidFill>
              <a:latin typeface="ＭＳ Ｐゴシック"/>
              <a:ea typeface="ＭＳ Ｐゴシック"/>
            </a:rPr>
            <a:t>記載すること</a:t>
          </a:r>
        </a:p>
      </xdr:txBody>
    </xdr:sp>
    <xdr:clientData/>
  </xdr:twoCellAnchor>
  <xdr:twoCellAnchor>
    <xdr:from>
      <xdr:col>7</xdr:col>
      <xdr:colOff>70485</xdr:colOff>
      <xdr:row>49</xdr:row>
      <xdr:rowOff>220980</xdr:rowOff>
    </xdr:from>
    <xdr:to>
      <xdr:col>10</xdr:col>
      <xdr:colOff>123825</xdr:colOff>
      <xdr:row>51</xdr:row>
      <xdr:rowOff>0</xdr:rowOff>
    </xdr:to>
    <xdr:sp macro="" textlink="">
      <xdr:nvSpPr>
        <xdr:cNvPr id="2309" name="AutoShape 261">
          <a:extLst>
            <a:ext uri="{FF2B5EF4-FFF2-40B4-BE49-F238E27FC236}">
              <a16:creationId xmlns:a16="http://schemas.microsoft.com/office/drawing/2014/main" id="{00000000-0008-0000-0100-000005090000}"/>
            </a:ext>
          </a:extLst>
        </xdr:cNvPr>
        <xdr:cNvSpPr>
          <a:spLocks noChangeArrowheads="1"/>
        </xdr:cNvSpPr>
      </xdr:nvSpPr>
      <xdr:spPr bwMode="auto">
        <a:xfrm>
          <a:off x="5974080" y="6850380"/>
          <a:ext cx="1424940" cy="541020"/>
        </a:xfrm>
        <a:prstGeom prst="wedgeRoundRectCallout">
          <a:avLst>
            <a:gd name="adj1" fmla="val 48194"/>
            <a:gd name="adj2" fmla="val -146491"/>
            <a:gd name="adj3" fmla="val 16667"/>
          </a:avLst>
        </a:prstGeom>
        <a:solidFill>
          <a:srgbClr val="FF99CC"/>
        </a:solidFill>
        <a:ln w="19050">
          <a:solidFill>
            <a:srgbClr val="FF0000"/>
          </a:solidFill>
          <a:miter lim="800000"/>
          <a:headEnd/>
          <a:tailEnd/>
        </a:ln>
        <a:effectLst/>
      </xdr:spPr>
      <xdr:txBody>
        <a:bodyPr vertOverflow="clip" wrap="square" lIns="36576" tIns="18288" rIns="0" bIns="0" anchor="t" upright="1"/>
        <a:lstStyle/>
        <a:p>
          <a:pPr algn="l" rtl="0">
            <a:lnSpc>
              <a:spcPts val="1200"/>
            </a:lnSpc>
            <a:defRPr sz="1000"/>
          </a:pPr>
          <a:r>
            <a:rPr lang="ja-JP" altLang="en-US" sz="1000" b="0" i="0" u="none" strike="noStrike" baseline="0">
              <a:solidFill>
                <a:srgbClr val="000000"/>
              </a:solidFill>
              <a:latin typeface="ＭＳ Ｐゴシック"/>
              <a:ea typeface="ＭＳ Ｐゴシック"/>
            </a:rPr>
            <a:t>日付　</a:t>
          </a:r>
          <a:r>
            <a:rPr lang="en-US" altLang="ja-JP" sz="1000" b="0" i="0" u="none" strike="noStrike" baseline="0">
              <a:solidFill>
                <a:srgbClr val="000000"/>
              </a:solidFill>
              <a:latin typeface="ＭＳ Ｐゴシック"/>
              <a:ea typeface="ＭＳ Ｐゴシック"/>
            </a:rPr>
            <a:t>OK/NG</a:t>
          </a:r>
          <a:r>
            <a:rPr lang="ja-JP" altLang="en-US" sz="1000" b="0" i="0" u="none" strike="noStrike" baseline="0">
              <a:solidFill>
                <a:srgbClr val="000000"/>
              </a:solidFill>
              <a:latin typeface="ＭＳ Ｐゴシック"/>
              <a:ea typeface="ＭＳ Ｐゴシック"/>
            </a:rPr>
            <a:t>を記載。</a:t>
          </a:r>
        </a:p>
        <a:p>
          <a:pPr algn="l" rtl="0">
            <a:lnSpc>
              <a:spcPts val="1200"/>
            </a:lnSpc>
            <a:defRPr sz="1000"/>
          </a:pPr>
          <a:r>
            <a:rPr lang="en-US" altLang="ja-JP" sz="1000" b="0" i="0" u="none" strike="noStrike" baseline="0">
              <a:solidFill>
                <a:srgbClr val="000000"/>
              </a:solidFill>
              <a:latin typeface="ＭＳ Ｐゴシック"/>
              <a:ea typeface="ＭＳ Ｐゴシック"/>
            </a:rPr>
            <a:t>NG</a:t>
          </a:r>
          <a:r>
            <a:rPr lang="ja-JP" altLang="en-US" sz="1000" b="0" i="0" u="none" strike="noStrike" baseline="0">
              <a:solidFill>
                <a:srgbClr val="000000"/>
              </a:solidFill>
              <a:latin typeface="ＭＳ Ｐゴシック"/>
              <a:ea typeface="ＭＳ Ｐゴシック"/>
            </a:rPr>
            <a:t>の場合は行を追加し、指摘内容を記載すること。</a:t>
          </a:r>
        </a:p>
      </xdr:txBody>
    </xdr:sp>
    <xdr:clientData/>
  </xdr:twoCellAnchor>
  <xdr:twoCellAnchor>
    <xdr:from>
      <xdr:col>9</xdr:col>
      <xdr:colOff>219075</xdr:colOff>
      <xdr:row>35</xdr:row>
      <xdr:rowOff>95250</xdr:rowOff>
    </xdr:from>
    <xdr:to>
      <xdr:col>10</xdr:col>
      <xdr:colOff>152400</xdr:colOff>
      <xdr:row>37</xdr:row>
      <xdr:rowOff>57150</xdr:rowOff>
    </xdr:to>
    <xdr:sp macro="" textlink="">
      <xdr:nvSpPr>
        <xdr:cNvPr id="2739" name="AutoShape 262">
          <a:extLst>
            <a:ext uri="{FF2B5EF4-FFF2-40B4-BE49-F238E27FC236}">
              <a16:creationId xmlns:a16="http://schemas.microsoft.com/office/drawing/2014/main" id="{00000000-0008-0000-0100-0000B30A0000}"/>
            </a:ext>
          </a:extLst>
        </xdr:cNvPr>
        <xdr:cNvSpPr>
          <a:spLocks noChangeArrowheads="1"/>
        </xdr:cNvSpPr>
      </xdr:nvSpPr>
      <xdr:spPr bwMode="auto">
        <a:xfrm>
          <a:off x="7791450" y="981075"/>
          <a:ext cx="466725" cy="323850"/>
        </a:xfrm>
        <a:prstGeom prst="roundRect">
          <a:avLst>
            <a:gd name="adj" fmla="val 16667"/>
          </a:avLst>
        </a:prstGeom>
        <a:solidFill>
          <a:srgbClr val="FF99CC">
            <a:alpha val="50195"/>
          </a:srgbClr>
        </a:solidFill>
        <a:ln w="28575">
          <a:solidFill>
            <a:srgbClr val="FF0000"/>
          </a:solidFill>
          <a:prstDash val="sysDot"/>
          <a:round/>
          <a:headEnd/>
          <a:tailEnd/>
        </a:ln>
      </xdr:spPr>
    </xdr:sp>
    <xdr:clientData/>
  </xdr:twoCellAnchor>
  <xdr:twoCellAnchor>
    <xdr:from>
      <xdr:col>5</xdr:col>
      <xdr:colOff>887730</xdr:colOff>
      <xdr:row>35</xdr:row>
      <xdr:rowOff>7620</xdr:rowOff>
    </xdr:from>
    <xdr:to>
      <xdr:col>7</xdr:col>
      <xdr:colOff>139359</xdr:colOff>
      <xdr:row>37</xdr:row>
      <xdr:rowOff>190500</xdr:rowOff>
    </xdr:to>
    <xdr:sp macro="" textlink="">
      <xdr:nvSpPr>
        <xdr:cNvPr id="2311" name="AutoShape 263">
          <a:extLst>
            <a:ext uri="{FF2B5EF4-FFF2-40B4-BE49-F238E27FC236}">
              <a16:creationId xmlns:a16="http://schemas.microsoft.com/office/drawing/2014/main" id="{00000000-0008-0000-0100-000007090000}"/>
            </a:ext>
          </a:extLst>
        </xdr:cNvPr>
        <xdr:cNvSpPr>
          <a:spLocks noChangeArrowheads="1"/>
        </xdr:cNvSpPr>
      </xdr:nvSpPr>
      <xdr:spPr bwMode="auto">
        <a:xfrm>
          <a:off x="4617720" y="883920"/>
          <a:ext cx="1424940" cy="541020"/>
        </a:xfrm>
        <a:prstGeom prst="wedgeRoundRectCallout">
          <a:avLst>
            <a:gd name="adj1" fmla="val 107227"/>
            <a:gd name="adj2" fmla="val 25440"/>
            <a:gd name="adj3" fmla="val 16667"/>
          </a:avLst>
        </a:prstGeom>
        <a:solidFill>
          <a:srgbClr val="FF99CC"/>
        </a:solidFill>
        <a:ln w="19050">
          <a:solidFill>
            <a:srgbClr val="FF0000"/>
          </a:solidFill>
          <a:miter lim="800000"/>
          <a:headEnd/>
          <a:tailEnd/>
        </a:ln>
        <a:effectLst/>
      </xdr:spPr>
      <xdr:txBody>
        <a:bodyPr vertOverflow="clip" wrap="square" lIns="36576" tIns="18288" rIns="0" bIns="0" anchor="t" upright="1"/>
        <a:lstStyle/>
        <a:p>
          <a:pPr algn="l" rtl="0">
            <a:lnSpc>
              <a:spcPts val="1200"/>
            </a:lnSpc>
            <a:defRPr sz="1000"/>
          </a:pPr>
          <a:r>
            <a:rPr lang="ja-JP" altLang="en-US" sz="1000" b="0" i="0" u="none" strike="noStrike" baseline="0">
              <a:solidFill>
                <a:srgbClr val="000000"/>
              </a:solidFill>
              <a:latin typeface="ＭＳ Ｐゴシック"/>
              <a:ea typeface="ＭＳ Ｐゴシック"/>
            </a:rPr>
            <a:t>ページ数を記載。</a:t>
          </a:r>
        </a:p>
        <a:p>
          <a:pPr algn="l" rtl="0">
            <a:lnSpc>
              <a:spcPts val="1100"/>
            </a:lnSpc>
            <a:defRPr sz="1000"/>
          </a:pPr>
          <a:r>
            <a:rPr lang="ja-JP" altLang="en-US" sz="1000" b="0" i="0" u="none" strike="noStrike" baseline="0">
              <a:solidFill>
                <a:srgbClr val="000000"/>
              </a:solidFill>
              <a:latin typeface="ＭＳ Ｐゴシック"/>
              <a:ea typeface="ＭＳ Ｐゴシック"/>
            </a:rPr>
            <a:t>これで指摘率、密度が算出されます。</a:t>
          </a:r>
        </a:p>
      </xdr:txBody>
    </xdr:sp>
    <xdr:clientData/>
  </xdr:twoCellAnchor>
  <xdr:twoCellAnchor>
    <xdr:from>
      <xdr:col>0</xdr:col>
      <xdr:colOff>234315</xdr:colOff>
      <xdr:row>43</xdr:row>
      <xdr:rowOff>219075</xdr:rowOff>
    </xdr:from>
    <xdr:to>
      <xdr:col>4</xdr:col>
      <xdr:colOff>64791</xdr:colOff>
      <xdr:row>47</xdr:row>
      <xdr:rowOff>333375</xdr:rowOff>
    </xdr:to>
    <xdr:sp macro="" textlink="">
      <xdr:nvSpPr>
        <xdr:cNvPr id="2312" name="AutoShape 264">
          <a:extLst>
            <a:ext uri="{FF2B5EF4-FFF2-40B4-BE49-F238E27FC236}">
              <a16:creationId xmlns:a16="http://schemas.microsoft.com/office/drawing/2014/main" id="{00000000-0008-0000-0100-000008090000}"/>
            </a:ext>
          </a:extLst>
        </xdr:cNvPr>
        <xdr:cNvSpPr>
          <a:spLocks noChangeArrowheads="1"/>
        </xdr:cNvSpPr>
      </xdr:nvSpPr>
      <xdr:spPr bwMode="auto">
        <a:xfrm>
          <a:off x="234315" y="2619375"/>
          <a:ext cx="3554751" cy="1562100"/>
        </a:xfrm>
        <a:prstGeom prst="wedgeRoundRectCallout">
          <a:avLst>
            <a:gd name="adj1" fmla="val -27476"/>
            <a:gd name="adj2" fmla="val -132264"/>
            <a:gd name="adj3" fmla="val 16667"/>
          </a:avLst>
        </a:prstGeom>
        <a:solidFill>
          <a:srgbClr val="FF99CC"/>
        </a:solidFill>
        <a:ln w="19050">
          <a:solidFill>
            <a:srgbClr val="FF0000"/>
          </a:solidFill>
          <a:miter lim="800000"/>
          <a:headEnd/>
          <a:tailEnd/>
        </a:ln>
        <a:effectLst/>
      </xdr:spPr>
      <xdr:txBody>
        <a:bodyPr vertOverflow="clip" wrap="square" lIns="36576" tIns="18288" rIns="0" bIns="0" anchor="t" upright="1"/>
        <a:lstStyle/>
        <a:p>
          <a:pPr algn="l" rtl="0">
            <a:lnSpc>
              <a:spcPts val="1200"/>
            </a:lnSpc>
            <a:defRPr sz="1000"/>
          </a:pPr>
          <a:r>
            <a:rPr lang="ja-JP" altLang="en-US" sz="1000" b="0" i="0" u="none" strike="noStrike" baseline="0">
              <a:solidFill>
                <a:srgbClr val="000000"/>
              </a:solidFill>
              <a:latin typeface="ＭＳ Ｐゴシック"/>
              <a:ea typeface="ＭＳ Ｐゴシック"/>
            </a:rPr>
            <a:t>レビュー対象のファイル名を記載</a:t>
          </a:r>
        </a:p>
      </xdr:txBody>
    </xdr:sp>
    <xdr:clientData/>
  </xdr:twoCellAnchor>
  <xdr:twoCellAnchor>
    <xdr:from>
      <xdr:col>1</xdr:col>
      <xdr:colOff>142875</xdr:colOff>
      <xdr:row>37</xdr:row>
      <xdr:rowOff>85725</xdr:rowOff>
    </xdr:from>
    <xdr:to>
      <xdr:col>5</xdr:col>
      <xdr:colOff>104775</xdr:colOff>
      <xdr:row>38</xdr:row>
      <xdr:rowOff>57150</xdr:rowOff>
    </xdr:to>
    <xdr:sp macro="" textlink="">
      <xdr:nvSpPr>
        <xdr:cNvPr id="2742" name="AutoShape 265">
          <a:extLst>
            <a:ext uri="{FF2B5EF4-FFF2-40B4-BE49-F238E27FC236}">
              <a16:creationId xmlns:a16="http://schemas.microsoft.com/office/drawing/2014/main" id="{00000000-0008-0000-0100-0000B60A0000}"/>
            </a:ext>
          </a:extLst>
        </xdr:cNvPr>
        <xdr:cNvSpPr>
          <a:spLocks noChangeArrowheads="1"/>
        </xdr:cNvSpPr>
      </xdr:nvSpPr>
      <xdr:spPr bwMode="auto">
        <a:xfrm>
          <a:off x="476250" y="1333500"/>
          <a:ext cx="3886200" cy="266700"/>
        </a:xfrm>
        <a:prstGeom prst="roundRect">
          <a:avLst>
            <a:gd name="adj" fmla="val 16667"/>
          </a:avLst>
        </a:prstGeom>
        <a:solidFill>
          <a:srgbClr val="FF99CC">
            <a:alpha val="30196"/>
          </a:srgbClr>
        </a:solidFill>
        <a:ln w="28575">
          <a:solidFill>
            <a:srgbClr val="FF0000"/>
          </a:solidFill>
          <a:prstDash val="sysDot"/>
          <a:round/>
          <a:headEnd/>
          <a:tailEnd/>
        </a:ln>
      </xdr:spPr>
    </xdr:sp>
    <xdr:clientData/>
  </xdr:twoCellAnchor>
  <xdr:twoCellAnchor>
    <xdr:from>
      <xdr:col>2</xdr:col>
      <xdr:colOff>2352675</xdr:colOff>
      <xdr:row>39</xdr:row>
      <xdr:rowOff>114300</xdr:rowOff>
    </xdr:from>
    <xdr:to>
      <xdr:col>4</xdr:col>
      <xdr:colOff>76200</xdr:colOff>
      <xdr:row>41</xdr:row>
      <xdr:rowOff>57150</xdr:rowOff>
    </xdr:to>
    <xdr:sp macro="" textlink="">
      <xdr:nvSpPr>
        <xdr:cNvPr id="2743" name="AutoShape 266">
          <a:extLst>
            <a:ext uri="{FF2B5EF4-FFF2-40B4-BE49-F238E27FC236}">
              <a16:creationId xmlns:a16="http://schemas.microsoft.com/office/drawing/2014/main" id="{00000000-0008-0000-0100-0000B70A0000}"/>
            </a:ext>
          </a:extLst>
        </xdr:cNvPr>
        <xdr:cNvSpPr>
          <a:spLocks noChangeArrowheads="1"/>
        </xdr:cNvSpPr>
      </xdr:nvSpPr>
      <xdr:spPr bwMode="auto">
        <a:xfrm>
          <a:off x="3105150" y="1800225"/>
          <a:ext cx="695325" cy="323850"/>
        </a:xfrm>
        <a:prstGeom prst="roundRect">
          <a:avLst>
            <a:gd name="adj" fmla="val 16667"/>
          </a:avLst>
        </a:prstGeom>
        <a:solidFill>
          <a:srgbClr val="FF99CC">
            <a:alpha val="30196"/>
          </a:srgbClr>
        </a:solidFill>
        <a:ln w="28575">
          <a:solidFill>
            <a:srgbClr val="FF0000"/>
          </a:solidFill>
          <a:prstDash val="sysDot"/>
          <a:round/>
          <a:headEnd/>
          <a:tailEnd/>
        </a:ln>
      </xdr:spPr>
    </xdr:sp>
    <xdr:clientData/>
  </xdr:twoCellAnchor>
  <xdr:twoCellAnchor>
    <xdr:from>
      <xdr:col>5</xdr:col>
      <xdr:colOff>45720</xdr:colOff>
      <xdr:row>42</xdr:row>
      <xdr:rowOff>99060</xdr:rowOff>
    </xdr:from>
    <xdr:to>
      <xdr:col>5</xdr:col>
      <xdr:colOff>1624748</xdr:colOff>
      <xdr:row>43</xdr:row>
      <xdr:rowOff>384810</xdr:rowOff>
    </xdr:to>
    <xdr:sp macro="" textlink="">
      <xdr:nvSpPr>
        <xdr:cNvPr id="2315" name="AutoShape 267">
          <a:extLst>
            <a:ext uri="{FF2B5EF4-FFF2-40B4-BE49-F238E27FC236}">
              <a16:creationId xmlns:a16="http://schemas.microsoft.com/office/drawing/2014/main" id="{00000000-0008-0000-0100-00000B090000}"/>
            </a:ext>
          </a:extLst>
        </xdr:cNvPr>
        <xdr:cNvSpPr>
          <a:spLocks noChangeArrowheads="1"/>
        </xdr:cNvSpPr>
      </xdr:nvSpPr>
      <xdr:spPr bwMode="auto">
        <a:xfrm>
          <a:off x="3870960" y="2209800"/>
          <a:ext cx="1417320" cy="632460"/>
        </a:xfrm>
        <a:prstGeom prst="wedgeRoundRectCallout">
          <a:avLst>
            <a:gd name="adj1" fmla="val -80120"/>
            <a:gd name="adj2" fmla="val -86843"/>
            <a:gd name="adj3" fmla="val 16667"/>
          </a:avLst>
        </a:prstGeom>
        <a:solidFill>
          <a:srgbClr val="FF99CC"/>
        </a:solidFill>
        <a:ln w="19050">
          <a:solidFill>
            <a:srgbClr val="FF0000"/>
          </a:solidFill>
          <a:miter lim="800000"/>
          <a:headEnd/>
          <a:tailEnd/>
        </a:ln>
        <a:effectLst/>
      </xdr:spPr>
      <xdr:txBody>
        <a:bodyPr vertOverflow="clip" wrap="square" lIns="36576" tIns="18288" rIns="0" bIns="0" anchor="t" upright="1"/>
        <a:lstStyle/>
        <a:p>
          <a:pPr algn="l" rtl="0">
            <a:lnSpc>
              <a:spcPts val="1200"/>
            </a:lnSpc>
            <a:defRPr sz="1000"/>
          </a:pPr>
          <a:r>
            <a:rPr lang="ja-JP" altLang="en-US" sz="1000" b="0" i="0" u="none" strike="noStrike" baseline="0">
              <a:solidFill>
                <a:srgbClr val="000000"/>
              </a:solidFill>
              <a:latin typeface="ＭＳ Ｐゴシック"/>
              <a:ea typeface="ＭＳ Ｐゴシック"/>
            </a:rPr>
            <a:t>トータルの時間を記入</a:t>
          </a:r>
        </a:p>
        <a:p>
          <a:pPr algn="l" rtl="0">
            <a:lnSpc>
              <a:spcPts val="1100"/>
            </a:lnSpc>
            <a:defRPr sz="1000"/>
          </a:pPr>
          <a:r>
            <a:rPr lang="en-US" altLang="ja-JP" sz="1000" b="0" i="0" u="none" strike="noStrike" baseline="0">
              <a:solidFill>
                <a:srgbClr val="000000"/>
              </a:solidFill>
              <a:latin typeface="ＭＳ Ｐゴシック"/>
              <a:ea typeface="ＭＳ Ｐゴシック"/>
            </a:rPr>
            <a:t>2</a:t>
          </a:r>
          <a:r>
            <a:rPr lang="ja-JP" altLang="en-US" sz="1000" b="0" i="0" u="none" strike="noStrike" baseline="0">
              <a:solidFill>
                <a:srgbClr val="000000"/>
              </a:solidFill>
              <a:latin typeface="ＭＳ Ｐゴシック"/>
              <a:ea typeface="ＭＳ Ｐゴシック"/>
            </a:rPr>
            <a:t>人で</a:t>
          </a:r>
          <a:r>
            <a:rPr lang="en-US" altLang="ja-JP" sz="1000" b="0" i="0" u="none" strike="noStrike" baseline="0">
              <a:solidFill>
                <a:srgbClr val="000000"/>
              </a:solidFill>
              <a:latin typeface="ＭＳ Ｐゴシック"/>
              <a:ea typeface="ＭＳ Ｐゴシック"/>
            </a:rPr>
            <a:t>1</a:t>
          </a:r>
          <a:r>
            <a:rPr lang="ja-JP" altLang="en-US" sz="1000" b="0" i="0" u="none" strike="noStrike" baseline="0">
              <a:solidFill>
                <a:srgbClr val="000000"/>
              </a:solidFill>
              <a:latin typeface="ＭＳ Ｐゴシック"/>
              <a:ea typeface="ＭＳ Ｐゴシック"/>
            </a:rPr>
            <a:t>時間なら</a:t>
          </a:r>
          <a:r>
            <a:rPr lang="en-US" altLang="ja-JP" sz="1000" b="0" i="0" u="none" strike="noStrike" baseline="0">
              <a:solidFill>
                <a:srgbClr val="000000"/>
              </a:solidFill>
              <a:latin typeface="ＭＳ Ｐゴシック"/>
              <a:ea typeface="ＭＳ Ｐゴシック"/>
            </a:rPr>
            <a:t>2.0</a:t>
          </a:r>
          <a:r>
            <a:rPr lang="ja-JP" altLang="en-US" sz="1000" b="0" i="0" u="none" strike="noStrike" baseline="0">
              <a:solidFill>
                <a:srgbClr val="000000"/>
              </a:solidFill>
              <a:latin typeface="ＭＳ Ｐゴシック"/>
              <a:ea typeface="ＭＳ Ｐゴシック"/>
            </a:rPr>
            <a:t>時間になります。</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64</xdr:row>
      <xdr:rowOff>9525</xdr:rowOff>
    </xdr:from>
    <xdr:to>
      <xdr:col>2</xdr:col>
      <xdr:colOff>1895781</xdr:colOff>
      <xdr:row>75</xdr:row>
      <xdr:rowOff>0</xdr:rowOff>
    </xdr:to>
    <xdr:sp macro="" textlink="">
      <xdr:nvSpPr>
        <xdr:cNvPr id="2050" name="Text Box 2">
          <a:extLst>
            <a:ext uri="{FF2B5EF4-FFF2-40B4-BE49-F238E27FC236}">
              <a16:creationId xmlns:a16="http://schemas.microsoft.com/office/drawing/2014/main" id="{00000000-0008-0000-0200-000002080000}"/>
            </a:ext>
          </a:extLst>
        </xdr:cNvPr>
        <xdr:cNvSpPr txBox="1">
          <a:spLocks noChangeArrowheads="1"/>
        </xdr:cNvSpPr>
      </xdr:nvSpPr>
      <xdr:spPr bwMode="auto">
        <a:xfrm>
          <a:off x="0" y="10201275"/>
          <a:ext cx="2638425" cy="1876425"/>
        </a:xfrm>
        <a:prstGeom prst="rect">
          <a:avLst/>
        </a:prstGeom>
        <a:solidFill>
          <a:srgbClr val="FFFFFF"/>
        </a:solidFill>
        <a:ln w="9525">
          <a:solidFill>
            <a:srgbClr val="000000"/>
          </a:solidFill>
          <a:miter lim="800000"/>
          <a:headEnd/>
          <a:tailEnd/>
        </a:ln>
        <a:effectLst/>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Ｐゴシック"/>
              <a:ea typeface="ＭＳ Ｐゴシック"/>
            </a:rPr>
            <a:t>　(D)計画段階での誤り　</a:t>
          </a:r>
        </a:p>
        <a:p>
          <a:pPr algn="l" rtl="0">
            <a:defRPr sz="1000"/>
          </a:pPr>
          <a:r>
            <a:rPr lang="ja-JP" altLang="en-US" sz="800" b="0" i="0" u="none" strike="noStrike" baseline="0">
              <a:solidFill>
                <a:srgbClr val="000000"/>
              </a:solidFill>
              <a:latin typeface="ＭＳ Ｐゴシック"/>
              <a:ea typeface="ＭＳ Ｐゴシック"/>
            </a:rPr>
            <a:t>　　　D1：計画内容の抜け</a:t>
          </a:r>
        </a:p>
        <a:p>
          <a:pPr algn="l" rtl="0">
            <a:lnSpc>
              <a:spcPts val="900"/>
            </a:lnSpc>
            <a:defRPr sz="1000"/>
          </a:pPr>
          <a:r>
            <a:rPr lang="ja-JP" altLang="en-US" sz="800" b="0" i="0" u="none" strike="noStrike" baseline="0">
              <a:solidFill>
                <a:srgbClr val="000000"/>
              </a:solidFill>
              <a:latin typeface="ＭＳ Ｐゴシック"/>
              <a:ea typeface="ＭＳ Ｐゴシック"/>
            </a:rPr>
            <a:t>　　　D2：計画内容の誤り，不整合，記述不足</a:t>
          </a:r>
        </a:p>
        <a:p>
          <a:pPr algn="l" rtl="0">
            <a:defRPr sz="1000"/>
          </a:pPr>
          <a:r>
            <a:rPr lang="ja-JP" altLang="en-US" sz="800" b="0" i="0" u="none" strike="noStrike" baseline="0">
              <a:solidFill>
                <a:srgbClr val="000000"/>
              </a:solidFill>
              <a:latin typeface="ＭＳ Ｐゴシック"/>
              <a:ea typeface="ＭＳ Ｐゴシック"/>
            </a:rPr>
            <a:t>　　　DZ：その他</a:t>
          </a:r>
        </a:p>
        <a:p>
          <a:pPr algn="l" rtl="0">
            <a:lnSpc>
              <a:spcPts val="900"/>
            </a:lnSpc>
            <a:defRPr sz="1000"/>
          </a:pPr>
          <a:r>
            <a:rPr lang="ja-JP" altLang="en-US" sz="800" b="0" i="0" u="none" strike="noStrike" baseline="0">
              <a:solidFill>
                <a:srgbClr val="000000"/>
              </a:solidFill>
              <a:latin typeface="ＭＳ Ｐゴシック"/>
              <a:ea typeface="ＭＳ Ｐゴシック"/>
            </a:rPr>
            <a:t>　(0) 要件定義段階での誤り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0A:要件の抜け及び解釈誤り</a:t>
          </a:r>
        </a:p>
        <a:p>
          <a:pPr algn="l" rtl="0">
            <a:defRPr sz="1000"/>
          </a:pPr>
          <a:r>
            <a:rPr lang="ja-JP" altLang="en-US" sz="800" b="0" i="0" u="none" strike="noStrike" baseline="0">
              <a:solidFill>
                <a:srgbClr val="000000"/>
              </a:solidFill>
              <a:latin typeface="ＭＳ Ｐゴシック"/>
              <a:ea typeface="ＭＳ Ｐゴシック"/>
            </a:rPr>
            <a:t>　　　0B:要件定義の誤り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0C:システム化対象範囲外とのI/Fの誤り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0Z:その他</a:t>
          </a:r>
        </a:p>
        <a:p>
          <a:pPr algn="l" rtl="0">
            <a:defRPr sz="1000"/>
          </a:pPr>
          <a:r>
            <a:rPr lang="ja-JP" altLang="en-US" sz="800" b="0" i="0" u="none" strike="noStrike" baseline="0">
              <a:solidFill>
                <a:srgbClr val="000000"/>
              </a:solidFill>
              <a:latin typeface="ＭＳ Ｐゴシック"/>
              <a:ea typeface="ＭＳ Ｐゴシック"/>
            </a:rPr>
            <a:t>　(1) </a:t>
          </a:r>
          <a:r>
            <a:rPr lang="ja-JP" altLang="en-US" sz="800" b="0" i="0" u="none" strike="noStrike" baseline="0">
              <a:solidFill>
                <a:sysClr val="windowText" lastClr="000000"/>
              </a:solidFill>
              <a:latin typeface="ＭＳ Ｐゴシック"/>
              <a:ea typeface="ＭＳ Ｐゴシック"/>
            </a:rPr>
            <a:t>基本</a:t>
          </a:r>
          <a:r>
            <a:rPr lang="ja-JP" altLang="en-US" sz="800" b="0" i="0" u="none" strike="noStrike" baseline="0">
              <a:solidFill>
                <a:srgbClr val="000000"/>
              </a:solidFill>
              <a:latin typeface="ＭＳ Ｐゴシック"/>
              <a:ea typeface="ＭＳ Ｐゴシック"/>
            </a:rPr>
            <a:t>設計(外部設計)段階での誤り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1A:外部仕様の抜け及び要件定義の解釈誤り</a:t>
          </a:r>
        </a:p>
        <a:p>
          <a:pPr algn="l" rtl="0">
            <a:defRPr sz="1000"/>
          </a:pPr>
          <a:r>
            <a:rPr lang="ja-JP" altLang="en-US" sz="800" b="0" i="0" u="none" strike="noStrike" baseline="0">
              <a:solidFill>
                <a:srgbClr val="000000"/>
              </a:solidFill>
              <a:latin typeface="ＭＳ Ｐゴシック"/>
              <a:ea typeface="ＭＳ Ｐゴシック"/>
            </a:rPr>
            <a:t>　　　1B:外部仕様の誤り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1C:機能間I/F仕様の誤り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1Z:その他</a:t>
          </a:r>
          <a:endParaRPr lang="ja-JP" altLang="en-US"/>
        </a:p>
      </xdr:txBody>
    </xdr:sp>
    <xdr:clientData/>
  </xdr:twoCellAnchor>
  <xdr:twoCellAnchor>
    <xdr:from>
      <xdr:col>2</xdr:col>
      <xdr:colOff>1945005</xdr:colOff>
      <xdr:row>64</xdr:row>
      <xdr:rowOff>28575</xdr:rowOff>
    </xdr:from>
    <xdr:to>
      <xdr:col>5</xdr:col>
      <xdr:colOff>1611661</xdr:colOff>
      <xdr:row>75</xdr:row>
      <xdr:rowOff>0</xdr:rowOff>
    </xdr:to>
    <xdr:sp macro="" textlink="">
      <xdr:nvSpPr>
        <xdr:cNvPr id="2051" name="Text Box 3">
          <a:extLst>
            <a:ext uri="{FF2B5EF4-FFF2-40B4-BE49-F238E27FC236}">
              <a16:creationId xmlns:a16="http://schemas.microsoft.com/office/drawing/2014/main" id="{00000000-0008-0000-0200-000003080000}"/>
            </a:ext>
          </a:extLst>
        </xdr:cNvPr>
        <xdr:cNvSpPr txBox="1">
          <a:spLocks noChangeArrowheads="1"/>
        </xdr:cNvSpPr>
      </xdr:nvSpPr>
      <xdr:spPr bwMode="auto">
        <a:xfrm>
          <a:off x="2695575" y="10220325"/>
          <a:ext cx="3171825" cy="1857375"/>
        </a:xfrm>
        <a:prstGeom prst="rect">
          <a:avLst/>
        </a:prstGeom>
        <a:solidFill>
          <a:srgbClr val="FFFFFF"/>
        </a:solidFill>
        <a:ln w="9525">
          <a:solidFill>
            <a:srgbClr val="000000"/>
          </a:solidFill>
          <a:miter lim="800000"/>
          <a:headEnd/>
          <a:tailEnd/>
        </a:ln>
        <a:effectLst/>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Ｐゴシック"/>
              <a:ea typeface="ＭＳ Ｐゴシック"/>
            </a:rPr>
            <a:t>　(2) </a:t>
          </a:r>
          <a:r>
            <a:rPr lang="ja-JP" altLang="en-US" sz="800" b="0" i="0" u="none" strike="noStrike" baseline="0">
              <a:solidFill>
                <a:sysClr val="windowText" lastClr="000000"/>
              </a:solidFill>
              <a:latin typeface="ＭＳ Ｐゴシック"/>
              <a:ea typeface="ＭＳ Ｐゴシック"/>
            </a:rPr>
            <a:t>詳細</a:t>
          </a:r>
          <a:r>
            <a:rPr lang="ja-JP" altLang="en-US" sz="800" b="0" i="0" u="none" strike="noStrike" baseline="0">
              <a:solidFill>
                <a:srgbClr val="000000"/>
              </a:solidFill>
              <a:latin typeface="ＭＳ Ｐゴシック"/>
              <a:ea typeface="ＭＳ Ｐゴシック"/>
            </a:rPr>
            <a:t>設計/PRG設計(内部設計)段階での誤り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2A:内部設計漏れ及び外部仕様の解釈誤り</a:t>
          </a:r>
        </a:p>
        <a:p>
          <a:pPr algn="l" rtl="0">
            <a:defRPr sz="1000"/>
          </a:pPr>
          <a:r>
            <a:rPr lang="ja-JP" altLang="en-US" sz="800" b="0" i="0" u="none" strike="noStrike" baseline="0">
              <a:solidFill>
                <a:srgbClr val="000000"/>
              </a:solidFill>
              <a:latin typeface="ＭＳ Ｐゴシック"/>
              <a:ea typeface="ＭＳ Ｐゴシック"/>
            </a:rPr>
            <a:t>　　　2B:内部設計の誤り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2C:モジュール間I/F仕様の誤り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2Z:その他</a:t>
          </a:r>
        </a:p>
        <a:p>
          <a:pPr algn="l" rtl="0">
            <a:defRPr sz="1000"/>
          </a:pPr>
          <a:r>
            <a:rPr lang="ja-JP" altLang="en-US" sz="800" b="0" i="0" u="none" strike="noStrike" baseline="0">
              <a:solidFill>
                <a:srgbClr val="000000"/>
              </a:solidFill>
              <a:latin typeface="ＭＳ Ｐゴシック"/>
              <a:ea typeface="ＭＳ Ｐゴシック"/>
            </a:rPr>
            <a:t>　(3) コーディング段階での誤り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3A:設計どおりのコーディングがされていない</a:t>
          </a:r>
        </a:p>
        <a:p>
          <a:pPr algn="l" rtl="0">
            <a:lnSpc>
              <a:spcPts val="900"/>
            </a:lnSpc>
            <a:defRPr sz="1000"/>
          </a:pPr>
          <a:r>
            <a:rPr lang="ja-JP" altLang="en-US" sz="800" b="0" i="0" u="none" strike="noStrike" baseline="0">
              <a:solidFill>
                <a:srgbClr val="000000"/>
              </a:solidFill>
              <a:latin typeface="ＭＳ Ｐゴシック"/>
              <a:ea typeface="ＭＳ Ｐゴシック"/>
            </a:rPr>
            <a:t>　　　3B:不注意なコーディング・ミス</a:t>
          </a:r>
        </a:p>
        <a:p>
          <a:pPr algn="l" rtl="0">
            <a:lnSpc>
              <a:spcPts val="900"/>
            </a:lnSpc>
            <a:defRPr sz="1000"/>
          </a:pPr>
          <a:r>
            <a:rPr lang="ja-JP" altLang="en-US" sz="800" b="0" i="0" u="none" strike="noStrike" baseline="0">
              <a:solidFill>
                <a:srgbClr val="000000"/>
              </a:solidFill>
              <a:latin typeface="ＭＳ Ｐゴシック"/>
              <a:ea typeface="ＭＳ Ｐゴシック"/>
            </a:rPr>
            <a:t>　　　3Z:その他</a:t>
          </a:r>
          <a:endParaRPr lang="ja-JP" altLang="en-US"/>
        </a:p>
      </xdr:txBody>
    </xdr:sp>
    <xdr:clientData/>
  </xdr:twoCellAnchor>
  <xdr:twoCellAnchor>
    <xdr:from>
      <xdr:col>5</xdr:col>
      <xdr:colOff>1653540</xdr:colOff>
      <xdr:row>64</xdr:row>
      <xdr:rowOff>11430</xdr:rowOff>
    </xdr:from>
    <xdr:to>
      <xdr:col>10</xdr:col>
      <xdr:colOff>449409</xdr:colOff>
      <xdr:row>74</xdr:row>
      <xdr:rowOff>161949</xdr:rowOff>
    </xdr:to>
    <xdr:sp macro="" textlink="">
      <xdr:nvSpPr>
        <xdr:cNvPr id="2052" name="Text Box 4">
          <a:extLst>
            <a:ext uri="{FF2B5EF4-FFF2-40B4-BE49-F238E27FC236}">
              <a16:creationId xmlns:a16="http://schemas.microsoft.com/office/drawing/2014/main" id="{00000000-0008-0000-0200-000004080000}"/>
            </a:ext>
          </a:extLst>
        </xdr:cNvPr>
        <xdr:cNvSpPr txBox="1">
          <a:spLocks noChangeArrowheads="1"/>
        </xdr:cNvSpPr>
      </xdr:nvSpPr>
      <xdr:spPr bwMode="auto">
        <a:xfrm>
          <a:off x="5915025" y="10210800"/>
          <a:ext cx="2638425" cy="1857375"/>
        </a:xfrm>
        <a:prstGeom prst="rect">
          <a:avLst/>
        </a:prstGeom>
        <a:solidFill>
          <a:srgbClr val="FFFFFF"/>
        </a:solidFill>
        <a:ln w="9525">
          <a:solidFill>
            <a:srgbClr val="000000"/>
          </a:solidFill>
          <a:miter lim="800000"/>
          <a:headEnd/>
          <a:tailEnd/>
        </a:ln>
        <a:effectLst/>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Ｐゴシック"/>
              <a:ea typeface="ＭＳ Ｐゴシック"/>
            </a:rPr>
            <a:t>　(4) その他</a:t>
          </a:r>
        </a:p>
        <a:p>
          <a:pPr algn="l" rtl="0">
            <a:defRPr sz="1000"/>
          </a:pPr>
          <a:r>
            <a:rPr lang="ja-JP" altLang="en-US" sz="800" b="0" i="0" u="none" strike="noStrike" baseline="0">
              <a:solidFill>
                <a:srgbClr val="000000"/>
              </a:solidFill>
              <a:latin typeface="ＭＳ Ｐゴシック"/>
              <a:ea typeface="ＭＳ Ｐゴシック"/>
            </a:rPr>
            <a:t>　　　4A:お客様からの仕様変更</a:t>
          </a:r>
        </a:p>
        <a:p>
          <a:pPr algn="l" rtl="0">
            <a:defRPr sz="1000"/>
          </a:pPr>
          <a:r>
            <a:rPr lang="ja-JP" altLang="en-US" sz="800" b="0" i="0" u="none" strike="noStrike" baseline="0">
              <a:solidFill>
                <a:srgbClr val="000000"/>
              </a:solidFill>
              <a:latin typeface="ＭＳ Ｐゴシック"/>
              <a:ea typeface="ＭＳ Ｐゴシック"/>
            </a:rPr>
            <a:t>　　　4B:表現不備(誤字/脱字など)</a:t>
          </a:r>
        </a:p>
        <a:p>
          <a:pPr algn="l" rtl="0">
            <a:lnSpc>
              <a:spcPts val="900"/>
            </a:lnSpc>
            <a:defRPr sz="1000"/>
          </a:pPr>
          <a:r>
            <a:rPr lang="ja-JP" altLang="en-US" sz="800" b="0" i="0" u="none" strike="noStrike" baseline="0">
              <a:solidFill>
                <a:srgbClr val="000000"/>
              </a:solidFill>
              <a:latin typeface="ＭＳ Ｐゴシック"/>
              <a:ea typeface="ＭＳ Ｐゴシック"/>
            </a:rPr>
            <a:t>　(5) 試験段階での誤り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5A:仕様の解釈誤り</a:t>
          </a:r>
        </a:p>
        <a:p>
          <a:pPr algn="l" rtl="0">
            <a:defRPr sz="1000"/>
          </a:pPr>
          <a:r>
            <a:rPr lang="ja-JP" altLang="en-US" sz="800" b="0" i="0" u="none" strike="noStrike" baseline="0">
              <a:solidFill>
                <a:srgbClr val="000000"/>
              </a:solidFill>
              <a:latin typeface="ＭＳ Ｐゴシック"/>
              <a:ea typeface="ＭＳ Ｐゴシック"/>
            </a:rPr>
            <a:t>　　　5B:試験仕様の誤り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5C:試験プログラム/データの誤り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5D:試験項目抜け</a:t>
          </a:r>
        </a:p>
        <a:p>
          <a:pPr algn="l" rtl="0">
            <a:defRPr sz="1000"/>
          </a:pPr>
          <a:r>
            <a:rPr lang="ja-JP" altLang="en-US" sz="800" b="0" i="0" u="none" strike="noStrike" baseline="0">
              <a:solidFill>
                <a:srgbClr val="000000"/>
              </a:solidFill>
              <a:latin typeface="ＭＳ Ｐゴシック"/>
              <a:ea typeface="ＭＳ Ｐゴシック"/>
            </a:rPr>
            <a:t>　　　5Z:その他</a:t>
          </a:r>
        </a:p>
        <a:p>
          <a:pPr algn="l" rtl="0">
            <a:lnSpc>
              <a:spcPts val="900"/>
            </a:lnSpc>
            <a:defRPr sz="1000"/>
          </a:pPr>
          <a:r>
            <a:rPr lang="ja-JP" altLang="en-US" sz="800" b="0" i="0" u="none" strike="noStrike" baseline="0">
              <a:solidFill>
                <a:srgbClr val="000000"/>
              </a:solidFill>
              <a:latin typeface="ＭＳ Ｐゴシック"/>
              <a:ea typeface="ＭＳ Ｐゴシック"/>
            </a:rPr>
            <a:t>　(6)プロ完段階での誤り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6A：報告内容の抜け</a:t>
          </a:r>
        </a:p>
        <a:p>
          <a:pPr algn="l" rtl="0">
            <a:defRPr sz="1000"/>
          </a:pPr>
          <a:r>
            <a:rPr lang="ja-JP" altLang="en-US" sz="800" b="0" i="0" u="none" strike="noStrike" baseline="0">
              <a:solidFill>
                <a:srgbClr val="000000"/>
              </a:solidFill>
              <a:latin typeface="ＭＳ Ｐゴシック"/>
              <a:ea typeface="ＭＳ Ｐゴシック"/>
            </a:rPr>
            <a:t>　　　6B：報告内容の誤り，不整合，記述不足</a:t>
          </a:r>
        </a:p>
        <a:p>
          <a:pPr algn="l" rtl="0">
            <a:lnSpc>
              <a:spcPts val="800"/>
            </a:lnSpc>
            <a:defRPr sz="1000"/>
          </a:pPr>
          <a:r>
            <a:rPr lang="ja-JP" altLang="en-US" sz="800" b="0" i="0" u="none" strike="noStrike" baseline="0">
              <a:solidFill>
                <a:srgbClr val="000000"/>
              </a:solidFill>
              <a:latin typeface="ＭＳ Ｐゴシック"/>
              <a:ea typeface="ＭＳ Ｐゴシック"/>
            </a:rPr>
            <a:t>　　　6Z：その他</a:t>
          </a:r>
          <a:endParaRPr lang="ja-JP" altLang="en-US"/>
        </a:p>
      </xdr:txBody>
    </xdr:sp>
    <xdr:clientData/>
  </xdr:twoCellAnchor>
  <xdr:twoCellAnchor>
    <xdr:from>
      <xdr:col>0</xdr:col>
      <xdr:colOff>180975</xdr:colOff>
      <xdr:row>74</xdr:row>
      <xdr:rowOff>0</xdr:rowOff>
    </xdr:from>
    <xdr:to>
      <xdr:col>10</xdr:col>
      <xdr:colOff>381000</xdr:colOff>
      <xdr:row>74</xdr:row>
      <xdr:rowOff>0</xdr:rowOff>
    </xdr:to>
    <xdr:grpSp>
      <xdr:nvGrpSpPr>
        <xdr:cNvPr id="18698" name="Group 7">
          <a:extLst>
            <a:ext uri="{FF2B5EF4-FFF2-40B4-BE49-F238E27FC236}">
              <a16:creationId xmlns:a16="http://schemas.microsoft.com/office/drawing/2014/main" id="{00000000-0008-0000-0200-00000A490000}"/>
            </a:ext>
          </a:extLst>
        </xdr:cNvPr>
        <xdr:cNvGrpSpPr>
          <a:grpSpLocks/>
        </xdr:cNvGrpSpPr>
      </xdr:nvGrpSpPr>
      <xdr:grpSpPr bwMode="auto">
        <a:xfrm>
          <a:off x="180975" y="10518913"/>
          <a:ext cx="8308699" cy="0"/>
          <a:chOff x="24" y="1037"/>
          <a:chExt cx="802" cy="156"/>
        </a:xfrm>
      </xdr:grpSpPr>
      <xdr:sp macro="" textlink="">
        <xdr:nvSpPr>
          <xdr:cNvPr id="2056" name="Text Box 8">
            <a:extLst>
              <a:ext uri="{FF2B5EF4-FFF2-40B4-BE49-F238E27FC236}">
                <a16:creationId xmlns:a16="http://schemas.microsoft.com/office/drawing/2014/main" id="{00000000-0008-0000-0200-000008080000}"/>
              </a:ext>
            </a:extLst>
          </xdr:cNvPr>
          <xdr:cNvSpPr txBox="1">
            <a:spLocks noChangeArrowheads="1"/>
          </xdr:cNvSpPr>
        </xdr:nvSpPr>
        <xdr:spPr bwMode="auto">
          <a:xfrm>
            <a:off x="16344870605850" y="7715250"/>
            <a:ext cx="0" cy="0"/>
          </a:xfrm>
          <a:prstGeom prst="rect">
            <a:avLst/>
          </a:prstGeom>
          <a:solidFill>
            <a:srgbClr val="FFFFFF"/>
          </a:solidFill>
          <a:ln>
            <a:noFill/>
          </a:ln>
          <a:effectLst/>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Ｐゴシック"/>
                <a:ea typeface="ＭＳ Ｐゴシック"/>
              </a:rPr>
              <a:t>　(0) 要件定義段階での誤り</a:t>
            </a:r>
          </a:p>
          <a:p>
            <a:pPr algn="l" rtl="0">
              <a:defRPr sz="1000"/>
            </a:pPr>
            <a:r>
              <a:rPr lang="ja-JP" altLang="en-US" sz="900" b="0" i="0" u="none" strike="noStrike" baseline="0">
                <a:solidFill>
                  <a:srgbClr val="000000"/>
                </a:solidFill>
                <a:latin typeface="ＭＳ Ｐゴシック"/>
                <a:ea typeface="ＭＳ Ｐゴシック"/>
              </a:rPr>
              <a:t>　　　0A:要件の抜け及び解釈誤り</a:t>
            </a:r>
          </a:p>
          <a:p>
            <a:pPr algn="l" rtl="0">
              <a:defRPr sz="1000"/>
            </a:pPr>
            <a:r>
              <a:rPr lang="ja-JP" altLang="en-US" sz="900" b="0" i="0" u="none" strike="noStrike" baseline="0">
                <a:solidFill>
                  <a:srgbClr val="000000"/>
                </a:solidFill>
                <a:latin typeface="ＭＳ Ｐゴシック"/>
                <a:ea typeface="ＭＳ Ｐゴシック"/>
              </a:rPr>
              <a:t>　　　0B:要件定義の誤り</a:t>
            </a:r>
          </a:p>
          <a:p>
            <a:pPr algn="l" rtl="0">
              <a:defRPr sz="1000"/>
            </a:pPr>
            <a:r>
              <a:rPr lang="ja-JP" altLang="en-US" sz="900" b="0" i="0" u="none" strike="noStrike" baseline="0">
                <a:solidFill>
                  <a:srgbClr val="000000"/>
                </a:solidFill>
                <a:latin typeface="ＭＳ Ｐゴシック"/>
                <a:ea typeface="ＭＳ Ｐゴシック"/>
              </a:rPr>
              <a:t>　　　0C:システム化対象範囲外とのI/Fの誤り</a:t>
            </a:r>
          </a:p>
          <a:p>
            <a:pPr algn="l" rtl="0">
              <a:defRPr sz="1000"/>
            </a:pPr>
            <a:r>
              <a:rPr lang="ja-JP" altLang="en-US" sz="900" b="0" i="0" u="none" strike="noStrike" baseline="0">
                <a:solidFill>
                  <a:srgbClr val="000000"/>
                </a:solidFill>
                <a:latin typeface="ＭＳ Ｐゴシック"/>
                <a:ea typeface="ＭＳ Ｐゴシック"/>
              </a:rPr>
              <a:t>　　　0Z:その他</a:t>
            </a:r>
          </a:p>
          <a:p>
            <a:pPr algn="l" rtl="0">
              <a:defRPr sz="1000"/>
            </a:pPr>
            <a:r>
              <a:rPr lang="ja-JP" altLang="en-US" sz="900" b="0" i="0" u="none" strike="noStrike" baseline="0">
                <a:solidFill>
                  <a:srgbClr val="000000"/>
                </a:solidFill>
                <a:latin typeface="ＭＳ Ｐゴシック"/>
                <a:ea typeface="ＭＳ Ｐゴシック"/>
              </a:rPr>
              <a:t>　(1) システム設計(外部設計)段階での誤り</a:t>
            </a:r>
          </a:p>
          <a:p>
            <a:pPr algn="l" rtl="0">
              <a:defRPr sz="1000"/>
            </a:pPr>
            <a:r>
              <a:rPr lang="ja-JP" altLang="en-US" sz="900" b="0" i="0" u="none" strike="noStrike" baseline="0">
                <a:solidFill>
                  <a:srgbClr val="000000"/>
                </a:solidFill>
                <a:latin typeface="ＭＳ Ｐゴシック"/>
                <a:ea typeface="ＭＳ Ｐゴシック"/>
              </a:rPr>
              <a:t>　　　1A:外部仕様の抜け及び要件定義の解釈誤り</a:t>
            </a:r>
          </a:p>
          <a:p>
            <a:pPr algn="l" rtl="0">
              <a:defRPr sz="1000"/>
            </a:pPr>
            <a:r>
              <a:rPr lang="ja-JP" altLang="en-US" sz="900" b="0" i="0" u="none" strike="noStrike" baseline="0">
                <a:solidFill>
                  <a:srgbClr val="000000"/>
                </a:solidFill>
                <a:latin typeface="ＭＳ Ｐゴシック"/>
                <a:ea typeface="ＭＳ Ｐゴシック"/>
              </a:rPr>
              <a:t>　　　1B:外部仕様の誤り</a:t>
            </a:r>
          </a:p>
          <a:p>
            <a:pPr algn="l" rtl="0">
              <a:defRPr sz="1000"/>
            </a:pPr>
            <a:r>
              <a:rPr lang="ja-JP" altLang="en-US" sz="900" b="0" i="0" u="none" strike="noStrike" baseline="0">
                <a:solidFill>
                  <a:srgbClr val="000000"/>
                </a:solidFill>
                <a:latin typeface="ＭＳ Ｐゴシック"/>
                <a:ea typeface="ＭＳ Ｐゴシック"/>
              </a:rPr>
              <a:t>　　　1C:機能間I/F仕様の誤り</a:t>
            </a:r>
          </a:p>
          <a:p>
            <a:pPr algn="l" rtl="0">
              <a:defRPr sz="1000"/>
            </a:pPr>
            <a:r>
              <a:rPr lang="ja-JP" altLang="en-US" sz="900" b="0" i="0" u="none" strike="noStrike" baseline="0">
                <a:solidFill>
                  <a:srgbClr val="000000"/>
                </a:solidFill>
                <a:latin typeface="ＭＳ Ｐゴシック"/>
                <a:ea typeface="ＭＳ Ｐゴシック"/>
              </a:rPr>
              <a:t>　　　1Z:その他</a:t>
            </a:r>
            <a:endParaRPr lang="ja-JP" altLang="en-US"/>
          </a:p>
        </xdr:txBody>
      </xdr:sp>
      <xdr:sp macro="" textlink="">
        <xdr:nvSpPr>
          <xdr:cNvPr id="2057" name="Text Box 9">
            <a:extLst>
              <a:ext uri="{FF2B5EF4-FFF2-40B4-BE49-F238E27FC236}">
                <a16:creationId xmlns:a16="http://schemas.microsoft.com/office/drawing/2014/main" id="{00000000-0008-0000-0200-000009080000}"/>
              </a:ext>
            </a:extLst>
          </xdr:cNvPr>
          <xdr:cNvSpPr txBox="1">
            <a:spLocks noChangeArrowheads="1"/>
          </xdr:cNvSpPr>
        </xdr:nvSpPr>
        <xdr:spPr bwMode="auto">
          <a:xfrm>
            <a:off x="419397513375" y="7715250"/>
            <a:ext cx="0" cy="0"/>
          </a:xfrm>
          <a:prstGeom prst="rect">
            <a:avLst/>
          </a:prstGeom>
          <a:solidFill>
            <a:srgbClr val="FFFFFF"/>
          </a:solidFill>
          <a:ln>
            <a:noFill/>
          </a:ln>
          <a:effectLst/>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Ｐゴシック"/>
                <a:ea typeface="ＭＳ Ｐゴシック"/>
              </a:rPr>
              <a:t>　(2) SW設計/PRG設計(内部設計)段階での誤り</a:t>
            </a:r>
          </a:p>
          <a:p>
            <a:pPr algn="l" rtl="0">
              <a:defRPr sz="1000"/>
            </a:pPr>
            <a:r>
              <a:rPr lang="ja-JP" altLang="en-US" sz="900" b="0" i="0" u="none" strike="noStrike" baseline="0">
                <a:solidFill>
                  <a:srgbClr val="000000"/>
                </a:solidFill>
                <a:latin typeface="ＭＳ Ｐゴシック"/>
                <a:ea typeface="ＭＳ Ｐゴシック"/>
              </a:rPr>
              <a:t>　　　2A:内部設計漏れ及び外部仕様の解釈誤り</a:t>
            </a:r>
          </a:p>
          <a:p>
            <a:pPr algn="l" rtl="0">
              <a:defRPr sz="1000"/>
            </a:pPr>
            <a:r>
              <a:rPr lang="ja-JP" altLang="en-US" sz="900" b="0" i="0" u="none" strike="noStrike" baseline="0">
                <a:solidFill>
                  <a:srgbClr val="000000"/>
                </a:solidFill>
                <a:latin typeface="ＭＳ Ｐゴシック"/>
                <a:ea typeface="ＭＳ Ｐゴシック"/>
              </a:rPr>
              <a:t>　　　2B:内部設計の誤り</a:t>
            </a:r>
          </a:p>
          <a:p>
            <a:pPr algn="l" rtl="0">
              <a:defRPr sz="1000"/>
            </a:pPr>
            <a:r>
              <a:rPr lang="ja-JP" altLang="en-US" sz="900" b="0" i="0" u="none" strike="noStrike" baseline="0">
                <a:solidFill>
                  <a:srgbClr val="000000"/>
                </a:solidFill>
                <a:latin typeface="ＭＳ Ｐゴシック"/>
                <a:ea typeface="ＭＳ Ｐゴシック"/>
              </a:rPr>
              <a:t>　　　2C:モジュール間I/F仕様の誤り</a:t>
            </a:r>
          </a:p>
          <a:p>
            <a:pPr algn="l" rtl="0">
              <a:defRPr sz="1000"/>
            </a:pPr>
            <a:r>
              <a:rPr lang="ja-JP" altLang="en-US" sz="900" b="0" i="0" u="none" strike="noStrike" baseline="0">
                <a:solidFill>
                  <a:srgbClr val="000000"/>
                </a:solidFill>
                <a:latin typeface="ＭＳ Ｐゴシック"/>
                <a:ea typeface="ＭＳ Ｐゴシック"/>
              </a:rPr>
              <a:t>　　　2Z:その他</a:t>
            </a:r>
          </a:p>
          <a:p>
            <a:pPr algn="l" rtl="0">
              <a:defRPr sz="1000"/>
            </a:pPr>
            <a:r>
              <a:rPr lang="ja-JP" altLang="en-US" sz="900" b="0" i="0" u="none" strike="noStrike" baseline="0">
                <a:solidFill>
                  <a:srgbClr val="000000"/>
                </a:solidFill>
                <a:latin typeface="ＭＳ Ｐゴシック"/>
                <a:ea typeface="ＭＳ Ｐゴシック"/>
              </a:rPr>
              <a:t>　(3) コーディング段階での誤り</a:t>
            </a:r>
          </a:p>
          <a:p>
            <a:pPr algn="l" rtl="0">
              <a:defRPr sz="1000"/>
            </a:pPr>
            <a:r>
              <a:rPr lang="ja-JP" altLang="en-US" sz="900" b="0" i="0" u="none" strike="noStrike" baseline="0">
                <a:solidFill>
                  <a:srgbClr val="000000"/>
                </a:solidFill>
                <a:latin typeface="ＭＳ Ｐゴシック"/>
                <a:ea typeface="ＭＳ Ｐゴシック"/>
              </a:rPr>
              <a:t>　　　3A:設計どおりのコーディングがされていない</a:t>
            </a:r>
          </a:p>
          <a:p>
            <a:pPr algn="l" rtl="0">
              <a:defRPr sz="1000"/>
            </a:pPr>
            <a:r>
              <a:rPr lang="ja-JP" altLang="en-US" sz="900" b="0" i="0" u="none" strike="noStrike" baseline="0">
                <a:solidFill>
                  <a:srgbClr val="000000"/>
                </a:solidFill>
                <a:latin typeface="ＭＳ Ｐゴシック"/>
                <a:ea typeface="ＭＳ Ｐゴシック"/>
              </a:rPr>
              <a:t>　　　3B:不注意なコーディング・ミス</a:t>
            </a:r>
          </a:p>
          <a:p>
            <a:pPr algn="l" rtl="0">
              <a:defRPr sz="1000"/>
            </a:pPr>
            <a:r>
              <a:rPr lang="ja-JP" altLang="en-US" sz="900" b="0" i="0" u="none" strike="noStrike" baseline="0">
                <a:solidFill>
                  <a:srgbClr val="000000"/>
                </a:solidFill>
                <a:latin typeface="ＭＳ Ｐゴシック"/>
                <a:ea typeface="ＭＳ Ｐゴシック"/>
              </a:rPr>
              <a:t>　　　3Z:その他</a:t>
            </a:r>
            <a:endParaRPr lang="ja-JP" altLang="en-US"/>
          </a:p>
        </xdr:txBody>
      </xdr:sp>
      <xdr:sp macro="" textlink="">
        <xdr:nvSpPr>
          <xdr:cNvPr id="2058" name="Text Box 10">
            <a:extLst>
              <a:ext uri="{FF2B5EF4-FFF2-40B4-BE49-F238E27FC236}">
                <a16:creationId xmlns:a16="http://schemas.microsoft.com/office/drawing/2014/main" id="{00000000-0008-0000-0200-00000A080000}"/>
              </a:ext>
            </a:extLst>
          </xdr:cNvPr>
          <xdr:cNvSpPr txBox="1">
            <a:spLocks noChangeArrowheads="1"/>
          </xdr:cNvSpPr>
        </xdr:nvSpPr>
        <xdr:spPr bwMode="auto">
          <a:xfrm>
            <a:off x="171450" y="7715250"/>
            <a:ext cx="0" cy="0"/>
          </a:xfrm>
          <a:prstGeom prst="rect">
            <a:avLst/>
          </a:prstGeom>
          <a:solidFill>
            <a:srgbClr val="FFFFFF"/>
          </a:solidFill>
          <a:ln>
            <a:noFill/>
          </a:ln>
          <a:effectLst/>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Ｐゴシック"/>
                <a:ea typeface="ＭＳ Ｐゴシック"/>
              </a:rPr>
              <a:t>　(4) その他</a:t>
            </a:r>
          </a:p>
          <a:p>
            <a:pPr algn="l" rtl="0">
              <a:defRPr sz="1000"/>
            </a:pPr>
            <a:r>
              <a:rPr lang="ja-JP" altLang="en-US" sz="900" b="0" i="0" u="none" strike="noStrike" baseline="0">
                <a:solidFill>
                  <a:srgbClr val="000000"/>
                </a:solidFill>
                <a:latin typeface="ＭＳ Ｐゴシック"/>
                <a:ea typeface="ＭＳ Ｐゴシック"/>
              </a:rPr>
              <a:t>　　　4A:お客様からの仕様変更</a:t>
            </a:r>
          </a:p>
          <a:p>
            <a:pPr algn="l" rtl="0">
              <a:defRPr sz="1000"/>
            </a:pPr>
            <a:r>
              <a:rPr lang="ja-JP" altLang="en-US" sz="900" b="0" i="0" u="none" strike="noStrike" baseline="0">
                <a:solidFill>
                  <a:srgbClr val="000000"/>
                </a:solidFill>
                <a:latin typeface="ＭＳ Ｐゴシック"/>
                <a:ea typeface="ＭＳ Ｐゴシック"/>
              </a:rPr>
              <a:t>　　　4B:表現不備(誤字/脱字など)</a:t>
            </a:r>
          </a:p>
          <a:p>
            <a:pPr algn="l" rtl="0">
              <a:defRPr sz="1000"/>
            </a:pPr>
            <a:r>
              <a:rPr lang="ja-JP" altLang="en-US" sz="900" b="0" i="0" u="none" strike="noStrike" baseline="0">
                <a:solidFill>
                  <a:srgbClr val="000000"/>
                </a:solidFill>
                <a:latin typeface="ＭＳ Ｐゴシック"/>
                <a:ea typeface="ＭＳ Ｐゴシック"/>
              </a:rPr>
              <a:t>　(5) 試験段階での誤り</a:t>
            </a:r>
          </a:p>
          <a:p>
            <a:pPr algn="l" rtl="0">
              <a:defRPr sz="1000"/>
            </a:pPr>
            <a:r>
              <a:rPr lang="ja-JP" altLang="en-US" sz="900" b="0" i="0" u="none" strike="noStrike" baseline="0">
                <a:solidFill>
                  <a:srgbClr val="000000"/>
                </a:solidFill>
                <a:latin typeface="ＭＳ Ｐゴシック"/>
                <a:ea typeface="ＭＳ Ｐゴシック"/>
              </a:rPr>
              <a:t>　　　5A:仕様の解釈誤り</a:t>
            </a:r>
          </a:p>
          <a:p>
            <a:pPr algn="l" rtl="0">
              <a:defRPr sz="1000"/>
            </a:pPr>
            <a:r>
              <a:rPr lang="ja-JP" altLang="en-US" sz="900" b="0" i="0" u="none" strike="noStrike" baseline="0">
                <a:solidFill>
                  <a:srgbClr val="000000"/>
                </a:solidFill>
                <a:latin typeface="ＭＳ Ｐゴシック"/>
                <a:ea typeface="ＭＳ Ｐゴシック"/>
              </a:rPr>
              <a:t>　　　5B:試験仕様の誤り</a:t>
            </a:r>
          </a:p>
          <a:p>
            <a:pPr algn="l" rtl="0">
              <a:defRPr sz="1000"/>
            </a:pPr>
            <a:r>
              <a:rPr lang="ja-JP" altLang="en-US" sz="900" b="0" i="0" u="none" strike="noStrike" baseline="0">
                <a:solidFill>
                  <a:srgbClr val="000000"/>
                </a:solidFill>
                <a:latin typeface="ＭＳ Ｐゴシック"/>
                <a:ea typeface="ＭＳ Ｐゴシック"/>
              </a:rPr>
              <a:t>　　　5C:試験プログラム/データの誤り</a:t>
            </a:r>
          </a:p>
          <a:p>
            <a:pPr algn="l" rtl="0">
              <a:defRPr sz="1000"/>
            </a:pPr>
            <a:r>
              <a:rPr lang="ja-JP" altLang="en-US" sz="900" b="0" i="0" u="none" strike="noStrike" baseline="0">
                <a:solidFill>
                  <a:srgbClr val="000000"/>
                </a:solidFill>
                <a:latin typeface="ＭＳ Ｐゴシック"/>
                <a:ea typeface="ＭＳ Ｐゴシック"/>
              </a:rPr>
              <a:t>　　　5D:試験項目抜け</a:t>
            </a:r>
          </a:p>
          <a:p>
            <a:pPr algn="l" rtl="0">
              <a:defRPr sz="1000"/>
            </a:pPr>
            <a:r>
              <a:rPr lang="ja-JP" altLang="en-US" sz="900" b="0" i="0" u="none" strike="noStrike" baseline="0">
                <a:solidFill>
                  <a:srgbClr val="000000"/>
                </a:solidFill>
                <a:latin typeface="ＭＳ Ｐゴシック"/>
                <a:ea typeface="ＭＳ Ｐゴシック"/>
              </a:rPr>
              <a:t>　　　5Z:その他</a:t>
            </a:r>
            <a:endParaRPr lang="ja-JP" altLang="en-US"/>
          </a:p>
        </xdr:txBody>
      </xdr:sp>
    </xdr:grpSp>
    <xdr:clientData/>
  </xdr:twoCellAnchor>
  <xdr:twoCellAnchor>
    <xdr:from>
      <xdr:col>0</xdr:col>
      <xdr:colOff>171450</xdr:colOff>
      <xdr:row>33</xdr:row>
      <xdr:rowOff>38100</xdr:rowOff>
    </xdr:from>
    <xdr:to>
      <xdr:col>1</xdr:col>
      <xdr:colOff>85725</xdr:colOff>
      <xdr:row>33</xdr:row>
      <xdr:rowOff>180975</xdr:rowOff>
    </xdr:to>
    <xdr:sp macro="" textlink="">
      <xdr:nvSpPr>
        <xdr:cNvPr id="18699" name="Rectangle 12">
          <a:extLst>
            <a:ext uri="{FF2B5EF4-FFF2-40B4-BE49-F238E27FC236}">
              <a16:creationId xmlns:a16="http://schemas.microsoft.com/office/drawing/2014/main" id="{00000000-0008-0000-0200-00000B490000}"/>
            </a:ext>
          </a:extLst>
        </xdr:cNvPr>
        <xdr:cNvSpPr>
          <a:spLocks noChangeArrowheads="1"/>
        </xdr:cNvSpPr>
      </xdr:nvSpPr>
      <xdr:spPr bwMode="auto">
        <a:xfrm>
          <a:off x="171450" y="552450"/>
          <a:ext cx="247650" cy="142875"/>
        </a:xfrm>
        <a:prstGeom prst="rect">
          <a:avLst/>
        </a:prstGeom>
        <a:solidFill>
          <a:srgbClr val="FFFFCC"/>
        </a:solidFill>
        <a:ln w="12700">
          <a:solidFill>
            <a:srgbClr val="000000"/>
          </a:solidFill>
          <a:miter lim="800000"/>
          <a:headEnd/>
          <a:tailEnd/>
        </a:ln>
      </xdr:spPr>
    </xdr:sp>
    <xdr:clientData/>
  </xdr:twoCellAnchor>
  <xdr:twoCellAnchor>
    <xdr:from>
      <xdr:col>0</xdr:col>
      <xdr:colOff>171450</xdr:colOff>
      <xdr:row>34</xdr:row>
      <xdr:rowOff>38100</xdr:rowOff>
    </xdr:from>
    <xdr:to>
      <xdr:col>1</xdr:col>
      <xdr:colOff>57150</xdr:colOff>
      <xdr:row>35</xdr:row>
      <xdr:rowOff>0</xdr:rowOff>
    </xdr:to>
    <xdr:sp macro="" textlink="">
      <xdr:nvSpPr>
        <xdr:cNvPr id="18700" name="Rectangle 13">
          <a:extLst>
            <a:ext uri="{FF2B5EF4-FFF2-40B4-BE49-F238E27FC236}">
              <a16:creationId xmlns:a16="http://schemas.microsoft.com/office/drawing/2014/main" id="{00000000-0008-0000-0200-00000C490000}"/>
            </a:ext>
          </a:extLst>
        </xdr:cNvPr>
        <xdr:cNvSpPr>
          <a:spLocks noChangeArrowheads="1"/>
        </xdr:cNvSpPr>
      </xdr:nvSpPr>
      <xdr:spPr bwMode="auto">
        <a:xfrm>
          <a:off x="171450" y="742950"/>
          <a:ext cx="219075" cy="142875"/>
        </a:xfrm>
        <a:prstGeom prst="rect">
          <a:avLst/>
        </a:prstGeom>
        <a:solidFill>
          <a:srgbClr val="CCFFFF"/>
        </a:solidFill>
        <a:ln w="9525">
          <a:solidFill>
            <a:srgbClr val="000000"/>
          </a:solidFill>
          <a:miter lim="800000"/>
          <a:headEnd/>
          <a:tailEnd/>
        </a:ln>
      </xdr:spPr>
    </xdr:sp>
    <xdr:clientData/>
  </xdr:twoCellAnchor>
  <xdr:twoCellAnchor>
    <xdr:from>
      <xdr:col>1</xdr:col>
      <xdr:colOff>200025</xdr:colOff>
      <xdr:row>34</xdr:row>
      <xdr:rowOff>38100</xdr:rowOff>
    </xdr:from>
    <xdr:to>
      <xdr:col>1</xdr:col>
      <xdr:colOff>428625</xdr:colOff>
      <xdr:row>35</xdr:row>
      <xdr:rowOff>0</xdr:rowOff>
    </xdr:to>
    <xdr:sp macro="" textlink="">
      <xdr:nvSpPr>
        <xdr:cNvPr id="18701" name="Rectangle 14">
          <a:extLst>
            <a:ext uri="{FF2B5EF4-FFF2-40B4-BE49-F238E27FC236}">
              <a16:creationId xmlns:a16="http://schemas.microsoft.com/office/drawing/2014/main" id="{00000000-0008-0000-0200-00000D490000}"/>
            </a:ext>
          </a:extLst>
        </xdr:cNvPr>
        <xdr:cNvSpPr>
          <a:spLocks noChangeArrowheads="1"/>
        </xdr:cNvSpPr>
      </xdr:nvSpPr>
      <xdr:spPr bwMode="auto">
        <a:xfrm>
          <a:off x="533400" y="742950"/>
          <a:ext cx="219075" cy="142875"/>
        </a:xfrm>
        <a:prstGeom prst="rect">
          <a:avLst/>
        </a:prstGeom>
        <a:solidFill>
          <a:srgbClr val="CCFFCC"/>
        </a:solidFill>
        <a:ln w="9525">
          <a:solidFill>
            <a:srgbClr val="000000"/>
          </a:solidFill>
          <a:miter lim="800000"/>
          <a:headEnd/>
          <a:tailEnd/>
        </a:ln>
      </xdr:spPr>
    </xdr:sp>
    <xdr:clientData/>
  </xdr:twoCellAnchor>
  <xdr:twoCellAnchor editAs="oneCell">
    <xdr:from>
      <xdr:col>1</xdr:col>
      <xdr:colOff>47625</xdr:colOff>
      <xdr:row>34</xdr:row>
      <xdr:rowOff>47625</xdr:rowOff>
    </xdr:from>
    <xdr:to>
      <xdr:col>1</xdr:col>
      <xdr:colOff>224608</xdr:colOff>
      <xdr:row>35</xdr:row>
      <xdr:rowOff>38100</xdr:rowOff>
    </xdr:to>
    <xdr:sp macro="" textlink="">
      <xdr:nvSpPr>
        <xdr:cNvPr id="2064" name="Text Box 16">
          <a:extLst>
            <a:ext uri="{FF2B5EF4-FFF2-40B4-BE49-F238E27FC236}">
              <a16:creationId xmlns:a16="http://schemas.microsoft.com/office/drawing/2014/main" id="{00000000-0008-0000-0200-000010080000}"/>
            </a:ext>
          </a:extLst>
        </xdr:cNvPr>
        <xdr:cNvSpPr txBox="1">
          <a:spLocks noChangeArrowheads="1"/>
        </xdr:cNvSpPr>
      </xdr:nvSpPr>
      <xdr:spPr bwMode="auto">
        <a:xfrm>
          <a:off x="381000" y="752475"/>
          <a:ext cx="180975" cy="171450"/>
        </a:xfrm>
        <a:prstGeom prst="rect">
          <a:avLst/>
        </a:prstGeom>
        <a:noFill/>
        <a:ln>
          <a:noFill/>
        </a:ln>
        <a:effectLst/>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Ｐゴシック"/>
              <a:ea typeface="ＭＳ Ｐゴシック"/>
            </a:rPr>
            <a:t>＋</a:t>
          </a:r>
        </a:p>
        <a:p>
          <a:pPr algn="l" rtl="0">
            <a:defRPr sz="1000"/>
          </a:pPr>
          <a:r>
            <a:rPr lang="ja-JP" altLang="en-US" sz="900" b="0" i="0" u="none" strike="noStrike" baseline="0">
              <a:solidFill>
                <a:srgbClr val="000000"/>
              </a:solidFill>
              <a:latin typeface="ＭＳ Ｐゴシック"/>
              <a:ea typeface="ＭＳ Ｐゴシック"/>
            </a:rPr>
            <a:t>（＋</a:t>
          </a:r>
          <a:endParaRPr lang="ja-JP" altLang="en-US"/>
        </a:p>
      </xdr:txBody>
    </xdr:sp>
    <xdr:clientData/>
  </xdr:twoCellAnchor>
  <xdr:twoCellAnchor>
    <xdr:from>
      <xdr:col>0</xdr:col>
      <xdr:colOff>76200</xdr:colOff>
      <xdr:row>32</xdr:row>
      <xdr:rowOff>9525</xdr:rowOff>
    </xdr:from>
    <xdr:to>
      <xdr:col>8</xdr:col>
      <xdr:colOff>133350</xdr:colOff>
      <xdr:row>35</xdr:row>
      <xdr:rowOff>47625</xdr:rowOff>
    </xdr:to>
    <xdr:sp macro="" textlink="">
      <xdr:nvSpPr>
        <xdr:cNvPr id="18703" name="Rectangle 17">
          <a:extLst>
            <a:ext uri="{FF2B5EF4-FFF2-40B4-BE49-F238E27FC236}">
              <a16:creationId xmlns:a16="http://schemas.microsoft.com/office/drawing/2014/main" id="{00000000-0008-0000-0200-00000F490000}"/>
            </a:ext>
          </a:extLst>
        </xdr:cNvPr>
        <xdr:cNvSpPr>
          <a:spLocks noChangeArrowheads="1"/>
        </xdr:cNvSpPr>
      </xdr:nvSpPr>
      <xdr:spPr bwMode="auto">
        <a:xfrm>
          <a:off x="76200" y="323850"/>
          <a:ext cx="7115175" cy="609600"/>
        </a:xfrm>
        <a:prstGeom prst="rect">
          <a:avLst/>
        </a:prstGeom>
        <a:noFill/>
        <a:ln w="9525">
          <a:solidFill>
            <a:srgbClr val="000000"/>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9</xdr:col>
      <xdr:colOff>495300</xdr:colOff>
      <xdr:row>38</xdr:row>
      <xdr:rowOff>9525</xdr:rowOff>
    </xdr:from>
    <xdr:to>
      <xdr:col>9</xdr:col>
      <xdr:colOff>495300</xdr:colOff>
      <xdr:row>39</xdr:row>
      <xdr:rowOff>0</xdr:rowOff>
    </xdr:to>
    <xdr:sp macro="" textlink="">
      <xdr:nvSpPr>
        <xdr:cNvPr id="18704" name="Line 18">
          <a:extLst>
            <a:ext uri="{FF2B5EF4-FFF2-40B4-BE49-F238E27FC236}">
              <a16:creationId xmlns:a16="http://schemas.microsoft.com/office/drawing/2014/main" id="{00000000-0008-0000-0200-000010490000}"/>
            </a:ext>
          </a:extLst>
        </xdr:cNvPr>
        <xdr:cNvSpPr>
          <a:spLocks noChangeShapeType="1"/>
        </xdr:cNvSpPr>
      </xdr:nvSpPr>
      <xdr:spPr bwMode="auto">
        <a:xfrm>
          <a:off x="8067675" y="1552575"/>
          <a:ext cx="0" cy="1333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0</xdr:col>
      <xdr:colOff>0</xdr:colOff>
      <xdr:row>1</xdr:row>
      <xdr:rowOff>0</xdr:rowOff>
    </xdr:from>
    <xdr:to>
      <xdr:col>0</xdr:col>
      <xdr:colOff>312122</xdr:colOff>
      <xdr:row>30</xdr:row>
      <xdr:rowOff>152400</xdr:rowOff>
    </xdr:to>
    <xdr:sp macro="" textlink="">
      <xdr:nvSpPr>
        <xdr:cNvPr id="2067" name="Text Box 19">
          <a:extLst>
            <a:ext uri="{FF2B5EF4-FFF2-40B4-BE49-F238E27FC236}">
              <a16:creationId xmlns:a16="http://schemas.microsoft.com/office/drawing/2014/main" id="{00000000-0008-0000-0200-000013080000}"/>
            </a:ext>
          </a:extLst>
        </xdr:cNvPr>
        <xdr:cNvSpPr txBox="1">
          <a:spLocks noChangeArrowheads="1"/>
        </xdr:cNvSpPr>
      </xdr:nvSpPr>
      <xdr:spPr bwMode="auto">
        <a:xfrm>
          <a:off x="0" y="0"/>
          <a:ext cx="314325" cy="152400"/>
        </a:xfrm>
        <a:prstGeom prst="rect">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秘</a:t>
          </a:r>
          <a:endParaRPr lang="ja-JP" altLang="en-US"/>
        </a:p>
      </xdr:txBody>
    </xdr:sp>
    <xdr:clientData/>
  </xdr:twoCellAnchor>
  <xdr:twoCellAnchor editAs="oneCell">
    <xdr:from>
      <xdr:col>13</xdr:col>
      <xdr:colOff>1</xdr:colOff>
      <xdr:row>45</xdr:row>
      <xdr:rowOff>1</xdr:rowOff>
    </xdr:from>
    <xdr:to>
      <xdr:col>32</xdr:col>
      <xdr:colOff>571501</xdr:colOff>
      <xdr:row>52</xdr:row>
      <xdr:rowOff>91916</xdr:rowOff>
    </xdr:to>
    <xdr:pic>
      <xdr:nvPicPr>
        <xdr:cNvPr id="2" name="図 1">
          <a:extLst>
            <a:ext uri="{FF2B5EF4-FFF2-40B4-BE49-F238E27FC236}">
              <a16:creationId xmlns:a16="http://schemas.microsoft.com/office/drawing/2014/main" id="{21BD6517-E809-DF2F-FB48-960F62034AF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05951" y="3181351"/>
          <a:ext cx="14344650" cy="358800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9</xdr:col>
      <xdr:colOff>85725</xdr:colOff>
      <xdr:row>1</xdr:row>
      <xdr:rowOff>9525</xdr:rowOff>
    </xdr:from>
    <xdr:to>
      <xdr:col>15</xdr:col>
      <xdr:colOff>542925</xdr:colOff>
      <xdr:row>8</xdr:row>
      <xdr:rowOff>266700</xdr:rowOff>
    </xdr:to>
    <xdr:sp macro="" textlink="">
      <xdr:nvSpPr>
        <xdr:cNvPr id="21505" name="角丸四角形 1">
          <a:extLst>
            <a:ext uri="{FF2B5EF4-FFF2-40B4-BE49-F238E27FC236}">
              <a16:creationId xmlns:a16="http://schemas.microsoft.com/office/drawing/2014/main" id="{00000000-0008-0000-0300-000001540000}"/>
            </a:ext>
          </a:extLst>
        </xdr:cNvPr>
        <xdr:cNvSpPr>
          <a:spLocks noChangeArrowheads="1"/>
        </xdr:cNvSpPr>
      </xdr:nvSpPr>
      <xdr:spPr bwMode="auto">
        <a:xfrm>
          <a:off x="9848850" y="161925"/>
          <a:ext cx="4114800" cy="2028825"/>
        </a:xfrm>
        <a:prstGeom prst="roundRect">
          <a:avLst>
            <a:gd name="adj" fmla="val 16667"/>
          </a:avLst>
        </a:prstGeom>
        <a:solidFill>
          <a:srgbClr val="FFFF66"/>
        </a:solidFill>
        <a:ln w="9525" algn="ctr">
          <a:solidFill>
            <a:srgbClr val="000000"/>
          </a:solidFill>
          <a:round/>
          <a:headEnd/>
          <a:tailEnd/>
        </a:ln>
      </xdr:spPr>
      <xdr:txBody>
        <a:bodyPr vertOverflow="clip" wrap="square" lIns="36576" tIns="18288" rIns="0" bIns="0" anchor="t" upright="1"/>
        <a:lstStyle/>
        <a:p>
          <a:pPr algn="l" rtl="0">
            <a:defRPr sz="1000"/>
          </a:pPr>
          <a:r>
            <a:rPr lang="ja-JP" altLang="en-US" sz="1100" b="1" i="0" strike="noStrike">
              <a:solidFill>
                <a:srgbClr val="FF0000"/>
              </a:solidFill>
              <a:latin typeface="ＭＳ Ｐゴシック"/>
              <a:ea typeface="ＭＳ Ｐゴシック"/>
            </a:rPr>
            <a:t>＜記述要領＞</a:t>
          </a:r>
          <a:endParaRPr lang="ja-JP" altLang="en-US" sz="1100" b="1" i="0" strike="noStrike">
            <a:solidFill>
              <a:srgbClr val="FF0000"/>
            </a:solidFill>
            <a:latin typeface="Calibri"/>
          </a:endParaRPr>
        </a:p>
        <a:p>
          <a:pPr algn="l" rtl="0">
            <a:defRPr sz="1000"/>
          </a:pPr>
          <a:r>
            <a:rPr lang="ja-JP" altLang="en-US" sz="1100" b="1" i="0" strike="noStrike">
              <a:solidFill>
                <a:srgbClr val="FF0000"/>
              </a:solidFill>
              <a:latin typeface="ＭＳ Ｐゴシック"/>
              <a:ea typeface="ＭＳ Ｐゴシック"/>
            </a:rPr>
            <a:t>１．ヘッダー情報（実施日、実施者、ドキュメント番号）を</a:t>
          </a:r>
          <a:endParaRPr lang="ja-JP" altLang="en-US" sz="1100" b="1" i="0" strike="noStrike">
            <a:solidFill>
              <a:srgbClr val="FF0000"/>
            </a:solidFill>
            <a:latin typeface="Calibri"/>
          </a:endParaRPr>
        </a:p>
        <a:p>
          <a:pPr algn="l" rtl="0">
            <a:defRPr sz="1000"/>
          </a:pPr>
          <a:r>
            <a:rPr lang="ja-JP" altLang="en-US" sz="1100" b="1" i="0" strike="noStrike">
              <a:solidFill>
                <a:srgbClr val="FF0000"/>
              </a:solidFill>
              <a:latin typeface="ＭＳ Ｐゴシック"/>
              <a:ea typeface="ＭＳ Ｐゴシック"/>
            </a:rPr>
            <a:t>　　記入する。</a:t>
          </a:r>
          <a:endParaRPr lang="ja-JP" altLang="en-US" sz="1100" b="1" i="0" strike="noStrike">
            <a:solidFill>
              <a:srgbClr val="FF0000"/>
            </a:solidFill>
            <a:latin typeface="Calibri"/>
          </a:endParaRPr>
        </a:p>
        <a:p>
          <a:pPr algn="l" rtl="0">
            <a:defRPr sz="1000"/>
          </a:pPr>
          <a:r>
            <a:rPr lang="ja-JP" altLang="en-US" sz="1100" b="1" i="0" strike="noStrike">
              <a:solidFill>
                <a:srgbClr val="FF0000"/>
              </a:solidFill>
              <a:latin typeface="ＭＳ Ｐゴシック"/>
              <a:ea typeface="ＭＳ Ｐゴシック"/>
            </a:rPr>
            <a:t>２．機能区分を選択する。</a:t>
          </a:r>
          <a:endParaRPr lang="ja-JP" altLang="en-US" sz="1100" b="1" i="0" strike="noStrike">
            <a:solidFill>
              <a:srgbClr val="FF0000"/>
            </a:solidFill>
            <a:latin typeface="Calibri"/>
          </a:endParaRPr>
        </a:p>
        <a:p>
          <a:pPr algn="l" rtl="0">
            <a:defRPr sz="1000"/>
          </a:pPr>
          <a:r>
            <a:rPr lang="ja-JP" altLang="en-US" sz="1100" b="1" i="0" strike="noStrike">
              <a:solidFill>
                <a:srgbClr val="FF0000"/>
              </a:solidFill>
              <a:latin typeface="ＭＳ Ｐゴシック"/>
              <a:ea typeface="ＭＳ Ｐゴシック"/>
            </a:rPr>
            <a:t>　　⇒画面</a:t>
          </a:r>
          <a:r>
            <a:rPr lang="en-US" altLang="ja-JP" sz="1100" b="1" i="0" strike="noStrike">
              <a:solidFill>
                <a:srgbClr val="FF0000"/>
              </a:solidFill>
              <a:latin typeface="Calibri"/>
            </a:rPr>
            <a:t>/</a:t>
          </a:r>
          <a:r>
            <a:rPr lang="ja-JP" altLang="en-US" sz="1100" b="1" i="0" strike="noStrike">
              <a:solidFill>
                <a:srgbClr val="FF0000"/>
              </a:solidFill>
              <a:latin typeface="ＭＳ Ｐゴシック"/>
              <a:ea typeface="ＭＳ Ｐゴシック"/>
            </a:rPr>
            <a:t>帳票</a:t>
          </a:r>
          <a:r>
            <a:rPr lang="en-US" altLang="ja-JP" sz="1100" b="1" i="0" strike="noStrike">
              <a:solidFill>
                <a:srgbClr val="FF0000"/>
              </a:solidFill>
              <a:latin typeface="Calibri"/>
            </a:rPr>
            <a:t>(</a:t>
          </a:r>
          <a:r>
            <a:rPr lang="ja-JP" altLang="en-US" sz="1100" b="1" i="0" strike="noStrike">
              <a:solidFill>
                <a:srgbClr val="FF0000"/>
              </a:solidFill>
              <a:latin typeface="ＭＳ Ｐゴシック"/>
              <a:ea typeface="ＭＳ Ｐゴシック"/>
            </a:rPr>
            <a:t>紙</a:t>
          </a:r>
          <a:r>
            <a:rPr lang="en-US" altLang="ja-JP" sz="1100" b="1" i="0" strike="noStrike">
              <a:solidFill>
                <a:srgbClr val="FF0000"/>
              </a:solidFill>
              <a:latin typeface="Calibri"/>
            </a:rPr>
            <a:t>)/</a:t>
          </a:r>
          <a:r>
            <a:rPr lang="ja-JP" altLang="en-US" sz="1100" b="1" i="0" strike="noStrike">
              <a:solidFill>
                <a:srgbClr val="FF0000"/>
              </a:solidFill>
              <a:latin typeface="ＭＳ Ｐゴシック"/>
              <a:ea typeface="ＭＳ Ｐゴシック"/>
            </a:rPr>
            <a:t>帳票</a:t>
          </a:r>
          <a:r>
            <a:rPr lang="en-US" altLang="ja-JP" sz="1100" b="1" i="0" strike="noStrike">
              <a:solidFill>
                <a:srgbClr val="FF0000"/>
              </a:solidFill>
              <a:latin typeface="Calibri"/>
            </a:rPr>
            <a:t>(</a:t>
          </a:r>
          <a:r>
            <a:rPr lang="ja-JP" altLang="en-US" sz="1100" b="1" i="0" strike="noStrike">
              <a:solidFill>
                <a:srgbClr val="FF0000"/>
              </a:solidFill>
              <a:latin typeface="ＭＳ Ｐゴシック"/>
              <a:ea typeface="ＭＳ Ｐゴシック"/>
            </a:rPr>
            <a:t>Ｅｘ</a:t>
          </a:r>
          <a:r>
            <a:rPr lang="en-US" altLang="ja-JP" sz="1100" b="1" i="0" strike="noStrike">
              <a:solidFill>
                <a:srgbClr val="FF0000"/>
              </a:solidFill>
              <a:latin typeface="Calibri"/>
            </a:rPr>
            <a:t>)/</a:t>
          </a:r>
          <a:r>
            <a:rPr lang="ja-JP" altLang="en-US" sz="1100" b="1" i="0" strike="noStrike">
              <a:solidFill>
                <a:srgbClr val="FF0000"/>
              </a:solidFill>
              <a:latin typeface="ＭＳ Ｐゴシック"/>
              <a:ea typeface="ＭＳ Ｐゴシック"/>
            </a:rPr>
            <a:t>バッチ</a:t>
          </a:r>
          <a:r>
            <a:rPr lang="en-US" altLang="ja-JP" sz="1100" b="1" i="0" strike="noStrike">
              <a:solidFill>
                <a:srgbClr val="FF0000"/>
              </a:solidFill>
              <a:latin typeface="Calibri"/>
            </a:rPr>
            <a:t>/</a:t>
          </a:r>
          <a:r>
            <a:rPr lang="ja-JP" altLang="en-US" sz="1100" b="1" i="0" strike="noStrike">
              <a:solidFill>
                <a:srgbClr val="FF0000"/>
              </a:solidFill>
              <a:latin typeface="ＭＳ Ｐゴシック"/>
              <a:ea typeface="ＭＳ Ｐゴシック"/>
            </a:rPr>
            <a:t>Ｉ／Ｆ</a:t>
          </a:r>
          <a:endParaRPr lang="ja-JP" altLang="en-US" sz="1100" b="1" i="0" strike="noStrike">
            <a:solidFill>
              <a:srgbClr val="FF0000"/>
            </a:solidFill>
            <a:latin typeface="Calibri"/>
          </a:endParaRPr>
        </a:p>
        <a:p>
          <a:pPr algn="l" rtl="0">
            <a:defRPr sz="1000"/>
          </a:pPr>
          <a:r>
            <a:rPr lang="ja-JP" altLang="en-US" sz="1100" b="1" i="0" strike="noStrike">
              <a:solidFill>
                <a:srgbClr val="FF0000"/>
              </a:solidFill>
              <a:latin typeface="ＭＳ Ｐゴシック"/>
              <a:ea typeface="ＭＳ Ｐゴシック"/>
            </a:rPr>
            <a:t>３．機能区分に「●」が付いているチェック項目が</a:t>
          </a:r>
          <a:endParaRPr lang="ja-JP" altLang="en-US" sz="1100" b="1" i="0" strike="noStrike">
            <a:solidFill>
              <a:srgbClr val="FF0000"/>
            </a:solidFill>
            <a:latin typeface="Calibri"/>
          </a:endParaRPr>
        </a:p>
        <a:p>
          <a:pPr algn="l" rtl="0">
            <a:defRPr sz="1000"/>
          </a:pPr>
          <a:r>
            <a:rPr lang="ja-JP" altLang="en-US" sz="1100" b="1" i="0" strike="noStrike">
              <a:solidFill>
                <a:srgbClr val="FF0000"/>
              </a:solidFill>
              <a:latin typeface="ＭＳ Ｐゴシック"/>
              <a:ea typeface="ＭＳ Ｐゴシック"/>
            </a:rPr>
            <a:t>　　試験項目として含まれているかを確認する。</a:t>
          </a:r>
          <a:endParaRPr lang="ja-JP" altLang="en-US" sz="1100" b="1" i="0" strike="noStrike">
            <a:solidFill>
              <a:srgbClr val="FF0000"/>
            </a:solidFill>
            <a:latin typeface="Calibri"/>
          </a:endParaRPr>
        </a:p>
        <a:p>
          <a:pPr algn="l" rtl="0">
            <a:defRPr sz="1000"/>
          </a:pPr>
          <a:r>
            <a:rPr lang="ja-JP" altLang="en-US" sz="1100" b="1" i="0" strike="noStrike">
              <a:solidFill>
                <a:srgbClr val="FF0000"/>
              </a:solidFill>
              <a:latin typeface="ＭＳ Ｐゴシック"/>
              <a:ea typeface="ＭＳ Ｐゴシック"/>
            </a:rPr>
            <a:t>　　機能区分に印がない項目は「－」とする。</a:t>
          </a:r>
          <a:endParaRPr lang="ja-JP" altLang="en-US" sz="1100" b="1" i="0" strike="noStrike">
            <a:solidFill>
              <a:srgbClr val="FF0000"/>
            </a:solidFill>
            <a:latin typeface="Calibri"/>
          </a:endParaRPr>
        </a:p>
        <a:p>
          <a:pPr algn="l" rtl="0">
            <a:defRPr sz="1000"/>
          </a:pPr>
          <a:r>
            <a:rPr lang="en-US" altLang="ja-JP" sz="1100" b="1" i="0" strike="noStrike">
              <a:solidFill>
                <a:srgbClr val="FF0000"/>
              </a:solidFill>
              <a:latin typeface="ＭＳ Ｐゴシック"/>
              <a:ea typeface="ＭＳ Ｐゴシック"/>
            </a:rPr>
            <a:t>※</a:t>
          </a:r>
          <a:r>
            <a:rPr lang="ja-JP" altLang="en-US" sz="1100" b="1" i="0" strike="noStrike">
              <a:solidFill>
                <a:srgbClr val="FF0000"/>
              </a:solidFill>
              <a:latin typeface="ＭＳ Ｐゴシック"/>
              <a:ea typeface="ＭＳ Ｐゴシック"/>
            </a:rPr>
            <a:t>このコメントは削除してから使用して下さい。</a:t>
          </a: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AE61"/>
  <sheetViews>
    <sheetView showGridLines="0" zoomScale="115" zoomScaleNormal="100" workbookViewId="0">
      <selection activeCell="T2" sqref="T2:W2"/>
    </sheetView>
  </sheetViews>
  <sheetFormatPr defaultColWidth="9" defaultRowHeight="11.25"/>
  <cols>
    <col min="1" max="1" width="0.75" style="9" customWidth="1"/>
    <col min="2" max="3" width="1.5" style="9" customWidth="1"/>
    <col min="4" max="4" width="3" style="9" customWidth="1"/>
    <col min="5" max="5" width="2.75" style="9" customWidth="1"/>
    <col min="6" max="6" width="4.375" style="9" customWidth="1"/>
    <col min="7" max="7" width="5" style="9" customWidth="1"/>
    <col min="8" max="8" width="6.125" style="9" customWidth="1"/>
    <col min="9" max="9" width="3.375" style="9" customWidth="1"/>
    <col min="10" max="10" width="5.875" style="9" customWidth="1"/>
    <col min="11" max="11" width="6.875" style="9" customWidth="1"/>
    <col min="12" max="13" width="3.375" style="9" customWidth="1"/>
    <col min="14" max="14" width="6.875" style="9" customWidth="1"/>
    <col min="15" max="15" width="5" style="10" customWidth="1"/>
    <col min="16" max="16" width="3" style="10" customWidth="1"/>
    <col min="17" max="17" width="3.625" style="10" customWidth="1"/>
    <col min="18" max="18" width="3.625" style="9" customWidth="1"/>
    <col min="19" max="19" width="11.625" style="9" customWidth="1"/>
    <col min="20" max="20" width="5" style="9" customWidth="1"/>
    <col min="21" max="21" width="3.375" style="9" customWidth="1"/>
    <col min="22" max="22" width="5" style="9" customWidth="1"/>
    <col min="23" max="23" width="3.375" style="9" customWidth="1"/>
    <col min="24" max="16384" width="9" style="9"/>
  </cols>
  <sheetData>
    <row r="1" spans="2:26" ht="2.25" customHeight="1" thickBot="1">
      <c r="B1"/>
      <c r="C1"/>
      <c r="D1"/>
      <c r="E1"/>
      <c r="F1"/>
      <c r="G1"/>
      <c r="H1"/>
    </row>
    <row r="2" spans="2:26" ht="15" customHeight="1" thickBot="1">
      <c r="C2" s="111"/>
      <c r="D2"/>
      <c r="E2"/>
      <c r="F2" s="306" t="s">
        <v>0</v>
      </c>
      <c r="G2" s="306"/>
      <c r="H2" s="306"/>
      <c r="I2" s="306"/>
      <c r="J2" s="306"/>
      <c r="K2" s="306"/>
      <c r="L2" s="112"/>
      <c r="M2" s="112"/>
      <c r="N2" s="32"/>
      <c r="O2" s="32"/>
      <c r="P2" s="22"/>
      <c r="Q2"/>
      <c r="R2"/>
      <c r="S2" s="64" t="s">
        <v>1</v>
      </c>
      <c r="T2" s="307"/>
      <c r="U2" s="308"/>
      <c r="V2" s="308"/>
      <c r="W2" s="309"/>
    </row>
    <row r="3" spans="2:26" ht="15" customHeight="1">
      <c r="C3" s="102"/>
      <c r="D3" s="102"/>
      <c r="E3" s="102"/>
      <c r="F3" s="306"/>
      <c r="G3" s="306"/>
      <c r="H3" s="306"/>
      <c r="I3" s="306"/>
      <c r="J3" s="306"/>
      <c r="K3" s="306"/>
      <c r="L3" s="112"/>
      <c r="M3" s="112"/>
      <c r="N3" s="84" t="s">
        <v>2</v>
      </c>
      <c r="O3" s="51"/>
      <c r="P3" s="32"/>
      <c r="Q3" s="22"/>
      <c r="R3"/>
      <c r="S3" s="10"/>
    </row>
    <row r="4" spans="2:26" ht="28.5" customHeight="1">
      <c r="B4" s="20"/>
      <c r="C4" s="327" t="s">
        <v>3</v>
      </c>
      <c r="D4" s="327"/>
      <c r="E4" s="327"/>
      <c r="F4" s="328"/>
      <c r="G4" s="152" t="s">
        <v>4</v>
      </c>
      <c r="H4" s="329" t="s">
        <v>5</v>
      </c>
      <c r="I4" s="330"/>
      <c r="J4" s="153"/>
      <c r="K4" s="322" t="s">
        <v>6</v>
      </c>
      <c r="L4" s="322"/>
      <c r="M4" s="323"/>
      <c r="N4" s="333" t="s">
        <v>7</v>
      </c>
      <c r="O4" s="334"/>
      <c r="P4" s="334"/>
      <c r="Q4" s="334"/>
      <c r="R4" s="334"/>
      <c r="S4" s="334"/>
      <c r="T4" s="334"/>
      <c r="U4" s="334"/>
      <c r="V4" s="334"/>
      <c r="W4" s="334"/>
    </row>
    <row r="5" spans="2:26" ht="9" customHeight="1" thickBot="1"/>
    <row r="6" spans="2:26" ht="15" customHeight="1">
      <c r="B6" s="312" t="s">
        <v>8</v>
      </c>
      <c r="C6" s="313"/>
      <c r="D6" s="313"/>
      <c r="E6" s="313"/>
      <c r="F6" s="317"/>
      <c r="G6" s="318"/>
      <c r="H6" s="318"/>
      <c r="I6" s="35" t="s">
        <v>9</v>
      </c>
      <c r="J6" s="314"/>
      <c r="K6" s="315"/>
      <c r="L6" s="35" t="s">
        <v>10</v>
      </c>
      <c r="M6" s="331" t="s">
        <v>11</v>
      </c>
      <c r="N6" s="331"/>
      <c r="O6" s="314"/>
      <c r="P6" s="315"/>
      <c r="Q6" s="315"/>
      <c r="R6" s="315"/>
      <c r="S6" s="315"/>
      <c r="T6" s="149"/>
      <c r="U6" s="332"/>
      <c r="V6" s="332"/>
      <c r="W6" s="36"/>
    </row>
    <row r="7" spans="2:26" ht="15" customHeight="1" thickBot="1">
      <c r="B7" s="310" t="s">
        <v>12</v>
      </c>
      <c r="C7" s="311"/>
      <c r="D7" s="311"/>
      <c r="E7" s="311"/>
      <c r="F7" s="319" t="s">
        <v>13</v>
      </c>
      <c r="G7" s="320"/>
      <c r="H7" s="320"/>
      <c r="I7" s="321"/>
      <c r="J7" s="316" t="s">
        <v>14</v>
      </c>
      <c r="K7" s="316"/>
      <c r="L7" s="324" t="s">
        <v>15</v>
      </c>
      <c r="M7" s="325"/>
      <c r="N7" s="325"/>
      <c r="O7" s="325"/>
      <c r="P7" s="325"/>
      <c r="Q7" s="325"/>
      <c r="R7" s="325"/>
      <c r="S7" s="325"/>
      <c r="T7" s="325"/>
      <c r="U7" s="325"/>
      <c r="V7" s="325"/>
      <c r="W7" s="326"/>
    </row>
    <row r="8" spans="2:26" ht="6.75" customHeight="1" thickBot="1">
      <c r="B8" s="10"/>
      <c r="C8" s="10"/>
      <c r="D8" s="10"/>
      <c r="E8" s="11"/>
      <c r="F8" s="11"/>
      <c r="G8" s="11"/>
      <c r="H8" s="11"/>
      <c r="I8" s="11"/>
      <c r="J8" s="10"/>
      <c r="K8" s="10"/>
      <c r="L8" s="10"/>
      <c r="M8" s="10"/>
      <c r="N8" s="10"/>
      <c r="R8" s="10"/>
      <c r="S8" s="10"/>
      <c r="T8" s="10"/>
    </row>
    <row r="9" spans="2:26" ht="15" customHeight="1" thickBot="1">
      <c r="B9" s="393" t="s">
        <v>16</v>
      </c>
      <c r="C9" s="394"/>
      <c r="D9" s="335" t="s">
        <v>17</v>
      </c>
      <c r="E9" s="402"/>
      <c r="F9" s="336"/>
      <c r="G9" s="337"/>
      <c r="H9" s="399" t="str">
        <f>IF(査読ｼｰﾄ!C37="","（転記）",査読ｼｰﾄ!C37)</f>
        <v>（転記）</v>
      </c>
      <c r="I9" s="400"/>
      <c r="J9" s="401"/>
      <c r="K9" s="335" t="s">
        <v>18</v>
      </c>
      <c r="L9" s="336"/>
      <c r="M9" s="337"/>
      <c r="N9" s="348" t="str">
        <f>IF(査読ｼｰﾄ!C38="","（転記）",査読ｼｰﾄ!C38)</f>
        <v>単体試験要領書_MSBBPA050_【画面】Web製品マスタ.xlsx</v>
      </c>
      <c r="O9" s="349"/>
      <c r="P9" s="349"/>
      <c r="Q9" s="349"/>
      <c r="R9" s="349"/>
      <c r="S9" s="349"/>
      <c r="T9" s="349"/>
      <c r="U9" s="349"/>
      <c r="V9" s="349"/>
      <c r="W9" s="350"/>
    </row>
    <row r="10" spans="2:26" ht="15" customHeight="1" thickTop="1">
      <c r="B10" s="395"/>
      <c r="C10" s="396"/>
      <c r="D10" s="358" t="s">
        <v>19</v>
      </c>
      <c r="E10" s="358"/>
      <c r="F10" s="346" t="s">
        <v>20</v>
      </c>
      <c r="G10" s="346"/>
      <c r="H10" s="346"/>
      <c r="I10" s="346"/>
      <c r="J10" s="346"/>
      <c r="K10" s="60"/>
      <c r="L10" s="346" t="s">
        <v>21</v>
      </c>
      <c r="M10" s="346"/>
      <c r="N10" s="346"/>
      <c r="O10" s="368"/>
      <c r="P10" s="369"/>
      <c r="Q10" s="362" t="s">
        <v>22</v>
      </c>
      <c r="R10" s="363"/>
      <c r="S10" s="363"/>
      <c r="T10" s="363"/>
      <c r="U10" s="364"/>
      <c r="V10" s="351"/>
      <c r="W10" s="352"/>
    </row>
    <row r="11" spans="2:26" ht="15" customHeight="1">
      <c r="B11" s="395"/>
      <c r="C11" s="396"/>
      <c r="D11" s="359"/>
      <c r="E11" s="359"/>
      <c r="F11" s="347" t="s">
        <v>23</v>
      </c>
      <c r="G11" s="347"/>
      <c r="H11" s="347"/>
      <c r="I11" s="347"/>
      <c r="J11" s="347"/>
      <c r="K11" s="60"/>
      <c r="L11" s="347" t="s">
        <v>24</v>
      </c>
      <c r="M11" s="347"/>
      <c r="N11" s="347"/>
      <c r="O11" s="404"/>
      <c r="P11" s="405"/>
      <c r="Q11" s="365" t="s">
        <v>25</v>
      </c>
      <c r="R11" s="366"/>
      <c r="S11" s="366"/>
      <c r="T11" s="366"/>
      <c r="U11" s="367"/>
      <c r="V11" s="406"/>
      <c r="W11" s="407"/>
    </row>
    <row r="12" spans="2:26" ht="15" customHeight="1">
      <c r="B12" s="395"/>
      <c r="C12" s="396"/>
      <c r="D12" s="359"/>
      <c r="E12" s="359"/>
      <c r="F12" s="347" t="s">
        <v>26</v>
      </c>
      <c r="G12" s="347"/>
      <c r="H12" s="347"/>
      <c r="I12" s="347"/>
      <c r="J12" s="347"/>
      <c r="K12" s="60" t="s">
        <v>4</v>
      </c>
      <c r="L12" s="338" t="s">
        <v>27</v>
      </c>
      <c r="M12" s="338"/>
      <c r="N12" s="338"/>
      <c r="O12" s="404"/>
      <c r="P12" s="405"/>
      <c r="Q12" s="365" t="s">
        <v>28</v>
      </c>
      <c r="R12" s="366"/>
      <c r="S12" s="366"/>
      <c r="T12" s="366"/>
      <c r="U12" s="367"/>
      <c r="V12" s="406"/>
      <c r="W12" s="407"/>
    </row>
    <row r="13" spans="2:26" ht="15" customHeight="1" thickBot="1">
      <c r="B13" s="395"/>
      <c r="C13" s="396"/>
      <c r="D13" s="359"/>
      <c r="E13" s="359"/>
      <c r="F13" s="347" t="s">
        <v>29</v>
      </c>
      <c r="G13" s="347"/>
      <c r="H13" s="347"/>
      <c r="I13" s="347"/>
      <c r="J13" s="347"/>
      <c r="K13" s="60"/>
      <c r="L13" s="346" t="s">
        <v>30</v>
      </c>
      <c r="M13" s="346"/>
      <c r="N13" s="346"/>
      <c r="O13" s="353"/>
      <c r="P13" s="354"/>
      <c r="Q13" s="355" t="s">
        <v>31</v>
      </c>
      <c r="R13" s="356"/>
      <c r="S13" s="356"/>
      <c r="T13" s="356"/>
      <c r="U13" s="357"/>
      <c r="V13" s="360"/>
      <c r="W13" s="361"/>
    </row>
    <row r="14" spans="2:26" ht="15" customHeight="1">
      <c r="B14" s="395"/>
      <c r="C14" s="396"/>
      <c r="D14" s="338" t="s">
        <v>32</v>
      </c>
      <c r="E14" s="338"/>
      <c r="F14" s="338"/>
      <c r="G14" s="338" t="s">
        <v>33</v>
      </c>
      <c r="H14" s="338"/>
      <c r="I14" s="338"/>
      <c r="J14" s="76" t="str">
        <f>IF(査読ｼｰﾄ!J37=0,"（転記）",査読ｼｰﾄ!J37)</f>
        <v>（転記）</v>
      </c>
      <c r="K14" s="338" t="s">
        <v>34</v>
      </c>
      <c r="L14" s="388"/>
      <c r="M14" s="388"/>
      <c r="N14" s="66"/>
      <c r="O14" s="403"/>
      <c r="P14" s="389"/>
      <c r="Q14" s="389"/>
      <c r="R14" s="389"/>
      <c r="S14" s="389"/>
      <c r="T14" s="389"/>
      <c r="U14" s="389"/>
      <c r="V14" s="389"/>
      <c r="W14" s="389"/>
    </row>
    <row r="15" spans="2:26" ht="15" customHeight="1" thickBot="1">
      <c r="B15" s="397"/>
      <c r="C15" s="398"/>
      <c r="D15" s="311" t="s">
        <v>27</v>
      </c>
      <c r="E15" s="311"/>
      <c r="F15" s="311"/>
      <c r="G15" s="311" t="s">
        <v>35</v>
      </c>
      <c r="H15" s="311"/>
      <c r="I15" s="311"/>
      <c r="J15" s="77" t="str">
        <f>IF(査読ｼｰﾄ!J38=0,"（転記）",査読ｼｰﾄ!J38)</f>
        <v>（転記）</v>
      </c>
      <c r="K15" s="311" t="s">
        <v>36</v>
      </c>
      <c r="L15" s="311"/>
      <c r="M15" s="311"/>
      <c r="N15" s="52"/>
      <c r="O15" s="403"/>
      <c r="P15" s="389"/>
      <c r="Q15" s="389"/>
      <c r="R15" s="389"/>
      <c r="S15" s="389"/>
      <c r="T15" s="389"/>
      <c r="U15" s="389"/>
      <c r="V15" s="389"/>
      <c r="W15" s="389"/>
      <c r="X15"/>
      <c r="Y15"/>
      <c r="Z15"/>
    </row>
    <row r="16" spans="2:26" ht="6.75" customHeight="1" thickBot="1">
      <c r="B16" s="389"/>
      <c r="C16" s="389"/>
      <c r="D16" s="389"/>
      <c r="E16" s="389"/>
      <c r="F16" s="389"/>
      <c r="G16" s="389"/>
      <c r="H16" s="389"/>
      <c r="I16" s="389"/>
      <c r="J16" s="389"/>
      <c r="K16" s="389"/>
      <c r="L16" s="389"/>
      <c r="M16" s="389"/>
      <c r="N16" s="389"/>
      <c r="O16" s="389"/>
      <c r="P16" s="389"/>
      <c r="Q16" s="389"/>
      <c r="R16" s="389"/>
      <c r="S16" s="389"/>
      <c r="T16" s="389"/>
      <c r="U16" s="389"/>
    </row>
    <row r="17" spans="2:23" ht="15" customHeight="1" thickBot="1">
      <c r="B17" s="91"/>
      <c r="C17" s="83"/>
      <c r="D17" s="98"/>
      <c r="E17" s="380" t="s">
        <v>37</v>
      </c>
      <c r="F17" s="342" t="s">
        <v>38</v>
      </c>
      <c r="G17" s="343"/>
      <c r="H17" s="390" t="s">
        <v>39</v>
      </c>
      <c r="I17" s="391"/>
      <c r="J17" s="391"/>
      <c r="K17" s="391"/>
      <c r="L17" s="391"/>
      <c r="M17" s="391"/>
      <c r="N17" s="392"/>
      <c r="O17" s="110">
        <f>査読ｼｰﾄ!N12</f>
        <v>0</v>
      </c>
      <c r="P17" s="93" t="s">
        <v>40</v>
      </c>
      <c r="Q17" s="9"/>
      <c r="R17" s="263" t="s">
        <v>41</v>
      </c>
      <c r="S17" s="151" t="s">
        <v>42</v>
      </c>
      <c r="T17" s="374" t="s">
        <v>43</v>
      </c>
      <c r="U17" s="375"/>
      <c r="V17" s="370" t="s">
        <v>44</v>
      </c>
      <c r="W17" s="371"/>
    </row>
    <row r="18" spans="2:23" ht="15" customHeight="1" thickTop="1">
      <c r="B18" s="92"/>
      <c r="D18" s="99"/>
      <c r="E18" s="381"/>
      <c r="F18" s="344"/>
      <c r="G18" s="345"/>
      <c r="H18" s="339" t="s">
        <v>45</v>
      </c>
      <c r="I18" s="340"/>
      <c r="J18" s="340"/>
      <c r="K18" s="340"/>
      <c r="L18" s="340"/>
      <c r="M18" s="340"/>
      <c r="N18" s="341"/>
      <c r="O18" s="53">
        <f>査読ｼｰﾄ!Q12</f>
        <v>0</v>
      </c>
      <c r="P18" s="38" t="s">
        <v>40</v>
      </c>
      <c r="Q18" s="9"/>
      <c r="R18" s="265"/>
      <c r="S18" s="146" t="s">
        <v>46</v>
      </c>
      <c r="T18" s="376"/>
      <c r="U18" s="377"/>
      <c r="V18" s="378"/>
      <c r="W18" s="379"/>
    </row>
    <row r="19" spans="2:23" ht="15" customHeight="1">
      <c r="B19" s="92"/>
      <c r="D19" s="100"/>
      <c r="E19" s="382"/>
      <c r="F19" s="344"/>
      <c r="G19" s="345"/>
      <c r="H19" s="383" t="s">
        <v>47</v>
      </c>
      <c r="I19" s="384"/>
      <c r="J19" s="384"/>
      <c r="K19" s="384"/>
      <c r="L19" s="384"/>
      <c r="M19" s="384"/>
      <c r="N19" s="385"/>
      <c r="O19" s="53">
        <f>査読ｼｰﾄ!T12</f>
        <v>0</v>
      </c>
      <c r="P19" s="94" t="s">
        <v>40</v>
      </c>
      <c r="Q19" s="9"/>
      <c r="R19" s="265"/>
      <c r="S19" s="147" t="s">
        <v>48</v>
      </c>
      <c r="T19" s="414"/>
      <c r="U19" s="415"/>
      <c r="V19" s="372"/>
      <c r="W19" s="373"/>
    </row>
    <row r="20" spans="2:23" ht="15" customHeight="1">
      <c r="B20" s="468" t="s">
        <v>49</v>
      </c>
      <c r="C20" s="469"/>
      <c r="D20" s="408" t="s">
        <v>50</v>
      </c>
      <c r="E20" s="386" t="s">
        <v>51</v>
      </c>
      <c r="F20" s="421" t="s">
        <v>52</v>
      </c>
      <c r="G20" s="422"/>
      <c r="H20" s="419" t="s">
        <v>53</v>
      </c>
      <c r="I20" s="419"/>
      <c r="J20" s="419"/>
      <c r="K20" s="419"/>
      <c r="L20" s="419"/>
      <c r="M20" s="419"/>
      <c r="N20" s="419"/>
      <c r="O20" s="53">
        <f>査読ｼｰﾄ!W12</f>
        <v>0</v>
      </c>
      <c r="P20" s="38" t="s">
        <v>40</v>
      </c>
      <c r="Q20" s="156"/>
      <c r="R20" s="265"/>
      <c r="S20" s="147" t="s">
        <v>54</v>
      </c>
      <c r="T20" s="414"/>
      <c r="U20" s="415"/>
      <c r="V20" s="372"/>
      <c r="W20" s="373"/>
    </row>
    <row r="21" spans="2:23" ht="15" customHeight="1">
      <c r="B21" s="470"/>
      <c r="C21" s="471"/>
      <c r="D21" s="409"/>
      <c r="E21" s="387"/>
      <c r="F21" s="421"/>
      <c r="G21" s="422"/>
      <c r="H21" s="419" t="s">
        <v>55</v>
      </c>
      <c r="I21" s="419"/>
      <c r="J21" s="419"/>
      <c r="K21" s="419"/>
      <c r="L21" s="419"/>
      <c r="M21" s="419"/>
      <c r="N21" s="419"/>
      <c r="O21" s="53">
        <f>査読ｼｰﾄ!Z12</f>
        <v>0</v>
      </c>
      <c r="P21" s="38" t="s">
        <v>56</v>
      </c>
      <c r="Q21" s="156"/>
      <c r="R21" s="265"/>
      <c r="S21" s="147" t="s">
        <v>57</v>
      </c>
      <c r="T21" s="414"/>
      <c r="U21" s="415"/>
      <c r="V21" s="372"/>
      <c r="W21" s="373"/>
    </row>
    <row r="22" spans="2:23" ht="15" customHeight="1">
      <c r="B22" s="470"/>
      <c r="C22" s="471"/>
      <c r="D22" s="409"/>
      <c r="E22" s="387"/>
      <c r="F22" s="421"/>
      <c r="G22" s="422"/>
      <c r="H22" s="339" t="s">
        <v>58</v>
      </c>
      <c r="I22" s="340"/>
      <c r="J22" s="340"/>
      <c r="K22" s="340"/>
      <c r="L22" s="340"/>
      <c r="M22" s="340"/>
      <c r="N22" s="341"/>
      <c r="O22" s="53">
        <f>査読ｼｰﾄ!AC12</f>
        <v>0</v>
      </c>
      <c r="P22" s="38" t="s">
        <v>56</v>
      </c>
      <c r="Q22" s="156"/>
      <c r="R22" s="265"/>
      <c r="S22" s="147" t="s">
        <v>59</v>
      </c>
      <c r="T22" s="414"/>
      <c r="U22" s="415"/>
      <c r="V22" s="372"/>
      <c r="W22" s="373"/>
    </row>
    <row r="23" spans="2:23" ht="15" customHeight="1">
      <c r="B23" s="470"/>
      <c r="C23" s="471"/>
      <c r="D23" s="409"/>
      <c r="E23" s="387"/>
      <c r="F23" s="421"/>
      <c r="G23" s="422"/>
      <c r="H23" s="419" t="s">
        <v>60</v>
      </c>
      <c r="I23" s="419"/>
      <c r="J23" s="419"/>
      <c r="K23" s="419"/>
      <c r="L23" s="419"/>
      <c r="M23" s="419"/>
      <c r="N23" s="419"/>
      <c r="O23" s="53">
        <f>査読ｼｰﾄ!AF12</f>
        <v>0</v>
      </c>
      <c r="P23" s="38" t="s">
        <v>56</v>
      </c>
      <c r="Q23" s="156"/>
      <c r="R23" s="265"/>
      <c r="S23" s="147" t="s">
        <v>61</v>
      </c>
      <c r="T23" s="414"/>
      <c r="U23" s="415"/>
      <c r="V23" s="372"/>
      <c r="W23" s="373"/>
    </row>
    <row r="24" spans="2:23" ht="15" customHeight="1">
      <c r="B24" s="470"/>
      <c r="C24" s="471"/>
      <c r="D24" s="409"/>
      <c r="E24" s="386" t="s">
        <v>62</v>
      </c>
      <c r="F24" s="421" t="s">
        <v>63</v>
      </c>
      <c r="G24" s="422"/>
      <c r="H24" s="419" t="s">
        <v>64</v>
      </c>
      <c r="I24" s="419"/>
      <c r="J24" s="419"/>
      <c r="K24" s="419"/>
      <c r="L24" s="419"/>
      <c r="M24" s="419"/>
      <c r="N24" s="420"/>
      <c r="O24" s="53">
        <f>査読ｼｰﾄ!AI12</f>
        <v>0</v>
      </c>
      <c r="P24" s="38" t="s">
        <v>56</v>
      </c>
      <c r="Q24" s="156"/>
      <c r="R24" s="265"/>
      <c r="S24" s="147" t="s">
        <v>65</v>
      </c>
      <c r="T24" s="414"/>
      <c r="U24" s="415"/>
      <c r="V24" s="372"/>
      <c r="W24" s="373"/>
    </row>
    <row r="25" spans="2:23" ht="15" customHeight="1">
      <c r="B25" s="470"/>
      <c r="C25" s="471"/>
      <c r="D25" s="409"/>
      <c r="E25" s="387"/>
      <c r="F25" s="421"/>
      <c r="G25" s="422"/>
      <c r="H25" s="419" t="s">
        <v>66</v>
      </c>
      <c r="I25" s="419"/>
      <c r="J25" s="419"/>
      <c r="K25" s="419"/>
      <c r="L25" s="419"/>
      <c r="M25" s="419"/>
      <c r="N25" s="420"/>
      <c r="O25" s="53">
        <f>査読ｼｰﾄ!AL12</f>
        <v>0</v>
      </c>
      <c r="P25" s="38" t="s">
        <v>56</v>
      </c>
      <c r="Q25" s="156"/>
      <c r="R25" s="265"/>
      <c r="S25" s="150" t="s">
        <v>67</v>
      </c>
      <c r="T25" s="412"/>
      <c r="U25" s="413"/>
      <c r="V25" s="372"/>
      <c r="W25" s="373"/>
    </row>
    <row r="26" spans="2:23" ht="15" customHeight="1">
      <c r="B26" s="470"/>
      <c r="C26" s="471"/>
      <c r="D26" s="409"/>
      <c r="E26" s="387"/>
      <c r="F26" s="421"/>
      <c r="G26" s="422"/>
      <c r="H26" s="419" t="s">
        <v>68</v>
      </c>
      <c r="I26" s="419"/>
      <c r="J26" s="419"/>
      <c r="K26" s="419"/>
      <c r="L26" s="419"/>
      <c r="M26" s="419"/>
      <c r="N26" s="420"/>
      <c r="O26" s="53">
        <f>査読ｼｰﾄ!AO12</f>
        <v>0</v>
      </c>
      <c r="P26" s="38" t="s">
        <v>56</v>
      </c>
      <c r="Q26" s="156"/>
      <c r="R26" s="265"/>
      <c r="S26" s="150" t="s">
        <v>30</v>
      </c>
      <c r="T26" s="412"/>
      <c r="U26" s="413"/>
      <c r="V26" s="372"/>
      <c r="W26" s="373"/>
    </row>
    <row r="27" spans="2:23" ht="15" customHeight="1">
      <c r="B27" s="470"/>
      <c r="C27" s="471"/>
      <c r="D27" s="409"/>
      <c r="E27" s="387"/>
      <c r="F27" s="421"/>
      <c r="G27" s="422"/>
      <c r="H27" s="419" t="s">
        <v>69</v>
      </c>
      <c r="I27" s="419"/>
      <c r="J27" s="419"/>
      <c r="K27" s="419"/>
      <c r="L27" s="419"/>
      <c r="M27" s="419"/>
      <c r="N27" s="420"/>
      <c r="O27" s="53">
        <f>査読ｼｰﾄ!AR12</f>
        <v>0</v>
      </c>
      <c r="P27" s="38" t="s">
        <v>56</v>
      </c>
      <c r="Q27" s="156"/>
      <c r="R27" s="265"/>
      <c r="S27" s="148"/>
      <c r="T27" s="412"/>
      <c r="U27" s="413"/>
      <c r="V27" s="372"/>
      <c r="W27" s="373"/>
    </row>
    <row r="28" spans="2:23" ht="15" customHeight="1" thickBot="1">
      <c r="B28" s="470"/>
      <c r="C28" s="471"/>
      <c r="D28" s="409"/>
      <c r="E28" s="386" t="s">
        <v>70</v>
      </c>
      <c r="F28" s="474" t="s">
        <v>71</v>
      </c>
      <c r="G28" s="475"/>
      <c r="H28" s="419" t="s">
        <v>72</v>
      </c>
      <c r="I28" s="419"/>
      <c r="J28" s="419"/>
      <c r="K28" s="419"/>
      <c r="L28" s="419"/>
      <c r="M28" s="419"/>
      <c r="N28" s="420"/>
      <c r="O28" s="53">
        <f>査読ｼｰﾄ!AU12</f>
        <v>0</v>
      </c>
      <c r="P28" s="38" t="s">
        <v>56</v>
      </c>
      <c r="Q28" s="156"/>
      <c r="R28" s="267"/>
      <c r="S28" s="423" t="s">
        <v>73</v>
      </c>
      <c r="T28" s="424"/>
      <c r="U28" s="425"/>
      <c r="V28" s="438">
        <f>SUM(V18:W27)</f>
        <v>0</v>
      </c>
      <c r="W28" s="439"/>
    </row>
    <row r="29" spans="2:23" ht="15" customHeight="1" thickBot="1">
      <c r="B29" s="470"/>
      <c r="C29" s="471"/>
      <c r="D29" s="409"/>
      <c r="E29" s="387"/>
      <c r="F29" s="474"/>
      <c r="G29" s="475"/>
      <c r="H29" s="419" t="s">
        <v>74</v>
      </c>
      <c r="I29" s="419"/>
      <c r="J29" s="419"/>
      <c r="K29" s="419"/>
      <c r="L29" s="419"/>
      <c r="M29" s="419"/>
      <c r="N29" s="420"/>
      <c r="O29" s="53">
        <f>査読ｼｰﾄ!AX12</f>
        <v>0</v>
      </c>
      <c r="P29" s="38" t="s">
        <v>56</v>
      </c>
      <c r="Q29" s="157"/>
    </row>
    <row r="30" spans="2:23" ht="15" customHeight="1" thickBot="1">
      <c r="B30" s="470"/>
      <c r="C30" s="471"/>
      <c r="D30" s="409"/>
      <c r="E30" s="387"/>
      <c r="F30" s="474"/>
      <c r="G30" s="475"/>
      <c r="H30" s="419" t="s">
        <v>75</v>
      </c>
      <c r="I30" s="419"/>
      <c r="J30" s="419"/>
      <c r="K30" s="419"/>
      <c r="L30" s="419"/>
      <c r="M30" s="419"/>
      <c r="N30" s="420"/>
      <c r="O30" s="53">
        <f>査読ｼｰﾄ!BA12</f>
        <v>0</v>
      </c>
      <c r="P30" s="38" t="s">
        <v>56</v>
      </c>
      <c r="Q30" s="157"/>
      <c r="R30" s="433" t="s">
        <v>76</v>
      </c>
      <c r="S30" s="158" t="s">
        <v>77</v>
      </c>
      <c r="T30" s="370" t="s">
        <v>78</v>
      </c>
      <c r="U30" s="370"/>
      <c r="V30" s="370" t="s">
        <v>79</v>
      </c>
      <c r="W30" s="371"/>
    </row>
    <row r="31" spans="2:23" ht="15" customHeight="1" thickTop="1">
      <c r="B31" s="470"/>
      <c r="C31" s="471"/>
      <c r="D31" s="409"/>
      <c r="E31" s="387"/>
      <c r="F31" s="474"/>
      <c r="G31" s="475"/>
      <c r="H31" s="419" t="s">
        <v>80</v>
      </c>
      <c r="I31" s="419"/>
      <c r="J31" s="419"/>
      <c r="K31" s="419"/>
      <c r="L31" s="419"/>
      <c r="M31" s="419"/>
      <c r="N31" s="420"/>
      <c r="O31" s="53">
        <f>査読ｼｰﾄ!BD12</f>
        <v>0</v>
      </c>
      <c r="P31" s="38" t="s">
        <v>56</v>
      </c>
      <c r="Q31" s="157"/>
      <c r="R31" s="434"/>
      <c r="S31" s="444" t="s">
        <v>81</v>
      </c>
      <c r="T31" s="445"/>
      <c r="U31" s="445"/>
      <c r="V31" s="483">
        <f>IF(J14="（転記）",0,J45/J14)</f>
        <v>0</v>
      </c>
      <c r="W31" s="484"/>
    </row>
    <row r="32" spans="2:23" ht="15" customHeight="1">
      <c r="B32" s="470"/>
      <c r="C32" s="471"/>
      <c r="D32" s="409"/>
      <c r="E32" s="386" t="s">
        <v>82</v>
      </c>
      <c r="F32" s="474" t="s">
        <v>83</v>
      </c>
      <c r="G32" s="475"/>
      <c r="H32" s="419" t="s">
        <v>84</v>
      </c>
      <c r="I32" s="419"/>
      <c r="J32" s="419"/>
      <c r="K32" s="419"/>
      <c r="L32" s="419"/>
      <c r="M32" s="419"/>
      <c r="N32" s="420"/>
      <c r="O32" s="53">
        <f>査読ｼｰﾄ!BG12</f>
        <v>0</v>
      </c>
      <c r="P32" s="38" t="s">
        <v>56</v>
      </c>
      <c r="Q32" s="9"/>
      <c r="R32" s="434"/>
      <c r="S32" s="429"/>
      <c r="T32" s="428"/>
      <c r="U32" s="428"/>
      <c r="V32" s="481"/>
      <c r="W32" s="482"/>
    </row>
    <row r="33" spans="2:31" ht="15" customHeight="1">
      <c r="B33" s="470"/>
      <c r="C33" s="471"/>
      <c r="D33" s="409"/>
      <c r="E33" s="386"/>
      <c r="F33" s="474"/>
      <c r="G33" s="475"/>
      <c r="H33" s="419" t="s">
        <v>85</v>
      </c>
      <c r="I33" s="419"/>
      <c r="J33" s="419"/>
      <c r="K33" s="419"/>
      <c r="L33" s="419"/>
      <c r="M33" s="419"/>
      <c r="N33" s="420"/>
      <c r="O33" s="53">
        <f>査読ｼｰﾄ!BJ12</f>
        <v>0</v>
      </c>
      <c r="P33" s="38" t="s">
        <v>56</v>
      </c>
      <c r="Q33" s="9"/>
      <c r="R33" s="434"/>
      <c r="S33" s="429" t="s">
        <v>86</v>
      </c>
      <c r="T33" s="428"/>
      <c r="U33" s="428"/>
      <c r="V33" s="479">
        <f>IF(J14="（転記）",0,N45/J14)</f>
        <v>0</v>
      </c>
      <c r="W33" s="480"/>
    </row>
    <row r="34" spans="2:31" ht="15" customHeight="1">
      <c r="B34" s="470"/>
      <c r="C34" s="471"/>
      <c r="D34" s="409"/>
      <c r="E34" s="386"/>
      <c r="F34" s="474"/>
      <c r="G34" s="475"/>
      <c r="H34" s="419" t="s">
        <v>87</v>
      </c>
      <c r="I34" s="419"/>
      <c r="J34" s="419"/>
      <c r="K34" s="419"/>
      <c r="L34" s="419"/>
      <c r="M34" s="419"/>
      <c r="N34" s="420"/>
      <c r="O34" s="53">
        <f>査読ｼｰﾄ!BP12</f>
        <v>0</v>
      </c>
      <c r="P34" s="38" t="s">
        <v>56</v>
      </c>
      <c r="Q34" s="9"/>
      <c r="R34" s="434"/>
      <c r="S34" s="429"/>
      <c r="T34" s="428"/>
      <c r="U34" s="428"/>
      <c r="V34" s="481"/>
      <c r="W34" s="482"/>
      <c r="X34" s="37"/>
    </row>
    <row r="35" spans="2:31" ht="15" customHeight="1">
      <c r="B35" s="470"/>
      <c r="C35" s="471"/>
      <c r="D35" s="409"/>
      <c r="E35" s="386" t="s">
        <v>88</v>
      </c>
      <c r="F35" s="474" t="s">
        <v>89</v>
      </c>
      <c r="G35" s="475"/>
      <c r="H35" s="419" t="s">
        <v>90</v>
      </c>
      <c r="I35" s="419"/>
      <c r="J35" s="419"/>
      <c r="K35" s="419"/>
      <c r="L35" s="419"/>
      <c r="M35" s="419"/>
      <c r="N35" s="420"/>
      <c r="O35" s="53">
        <f>査読ｼｰﾄ!BS12</f>
        <v>0</v>
      </c>
      <c r="P35" s="38" t="s">
        <v>56</v>
      </c>
      <c r="Q35" s="9"/>
      <c r="R35" s="434"/>
      <c r="S35" s="446" t="s">
        <v>91</v>
      </c>
      <c r="T35" s="428"/>
      <c r="U35" s="428"/>
      <c r="V35" s="479">
        <f>IF(J15="（転記）",0,J45/J15)</f>
        <v>0</v>
      </c>
      <c r="W35" s="480"/>
    </row>
    <row r="36" spans="2:31" ht="15" customHeight="1">
      <c r="B36" s="470"/>
      <c r="C36" s="471"/>
      <c r="D36" s="409"/>
      <c r="E36" s="386"/>
      <c r="F36" s="474"/>
      <c r="G36" s="475"/>
      <c r="H36" s="419" t="s">
        <v>92</v>
      </c>
      <c r="I36" s="419"/>
      <c r="J36" s="419"/>
      <c r="K36" s="419"/>
      <c r="L36" s="419"/>
      <c r="M36" s="419"/>
      <c r="N36" s="420"/>
      <c r="O36" s="53">
        <f>査読ｼｰﾄ!BV12</f>
        <v>0</v>
      </c>
      <c r="P36" s="38" t="s">
        <v>56</v>
      </c>
      <c r="Q36" s="9"/>
      <c r="R36" s="434"/>
      <c r="S36" s="446"/>
      <c r="T36" s="428"/>
      <c r="U36" s="428"/>
      <c r="V36" s="481"/>
      <c r="W36" s="482"/>
    </row>
    <row r="37" spans="2:31" ht="15" customHeight="1">
      <c r="B37" s="470"/>
      <c r="C37" s="471"/>
      <c r="D37" s="409"/>
      <c r="E37" s="386" t="s">
        <v>93</v>
      </c>
      <c r="F37" s="474" t="s">
        <v>94</v>
      </c>
      <c r="G37" s="475"/>
      <c r="H37" s="419" t="s">
        <v>95</v>
      </c>
      <c r="I37" s="419"/>
      <c r="J37" s="419"/>
      <c r="K37" s="419"/>
      <c r="L37" s="419"/>
      <c r="M37" s="419"/>
      <c r="N37" s="420"/>
      <c r="O37" s="53">
        <f>査読ｼｰﾄ!CE12</f>
        <v>0</v>
      </c>
      <c r="P37" s="38" t="s">
        <v>56</v>
      </c>
      <c r="Q37" s="9"/>
      <c r="R37" s="434"/>
      <c r="S37" s="430" t="s">
        <v>96</v>
      </c>
      <c r="T37" s="428"/>
      <c r="U37" s="428"/>
      <c r="V37" s="440">
        <f>IF(J15="（転記）",0,N45/J15)</f>
        <v>0</v>
      </c>
      <c r="W37" s="441"/>
    </row>
    <row r="38" spans="2:31" ht="15" customHeight="1">
      <c r="B38" s="470"/>
      <c r="C38" s="471"/>
      <c r="D38" s="409"/>
      <c r="E38" s="386"/>
      <c r="F38" s="474"/>
      <c r="G38" s="475"/>
      <c r="H38" s="419" t="s">
        <v>97</v>
      </c>
      <c r="I38" s="419"/>
      <c r="J38" s="419"/>
      <c r="K38" s="419"/>
      <c r="L38" s="419"/>
      <c r="M38" s="419"/>
      <c r="N38" s="420"/>
      <c r="O38" s="53">
        <f>査読ｼｰﾄ!CH12</f>
        <v>0</v>
      </c>
      <c r="P38" s="38" t="s">
        <v>56</v>
      </c>
      <c r="Q38" s="9"/>
      <c r="R38" s="434"/>
      <c r="S38" s="430"/>
      <c r="T38" s="428"/>
      <c r="U38" s="428"/>
      <c r="V38" s="440"/>
      <c r="W38" s="441"/>
    </row>
    <row r="39" spans="2:31" ht="15" customHeight="1">
      <c r="B39" s="470"/>
      <c r="C39" s="471"/>
      <c r="D39" s="409"/>
      <c r="E39" s="386"/>
      <c r="F39" s="474"/>
      <c r="G39" s="475"/>
      <c r="H39" s="347" t="s">
        <v>98</v>
      </c>
      <c r="I39" s="347"/>
      <c r="J39" s="347"/>
      <c r="K39" s="347"/>
      <c r="L39" s="347"/>
      <c r="M39" s="347"/>
      <c r="N39" s="339"/>
      <c r="O39" s="53">
        <f>査読ｼｰﾄ!CK12</f>
        <v>0</v>
      </c>
      <c r="P39" s="38" t="s">
        <v>56</v>
      </c>
      <c r="Q39" s="9"/>
      <c r="R39" s="434"/>
      <c r="S39" s="430" t="s">
        <v>99</v>
      </c>
      <c r="T39" s="428"/>
      <c r="U39" s="428"/>
      <c r="V39" s="440">
        <f>IF(J14="（転記）",0,O46/J14)</f>
        <v>0</v>
      </c>
      <c r="W39" s="441"/>
    </row>
    <row r="40" spans="2:31" ht="15" customHeight="1">
      <c r="B40" s="470"/>
      <c r="C40" s="471"/>
      <c r="D40" s="409"/>
      <c r="E40" s="386"/>
      <c r="F40" s="474"/>
      <c r="G40" s="475"/>
      <c r="H40" s="347" t="s">
        <v>100</v>
      </c>
      <c r="I40" s="347"/>
      <c r="J40" s="347"/>
      <c r="K40" s="347"/>
      <c r="L40" s="347"/>
      <c r="M40" s="347"/>
      <c r="N40" s="339"/>
      <c r="O40" s="53">
        <f>査読ｼｰﾄ!CN12</f>
        <v>0</v>
      </c>
      <c r="P40" s="38" t="s">
        <v>56</v>
      </c>
      <c r="R40" s="434"/>
      <c r="S40" s="430"/>
      <c r="T40" s="428"/>
      <c r="U40" s="428"/>
      <c r="V40" s="440"/>
      <c r="W40" s="441"/>
      <c r="Z40" s="11"/>
      <c r="AA40" s="11"/>
      <c r="AB40" s="11"/>
      <c r="AC40" s="11"/>
      <c r="AD40" s="11"/>
      <c r="AE40" s="11"/>
    </row>
    <row r="41" spans="2:31" ht="15" customHeight="1">
      <c r="B41" s="470"/>
      <c r="C41" s="471"/>
      <c r="D41" s="409"/>
      <c r="E41" s="386"/>
      <c r="F41" s="474"/>
      <c r="G41" s="475"/>
      <c r="H41" s="347" t="s">
        <v>101</v>
      </c>
      <c r="I41" s="347"/>
      <c r="J41" s="347"/>
      <c r="K41" s="347"/>
      <c r="L41" s="347"/>
      <c r="M41" s="347"/>
      <c r="N41" s="339"/>
      <c r="O41" s="53">
        <f>査読ｼｰﾄ!CQ12</f>
        <v>0</v>
      </c>
      <c r="P41" s="38" t="s">
        <v>56</v>
      </c>
      <c r="R41" s="434"/>
      <c r="S41" s="430" t="s">
        <v>102</v>
      </c>
      <c r="T41" s="428"/>
      <c r="U41" s="428"/>
      <c r="V41" s="440">
        <f>IF(J15="（転記）",0,O46/J15)</f>
        <v>0</v>
      </c>
      <c r="W41" s="441"/>
      <c r="Z41" s="11"/>
      <c r="AA41" s="11"/>
      <c r="AB41" s="11"/>
      <c r="AC41" s="11"/>
      <c r="AD41" s="11"/>
      <c r="AE41" s="11"/>
    </row>
    <row r="42" spans="2:31" ht="15" customHeight="1" thickBot="1">
      <c r="B42" s="470"/>
      <c r="C42" s="471"/>
      <c r="D42" s="410"/>
      <c r="E42" s="416" t="s">
        <v>103</v>
      </c>
      <c r="F42" s="450" t="s">
        <v>104</v>
      </c>
      <c r="G42" s="451"/>
      <c r="H42" s="339" t="s">
        <v>105</v>
      </c>
      <c r="I42" s="261"/>
      <c r="J42" s="261"/>
      <c r="K42" s="261"/>
      <c r="L42" s="261"/>
      <c r="M42" s="261"/>
      <c r="N42" s="464"/>
      <c r="O42" s="53">
        <f>査読ｼｰﾄ!CT12</f>
        <v>0</v>
      </c>
      <c r="P42" s="94" t="s">
        <v>40</v>
      </c>
      <c r="R42" s="435"/>
      <c r="S42" s="431"/>
      <c r="T42" s="432"/>
      <c r="U42" s="432"/>
      <c r="V42" s="442"/>
      <c r="W42" s="443"/>
      <c r="Z42" s="11"/>
      <c r="AA42" s="11"/>
      <c r="AB42" s="11"/>
      <c r="AC42" s="11"/>
      <c r="AD42" s="11"/>
      <c r="AE42" s="11"/>
    </row>
    <row r="43" spans="2:31" ht="15" customHeight="1">
      <c r="B43" s="470"/>
      <c r="C43" s="471"/>
      <c r="D43" s="410"/>
      <c r="E43" s="417"/>
      <c r="F43" s="344"/>
      <c r="G43" s="345"/>
      <c r="H43" s="339" t="s">
        <v>106</v>
      </c>
      <c r="I43" s="261"/>
      <c r="J43" s="261"/>
      <c r="K43" s="261"/>
      <c r="L43" s="261"/>
      <c r="M43" s="261"/>
      <c r="N43" s="464"/>
      <c r="O43" s="53">
        <f>査読ｼｰﾄ!CW12</f>
        <v>0</v>
      </c>
      <c r="P43" s="94" t="s">
        <v>40</v>
      </c>
      <c r="R43" s="95"/>
      <c r="S43" s="96"/>
      <c r="T43" s="101"/>
      <c r="U43" s="101"/>
      <c r="V43" s="97"/>
      <c r="W43" s="97"/>
      <c r="Z43" s="11"/>
      <c r="AA43" s="11"/>
      <c r="AB43" s="11"/>
      <c r="AC43" s="11"/>
      <c r="AD43" s="11"/>
      <c r="AE43" s="11"/>
    </row>
    <row r="44" spans="2:31" ht="15" customHeight="1">
      <c r="B44" s="470"/>
      <c r="C44" s="471"/>
      <c r="D44" s="410"/>
      <c r="E44" s="418"/>
      <c r="F44" s="452"/>
      <c r="G44" s="453"/>
      <c r="H44" s="339" t="s">
        <v>107</v>
      </c>
      <c r="I44" s="261"/>
      <c r="J44" s="261"/>
      <c r="K44" s="261"/>
      <c r="L44" s="261"/>
      <c r="M44" s="261"/>
      <c r="N44" s="464"/>
      <c r="O44" s="53">
        <f>査読ｼｰﾄ!CZ12</f>
        <v>0</v>
      </c>
      <c r="P44" s="94" t="s">
        <v>40</v>
      </c>
      <c r="R44" s="95"/>
      <c r="S44" s="96"/>
      <c r="T44" s="101"/>
      <c r="U44" s="101"/>
      <c r="V44" s="97"/>
      <c r="W44" s="97"/>
      <c r="Z44" s="11"/>
      <c r="AA44" s="11"/>
      <c r="AB44" s="11"/>
      <c r="AC44" s="11"/>
      <c r="AD44" s="11"/>
      <c r="AE44" s="11"/>
    </row>
    <row r="45" spans="2:31" ht="15" customHeight="1" thickBot="1">
      <c r="B45" s="470"/>
      <c r="C45" s="471"/>
      <c r="D45" s="411"/>
      <c r="E45" s="33"/>
      <c r="F45" s="34"/>
      <c r="G45" s="34"/>
      <c r="H45" s="454" t="s">
        <v>108</v>
      </c>
      <c r="I45" s="455"/>
      <c r="J45" s="54">
        <f>査読ｼｰﾄ!L12</f>
        <v>0</v>
      </c>
      <c r="K45" s="476" t="s">
        <v>109</v>
      </c>
      <c r="L45" s="477"/>
      <c r="M45" s="478"/>
      <c r="N45" s="54">
        <f>査読ｼｰﾄ!L12-(査読ｼｰﾄ!BS12+査読ｼｰﾄ!BV12)</f>
        <v>0</v>
      </c>
      <c r="O45" s="69" t="s">
        <v>110</v>
      </c>
      <c r="P45" s="70"/>
      <c r="Q45" s="47" t="s">
        <v>111</v>
      </c>
      <c r="X45" s="11"/>
      <c r="Y45" s="11"/>
      <c r="Z45" s="11"/>
      <c r="AA45" s="11"/>
      <c r="AB45" s="11"/>
      <c r="AC45" s="11"/>
    </row>
    <row r="46" spans="2:31" ht="15" customHeight="1" thickTop="1" thickBot="1">
      <c r="B46" s="472"/>
      <c r="C46" s="473"/>
      <c r="D46" s="456" t="s">
        <v>112</v>
      </c>
      <c r="E46" s="457"/>
      <c r="F46" s="457"/>
      <c r="G46" s="457"/>
      <c r="H46" s="457"/>
      <c r="I46" s="457"/>
      <c r="J46" s="457"/>
      <c r="K46" s="457"/>
      <c r="L46" s="457"/>
      <c r="M46" s="458"/>
      <c r="N46" s="459"/>
      <c r="O46" s="67" t="str">
        <f>IF(査読ｼｰﾄ!D41=0,"（転記）",査読ｼｰﾄ!D41)</f>
        <v>（転記）</v>
      </c>
      <c r="P46" s="68" t="s">
        <v>113</v>
      </c>
      <c r="Z46" s="11"/>
      <c r="AA46" s="11"/>
      <c r="AB46" s="11"/>
      <c r="AC46" s="11"/>
      <c r="AD46" s="11"/>
      <c r="AE46" s="11"/>
    </row>
    <row r="47" spans="2:31" ht="6.75" customHeight="1" thickBot="1">
      <c r="Z47" s="11"/>
      <c r="AA47" s="11"/>
      <c r="AB47" s="11"/>
      <c r="AC47" s="11"/>
      <c r="AD47" s="11"/>
      <c r="AE47" s="11"/>
    </row>
    <row r="48" spans="2:31" ht="21.75" customHeight="1" thickBot="1">
      <c r="B48" s="460" t="s">
        <v>114</v>
      </c>
      <c r="C48" s="461"/>
      <c r="D48" s="461"/>
      <c r="E48" s="461"/>
      <c r="F48" s="16" t="s">
        <v>115</v>
      </c>
      <c r="G48" s="436" t="s">
        <v>116</v>
      </c>
      <c r="H48" s="448"/>
      <c r="I48" s="447"/>
      <c r="J48" s="436" t="s">
        <v>117</v>
      </c>
      <c r="K48" s="447"/>
      <c r="L48" s="436" t="s">
        <v>118</v>
      </c>
      <c r="M48" s="448"/>
      <c r="N48" s="337"/>
      <c r="O48" s="436" t="s">
        <v>119</v>
      </c>
      <c r="P48" s="449"/>
      <c r="Q48" s="426" t="s">
        <v>120</v>
      </c>
      <c r="R48" s="427"/>
      <c r="S48" s="436" t="s">
        <v>121</v>
      </c>
      <c r="T48" s="336"/>
      <c r="U48" s="336"/>
      <c r="V48" s="336"/>
      <c r="W48" s="437"/>
      <c r="Z48" s="11"/>
      <c r="AA48" s="11"/>
      <c r="AB48" s="11"/>
      <c r="AC48" s="11"/>
      <c r="AD48" s="11"/>
      <c r="AE48" s="11"/>
    </row>
    <row r="49" spans="2:31" ht="16.5" customHeight="1" thickTop="1">
      <c r="B49" s="403"/>
      <c r="C49" s="389"/>
      <c r="D49" s="389"/>
      <c r="E49" s="389"/>
      <c r="F49" s="17">
        <v>1</v>
      </c>
      <c r="G49" s="57" t="str">
        <f>IF(査読ｼｰﾄ!V17=" ","（転記）",査読ｼｰﾄ!V17)</f>
        <v>（転記）</v>
      </c>
      <c r="H49" s="467" t="s">
        <v>122</v>
      </c>
      <c r="I49" s="467"/>
      <c r="J49" s="243"/>
      <c r="K49" s="244"/>
      <c r="L49" s="251"/>
      <c r="M49" s="252"/>
      <c r="N49" s="253"/>
      <c r="O49" s="55">
        <f>査読ｼｰﾄ!X17</f>
        <v>0</v>
      </c>
      <c r="P49" s="39" t="s">
        <v>56</v>
      </c>
      <c r="Q49" s="249"/>
      <c r="R49" s="250"/>
      <c r="S49" s="245"/>
      <c r="T49" s="246"/>
      <c r="U49" s="246"/>
      <c r="V49" s="247"/>
      <c r="W49" s="248"/>
      <c r="Z49" s="11"/>
      <c r="AA49" s="11"/>
      <c r="AB49" s="11"/>
      <c r="AC49" s="11"/>
      <c r="AD49" s="11"/>
      <c r="AE49" s="11"/>
    </row>
    <row r="50" spans="2:31" ht="16.5" customHeight="1">
      <c r="B50" s="403"/>
      <c r="C50" s="389"/>
      <c r="D50" s="389"/>
      <c r="E50" s="389"/>
      <c r="F50" s="18">
        <v>2</v>
      </c>
      <c r="G50" s="58" t="str">
        <f>IF(査読ｼｰﾄ!V19=" ","（転記）",査読ｼｰﾄ!V19)</f>
        <v>（転記）</v>
      </c>
      <c r="H50" s="239" t="s">
        <v>122</v>
      </c>
      <c r="I50" s="240"/>
      <c r="J50" s="241"/>
      <c r="K50" s="242"/>
      <c r="L50" s="256"/>
      <c r="M50" s="257"/>
      <c r="N50" s="258"/>
      <c r="O50" s="53">
        <f>査読ｼｰﾄ!X19</f>
        <v>0</v>
      </c>
      <c r="P50" s="40" t="s">
        <v>56</v>
      </c>
      <c r="Q50" s="254"/>
      <c r="R50" s="255"/>
      <c r="S50" s="259"/>
      <c r="T50" s="260"/>
      <c r="U50" s="260"/>
      <c r="V50" s="261"/>
      <c r="W50" s="262"/>
      <c r="Z50" s="11"/>
      <c r="AA50" s="11"/>
      <c r="AB50" s="11"/>
      <c r="AC50" s="11"/>
      <c r="AD50" s="11"/>
      <c r="AE50" s="11"/>
    </row>
    <row r="51" spans="2:31" ht="16.5" customHeight="1">
      <c r="B51" s="403"/>
      <c r="C51" s="389"/>
      <c r="D51" s="389"/>
      <c r="E51" s="389"/>
      <c r="F51" s="18">
        <v>3</v>
      </c>
      <c r="G51" s="58" t="str">
        <f>IF(査読ｼｰﾄ!V21=" ","（転記）",査読ｼｰﾄ!V21)</f>
        <v>（転記）</v>
      </c>
      <c r="H51" s="239" t="s">
        <v>122</v>
      </c>
      <c r="I51" s="240"/>
      <c r="J51" s="241"/>
      <c r="K51" s="242"/>
      <c r="L51" s="256"/>
      <c r="M51" s="257"/>
      <c r="N51" s="258"/>
      <c r="O51" s="53">
        <f>査読ｼｰﾄ!X21</f>
        <v>0</v>
      </c>
      <c r="P51" s="40" t="s">
        <v>56</v>
      </c>
      <c r="Q51" s="254"/>
      <c r="R51" s="255"/>
      <c r="S51" s="259"/>
      <c r="T51" s="260"/>
      <c r="U51" s="260"/>
      <c r="V51" s="261"/>
      <c r="W51" s="262"/>
      <c r="Z51" s="11"/>
      <c r="AA51" s="11"/>
      <c r="AB51" s="11"/>
      <c r="AC51" s="11"/>
      <c r="AD51" s="11"/>
      <c r="AE51" s="11"/>
    </row>
    <row r="52" spans="2:31" ht="16.5" customHeight="1">
      <c r="B52" s="403"/>
      <c r="C52" s="389"/>
      <c r="D52" s="389"/>
      <c r="E52" s="389"/>
      <c r="F52" s="18">
        <v>4</v>
      </c>
      <c r="G52" s="58" t="str">
        <f>IF(査読ｼｰﾄ!V23=" ","（転記）",査読ｼｰﾄ!V23)</f>
        <v>（転記）</v>
      </c>
      <c r="H52" s="239" t="s">
        <v>122</v>
      </c>
      <c r="I52" s="240"/>
      <c r="J52" s="241"/>
      <c r="K52" s="242"/>
      <c r="L52" s="256"/>
      <c r="M52" s="257"/>
      <c r="N52" s="258"/>
      <c r="O52" s="53">
        <f>査読ｼｰﾄ!X23</f>
        <v>0</v>
      </c>
      <c r="P52" s="40" t="s">
        <v>56</v>
      </c>
      <c r="Q52" s="254"/>
      <c r="R52" s="255"/>
      <c r="S52" s="259"/>
      <c r="T52" s="260"/>
      <c r="U52" s="260"/>
      <c r="V52" s="261"/>
      <c r="W52" s="262"/>
      <c r="Z52" s="11"/>
      <c r="AA52" s="11"/>
      <c r="AB52" s="11"/>
      <c r="AC52" s="11"/>
      <c r="AD52" s="11"/>
      <c r="AE52" s="11"/>
    </row>
    <row r="53" spans="2:31" ht="16.5" customHeight="1" thickBot="1">
      <c r="B53" s="462"/>
      <c r="C53" s="463"/>
      <c r="D53" s="463"/>
      <c r="E53" s="463"/>
      <c r="F53" s="19">
        <v>5</v>
      </c>
      <c r="G53" s="59" t="str">
        <f>IF(査読ｼｰﾄ!V25=" ","（転記）",査読ｼｰﾄ!V25)</f>
        <v>（転記）</v>
      </c>
      <c r="H53" s="286" t="s">
        <v>122</v>
      </c>
      <c r="I53" s="287"/>
      <c r="J53" s="465"/>
      <c r="K53" s="466"/>
      <c r="L53" s="283"/>
      <c r="M53" s="284"/>
      <c r="N53" s="285"/>
      <c r="O53" s="56">
        <f>査読ｼｰﾄ!X25</f>
        <v>0</v>
      </c>
      <c r="P53" s="41" t="s">
        <v>56</v>
      </c>
      <c r="Q53" s="281"/>
      <c r="R53" s="282"/>
      <c r="S53" s="277"/>
      <c r="T53" s="278"/>
      <c r="U53" s="278"/>
      <c r="V53" s="279"/>
      <c r="W53" s="280"/>
      <c r="Z53" s="11"/>
      <c r="AA53" s="11"/>
      <c r="AB53" s="11"/>
      <c r="AC53" s="11"/>
      <c r="AD53" s="11"/>
      <c r="AE53" s="11"/>
    </row>
    <row r="54" spans="2:31" ht="6.75" customHeight="1" thickBot="1">
      <c r="C54" s="14"/>
      <c r="G54" s="23"/>
      <c r="H54" s="24"/>
      <c r="I54" s="25"/>
      <c r="J54" s="26"/>
      <c r="K54" s="27"/>
      <c r="L54" s="28"/>
      <c r="M54" s="28"/>
      <c r="N54" s="29"/>
      <c r="O54" s="30"/>
      <c r="P54" s="30"/>
      <c r="Q54" s="30"/>
      <c r="R54" s="31"/>
      <c r="S54" s="15"/>
      <c r="T54" s="15"/>
      <c r="U54" s="15"/>
    </row>
    <row r="55" spans="2:31" ht="18" customHeight="1">
      <c r="B55" s="263" t="s">
        <v>123</v>
      </c>
      <c r="C55" s="264"/>
      <c r="D55" s="269" t="s">
        <v>124</v>
      </c>
      <c r="E55" s="270"/>
      <c r="F55" s="288" t="s">
        <v>125</v>
      </c>
      <c r="G55" s="289"/>
      <c r="H55" s="289"/>
      <c r="I55" s="289"/>
      <c r="J55" s="289"/>
      <c r="K55" s="289"/>
      <c r="L55" s="289"/>
      <c r="M55" s="289"/>
      <c r="N55" s="289"/>
      <c r="O55" s="289"/>
      <c r="P55" s="289"/>
      <c r="Q55" s="289"/>
      <c r="R55" s="289"/>
      <c r="S55" s="289"/>
      <c r="T55" s="289"/>
      <c r="U55" s="294" t="s">
        <v>126</v>
      </c>
      <c r="V55" s="295"/>
      <c r="W55" s="296"/>
    </row>
    <row r="56" spans="2:31" ht="18" customHeight="1">
      <c r="B56" s="265"/>
      <c r="C56" s="266"/>
      <c r="D56" s="271"/>
      <c r="E56" s="272"/>
      <c r="F56" s="290"/>
      <c r="G56" s="291"/>
      <c r="H56" s="291"/>
      <c r="I56" s="291"/>
      <c r="J56" s="291"/>
      <c r="K56" s="291"/>
      <c r="L56" s="291"/>
      <c r="M56" s="291"/>
      <c r="N56" s="291"/>
      <c r="O56" s="291"/>
      <c r="P56" s="291"/>
      <c r="Q56" s="291"/>
      <c r="R56" s="291"/>
      <c r="S56" s="291"/>
      <c r="T56" s="291"/>
      <c r="U56" s="297"/>
      <c r="V56" s="298"/>
      <c r="W56" s="299"/>
    </row>
    <row r="57" spans="2:31" ht="18" customHeight="1">
      <c r="B57" s="265"/>
      <c r="C57" s="266"/>
      <c r="D57" s="273"/>
      <c r="E57" s="274"/>
      <c r="F57" s="290"/>
      <c r="G57" s="291"/>
      <c r="H57" s="291"/>
      <c r="I57" s="291"/>
      <c r="J57" s="291"/>
      <c r="K57" s="291"/>
      <c r="L57" s="291"/>
      <c r="M57" s="291"/>
      <c r="N57" s="291"/>
      <c r="O57" s="291"/>
      <c r="P57" s="291"/>
      <c r="Q57" s="291"/>
      <c r="R57" s="291"/>
      <c r="S57" s="291"/>
      <c r="T57" s="291"/>
      <c r="U57" s="300"/>
      <c r="V57" s="301"/>
      <c r="W57" s="302"/>
    </row>
    <row r="58" spans="2:31" ht="18" customHeight="1" thickBot="1">
      <c r="B58" s="267"/>
      <c r="C58" s="268"/>
      <c r="D58" s="275"/>
      <c r="E58" s="276"/>
      <c r="F58" s="292"/>
      <c r="G58" s="293"/>
      <c r="H58" s="293"/>
      <c r="I58" s="293"/>
      <c r="J58" s="293"/>
      <c r="K58" s="293"/>
      <c r="L58" s="293"/>
      <c r="M58" s="293"/>
      <c r="N58" s="293"/>
      <c r="O58" s="293"/>
      <c r="P58" s="293"/>
      <c r="Q58" s="293"/>
      <c r="R58" s="293"/>
      <c r="S58" s="293"/>
      <c r="T58" s="293"/>
      <c r="U58" s="303"/>
      <c r="V58" s="304"/>
      <c r="W58" s="305"/>
    </row>
    <row r="59" spans="2:31" s="113" customFormat="1" ht="18" customHeight="1" thickBot="1">
      <c r="D59" s="114" t="s">
        <v>127</v>
      </c>
      <c r="O59" s="115"/>
      <c r="P59" s="115"/>
      <c r="Q59" s="115"/>
      <c r="U59" s="116"/>
      <c r="V59" s="116"/>
      <c r="W59" s="116"/>
    </row>
    <row r="60" spans="2:31" ht="13.5">
      <c r="B60" s="85" t="s">
        <v>128</v>
      </c>
      <c r="C60" s="83"/>
      <c r="D60" s="83"/>
      <c r="E60" s="83"/>
      <c r="F60" s="83"/>
      <c r="G60" s="83"/>
      <c r="H60" s="83"/>
      <c r="I60" s="83"/>
      <c r="J60" s="83"/>
      <c r="K60" s="83"/>
      <c r="L60" s="83"/>
      <c r="M60" s="83"/>
      <c r="N60" s="83"/>
      <c r="O60" s="86"/>
      <c r="P60" s="86"/>
      <c r="Q60" s="86"/>
      <c r="R60" s="83"/>
      <c r="S60" s="83"/>
      <c r="T60" s="83"/>
      <c r="U60" s="103"/>
      <c r="V60" s="103"/>
      <c r="W60" s="104"/>
    </row>
    <row r="61" spans="2:31" ht="15.75" customHeight="1" thickBot="1">
      <c r="B61" s="87"/>
      <c r="C61" s="14"/>
      <c r="D61" s="88" t="s">
        <v>129</v>
      </c>
      <c r="E61" s="89" t="s">
        <v>130</v>
      </c>
      <c r="F61" s="14"/>
      <c r="G61" s="14"/>
      <c r="H61" s="14"/>
      <c r="I61" s="82" t="s">
        <v>129</v>
      </c>
      <c r="J61" s="89" t="s">
        <v>131</v>
      </c>
      <c r="K61" s="14"/>
      <c r="L61" s="14"/>
      <c r="M61" s="82" t="s">
        <v>132</v>
      </c>
      <c r="N61" s="89" t="s">
        <v>133</v>
      </c>
      <c r="O61" s="90"/>
      <c r="P61" s="90"/>
      <c r="Q61" s="90"/>
      <c r="R61" s="14"/>
      <c r="S61" s="14"/>
      <c r="T61" s="14"/>
      <c r="U61" s="105"/>
      <c r="V61" s="105"/>
      <c r="W61" s="106"/>
    </row>
  </sheetData>
  <mergeCells count="182">
    <mergeCell ref="K45:M45"/>
    <mergeCell ref="V20:W20"/>
    <mergeCell ref="H20:N20"/>
    <mergeCell ref="T33:U34"/>
    <mergeCell ref="F37:G41"/>
    <mergeCell ref="H25:N25"/>
    <mergeCell ref="F32:G34"/>
    <mergeCell ref="F28:G31"/>
    <mergeCell ref="V33:W34"/>
    <mergeCell ref="V35:W36"/>
    <mergeCell ref="T22:U22"/>
    <mergeCell ref="H23:N23"/>
    <mergeCell ref="H22:N22"/>
    <mergeCell ref="T24:U24"/>
    <mergeCell ref="H43:N43"/>
    <mergeCell ref="T35:U36"/>
    <mergeCell ref="H42:N42"/>
    <mergeCell ref="H40:N40"/>
    <mergeCell ref="S39:S40"/>
    <mergeCell ref="H24:N24"/>
    <mergeCell ref="V26:W26"/>
    <mergeCell ref="V37:W38"/>
    <mergeCell ref="V31:W32"/>
    <mergeCell ref="V39:W40"/>
    <mergeCell ref="J48:K48"/>
    <mergeCell ref="H41:N41"/>
    <mergeCell ref="L48:N48"/>
    <mergeCell ref="O48:P48"/>
    <mergeCell ref="G48:I48"/>
    <mergeCell ref="F42:G44"/>
    <mergeCell ref="H45:I45"/>
    <mergeCell ref="D46:N46"/>
    <mergeCell ref="B48:E53"/>
    <mergeCell ref="H44:N44"/>
    <mergeCell ref="J53:K53"/>
    <mergeCell ref="H49:I49"/>
    <mergeCell ref="E37:E41"/>
    <mergeCell ref="B20:C46"/>
    <mergeCell ref="F35:G36"/>
    <mergeCell ref="H30:N30"/>
    <mergeCell ref="F24:G27"/>
    <mergeCell ref="H33:N33"/>
    <mergeCell ref="H28:N28"/>
    <mergeCell ref="H29:N29"/>
    <mergeCell ref="H35:N35"/>
    <mergeCell ref="H39:N39"/>
    <mergeCell ref="H37:N37"/>
    <mergeCell ref="H32:N32"/>
    <mergeCell ref="Q48:R48"/>
    <mergeCell ref="T39:U40"/>
    <mergeCell ref="T37:U38"/>
    <mergeCell ref="S33:S34"/>
    <mergeCell ref="T23:U23"/>
    <mergeCell ref="S41:S42"/>
    <mergeCell ref="T41:U42"/>
    <mergeCell ref="R30:R42"/>
    <mergeCell ref="V27:W27"/>
    <mergeCell ref="S48:W48"/>
    <mergeCell ref="V30:W30"/>
    <mergeCell ref="V28:W28"/>
    <mergeCell ref="V41:W42"/>
    <mergeCell ref="V24:W24"/>
    <mergeCell ref="T25:U25"/>
    <mergeCell ref="V25:W25"/>
    <mergeCell ref="R17:R28"/>
    <mergeCell ref="T21:U21"/>
    <mergeCell ref="V23:W23"/>
    <mergeCell ref="S31:S32"/>
    <mergeCell ref="T31:U32"/>
    <mergeCell ref="V21:W21"/>
    <mergeCell ref="S37:S38"/>
    <mergeCell ref="S35:S36"/>
    <mergeCell ref="T19:U19"/>
    <mergeCell ref="E32:E34"/>
    <mergeCell ref="E42:E44"/>
    <mergeCell ref="E28:E31"/>
    <mergeCell ref="H36:N36"/>
    <mergeCell ref="H31:N31"/>
    <mergeCell ref="H27:N27"/>
    <mergeCell ref="E24:E27"/>
    <mergeCell ref="E35:E36"/>
    <mergeCell ref="F20:G23"/>
    <mergeCell ref="H21:N21"/>
    <mergeCell ref="S28:U28"/>
    <mergeCell ref="T26:U26"/>
    <mergeCell ref="T30:U30"/>
    <mergeCell ref="H26:N26"/>
    <mergeCell ref="H38:N38"/>
    <mergeCell ref="H34:N34"/>
    <mergeCell ref="T20:U20"/>
    <mergeCell ref="V22:W22"/>
    <mergeCell ref="T17:U17"/>
    <mergeCell ref="T18:U18"/>
    <mergeCell ref="Q12:U12"/>
    <mergeCell ref="V18:W18"/>
    <mergeCell ref="E17:E19"/>
    <mergeCell ref="H19:N19"/>
    <mergeCell ref="E20:E23"/>
    <mergeCell ref="K14:M14"/>
    <mergeCell ref="B16:U16"/>
    <mergeCell ref="H17:N17"/>
    <mergeCell ref="B9:C15"/>
    <mergeCell ref="H9:J9"/>
    <mergeCell ref="F12:J12"/>
    <mergeCell ref="L12:N12"/>
    <mergeCell ref="D9:G9"/>
    <mergeCell ref="V19:W19"/>
    <mergeCell ref="O14:W15"/>
    <mergeCell ref="O11:P11"/>
    <mergeCell ref="V11:W11"/>
    <mergeCell ref="O12:P12"/>
    <mergeCell ref="V12:W12"/>
    <mergeCell ref="D20:D45"/>
    <mergeCell ref="T27:U27"/>
    <mergeCell ref="K9:M9"/>
    <mergeCell ref="G14:I14"/>
    <mergeCell ref="H18:N18"/>
    <mergeCell ref="F17:G19"/>
    <mergeCell ref="G15:I15"/>
    <mergeCell ref="D15:F15"/>
    <mergeCell ref="L13:N13"/>
    <mergeCell ref="F13:J13"/>
    <mergeCell ref="F11:J11"/>
    <mergeCell ref="N9:W9"/>
    <mergeCell ref="V10:W10"/>
    <mergeCell ref="O13:P13"/>
    <mergeCell ref="Q13:U13"/>
    <mergeCell ref="D10:E13"/>
    <mergeCell ref="F10:J10"/>
    <mergeCell ref="D14:F14"/>
    <mergeCell ref="V13:W13"/>
    <mergeCell ref="K15:M15"/>
    <mergeCell ref="Q10:U10"/>
    <mergeCell ref="L10:N10"/>
    <mergeCell ref="L11:N11"/>
    <mergeCell ref="Q11:U11"/>
    <mergeCell ref="O10:P10"/>
    <mergeCell ref="V17:W17"/>
    <mergeCell ref="F2:K3"/>
    <mergeCell ref="T2:W2"/>
    <mergeCell ref="B7:E7"/>
    <mergeCell ref="B6:E6"/>
    <mergeCell ref="J6:K6"/>
    <mergeCell ref="J7:K7"/>
    <mergeCell ref="F6:H6"/>
    <mergeCell ref="F7:I7"/>
    <mergeCell ref="K4:M4"/>
    <mergeCell ref="L7:W7"/>
    <mergeCell ref="C4:F4"/>
    <mergeCell ref="H4:I4"/>
    <mergeCell ref="M6:N6"/>
    <mergeCell ref="U6:V6"/>
    <mergeCell ref="O6:S6"/>
    <mergeCell ref="N4:W4"/>
    <mergeCell ref="B55:C58"/>
    <mergeCell ref="D55:E58"/>
    <mergeCell ref="S52:W52"/>
    <mergeCell ref="S53:W53"/>
    <mergeCell ref="Q52:R52"/>
    <mergeCell ref="Q53:R53"/>
    <mergeCell ref="H52:I52"/>
    <mergeCell ref="L53:N53"/>
    <mergeCell ref="H53:I53"/>
    <mergeCell ref="J52:K52"/>
    <mergeCell ref="F55:T58"/>
    <mergeCell ref="U55:W55"/>
    <mergeCell ref="U56:W58"/>
    <mergeCell ref="L52:N52"/>
    <mergeCell ref="H50:I50"/>
    <mergeCell ref="H51:I51"/>
    <mergeCell ref="J51:K51"/>
    <mergeCell ref="J49:K49"/>
    <mergeCell ref="J50:K50"/>
    <mergeCell ref="S49:W49"/>
    <mergeCell ref="Q49:R49"/>
    <mergeCell ref="L49:N49"/>
    <mergeCell ref="Q51:R51"/>
    <mergeCell ref="L50:N50"/>
    <mergeCell ref="L51:N51"/>
    <mergeCell ref="S51:W51"/>
    <mergeCell ref="Q50:R50"/>
    <mergeCell ref="S50:W50"/>
  </mergeCells>
  <phoneticPr fontId="2"/>
  <dataValidations count="2">
    <dataValidation type="list" allowBlank="1" showInputMessage="1" showErrorMessage="1" sqref="K10:K13 O10:P13 V10:W12 V13:W13 G4 J4" xr:uid="{00000000-0002-0000-0000-000000000000}">
      <formula1>"○"</formula1>
    </dataValidation>
    <dataValidation type="list" allowBlank="1" showInputMessage="1" showErrorMessage="1" sqref="D61 I61 M61" xr:uid="{00000000-0002-0000-0000-000001000000}">
      <formula1>"□, ■"</formula1>
    </dataValidation>
  </dataValidations>
  <pageMargins left="0.78740157480314965" right="0.19685039370078741" top="0.53" bottom="0.41" header="0.28999999999999998" footer="0.19"/>
  <pageSetup paperSize="9" scale="94" orientation="portrait" horizontalDpi="4294967293" verticalDpi="1200" r:id="rId1"/>
  <headerFooter alignWithMargins="0">
    <oddHeader>&amp;R&amp;"ＭＳ Ｐ明朝,標準"8201 様式10 B</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IV177"/>
  <sheetViews>
    <sheetView showGridLines="0" view="pageBreakPreview" topLeftCell="A31" zoomScaleNormal="100" zoomScaleSheetLayoutView="100" workbookViewId="0">
      <selection activeCell="F45" sqref="F45"/>
    </sheetView>
  </sheetViews>
  <sheetFormatPr defaultRowHeight="13.5"/>
  <cols>
    <col min="1" max="1" width="4.375" style="5" customWidth="1"/>
    <col min="2" max="2" width="5.5" customWidth="1"/>
    <col min="3" max="3" width="31.375" customWidth="1"/>
    <col min="4" max="4" width="7.625" style="5" customWidth="1"/>
    <col min="5" max="5" width="7" style="5" customWidth="1"/>
    <col min="6" max="6" width="23.375" customWidth="1"/>
    <col min="7" max="7" width="7.125" style="5" customWidth="1"/>
    <col min="8" max="8" width="6.25" style="5" customWidth="1"/>
    <col min="9" max="9" width="6.75" style="5" customWidth="1"/>
    <col min="10" max="10" width="7" style="5" customWidth="1"/>
    <col min="11" max="11" width="6" style="5" customWidth="1"/>
    <col min="12" max="12" width="9.25" style="5" customWidth="1"/>
    <col min="13" max="13" width="8" style="5" customWidth="1"/>
    <col min="14" max="14" width="12.75" style="5" customWidth="1"/>
    <col min="15" max="15" width="9.25" style="5" customWidth="1"/>
    <col min="16" max="16" width="8" style="5" customWidth="1"/>
    <col min="17" max="17" width="12.75" style="5" customWidth="1"/>
    <col min="18" max="18" width="9.25" style="5" customWidth="1"/>
    <col min="19" max="19" width="8" style="5" customWidth="1"/>
    <col min="20" max="20" width="12.75" style="5" customWidth="1"/>
  </cols>
  <sheetData>
    <row r="1" spans="1:104" ht="11.25" hidden="1" customHeight="1">
      <c r="A1"/>
      <c r="D1"/>
      <c r="E1"/>
      <c r="G1"/>
      <c r="H1"/>
      <c r="I1"/>
      <c r="J1"/>
      <c r="K1" s="44"/>
      <c r="L1" s="2" t="s">
        <v>134</v>
      </c>
      <c r="M1"/>
      <c r="N1"/>
      <c r="O1" s="2"/>
      <c r="P1"/>
      <c r="Q1"/>
      <c r="R1" s="2"/>
      <c r="S1"/>
      <c r="T1"/>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row>
    <row r="2" spans="1:104" ht="11.25" hidden="1" customHeight="1">
      <c r="A2"/>
      <c r="D2"/>
      <c r="E2"/>
      <c r="G2"/>
      <c r="H2"/>
      <c r="I2"/>
      <c r="J2"/>
      <c r="K2" s="44"/>
      <c r="L2"/>
      <c r="M2"/>
      <c r="N2"/>
      <c r="O2"/>
      <c r="P2"/>
      <c r="Q2"/>
      <c r="R2"/>
      <c r="S2"/>
      <c r="T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c r="CG2" s="2"/>
      <c r="CH2" s="2"/>
      <c r="CI2" s="2"/>
      <c r="CJ2" s="2"/>
      <c r="CK2" s="2"/>
      <c r="CL2" s="2"/>
      <c r="CM2" s="2"/>
      <c r="CN2" s="2"/>
      <c r="CO2" s="2"/>
      <c r="CP2" s="2"/>
      <c r="CQ2" s="2"/>
      <c r="CR2" s="2"/>
      <c r="CS2" s="2"/>
      <c r="CT2" s="2"/>
      <c r="CU2" s="2"/>
      <c r="CV2" s="2"/>
      <c r="CW2" s="2"/>
      <c r="CX2" s="2"/>
      <c r="CY2" s="2"/>
      <c r="CZ2" s="2"/>
    </row>
    <row r="3" spans="1:104" ht="11.25" hidden="1" customHeight="1">
      <c r="A3"/>
      <c r="D3"/>
      <c r="E3"/>
      <c r="G3"/>
      <c r="H3"/>
      <c r="I3"/>
      <c r="J3"/>
      <c r="K3" s="44"/>
      <c r="L3" s="1" t="s">
        <v>50</v>
      </c>
      <c r="M3" s="3"/>
      <c r="N3" s="3" t="s">
        <v>135</v>
      </c>
      <c r="O3" s="1" t="s">
        <v>50</v>
      </c>
      <c r="P3" s="3"/>
      <c r="Q3" s="3" t="s">
        <v>135</v>
      </c>
      <c r="R3" s="1" t="s">
        <v>50</v>
      </c>
      <c r="S3" s="3"/>
      <c r="T3" s="3" t="s">
        <v>135</v>
      </c>
      <c r="U3" s="1" t="s">
        <v>50</v>
      </c>
      <c r="V3" s="3"/>
      <c r="W3" s="3" t="s">
        <v>135</v>
      </c>
      <c r="X3" s="1" t="s">
        <v>50</v>
      </c>
      <c r="Y3" s="3"/>
      <c r="Z3" s="3" t="s">
        <v>135</v>
      </c>
      <c r="AA3" s="1" t="s">
        <v>50</v>
      </c>
      <c r="AB3" s="3"/>
      <c r="AC3" s="3" t="s">
        <v>135</v>
      </c>
      <c r="AD3" s="1" t="s">
        <v>50</v>
      </c>
      <c r="AE3" s="3"/>
      <c r="AF3" s="3" t="s">
        <v>135</v>
      </c>
      <c r="AG3" s="1" t="s">
        <v>50</v>
      </c>
      <c r="AH3" s="3"/>
      <c r="AI3" s="3" t="s">
        <v>135</v>
      </c>
      <c r="AJ3" s="1" t="s">
        <v>50</v>
      </c>
      <c r="AK3" s="3"/>
      <c r="AL3" s="3" t="s">
        <v>135</v>
      </c>
      <c r="AM3" s="1" t="s">
        <v>50</v>
      </c>
      <c r="AN3" s="3"/>
      <c r="AO3" s="3" t="s">
        <v>135</v>
      </c>
      <c r="AP3" s="1" t="s">
        <v>50</v>
      </c>
      <c r="AQ3" s="3"/>
      <c r="AR3" s="3" t="s">
        <v>135</v>
      </c>
      <c r="AS3" s="1" t="s">
        <v>50</v>
      </c>
      <c r="AT3" s="3"/>
      <c r="AU3" s="3" t="s">
        <v>135</v>
      </c>
      <c r="AV3" s="1" t="s">
        <v>50</v>
      </c>
      <c r="AW3" s="3"/>
      <c r="AX3" s="3" t="s">
        <v>135</v>
      </c>
      <c r="AY3" s="1" t="s">
        <v>50</v>
      </c>
      <c r="AZ3" s="3"/>
      <c r="BA3" s="3" t="s">
        <v>135</v>
      </c>
      <c r="BB3" s="1" t="s">
        <v>50</v>
      </c>
      <c r="BC3" s="3"/>
      <c r="BD3" s="3" t="s">
        <v>135</v>
      </c>
      <c r="BE3" s="1" t="s">
        <v>50</v>
      </c>
      <c r="BF3" s="3"/>
      <c r="BG3" s="3" t="s">
        <v>135</v>
      </c>
      <c r="BH3" s="1" t="s">
        <v>50</v>
      </c>
      <c r="BI3" s="3"/>
      <c r="BJ3" s="3" t="s">
        <v>135</v>
      </c>
      <c r="BK3" s="1" t="s">
        <v>50</v>
      </c>
      <c r="BL3" s="3"/>
      <c r="BM3" s="3" t="s">
        <v>135</v>
      </c>
      <c r="BN3" s="1" t="s">
        <v>50</v>
      </c>
      <c r="BO3" s="3"/>
      <c r="BP3" s="3" t="s">
        <v>135</v>
      </c>
      <c r="BQ3" s="1" t="s">
        <v>50</v>
      </c>
      <c r="BR3" s="3"/>
      <c r="BS3" s="3" t="s">
        <v>135</v>
      </c>
      <c r="BT3" s="1" t="s">
        <v>50</v>
      </c>
      <c r="BU3" s="3"/>
      <c r="BV3" s="3" t="s">
        <v>135</v>
      </c>
      <c r="BW3" s="1" t="s">
        <v>50</v>
      </c>
      <c r="BX3" s="3"/>
      <c r="BY3" s="3" t="s">
        <v>135</v>
      </c>
      <c r="BZ3" s="1" t="s">
        <v>50</v>
      </c>
      <c r="CA3" s="3"/>
      <c r="CB3" s="3" t="s">
        <v>135</v>
      </c>
      <c r="CC3" s="1" t="s">
        <v>50</v>
      </c>
      <c r="CD3" s="3"/>
      <c r="CE3" s="3" t="s">
        <v>135</v>
      </c>
      <c r="CF3" s="1" t="s">
        <v>50</v>
      </c>
      <c r="CG3" s="3"/>
      <c r="CH3" s="3" t="s">
        <v>135</v>
      </c>
      <c r="CI3" s="1" t="s">
        <v>50</v>
      </c>
      <c r="CJ3" s="3"/>
      <c r="CK3" s="3" t="s">
        <v>135</v>
      </c>
      <c r="CL3" s="1" t="s">
        <v>50</v>
      </c>
      <c r="CM3" s="3"/>
      <c r="CN3" s="3" t="s">
        <v>135</v>
      </c>
      <c r="CO3" s="1" t="s">
        <v>50</v>
      </c>
      <c r="CP3" s="3"/>
      <c r="CQ3" s="3" t="s">
        <v>135</v>
      </c>
      <c r="CR3" s="1" t="s">
        <v>50</v>
      </c>
      <c r="CS3" s="3"/>
      <c r="CT3" s="3" t="s">
        <v>135</v>
      </c>
      <c r="CU3" s="1" t="s">
        <v>50</v>
      </c>
      <c r="CV3" s="3"/>
      <c r="CW3" s="3" t="s">
        <v>135</v>
      </c>
      <c r="CX3" s="1" t="s">
        <v>50</v>
      </c>
      <c r="CY3" s="3"/>
      <c r="CZ3" s="3" t="s">
        <v>135</v>
      </c>
    </row>
    <row r="4" spans="1:104" ht="11.25" hidden="1" customHeight="1">
      <c r="A4"/>
      <c r="D4"/>
      <c r="E4"/>
      <c r="G4"/>
      <c r="H4"/>
      <c r="I4"/>
      <c r="J4"/>
      <c r="K4" s="44"/>
      <c r="L4" s="2" t="s">
        <v>136</v>
      </c>
      <c r="M4" s="2"/>
      <c r="N4" s="2">
        <f>IF(ISNUMBER(DCOUNTA(査読範囲,L3,L3:L4)), DCOUNTA(査読範囲,L3,L3:L4), 0)</f>
        <v>0</v>
      </c>
      <c r="O4" s="2" t="s">
        <v>137</v>
      </c>
      <c r="P4" s="2"/>
      <c r="Q4" s="2">
        <f>IF(ISNUMBER(DCOUNTA(査読範囲,O3,O3:O4)), DCOUNTA(査読範囲,O3,O3:O4), 0)</f>
        <v>0</v>
      </c>
      <c r="R4" s="2" t="s">
        <v>138</v>
      </c>
      <c r="S4" s="2"/>
      <c r="T4" s="2">
        <f>IF(ISNUMBER(DCOUNTA(査読範囲,R3,R3:R4)), DCOUNTA(査読範囲,R3,R3:R4), 0)</f>
        <v>0</v>
      </c>
      <c r="U4" s="2" t="s">
        <v>139</v>
      </c>
      <c r="V4" s="2"/>
      <c r="W4" s="2">
        <f>IF(ISNUMBER(DCOUNTA(査読範囲,U3,U3:U4)), DCOUNTA(査読範囲,U3,U3:U4), 0)</f>
        <v>0</v>
      </c>
      <c r="X4" s="2" t="s">
        <v>140</v>
      </c>
      <c r="Y4" s="2"/>
      <c r="Z4" s="2">
        <f>IF(ISNUMBER(DCOUNTA(査読範囲,X3,X3:X4)), DCOUNTA(査読範囲,X3,X3:X4), 0)</f>
        <v>0</v>
      </c>
      <c r="AA4" s="2" t="s">
        <v>141</v>
      </c>
      <c r="AB4" s="2"/>
      <c r="AC4" s="2">
        <f>IF(ISNUMBER(DCOUNTA(査読範囲,AA3,AA3:AA4)), DCOUNTA(査読範囲,AA3,AA3:AA4), 0)</f>
        <v>0</v>
      </c>
      <c r="AD4" s="2" t="s">
        <v>142</v>
      </c>
      <c r="AE4" s="2"/>
      <c r="AF4" s="2">
        <f>IF(ISNUMBER(DCOUNTA(査読範囲,AD3,AD3:AD4)), DCOUNTA(査読範囲,AD3,AD3:AD4), 0)</f>
        <v>0</v>
      </c>
      <c r="AG4" s="2" t="s">
        <v>143</v>
      </c>
      <c r="AH4" s="2"/>
      <c r="AI4" s="2">
        <f>IF(ISNUMBER(DCOUNTA(査読範囲,AG3,AG3:AG4)), DCOUNTA(査読範囲,AG3,AG3:AG4), 0)</f>
        <v>0</v>
      </c>
      <c r="AJ4" s="2" t="s">
        <v>144</v>
      </c>
      <c r="AK4" s="2"/>
      <c r="AL4" s="2">
        <f>IF(ISNUMBER(DCOUNTA(査読範囲,AJ3,AJ3:AJ4)), DCOUNTA(査読範囲,AJ3,AJ3:AJ4), 0)</f>
        <v>0</v>
      </c>
      <c r="AM4" s="2" t="s">
        <v>145</v>
      </c>
      <c r="AN4" s="2"/>
      <c r="AO4" s="2">
        <f>IF(ISNUMBER(DCOUNTA(査読範囲,AM3,AM3:AM4)), DCOUNTA(査読範囲,AM3,AM3:AM4), 0)</f>
        <v>0</v>
      </c>
      <c r="AP4" s="2" t="s">
        <v>146</v>
      </c>
      <c r="AQ4" s="2"/>
      <c r="AR4" s="2">
        <f>IF(ISNUMBER(DCOUNTA(査読範囲,AP3,AP3:AP4)), DCOUNTA(査読範囲,AP3,AP3:AP4), 0)</f>
        <v>0</v>
      </c>
      <c r="AS4" s="2" t="s">
        <v>147</v>
      </c>
      <c r="AT4" s="2"/>
      <c r="AU4" s="2">
        <f>IF(ISNUMBER(DCOUNTA(査読範囲,AS3,AS3:AS4)), DCOUNTA(査読範囲,AS3,AS3:AS4), 0)</f>
        <v>0</v>
      </c>
      <c r="AV4" s="2" t="s">
        <v>148</v>
      </c>
      <c r="AW4" s="2"/>
      <c r="AX4" s="2">
        <f>IF(ISNUMBER(DCOUNTA(査読範囲,AV3,AV3:AV4)), DCOUNTA(査読範囲,AV3,AV3:AV4), 0)</f>
        <v>0</v>
      </c>
      <c r="AY4" s="2" t="s">
        <v>149</v>
      </c>
      <c r="AZ4" s="2"/>
      <c r="BA4" s="2">
        <f>IF(ISNUMBER(DCOUNTA(査読範囲,AY3,AY3:AY4)), DCOUNTA(査読範囲,AY3,AY3:AY4), 0)</f>
        <v>0</v>
      </c>
      <c r="BB4" s="2" t="s">
        <v>150</v>
      </c>
      <c r="BC4" s="2"/>
      <c r="BD4" s="2">
        <f>IF(ISNUMBER(DCOUNTA(査読範囲,BB3,BB3:BB4)), DCOUNTA(査読範囲,BB3,BB3:BB4), 0)</f>
        <v>0</v>
      </c>
      <c r="BE4" s="2" t="s">
        <v>151</v>
      </c>
      <c r="BF4" s="2"/>
      <c r="BG4" s="2">
        <f>IF(ISNUMBER(DCOUNTA(査読範囲,BE3,BE3:BE4)), DCOUNTA(査読範囲,BE3,BE3:BE4), 0)</f>
        <v>0</v>
      </c>
      <c r="BH4" s="2" t="s">
        <v>152</v>
      </c>
      <c r="BI4" s="2"/>
      <c r="BJ4" s="2">
        <f>IF(ISNUMBER(DCOUNTA(査読範囲,BH3,BH3:BH4)), DCOUNTA(査読範囲,BH3,BH3:BH4), 0)</f>
        <v>0</v>
      </c>
      <c r="BK4" s="2" t="s">
        <v>153</v>
      </c>
      <c r="BL4" s="2"/>
      <c r="BM4" s="2">
        <f>IF(ISNUMBER(DCOUNTA(査読範囲,BK3,BK3:BK4)), DCOUNTA(査読範囲,BK3,BK3:BK4), 0)</f>
        <v>0</v>
      </c>
      <c r="BN4" s="2" t="s">
        <v>154</v>
      </c>
      <c r="BO4" s="2"/>
      <c r="BP4" s="2">
        <f>IF(ISNUMBER(DCOUNTA(査読範囲,BN3,BN3:BN4)), DCOUNTA(査読範囲,BN3,BN3:BN4), 0)</f>
        <v>0</v>
      </c>
      <c r="BQ4" s="2" t="s">
        <v>155</v>
      </c>
      <c r="BR4" s="2"/>
      <c r="BS4" s="2">
        <f>IF(ISNUMBER(DCOUNTA(査読範囲,BQ3,BQ3:BQ4)), DCOUNTA(査読範囲,BQ3,BQ3:BQ4), 0)</f>
        <v>0</v>
      </c>
      <c r="BT4" s="2" t="s">
        <v>156</v>
      </c>
      <c r="BU4" s="2"/>
      <c r="BV4" s="2">
        <f>IF(ISNUMBER(DCOUNTA(査読範囲,BT3,BT3:BT4)), DCOUNTA(査読範囲,BT3,BT3:BT4), 0)</f>
        <v>0</v>
      </c>
      <c r="BW4" s="2" t="s">
        <v>157</v>
      </c>
      <c r="BX4" s="2"/>
      <c r="BY4" s="2">
        <f>IF(ISNUMBER(DCOUNTA(査読範囲,BW3,BW3:BW4)), DCOUNTA(査読範囲,BW3,BW3:BW4), 0)</f>
        <v>0</v>
      </c>
      <c r="BZ4" s="2" t="s">
        <v>158</v>
      </c>
      <c r="CA4" s="2"/>
      <c r="CB4" s="2">
        <f>IF(ISNUMBER(DCOUNTA(査読範囲,BZ3,BZ3:BZ4)), DCOUNTA(査読範囲,BZ3,BZ3:BZ4), 0)</f>
        <v>0</v>
      </c>
      <c r="CC4" s="2" t="s">
        <v>159</v>
      </c>
      <c r="CD4" s="2"/>
      <c r="CE4" s="2">
        <f>IF(ISNUMBER(DCOUNTA(査読範囲,CC3,CC3:CC4)), DCOUNTA(査読範囲,CC3,CC3:CC4), 0)</f>
        <v>0</v>
      </c>
      <c r="CF4" s="2" t="s">
        <v>160</v>
      </c>
      <c r="CG4" s="2"/>
      <c r="CH4" s="2">
        <f>IF(ISNUMBER(DCOUNTA(査読範囲,CF3,CF3:CF4)), DCOUNTA(査読範囲,CF3,CF3:CF4), 0)</f>
        <v>0</v>
      </c>
      <c r="CI4" s="2" t="s">
        <v>161</v>
      </c>
      <c r="CJ4" s="2"/>
      <c r="CK4" s="2">
        <f>IF(ISNUMBER(DCOUNTA(査読範囲,CI3,CI3:CI4)), DCOUNTA(査読範囲,CI3,CI3:CI4), 0)</f>
        <v>0</v>
      </c>
      <c r="CL4" s="2" t="s">
        <v>162</v>
      </c>
      <c r="CM4" s="2"/>
      <c r="CN4" s="2">
        <f>IF(ISNUMBER(DCOUNTA(査読範囲,CL3,CL3:CL4)), DCOUNTA(査読範囲,CL3,CL3:CL4), 0)</f>
        <v>0</v>
      </c>
      <c r="CO4" s="2" t="s">
        <v>163</v>
      </c>
      <c r="CP4" s="2"/>
      <c r="CQ4" s="2">
        <f>IF(ISNUMBER(DCOUNTA(査読範囲,CO3,CO3:CO4)), DCOUNTA(査読範囲,CO3,CO3:CO4), 0)</f>
        <v>0</v>
      </c>
      <c r="CR4" s="2" t="s">
        <v>164</v>
      </c>
      <c r="CS4" s="2"/>
      <c r="CT4" s="2">
        <f>IF(ISNUMBER(DCOUNTA(査読範囲,CR3,CR3:CR4)), DCOUNTA(査読範囲,CR3,CR3:CR4), 0)</f>
        <v>0</v>
      </c>
      <c r="CU4" s="2" t="s">
        <v>165</v>
      </c>
      <c r="CV4" s="2"/>
      <c r="CW4" s="2">
        <f>IF(ISNUMBER(DCOUNTA(査読範囲,CU3,CU3:CU4)), DCOUNTA(査読範囲,CU3,CU3:CU4), 0)</f>
        <v>0</v>
      </c>
      <c r="CX4" s="2" t="s">
        <v>166</v>
      </c>
      <c r="CY4" s="2"/>
      <c r="CZ4" s="2">
        <f>IF(ISNUMBER(DCOUNTA(査読範囲,CX3,CX3:CX4)), DCOUNTA(査読範囲,CX3,CX3:CX4), 0)</f>
        <v>0</v>
      </c>
    </row>
    <row r="5" spans="1:104" ht="11.25" hidden="1" customHeight="1">
      <c r="A5"/>
      <c r="D5"/>
      <c r="E5"/>
      <c r="G5"/>
      <c r="H5"/>
      <c r="I5"/>
      <c r="J5"/>
      <c r="K5" s="44"/>
      <c r="L5" s="1" t="s">
        <v>50</v>
      </c>
      <c r="M5" s="3"/>
      <c r="N5" s="3" t="s">
        <v>135</v>
      </c>
      <c r="O5" s="1" t="s">
        <v>50</v>
      </c>
      <c r="P5" s="3"/>
      <c r="Q5" s="3" t="s">
        <v>135</v>
      </c>
      <c r="R5" s="1" t="s">
        <v>50</v>
      </c>
      <c r="S5" s="3"/>
      <c r="T5" s="3" t="s">
        <v>135</v>
      </c>
      <c r="U5" s="1" t="s">
        <v>50</v>
      </c>
      <c r="V5" s="3"/>
      <c r="W5" s="3" t="s">
        <v>135</v>
      </c>
      <c r="X5" s="1" t="s">
        <v>50</v>
      </c>
      <c r="Y5" s="3"/>
      <c r="Z5" s="3" t="s">
        <v>135</v>
      </c>
      <c r="AA5" s="1" t="s">
        <v>50</v>
      </c>
      <c r="AB5" s="3"/>
      <c r="AC5" s="3" t="s">
        <v>135</v>
      </c>
      <c r="AD5" s="1" t="s">
        <v>50</v>
      </c>
      <c r="AE5" s="3"/>
      <c r="AF5" s="3" t="s">
        <v>135</v>
      </c>
      <c r="AG5" s="1" t="s">
        <v>50</v>
      </c>
      <c r="AH5" s="3"/>
      <c r="AI5" s="3" t="s">
        <v>135</v>
      </c>
      <c r="AJ5" s="1" t="s">
        <v>50</v>
      </c>
      <c r="AK5" s="3"/>
      <c r="AL5" s="3" t="s">
        <v>135</v>
      </c>
      <c r="AM5" s="1" t="s">
        <v>50</v>
      </c>
      <c r="AN5" s="3"/>
      <c r="AO5" s="3" t="s">
        <v>135</v>
      </c>
      <c r="AP5" s="1" t="s">
        <v>50</v>
      </c>
      <c r="AQ5" s="3"/>
      <c r="AR5" s="3" t="s">
        <v>135</v>
      </c>
      <c r="AS5" s="1" t="s">
        <v>50</v>
      </c>
      <c r="AT5" s="3"/>
      <c r="AU5" s="3" t="s">
        <v>135</v>
      </c>
      <c r="AV5" s="1" t="s">
        <v>50</v>
      </c>
      <c r="AW5" s="3"/>
      <c r="AX5" s="3" t="s">
        <v>135</v>
      </c>
      <c r="AY5" s="1" t="s">
        <v>50</v>
      </c>
      <c r="AZ5" s="3"/>
      <c r="BA5" s="3" t="s">
        <v>135</v>
      </c>
      <c r="BB5" s="1" t="s">
        <v>50</v>
      </c>
      <c r="BC5" s="3"/>
      <c r="BD5" s="3" t="s">
        <v>135</v>
      </c>
      <c r="BE5" s="1" t="s">
        <v>50</v>
      </c>
      <c r="BF5" s="3"/>
      <c r="BG5" s="3" t="s">
        <v>135</v>
      </c>
      <c r="BH5" s="1" t="s">
        <v>50</v>
      </c>
      <c r="BI5" s="3"/>
      <c r="BJ5" s="3" t="s">
        <v>135</v>
      </c>
      <c r="BK5" s="1" t="s">
        <v>50</v>
      </c>
      <c r="BL5" s="3"/>
      <c r="BM5" s="3" t="s">
        <v>135</v>
      </c>
      <c r="BN5" s="1" t="s">
        <v>50</v>
      </c>
      <c r="BO5" s="3"/>
      <c r="BP5" s="3" t="s">
        <v>135</v>
      </c>
      <c r="BQ5" s="1" t="s">
        <v>50</v>
      </c>
      <c r="BR5" s="3"/>
      <c r="BS5" s="3" t="s">
        <v>135</v>
      </c>
      <c r="BT5" s="1" t="s">
        <v>50</v>
      </c>
      <c r="BU5" s="3"/>
      <c r="BV5" s="3" t="s">
        <v>135</v>
      </c>
      <c r="BW5" s="1" t="s">
        <v>50</v>
      </c>
      <c r="BX5" s="3"/>
      <c r="BY5" s="3" t="s">
        <v>135</v>
      </c>
      <c r="BZ5" s="1" t="s">
        <v>50</v>
      </c>
      <c r="CA5" s="3"/>
      <c r="CB5" s="3" t="s">
        <v>135</v>
      </c>
      <c r="CC5" s="1" t="s">
        <v>50</v>
      </c>
      <c r="CD5" s="3"/>
      <c r="CE5" s="3" t="s">
        <v>135</v>
      </c>
      <c r="CF5" s="1" t="s">
        <v>50</v>
      </c>
      <c r="CG5" s="3"/>
      <c r="CH5" s="3" t="s">
        <v>135</v>
      </c>
      <c r="CI5" s="1" t="s">
        <v>50</v>
      </c>
      <c r="CJ5" s="3"/>
      <c r="CK5" s="3" t="s">
        <v>135</v>
      </c>
      <c r="CL5" s="1" t="s">
        <v>50</v>
      </c>
      <c r="CM5" s="3"/>
      <c r="CN5" s="3" t="s">
        <v>135</v>
      </c>
      <c r="CO5" s="1" t="s">
        <v>50</v>
      </c>
      <c r="CP5" s="3"/>
      <c r="CQ5" s="3" t="s">
        <v>135</v>
      </c>
      <c r="CR5" s="1" t="s">
        <v>50</v>
      </c>
      <c r="CS5" s="3"/>
      <c r="CT5" s="3" t="s">
        <v>135</v>
      </c>
      <c r="CU5" s="1" t="s">
        <v>50</v>
      </c>
      <c r="CV5" s="3"/>
      <c r="CW5" s="3" t="s">
        <v>135</v>
      </c>
      <c r="CX5" s="1" t="s">
        <v>50</v>
      </c>
      <c r="CY5" s="3"/>
      <c r="CZ5" s="3" t="s">
        <v>135</v>
      </c>
    </row>
    <row r="6" spans="1:104" ht="11.25" hidden="1" customHeight="1">
      <c r="A6"/>
      <c r="D6"/>
      <c r="E6"/>
      <c r="G6"/>
      <c r="H6"/>
      <c r="I6"/>
      <c r="J6"/>
      <c r="K6" s="44"/>
      <c r="L6" s="2" t="s">
        <v>167</v>
      </c>
      <c r="M6" s="2"/>
      <c r="N6" s="2">
        <f>IF(ISNUMBER(DCOUNTA(査読範囲,L5,L5:L6)), DCOUNTA(査読範囲,L5,L5:L6), 0)</f>
        <v>0</v>
      </c>
      <c r="O6" s="2" t="s">
        <v>168</v>
      </c>
      <c r="P6" s="2"/>
      <c r="Q6" s="2">
        <f>IF(ISNUMBER(DCOUNTA(査読範囲,O5,O5:O6)), DCOUNTA(査読範囲,O5,O5:O6), 0)</f>
        <v>0</v>
      </c>
      <c r="R6" s="2" t="s">
        <v>169</v>
      </c>
      <c r="S6" s="2"/>
      <c r="T6" s="2">
        <f>IF(ISNUMBER(DCOUNTA(査読範囲,R5,R5:R6)), DCOUNTA(査読範囲,R5,R5:R6), 0)</f>
        <v>0</v>
      </c>
      <c r="U6" s="2" t="s">
        <v>170</v>
      </c>
      <c r="V6" s="2"/>
      <c r="W6" s="2">
        <f>IF(ISNUMBER(DCOUNTA(査読範囲,U5,U5:U6)), DCOUNTA(査読範囲,U5,U5:U6), 0)</f>
        <v>0</v>
      </c>
      <c r="X6" s="2" t="s">
        <v>171</v>
      </c>
      <c r="Y6" s="2"/>
      <c r="Z6" s="2">
        <f>IF(ISNUMBER(DCOUNTA(査読範囲,X5,X5:X6)), DCOUNTA(査読範囲,X5,X5:X6), 0)</f>
        <v>0</v>
      </c>
      <c r="AA6" s="2" t="s">
        <v>172</v>
      </c>
      <c r="AB6" s="2"/>
      <c r="AC6" s="2">
        <f>IF(ISNUMBER(DCOUNTA(査読範囲,AA5,AA5:AA6)), DCOUNTA(査読範囲,AA5,AA5:AA6), 0)</f>
        <v>0</v>
      </c>
      <c r="AD6" s="2" t="s">
        <v>173</v>
      </c>
      <c r="AE6" s="2"/>
      <c r="AF6" s="2">
        <f>IF(ISNUMBER(DCOUNTA(査読範囲,AD5,AD5:AD6)), DCOUNTA(査読範囲,AD5,AD5:AD6), 0)</f>
        <v>0</v>
      </c>
      <c r="AG6" s="2" t="s">
        <v>174</v>
      </c>
      <c r="AH6" s="2"/>
      <c r="AI6" s="2">
        <f>IF(ISNUMBER(DCOUNTA(査読範囲,AG5,AG5:AG6)), DCOUNTA(査読範囲,AG5,AG5:AG6), 0)</f>
        <v>0</v>
      </c>
      <c r="AJ6" s="2" t="s">
        <v>175</v>
      </c>
      <c r="AK6" s="2"/>
      <c r="AL6" s="2">
        <f>IF(ISNUMBER(DCOUNTA(査読範囲,AJ5,AJ5:AJ6)), DCOUNTA(査読範囲,AJ5,AJ5:AJ6), 0)</f>
        <v>0</v>
      </c>
      <c r="AM6" s="2" t="s">
        <v>176</v>
      </c>
      <c r="AN6" s="2"/>
      <c r="AO6" s="2">
        <f>IF(ISNUMBER(DCOUNTA(査読範囲,AM5,AM5:AM6)), DCOUNTA(査読範囲,AM5,AM5:AM6), 0)</f>
        <v>0</v>
      </c>
      <c r="AP6" s="2" t="s">
        <v>177</v>
      </c>
      <c r="AQ6" s="2"/>
      <c r="AR6" s="2">
        <f>IF(ISNUMBER(DCOUNTA(査読範囲,AP5,AP5:AP6)), DCOUNTA(査読範囲,AP5,AP5:AP6), 0)</f>
        <v>0</v>
      </c>
      <c r="AS6" s="2" t="s">
        <v>178</v>
      </c>
      <c r="AT6" s="2"/>
      <c r="AU6" s="2">
        <f>IF(ISNUMBER(DCOUNTA(査読範囲,AS5,AS5:AS6)), DCOUNTA(査読範囲,AS5,AS5:AS6), 0)</f>
        <v>0</v>
      </c>
      <c r="AV6" s="2" t="s">
        <v>179</v>
      </c>
      <c r="AW6" s="2"/>
      <c r="AX6" s="2">
        <f>IF(ISNUMBER(DCOUNTA(査読範囲,AV5,AV5:AV6)), DCOUNTA(査読範囲,AV5,AV5:AV6), 0)</f>
        <v>0</v>
      </c>
      <c r="AY6" s="2" t="s">
        <v>180</v>
      </c>
      <c r="AZ6" s="2"/>
      <c r="BA6" s="2">
        <f>IF(ISNUMBER(DCOUNTA(査読範囲,AY5,AY5:AY6)), DCOUNTA(査読範囲,AY5,AY5:AY6), 0)</f>
        <v>0</v>
      </c>
      <c r="BB6" s="2" t="s">
        <v>181</v>
      </c>
      <c r="BC6" s="2"/>
      <c r="BD6" s="2">
        <f>IF(ISNUMBER(DCOUNTA(査読範囲,BB5,BB5:BB6)), DCOUNTA(査読範囲,BB5,BB5:BB6), 0)</f>
        <v>0</v>
      </c>
      <c r="BE6" s="2" t="s">
        <v>182</v>
      </c>
      <c r="BF6" s="2"/>
      <c r="BG6" s="2">
        <f>IF(ISNUMBER(DCOUNTA(査読範囲,BE5,BE5:BE6)), DCOUNTA(査読範囲,BE5,BE5:BE6), 0)</f>
        <v>0</v>
      </c>
      <c r="BH6" s="2" t="s">
        <v>183</v>
      </c>
      <c r="BI6" s="2"/>
      <c r="BJ6" s="2">
        <f>IF(ISNUMBER(DCOUNTA(査読範囲,BH5,BH5:BH6)), DCOUNTA(査読範囲,BH5,BH5:BH6), 0)</f>
        <v>0</v>
      </c>
      <c r="BK6" s="2" t="s">
        <v>184</v>
      </c>
      <c r="BL6" s="2"/>
      <c r="BM6" s="2">
        <f>IF(ISNUMBER(DCOUNTA(査読範囲,BK5,BK5:BK6)), DCOUNTA(査読範囲,BK5,BK5:BK6), 0)</f>
        <v>0</v>
      </c>
      <c r="BN6" s="2" t="s">
        <v>185</v>
      </c>
      <c r="BO6" s="2"/>
      <c r="BP6" s="2">
        <f>IF(ISNUMBER(DCOUNTA(査読範囲,BN5,BN5:BN6)), DCOUNTA(査読範囲,BN5,BN5:BN6), 0)</f>
        <v>0</v>
      </c>
      <c r="BQ6" s="2" t="s">
        <v>186</v>
      </c>
      <c r="BR6" s="2"/>
      <c r="BS6" s="2">
        <f>IF(ISNUMBER(DCOUNTA(査読範囲,BQ5,BQ5:BQ6)), DCOUNTA(査読範囲,BQ5,BQ5:BQ6), 0)</f>
        <v>0</v>
      </c>
      <c r="BT6" s="2" t="s">
        <v>187</v>
      </c>
      <c r="BU6" s="2"/>
      <c r="BV6" s="2">
        <f>IF(ISNUMBER(DCOUNTA(査読範囲,BT5,BT5:BT6)), DCOUNTA(査読範囲,BT5,BT5:BT6), 0)</f>
        <v>0</v>
      </c>
      <c r="BW6" s="2" t="s">
        <v>188</v>
      </c>
      <c r="BX6" s="2"/>
      <c r="BY6" s="2">
        <f>IF(ISNUMBER(DCOUNTA(査読範囲,BW5,BW5:BW6)), DCOUNTA(査読範囲,BW5,BW5:BW6), 0)</f>
        <v>0</v>
      </c>
      <c r="BZ6" s="2" t="s">
        <v>189</v>
      </c>
      <c r="CA6" s="2"/>
      <c r="CB6" s="2">
        <f>IF(ISNUMBER(DCOUNTA(査読範囲,BZ5,BZ5:BZ6)), DCOUNTA(査読範囲,BZ5,BZ5:BZ6), 0)</f>
        <v>0</v>
      </c>
      <c r="CC6" s="2" t="s">
        <v>190</v>
      </c>
      <c r="CD6" s="2"/>
      <c r="CE6" s="2">
        <f>IF(ISNUMBER(DCOUNTA(査読範囲,CC5,CC5:CC6)), DCOUNTA(査読範囲,CC5,CC5:CC6), 0)</f>
        <v>0</v>
      </c>
      <c r="CF6" s="2" t="s">
        <v>191</v>
      </c>
      <c r="CG6" s="2"/>
      <c r="CH6" s="2">
        <f>IF(ISNUMBER(DCOUNTA(査読範囲,CF5,CF5:CF6)), DCOUNTA(査読範囲,CF5,CF5:CF6), 0)</f>
        <v>0</v>
      </c>
      <c r="CI6" s="2" t="s">
        <v>192</v>
      </c>
      <c r="CJ6" s="2"/>
      <c r="CK6" s="2">
        <f>IF(ISNUMBER(DCOUNTA(査読範囲,CI5,CI5:CI6)), DCOUNTA(査読範囲,CI5,CI5:CI6), 0)</f>
        <v>0</v>
      </c>
      <c r="CL6" s="2" t="s">
        <v>193</v>
      </c>
      <c r="CM6" s="2"/>
      <c r="CN6" s="2">
        <f>IF(ISNUMBER(DCOUNTA(査読範囲,CL5,CL5:CL6)), DCOUNTA(査読範囲,CL5,CL5:CL6), 0)</f>
        <v>0</v>
      </c>
      <c r="CO6" s="2" t="s">
        <v>194</v>
      </c>
      <c r="CP6" s="2"/>
      <c r="CQ6" s="2">
        <f>IF(ISNUMBER(DCOUNTA(査読範囲,CO5,CO5:CO6)), DCOUNTA(査読範囲,CO5,CO5:CO6), 0)</f>
        <v>0</v>
      </c>
      <c r="CR6" s="2" t="s">
        <v>195</v>
      </c>
      <c r="CS6" s="2"/>
      <c r="CT6" s="2">
        <f>IF(ISNUMBER(DCOUNTA(査読範囲,CR5,CR5:CR6)), DCOUNTA(査読範囲,CR5,CR5:CR6), 0)</f>
        <v>0</v>
      </c>
      <c r="CU6" s="2" t="s">
        <v>196</v>
      </c>
      <c r="CV6" s="2"/>
      <c r="CW6" s="2">
        <f>IF(ISNUMBER(DCOUNTA(査読範囲,CU5,CU5:CU6)), DCOUNTA(査読範囲,CU5,CU5:CU6), 0)</f>
        <v>0</v>
      </c>
      <c r="CX6" s="2" t="s">
        <v>197</v>
      </c>
      <c r="CY6" s="2"/>
      <c r="CZ6" s="2">
        <f>IF(ISNUMBER(DCOUNTA(査読範囲,CX5,CX5:CX6)), DCOUNTA(査読範囲,CX5,CX5:CX6), 0)</f>
        <v>0</v>
      </c>
    </row>
    <row r="7" spans="1:104" ht="11.25" hidden="1" customHeight="1">
      <c r="A7"/>
      <c r="D7"/>
      <c r="E7"/>
      <c r="G7"/>
      <c r="H7"/>
      <c r="I7"/>
      <c r="J7"/>
      <c r="K7" s="44"/>
      <c r="L7" s="1" t="s">
        <v>50</v>
      </c>
      <c r="M7" s="3"/>
      <c r="N7" s="3" t="s">
        <v>135</v>
      </c>
      <c r="O7" s="1" t="s">
        <v>50</v>
      </c>
      <c r="P7" s="3"/>
      <c r="Q7" s="3" t="s">
        <v>135</v>
      </c>
      <c r="R7" s="1" t="s">
        <v>50</v>
      </c>
      <c r="S7" s="3"/>
      <c r="T7" s="3" t="s">
        <v>135</v>
      </c>
      <c r="U7" s="1" t="s">
        <v>50</v>
      </c>
      <c r="V7" s="3"/>
      <c r="W7" s="3" t="s">
        <v>135</v>
      </c>
      <c r="X7" s="1" t="s">
        <v>50</v>
      </c>
      <c r="Y7" s="3"/>
      <c r="Z7" s="3" t="s">
        <v>135</v>
      </c>
      <c r="AA7" s="1" t="s">
        <v>50</v>
      </c>
      <c r="AB7" s="3"/>
      <c r="AC7" s="3" t="s">
        <v>135</v>
      </c>
      <c r="AD7" s="1" t="s">
        <v>50</v>
      </c>
      <c r="AE7" s="3"/>
      <c r="AF7" s="3" t="s">
        <v>135</v>
      </c>
      <c r="AG7" s="1" t="s">
        <v>50</v>
      </c>
      <c r="AH7" s="3"/>
      <c r="AI7" s="3" t="s">
        <v>135</v>
      </c>
      <c r="AJ7" s="1" t="s">
        <v>50</v>
      </c>
      <c r="AK7" s="3"/>
      <c r="AL7" s="3" t="s">
        <v>135</v>
      </c>
      <c r="AM7" s="1" t="s">
        <v>50</v>
      </c>
      <c r="AN7" s="3"/>
      <c r="AO7" s="3" t="s">
        <v>135</v>
      </c>
      <c r="AP7" s="1" t="s">
        <v>50</v>
      </c>
      <c r="AQ7" s="3"/>
      <c r="AR7" s="3" t="s">
        <v>135</v>
      </c>
      <c r="AS7" s="1" t="s">
        <v>50</v>
      </c>
      <c r="AT7" s="3"/>
      <c r="AU7" s="3" t="s">
        <v>135</v>
      </c>
      <c r="AV7" s="1" t="s">
        <v>50</v>
      </c>
      <c r="AW7" s="3"/>
      <c r="AX7" s="3" t="s">
        <v>135</v>
      </c>
      <c r="AY7" s="1" t="s">
        <v>50</v>
      </c>
      <c r="AZ7" s="3"/>
      <c r="BA7" s="3" t="s">
        <v>135</v>
      </c>
      <c r="BB7" s="1" t="s">
        <v>50</v>
      </c>
      <c r="BC7" s="3"/>
      <c r="BD7" s="3" t="s">
        <v>135</v>
      </c>
      <c r="BE7" s="1" t="s">
        <v>50</v>
      </c>
      <c r="BF7" s="3"/>
      <c r="BG7" s="3" t="s">
        <v>135</v>
      </c>
      <c r="BH7" s="1" t="s">
        <v>50</v>
      </c>
      <c r="BI7" s="3"/>
      <c r="BJ7" s="3" t="s">
        <v>135</v>
      </c>
      <c r="BK7" s="1" t="s">
        <v>50</v>
      </c>
      <c r="BL7" s="3"/>
      <c r="BM7" s="3" t="s">
        <v>135</v>
      </c>
      <c r="BN7" s="1" t="s">
        <v>50</v>
      </c>
      <c r="BO7" s="3"/>
      <c r="BP7" s="3" t="s">
        <v>135</v>
      </c>
      <c r="BQ7" s="1" t="s">
        <v>50</v>
      </c>
      <c r="BR7" s="3"/>
      <c r="BS7" s="3" t="s">
        <v>135</v>
      </c>
      <c r="BT7" s="1" t="s">
        <v>50</v>
      </c>
      <c r="BU7" s="3"/>
      <c r="BV7" s="3" t="s">
        <v>135</v>
      </c>
      <c r="BW7" s="1" t="s">
        <v>50</v>
      </c>
      <c r="BX7" s="3"/>
      <c r="BY7" s="3" t="s">
        <v>135</v>
      </c>
      <c r="BZ7" s="1" t="s">
        <v>50</v>
      </c>
      <c r="CA7" s="3"/>
      <c r="CB7" s="3" t="s">
        <v>135</v>
      </c>
      <c r="CC7" s="1" t="s">
        <v>50</v>
      </c>
      <c r="CD7" s="3"/>
      <c r="CE7" s="3" t="s">
        <v>135</v>
      </c>
      <c r="CF7" s="1" t="s">
        <v>50</v>
      </c>
      <c r="CG7" s="3"/>
      <c r="CH7" s="3" t="s">
        <v>135</v>
      </c>
      <c r="CI7" s="1" t="s">
        <v>50</v>
      </c>
      <c r="CJ7" s="3"/>
      <c r="CK7" s="3" t="s">
        <v>135</v>
      </c>
      <c r="CL7" s="1" t="s">
        <v>50</v>
      </c>
      <c r="CM7" s="3"/>
      <c r="CN7" s="3" t="s">
        <v>135</v>
      </c>
      <c r="CO7" s="1" t="s">
        <v>50</v>
      </c>
      <c r="CP7" s="3"/>
      <c r="CQ7" s="3" t="s">
        <v>135</v>
      </c>
      <c r="CR7" s="1" t="s">
        <v>50</v>
      </c>
      <c r="CS7" s="3"/>
      <c r="CT7" s="3" t="s">
        <v>135</v>
      </c>
      <c r="CU7" s="1" t="s">
        <v>50</v>
      </c>
      <c r="CV7" s="3"/>
      <c r="CW7" s="3" t="s">
        <v>135</v>
      </c>
      <c r="CX7" s="1" t="s">
        <v>50</v>
      </c>
      <c r="CY7" s="3"/>
      <c r="CZ7" s="3" t="s">
        <v>135</v>
      </c>
    </row>
    <row r="8" spans="1:104" ht="11.25" hidden="1" customHeight="1">
      <c r="A8"/>
      <c r="D8"/>
      <c r="E8"/>
      <c r="G8"/>
      <c r="H8"/>
      <c r="I8"/>
      <c r="J8"/>
      <c r="K8" s="44"/>
      <c r="L8" s="2" t="s">
        <v>198</v>
      </c>
      <c r="M8" s="2"/>
      <c r="N8" s="2">
        <f>IF(ISNUMBER(DCOUNTA(査読範囲,L7,L7:L8)), DCOUNTA(査読範囲,L7,L7:L8), 0)</f>
        <v>0</v>
      </c>
      <c r="O8" s="2" t="s">
        <v>198</v>
      </c>
      <c r="P8" s="2"/>
      <c r="Q8" s="2">
        <f>IF(ISNUMBER(DCOUNTA(査読範囲,O7,O7:O8)), DCOUNTA(査読範囲,O7,O7:O8), 0)</f>
        <v>0</v>
      </c>
      <c r="R8" s="2" t="s">
        <v>199</v>
      </c>
      <c r="S8" s="2"/>
      <c r="T8" s="2">
        <f>IF(ISNUMBER(DCOUNTA(査読範囲,R7,R7:R8)), DCOUNTA(査読範囲,R7,R7:R8), 0)</f>
        <v>0</v>
      </c>
      <c r="U8" s="2" t="s">
        <v>200</v>
      </c>
      <c r="V8" s="2"/>
      <c r="W8" s="2">
        <f>IF(ISNUMBER(DCOUNTA(査読範囲,U7,U7:U8)), DCOUNTA(査読範囲,U7,U7:U8), 0)</f>
        <v>0</v>
      </c>
      <c r="X8" s="2" t="s">
        <v>201</v>
      </c>
      <c r="Y8" s="2"/>
      <c r="Z8" s="2">
        <f>IF(ISNUMBER(DCOUNTA(査読範囲,X7,X7:X8)), DCOUNTA(査読範囲,X7,X7:X8), 0)</f>
        <v>0</v>
      </c>
      <c r="AA8" s="2" t="s">
        <v>202</v>
      </c>
      <c r="AB8" s="2"/>
      <c r="AC8" s="2">
        <f>IF(ISNUMBER(DCOUNTA(査読範囲,AA7,AA7:AA8)), DCOUNTA(査読範囲,AA7,AA7:AA8), 0)</f>
        <v>0</v>
      </c>
      <c r="AD8" s="2" t="s">
        <v>203</v>
      </c>
      <c r="AE8" s="2"/>
      <c r="AF8" s="2">
        <f>IF(ISNUMBER(DCOUNTA(査読範囲,AD7,AD7:AD8)), DCOUNTA(査読範囲,AD7,AD7:AD8), 0)</f>
        <v>0</v>
      </c>
      <c r="AG8" s="2" t="s">
        <v>204</v>
      </c>
      <c r="AH8" s="2"/>
      <c r="AI8" s="2">
        <f>IF(ISNUMBER(DCOUNTA(査読範囲,AG7,AG7:AG8)), DCOUNTA(査読範囲,AG7,AG7:AG8), 0)</f>
        <v>0</v>
      </c>
      <c r="AJ8" s="2" t="s">
        <v>205</v>
      </c>
      <c r="AK8" s="2"/>
      <c r="AL8" s="2">
        <f>IF(ISNUMBER(DCOUNTA(査読範囲,AJ7,AJ7:AJ8)), DCOUNTA(査読範囲,AJ7,AJ7:AJ8), 0)</f>
        <v>0</v>
      </c>
      <c r="AM8" s="2" t="s">
        <v>206</v>
      </c>
      <c r="AN8" s="2"/>
      <c r="AO8" s="2">
        <f>IF(ISNUMBER(DCOUNTA(査読範囲,AM7,AM7:AM8)), DCOUNTA(査読範囲,AM7,AM7:AM8), 0)</f>
        <v>0</v>
      </c>
      <c r="AP8" s="2" t="s">
        <v>207</v>
      </c>
      <c r="AQ8" s="2"/>
      <c r="AR8" s="2">
        <f>IF(ISNUMBER(DCOUNTA(査読範囲,AP7,AP7:AP8)), DCOUNTA(査読範囲,AP7,AP7:AP8), 0)</f>
        <v>0</v>
      </c>
      <c r="AS8" s="2" t="s">
        <v>208</v>
      </c>
      <c r="AT8" s="2"/>
      <c r="AU8" s="2">
        <f>IF(ISNUMBER(DCOUNTA(査読範囲,AS7,AS7:AS8)), DCOUNTA(査読範囲,AS7,AS7:AS8), 0)</f>
        <v>0</v>
      </c>
      <c r="AV8" s="2" t="s">
        <v>209</v>
      </c>
      <c r="AW8" s="2"/>
      <c r="AX8" s="2">
        <f>IF(ISNUMBER(DCOUNTA(査読範囲,AV7,AV7:AV8)), DCOUNTA(査読範囲,AV7,AV7:AV8), 0)</f>
        <v>0</v>
      </c>
      <c r="AY8" s="2" t="s">
        <v>210</v>
      </c>
      <c r="AZ8" s="2"/>
      <c r="BA8" s="2">
        <f>IF(ISNUMBER(DCOUNTA(査読範囲,AY7,AY7:AY8)), DCOUNTA(査読範囲,AY7,AY7:AY8), 0)</f>
        <v>0</v>
      </c>
      <c r="BB8" s="2" t="s">
        <v>211</v>
      </c>
      <c r="BC8" s="2"/>
      <c r="BD8" s="2">
        <f>IF(ISNUMBER(DCOUNTA(査読範囲,BB7,BB7:BB8)), DCOUNTA(査読範囲,BB7,BB7:BB8), 0)</f>
        <v>0</v>
      </c>
      <c r="BE8" s="2" t="s">
        <v>212</v>
      </c>
      <c r="BF8" s="2"/>
      <c r="BG8" s="2">
        <f>IF(ISNUMBER(DCOUNTA(査読範囲,BE7,BE7:BE8)), DCOUNTA(査読範囲,BE7,BE7:BE8), 0)</f>
        <v>0</v>
      </c>
      <c r="BH8" s="2" t="s">
        <v>213</v>
      </c>
      <c r="BI8" s="2"/>
      <c r="BJ8" s="2">
        <f>IF(ISNUMBER(DCOUNTA(査読範囲,BH7,BH7:BH8)), DCOUNTA(査読範囲,BH7,BH7:BH8), 0)</f>
        <v>0</v>
      </c>
      <c r="BK8" s="2" t="s">
        <v>214</v>
      </c>
      <c r="BL8" s="2"/>
      <c r="BM8" s="2">
        <f>IF(ISNUMBER(DCOUNTA(査読範囲,BK7,BK7:BK8)), DCOUNTA(査読範囲,BK7,BK7:BK8), 0)</f>
        <v>0</v>
      </c>
      <c r="BN8" s="2" t="s">
        <v>215</v>
      </c>
      <c r="BO8" s="2"/>
      <c r="BP8" s="2">
        <f>IF(ISNUMBER(DCOUNTA(査読範囲,BN7,BN7:BN8)), DCOUNTA(査読範囲,BN7,BN7:BN8), 0)</f>
        <v>0</v>
      </c>
      <c r="BQ8" s="2" t="s">
        <v>216</v>
      </c>
      <c r="BR8" s="2"/>
      <c r="BS8" s="2">
        <f>IF(ISNUMBER(DCOUNTA(査読範囲,BQ7,BQ7:BQ8)), DCOUNTA(査読範囲,BQ7,BQ7:BQ8), 0)</f>
        <v>0</v>
      </c>
      <c r="BT8" s="2" t="s">
        <v>217</v>
      </c>
      <c r="BU8" s="2"/>
      <c r="BV8" s="2">
        <f>IF(ISNUMBER(DCOUNTA(査読範囲,BT7,BT7:BT8)), DCOUNTA(査読範囲,BT7,BT7:BT8), 0)</f>
        <v>0</v>
      </c>
      <c r="BW8" s="2" t="s">
        <v>218</v>
      </c>
      <c r="BX8" s="2"/>
      <c r="BY8" s="2">
        <f>IF(ISNUMBER(DCOUNTA(査読範囲,BW7,BW7:BW8)), DCOUNTA(査読範囲,BW7,BW7:BW8), 0)</f>
        <v>0</v>
      </c>
      <c r="BZ8" s="2" t="s">
        <v>219</v>
      </c>
      <c r="CA8" s="2"/>
      <c r="CB8" s="2">
        <f>IF(ISNUMBER(DCOUNTA(査読範囲,BZ7,BZ7:BZ8)), DCOUNTA(査読範囲,BZ7,BZ7:BZ8), 0)</f>
        <v>0</v>
      </c>
      <c r="CC8" s="2" t="s">
        <v>220</v>
      </c>
      <c r="CD8" s="2"/>
      <c r="CE8" s="2">
        <f>IF(ISNUMBER(DCOUNTA(査読範囲,CC7,CC7:CC8)), DCOUNTA(査読範囲,CC7,CC7:CC8), 0)</f>
        <v>0</v>
      </c>
      <c r="CF8" s="2" t="s">
        <v>221</v>
      </c>
      <c r="CG8" s="2"/>
      <c r="CH8" s="2">
        <f>IF(ISNUMBER(DCOUNTA(査読範囲,CF7,CF7:CF8)), DCOUNTA(査読範囲,CF7,CF7:CF8), 0)</f>
        <v>0</v>
      </c>
      <c r="CI8" s="2" t="s">
        <v>222</v>
      </c>
      <c r="CJ8" s="2"/>
      <c r="CK8" s="2">
        <f>IF(ISNUMBER(DCOUNTA(査読範囲,CI7,CI7:CI8)), DCOUNTA(査読範囲,CI7,CI7:CI8), 0)</f>
        <v>0</v>
      </c>
      <c r="CL8" s="2" t="s">
        <v>223</v>
      </c>
      <c r="CM8" s="2"/>
      <c r="CN8" s="2">
        <f>IF(ISNUMBER(DCOUNTA(査読範囲,CL7,CL7:CL8)), DCOUNTA(査読範囲,CL7,CL7:CL8), 0)</f>
        <v>0</v>
      </c>
      <c r="CO8" s="2" t="s">
        <v>224</v>
      </c>
      <c r="CP8" s="2"/>
      <c r="CQ8" s="2">
        <f>IF(ISNUMBER(DCOUNTA(査読範囲,CO7,CO7:CO8)), DCOUNTA(査読範囲,CO7,CO7:CO8), 0)</f>
        <v>0</v>
      </c>
      <c r="CR8" s="2" t="s">
        <v>225</v>
      </c>
      <c r="CS8" s="2"/>
      <c r="CT8" s="2">
        <f>IF(ISNUMBER(DCOUNTA(査読範囲,CR7,CR7:CR8)), DCOUNTA(査読範囲,CR7,CR7:CR8), 0)</f>
        <v>0</v>
      </c>
      <c r="CU8" s="2" t="s">
        <v>226</v>
      </c>
      <c r="CV8" s="2"/>
      <c r="CW8" s="2">
        <f>IF(ISNUMBER(DCOUNTA(査読範囲,CU7,CU7:CU8)), DCOUNTA(査読範囲,CU7,CU7:CU8), 0)</f>
        <v>0</v>
      </c>
      <c r="CX8" s="2" t="s">
        <v>227</v>
      </c>
      <c r="CY8" s="2"/>
      <c r="CZ8" s="2">
        <f>IF(ISNUMBER(DCOUNTA(査読範囲,CX7,CX7:CX8)), DCOUNTA(査読範囲,CX7,CX7:CX8), 0)</f>
        <v>0</v>
      </c>
    </row>
    <row r="9" spans="1:104" ht="11.25" hidden="1" customHeight="1">
      <c r="A9"/>
      <c r="D9"/>
      <c r="E9"/>
      <c r="G9"/>
      <c r="H9"/>
      <c r="I9"/>
      <c r="J9"/>
      <c r="K9" s="44"/>
      <c r="L9" s="1" t="s">
        <v>50</v>
      </c>
      <c r="M9" s="3"/>
      <c r="N9" s="3" t="s">
        <v>135</v>
      </c>
      <c r="O9" s="1" t="s">
        <v>50</v>
      </c>
      <c r="P9" s="3"/>
      <c r="Q9" s="3" t="s">
        <v>135</v>
      </c>
      <c r="R9" s="1" t="s">
        <v>50</v>
      </c>
      <c r="S9" s="3"/>
      <c r="T9" s="3" t="s">
        <v>135</v>
      </c>
      <c r="U9" s="1" t="s">
        <v>50</v>
      </c>
      <c r="V9" s="3"/>
      <c r="W9" s="3" t="s">
        <v>135</v>
      </c>
      <c r="X9" s="1" t="s">
        <v>50</v>
      </c>
      <c r="Y9" s="3"/>
      <c r="Z9" s="3" t="s">
        <v>135</v>
      </c>
      <c r="AA9" s="1" t="s">
        <v>50</v>
      </c>
      <c r="AB9" s="3"/>
      <c r="AC9" s="3" t="s">
        <v>135</v>
      </c>
      <c r="AD9" s="1" t="s">
        <v>50</v>
      </c>
      <c r="AE9" s="3"/>
      <c r="AF9" s="3" t="s">
        <v>135</v>
      </c>
      <c r="AG9" s="1" t="s">
        <v>50</v>
      </c>
      <c r="AH9" s="3"/>
      <c r="AI9" s="3" t="s">
        <v>135</v>
      </c>
      <c r="AJ9" s="1" t="s">
        <v>50</v>
      </c>
      <c r="AK9" s="3"/>
      <c r="AL9" s="3" t="s">
        <v>135</v>
      </c>
      <c r="AM9" s="1" t="s">
        <v>50</v>
      </c>
      <c r="AN9" s="3"/>
      <c r="AO9" s="3" t="s">
        <v>135</v>
      </c>
      <c r="AP9" s="1" t="s">
        <v>50</v>
      </c>
      <c r="AQ9" s="3"/>
      <c r="AR9" s="3" t="s">
        <v>135</v>
      </c>
      <c r="AS9" s="1" t="s">
        <v>50</v>
      </c>
      <c r="AT9" s="3"/>
      <c r="AU9" s="3" t="s">
        <v>135</v>
      </c>
      <c r="AV9" s="1" t="s">
        <v>50</v>
      </c>
      <c r="AW9" s="3"/>
      <c r="AX9" s="3" t="s">
        <v>135</v>
      </c>
      <c r="AY9" s="1" t="s">
        <v>50</v>
      </c>
      <c r="AZ9" s="3"/>
      <c r="BA9" s="3" t="s">
        <v>135</v>
      </c>
      <c r="BB9" s="1" t="s">
        <v>50</v>
      </c>
      <c r="BC9" s="3"/>
      <c r="BD9" s="3" t="s">
        <v>135</v>
      </c>
      <c r="BE9" s="1" t="s">
        <v>50</v>
      </c>
      <c r="BF9" s="3"/>
      <c r="BG9" s="3" t="s">
        <v>135</v>
      </c>
      <c r="BH9" s="1" t="s">
        <v>50</v>
      </c>
      <c r="BI9" s="3"/>
      <c r="BJ9" s="3" t="s">
        <v>135</v>
      </c>
      <c r="BK9" s="1" t="s">
        <v>50</v>
      </c>
      <c r="BL9" s="3"/>
      <c r="BM9" s="3" t="s">
        <v>135</v>
      </c>
      <c r="BN9" s="1" t="s">
        <v>50</v>
      </c>
      <c r="BO9" s="3"/>
      <c r="BP9" s="3" t="s">
        <v>135</v>
      </c>
      <c r="BQ9" s="1" t="s">
        <v>50</v>
      </c>
      <c r="BR9" s="3"/>
      <c r="BS9" s="3" t="s">
        <v>135</v>
      </c>
      <c r="BT9" s="1" t="s">
        <v>50</v>
      </c>
      <c r="BU9" s="3"/>
      <c r="BV9" s="3" t="s">
        <v>135</v>
      </c>
      <c r="BW9" s="1" t="s">
        <v>50</v>
      </c>
      <c r="BX9" s="3"/>
      <c r="BY9" s="3" t="s">
        <v>135</v>
      </c>
      <c r="BZ9" s="1" t="s">
        <v>50</v>
      </c>
      <c r="CA9" s="3"/>
      <c r="CB9" s="3" t="s">
        <v>135</v>
      </c>
      <c r="CC9" s="1" t="s">
        <v>50</v>
      </c>
      <c r="CD9" s="3"/>
      <c r="CE9" s="3" t="s">
        <v>135</v>
      </c>
      <c r="CF9" s="1" t="s">
        <v>50</v>
      </c>
      <c r="CG9" s="3"/>
      <c r="CH9" s="3" t="s">
        <v>135</v>
      </c>
      <c r="CI9" s="1" t="s">
        <v>50</v>
      </c>
      <c r="CJ9" s="3"/>
      <c r="CK9" s="3" t="s">
        <v>135</v>
      </c>
      <c r="CL9" s="1" t="s">
        <v>50</v>
      </c>
      <c r="CM9" s="3"/>
      <c r="CN9" s="3" t="s">
        <v>135</v>
      </c>
      <c r="CO9" s="1" t="s">
        <v>50</v>
      </c>
      <c r="CP9" s="3"/>
      <c r="CQ9" s="3" t="s">
        <v>135</v>
      </c>
      <c r="CR9" s="1" t="s">
        <v>50</v>
      </c>
      <c r="CS9" s="3"/>
      <c r="CT9" s="3" t="s">
        <v>135</v>
      </c>
      <c r="CU9" s="1" t="s">
        <v>50</v>
      </c>
      <c r="CV9" s="3"/>
      <c r="CW9" s="3" t="s">
        <v>135</v>
      </c>
      <c r="CX9" s="1" t="s">
        <v>50</v>
      </c>
      <c r="CY9" s="3"/>
      <c r="CZ9" s="3" t="s">
        <v>135</v>
      </c>
    </row>
    <row r="10" spans="1:104" ht="11.25" hidden="1" customHeight="1">
      <c r="A10"/>
      <c r="D10"/>
      <c r="E10"/>
      <c r="G10"/>
      <c r="H10"/>
      <c r="I10"/>
      <c r="J10"/>
      <c r="K10" s="44"/>
      <c r="L10" s="2" t="s">
        <v>228</v>
      </c>
      <c r="M10" s="2"/>
      <c r="N10" s="123"/>
      <c r="O10" s="2" t="s">
        <v>229</v>
      </c>
      <c r="P10" s="2"/>
      <c r="Q10" s="123"/>
      <c r="R10" s="2" t="s">
        <v>230</v>
      </c>
      <c r="S10" s="2"/>
      <c r="T10" s="123"/>
      <c r="U10" s="2" t="s">
        <v>231</v>
      </c>
      <c r="V10" s="2"/>
      <c r="W10" s="2">
        <f>IF(ISNUMBER(DCOUNTA(査読範囲,U9,U9:U10)), DCOUNTA(査読範囲,U9,U9:U10), 0)</f>
        <v>0</v>
      </c>
      <c r="X10" s="2" t="s">
        <v>232</v>
      </c>
      <c r="Y10" s="2"/>
      <c r="Z10" s="2">
        <f>IF(ISNUMBER(DCOUNTA(査読範囲,X9,X9:X10)), DCOUNTA(査読範囲,X9,X9:X10), 0)</f>
        <v>0</v>
      </c>
      <c r="AA10" s="2" t="s">
        <v>233</v>
      </c>
      <c r="AB10" s="2"/>
      <c r="AC10" s="2">
        <f>IF(ISNUMBER(DCOUNTA(査読範囲,AA9,AA9:AA10)), DCOUNTA(査読範囲,AA9,AA9:AA10), 0)</f>
        <v>0</v>
      </c>
      <c r="AD10" s="2" t="s">
        <v>234</v>
      </c>
      <c r="AE10" s="2"/>
      <c r="AF10" s="2">
        <f>IF(ISNUMBER(DCOUNTA(査読範囲,AD9,AD9:AD10)), DCOUNTA(査読範囲,AD9,AD9:AD10), 0)</f>
        <v>0</v>
      </c>
      <c r="AG10" s="2" t="s">
        <v>235</v>
      </c>
      <c r="AH10" s="2"/>
      <c r="AI10" s="2">
        <f>IF(ISNUMBER(DCOUNTA(査読範囲,AG9,AG9:AG10)), DCOUNTA(査読範囲,AG9,AG9:AG10), 0)</f>
        <v>0</v>
      </c>
      <c r="AJ10" s="2" t="s">
        <v>236</v>
      </c>
      <c r="AK10" s="2"/>
      <c r="AL10" s="2">
        <f>IF(ISNUMBER(DCOUNTA(査読範囲,AJ9,AJ9:AJ10)), DCOUNTA(査読範囲,AJ9,AJ9:AJ10), 0)</f>
        <v>0</v>
      </c>
      <c r="AM10" s="2" t="s">
        <v>237</v>
      </c>
      <c r="AN10" s="2"/>
      <c r="AO10" s="2">
        <f>IF(ISNUMBER(DCOUNTA(査読範囲,AM9,AM9:AM10)), DCOUNTA(査読範囲,AM9,AM9:AM10), 0)</f>
        <v>0</v>
      </c>
      <c r="AP10" s="2" t="s">
        <v>238</v>
      </c>
      <c r="AQ10" s="2"/>
      <c r="AR10" s="2">
        <f>IF(ISNUMBER(DCOUNTA(査読範囲,AP9,AP9:AP10)), DCOUNTA(査読範囲,AP9,AP9:AP10), 0)</f>
        <v>0</v>
      </c>
      <c r="AS10" s="2" t="s">
        <v>239</v>
      </c>
      <c r="AT10" s="2"/>
      <c r="AU10" s="2">
        <f>IF(ISNUMBER(DCOUNTA(査読範囲,AS9,AS9:AS10)), DCOUNTA(査読範囲,AS9,AS9:AS10), 0)</f>
        <v>0</v>
      </c>
      <c r="AV10" s="2" t="s">
        <v>240</v>
      </c>
      <c r="AW10" s="2"/>
      <c r="AX10" s="2">
        <f>IF(ISNUMBER(DCOUNTA(査読範囲,AV9,AV9:AV10)), DCOUNTA(査読範囲,AV9,AV9:AV10), 0)</f>
        <v>0</v>
      </c>
      <c r="AY10" s="2" t="s">
        <v>241</v>
      </c>
      <c r="AZ10" s="2"/>
      <c r="BA10" s="2">
        <f>IF(ISNUMBER(DCOUNTA(査読範囲,AY9,AY9:AY10)), DCOUNTA(査読範囲,AY9,AY9:AY10), 0)</f>
        <v>0</v>
      </c>
      <c r="BB10" s="2" t="s">
        <v>242</v>
      </c>
      <c r="BC10" s="2"/>
      <c r="BD10" s="2">
        <f>IF(ISNUMBER(DCOUNTA(査読範囲,BB9,BB9:BB10)), DCOUNTA(査読範囲,BB9,BB9:BB10), 0)</f>
        <v>0</v>
      </c>
      <c r="BE10" s="2" t="s">
        <v>243</v>
      </c>
      <c r="BF10" s="2"/>
      <c r="BG10" s="2">
        <f>IF(ISNUMBER(DCOUNTA(査読範囲,BE9,BE9:BE10)), DCOUNTA(査読範囲,BE9,BE9:BE10), 0)</f>
        <v>0</v>
      </c>
      <c r="BH10" s="2" t="s">
        <v>244</v>
      </c>
      <c r="BI10" s="2"/>
      <c r="BJ10" s="2">
        <f>IF(ISNUMBER(DCOUNTA(査読範囲,BH9,BH9:BH10)), DCOUNTA(査読範囲,BH9,BH9:BH10), 0)</f>
        <v>0</v>
      </c>
      <c r="BK10" s="2" t="s">
        <v>245</v>
      </c>
      <c r="BL10" s="2"/>
      <c r="BM10" s="2">
        <f>IF(ISNUMBER(DCOUNTA(査読範囲,BK9,BK9:BK10)), DCOUNTA(査読範囲,BK9,BK9:BK10), 0)</f>
        <v>0</v>
      </c>
      <c r="BN10" s="2" t="s">
        <v>246</v>
      </c>
      <c r="BO10" s="2"/>
      <c r="BP10" s="2">
        <f>IF(ISNUMBER(DCOUNTA(査読範囲,BN9,BN9:BN10)), DCOUNTA(査読範囲,BN9,BN9:BN10), 0)</f>
        <v>0</v>
      </c>
      <c r="BQ10" s="2" t="s">
        <v>247</v>
      </c>
      <c r="BR10" s="2"/>
      <c r="BS10" s="2">
        <f>IF(ISNUMBER(DCOUNTA(査読範囲,BQ9,BQ9:BQ10)), DCOUNTA(査読範囲,BQ9,BQ9:BQ10), 0)</f>
        <v>0</v>
      </c>
      <c r="BT10" s="2" t="s">
        <v>248</v>
      </c>
      <c r="BU10" s="2"/>
      <c r="BV10" s="48">
        <f>IF(ISNUMBER(DCOUNTA(査読範囲,BT9,BT9:BT10)), DCOUNTA(査読範囲,BT9,BT9:BT10), 0)</f>
        <v>0</v>
      </c>
      <c r="BW10" s="2" t="s">
        <v>249</v>
      </c>
      <c r="BX10" s="2"/>
      <c r="BY10" s="48">
        <f>IF(ISNUMBER(DCOUNTA(査読範囲,BW9,BW9:BW10)), DCOUNTA(査読範囲,BW9,BW9:BW10), 0)</f>
        <v>0</v>
      </c>
      <c r="BZ10" s="2" t="s">
        <v>250</v>
      </c>
      <c r="CA10" s="2"/>
      <c r="CB10" s="2">
        <f>IF(ISNUMBER(DCOUNTA(査読範囲,BZ9,BZ9:BZ10)), DCOUNTA(査読範囲,BZ9,BZ9:BZ10), 0)</f>
        <v>0</v>
      </c>
      <c r="CC10" s="2" t="s">
        <v>251</v>
      </c>
      <c r="CD10" s="2"/>
      <c r="CE10" s="2">
        <f>IF(ISNUMBER(DCOUNTA(査読範囲,CC9,CC9:CC10)), DCOUNTA(査読範囲,CC9,CC9:CC10), 0)</f>
        <v>0</v>
      </c>
      <c r="CF10" s="2" t="s">
        <v>252</v>
      </c>
      <c r="CG10" s="2"/>
      <c r="CH10" s="48">
        <f>IF(ISNUMBER(DCOUNTA(査読範囲,CF9,CF9:CF10)), DCOUNTA(査読範囲,CF9,CF9:CF10), 0)</f>
        <v>0</v>
      </c>
      <c r="CI10" s="2" t="s">
        <v>253</v>
      </c>
      <c r="CJ10" s="2"/>
      <c r="CK10" s="48">
        <f>IF(ISNUMBER(DCOUNTA(査読範囲,CI9,CI9:CI10)), DCOUNTA(査読範囲,CI9,CI9:CI10), 0)</f>
        <v>0</v>
      </c>
      <c r="CL10" s="2" t="s">
        <v>254</v>
      </c>
      <c r="CM10" s="2"/>
      <c r="CN10" s="2">
        <f>IF(ISNUMBER(DCOUNTA(査読範囲,CL9,CL9:CL10)), DCOUNTA(査読範囲,CL9,CL9:CL10), 0)</f>
        <v>0</v>
      </c>
      <c r="CO10" s="2" t="s">
        <v>255</v>
      </c>
      <c r="CP10" s="2"/>
      <c r="CQ10" s="2">
        <f>IF(ISNUMBER(DCOUNTA(査読範囲,CO9,CO9:CO10)), DCOUNTA(査読範囲,CO9,CO9:CO10), 0)</f>
        <v>0</v>
      </c>
      <c r="CR10" s="2" t="s">
        <v>256</v>
      </c>
      <c r="CS10" s="2"/>
      <c r="CT10" s="2">
        <f>IF(ISNUMBER(DCOUNTA(査読範囲,CR9,CR9:CR10)), DCOUNTA(査読範囲,CR9,CR9:CR10), 0)</f>
        <v>0</v>
      </c>
      <c r="CU10" s="2" t="s">
        <v>257</v>
      </c>
      <c r="CV10" s="2"/>
      <c r="CW10" s="48">
        <f>IF(ISNUMBER(DCOUNTA(査読範囲,CU9,CU9:CU10)), DCOUNTA(査読範囲,CU9,CU9:CU10), 0)</f>
        <v>0</v>
      </c>
      <c r="CX10" s="2" t="s">
        <v>258</v>
      </c>
      <c r="CY10" s="2"/>
      <c r="CZ10" s="2">
        <f>IF(ISNUMBER(DCOUNTA(査読範囲,CX9,CX9:CX10)), DCOUNTA(査読範囲,CX9,CX9:CX10), 0)</f>
        <v>0</v>
      </c>
    </row>
    <row r="11" spans="1:104" ht="11.25" hidden="1" customHeight="1">
      <c r="A11"/>
      <c r="D11"/>
      <c r="E11"/>
      <c r="G11"/>
      <c r="H11"/>
      <c r="I11"/>
      <c r="J11"/>
      <c r="K11" s="44"/>
      <c r="L11" s="2" t="s">
        <v>259</v>
      </c>
      <c r="M11" s="2"/>
      <c r="N11" s="3" t="s">
        <v>260</v>
      </c>
      <c r="O11" s="2"/>
      <c r="P11" s="2"/>
      <c r="Q11" s="3" t="s">
        <v>261</v>
      </c>
      <c r="R11" s="2"/>
      <c r="S11" s="2"/>
      <c r="T11" s="3" t="s">
        <v>262</v>
      </c>
      <c r="U11" s="2"/>
      <c r="V11" s="2"/>
      <c r="W11" s="3" t="s">
        <v>263</v>
      </c>
      <c r="X11" s="2"/>
      <c r="Y11" s="2"/>
      <c r="Z11" s="3" t="s">
        <v>264</v>
      </c>
      <c r="AA11" s="2"/>
      <c r="AB11" s="2"/>
      <c r="AC11" s="3" t="s">
        <v>265</v>
      </c>
      <c r="AD11" s="2"/>
      <c r="AE11" s="2"/>
      <c r="AF11" s="3" t="s">
        <v>266</v>
      </c>
      <c r="AG11" s="2" t="s">
        <v>259</v>
      </c>
      <c r="AH11" s="2"/>
      <c r="AI11" s="3" t="s">
        <v>267</v>
      </c>
      <c r="AJ11" s="2"/>
      <c r="AK11" s="2"/>
      <c r="AL11" s="3" t="s">
        <v>268</v>
      </c>
      <c r="AM11" s="2"/>
      <c r="AN11" s="2"/>
      <c r="AO11" s="3" t="s">
        <v>269</v>
      </c>
      <c r="AP11" s="2"/>
      <c r="AQ11" s="2"/>
      <c r="AR11" s="3" t="s">
        <v>270</v>
      </c>
      <c r="AS11" s="2"/>
      <c r="AT11" s="2"/>
      <c r="AU11" s="3" t="s">
        <v>271</v>
      </c>
      <c r="AV11" s="2"/>
      <c r="AW11" s="2"/>
      <c r="AX11" s="3" t="s">
        <v>272</v>
      </c>
      <c r="AY11" s="2"/>
      <c r="AZ11" s="2"/>
      <c r="BA11" s="3" t="s">
        <v>273</v>
      </c>
      <c r="BB11" s="2"/>
      <c r="BC11" s="2"/>
      <c r="BD11" s="3" t="s">
        <v>274</v>
      </c>
      <c r="BE11" s="2"/>
      <c r="BF11" s="2"/>
      <c r="BG11" s="3" t="s">
        <v>275</v>
      </c>
      <c r="BH11" s="2"/>
      <c r="BI11" s="2"/>
      <c r="BJ11" s="3" t="s">
        <v>276</v>
      </c>
      <c r="BK11" s="2"/>
      <c r="BL11" s="2"/>
      <c r="BM11" s="3" t="s">
        <v>277</v>
      </c>
      <c r="BN11" s="2"/>
      <c r="BO11" s="2"/>
      <c r="BP11" s="3" t="s">
        <v>278</v>
      </c>
      <c r="BQ11" s="2"/>
      <c r="BR11" s="2"/>
      <c r="BS11" s="3" t="s">
        <v>279</v>
      </c>
      <c r="BT11" s="2"/>
      <c r="BU11" s="2"/>
      <c r="BV11" s="3" t="s">
        <v>280</v>
      </c>
      <c r="BW11" s="2"/>
      <c r="BX11" s="2"/>
      <c r="BY11" s="3" t="s">
        <v>281</v>
      </c>
      <c r="BZ11" s="2"/>
      <c r="CA11" s="2"/>
      <c r="CB11" s="3" t="s">
        <v>282</v>
      </c>
      <c r="CC11" s="2"/>
      <c r="CD11" s="2"/>
      <c r="CE11" s="3" t="s">
        <v>283</v>
      </c>
      <c r="CF11" s="2"/>
      <c r="CG11" s="2"/>
      <c r="CH11" s="3" t="s">
        <v>284</v>
      </c>
      <c r="CI11" s="2"/>
      <c r="CJ11" s="2"/>
      <c r="CK11" s="3" t="s">
        <v>285</v>
      </c>
      <c r="CL11" s="2"/>
      <c r="CM11" s="2"/>
      <c r="CN11" s="3" t="s">
        <v>286</v>
      </c>
      <c r="CO11" s="2"/>
      <c r="CP11" s="2"/>
      <c r="CQ11" s="3" t="s">
        <v>287</v>
      </c>
      <c r="CR11" s="2"/>
      <c r="CS11" s="2"/>
      <c r="CT11" s="3" t="s">
        <v>288</v>
      </c>
      <c r="CU11" s="2"/>
      <c r="CV11" s="2"/>
      <c r="CW11" s="3" t="s">
        <v>289</v>
      </c>
      <c r="CX11" s="2"/>
      <c r="CY11" s="2"/>
      <c r="CZ11" s="3" t="s">
        <v>290</v>
      </c>
    </row>
    <row r="12" spans="1:104" ht="11.25" hidden="1" customHeight="1">
      <c r="A12"/>
      <c r="D12"/>
      <c r="E12"/>
      <c r="G12"/>
      <c r="H12"/>
      <c r="I12"/>
      <c r="J12"/>
      <c r="K12" s="44"/>
      <c r="L12" s="2">
        <f>SUM(N12:CZ12)</f>
        <v>0</v>
      </c>
      <c r="M12" s="2"/>
      <c r="N12" s="2">
        <f>SUBTOTAL(9,N4:N10)</f>
        <v>0</v>
      </c>
      <c r="O12" s="2"/>
      <c r="P12" s="2"/>
      <c r="Q12" s="2">
        <f>SUBTOTAL(9,Q4:Q10)</f>
        <v>0</v>
      </c>
      <c r="R12" s="2"/>
      <c r="S12" s="2"/>
      <c r="T12" s="2">
        <f>SUBTOTAL(9,T4:T10)</f>
        <v>0</v>
      </c>
      <c r="U12" s="2"/>
      <c r="V12" s="2"/>
      <c r="W12" s="2">
        <f>SUBTOTAL(9,W4:W10)</f>
        <v>0</v>
      </c>
      <c r="X12" s="2"/>
      <c r="Y12" s="2"/>
      <c r="Z12" s="2">
        <f>SUBTOTAL(9,Z4:Z10)</f>
        <v>0</v>
      </c>
      <c r="AA12" s="2"/>
      <c r="AB12" s="2"/>
      <c r="AC12" s="2">
        <f>SUBTOTAL(9,AC4:AC10)</f>
        <v>0</v>
      </c>
      <c r="AD12" s="2"/>
      <c r="AE12" s="2"/>
      <c r="AF12" s="2">
        <f>SUBTOTAL(9,AF4:AF10)</f>
        <v>0</v>
      </c>
      <c r="AG12" s="2"/>
      <c r="AH12" s="2"/>
      <c r="AI12" s="2">
        <f>SUBTOTAL(9,AI4:AI10)</f>
        <v>0</v>
      </c>
      <c r="AJ12" s="2"/>
      <c r="AK12" s="2"/>
      <c r="AL12" s="2">
        <f>SUBTOTAL(9,AL4:AL10)</f>
        <v>0</v>
      </c>
      <c r="AM12" s="2"/>
      <c r="AN12" s="2"/>
      <c r="AO12" s="2">
        <f>SUBTOTAL(9,AO4:AO10)</f>
        <v>0</v>
      </c>
      <c r="AP12" s="2"/>
      <c r="AQ12" s="2"/>
      <c r="AR12" s="2">
        <f>SUBTOTAL(9,AR4:AR10)</f>
        <v>0</v>
      </c>
      <c r="AS12" s="2"/>
      <c r="AT12" s="2"/>
      <c r="AU12" s="2">
        <f>SUBTOTAL(9,AU4:AU10)</f>
        <v>0</v>
      </c>
      <c r="AV12" s="2"/>
      <c r="AW12" s="2"/>
      <c r="AX12" s="2">
        <f>SUBTOTAL(9,AX4:AX10)</f>
        <v>0</v>
      </c>
      <c r="AY12" s="2"/>
      <c r="AZ12" s="2"/>
      <c r="BA12" s="2">
        <f>SUBTOTAL(9,BA4:BA10)</f>
        <v>0</v>
      </c>
      <c r="BB12" s="2"/>
      <c r="BC12" s="2"/>
      <c r="BD12" s="2">
        <f>SUBTOTAL(9,BD4:BD10)</f>
        <v>0</v>
      </c>
      <c r="BE12" s="2"/>
      <c r="BF12" s="2"/>
      <c r="BG12" s="2">
        <f>SUBTOTAL(9,BG4:BG10)</f>
        <v>0</v>
      </c>
      <c r="BH12" s="2"/>
      <c r="BI12" s="2"/>
      <c r="BJ12" s="2">
        <f>SUBTOTAL(9,BJ4:BJ10)</f>
        <v>0</v>
      </c>
      <c r="BK12" s="2"/>
      <c r="BL12" s="2"/>
      <c r="BM12" s="2" t="s">
        <v>291</v>
      </c>
      <c r="BN12" s="2"/>
      <c r="BO12" s="2"/>
      <c r="BP12" s="2">
        <f>SUBTOTAL(9,BP4:BP10)</f>
        <v>0</v>
      </c>
      <c r="BQ12" s="2"/>
      <c r="BR12" s="2"/>
      <c r="BS12" s="2">
        <f>SUBTOTAL(9,BS4:BS10)</f>
        <v>0</v>
      </c>
      <c r="BT12" s="2"/>
      <c r="BU12" s="2"/>
      <c r="BV12" s="2">
        <f>SUBTOTAL(9,BV4:BV10)</f>
        <v>0</v>
      </c>
      <c r="BW12" s="2"/>
      <c r="BX12" s="2"/>
      <c r="BY12" s="2" t="s">
        <v>291</v>
      </c>
      <c r="BZ12" s="2"/>
      <c r="CA12" s="2"/>
      <c r="CB12" s="2" t="s">
        <v>291</v>
      </c>
      <c r="CC12" s="2"/>
      <c r="CD12" s="2"/>
      <c r="CE12" s="2">
        <f>SUBTOTAL(9,CE4:CE10)</f>
        <v>0</v>
      </c>
      <c r="CF12" s="2"/>
      <c r="CG12" s="2"/>
      <c r="CH12" s="2">
        <f>SUBTOTAL(9,CH4:CH10)</f>
        <v>0</v>
      </c>
      <c r="CI12" s="2"/>
      <c r="CJ12" s="2"/>
      <c r="CK12" s="2">
        <f>SUBTOTAL(9,CK4:CK10)</f>
        <v>0</v>
      </c>
      <c r="CL12" s="2"/>
      <c r="CM12" s="2"/>
      <c r="CN12" s="2">
        <f>SUBTOTAL(9,CN4:CN10)</f>
        <v>0</v>
      </c>
      <c r="CO12" s="2"/>
      <c r="CP12" s="2"/>
      <c r="CQ12" s="2">
        <f>SUBTOTAL(9,CQ4:CQ10)</f>
        <v>0</v>
      </c>
      <c r="CR12" s="2"/>
      <c r="CS12" s="2"/>
      <c r="CT12" s="2">
        <f>SUBTOTAL(9,CT4:CT10)</f>
        <v>0</v>
      </c>
      <c r="CU12" s="2"/>
      <c r="CV12" s="2"/>
      <c r="CW12" s="2">
        <f>SUBTOTAL(9,CW4:CW10)</f>
        <v>0</v>
      </c>
      <c r="CX12" s="2"/>
      <c r="CY12" s="2"/>
      <c r="CZ12" s="2">
        <f>SUBTOTAL(9,CZ4:CZ10)</f>
        <v>0</v>
      </c>
    </row>
    <row r="13" spans="1:104" ht="11.25" hidden="1" customHeight="1">
      <c r="A13"/>
      <c r="D13"/>
      <c r="E13"/>
      <c r="G13"/>
      <c r="H13"/>
      <c r="I13"/>
      <c r="J13"/>
      <c r="K13" s="44"/>
      <c r="L13"/>
      <c r="M13"/>
      <c r="N13"/>
      <c r="O13"/>
      <c r="P13"/>
      <c r="Q13"/>
      <c r="R13"/>
      <c r="S13"/>
      <c r="T13"/>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c r="AU13" s="2"/>
      <c r="AV13" s="2"/>
      <c r="AW13" s="2"/>
      <c r="AX13" s="2"/>
      <c r="AY13" s="2"/>
      <c r="AZ13" s="2"/>
      <c r="BA13" s="2"/>
      <c r="BB13" s="2"/>
      <c r="BC13" s="2"/>
      <c r="BD13" s="2"/>
      <c r="BE13" s="2"/>
      <c r="BF13" s="2"/>
      <c r="BG13" s="2"/>
      <c r="BH13" s="2"/>
      <c r="BI13" s="2"/>
      <c r="BJ13" s="2"/>
      <c r="BK13" s="2"/>
      <c r="BL13" s="2"/>
      <c r="BM13" s="2"/>
      <c r="BN13" s="2"/>
      <c r="BO13" s="2"/>
      <c r="BP13" s="2"/>
      <c r="BQ13" s="2"/>
      <c r="BR13" s="2"/>
      <c r="BS13" s="2"/>
      <c r="BT13" s="2"/>
      <c r="BU13" s="2"/>
      <c r="BV13" s="2"/>
      <c r="BW13" s="2"/>
      <c r="BX13" s="2"/>
      <c r="BY13" s="2"/>
      <c r="BZ13" s="2"/>
      <c r="CA13" s="2"/>
      <c r="CB13" s="2"/>
      <c r="CC13" s="2"/>
      <c r="CD13" s="2"/>
      <c r="CE13" s="2"/>
      <c r="CF13" s="2"/>
      <c r="CG13" s="2"/>
      <c r="CH13" s="2"/>
      <c r="CI13" s="2"/>
      <c r="CJ13" s="2"/>
      <c r="CK13" s="2"/>
      <c r="CL13" s="2"/>
      <c r="CM13" s="2"/>
      <c r="CN13" s="2"/>
      <c r="CO13" s="2"/>
      <c r="CP13" s="2"/>
      <c r="CQ13" s="2"/>
      <c r="CR13" s="2"/>
      <c r="CS13" s="2"/>
      <c r="CT13" s="2"/>
      <c r="CU13" s="2"/>
      <c r="CV13" s="2"/>
      <c r="CW13" s="2"/>
      <c r="CX13" s="2"/>
      <c r="CY13" s="2"/>
      <c r="CZ13" s="2"/>
    </row>
    <row r="14" spans="1:104" ht="11.25" hidden="1" customHeight="1">
      <c r="A14"/>
      <c r="D14"/>
      <c r="E14"/>
      <c r="G14"/>
      <c r="H14"/>
      <c r="I14"/>
      <c r="J14"/>
      <c r="K14" s="44"/>
      <c r="L14"/>
      <c r="M14"/>
      <c r="N14"/>
      <c r="O14"/>
      <c r="P14"/>
      <c r="Q14"/>
      <c r="R14"/>
      <c r="S14"/>
      <c r="T14"/>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c r="BU14" s="2"/>
      <c r="BV14" s="2"/>
      <c r="BW14" s="2"/>
      <c r="BX14" s="2"/>
      <c r="BY14" s="2"/>
      <c r="BZ14" s="2"/>
      <c r="CA14" s="2"/>
      <c r="CB14" s="2"/>
      <c r="CC14" s="2"/>
      <c r="CD14" s="2"/>
      <c r="CE14" s="2"/>
      <c r="CF14" s="2"/>
      <c r="CG14" s="2"/>
      <c r="CH14" s="2"/>
      <c r="CI14" s="2"/>
      <c r="CJ14" s="2"/>
      <c r="CK14" s="2"/>
      <c r="CL14" s="2"/>
      <c r="CM14" s="2"/>
      <c r="CN14" s="2"/>
      <c r="CO14" s="2"/>
      <c r="CP14" s="2"/>
      <c r="CQ14" s="2"/>
      <c r="CR14" s="2"/>
      <c r="CS14" s="2"/>
      <c r="CT14" s="2"/>
      <c r="CU14" s="2"/>
      <c r="CV14" s="2"/>
      <c r="CW14" s="2"/>
      <c r="CX14" s="2"/>
      <c r="CY14" s="2"/>
      <c r="CZ14" s="2"/>
    </row>
    <row r="15" spans="1:104" ht="11.25" hidden="1" customHeight="1">
      <c r="A15"/>
      <c r="D15"/>
      <c r="E15"/>
      <c r="G15"/>
      <c r="H15"/>
      <c r="I15"/>
      <c r="J15"/>
      <c r="K15" s="44"/>
      <c r="L15"/>
      <c r="M15"/>
      <c r="N15"/>
      <c r="O15"/>
      <c r="P15"/>
      <c r="Q15"/>
      <c r="R15"/>
      <c r="S15"/>
      <c r="T15"/>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2"/>
      <c r="BI15" s="2"/>
      <c r="BJ15" s="2"/>
      <c r="BK15" s="2"/>
      <c r="BL15" s="2"/>
      <c r="BM15" s="2"/>
      <c r="BN15" s="2"/>
      <c r="BO15" s="2"/>
      <c r="BP15" s="2"/>
      <c r="BQ15" s="2"/>
      <c r="BR15" s="2"/>
      <c r="BS15" s="2"/>
      <c r="BT15" s="2"/>
      <c r="BU15" s="2"/>
      <c r="BV15" s="2"/>
      <c r="BW15" s="2"/>
      <c r="BX15" s="2"/>
      <c r="BY15" s="2"/>
      <c r="BZ15" s="2"/>
      <c r="CA15" s="2"/>
      <c r="CB15" s="2"/>
      <c r="CC15" s="2"/>
      <c r="CD15" s="2"/>
      <c r="CE15" s="2"/>
      <c r="CF15" s="2"/>
      <c r="CG15" s="2"/>
      <c r="CH15" s="2"/>
      <c r="CI15" s="2"/>
      <c r="CJ15" s="2"/>
      <c r="CK15" s="2"/>
      <c r="CL15" s="2"/>
      <c r="CM15" s="2"/>
      <c r="CN15" s="2"/>
      <c r="CO15" s="2"/>
      <c r="CP15" s="2"/>
      <c r="CQ15" s="2"/>
      <c r="CR15" s="2"/>
      <c r="CS15" s="2"/>
      <c r="CT15" s="2"/>
      <c r="CU15" s="2"/>
      <c r="CV15" s="2"/>
      <c r="CW15" s="2"/>
      <c r="CX15" s="2"/>
      <c r="CY15" s="2"/>
      <c r="CZ15" s="2"/>
    </row>
    <row r="16" spans="1:104" ht="11.25" hidden="1" customHeight="1">
      <c r="A16"/>
      <c r="D16"/>
      <c r="E16"/>
      <c r="G16"/>
      <c r="H16"/>
      <c r="I16"/>
      <c r="J16"/>
      <c r="K16" s="44"/>
      <c r="L16"/>
      <c r="M16"/>
      <c r="N16"/>
      <c r="O16"/>
      <c r="P16"/>
      <c r="Q16"/>
      <c r="R16"/>
      <c r="S16"/>
      <c r="T16"/>
      <c r="U16" s="3" t="s">
        <v>115</v>
      </c>
      <c r="V16" s="3" t="s">
        <v>292</v>
      </c>
      <c r="W16" s="1" t="s">
        <v>50</v>
      </c>
      <c r="X16" s="3" t="s">
        <v>293</v>
      </c>
      <c r="Y16" s="3" t="s">
        <v>294</v>
      </c>
      <c r="Z16" s="3" t="s">
        <v>295</v>
      </c>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c r="BU16" s="2"/>
      <c r="BV16" s="2"/>
      <c r="BW16" s="2"/>
      <c r="BX16" s="2"/>
      <c r="BY16" s="2"/>
      <c r="BZ16" s="2"/>
      <c r="CA16" s="2"/>
      <c r="CB16" s="2"/>
      <c r="CC16" s="2"/>
      <c r="CD16" s="2"/>
      <c r="CE16" s="2"/>
      <c r="CF16" s="2"/>
      <c r="CG16" s="2"/>
      <c r="CH16" s="2"/>
      <c r="CI16" s="2"/>
      <c r="CJ16" s="2"/>
      <c r="CK16" s="2"/>
      <c r="CL16" s="2"/>
      <c r="CM16" s="2"/>
      <c r="CN16" s="2"/>
      <c r="CO16" s="2"/>
      <c r="CP16" s="2"/>
      <c r="CQ16" s="2"/>
      <c r="CR16" s="2"/>
      <c r="CS16" s="2"/>
      <c r="CT16" s="2"/>
      <c r="CU16" s="2"/>
      <c r="CV16" s="2"/>
      <c r="CW16" s="2"/>
      <c r="CX16" s="2"/>
      <c r="CY16" s="2"/>
      <c r="CZ16" s="2"/>
    </row>
    <row r="17" spans="1:104" ht="11.25" hidden="1" customHeight="1">
      <c r="A17"/>
      <c r="D17"/>
      <c r="E17"/>
      <c r="G17"/>
      <c r="H17"/>
      <c r="I17"/>
      <c r="J17"/>
      <c r="K17" s="44"/>
      <c r="L17"/>
      <c r="M17"/>
      <c r="N17"/>
      <c r="O17"/>
      <c r="P17"/>
      <c r="Q17"/>
      <c r="R17"/>
      <c r="S17"/>
      <c r="T17"/>
      <c r="U17" s="2">
        <v>1</v>
      </c>
      <c r="V17" s="8" t="str">
        <f>IF(ISNUMBER(SMALL(記入日範囲,1)), SMALL(記入日範囲,1), " ")</f>
        <v xml:space="preserve"> </v>
      </c>
      <c r="W17" s="2"/>
      <c r="X17" s="2">
        <f>IF(ISNUMBER(DCOUNTA(査読範囲,W16,V16:V17)), DCOUNTA(査読範囲,W16,V16:V17), 0)</f>
        <v>0</v>
      </c>
      <c r="Y17" s="2">
        <f>IF(ISNUMBER(DCOUNTA(査読範囲,V16,V16:V17)), DCOUNTA(査読範囲,V16,V16:V17), 0)</f>
        <v>0</v>
      </c>
      <c r="Z17" s="2">
        <f>Y17</f>
        <v>0</v>
      </c>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2"/>
      <c r="BT17" s="2"/>
      <c r="BU17" s="2"/>
      <c r="BV17" s="2"/>
      <c r="BW17" s="2"/>
      <c r="BX17" s="2"/>
      <c r="BY17" s="2"/>
      <c r="BZ17" s="2"/>
      <c r="CA17" s="2"/>
      <c r="CB17" s="2"/>
      <c r="CC17" s="2"/>
      <c r="CD17" s="2"/>
      <c r="CE17" s="2"/>
      <c r="CF17" s="2"/>
      <c r="CG17" s="2"/>
      <c r="CH17" s="2"/>
      <c r="CI17" s="2"/>
      <c r="CJ17" s="2"/>
      <c r="CK17" s="2"/>
      <c r="CL17" s="2"/>
      <c r="CM17" s="2"/>
      <c r="CN17" s="2"/>
      <c r="CO17" s="2"/>
      <c r="CP17" s="2"/>
      <c r="CQ17" s="2"/>
      <c r="CR17" s="2"/>
      <c r="CS17" s="2"/>
      <c r="CT17" s="2"/>
      <c r="CU17" s="2"/>
      <c r="CV17" s="2"/>
      <c r="CW17" s="2"/>
      <c r="CX17" s="2"/>
      <c r="CY17" s="2"/>
      <c r="CZ17" s="2"/>
    </row>
    <row r="18" spans="1:104" ht="11.25" hidden="1" customHeight="1">
      <c r="A18"/>
      <c r="D18"/>
      <c r="E18"/>
      <c r="G18"/>
      <c r="H18"/>
      <c r="I18"/>
      <c r="J18"/>
      <c r="K18" s="44"/>
      <c r="L18"/>
      <c r="M18"/>
      <c r="N18"/>
      <c r="O18"/>
      <c r="P18"/>
      <c r="Q18"/>
      <c r="R18"/>
      <c r="S18"/>
      <c r="T18"/>
      <c r="U18" s="2"/>
      <c r="V18" s="3" t="s">
        <v>292</v>
      </c>
      <c r="W18" s="1" t="s">
        <v>50</v>
      </c>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c r="BU18" s="2"/>
      <c r="BV18" s="2"/>
      <c r="BW18" s="2"/>
      <c r="BX18" s="2"/>
      <c r="BY18" s="2"/>
      <c r="BZ18" s="2"/>
      <c r="CA18" s="2"/>
      <c r="CB18" s="2"/>
      <c r="CC18" s="2"/>
      <c r="CD18" s="2"/>
      <c r="CE18" s="2"/>
      <c r="CF18" s="2"/>
      <c r="CG18" s="2"/>
      <c r="CH18" s="2"/>
      <c r="CI18" s="2"/>
      <c r="CJ18" s="2"/>
      <c r="CK18" s="2"/>
      <c r="CL18" s="2"/>
      <c r="CM18" s="2"/>
      <c r="CN18" s="2"/>
      <c r="CO18" s="2"/>
      <c r="CP18" s="2"/>
      <c r="CQ18" s="2"/>
      <c r="CR18" s="2"/>
      <c r="CS18" s="2"/>
      <c r="CT18" s="2"/>
      <c r="CU18" s="2"/>
      <c r="CV18" s="2"/>
      <c r="CW18" s="2"/>
      <c r="CX18" s="2"/>
      <c r="CY18" s="2"/>
      <c r="CZ18" s="2"/>
    </row>
    <row r="19" spans="1:104" ht="11.25" hidden="1" customHeight="1">
      <c r="A19"/>
      <c r="D19"/>
      <c r="E19"/>
      <c r="G19"/>
      <c r="H19"/>
      <c r="I19"/>
      <c r="J19"/>
      <c r="K19" s="44"/>
      <c r="L19"/>
      <c r="M19"/>
      <c r="N19"/>
      <c r="O19"/>
      <c r="P19"/>
      <c r="Q19"/>
      <c r="R19"/>
      <c r="S19"/>
      <c r="T19"/>
      <c r="U19" s="2">
        <v>2</v>
      </c>
      <c r="V19" s="8" t="str">
        <f>IF(ISNUMBER(SMALL(記入日範囲,Z17+1)), SMALL(記入日範囲,Z17+1), " ")</f>
        <v xml:space="preserve"> </v>
      </c>
      <c r="W19" s="2"/>
      <c r="X19" s="2">
        <f>IF(ISNUMBER(DCOUNTA(査読範囲,W18,V18:V19)), DCOUNTA(査読範囲,W18,V18:V19), 0)</f>
        <v>0</v>
      </c>
      <c r="Y19" s="2">
        <f>IF(ISNUMBER(DCOUNTA(査読範囲,V18,V18:V19)), DCOUNTA(査読範囲,V18,V18:V19), 0)</f>
        <v>0</v>
      </c>
      <c r="Z19" s="2">
        <f>Z17+Y19</f>
        <v>0</v>
      </c>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c r="BA19" s="2"/>
      <c r="BB19" s="2"/>
      <c r="BC19" s="2"/>
      <c r="BD19" s="2"/>
      <c r="BE19" s="2"/>
      <c r="BF19" s="2"/>
      <c r="BG19" s="2"/>
      <c r="BH19" s="2"/>
      <c r="BI19" s="2"/>
      <c r="BJ19" s="2"/>
      <c r="BK19" s="2"/>
      <c r="BL19" s="2"/>
      <c r="BM19" s="2"/>
      <c r="BN19" s="2"/>
      <c r="BO19" s="2"/>
      <c r="BP19" s="2"/>
      <c r="BQ19" s="2"/>
      <c r="BR19" s="2"/>
      <c r="BS19" s="2"/>
      <c r="BT19" s="2"/>
      <c r="BU19" s="2"/>
      <c r="BV19" s="2"/>
      <c r="BW19" s="2"/>
      <c r="BX19" s="2"/>
      <c r="BY19" s="2"/>
      <c r="BZ19" s="2"/>
      <c r="CA19" s="2"/>
      <c r="CB19" s="2"/>
      <c r="CC19" s="2"/>
      <c r="CD19" s="2"/>
      <c r="CE19" s="2"/>
      <c r="CF19" s="2"/>
      <c r="CG19" s="2"/>
      <c r="CH19" s="2"/>
      <c r="CI19" s="2"/>
      <c r="CJ19" s="2"/>
      <c r="CK19" s="2"/>
      <c r="CL19" s="2"/>
      <c r="CM19" s="2"/>
      <c r="CN19" s="2"/>
      <c r="CO19" s="2"/>
      <c r="CP19" s="2"/>
      <c r="CQ19" s="2"/>
      <c r="CR19" s="2"/>
      <c r="CS19" s="2"/>
      <c r="CT19" s="2"/>
      <c r="CU19" s="2"/>
      <c r="CV19" s="2"/>
      <c r="CW19" s="2"/>
      <c r="CX19" s="2"/>
      <c r="CY19" s="2"/>
      <c r="CZ19" s="2"/>
    </row>
    <row r="20" spans="1:104" ht="11.25" hidden="1" customHeight="1">
      <c r="A20"/>
      <c r="D20"/>
      <c r="E20"/>
      <c r="G20"/>
      <c r="H20"/>
      <c r="I20"/>
      <c r="J20"/>
      <c r="K20" s="44"/>
      <c r="L20"/>
      <c r="M20"/>
      <c r="N20"/>
      <c r="O20"/>
      <c r="P20"/>
      <c r="Q20"/>
      <c r="R20"/>
      <c r="S20"/>
      <c r="T20"/>
      <c r="U20" s="2"/>
      <c r="V20" s="3" t="s">
        <v>292</v>
      </c>
      <c r="W20" s="1" t="s">
        <v>50</v>
      </c>
      <c r="X20" s="2"/>
      <c r="Y20" s="2"/>
      <c r="Z20" s="2"/>
      <c r="AA20" s="2"/>
      <c r="AB20" s="2"/>
      <c r="AC20" s="2"/>
      <c r="AD20" s="2"/>
      <c r="AE20" s="2"/>
      <c r="AF20" s="2"/>
      <c r="AG20" s="2"/>
      <c r="AH20" s="2"/>
      <c r="AI20" s="2"/>
      <c r="AJ20" s="2"/>
      <c r="AK20" s="2"/>
      <c r="AL20" s="2"/>
      <c r="AM20" s="2"/>
      <c r="AN20" s="2"/>
      <c r="AO20" s="2"/>
      <c r="AP20" s="2"/>
      <c r="AQ20" s="2"/>
      <c r="AR20" s="2"/>
      <c r="AS20" s="2"/>
      <c r="AT20" s="2"/>
      <c r="AU20" s="2"/>
      <c r="AV20" s="2"/>
      <c r="AW20" s="2"/>
      <c r="AX20" s="2"/>
      <c r="AY20" s="2"/>
      <c r="AZ20" s="2"/>
      <c r="BA20" s="2"/>
      <c r="BB20" s="2"/>
      <c r="BC20" s="2"/>
      <c r="BD20" s="2"/>
      <c r="BE20" s="2"/>
      <c r="BF20" s="2"/>
      <c r="BG20" s="2"/>
      <c r="BH20" s="2"/>
      <c r="BI20" s="2"/>
      <c r="BJ20" s="2"/>
      <c r="BK20" s="2"/>
      <c r="BL20" s="2"/>
      <c r="BM20" s="2"/>
      <c r="BN20" s="2"/>
      <c r="BO20" s="2"/>
      <c r="BP20" s="2"/>
      <c r="BQ20" s="2"/>
      <c r="BR20" s="2"/>
      <c r="BS20" s="2"/>
      <c r="BT20" s="2"/>
      <c r="BU20" s="2"/>
      <c r="BV20" s="2"/>
      <c r="BW20" s="2"/>
      <c r="BX20" s="2"/>
      <c r="BY20" s="2"/>
      <c r="BZ20" s="2"/>
      <c r="CA20" s="2"/>
      <c r="CB20" s="2"/>
      <c r="CC20" s="2"/>
      <c r="CD20" s="2"/>
      <c r="CE20" s="2"/>
      <c r="CF20" s="2"/>
      <c r="CG20" s="2"/>
      <c r="CH20" s="2"/>
      <c r="CI20" s="2"/>
      <c r="CJ20" s="2"/>
      <c r="CK20" s="2"/>
      <c r="CL20" s="2"/>
      <c r="CM20" s="2"/>
      <c r="CN20" s="2"/>
      <c r="CO20" s="2"/>
      <c r="CP20" s="2"/>
      <c r="CQ20" s="2"/>
      <c r="CR20" s="2"/>
      <c r="CS20" s="2"/>
      <c r="CT20" s="2"/>
      <c r="CU20" s="2"/>
      <c r="CV20" s="2"/>
      <c r="CW20" s="2"/>
      <c r="CX20" s="2"/>
      <c r="CY20" s="2"/>
      <c r="CZ20" s="2"/>
    </row>
    <row r="21" spans="1:104" ht="11.25" hidden="1" customHeight="1">
      <c r="A21"/>
      <c r="D21"/>
      <c r="E21"/>
      <c r="G21"/>
      <c r="H21"/>
      <c r="I21"/>
      <c r="J21"/>
      <c r="K21" s="44"/>
      <c r="L21"/>
      <c r="M21"/>
      <c r="N21"/>
      <c r="O21"/>
      <c r="P21"/>
      <c r="Q21"/>
      <c r="R21"/>
      <c r="S21"/>
      <c r="T21"/>
      <c r="U21" s="2">
        <v>3</v>
      </c>
      <c r="V21" s="8" t="str">
        <f>IF(ISNUMBER(SMALL(記入日範囲,Z19+1)), SMALL(記入日範囲,Z19+1), " ")</f>
        <v xml:space="preserve"> </v>
      </c>
      <c r="W21" s="2"/>
      <c r="X21" s="2">
        <f>IF(ISNUMBER(DCOUNTA(査読範囲,W20,V20:V21)), DCOUNTA(査読範囲,W20,V20:V21), 0)</f>
        <v>0</v>
      </c>
      <c r="Y21" s="2">
        <f>IF(ISNUMBER(DCOUNTA(査読範囲,V20,V20:V21)), DCOUNTA(査読範囲,V20,V20:V21), 0)</f>
        <v>0</v>
      </c>
      <c r="Z21" s="2">
        <f>Z19+Y21</f>
        <v>0</v>
      </c>
      <c r="AA21" s="2"/>
      <c r="AB21" s="2"/>
      <c r="AC21" s="2"/>
      <c r="AD21" s="2"/>
      <c r="AE21" s="2"/>
      <c r="AF21" s="2"/>
      <c r="AG21" s="2"/>
      <c r="AH21" s="2"/>
      <c r="AI21" s="2"/>
      <c r="AJ21" s="2"/>
      <c r="AK21" s="2"/>
      <c r="AL21" s="2"/>
      <c r="AM21" s="2"/>
      <c r="AN21" s="2"/>
      <c r="AO21" s="2"/>
      <c r="AP21" s="2"/>
      <c r="AQ21" s="2"/>
      <c r="AR21" s="2"/>
      <c r="AS21" s="2"/>
      <c r="AT21" s="2"/>
      <c r="AU21" s="2"/>
      <c r="AV21" s="2"/>
      <c r="AW21" s="2"/>
      <c r="AX21" s="2"/>
      <c r="AY21" s="2"/>
      <c r="AZ21" s="2"/>
      <c r="BA21" s="2"/>
      <c r="BB21" s="2"/>
      <c r="BC21" s="2"/>
      <c r="BD21" s="2"/>
      <c r="BE21" s="2"/>
      <c r="BF21" s="2"/>
      <c r="BG21" s="2"/>
      <c r="BH21" s="2"/>
      <c r="BI21" s="2"/>
      <c r="BJ21" s="2"/>
      <c r="BK21" s="2"/>
      <c r="BL21" s="2"/>
      <c r="BM21" s="2"/>
      <c r="BN21" s="2"/>
      <c r="BO21" s="2"/>
      <c r="BP21" s="2"/>
      <c r="BQ21" s="2"/>
      <c r="BR21" s="2"/>
      <c r="BS21" s="2"/>
      <c r="BT21" s="2"/>
      <c r="BU21" s="2"/>
      <c r="BV21" s="2"/>
      <c r="BW21" s="2"/>
      <c r="BX21" s="2"/>
      <c r="BY21" s="2"/>
      <c r="BZ21" s="2"/>
      <c r="CA21" s="2"/>
      <c r="CB21" s="2"/>
      <c r="CC21" s="2"/>
      <c r="CD21" s="2"/>
      <c r="CE21" s="2"/>
      <c r="CF21" s="2"/>
      <c r="CG21" s="2"/>
      <c r="CH21" s="2"/>
      <c r="CI21" s="2"/>
      <c r="CJ21" s="2"/>
      <c r="CK21" s="2"/>
      <c r="CL21" s="2"/>
      <c r="CM21" s="2"/>
      <c r="CN21" s="2"/>
      <c r="CO21" s="2"/>
      <c r="CP21" s="2"/>
      <c r="CQ21" s="2"/>
      <c r="CR21" s="2"/>
      <c r="CS21" s="2"/>
      <c r="CT21" s="2"/>
      <c r="CU21" s="2"/>
      <c r="CV21" s="2"/>
      <c r="CW21" s="2"/>
      <c r="CX21" s="2"/>
      <c r="CY21" s="2"/>
      <c r="CZ21" s="2"/>
    </row>
    <row r="22" spans="1:104" ht="11.25" hidden="1" customHeight="1">
      <c r="A22"/>
      <c r="D22"/>
      <c r="E22"/>
      <c r="G22"/>
      <c r="H22"/>
      <c r="I22"/>
      <c r="J22"/>
      <c r="K22" s="44"/>
      <c r="L22"/>
      <c r="M22"/>
      <c r="N22"/>
      <c r="O22"/>
      <c r="P22"/>
      <c r="Q22"/>
      <c r="R22"/>
      <c r="S22"/>
      <c r="T22"/>
      <c r="U22" s="2"/>
      <c r="V22" s="3" t="s">
        <v>292</v>
      </c>
      <c r="W22" s="1" t="s">
        <v>50</v>
      </c>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2"/>
      <c r="BA22" s="2"/>
      <c r="BB22" s="2"/>
      <c r="BC22" s="2"/>
      <c r="BD22" s="2"/>
      <c r="BE22" s="2"/>
      <c r="BF22" s="2"/>
      <c r="BG22" s="2"/>
      <c r="BH22" s="2"/>
      <c r="BI22" s="2"/>
      <c r="BJ22" s="2"/>
      <c r="BK22" s="2"/>
      <c r="BL22" s="2"/>
      <c r="BM22" s="2"/>
      <c r="BN22" s="2"/>
      <c r="BO22" s="2"/>
      <c r="BP22" s="2"/>
      <c r="BQ22" s="2"/>
      <c r="BR22" s="2"/>
      <c r="BS22" s="2"/>
      <c r="BT22" s="2"/>
      <c r="BU22" s="2"/>
      <c r="BV22" s="2"/>
      <c r="BW22" s="2"/>
      <c r="BX22" s="2"/>
      <c r="BY22" s="2"/>
      <c r="BZ22" s="2"/>
      <c r="CA22" s="2"/>
      <c r="CB22" s="2"/>
      <c r="CC22" s="2"/>
      <c r="CD22" s="2"/>
      <c r="CE22" s="2"/>
      <c r="CF22" s="2"/>
      <c r="CG22" s="2"/>
      <c r="CH22" s="2"/>
      <c r="CI22" s="2"/>
      <c r="CJ22" s="2"/>
      <c r="CK22" s="2"/>
      <c r="CL22" s="2"/>
      <c r="CM22" s="2"/>
      <c r="CN22" s="2"/>
      <c r="CO22" s="2"/>
      <c r="CP22" s="2"/>
      <c r="CQ22" s="2"/>
      <c r="CR22" s="2"/>
      <c r="CS22" s="2"/>
      <c r="CT22" s="2"/>
      <c r="CU22" s="2"/>
      <c r="CV22" s="2"/>
      <c r="CW22" s="2"/>
      <c r="CX22" s="2"/>
      <c r="CY22" s="2"/>
      <c r="CZ22" s="2"/>
    </row>
    <row r="23" spans="1:104" ht="11.25" hidden="1" customHeight="1">
      <c r="A23"/>
      <c r="D23"/>
      <c r="E23"/>
      <c r="G23"/>
      <c r="H23"/>
      <c r="I23"/>
      <c r="J23"/>
      <c r="K23" s="44"/>
      <c r="L23"/>
      <c r="M23"/>
      <c r="N23"/>
      <c r="O23"/>
      <c r="P23"/>
      <c r="Q23"/>
      <c r="R23"/>
      <c r="S23"/>
      <c r="T23"/>
      <c r="U23" s="2">
        <v>4</v>
      </c>
      <c r="V23" s="8" t="str">
        <f>IF(ISNUMBER(SMALL(記入日範囲,Z21+1)), SMALL(記入日範囲,Z21+1), " ")</f>
        <v xml:space="preserve"> </v>
      </c>
      <c r="W23" s="2"/>
      <c r="X23" s="2">
        <f>IF(ISNUMBER(DCOUNTA(査読範囲,W22,V22:V23)), DCOUNTA(査読範囲,W22,V22:V23), 0)</f>
        <v>0</v>
      </c>
      <c r="Y23" s="2">
        <f>IF(ISNUMBER(DCOUNTA(査読範囲,V22,V22:V23)), DCOUNTA(査読範囲,V22,V22:V23), 0)</f>
        <v>0</v>
      </c>
      <c r="Z23" s="2">
        <f>Z21+Y23</f>
        <v>0</v>
      </c>
      <c r="AA23" s="2"/>
      <c r="AB23" s="2"/>
      <c r="AC23" s="2"/>
      <c r="AD23" s="2"/>
      <c r="AE23" s="2"/>
      <c r="AF23" s="2"/>
      <c r="AG23" s="2"/>
      <c r="AH23" s="2"/>
      <c r="AI23" s="2"/>
      <c r="AJ23" s="2"/>
      <c r="AK23" s="2"/>
      <c r="AL23" s="2"/>
      <c r="AM23" s="2"/>
      <c r="AN23" s="2"/>
      <c r="AO23" s="2"/>
      <c r="AP23" s="2"/>
      <c r="AQ23" s="2"/>
      <c r="AR23" s="2"/>
      <c r="AS23" s="2"/>
      <c r="AT23" s="2"/>
      <c r="AU23" s="2"/>
      <c r="AV23" s="2"/>
      <c r="AW23" s="2"/>
      <c r="AX23" s="2"/>
      <c r="AY23" s="2"/>
      <c r="AZ23" s="2"/>
      <c r="BA23" s="2"/>
      <c r="BB23" s="2"/>
      <c r="BC23" s="2"/>
      <c r="BD23" s="2"/>
      <c r="BE23" s="2"/>
      <c r="BF23" s="2"/>
      <c r="BG23" s="2"/>
      <c r="BH23" s="2"/>
      <c r="BI23" s="2"/>
      <c r="BJ23" s="2"/>
      <c r="BK23" s="2"/>
      <c r="BL23" s="2"/>
      <c r="BM23" s="2"/>
      <c r="BN23" s="2"/>
      <c r="BO23" s="2"/>
      <c r="BP23" s="2"/>
      <c r="BQ23" s="2"/>
      <c r="BR23" s="2"/>
      <c r="BS23" s="2"/>
      <c r="BT23" s="2"/>
      <c r="BU23" s="2"/>
      <c r="BV23" s="2"/>
      <c r="BW23" s="2"/>
      <c r="BX23" s="2"/>
      <c r="BY23" s="2"/>
      <c r="BZ23" s="2"/>
      <c r="CA23" s="2"/>
      <c r="CB23" s="2"/>
      <c r="CC23" s="2"/>
      <c r="CD23" s="2"/>
      <c r="CE23" s="2"/>
      <c r="CF23" s="2"/>
      <c r="CG23" s="2"/>
      <c r="CH23" s="2"/>
      <c r="CI23" s="2"/>
      <c r="CJ23" s="2"/>
      <c r="CK23" s="2"/>
      <c r="CL23" s="2"/>
      <c r="CM23" s="2"/>
      <c r="CN23" s="2"/>
      <c r="CO23" s="2"/>
      <c r="CP23" s="2"/>
      <c r="CQ23" s="2"/>
      <c r="CR23" s="2"/>
      <c r="CS23" s="2"/>
      <c r="CT23" s="2"/>
      <c r="CU23" s="2"/>
      <c r="CV23" s="2"/>
      <c r="CW23" s="2"/>
      <c r="CX23" s="2"/>
      <c r="CY23" s="2"/>
      <c r="CZ23" s="2"/>
    </row>
    <row r="24" spans="1:104" ht="11.25" hidden="1" customHeight="1">
      <c r="A24"/>
      <c r="D24"/>
      <c r="E24"/>
      <c r="G24"/>
      <c r="H24"/>
      <c r="I24"/>
      <c r="J24"/>
      <c r="K24" s="44"/>
      <c r="L24"/>
      <c r="M24"/>
      <c r="N24"/>
      <c r="O24"/>
      <c r="P24"/>
      <c r="Q24"/>
      <c r="R24"/>
      <c r="S24"/>
      <c r="T24"/>
      <c r="U24" s="2"/>
      <c r="V24" s="3" t="s">
        <v>292</v>
      </c>
      <c r="W24" s="1" t="s">
        <v>50</v>
      </c>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c r="BA24" s="2"/>
      <c r="BB24" s="2"/>
      <c r="BC24" s="2"/>
      <c r="BD24" s="2"/>
      <c r="BE24" s="2"/>
      <c r="BF24" s="2"/>
      <c r="BG24" s="2"/>
      <c r="BH24" s="2"/>
      <c r="BI24" s="2"/>
      <c r="BJ24" s="2"/>
      <c r="BK24" s="2"/>
      <c r="BL24" s="2"/>
      <c r="BM24" s="2"/>
      <c r="BN24" s="2"/>
      <c r="BO24" s="2"/>
      <c r="BP24" s="2"/>
      <c r="BQ24" s="2"/>
      <c r="BR24" s="2"/>
      <c r="BS24" s="2"/>
      <c r="BT24" s="2"/>
      <c r="BU24" s="2"/>
      <c r="BV24" s="2"/>
      <c r="BW24" s="2"/>
      <c r="BX24" s="2"/>
      <c r="BY24" s="2"/>
      <c r="BZ24" s="2"/>
      <c r="CA24" s="2"/>
      <c r="CB24" s="2"/>
      <c r="CC24" s="2"/>
      <c r="CD24" s="2"/>
      <c r="CE24" s="2"/>
      <c r="CF24" s="2"/>
      <c r="CG24" s="2"/>
      <c r="CH24" s="2"/>
      <c r="CI24" s="2"/>
      <c r="CJ24" s="2"/>
      <c r="CK24" s="2"/>
      <c r="CL24" s="2"/>
      <c r="CM24" s="2"/>
      <c r="CN24" s="2"/>
      <c r="CO24" s="2"/>
      <c r="CP24" s="2"/>
      <c r="CQ24" s="2"/>
      <c r="CR24" s="2"/>
      <c r="CS24" s="2"/>
      <c r="CT24" s="2"/>
      <c r="CU24" s="2"/>
      <c r="CV24" s="2"/>
      <c r="CW24" s="2"/>
      <c r="CX24" s="2"/>
      <c r="CY24" s="2"/>
      <c r="CZ24" s="2"/>
    </row>
    <row r="25" spans="1:104" ht="11.25" hidden="1" customHeight="1">
      <c r="A25"/>
      <c r="C25" s="71"/>
      <c r="D25" s="71"/>
      <c r="E25" s="71"/>
      <c r="F25" s="71"/>
      <c r="G25" s="71"/>
      <c r="H25" s="71"/>
      <c r="I25" s="71"/>
      <c r="J25" s="71"/>
      <c r="K25" s="72"/>
      <c r="L25" s="71"/>
      <c r="M25" s="71"/>
      <c r="N25" s="71"/>
      <c r="O25" s="71"/>
      <c r="P25" s="71"/>
      <c r="Q25" s="71"/>
      <c r="R25" s="71"/>
      <c r="S25" s="71"/>
      <c r="T25" s="71"/>
      <c r="U25" s="2">
        <v>5</v>
      </c>
      <c r="V25" s="8" t="str">
        <f>IF(ISNUMBER(SMALL(記入日範囲,Z23+1)), SMALL(記入日範囲,Z23+1), " ")</f>
        <v xml:space="preserve"> </v>
      </c>
      <c r="W25" s="2"/>
      <c r="X25" s="2">
        <f>IF(ISNUMBER(DCOUNTA(査読範囲,W24,V24:V25)), DCOUNTA(査読範囲,W24,V24:V25), 0)</f>
        <v>0</v>
      </c>
      <c r="Y25" s="2">
        <f>IF(ISNUMBER(DCOUNTA(査読範囲,V24,V24:V25)), DCOUNTA(査読範囲,V24,V24:V25), 0)</f>
        <v>0</v>
      </c>
      <c r="Z25" s="2">
        <f>Z23+Y25</f>
        <v>0</v>
      </c>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c r="BA25" s="2"/>
      <c r="BB25" s="2"/>
      <c r="BC25" s="2"/>
      <c r="BD25" s="2"/>
      <c r="BE25" s="2"/>
      <c r="BF25" s="2"/>
      <c r="BG25" s="2"/>
      <c r="BH25" s="2"/>
      <c r="BI25" s="2"/>
      <c r="BJ25" s="2"/>
      <c r="BK25" s="2"/>
      <c r="BL25" s="2"/>
      <c r="BM25" s="2"/>
      <c r="BN25" s="2"/>
      <c r="BO25" s="2"/>
      <c r="BP25" s="2"/>
      <c r="BQ25" s="2"/>
      <c r="BR25" s="2"/>
      <c r="BS25" s="2"/>
      <c r="BT25" s="2"/>
      <c r="BU25" s="2"/>
      <c r="BV25" s="2"/>
      <c r="BW25" s="2"/>
      <c r="BX25" s="2"/>
      <c r="BY25" s="2"/>
      <c r="BZ25" s="2"/>
      <c r="CA25" s="2"/>
      <c r="CB25" s="2"/>
      <c r="CC25" s="2"/>
      <c r="CD25" s="2"/>
      <c r="CE25" s="2"/>
      <c r="CF25" s="2"/>
      <c r="CG25" s="2"/>
      <c r="CH25" s="2"/>
      <c r="CI25" s="2"/>
      <c r="CJ25" s="2"/>
      <c r="CK25" s="2"/>
      <c r="CL25" s="2"/>
      <c r="CM25" s="2"/>
      <c r="CN25" s="2"/>
      <c r="CO25" s="2"/>
      <c r="CP25" s="2"/>
      <c r="CQ25" s="2"/>
      <c r="CR25" s="2"/>
      <c r="CS25" s="2"/>
      <c r="CT25" s="2"/>
      <c r="CU25" s="2"/>
      <c r="CV25" s="2"/>
      <c r="CW25" s="2"/>
      <c r="CX25" s="2"/>
      <c r="CY25" s="2"/>
      <c r="CZ25" s="2"/>
    </row>
    <row r="26" spans="1:104" ht="11.25" hidden="1" customHeight="1">
      <c r="A26"/>
      <c r="C26" s="74" t="s">
        <v>296</v>
      </c>
      <c r="D26"/>
      <c r="E26"/>
      <c r="G26"/>
      <c r="H26"/>
      <c r="I26"/>
      <c r="J26"/>
      <c r="K26" s="44"/>
      <c r="L26"/>
      <c r="M26"/>
      <c r="N26"/>
      <c r="O26"/>
      <c r="P26"/>
      <c r="Q26"/>
      <c r="R26"/>
      <c r="S26"/>
      <c r="T26"/>
      <c r="U26" s="2"/>
      <c r="V26" s="3" t="s">
        <v>292</v>
      </c>
      <c r="W26" s="1" t="s">
        <v>50</v>
      </c>
      <c r="X26" s="2"/>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c r="AY26" s="2"/>
      <c r="AZ26" s="2"/>
      <c r="BA26" s="2"/>
      <c r="BB26" s="2"/>
      <c r="BC26" s="2"/>
      <c r="BD26" s="2"/>
      <c r="BE26" s="2"/>
      <c r="BF26" s="2"/>
      <c r="BG26" s="2"/>
      <c r="BH26" s="2"/>
      <c r="BI26" s="2"/>
      <c r="BJ26" s="2"/>
      <c r="BK26" s="2"/>
      <c r="BL26" s="2"/>
      <c r="BM26" s="2"/>
      <c r="BN26" s="2"/>
      <c r="BO26" s="2"/>
      <c r="BP26" s="2"/>
      <c r="BQ26" s="2"/>
      <c r="BR26" s="2"/>
      <c r="BS26" s="2"/>
      <c r="BT26" s="2"/>
      <c r="BU26" s="2"/>
      <c r="BV26" s="2"/>
      <c r="BW26" s="2"/>
      <c r="BX26" s="2"/>
      <c r="BY26" s="2"/>
      <c r="BZ26" s="2"/>
      <c r="CA26" s="2"/>
      <c r="CB26" s="2"/>
      <c r="CC26" s="2"/>
      <c r="CD26" s="2"/>
      <c r="CE26" s="2"/>
      <c r="CF26" s="2"/>
      <c r="CG26" s="2"/>
      <c r="CH26" s="2"/>
      <c r="CI26" s="2"/>
      <c r="CJ26" s="2"/>
      <c r="CK26" s="2"/>
      <c r="CL26" s="2"/>
      <c r="CM26" s="2"/>
      <c r="CN26" s="2"/>
      <c r="CO26" s="2"/>
      <c r="CP26" s="2"/>
      <c r="CQ26" s="2"/>
      <c r="CR26" s="2"/>
      <c r="CS26" s="2"/>
      <c r="CT26" s="2"/>
      <c r="CU26" s="2"/>
      <c r="CV26" s="2"/>
      <c r="CW26" s="2"/>
      <c r="CX26" s="2"/>
      <c r="CY26" s="2"/>
      <c r="CZ26" s="2"/>
    </row>
    <row r="27" spans="1:104" ht="11.25" hidden="1" customHeight="1">
      <c r="A27"/>
      <c r="C27" s="73" t="s">
        <v>297</v>
      </c>
      <c r="D27"/>
      <c r="E27"/>
      <c r="G27"/>
      <c r="H27"/>
      <c r="I27"/>
      <c r="J27"/>
      <c r="K27" s="44"/>
      <c r="L27"/>
      <c r="M27"/>
      <c r="N27"/>
      <c r="O27"/>
      <c r="P27"/>
      <c r="Q27"/>
      <c r="R27"/>
      <c r="S27"/>
      <c r="T27"/>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c r="AY27" s="2"/>
      <c r="AZ27" s="2"/>
      <c r="BA27" s="2"/>
      <c r="BB27" s="2"/>
      <c r="BC27" s="2"/>
      <c r="BD27" s="2"/>
      <c r="BE27" s="2"/>
      <c r="BF27" s="2"/>
      <c r="BG27" s="2"/>
      <c r="BH27" s="2"/>
      <c r="BI27" s="2"/>
      <c r="BJ27" s="2"/>
      <c r="BK27" s="2"/>
      <c r="BL27" s="2"/>
      <c r="BM27" s="2"/>
      <c r="BN27" s="2"/>
      <c r="BO27" s="2"/>
      <c r="BP27" s="2"/>
      <c r="BQ27" s="2"/>
      <c r="BR27" s="2"/>
      <c r="BS27" s="2"/>
      <c r="BT27" s="2"/>
      <c r="BU27" s="2"/>
      <c r="BV27" s="2"/>
      <c r="BW27" s="2"/>
      <c r="BX27" s="2"/>
      <c r="BY27" s="2"/>
      <c r="BZ27" s="2"/>
      <c r="CA27" s="2"/>
      <c r="CB27" s="2"/>
      <c r="CC27" s="2"/>
      <c r="CD27" s="2"/>
      <c r="CE27" s="2"/>
      <c r="CF27" s="2"/>
      <c r="CG27" s="2"/>
      <c r="CH27" s="2"/>
      <c r="CI27" s="2"/>
      <c r="CJ27" s="2"/>
      <c r="CK27" s="2"/>
      <c r="CL27" s="2"/>
      <c r="CM27" s="2"/>
      <c r="CN27" s="2"/>
      <c r="CO27" s="2"/>
      <c r="CP27" s="2"/>
      <c r="CQ27" s="2"/>
      <c r="CR27" s="2"/>
      <c r="CS27" s="2"/>
      <c r="CT27" s="2"/>
      <c r="CU27" s="2"/>
      <c r="CV27" s="2"/>
      <c r="CW27" s="2"/>
      <c r="CX27" s="2"/>
      <c r="CY27" s="2"/>
      <c r="CZ27" s="2"/>
    </row>
    <row r="28" spans="1:104" ht="11.25" hidden="1" customHeight="1">
      <c r="A28"/>
      <c r="D28"/>
      <c r="E28"/>
      <c r="G28"/>
      <c r="H28"/>
      <c r="I28"/>
      <c r="J28"/>
      <c r="K28" s="44"/>
      <c r="L28"/>
      <c r="M28"/>
      <c r="N28"/>
      <c r="O28"/>
      <c r="P28"/>
      <c r="Q28"/>
      <c r="R28"/>
      <c r="S28"/>
      <c r="T28"/>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c r="AU28" s="2"/>
      <c r="AV28" s="2"/>
      <c r="AW28" s="2"/>
      <c r="AX28" s="2"/>
      <c r="AY28" s="2"/>
      <c r="AZ28" s="2"/>
      <c r="BA28" s="2"/>
      <c r="BB28" s="2"/>
      <c r="BC28" s="2"/>
      <c r="BD28" s="2"/>
      <c r="BE28" s="2"/>
      <c r="BF28" s="2"/>
      <c r="BG28" s="2"/>
      <c r="BH28" s="2"/>
      <c r="BI28" s="2"/>
      <c r="BJ28" s="2"/>
      <c r="BK28" s="2"/>
      <c r="BL28" s="2"/>
      <c r="BM28" s="2"/>
      <c r="BN28" s="2"/>
      <c r="BO28" s="2"/>
      <c r="BP28" s="2"/>
      <c r="BQ28" s="2"/>
      <c r="BR28" s="2"/>
      <c r="BS28" s="2"/>
      <c r="BT28" s="2"/>
      <c r="BU28" s="2"/>
      <c r="BV28" s="2"/>
      <c r="BW28" s="2"/>
      <c r="BX28" s="2"/>
      <c r="BY28" s="2"/>
      <c r="BZ28" s="2"/>
      <c r="CA28" s="2"/>
      <c r="CB28" s="2"/>
      <c r="CC28" s="2"/>
      <c r="CD28" s="2"/>
      <c r="CE28" s="2"/>
      <c r="CF28" s="2"/>
      <c r="CG28" s="2"/>
      <c r="CH28" s="2"/>
      <c r="CI28" s="2"/>
      <c r="CJ28" s="2"/>
      <c r="CK28" s="2"/>
      <c r="CL28" s="2"/>
      <c r="CM28" s="2"/>
      <c r="CN28" s="2"/>
      <c r="CO28" s="2"/>
      <c r="CP28" s="2"/>
      <c r="CQ28" s="2"/>
      <c r="CR28" s="2"/>
      <c r="CS28" s="2"/>
      <c r="CT28" s="2"/>
      <c r="CU28" s="2"/>
      <c r="CV28" s="2"/>
      <c r="CW28" s="2"/>
      <c r="CX28" s="2"/>
      <c r="CY28" s="2"/>
      <c r="CZ28" s="2"/>
    </row>
    <row r="29" spans="1:104" ht="11.25" hidden="1" customHeight="1">
      <c r="A29"/>
      <c r="D29"/>
      <c r="E29"/>
      <c r="G29"/>
      <c r="H29"/>
      <c r="I29"/>
      <c r="J29"/>
      <c r="K29" s="44"/>
      <c r="L29"/>
      <c r="M29"/>
      <c r="N29"/>
      <c r="O29"/>
      <c r="P29"/>
      <c r="Q29"/>
      <c r="R29"/>
      <c r="S29"/>
      <c r="T29"/>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2"/>
      <c r="BA29" s="2"/>
      <c r="BB29" s="2"/>
      <c r="BC29" s="2"/>
      <c r="BD29" s="2"/>
      <c r="BE29" s="2"/>
      <c r="BF29" s="2"/>
      <c r="BG29" s="2"/>
      <c r="BH29" s="2"/>
      <c r="BI29" s="2"/>
      <c r="BJ29" s="2"/>
      <c r="BK29" s="2"/>
      <c r="BL29" s="2"/>
      <c r="BM29" s="2"/>
      <c r="BN29" s="2"/>
      <c r="BO29" s="2"/>
      <c r="BP29" s="2"/>
      <c r="BQ29" s="2"/>
      <c r="BR29" s="2"/>
      <c r="BS29" s="2"/>
      <c r="BT29" s="2"/>
      <c r="BU29" s="2"/>
      <c r="BV29" s="2"/>
      <c r="BW29" s="2"/>
      <c r="BX29" s="2"/>
      <c r="BY29" s="2"/>
      <c r="BZ29" s="2"/>
      <c r="CA29" s="2"/>
      <c r="CB29" s="2"/>
      <c r="CC29" s="2"/>
      <c r="CD29" s="2"/>
      <c r="CE29" s="2"/>
      <c r="CF29" s="2"/>
      <c r="CG29" s="2"/>
      <c r="CH29" s="2"/>
      <c r="CI29" s="2"/>
      <c r="CJ29" s="2"/>
      <c r="CK29" s="2"/>
      <c r="CL29" s="2"/>
      <c r="CM29" s="2"/>
      <c r="CN29" s="2"/>
      <c r="CO29" s="2"/>
      <c r="CP29" s="2"/>
      <c r="CQ29" s="2"/>
      <c r="CR29" s="2"/>
      <c r="CS29" s="2"/>
      <c r="CT29" s="2"/>
      <c r="CU29" s="2"/>
      <c r="CV29" s="2"/>
      <c r="CW29" s="2"/>
      <c r="CX29" s="2"/>
      <c r="CY29" s="2"/>
      <c r="CZ29" s="2"/>
    </row>
    <row r="30" spans="1:104" ht="11.25" hidden="1" customHeight="1" thickBot="1">
      <c r="A30" s="43"/>
      <c r="B30" s="43"/>
      <c r="C30" s="43"/>
      <c r="D30" s="43"/>
      <c r="E30" s="43"/>
      <c r="F30" s="43"/>
      <c r="G30" s="43"/>
      <c r="H30" s="43"/>
      <c r="I30" s="43"/>
      <c r="J30" s="43"/>
      <c r="K30" s="45"/>
      <c r="L30" s="43"/>
      <c r="M30" s="43"/>
      <c r="N30" s="43"/>
      <c r="O30" s="43"/>
      <c r="P30" s="43"/>
      <c r="Q30" s="43"/>
      <c r="R30" s="43"/>
      <c r="S30" s="43"/>
      <c r="T30" s="43"/>
      <c r="U30" s="42"/>
      <c r="V30" s="43"/>
      <c r="W30" s="43"/>
      <c r="X30" s="42"/>
      <c r="Y30" s="43"/>
      <c r="Z30" s="42"/>
      <c r="AA30" s="42"/>
      <c r="AB30" s="42"/>
      <c r="AC30" s="42"/>
    </row>
    <row r="31" spans="1:104" ht="18" customHeight="1">
      <c r="A31"/>
      <c r="C31" s="117"/>
      <c r="D31" s="118" t="s">
        <v>298</v>
      </c>
      <c r="E31" s="118"/>
      <c r="F31" s="117"/>
      <c r="G31" s="119"/>
      <c r="H31" s="119"/>
    </row>
    <row r="32" spans="1:104" ht="6.75" customHeight="1" thickBot="1">
      <c r="C32" s="498"/>
      <c r="D32" s="499"/>
      <c r="E32" s="499"/>
      <c r="F32" s="499"/>
      <c r="G32" s="499"/>
      <c r="H32" s="119"/>
    </row>
    <row r="33" spans="1:24" ht="15.75" customHeight="1">
      <c r="A33" s="65" t="s">
        <v>299</v>
      </c>
      <c r="D33"/>
      <c r="E33"/>
      <c r="G33"/>
      <c r="H33"/>
      <c r="I33"/>
      <c r="J33" s="508" t="s">
        <v>300</v>
      </c>
      <c r="K33" s="509"/>
      <c r="L33" s="107"/>
      <c r="M33" s="107"/>
      <c r="N33" s="107"/>
      <c r="O33" s="107"/>
      <c r="P33" s="107"/>
      <c r="Q33" s="107"/>
      <c r="R33" s="107"/>
      <c r="S33" s="107"/>
      <c r="T33" s="107"/>
    </row>
    <row r="34" spans="1:24" ht="15" customHeight="1">
      <c r="A34" s="493"/>
      <c r="B34" s="507"/>
      <c r="C34" s="61" t="s">
        <v>301</v>
      </c>
      <c r="D34" s="49"/>
      <c r="E34" s="49"/>
      <c r="F34" s="2"/>
      <c r="G34" s="49"/>
      <c r="H34" s="49"/>
      <c r="I34" s="49"/>
      <c r="J34" s="501"/>
      <c r="K34" s="502"/>
      <c r="L34" s="63"/>
      <c r="M34" s="63"/>
      <c r="N34" s="63"/>
      <c r="O34" s="63"/>
      <c r="P34" s="63"/>
      <c r="Q34" s="63"/>
      <c r="R34" s="63"/>
      <c r="S34" s="63"/>
      <c r="T34" s="63"/>
    </row>
    <row r="35" spans="1:24" ht="14.25" customHeight="1" thickBot="1">
      <c r="A35" s="493"/>
      <c r="B35" s="494"/>
      <c r="C35" s="61" t="s">
        <v>302</v>
      </c>
      <c r="D35" s="49"/>
      <c r="E35" s="49"/>
      <c r="F35" s="12"/>
      <c r="G35" s="12"/>
      <c r="H35" s="12"/>
      <c r="I35" s="12"/>
      <c r="J35" s="503"/>
      <c r="K35" s="504"/>
      <c r="L35" s="108"/>
      <c r="M35" s="108"/>
      <c r="N35" s="108"/>
      <c r="O35" s="108"/>
      <c r="P35" s="108"/>
      <c r="Q35" s="108"/>
      <c r="R35" s="108"/>
      <c r="S35" s="108"/>
      <c r="T35" s="108"/>
    </row>
    <row r="36" spans="1:24" ht="10.5" customHeight="1">
      <c r="A36" s="13"/>
      <c r="B36" s="13"/>
      <c r="C36" s="61"/>
      <c r="D36" s="49"/>
      <c r="E36" s="49"/>
      <c r="F36" s="2"/>
      <c r="G36" s="49"/>
      <c r="H36" s="49"/>
      <c r="I36" s="49"/>
      <c r="J36" s="49"/>
      <c r="K36" s="49"/>
      <c r="L36" s="49"/>
      <c r="M36" s="49"/>
      <c r="N36" s="49"/>
      <c r="O36" s="49"/>
      <c r="P36" s="49"/>
      <c r="Q36" s="49"/>
      <c r="R36" s="49"/>
      <c r="S36" s="49"/>
      <c r="T36" s="49"/>
    </row>
    <row r="37" spans="1:24" ht="18" customHeight="1">
      <c r="A37" s="490" t="s">
        <v>303</v>
      </c>
      <c r="B37" s="247"/>
      <c r="C37" s="495"/>
      <c r="D37" s="495"/>
      <c r="E37" s="495"/>
      <c r="F37" s="495"/>
      <c r="G37" s="487" t="s">
        <v>304</v>
      </c>
      <c r="H37" s="487"/>
      <c r="I37" s="488"/>
      <c r="J37" s="505">
        <v>5</v>
      </c>
      <c r="K37" s="506"/>
      <c r="L37" s="120"/>
      <c r="M37" s="120"/>
      <c r="N37" s="120"/>
      <c r="O37" s="120"/>
      <c r="P37" s="120"/>
      <c r="Q37" s="120"/>
      <c r="R37" s="120"/>
      <c r="S37" s="120"/>
      <c r="T37" s="120"/>
    </row>
    <row r="38" spans="1:24" ht="23.25" customHeight="1" thickBot="1">
      <c r="A38" s="491" t="s">
        <v>305</v>
      </c>
      <c r="B38" s="492"/>
      <c r="C38" s="500" t="s">
        <v>306</v>
      </c>
      <c r="D38" s="500"/>
      <c r="E38" s="500"/>
      <c r="F38" s="500"/>
      <c r="G38" s="489"/>
      <c r="H38" s="489"/>
      <c r="I38" s="488"/>
      <c r="J38" s="496"/>
      <c r="K38" s="497"/>
      <c r="L38" s="121"/>
      <c r="M38" s="121"/>
      <c r="N38" s="121"/>
      <c r="O38" s="121"/>
      <c r="P38" s="121"/>
      <c r="Q38" s="121"/>
      <c r="R38" s="121"/>
      <c r="S38" s="121"/>
      <c r="T38" s="121"/>
    </row>
    <row r="39" spans="1:24" ht="11.25" customHeight="1">
      <c r="A39" s="62"/>
      <c r="D39"/>
      <c r="E39"/>
      <c r="J39" s="63"/>
      <c r="K39" s="63"/>
      <c r="L39" s="63"/>
      <c r="M39" s="63"/>
      <c r="N39" s="63"/>
      <c r="O39" s="63"/>
      <c r="P39" s="63"/>
      <c r="Q39" s="63"/>
      <c r="R39" s="63"/>
      <c r="S39" s="63"/>
      <c r="T39" s="63"/>
    </row>
    <row r="40" spans="1:24" ht="13.5" customHeight="1">
      <c r="A40" s="62"/>
      <c r="C40" s="78"/>
      <c r="D40" s="79"/>
      <c r="E40" s="79"/>
      <c r="F40" s="80"/>
      <c r="G40" s="81"/>
      <c r="H40" s="81"/>
      <c r="I40" s="50" t="s">
        <v>307</v>
      </c>
      <c r="J40" s="485" t="e">
        <f>IF(J37&lt;&gt;0,DCOUNTA(査読範囲,C43,C26:C27)/J37,IF(J38&lt;&gt;0,DCOUNTA(査読範囲,C43,C26:C27)/J38,0))</f>
        <v>#NAME?</v>
      </c>
      <c r="K40" s="486"/>
      <c r="L40" s="109"/>
      <c r="M40" s="109"/>
      <c r="N40" s="109"/>
      <c r="O40" s="109"/>
      <c r="P40" s="109"/>
      <c r="Q40" s="109"/>
      <c r="R40" s="109"/>
      <c r="S40" s="109"/>
      <c r="T40" s="109"/>
    </row>
    <row r="41" spans="1:24" ht="16.5" customHeight="1">
      <c r="A41" s="62"/>
      <c r="C41" s="50" t="s">
        <v>120</v>
      </c>
      <c r="D41" s="75">
        <v>1.5</v>
      </c>
      <c r="E41" s="124"/>
      <c r="F41" s="65" t="s">
        <v>308</v>
      </c>
      <c r="G41"/>
      <c r="H41"/>
      <c r="I41"/>
      <c r="J41"/>
      <c r="K41"/>
      <c r="L41"/>
      <c r="M41"/>
      <c r="N41"/>
      <c r="O41"/>
      <c r="P41"/>
      <c r="Q41"/>
      <c r="R41"/>
      <c r="S41"/>
      <c r="T41"/>
    </row>
    <row r="42" spans="1:24" ht="6" customHeight="1">
      <c r="F42" t="s">
        <v>309</v>
      </c>
    </row>
    <row r="43" spans="1:24" ht="20.25" customHeight="1">
      <c r="A43" s="122" t="s">
        <v>310</v>
      </c>
      <c r="B43" s="145" t="s">
        <v>311</v>
      </c>
      <c r="C43" s="122" t="s">
        <v>312</v>
      </c>
      <c r="D43" s="122" t="s">
        <v>292</v>
      </c>
      <c r="E43" s="125" t="s">
        <v>313</v>
      </c>
      <c r="F43" s="122" t="s">
        <v>314</v>
      </c>
      <c r="G43" s="122" t="s">
        <v>315</v>
      </c>
      <c r="H43" s="125" t="s">
        <v>316</v>
      </c>
      <c r="I43" s="122" t="s">
        <v>50</v>
      </c>
      <c r="J43" s="122" t="s">
        <v>317</v>
      </c>
      <c r="K43" s="122" t="s">
        <v>318</v>
      </c>
      <c r="L43" s="49"/>
      <c r="M43" s="49"/>
      <c r="N43" s="49"/>
      <c r="O43" s="49"/>
      <c r="P43" s="49"/>
      <c r="Q43" s="49"/>
      <c r="R43" s="49"/>
      <c r="S43" s="49"/>
      <c r="T43" s="49"/>
    </row>
    <row r="44" spans="1:24" s="79" customFormat="1" ht="28.5" customHeight="1">
      <c r="A44" s="128">
        <v>1</v>
      </c>
      <c r="B44" s="160"/>
      <c r="C44" s="154"/>
      <c r="D44" s="134"/>
      <c r="E44" s="126"/>
      <c r="F44" s="155"/>
      <c r="G44" s="139"/>
      <c r="H44" s="130"/>
      <c r="I44" s="131"/>
      <c r="J44" s="142"/>
      <c r="K44" s="129"/>
      <c r="L44" s="132"/>
      <c r="M44" s="132"/>
      <c r="N44" s="132"/>
      <c r="O44" s="132"/>
      <c r="P44" s="132"/>
      <c r="Q44" s="132"/>
      <c r="R44" s="132"/>
      <c r="S44" s="132"/>
      <c r="T44" s="132"/>
    </row>
    <row r="45" spans="1:24" s="79" customFormat="1" ht="28.5" customHeight="1">
      <c r="A45" s="128">
        <f>A44+1</f>
        <v>2</v>
      </c>
      <c r="B45" s="161"/>
      <c r="C45" s="154"/>
      <c r="D45" s="134"/>
      <c r="E45" s="126"/>
      <c r="F45" s="155"/>
      <c r="G45" s="139"/>
      <c r="H45" s="127"/>
      <c r="I45" s="131"/>
      <c r="J45" s="142"/>
      <c r="K45" s="129"/>
      <c r="L45" s="132"/>
      <c r="M45" s="132"/>
      <c r="N45" s="132"/>
      <c r="O45" s="132"/>
      <c r="P45" s="132"/>
      <c r="Q45" s="132"/>
      <c r="R45" s="132"/>
      <c r="S45" s="132"/>
      <c r="T45" s="132"/>
      <c r="V45" s="133"/>
    </row>
    <row r="46" spans="1:24" s="79" customFormat="1" ht="28.5" customHeight="1">
      <c r="A46" s="128">
        <f>A45+1</f>
        <v>3</v>
      </c>
      <c r="B46" s="161"/>
      <c r="C46" s="154"/>
      <c r="D46" s="134"/>
      <c r="E46" s="126"/>
      <c r="F46" s="155"/>
      <c r="G46" s="139"/>
      <c r="H46" s="130"/>
      <c r="I46" s="131"/>
      <c r="J46" s="142"/>
      <c r="K46" s="129"/>
      <c r="L46" s="132"/>
      <c r="M46" s="132"/>
      <c r="N46" s="132"/>
      <c r="O46" s="132"/>
      <c r="P46" s="132"/>
      <c r="Q46" s="132"/>
      <c r="R46" s="132"/>
      <c r="S46" s="132"/>
      <c r="T46" s="132"/>
      <c r="V46" s="133"/>
      <c r="W46" s="133"/>
      <c r="X46" s="133"/>
    </row>
    <row r="47" spans="1:24" s="79" customFormat="1" ht="28.5" customHeight="1">
      <c r="A47" s="128">
        <f t="shared" ref="A47:A57" si="0">A46+1</f>
        <v>4</v>
      </c>
      <c r="B47" s="160"/>
      <c r="C47" s="154"/>
      <c r="D47" s="134"/>
      <c r="E47" s="126"/>
      <c r="F47" s="155"/>
      <c r="G47" s="139"/>
      <c r="H47" s="130"/>
      <c r="I47" s="131"/>
      <c r="J47" s="142"/>
      <c r="K47" s="129"/>
      <c r="L47" s="132"/>
      <c r="M47" s="132"/>
      <c r="N47" s="132"/>
      <c r="O47" s="132"/>
      <c r="P47" s="132"/>
      <c r="Q47" s="132"/>
      <c r="R47" s="132"/>
      <c r="S47" s="132"/>
      <c r="T47" s="132"/>
      <c r="V47" s="133"/>
      <c r="W47" s="133"/>
      <c r="X47" s="133"/>
    </row>
    <row r="48" spans="1:24" s="79" customFormat="1" ht="28.5" customHeight="1">
      <c r="A48" s="128">
        <f t="shared" si="0"/>
        <v>5</v>
      </c>
      <c r="B48" s="161"/>
      <c r="C48" s="154"/>
      <c r="D48" s="134"/>
      <c r="E48" s="126"/>
      <c r="F48" s="155"/>
      <c r="G48" s="139"/>
      <c r="H48" s="127"/>
      <c r="I48" s="131"/>
      <c r="J48" s="142"/>
      <c r="K48" s="129"/>
      <c r="L48" s="132"/>
      <c r="M48" s="132"/>
      <c r="N48" s="132"/>
      <c r="O48" s="132"/>
      <c r="P48" s="132"/>
      <c r="Q48" s="132"/>
      <c r="R48" s="132"/>
      <c r="S48" s="132"/>
      <c r="T48" s="132"/>
      <c r="V48" s="133"/>
      <c r="W48" s="133"/>
      <c r="X48" s="133"/>
    </row>
    <row r="49" spans="1:24" s="79" customFormat="1" ht="30" customHeight="1">
      <c r="A49" s="128">
        <f t="shared" si="0"/>
        <v>6</v>
      </c>
      <c r="B49" s="160"/>
      <c r="C49" s="154"/>
      <c r="D49" s="135"/>
      <c r="E49" s="126"/>
      <c r="F49" s="155"/>
      <c r="G49" s="139"/>
      <c r="H49" s="127"/>
      <c r="I49" s="131"/>
      <c r="J49" s="142"/>
      <c r="K49" s="129"/>
      <c r="L49" s="132"/>
      <c r="M49" s="132"/>
      <c r="N49" s="132"/>
      <c r="O49" s="132"/>
      <c r="P49" s="132"/>
      <c r="Q49" s="132"/>
      <c r="R49" s="132"/>
      <c r="S49" s="132"/>
      <c r="T49" s="132"/>
      <c r="V49" s="133"/>
      <c r="W49" s="133"/>
      <c r="X49" s="133"/>
    </row>
    <row r="50" spans="1:24" s="79" customFormat="1" ht="30" customHeight="1">
      <c r="A50" s="128">
        <f t="shared" si="0"/>
        <v>7</v>
      </c>
      <c r="B50" s="160"/>
      <c r="C50" s="154"/>
      <c r="D50" s="135"/>
      <c r="E50" s="126"/>
      <c r="F50" s="155"/>
      <c r="G50" s="139"/>
      <c r="H50" s="127"/>
      <c r="I50" s="131"/>
      <c r="J50" s="142"/>
      <c r="K50" s="129"/>
      <c r="L50" s="132"/>
      <c r="M50" s="132"/>
      <c r="N50" s="132"/>
      <c r="O50" s="132"/>
      <c r="P50" s="132"/>
      <c r="Q50" s="132"/>
      <c r="R50" s="132"/>
      <c r="S50" s="132"/>
      <c r="T50" s="132"/>
    </row>
    <row r="51" spans="1:24" s="79" customFormat="1" ht="30" customHeight="1">
      <c r="A51" s="128">
        <f t="shared" si="0"/>
        <v>8</v>
      </c>
      <c r="B51" s="160"/>
      <c r="C51" s="154"/>
      <c r="D51" s="135"/>
      <c r="E51" s="126"/>
      <c r="F51" s="155"/>
      <c r="G51" s="139"/>
      <c r="H51" s="127"/>
      <c r="I51" s="131"/>
      <c r="J51" s="142"/>
      <c r="K51" s="129"/>
      <c r="L51" s="132"/>
      <c r="M51" s="132"/>
      <c r="N51" s="132"/>
      <c r="O51" s="132"/>
      <c r="P51" s="132"/>
      <c r="Q51" s="132"/>
      <c r="R51" s="132"/>
      <c r="S51" s="132"/>
      <c r="T51" s="132"/>
    </row>
    <row r="52" spans="1:24" s="79" customFormat="1" ht="30" customHeight="1">
      <c r="A52" s="128">
        <f t="shared" si="0"/>
        <v>9</v>
      </c>
      <c r="B52" s="160"/>
      <c r="C52" s="154"/>
      <c r="D52" s="135"/>
      <c r="E52" s="126"/>
      <c r="F52" s="155"/>
      <c r="G52" s="139"/>
      <c r="H52" s="159"/>
      <c r="I52" s="131"/>
      <c r="J52" s="142"/>
      <c r="K52" s="129"/>
      <c r="L52" s="132"/>
      <c r="M52" s="132"/>
      <c r="N52" s="132"/>
      <c r="O52" s="132"/>
      <c r="P52" s="132"/>
      <c r="Q52" s="132"/>
      <c r="R52" s="132"/>
      <c r="S52" s="132"/>
      <c r="T52" s="132"/>
    </row>
    <row r="53" spans="1:24" s="79" customFormat="1" ht="30" customHeight="1">
      <c r="A53" s="128">
        <f t="shared" si="0"/>
        <v>10</v>
      </c>
      <c r="B53" s="160"/>
      <c r="C53" s="154"/>
      <c r="D53" s="135"/>
      <c r="E53" s="126"/>
      <c r="F53" s="155"/>
      <c r="G53" s="139"/>
      <c r="H53" s="159"/>
      <c r="I53" s="131"/>
      <c r="J53" s="142"/>
      <c r="K53" s="129"/>
      <c r="L53" s="132"/>
      <c r="M53" s="132"/>
      <c r="N53" s="132"/>
      <c r="O53" s="132"/>
      <c r="P53" s="132"/>
      <c r="Q53" s="132"/>
      <c r="R53" s="132"/>
      <c r="S53" s="132"/>
      <c r="T53" s="132"/>
    </row>
    <row r="54" spans="1:24" s="79" customFormat="1" ht="30" customHeight="1">
      <c r="A54" s="128">
        <f t="shared" si="0"/>
        <v>11</v>
      </c>
      <c r="B54" s="160"/>
      <c r="C54" s="154"/>
      <c r="D54" s="135"/>
      <c r="E54" s="126"/>
      <c r="F54" s="155"/>
      <c r="G54" s="139"/>
      <c r="H54" s="127"/>
      <c r="I54" s="131"/>
      <c r="J54" s="142"/>
      <c r="K54" s="129"/>
      <c r="L54" s="132"/>
      <c r="M54" s="132"/>
      <c r="N54" s="132"/>
      <c r="O54" s="132"/>
      <c r="P54" s="132"/>
      <c r="Q54" s="132"/>
      <c r="R54" s="132"/>
      <c r="S54" s="132"/>
      <c r="T54" s="132"/>
    </row>
    <row r="55" spans="1:24" s="79" customFormat="1" ht="30" customHeight="1">
      <c r="A55" s="128">
        <f t="shared" si="0"/>
        <v>12</v>
      </c>
      <c r="B55" s="160"/>
      <c r="C55" s="154"/>
      <c r="D55" s="135"/>
      <c r="E55" s="126"/>
      <c r="F55" s="155"/>
      <c r="G55" s="139"/>
      <c r="H55" s="127"/>
      <c r="I55" s="131"/>
      <c r="J55" s="142"/>
      <c r="K55" s="129"/>
      <c r="L55" s="132"/>
      <c r="M55" s="132"/>
      <c r="N55" s="132"/>
      <c r="O55" s="132"/>
      <c r="P55" s="132"/>
      <c r="Q55" s="132"/>
      <c r="R55" s="132"/>
      <c r="S55" s="132"/>
      <c r="T55" s="132"/>
    </row>
    <row r="56" spans="1:24" s="79" customFormat="1" ht="30" customHeight="1">
      <c r="A56" s="128">
        <f t="shared" si="0"/>
        <v>13</v>
      </c>
      <c r="B56" s="160"/>
      <c r="C56" s="154"/>
      <c r="D56" s="135"/>
      <c r="E56" s="126"/>
      <c r="F56" s="155"/>
      <c r="G56" s="139"/>
      <c r="H56" s="127"/>
      <c r="I56" s="131"/>
      <c r="J56" s="142"/>
      <c r="K56" s="129"/>
      <c r="L56" s="132"/>
      <c r="M56" s="132"/>
      <c r="N56" s="132"/>
      <c r="O56" s="132"/>
      <c r="P56" s="132"/>
      <c r="Q56" s="132"/>
      <c r="R56" s="132"/>
      <c r="S56" s="132"/>
      <c r="T56" s="132"/>
    </row>
    <row r="57" spans="1:24" s="79" customFormat="1" ht="30" customHeight="1">
      <c r="A57" s="128">
        <f t="shared" si="0"/>
        <v>14</v>
      </c>
      <c r="B57" s="160"/>
      <c r="C57" s="154"/>
      <c r="D57" s="135"/>
      <c r="E57" s="126"/>
      <c r="F57" s="155"/>
      <c r="G57" s="139"/>
      <c r="H57" s="127"/>
      <c r="I57" s="131"/>
      <c r="J57" s="142"/>
      <c r="K57" s="129"/>
      <c r="L57" s="132"/>
      <c r="M57" s="132"/>
      <c r="N57" s="132"/>
      <c r="O57" s="132"/>
      <c r="P57" s="132"/>
      <c r="Q57" s="132"/>
      <c r="R57" s="132"/>
      <c r="S57" s="132"/>
      <c r="T57" s="132"/>
    </row>
    <row r="58" spans="1:24" s="79" customFormat="1" ht="30" customHeight="1">
      <c r="A58" s="128">
        <f t="shared" ref="A58:A63" si="1">A57+1</f>
        <v>15</v>
      </c>
      <c r="B58" s="160"/>
      <c r="C58" s="154"/>
      <c r="D58" s="135"/>
      <c r="E58" s="126"/>
      <c r="F58" s="155"/>
      <c r="G58" s="139"/>
      <c r="H58" s="127"/>
      <c r="I58" s="131"/>
      <c r="J58" s="142"/>
      <c r="K58" s="129"/>
      <c r="L58" s="132"/>
      <c r="M58" s="132"/>
      <c r="N58" s="132"/>
      <c r="O58" s="132"/>
      <c r="P58" s="132"/>
      <c r="Q58" s="132"/>
      <c r="R58" s="132"/>
      <c r="S58" s="132"/>
      <c r="T58" s="132"/>
    </row>
    <row r="59" spans="1:24" s="79" customFormat="1" ht="30" customHeight="1">
      <c r="A59" s="128">
        <f t="shared" si="1"/>
        <v>16</v>
      </c>
      <c r="B59" s="160"/>
      <c r="C59" s="154"/>
      <c r="D59" s="135"/>
      <c r="E59" s="126"/>
      <c r="F59" s="155"/>
      <c r="G59" s="139"/>
      <c r="H59" s="159"/>
      <c r="I59" s="131"/>
      <c r="J59" s="142"/>
      <c r="K59" s="129"/>
      <c r="L59" s="132"/>
      <c r="M59" s="132"/>
      <c r="N59" s="132"/>
      <c r="O59" s="132"/>
      <c r="P59" s="132"/>
      <c r="Q59" s="132"/>
      <c r="R59" s="132"/>
      <c r="S59" s="132"/>
      <c r="T59" s="132"/>
    </row>
    <row r="60" spans="1:24" s="79" customFormat="1" ht="30" customHeight="1">
      <c r="A60" s="128">
        <f t="shared" si="1"/>
        <v>17</v>
      </c>
      <c r="B60" s="160"/>
      <c r="C60" s="154"/>
      <c r="D60" s="135"/>
      <c r="E60" s="126"/>
      <c r="F60" s="155"/>
      <c r="G60" s="139"/>
      <c r="H60" s="159"/>
      <c r="I60" s="131"/>
      <c r="J60" s="142"/>
      <c r="K60" s="129"/>
      <c r="L60" s="132"/>
      <c r="M60" s="132"/>
      <c r="N60" s="132"/>
      <c r="O60" s="132"/>
      <c r="P60" s="132"/>
      <c r="Q60" s="132"/>
      <c r="R60" s="132"/>
      <c r="S60" s="132"/>
      <c r="T60" s="132"/>
    </row>
    <row r="61" spans="1:24" s="79" customFormat="1" ht="30" customHeight="1">
      <c r="A61" s="128">
        <f t="shared" si="1"/>
        <v>18</v>
      </c>
      <c r="B61" s="160"/>
      <c r="C61" s="154"/>
      <c r="D61" s="135"/>
      <c r="E61" s="126"/>
      <c r="F61" s="155"/>
      <c r="G61" s="139"/>
      <c r="H61" s="127"/>
      <c r="I61" s="131"/>
      <c r="J61" s="142"/>
      <c r="K61" s="129"/>
      <c r="L61" s="132"/>
      <c r="M61" s="132"/>
      <c r="N61" s="132"/>
      <c r="O61" s="132"/>
      <c r="P61" s="132"/>
      <c r="Q61" s="132"/>
      <c r="R61" s="132"/>
      <c r="S61" s="132"/>
      <c r="T61" s="132"/>
    </row>
    <row r="62" spans="1:24" s="79" customFormat="1" ht="30" customHeight="1">
      <c r="A62" s="128">
        <f t="shared" si="1"/>
        <v>19</v>
      </c>
      <c r="B62" s="160"/>
      <c r="C62" s="154"/>
      <c r="D62" s="135"/>
      <c r="E62" s="126"/>
      <c r="F62" s="155"/>
      <c r="G62" s="139"/>
      <c r="H62" s="127"/>
      <c r="I62" s="131"/>
      <c r="J62" s="142"/>
      <c r="K62" s="129"/>
      <c r="L62" s="132"/>
      <c r="M62" s="132"/>
      <c r="N62" s="132"/>
      <c r="O62" s="132"/>
      <c r="P62" s="132"/>
      <c r="Q62" s="132"/>
      <c r="R62" s="132"/>
      <c r="S62" s="132"/>
      <c r="T62" s="132"/>
    </row>
    <row r="63" spans="1:24" s="79" customFormat="1" ht="30" customHeight="1">
      <c r="A63" s="128">
        <f t="shared" si="1"/>
        <v>20</v>
      </c>
      <c r="B63" s="160"/>
      <c r="C63" s="154"/>
      <c r="D63" s="135"/>
      <c r="E63" s="126"/>
      <c r="F63" s="155"/>
      <c r="G63" s="139"/>
      <c r="H63" s="127"/>
      <c r="I63" s="131"/>
      <c r="J63" s="142"/>
      <c r="K63" s="129"/>
      <c r="L63" s="132"/>
      <c r="M63" s="132"/>
      <c r="N63" s="132"/>
      <c r="O63" s="132"/>
      <c r="P63" s="132"/>
      <c r="Q63" s="132"/>
      <c r="R63" s="132"/>
      <c r="S63" s="132"/>
      <c r="T63" s="132"/>
    </row>
    <row r="64" spans="1:24" s="13" customFormat="1">
      <c r="A64" s="6" t="s">
        <v>319</v>
      </c>
      <c r="B64" s="12"/>
      <c r="C64" s="12"/>
      <c r="D64" s="136"/>
      <c r="E64" s="12"/>
      <c r="F64" s="12"/>
      <c r="G64" s="136"/>
      <c r="H64" s="12"/>
      <c r="I64" s="12"/>
      <c r="J64" s="136"/>
      <c r="K64" s="12"/>
      <c r="L64" s="12"/>
      <c r="M64" s="12"/>
      <c r="N64" s="12"/>
      <c r="O64" s="12"/>
      <c r="P64" s="12"/>
      <c r="Q64" s="12"/>
      <c r="R64" s="12"/>
      <c r="S64" s="12"/>
      <c r="T64" s="12"/>
    </row>
    <row r="65" spans="1:256" s="13" customFormat="1">
      <c r="B65" s="12"/>
      <c r="C65" s="12"/>
      <c r="D65" s="137"/>
      <c r="F65" s="12"/>
      <c r="G65" s="136"/>
      <c r="H65" s="12"/>
      <c r="I65" s="12"/>
      <c r="J65" s="136"/>
      <c r="K65" s="12"/>
      <c r="L65" s="12"/>
      <c r="M65" s="12"/>
      <c r="N65" s="12"/>
      <c r="O65" s="12"/>
      <c r="P65" s="12"/>
      <c r="Q65" s="12"/>
      <c r="R65" s="12"/>
      <c r="S65" s="12"/>
      <c r="T65" s="12"/>
    </row>
    <row r="66" spans="1:256">
      <c r="B66" s="12"/>
      <c r="C66" s="12"/>
      <c r="D66" s="138"/>
      <c r="F66" s="12"/>
      <c r="G66" s="136"/>
      <c r="H66" s="12"/>
      <c r="I66" s="12"/>
      <c r="J66" s="143"/>
      <c r="K66" s="6"/>
      <c r="L66" s="6"/>
      <c r="M66" s="6"/>
      <c r="N66" s="6"/>
      <c r="O66" s="6"/>
      <c r="P66" s="6"/>
      <c r="Q66" s="6"/>
      <c r="R66" s="6"/>
      <c r="S66" s="6"/>
      <c r="T66" s="6"/>
    </row>
    <row r="67" spans="1:256">
      <c r="B67" s="12"/>
      <c r="C67" s="21"/>
      <c r="D67" s="138"/>
      <c r="F67" s="12"/>
      <c r="G67" s="136"/>
      <c r="H67" s="12"/>
      <c r="I67" s="6"/>
      <c r="J67" s="143"/>
      <c r="K67" s="6"/>
      <c r="L67" s="6"/>
      <c r="M67" s="6"/>
      <c r="N67" s="6"/>
      <c r="O67" s="6"/>
      <c r="P67" s="6"/>
      <c r="Q67" s="6"/>
      <c r="R67" s="6"/>
      <c r="S67" s="6"/>
      <c r="T67" s="6"/>
      <c r="U67" s="7"/>
      <c r="V67" s="7"/>
      <c r="W67" s="7"/>
      <c r="X67" s="7"/>
      <c r="Y67" s="7"/>
      <c r="Z67" s="7"/>
      <c r="AA67" s="7"/>
      <c r="AB67" s="7"/>
      <c r="AC67" s="7"/>
      <c r="AD67" s="7"/>
      <c r="AE67" s="7"/>
      <c r="AF67" s="7"/>
      <c r="AG67" s="7"/>
      <c r="AH67" s="7"/>
      <c r="AI67" s="7"/>
      <c r="AJ67" s="7"/>
      <c r="AK67" s="7"/>
      <c r="AL67" s="7"/>
      <c r="AM67" s="7"/>
      <c r="AN67" s="7"/>
      <c r="AO67" s="7"/>
      <c r="AP67" s="7"/>
      <c r="AQ67" s="7"/>
      <c r="AR67" s="7"/>
      <c r="AS67" s="7"/>
      <c r="AT67" s="7"/>
      <c r="AU67" s="7"/>
      <c r="AV67" s="7"/>
      <c r="AW67" s="7"/>
      <c r="AX67" s="7"/>
      <c r="AY67" s="7"/>
      <c r="AZ67" s="7"/>
      <c r="BA67" s="7"/>
      <c r="BB67" s="7"/>
      <c r="BC67" s="7"/>
      <c r="BD67" s="7"/>
      <c r="BE67" s="7"/>
      <c r="BF67" s="7"/>
      <c r="BG67" s="7"/>
      <c r="BH67" s="7"/>
      <c r="BI67" s="7"/>
      <c r="BJ67" s="7"/>
      <c r="BK67" s="7"/>
      <c r="BL67" s="7"/>
      <c r="BM67" s="7"/>
      <c r="BN67" s="7"/>
      <c r="BO67" s="7"/>
      <c r="BP67" s="7"/>
      <c r="BQ67" s="7"/>
      <c r="BR67" s="7"/>
      <c r="BS67" s="7"/>
      <c r="BT67" s="7"/>
      <c r="BU67" s="7"/>
      <c r="BV67" s="7"/>
      <c r="BW67" s="7"/>
      <c r="BX67" s="7"/>
      <c r="BY67" s="7"/>
      <c r="BZ67" s="7"/>
      <c r="CA67" s="7"/>
      <c r="CB67" s="7"/>
      <c r="CC67" s="7"/>
      <c r="CD67" s="7"/>
      <c r="CE67" s="7"/>
      <c r="CF67" s="7"/>
      <c r="CG67" s="7"/>
      <c r="CH67" s="7"/>
      <c r="CI67" s="7"/>
      <c r="CJ67" s="7"/>
      <c r="CK67" s="7"/>
      <c r="CL67" s="7"/>
      <c r="CM67" s="7"/>
      <c r="CN67" s="7"/>
      <c r="CO67" s="7"/>
      <c r="CP67" s="7"/>
      <c r="CQ67" s="7"/>
      <c r="CR67" s="7"/>
      <c r="CS67" s="7"/>
      <c r="CT67" s="7"/>
      <c r="CU67" s="7"/>
      <c r="CV67" s="7"/>
      <c r="CW67" s="7"/>
      <c r="CX67" s="7"/>
      <c r="CY67" s="7"/>
      <c r="CZ67" s="7"/>
      <c r="DA67" s="7"/>
      <c r="DB67" s="7"/>
      <c r="DC67" s="7"/>
      <c r="DD67" s="7"/>
      <c r="DE67" s="7"/>
      <c r="DF67" s="7"/>
      <c r="DG67" s="7"/>
      <c r="DH67" s="7"/>
      <c r="DI67" s="7"/>
      <c r="DJ67" s="7"/>
      <c r="DK67" s="7"/>
      <c r="DL67" s="7"/>
      <c r="DM67" s="7"/>
      <c r="DN67" s="7"/>
      <c r="DO67" s="7"/>
      <c r="DP67" s="7"/>
      <c r="DQ67" s="7"/>
      <c r="DR67" s="7"/>
      <c r="DS67" s="7"/>
      <c r="DT67" s="7"/>
      <c r="DU67" s="7"/>
      <c r="DV67" s="7"/>
      <c r="DW67" s="7"/>
      <c r="DX67" s="7"/>
      <c r="DY67" s="7"/>
      <c r="DZ67" s="7"/>
      <c r="EA67" s="7"/>
      <c r="EB67" s="7"/>
      <c r="EC67" s="7"/>
      <c r="ED67" s="7"/>
      <c r="EE67" s="7"/>
      <c r="EF67" s="7"/>
      <c r="EG67" s="7"/>
      <c r="EH67" s="7"/>
      <c r="EI67" s="7"/>
      <c r="EJ67" s="7"/>
      <c r="EK67" s="7"/>
      <c r="EL67" s="7"/>
      <c r="EM67" s="7"/>
      <c r="EN67" s="7"/>
      <c r="EO67" s="7"/>
      <c r="EP67" s="7"/>
      <c r="EQ67" s="7"/>
      <c r="ER67" s="7"/>
      <c r="ES67" s="7"/>
      <c r="ET67" s="7"/>
      <c r="EU67" s="7"/>
      <c r="EV67" s="7"/>
      <c r="EW67" s="7"/>
      <c r="EX67" s="7"/>
      <c r="EY67" s="7"/>
      <c r="EZ67" s="7"/>
      <c r="FA67" s="7"/>
      <c r="FB67" s="7"/>
      <c r="FC67" s="7"/>
      <c r="FD67" s="7"/>
      <c r="FE67" s="7"/>
      <c r="FF67" s="7"/>
      <c r="FG67" s="7"/>
      <c r="FH67" s="7"/>
      <c r="FI67" s="7"/>
      <c r="FJ67" s="7"/>
      <c r="FK67" s="7"/>
      <c r="FL67" s="7"/>
      <c r="FM67" s="7"/>
      <c r="FN67" s="7"/>
      <c r="FO67" s="7"/>
      <c r="FP67" s="7"/>
      <c r="FQ67" s="7"/>
      <c r="FR67" s="7"/>
      <c r="FS67" s="7"/>
      <c r="FT67" s="7"/>
      <c r="FU67" s="7"/>
      <c r="FV67" s="7"/>
      <c r="FW67" s="7"/>
      <c r="FX67" s="7"/>
      <c r="FY67" s="7"/>
      <c r="FZ67" s="7"/>
      <c r="GA67" s="7"/>
      <c r="GB67" s="7"/>
      <c r="GC67" s="7"/>
      <c r="GD67" s="7"/>
      <c r="GE67" s="7"/>
      <c r="GF67" s="7"/>
      <c r="GG67" s="7"/>
      <c r="GH67" s="7"/>
      <c r="GI67" s="7"/>
      <c r="GJ67" s="7"/>
      <c r="GK67" s="7"/>
      <c r="GL67" s="7"/>
      <c r="GM67" s="7"/>
      <c r="GN67" s="7"/>
      <c r="GO67" s="7"/>
      <c r="GP67" s="7"/>
      <c r="GQ67" s="7"/>
      <c r="GR67" s="7"/>
      <c r="GS67" s="7"/>
      <c r="GT67" s="7"/>
      <c r="GU67" s="7"/>
      <c r="GV67" s="7"/>
      <c r="GW67" s="7"/>
      <c r="GX67" s="7"/>
      <c r="GY67" s="7"/>
      <c r="GZ67" s="7"/>
      <c r="HA67" s="7"/>
      <c r="HB67" s="7"/>
      <c r="HC67" s="7"/>
      <c r="HD67" s="7"/>
      <c r="HE67" s="7"/>
      <c r="HF67" s="7"/>
      <c r="HG67" s="7"/>
      <c r="HH67" s="7"/>
      <c r="HI67" s="7"/>
      <c r="HJ67" s="7"/>
      <c r="HK67" s="7"/>
      <c r="HL67" s="7"/>
      <c r="HM67" s="7"/>
      <c r="HN67" s="7"/>
      <c r="HO67" s="7"/>
      <c r="HP67" s="7"/>
      <c r="HQ67" s="7"/>
      <c r="HR67" s="7"/>
      <c r="HS67" s="7"/>
      <c r="HT67" s="7"/>
      <c r="HU67" s="7"/>
      <c r="HV67" s="7"/>
      <c r="HW67" s="7"/>
      <c r="HX67" s="7"/>
      <c r="HY67" s="7"/>
      <c r="HZ67" s="7"/>
      <c r="IA67" s="7"/>
      <c r="IB67" s="7"/>
      <c r="IC67" s="7"/>
      <c r="ID67" s="7"/>
      <c r="IE67" s="7"/>
      <c r="IF67" s="7"/>
      <c r="IG67" s="7"/>
      <c r="IH67" s="7"/>
      <c r="II67" s="7"/>
      <c r="IJ67" s="7"/>
      <c r="IK67" s="7"/>
      <c r="IL67" s="7"/>
      <c r="IM67" s="7"/>
      <c r="IN67" s="7"/>
      <c r="IO67" s="7"/>
      <c r="IP67" s="7"/>
      <c r="IQ67" s="7"/>
      <c r="IR67" s="7"/>
      <c r="IS67" s="7"/>
      <c r="IT67" s="7"/>
      <c r="IU67" s="7"/>
      <c r="IV67" s="7"/>
    </row>
    <row r="68" spans="1:256">
      <c r="B68" s="12"/>
      <c r="C68" s="21"/>
      <c r="D68" s="138"/>
      <c r="F68" s="12"/>
      <c r="G68" s="140"/>
      <c r="H68" s="21"/>
      <c r="I68" s="4"/>
      <c r="J68" s="144"/>
      <c r="K68" s="4"/>
      <c r="L68" s="4"/>
      <c r="M68" s="4"/>
      <c r="N68" s="4"/>
      <c r="O68" s="4"/>
      <c r="P68" s="4"/>
      <c r="Q68" s="4"/>
      <c r="R68" s="4"/>
      <c r="S68" s="4"/>
      <c r="T68" s="4"/>
    </row>
    <row r="69" spans="1:256">
      <c r="B69" s="12"/>
      <c r="C69" s="21"/>
      <c r="D69" s="138"/>
      <c r="F69" s="12"/>
      <c r="G69" s="140"/>
      <c r="H69" s="21"/>
      <c r="I69" s="4"/>
      <c r="J69" s="144"/>
      <c r="K69" s="4"/>
      <c r="L69" s="4"/>
      <c r="M69" s="4"/>
      <c r="N69" s="4"/>
      <c r="O69" s="4"/>
      <c r="P69" s="4"/>
      <c r="Q69" s="4"/>
      <c r="R69" s="4"/>
      <c r="S69" s="4"/>
      <c r="T69" s="4"/>
    </row>
    <row r="70" spans="1:256">
      <c r="A70" s="12"/>
      <c r="B70" s="12"/>
      <c r="C70" s="21"/>
      <c r="D70" s="138"/>
      <c r="F70" s="21"/>
      <c r="G70" s="140"/>
      <c r="H70" s="21"/>
      <c r="I70" s="4"/>
      <c r="J70" s="144"/>
      <c r="K70" s="4"/>
      <c r="L70" s="4"/>
      <c r="M70" s="4"/>
      <c r="N70" s="4"/>
      <c r="O70" s="4"/>
      <c r="P70" s="4"/>
      <c r="Q70" s="4"/>
      <c r="R70" s="4"/>
      <c r="S70" s="4"/>
      <c r="T70" s="4"/>
    </row>
    <row r="71" spans="1:256">
      <c r="A71" s="12"/>
      <c r="B71" s="21"/>
      <c r="C71" s="21"/>
      <c r="D71" s="138"/>
      <c r="F71" s="21"/>
      <c r="G71" s="140"/>
      <c r="H71" s="21"/>
      <c r="I71" s="4"/>
      <c r="J71" s="144"/>
      <c r="K71" s="4"/>
      <c r="L71" s="4"/>
      <c r="M71" s="4"/>
      <c r="N71" s="4"/>
      <c r="O71" s="4"/>
      <c r="P71" s="4"/>
      <c r="Q71" s="4"/>
      <c r="R71" s="4"/>
      <c r="S71" s="4"/>
      <c r="T71" s="4"/>
    </row>
    <row r="72" spans="1:256">
      <c r="D72" s="138"/>
      <c r="G72" s="141"/>
      <c r="H72"/>
      <c r="J72" s="138"/>
    </row>
    <row r="73" spans="1:256">
      <c r="D73" s="138"/>
      <c r="G73" s="141"/>
      <c r="H73"/>
      <c r="J73" s="138"/>
    </row>
    <row r="74" spans="1:256">
      <c r="D74" s="138"/>
      <c r="G74" s="138"/>
      <c r="J74" s="138"/>
    </row>
    <row r="75" spans="1:256">
      <c r="D75" s="138"/>
      <c r="G75" s="138"/>
      <c r="J75" s="138"/>
    </row>
    <row r="76" spans="1:256">
      <c r="A76" s="46" t="s">
        <v>320</v>
      </c>
      <c r="D76" s="138"/>
      <c r="G76" s="138"/>
      <c r="J76" s="138"/>
    </row>
    <row r="77" spans="1:256">
      <c r="A77" s="46" t="s">
        <v>321</v>
      </c>
      <c r="D77" s="138"/>
      <c r="G77" s="138"/>
      <c r="J77" s="138"/>
    </row>
    <row r="78" spans="1:256">
      <c r="A78" s="46" t="s">
        <v>322</v>
      </c>
      <c r="D78" s="138"/>
      <c r="G78" s="138"/>
      <c r="J78" s="138"/>
    </row>
    <row r="79" spans="1:256">
      <c r="A79" s="46"/>
      <c r="D79" s="138"/>
      <c r="G79" s="138"/>
      <c r="J79" s="138"/>
    </row>
    <row r="80" spans="1:256">
      <c r="D80" s="138"/>
      <c r="G80" s="138"/>
      <c r="J80" s="138"/>
    </row>
    <row r="81" spans="4:10">
      <c r="D81" s="138"/>
      <c r="G81" s="138"/>
      <c r="J81" s="138"/>
    </row>
    <row r="82" spans="4:10">
      <c r="D82" s="138"/>
      <c r="G82" s="138"/>
      <c r="J82" s="138"/>
    </row>
    <row r="83" spans="4:10">
      <c r="D83" s="138"/>
      <c r="G83" s="138"/>
      <c r="J83" s="138"/>
    </row>
    <row r="84" spans="4:10">
      <c r="D84" s="138"/>
      <c r="G84" s="138"/>
      <c r="J84" s="138"/>
    </row>
    <row r="85" spans="4:10">
      <c r="D85" s="51"/>
      <c r="G85" s="138"/>
      <c r="J85" s="138"/>
    </row>
    <row r="86" spans="4:10">
      <c r="D86" s="51"/>
      <c r="G86" s="138"/>
      <c r="J86" s="138"/>
    </row>
    <row r="87" spans="4:10">
      <c r="D87" s="51"/>
      <c r="G87" s="138"/>
      <c r="J87" s="138"/>
    </row>
    <row r="88" spans="4:10">
      <c r="D88" s="51"/>
      <c r="G88" s="138"/>
      <c r="J88" s="138"/>
    </row>
    <row r="89" spans="4:10">
      <c r="D89" s="51"/>
      <c r="G89" s="138"/>
      <c r="J89" s="138"/>
    </row>
    <row r="90" spans="4:10">
      <c r="D90" s="51"/>
      <c r="G90" s="138"/>
      <c r="J90" s="63"/>
    </row>
    <row r="91" spans="4:10">
      <c r="D91" s="51"/>
      <c r="G91" s="138"/>
      <c r="J91" s="63"/>
    </row>
    <row r="92" spans="4:10">
      <c r="D92" s="51"/>
      <c r="G92" s="138"/>
      <c r="J92" s="63"/>
    </row>
    <row r="93" spans="4:10">
      <c r="D93" s="51"/>
      <c r="G93" s="138"/>
      <c r="J93" s="63"/>
    </row>
    <row r="94" spans="4:10">
      <c r="D94" s="51"/>
      <c r="G94" s="138"/>
      <c r="J94" s="63"/>
    </row>
    <row r="95" spans="4:10">
      <c r="D95" s="51"/>
      <c r="G95" s="138"/>
      <c r="J95" s="63"/>
    </row>
    <row r="96" spans="4:10">
      <c r="D96" s="51"/>
      <c r="G96" s="138"/>
      <c r="J96" s="63"/>
    </row>
    <row r="97" spans="4:10">
      <c r="D97" s="51"/>
      <c r="G97" s="138"/>
      <c r="J97" s="63"/>
    </row>
    <row r="98" spans="4:10">
      <c r="D98" s="51"/>
      <c r="G98" s="138"/>
      <c r="J98" s="63"/>
    </row>
    <row r="99" spans="4:10">
      <c r="D99" s="51"/>
      <c r="G99" s="138"/>
      <c r="J99" s="63"/>
    </row>
    <row r="100" spans="4:10">
      <c r="D100" s="51"/>
      <c r="G100" s="138"/>
      <c r="J100" s="63"/>
    </row>
    <row r="101" spans="4:10">
      <c r="D101" s="51"/>
      <c r="G101" s="138"/>
      <c r="J101" s="63"/>
    </row>
    <row r="102" spans="4:10">
      <c r="D102" s="51"/>
      <c r="G102" s="138"/>
      <c r="J102" s="63"/>
    </row>
    <row r="103" spans="4:10">
      <c r="D103" s="51"/>
      <c r="G103" s="138"/>
      <c r="J103" s="63"/>
    </row>
    <row r="104" spans="4:10">
      <c r="D104" s="51"/>
      <c r="G104" s="138"/>
      <c r="J104" s="63"/>
    </row>
    <row r="105" spans="4:10">
      <c r="D105" s="51"/>
      <c r="G105" s="51"/>
      <c r="J105" s="63"/>
    </row>
    <row r="106" spans="4:10">
      <c r="D106" s="51"/>
      <c r="G106" s="51"/>
      <c r="J106" s="63"/>
    </row>
    <row r="107" spans="4:10">
      <c r="D107" s="51"/>
      <c r="G107" s="51"/>
      <c r="J107" s="63"/>
    </row>
    <row r="108" spans="4:10">
      <c r="D108" s="51"/>
      <c r="G108" s="51"/>
      <c r="J108" s="63"/>
    </row>
    <row r="109" spans="4:10">
      <c r="D109" s="51"/>
      <c r="G109" s="51"/>
      <c r="J109" s="63"/>
    </row>
    <row r="110" spans="4:10">
      <c r="D110" s="51"/>
      <c r="G110" s="51"/>
      <c r="J110" s="63"/>
    </row>
    <row r="111" spans="4:10">
      <c r="D111" s="51"/>
      <c r="G111" s="51"/>
      <c r="J111" s="63"/>
    </row>
    <row r="112" spans="4:10">
      <c r="D112" s="51"/>
      <c r="G112" s="51"/>
      <c r="J112" s="63"/>
    </row>
    <row r="113" spans="4:10">
      <c r="D113" s="51"/>
      <c r="G113" s="51"/>
      <c r="J113" s="63"/>
    </row>
    <row r="114" spans="4:10">
      <c r="D114" s="51"/>
      <c r="G114" s="51"/>
      <c r="J114" s="63"/>
    </row>
    <row r="115" spans="4:10">
      <c r="D115" s="51"/>
      <c r="G115" s="51"/>
      <c r="J115" s="63"/>
    </row>
    <row r="116" spans="4:10">
      <c r="D116" s="51"/>
      <c r="G116" s="51"/>
    </row>
    <row r="117" spans="4:10">
      <c r="D117" s="51"/>
      <c r="G117" s="51"/>
    </row>
    <row r="118" spans="4:10">
      <c r="D118" s="51"/>
      <c r="G118" s="51"/>
    </row>
    <row r="119" spans="4:10">
      <c r="D119" s="51"/>
      <c r="G119" s="51"/>
    </row>
    <row r="120" spans="4:10">
      <c r="D120" s="51"/>
      <c r="G120" s="51"/>
    </row>
    <row r="121" spans="4:10">
      <c r="D121" s="51"/>
      <c r="G121" s="51"/>
    </row>
    <row r="122" spans="4:10">
      <c r="D122" s="51"/>
      <c r="G122" s="51"/>
    </row>
    <row r="123" spans="4:10">
      <c r="D123" s="51"/>
      <c r="G123" s="51"/>
    </row>
    <row r="124" spans="4:10">
      <c r="D124" s="51"/>
      <c r="G124" s="51"/>
    </row>
    <row r="125" spans="4:10">
      <c r="D125" s="51"/>
    </row>
    <row r="126" spans="4:10">
      <c r="D126" s="51"/>
    </row>
    <row r="127" spans="4:10">
      <c r="D127" s="51"/>
    </row>
    <row r="128" spans="4:10">
      <c r="D128" s="51"/>
    </row>
    <row r="129" spans="4:4">
      <c r="D129" s="51"/>
    </row>
    <row r="130" spans="4:4">
      <c r="D130" s="51"/>
    </row>
    <row r="131" spans="4:4">
      <c r="D131" s="51"/>
    </row>
    <row r="132" spans="4:4">
      <c r="D132" s="51"/>
    </row>
    <row r="133" spans="4:4">
      <c r="D133" s="51"/>
    </row>
    <row r="134" spans="4:4">
      <c r="D134" s="51"/>
    </row>
    <row r="135" spans="4:4">
      <c r="D135" s="51"/>
    </row>
    <row r="136" spans="4:4">
      <c r="D136" s="51"/>
    </row>
    <row r="137" spans="4:4">
      <c r="D137" s="51"/>
    </row>
    <row r="138" spans="4:4">
      <c r="D138" s="51"/>
    </row>
    <row r="139" spans="4:4">
      <c r="D139" s="51"/>
    </row>
    <row r="140" spans="4:4">
      <c r="D140" s="51"/>
    </row>
    <row r="141" spans="4:4">
      <c r="D141" s="51"/>
    </row>
    <row r="142" spans="4:4">
      <c r="D142" s="51"/>
    </row>
    <row r="143" spans="4:4">
      <c r="D143" s="51"/>
    </row>
    <row r="144" spans="4:4">
      <c r="D144" s="51"/>
    </row>
    <row r="145" spans="4:4">
      <c r="D145" s="51"/>
    </row>
    <row r="146" spans="4:4">
      <c r="D146" s="51"/>
    </row>
    <row r="147" spans="4:4">
      <c r="D147" s="51"/>
    </row>
    <row r="148" spans="4:4">
      <c r="D148" s="51"/>
    </row>
    <row r="149" spans="4:4">
      <c r="D149" s="51"/>
    </row>
    <row r="150" spans="4:4">
      <c r="D150" s="51"/>
    </row>
    <row r="151" spans="4:4">
      <c r="D151" s="51"/>
    </row>
    <row r="152" spans="4:4">
      <c r="D152" s="51"/>
    </row>
    <row r="153" spans="4:4">
      <c r="D153" s="51"/>
    </row>
    <row r="154" spans="4:4">
      <c r="D154" s="51"/>
    </row>
    <row r="155" spans="4:4">
      <c r="D155" s="51"/>
    </row>
    <row r="156" spans="4:4">
      <c r="D156" s="51"/>
    </row>
    <row r="157" spans="4:4">
      <c r="D157" s="51"/>
    </row>
    <row r="158" spans="4:4">
      <c r="D158" s="51"/>
    </row>
    <row r="159" spans="4:4">
      <c r="D159" s="51"/>
    </row>
    <row r="160" spans="4:4">
      <c r="D160" s="51"/>
    </row>
    <row r="161" spans="4:4">
      <c r="D161" s="51"/>
    </row>
    <row r="162" spans="4:4">
      <c r="D162" s="51"/>
    </row>
    <row r="163" spans="4:4">
      <c r="D163" s="51"/>
    </row>
    <row r="164" spans="4:4">
      <c r="D164" s="51"/>
    </row>
    <row r="165" spans="4:4">
      <c r="D165" s="51"/>
    </row>
    <row r="166" spans="4:4">
      <c r="D166" s="51"/>
    </row>
    <row r="167" spans="4:4">
      <c r="D167" s="51"/>
    </row>
    <row r="168" spans="4:4">
      <c r="D168" s="51"/>
    </row>
    <row r="169" spans="4:4">
      <c r="D169" s="51"/>
    </row>
    <row r="170" spans="4:4">
      <c r="D170" s="51"/>
    </row>
    <row r="171" spans="4:4">
      <c r="D171" s="51"/>
    </row>
    <row r="172" spans="4:4">
      <c r="D172" s="51"/>
    </row>
    <row r="173" spans="4:4">
      <c r="D173" s="51"/>
    </row>
    <row r="174" spans="4:4">
      <c r="D174" s="51"/>
    </row>
    <row r="175" spans="4:4">
      <c r="D175" s="51"/>
    </row>
    <row r="176" spans="4:4">
      <c r="D176" s="51"/>
    </row>
    <row r="177" spans="4:4">
      <c r="D177" s="51"/>
    </row>
  </sheetData>
  <mergeCells count="13">
    <mergeCell ref="C32:G32"/>
    <mergeCell ref="C38:F38"/>
    <mergeCell ref="J34:K35"/>
    <mergeCell ref="J37:K37"/>
    <mergeCell ref="A34:B34"/>
    <mergeCell ref="J33:K33"/>
    <mergeCell ref="J40:K40"/>
    <mergeCell ref="G37:I38"/>
    <mergeCell ref="A37:B37"/>
    <mergeCell ref="A38:B38"/>
    <mergeCell ref="A35:B35"/>
    <mergeCell ref="C37:F37"/>
    <mergeCell ref="J38:K38"/>
  </mergeCells>
  <phoneticPr fontId="2"/>
  <pageMargins left="0.64" right="0.2" top="0.78740157480314965" bottom="0.39370078740157483" header="0.51181102362204722" footer="0.21"/>
  <pageSetup paperSize="9" scale="47" fitToHeight="0" orientation="portrait" horizontalDpi="4294967293" verticalDpi="1200" r:id="rId1"/>
  <headerFooter alignWithMargins="0">
    <oddHeader>&amp;R&amp;"ＭＳ Ｐ明朝,標準"8201 様式11</oddHeader>
    <oddFooter>&amp;C&amp;P / &amp;N ページ</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FF00"/>
    <pageSetUpPr fitToPage="1"/>
  </sheetPr>
  <dimension ref="A1:IV177"/>
  <sheetViews>
    <sheetView showGridLines="0" tabSelected="1" view="pageBreakPreview" topLeftCell="A48" zoomScale="115" zoomScaleNormal="100" zoomScaleSheetLayoutView="115" workbookViewId="0">
      <selection activeCell="F52" sqref="F52"/>
    </sheetView>
  </sheetViews>
  <sheetFormatPr defaultRowHeight="13.5"/>
  <cols>
    <col min="1" max="1" width="4.375" style="5" customWidth="1"/>
    <col min="2" max="2" width="5.5" customWidth="1"/>
    <col min="3" max="3" width="31.375" customWidth="1"/>
    <col min="4" max="4" width="7.625" style="5" customWidth="1"/>
    <col min="5" max="5" width="7" style="5" customWidth="1"/>
    <col min="6" max="6" width="23.375" customWidth="1"/>
    <col min="7" max="7" width="7.125" style="5" customWidth="1"/>
    <col min="8" max="8" width="6.25" style="5" customWidth="1"/>
    <col min="9" max="9" width="6.75" style="5" customWidth="1"/>
    <col min="10" max="10" width="7" style="5" customWidth="1"/>
    <col min="11" max="11" width="6" style="5" customWidth="1"/>
    <col min="12" max="12" width="9.25" style="5" customWidth="1"/>
    <col min="13" max="13" width="3.125" style="5" bestFit="1" customWidth="1"/>
    <col min="14" max="14" width="12.75" style="5" customWidth="1"/>
    <col min="15" max="15" width="9.25" style="5" customWidth="1"/>
    <col min="16" max="16" width="8" style="5" customWidth="1"/>
    <col min="17" max="17" width="12.75" style="5" customWidth="1"/>
    <col min="18" max="18" width="9.25" style="5" customWidth="1"/>
    <col min="19" max="19" width="8" style="5" customWidth="1"/>
    <col min="20" max="20" width="12.75" style="5" customWidth="1"/>
  </cols>
  <sheetData>
    <row r="1" spans="1:104" ht="11.25" hidden="1" customHeight="1">
      <c r="A1"/>
      <c r="D1"/>
      <c r="E1"/>
      <c r="G1"/>
      <c r="H1"/>
      <c r="I1"/>
      <c r="J1"/>
      <c r="K1" s="44"/>
      <c r="L1" s="2" t="s">
        <v>134</v>
      </c>
      <c r="M1"/>
      <c r="N1"/>
      <c r="O1" s="2"/>
      <c r="P1"/>
      <c r="Q1"/>
      <c r="R1" s="2"/>
      <c r="S1"/>
      <c r="T1"/>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row>
    <row r="2" spans="1:104" ht="11.25" hidden="1" customHeight="1">
      <c r="A2"/>
      <c r="D2"/>
      <c r="E2"/>
      <c r="G2"/>
      <c r="H2"/>
      <c r="I2"/>
      <c r="J2"/>
      <c r="K2" s="44"/>
      <c r="L2"/>
      <c r="M2"/>
      <c r="N2"/>
      <c r="O2"/>
      <c r="P2"/>
      <c r="Q2"/>
      <c r="R2"/>
      <c r="S2"/>
      <c r="T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c r="CG2" s="2"/>
      <c r="CH2" s="2"/>
      <c r="CI2" s="2"/>
      <c r="CJ2" s="2"/>
      <c r="CK2" s="2"/>
      <c r="CL2" s="2"/>
      <c r="CM2" s="2"/>
      <c r="CN2" s="2"/>
      <c r="CO2" s="2"/>
      <c r="CP2" s="2"/>
      <c r="CQ2" s="2"/>
      <c r="CR2" s="2"/>
      <c r="CS2" s="2"/>
      <c r="CT2" s="2"/>
      <c r="CU2" s="2"/>
      <c r="CV2" s="2"/>
      <c r="CW2" s="2"/>
      <c r="CX2" s="2"/>
      <c r="CY2" s="2"/>
      <c r="CZ2" s="2"/>
    </row>
    <row r="3" spans="1:104" ht="11.25" hidden="1" customHeight="1">
      <c r="A3"/>
      <c r="D3"/>
      <c r="E3"/>
      <c r="G3"/>
      <c r="H3"/>
      <c r="I3"/>
      <c r="J3"/>
      <c r="K3" s="44"/>
      <c r="L3" s="1" t="s">
        <v>50</v>
      </c>
      <c r="M3" s="3"/>
      <c r="N3" s="3" t="s">
        <v>135</v>
      </c>
      <c r="O3" s="1" t="s">
        <v>50</v>
      </c>
      <c r="P3" s="3"/>
      <c r="Q3" s="3" t="s">
        <v>135</v>
      </c>
      <c r="R3" s="1" t="s">
        <v>50</v>
      </c>
      <c r="S3" s="3"/>
      <c r="T3" s="3" t="s">
        <v>135</v>
      </c>
      <c r="U3" s="1" t="s">
        <v>50</v>
      </c>
      <c r="V3" s="3"/>
      <c r="W3" s="3" t="s">
        <v>135</v>
      </c>
      <c r="X3" s="1" t="s">
        <v>50</v>
      </c>
      <c r="Y3" s="3"/>
      <c r="Z3" s="3" t="s">
        <v>135</v>
      </c>
      <c r="AA3" s="1" t="s">
        <v>50</v>
      </c>
      <c r="AB3" s="3"/>
      <c r="AC3" s="3" t="s">
        <v>135</v>
      </c>
      <c r="AD3" s="1" t="s">
        <v>50</v>
      </c>
      <c r="AE3" s="3"/>
      <c r="AF3" s="3" t="s">
        <v>135</v>
      </c>
      <c r="AG3" s="1" t="s">
        <v>50</v>
      </c>
      <c r="AH3" s="3"/>
      <c r="AI3" s="3" t="s">
        <v>135</v>
      </c>
      <c r="AJ3" s="1" t="s">
        <v>50</v>
      </c>
      <c r="AK3" s="3"/>
      <c r="AL3" s="3" t="s">
        <v>135</v>
      </c>
      <c r="AM3" s="1" t="s">
        <v>50</v>
      </c>
      <c r="AN3" s="3"/>
      <c r="AO3" s="3" t="s">
        <v>135</v>
      </c>
      <c r="AP3" s="1" t="s">
        <v>50</v>
      </c>
      <c r="AQ3" s="3"/>
      <c r="AR3" s="3" t="s">
        <v>135</v>
      </c>
      <c r="AS3" s="1" t="s">
        <v>50</v>
      </c>
      <c r="AT3" s="3"/>
      <c r="AU3" s="3" t="s">
        <v>135</v>
      </c>
      <c r="AV3" s="1" t="s">
        <v>50</v>
      </c>
      <c r="AW3" s="3"/>
      <c r="AX3" s="3" t="s">
        <v>135</v>
      </c>
      <c r="AY3" s="1" t="s">
        <v>50</v>
      </c>
      <c r="AZ3" s="3"/>
      <c r="BA3" s="3" t="s">
        <v>135</v>
      </c>
      <c r="BB3" s="1" t="s">
        <v>50</v>
      </c>
      <c r="BC3" s="3"/>
      <c r="BD3" s="3" t="s">
        <v>135</v>
      </c>
      <c r="BE3" s="1" t="s">
        <v>50</v>
      </c>
      <c r="BF3" s="3"/>
      <c r="BG3" s="3" t="s">
        <v>135</v>
      </c>
      <c r="BH3" s="1" t="s">
        <v>50</v>
      </c>
      <c r="BI3" s="3"/>
      <c r="BJ3" s="3" t="s">
        <v>135</v>
      </c>
      <c r="BK3" s="1" t="s">
        <v>50</v>
      </c>
      <c r="BL3" s="3"/>
      <c r="BM3" s="3" t="s">
        <v>135</v>
      </c>
      <c r="BN3" s="1" t="s">
        <v>50</v>
      </c>
      <c r="BO3" s="3"/>
      <c r="BP3" s="3" t="s">
        <v>135</v>
      </c>
      <c r="BQ3" s="1" t="s">
        <v>50</v>
      </c>
      <c r="BR3" s="3"/>
      <c r="BS3" s="3" t="s">
        <v>135</v>
      </c>
      <c r="BT3" s="1" t="s">
        <v>50</v>
      </c>
      <c r="BU3" s="3"/>
      <c r="BV3" s="3" t="s">
        <v>135</v>
      </c>
      <c r="BW3" s="1" t="s">
        <v>50</v>
      </c>
      <c r="BX3" s="3"/>
      <c r="BY3" s="3" t="s">
        <v>135</v>
      </c>
      <c r="BZ3" s="1" t="s">
        <v>50</v>
      </c>
      <c r="CA3" s="3"/>
      <c r="CB3" s="3" t="s">
        <v>135</v>
      </c>
      <c r="CC3" s="1" t="s">
        <v>50</v>
      </c>
      <c r="CD3" s="3"/>
      <c r="CE3" s="3" t="s">
        <v>135</v>
      </c>
      <c r="CF3" s="1" t="s">
        <v>50</v>
      </c>
      <c r="CG3" s="3"/>
      <c r="CH3" s="3" t="s">
        <v>135</v>
      </c>
      <c r="CI3" s="1" t="s">
        <v>50</v>
      </c>
      <c r="CJ3" s="3"/>
      <c r="CK3" s="3" t="s">
        <v>135</v>
      </c>
      <c r="CL3" s="1" t="s">
        <v>50</v>
      </c>
      <c r="CM3" s="3"/>
      <c r="CN3" s="3" t="s">
        <v>135</v>
      </c>
      <c r="CO3" s="1" t="s">
        <v>50</v>
      </c>
      <c r="CP3" s="3"/>
      <c r="CQ3" s="3" t="s">
        <v>135</v>
      </c>
      <c r="CR3" s="1" t="s">
        <v>50</v>
      </c>
      <c r="CS3" s="3"/>
      <c r="CT3" s="3" t="s">
        <v>135</v>
      </c>
      <c r="CU3" s="1" t="s">
        <v>50</v>
      </c>
      <c r="CV3" s="3"/>
      <c r="CW3" s="3" t="s">
        <v>135</v>
      </c>
      <c r="CX3" s="1" t="s">
        <v>50</v>
      </c>
      <c r="CY3" s="3"/>
      <c r="CZ3" s="3" t="s">
        <v>135</v>
      </c>
    </row>
    <row r="4" spans="1:104" ht="11.25" hidden="1" customHeight="1">
      <c r="A4"/>
      <c r="D4"/>
      <c r="E4"/>
      <c r="G4"/>
      <c r="H4"/>
      <c r="I4"/>
      <c r="J4"/>
      <c r="K4" s="44"/>
      <c r="L4" s="2" t="s">
        <v>136</v>
      </c>
      <c r="M4" s="2"/>
      <c r="N4" s="2">
        <f>IF(ISNUMBER(DCOUNTA(査読範囲,L3,L3:L4)), DCOUNTA(査読範囲,L3,L3:L4), 0)</f>
        <v>0</v>
      </c>
      <c r="O4" s="2" t="s">
        <v>137</v>
      </c>
      <c r="P4" s="2"/>
      <c r="Q4" s="2">
        <f>IF(ISNUMBER(DCOUNTA(査読範囲,O3,O3:O4)), DCOUNTA(査読範囲,O3,O3:O4), 0)</f>
        <v>0</v>
      </c>
      <c r="R4" s="2" t="s">
        <v>138</v>
      </c>
      <c r="S4" s="2"/>
      <c r="T4" s="2">
        <f>IF(ISNUMBER(DCOUNTA(査読範囲,R3,R3:R4)), DCOUNTA(査読範囲,R3,R3:R4), 0)</f>
        <v>0</v>
      </c>
      <c r="U4" s="2" t="s">
        <v>139</v>
      </c>
      <c r="V4" s="2"/>
      <c r="W4" s="2">
        <f>IF(ISNUMBER(DCOUNTA(査読範囲,U3,U3:U4)), DCOUNTA(査読範囲,U3,U3:U4), 0)</f>
        <v>0</v>
      </c>
      <c r="X4" s="2" t="s">
        <v>140</v>
      </c>
      <c r="Y4" s="2"/>
      <c r="Z4" s="2">
        <f>IF(ISNUMBER(DCOUNTA(査読範囲,X3,X3:X4)), DCOUNTA(査読範囲,X3,X3:X4), 0)</f>
        <v>0</v>
      </c>
      <c r="AA4" s="2" t="s">
        <v>141</v>
      </c>
      <c r="AB4" s="2"/>
      <c r="AC4" s="2">
        <f>IF(ISNUMBER(DCOUNTA(査読範囲,AA3,AA3:AA4)), DCOUNTA(査読範囲,AA3,AA3:AA4), 0)</f>
        <v>0</v>
      </c>
      <c r="AD4" s="2" t="s">
        <v>142</v>
      </c>
      <c r="AE4" s="2"/>
      <c r="AF4" s="2">
        <f>IF(ISNUMBER(DCOUNTA(査読範囲,AD3,AD3:AD4)), DCOUNTA(査読範囲,AD3,AD3:AD4), 0)</f>
        <v>0</v>
      </c>
      <c r="AG4" s="2" t="s">
        <v>143</v>
      </c>
      <c r="AH4" s="2"/>
      <c r="AI4" s="2">
        <f>IF(ISNUMBER(DCOUNTA(査読範囲,AG3,AG3:AG4)), DCOUNTA(査読範囲,AG3,AG3:AG4), 0)</f>
        <v>0</v>
      </c>
      <c r="AJ4" s="2" t="s">
        <v>144</v>
      </c>
      <c r="AK4" s="2"/>
      <c r="AL4" s="2">
        <f>IF(ISNUMBER(DCOUNTA(査読範囲,AJ3,AJ3:AJ4)), DCOUNTA(査読範囲,AJ3,AJ3:AJ4), 0)</f>
        <v>0</v>
      </c>
      <c r="AM4" s="2" t="s">
        <v>145</v>
      </c>
      <c r="AN4" s="2"/>
      <c r="AO4" s="2">
        <f>IF(ISNUMBER(DCOUNTA(査読範囲,AM3,AM3:AM4)), DCOUNTA(査読範囲,AM3,AM3:AM4), 0)</f>
        <v>0</v>
      </c>
      <c r="AP4" s="2" t="s">
        <v>146</v>
      </c>
      <c r="AQ4" s="2"/>
      <c r="AR4" s="2">
        <f>IF(ISNUMBER(DCOUNTA(査読範囲,AP3,AP3:AP4)), DCOUNTA(査読範囲,AP3,AP3:AP4), 0)</f>
        <v>0</v>
      </c>
      <c r="AS4" s="2" t="s">
        <v>147</v>
      </c>
      <c r="AT4" s="2"/>
      <c r="AU4" s="2">
        <f>IF(ISNUMBER(DCOUNTA(査読範囲,AS3,AS3:AS4)), DCOUNTA(査読範囲,AS3,AS3:AS4), 0)</f>
        <v>0</v>
      </c>
      <c r="AV4" s="2" t="s">
        <v>148</v>
      </c>
      <c r="AW4" s="2"/>
      <c r="AX4" s="2">
        <f>IF(ISNUMBER(DCOUNTA(査読範囲,AV3,AV3:AV4)), DCOUNTA(査読範囲,AV3,AV3:AV4), 0)</f>
        <v>0</v>
      </c>
      <c r="AY4" s="2" t="s">
        <v>149</v>
      </c>
      <c r="AZ4" s="2"/>
      <c r="BA4" s="2">
        <f>IF(ISNUMBER(DCOUNTA(査読範囲,AY3,AY3:AY4)), DCOUNTA(査読範囲,AY3,AY3:AY4), 0)</f>
        <v>0</v>
      </c>
      <c r="BB4" s="2" t="s">
        <v>150</v>
      </c>
      <c r="BC4" s="2"/>
      <c r="BD4" s="2">
        <f>IF(ISNUMBER(DCOUNTA(査読範囲,BB3,BB3:BB4)), DCOUNTA(査読範囲,BB3,BB3:BB4), 0)</f>
        <v>0</v>
      </c>
      <c r="BE4" s="2" t="s">
        <v>151</v>
      </c>
      <c r="BF4" s="2"/>
      <c r="BG4" s="2">
        <f>IF(ISNUMBER(DCOUNTA(査読範囲,BE3,BE3:BE4)), DCOUNTA(査読範囲,BE3,BE3:BE4), 0)</f>
        <v>0</v>
      </c>
      <c r="BH4" s="2" t="s">
        <v>152</v>
      </c>
      <c r="BI4" s="2"/>
      <c r="BJ4" s="2">
        <f>IF(ISNUMBER(DCOUNTA(査読範囲,BH3,BH3:BH4)), DCOUNTA(査読範囲,BH3,BH3:BH4), 0)</f>
        <v>0</v>
      </c>
      <c r="BK4" s="2" t="s">
        <v>153</v>
      </c>
      <c r="BL4" s="2"/>
      <c r="BM4" s="2">
        <f>IF(ISNUMBER(DCOUNTA(査読範囲,BK3,BK3:BK4)), DCOUNTA(査読範囲,BK3,BK3:BK4), 0)</f>
        <v>0</v>
      </c>
      <c r="BN4" s="2" t="s">
        <v>154</v>
      </c>
      <c r="BO4" s="2"/>
      <c r="BP4" s="2">
        <f>IF(ISNUMBER(DCOUNTA(査読範囲,BN3,BN3:BN4)), DCOUNTA(査読範囲,BN3,BN3:BN4), 0)</f>
        <v>0</v>
      </c>
      <c r="BQ4" s="2" t="s">
        <v>155</v>
      </c>
      <c r="BR4" s="2"/>
      <c r="BS4" s="2">
        <f>IF(ISNUMBER(DCOUNTA(査読範囲,BQ3,BQ3:BQ4)), DCOUNTA(査読範囲,BQ3,BQ3:BQ4), 0)</f>
        <v>0</v>
      </c>
      <c r="BT4" s="2" t="s">
        <v>156</v>
      </c>
      <c r="BU4" s="2"/>
      <c r="BV4" s="2">
        <f>IF(ISNUMBER(DCOUNTA(査読範囲,BT3,BT3:BT4)), DCOUNTA(査読範囲,BT3,BT3:BT4), 0)</f>
        <v>0</v>
      </c>
      <c r="BW4" s="2" t="s">
        <v>157</v>
      </c>
      <c r="BX4" s="2"/>
      <c r="BY4" s="2">
        <f>IF(ISNUMBER(DCOUNTA(査読範囲,BW3,BW3:BW4)), DCOUNTA(査読範囲,BW3,BW3:BW4), 0)</f>
        <v>0</v>
      </c>
      <c r="BZ4" s="2" t="s">
        <v>158</v>
      </c>
      <c r="CA4" s="2"/>
      <c r="CB4" s="2">
        <f>IF(ISNUMBER(DCOUNTA(査読範囲,BZ3,BZ3:BZ4)), DCOUNTA(査読範囲,BZ3,BZ3:BZ4), 0)</f>
        <v>0</v>
      </c>
      <c r="CC4" s="2" t="s">
        <v>159</v>
      </c>
      <c r="CD4" s="2"/>
      <c r="CE4" s="2">
        <f>IF(ISNUMBER(DCOUNTA(査読範囲,CC3,CC3:CC4)), DCOUNTA(査読範囲,CC3,CC3:CC4), 0)</f>
        <v>0</v>
      </c>
      <c r="CF4" s="2" t="s">
        <v>160</v>
      </c>
      <c r="CG4" s="2"/>
      <c r="CH4" s="2">
        <f>IF(ISNUMBER(DCOUNTA(査読範囲,CF3,CF3:CF4)), DCOUNTA(査読範囲,CF3,CF3:CF4), 0)</f>
        <v>0</v>
      </c>
      <c r="CI4" s="2" t="s">
        <v>161</v>
      </c>
      <c r="CJ4" s="2"/>
      <c r="CK4" s="2">
        <f>IF(ISNUMBER(DCOUNTA(査読範囲,CI3,CI3:CI4)), DCOUNTA(査読範囲,CI3,CI3:CI4), 0)</f>
        <v>0</v>
      </c>
      <c r="CL4" s="2" t="s">
        <v>162</v>
      </c>
      <c r="CM4" s="2"/>
      <c r="CN4" s="2">
        <f>IF(ISNUMBER(DCOUNTA(査読範囲,CL3,CL3:CL4)), DCOUNTA(査読範囲,CL3,CL3:CL4), 0)</f>
        <v>0</v>
      </c>
      <c r="CO4" s="2" t="s">
        <v>163</v>
      </c>
      <c r="CP4" s="2"/>
      <c r="CQ4" s="2">
        <f>IF(ISNUMBER(DCOUNTA(査読範囲,CO3,CO3:CO4)), DCOUNTA(査読範囲,CO3,CO3:CO4), 0)</f>
        <v>0</v>
      </c>
      <c r="CR4" s="2" t="s">
        <v>164</v>
      </c>
      <c r="CS4" s="2"/>
      <c r="CT4" s="2">
        <f>IF(ISNUMBER(DCOUNTA(査読範囲,CR3,CR3:CR4)), DCOUNTA(査読範囲,CR3,CR3:CR4), 0)</f>
        <v>0</v>
      </c>
      <c r="CU4" s="2" t="s">
        <v>165</v>
      </c>
      <c r="CV4" s="2"/>
      <c r="CW4" s="2">
        <f>IF(ISNUMBER(DCOUNTA(査読範囲,CU3,CU3:CU4)), DCOUNTA(査読範囲,CU3,CU3:CU4), 0)</f>
        <v>0</v>
      </c>
      <c r="CX4" s="2" t="s">
        <v>166</v>
      </c>
      <c r="CY4" s="2"/>
      <c r="CZ4" s="2">
        <f>IF(ISNUMBER(DCOUNTA(査読範囲,CX3,CX3:CX4)), DCOUNTA(査読範囲,CX3,CX3:CX4), 0)</f>
        <v>0</v>
      </c>
    </row>
    <row r="5" spans="1:104" ht="11.25" hidden="1" customHeight="1">
      <c r="A5"/>
      <c r="D5"/>
      <c r="E5"/>
      <c r="G5"/>
      <c r="H5"/>
      <c r="I5"/>
      <c r="J5"/>
      <c r="K5" s="44"/>
      <c r="L5" s="1" t="s">
        <v>50</v>
      </c>
      <c r="M5" s="3"/>
      <c r="N5" s="3" t="s">
        <v>135</v>
      </c>
      <c r="O5" s="1" t="s">
        <v>50</v>
      </c>
      <c r="P5" s="3"/>
      <c r="Q5" s="3" t="s">
        <v>135</v>
      </c>
      <c r="R5" s="1" t="s">
        <v>50</v>
      </c>
      <c r="S5" s="3"/>
      <c r="T5" s="3" t="s">
        <v>135</v>
      </c>
      <c r="U5" s="1" t="s">
        <v>50</v>
      </c>
      <c r="V5" s="3"/>
      <c r="W5" s="3" t="s">
        <v>135</v>
      </c>
      <c r="X5" s="1" t="s">
        <v>50</v>
      </c>
      <c r="Y5" s="3"/>
      <c r="Z5" s="3" t="s">
        <v>135</v>
      </c>
      <c r="AA5" s="1" t="s">
        <v>50</v>
      </c>
      <c r="AB5" s="3"/>
      <c r="AC5" s="3" t="s">
        <v>135</v>
      </c>
      <c r="AD5" s="1" t="s">
        <v>50</v>
      </c>
      <c r="AE5" s="3"/>
      <c r="AF5" s="3" t="s">
        <v>135</v>
      </c>
      <c r="AG5" s="1" t="s">
        <v>50</v>
      </c>
      <c r="AH5" s="3"/>
      <c r="AI5" s="3" t="s">
        <v>135</v>
      </c>
      <c r="AJ5" s="1" t="s">
        <v>50</v>
      </c>
      <c r="AK5" s="3"/>
      <c r="AL5" s="3" t="s">
        <v>135</v>
      </c>
      <c r="AM5" s="1" t="s">
        <v>50</v>
      </c>
      <c r="AN5" s="3"/>
      <c r="AO5" s="3" t="s">
        <v>135</v>
      </c>
      <c r="AP5" s="1" t="s">
        <v>50</v>
      </c>
      <c r="AQ5" s="3"/>
      <c r="AR5" s="3" t="s">
        <v>135</v>
      </c>
      <c r="AS5" s="1" t="s">
        <v>50</v>
      </c>
      <c r="AT5" s="3"/>
      <c r="AU5" s="3" t="s">
        <v>135</v>
      </c>
      <c r="AV5" s="1" t="s">
        <v>50</v>
      </c>
      <c r="AW5" s="3"/>
      <c r="AX5" s="3" t="s">
        <v>135</v>
      </c>
      <c r="AY5" s="1" t="s">
        <v>50</v>
      </c>
      <c r="AZ5" s="3"/>
      <c r="BA5" s="3" t="s">
        <v>135</v>
      </c>
      <c r="BB5" s="1" t="s">
        <v>50</v>
      </c>
      <c r="BC5" s="3"/>
      <c r="BD5" s="3" t="s">
        <v>135</v>
      </c>
      <c r="BE5" s="1" t="s">
        <v>50</v>
      </c>
      <c r="BF5" s="3"/>
      <c r="BG5" s="3" t="s">
        <v>135</v>
      </c>
      <c r="BH5" s="1" t="s">
        <v>50</v>
      </c>
      <c r="BI5" s="3"/>
      <c r="BJ5" s="3" t="s">
        <v>135</v>
      </c>
      <c r="BK5" s="1" t="s">
        <v>50</v>
      </c>
      <c r="BL5" s="3"/>
      <c r="BM5" s="3" t="s">
        <v>135</v>
      </c>
      <c r="BN5" s="1" t="s">
        <v>50</v>
      </c>
      <c r="BO5" s="3"/>
      <c r="BP5" s="3" t="s">
        <v>135</v>
      </c>
      <c r="BQ5" s="1" t="s">
        <v>50</v>
      </c>
      <c r="BR5" s="3"/>
      <c r="BS5" s="3" t="s">
        <v>135</v>
      </c>
      <c r="BT5" s="1" t="s">
        <v>50</v>
      </c>
      <c r="BU5" s="3"/>
      <c r="BV5" s="3" t="s">
        <v>135</v>
      </c>
      <c r="BW5" s="1" t="s">
        <v>50</v>
      </c>
      <c r="BX5" s="3"/>
      <c r="BY5" s="3" t="s">
        <v>135</v>
      </c>
      <c r="BZ5" s="1" t="s">
        <v>50</v>
      </c>
      <c r="CA5" s="3"/>
      <c r="CB5" s="3" t="s">
        <v>135</v>
      </c>
      <c r="CC5" s="1" t="s">
        <v>50</v>
      </c>
      <c r="CD5" s="3"/>
      <c r="CE5" s="3" t="s">
        <v>135</v>
      </c>
      <c r="CF5" s="1" t="s">
        <v>50</v>
      </c>
      <c r="CG5" s="3"/>
      <c r="CH5" s="3" t="s">
        <v>135</v>
      </c>
      <c r="CI5" s="1" t="s">
        <v>50</v>
      </c>
      <c r="CJ5" s="3"/>
      <c r="CK5" s="3" t="s">
        <v>135</v>
      </c>
      <c r="CL5" s="1" t="s">
        <v>50</v>
      </c>
      <c r="CM5" s="3"/>
      <c r="CN5" s="3" t="s">
        <v>135</v>
      </c>
      <c r="CO5" s="1" t="s">
        <v>50</v>
      </c>
      <c r="CP5" s="3"/>
      <c r="CQ5" s="3" t="s">
        <v>135</v>
      </c>
      <c r="CR5" s="1" t="s">
        <v>50</v>
      </c>
      <c r="CS5" s="3"/>
      <c r="CT5" s="3" t="s">
        <v>135</v>
      </c>
      <c r="CU5" s="1" t="s">
        <v>50</v>
      </c>
      <c r="CV5" s="3"/>
      <c r="CW5" s="3" t="s">
        <v>135</v>
      </c>
      <c r="CX5" s="1" t="s">
        <v>50</v>
      </c>
      <c r="CY5" s="3"/>
      <c r="CZ5" s="3" t="s">
        <v>135</v>
      </c>
    </row>
    <row r="6" spans="1:104" ht="11.25" hidden="1" customHeight="1">
      <c r="A6"/>
      <c r="D6"/>
      <c r="E6"/>
      <c r="G6"/>
      <c r="H6"/>
      <c r="I6"/>
      <c r="J6"/>
      <c r="K6" s="44"/>
      <c r="L6" s="2" t="s">
        <v>167</v>
      </c>
      <c r="M6" s="2"/>
      <c r="N6" s="2">
        <f>IF(ISNUMBER(DCOUNTA(査読範囲,L5,L5:L6)), DCOUNTA(査読範囲,L5,L5:L6), 0)</f>
        <v>0</v>
      </c>
      <c r="O6" s="2" t="s">
        <v>168</v>
      </c>
      <c r="P6" s="2"/>
      <c r="Q6" s="2">
        <f>IF(ISNUMBER(DCOUNTA(査読範囲,O5,O5:O6)), DCOUNTA(査読範囲,O5,O5:O6), 0)</f>
        <v>0</v>
      </c>
      <c r="R6" s="2" t="s">
        <v>169</v>
      </c>
      <c r="S6" s="2"/>
      <c r="T6" s="2">
        <f>IF(ISNUMBER(DCOUNTA(査読範囲,R5,R5:R6)), DCOUNTA(査読範囲,R5,R5:R6), 0)</f>
        <v>0</v>
      </c>
      <c r="U6" s="2" t="s">
        <v>170</v>
      </c>
      <c r="V6" s="2"/>
      <c r="W6" s="2">
        <f>IF(ISNUMBER(DCOUNTA(査読範囲,U5,U5:U6)), DCOUNTA(査読範囲,U5,U5:U6), 0)</f>
        <v>0</v>
      </c>
      <c r="X6" s="2" t="s">
        <v>171</v>
      </c>
      <c r="Y6" s="2"/>
      <c r="Z6" s="2">
        <f>IF(ISNUMBER(DCOUNTA(査読範囲,X5,X5:X6)), DCOUNTA(査読範囲,X5,X5:X6), 0)</f>
        <v>0</v>
      </c>
      <c r="AA6" s="2" t="s">
        <v>172</v>
      </c>
      <c r="AB6" s="2"/>
      <c r="AC6" s="2">
        <f>IF(ISNUMBER(DCOUNTA(査読範囲,AA5,AA5:AA6)), DCOUNTA(査読範囲,AA5,AA5:AA6), 0)</f>
        <v>0</v>
      </c>
      <c r="AD6" s="2" t="s">
        <v>173</v>
      </c>
      <c r="AE6" s="2"/>
      <c r="AF6" s="2">
        <f>IF(ISNUMBER(DCOUNTA(査読範囲,AD5,AD5:AD6)), DCOUNTA(査読範囲,AD5,AD5:AD6), 0)</f>
        <v>0</v>
      </c>
      <c r="AG6" s="2" t="s">
        <v>174</v>
      </c>
      <c r="AH6" s="2"/>
      <c r="AI6" s="2">
        <f>IF(ISNUMBER(DCOUNTA(査読範囲,AG5,AG5:AG6)), DCOUNTA(査読範囲,AG5,AG5:AG6), 0)</f>
        <v>0</v>
      </c>
      <c r="AJ6" s="2" t="s">
        <v>175</v>
      </c>
      <c r="AK6" s="2"/>
      <c r="AL6" s="2">
        <f>IF(ISNUMBER(DCOUNTA(査読範囲,AJ5,AJ5:AJ6)), DCOUNTA(査読範囲,AJ5,AJ5:AJ6), 0)</f>
        <v>0</v>
      </c>
      <c r="AM6" s="2" t="s">
        <v>176</v>
      </c>
      <c r="AN6" s="2"/>
      <c r="AO6" s="2">
        <f>IF(ISNUMBER(DCOUNTA(査読範囲,AM5,AM5:AM6)), DCOUNTA(査読範囲,AM5,AM5:AM6), 0)</f>
        <v>0</v>
      </c>
      <c r="AP6" s="2" t="s">
        <v>177</v>
      </c>
      <c r="AQ6" s="2"/>
      <c r="AR6" s="2">
        <f>IF(ISNUMBER(DCOUNTA(査読範囲,AP5,AP5:AP6)), DCOUNTA(査読範囲,AP5,AP5:AP6), 0)</f>
        <v>0</v>
      </c>
      <c r="AS6" s="2" t="s">
        <v>178</v>
      </c>
      <c r="AT6" s="2"/>
      <c r="AU6" s="2">
        <f>IF(ISNUMBER(DCOUNTA(査読範囲,AS5,AS5:AS6)), DCOUNTA(査読範囲,AS5,AS5:AS6), 0)</f>
        <v>0</v>
      </c>
      <c r="AV6" s="2" t="s">
        <v>179</v>
      </c>
      <c r="AW6" s="2"/>
      <c r="AX6" s="2">
        <f>IF(ISNUMBER(DCOUNTA(査読範囲,AV5,AV5:AV6)), DCOUNTA(査読範囲,AV5,AV5:AV6), 0)</f>
        <v>0</v>
      </c>
      <c r="AY6" s="2" t="s">
        <v>180</v>
      </c>
      <c r="AZ6" s="2"/>
      <c r="BA6" s="2">
        <f>IF(ISNUMBER(DCOUNTA(査読範囲,AY5,AY5:AY6)), DCOUNTA(査読範囲,AY5,AY5:AY6), 0)</f>
        <v>0</v>
      </c>
      <c r="BB6" s="2" t="s">
        <v>181</v>
      </c>
      <c r="BC6" s="2"/>
      <c r="BD6" s="2">
        <f>IF(ISNUMBER(DCOUNTA(査読範囲,BB5,BB5:BB6)), DCOUNTA(査読範囲,BB5,BB5:BB6), 0)</f>
        <v>0</v>
      </c>
      <c r="BE6" s="2" t="s">
        <v>182</v>
      </c>
      <c r="BF6" s="2"/>
      <c r="BG6" s="2">
        <f>IF(ISNUMBER(DCOUNTA(査読範囲,BE5,BE5:BE6)), DCOUNTA(査読範囲,BE5,BE5:BE6), 0)</f>
        <v>0</v>
      </c>
      <c r="BH6" s="2" t="s">
        <v>183</v>
      </c>
      <c r="BI6" s="2"/>
      <c r="BJ6" s="2">
        <f>IF(ISNUMBER(DCOUNTA(査読範囲,BH5,BH5:BH6)), DCOUNTA(査読範囲,BH5,BH5:BH6), 0)</f>
        <v>0</v>
      </c>
      <c r="BK6" s="2" t="s">
        <v>184</v>
      </c>
      <c r="BL6" s="2"/>
      <c r="BM6" s="2">
        <f>IF(ISNUMBER(DCOUNTA(査読範囲,BK5,BK5:BK6)), DCOUNTA(査読範囲,BK5,BK5:BK6), 0)</f>
        <v>0</v>
      </c>
      <c r="BN6" s="2" t="s">
        <v>185</v>
      </c>
      <c r="BO6" s="2"/>
      <c r="BP6" s="2">
        <f>IF(ISNUMBER(DCOUNTA(査読範囲,BN5,BN5:BN6)), DCOUNTA(査読範囲,BN5,BN5:BN6), 0)</f>
        <v>0</v>
      </c>
      <c r="BQ6" s="2" t="s">
        <v>186</v>
      </c>
      <c r="BR6" s="2"/>
      <c r="BS6" s="2">
        <f>IF(ISNUMBER(DCOUNTA(査読範囲,BQ5,BQ5:BQ6)), DCOUNTA(査読範囲,BQ5,BQ5:BQ6), 0)</f>
        <v>0</v>
      </c>
      <c r="BT6" s="2" t="s">
        <v>187</v>
      </c>
      <c r="BU6" s="2"/>
      <c r="BV6" s="2">
        <f>IF(ISNUMBER(DCOUNTA(査読範囲,BT5,BT5:BT6)), DCOUNTA(査読範囲,BT5,BT5:BT6), 0)</f>
        <v>0</v>
      </c>
      <c r="BW6" s="2" t="s">
        <v>188</v>
      </c>
      <c r="BX6" s="2"/>
      <c r="BY6" s="2">
        <f>IF(ISNUMBER(DCOUNTA(査読範囲,BW5,BW5:BW6)), DCOUNTA(査読範囲,BW5,BW5:BW6), 0)</f>
        <v>0</v>
      </c>
      <c r="BZ6" s="2" t="s">
        <v>189</v>
      </c>
      <c r="CA6" s="2"/>
      <c r="CB6" s="2">
        <f>IF(ISNUMBER(DCOUNTA(査読範囲,BZ5,BZ5:BZ6)), DCOUNTA(査読範囲,BZ5,BZ5:BZ6), 0)</f>
        <v>0</v>
      </c>
      <c r="CC6" s="2" t="s">
        <v>190</v>
      </c>
      <c r="CD6" s="2"/>
      <c r="CE6" s="2">
        <f>IF(ISNUMBER(DCOUNTA(査読範囲,CC5,CC5:CC6)), DCOUNTA(査読範囲,CC5,CC5:CC6), 0)</f>
        <v>0</v>
      </c>
      <c r="CF6" s="2" t="s">
        <v>191</v>
      </c>
      <c r="CG6" s="2"/>
      <c r="CH6" s="2">
        <f>IF(ISNUMBER(DCOUNTA(査読範囲,CF5,CF5:CF6)), DCOUNTA(査読範囲,CF5,CF5:CF6), 0)</f>
        <v>0</v>
      </c>
      <c r="CI6" s="2" t="s">
        <v>192</v>
      </c>
      <c r="CJ6" s="2"/>
      <c r="CK6" s="2">
        <f>IF(ISNUMBER(DCOUNTA(査読範囲,CI5,CI5:CI6)), DCOUNTA(査読範囲,CI5,CI5:CI6), 0)</f>
        <v>0</v>
      </c>
      <c r="CL6" s="2" t="s">
        <v>193</v>
      </c>
      <c r="CM6" s="2"/>
      <c r="CN6" s="2">
        <f>IF(ISNUMBER(DCOUNTA(査読範囲,CL5,CL5:CL6)), DCOUNTA(査読範囲,CL5,CL5:CL6), 0)</f>
        <v>0</v>
      </c>
      <c r="CO6" s="2" t="s">
        <v>194</v>
      </c>
      <c r="CP6" s="2"/>
      <c r="CQ6" s="2">
        <f>IF(ISNUMBER(DCOUNTA(査読範囲,CO5,CO5:CO6)), DCOUNTA(査読範囲,CO5,CO5:CO6), 0)</f>
        <v>0</v>
      </c>
      <c r="CR6" s="2" t="s">
        <v>195</v>
      </c>
      <c r="CS6" s="2"/>
      <c r="CT6" s="2">
        <f>IF(ISNUMBER(DCOUNTA(査読範囲,CR5,CR5:CR6)), DCOUNTA(査読範囲,CR5,CR5:CR6), 0)</f>
        <v>0</v>
      </c>
      <c r="CU6" s="2" t="s">
        <v>196</v>
      </c>
      <c r="CV6" s="2"/>
      <c r="CW6" s="2">
        <f>IF(ISNUMBER(DCOUNTA(査読範囲,CU5,CU5:CU6)), DCOUNTA(査読範囲,CU5,CU5:CU6), 0)</f>
        <v>0</v>
      </c>
      <c r="CX6" s="2" t="s">
        <v>197</v>
      </c>
      <c r="CY6" s="2"/>
      <c r="CZ6" s="2">
        <f>IF(ISNUMBER(DCOUNTA(査読範囲,CX5,CX5:CX6)), DCOUNTA(査読範囲,CX5,CX5:CX6), 0)</f>
        <v>0</v>
      </c>
    </row>
    <row r="7" spans="1:104" ht="11.25" hidden="1" customHeight="1">
      <c r="A7"/>
      <c r="D7"/>
      <c r="E7"/>
      <c r="G7"/>
      <c r="H7"/>
      <c r="I7"/>
      <c r="J7"/>
      <c r="K7" s="44"/>
      <c r="L7" s="1" t="s">
        <v>50</v>
      </c>
      <c r="M7" s="3"/>
      <c r="N7" s="3" t="s">
        <v>135</v>
      </c>
      <c r="O7" s="1" t="s">
        <v>50</v>
      </c>
      <c r="P7" s="3"/>
      <c r="Q7" s="3" t="s">
        <v>135</v>
      </c>
      <c r="R7" s="1" t="s">
        <v>50</v>
      </c>
      <c r="S7" s="3"/>
      <c r="T7" s="3" t="s">
        <v>135</v>
      </c>
      <c r="U7" s="1" t="s">
        <v>50</v>
      </c>
      <c r="V7" s="3"/>
      <c r="W7" s="3" t="s">
        <v>135</v>
      </c>
      <c r="X7" s="1" t="s">
        <v>50</v>
      </c>
      <c r="Y7" s="3"/>
      <c r="Z7" s="3" t="s">
        <v>135</v>
      </c>
      <c r="AA7" s="1" t="s">
        <v>50</v>
      </c>
      <c r="AB7" s="3"/>
      <c r="AC7" s="3" t="s">
        <v>135</v>
      </c>
      <c r="AD7" s="1" t="s">
        <v>50</v>
      </c>
      <c r="AE7" s="3"/>
      <c r="AF7" s="3" t="s">
        <v>135</v>
      </c>
      <c r="AG7" s="1" t="s">
        <v>50</v>
      </c>
      <c r="AH7" s="3"/>
      <c r="AI7" s="3" t="s">
        <v>135</v>
      </c>
      <c r="AJ7" s="1" t="s">
        <v>50</v>
      </c>
      <c r="AK7" s="3"/>
      <c r="AL7" s="3" t="s">
        <v>135</v>
      </c>
      <c r="AM7" s="1" t="s">
        <v>50</v>
      </c>
      <c r="AN7" s="3"/>
      <c r="AO7" s="3" t="s">
        <v>135</v>
      </c>
      <c r="AP7" s="1" t="s">
        <v>50</v>
      </c>
      <c r="AQ7" s="3"/>
      <c r="AR7" s="3" t="s">
        <v>135</v>
      </c>
      <c r="AS7" s="1" t="s">
        <v>50</v>
      </c>
      <c r="AT7" s="3"/>
      <c r="AU7" s="3" t="s">
        <v>135</v>
      </c>
      <c r="AV7" s="1" t="s">
        <v>50</v>
      </c>
      <c r="AW7" s="3"/>
      <c r="AX7" s="3" t="s">
        <v>135</v>
      </c>
      <c r="AY7" s="1" t="s">
        <v>50</v>
      </c>
      <c r="AZ7" s="3"/>
      <c r="BA7" s="3" t="s">
        <v>135</v>
      </c>
      <c r="BB7" s="1" t="s">
        <v>50</v>
      </c>
      <c r="BC7" s="3"/>
      <c r="BD7" s="3" t="s">
        <v>135</v>
      </c>
      <c r="BE7" s="1" t="s">
        <v>50</v>
      </c>
      <c r="BF7" s="3"/>
      <c r="BG7" s="3" t="s">
        <v>135</v>
      </c>
      <c r="BH7" s="1" t="s">
        <v>50</v>
      </c>
      <c r="BI7" s="3"/>
      <c r="BJ7" s="3" t="s">
        <v>135</v>
      </c>
      <c r="BK7" s="1" t="s">
        <v>50</v>
      </c>
      <c r="BL7" s="3"/>
      <c r="BM7" s="3" t="s">
        <v>135</v>
      </c>
      <c r="BN7" s="1" t="s">
        <v>50</v>
      </c>
      <c r="BO7" s="3"/>
      <c r="BP7" s="3" t="s">
        <v>135</v>
      </c>
      <c r="BQ7" s="1" t="s">
        <v>50</v>
      </c>
      <c r="BR7" s="3"/>
      <c r="BS7" s="3" t="s">
        <v>135</v>
      </c>
      <c r="BT7" s="1" t="s">
        <v>50</v>
      </c>
      <c r="BU7" s="3"/>
      <c r="BV7" s="3" t="s">
        <v>135</v>
      </c>
      <c r="BW7" s="1" t="s">
        <v>50</v>
      </c>
      <c r="BX7" s="3"/>
      <c r="BY7" s="3" t="s">
        <v>135</v>
      </c>
      <c r="BZ7" s="1" t="s">
        <v>50</v>
      </c>
      <c r="CA7" s="3"/>
      <c r="CB7" s="3" t="s">
        <v>135</v>
      </c>
      <c r="CC7" s="1" t="s">
        <v>50</v>
      </c>
      <c r="CD7" s="3"/>
      <c r="CE7" s="3" t="s">
        <v>135</v>
      </c>
      <c r="CF7" s="1" t="s">
        <v>50</v>
      </c>
      <c r="CG7" s="3"/>
      <c r="CH7" s="3" t="s">
        <v>135</v>
      </c>
      <c r="CI7" s="1" t="s">
        <v>50</v>
      </c>
      <c r="CJ7" s="3"/>
      <c r="CK7" s="3" t="s">
        <v>135</v>
      </c>
      <c r="CL7" s="1" t="s">
        <v>50</v>
      </c>
      <c r="CM7" s="3"/>
      <c r="CN7" s="3" t="s">
        <v>135</v>
      </c>
      <c r="CO7" s="1" t="s">
        <v>50</v>
      </c>
      <c r="CP7" s="3"/>
      <c r="CQ7" s="3" t="s">
        <v>135</v>
      </c>
      <c r="CR7" s="1" t="s">
        <v>50</v>
      </c>
      <c r="CS7" s="3"/>
      <c r="CT7" s="3" t="s">
        <v>135</v>
      </c>
      <c r="CU7" s="1" t="s">
        <v>50</v>
      </c>
      <c r="CV7" s="3"/>
      <c r="CW7" s="3" t="s">
        <v>135</v>
      </c>
      <c r="CX7" s="1" t="s">
        <v>50</v>
      </c>
      <c r="CY7" s="3"/>
      <c r="CZ7" s="3" t="s">
        <v>135</v>
      </c>
    </row>
    <row r="8" spans="1:104" ht="11.25" hidden="1" customHeight="1">
      <c r="A8"/>
      <c r="D8"/>
      <c r="E8"/>
      <c r="G8"/>
      <c r="H8"/>
      <c r="I8"/>
      <c r="J8"/>
      <c r="K8" s="44"/>
      <c r="L8" s="2" t="s">
        <v>198</v>
      </c>
      <c r="M8" s="2"/>
      <c r="N8" s="2">
        <f>IF(ISNUMBER(DCOUNTA(査読範囲,L7,L7:L8)), DCOUNTA(査読範囲,L7,L7:L8), 0)</f>
        <v>0</v>
      </c>
      <c r="O8" s="2" t="s">
        <v>198</v>
      </c>
      <c r="P8" s="2"/>
      <c r="Q8" s="2">
        <f>IF(ISNUMBER(DCOUNTA(査読範囲,O7,O7:O8)), DCOUNTA(査読範囲,O7,O7:O8), 0)</f>
        <v>0</v>
      </c>
      <c r="R8" s="2" t="s">
        <v>199</v>
      </c>
      <c r="S8" s="2"/>
      <c r="T8" s="2">
        <f>IF(ISNUMBER(DCOUNTA(査読範囲,R7,R7:R8)), DCOUNTA(査読範囲,R7,R7:R8), 0)</f>
        <v>0</v>
      </c>
      <c r="U8" s="2" t="s">
        <v>200</v>
      </c>
      <c r="V8" s="2"/>
      <c r="W8" s="2">
        <f>IF(ISNUMBER(DCOUNTA(査読範囲,U7,U7:U8)), DCOUNTA(査読範囲,U7,U7:U8), 0)</f>
        <v>0</v>
      </c>
      <c r="X8" s="2" t="s">
        <v>201</v>
      </c>
      <c r="Y8" s="2"/>
      <c r="Z8" s="2">
        <f>IF(ISNUMBER(DCOUNTA(査読範囲,X7,X7:X8)), DCOUNTA(査読範囲,X7,X7:X8), 0)</f>
        <v>0</v>
      </c>
      <c r="AA8" s="2" t="s">
        <v>202</v>
      </c>
      <c r="AB8" s="2"/>
      <c r="AC8" s="2">
        <f>IF(ISNUMBER(DCOUNTA(査読範囲,AA7,AA7:AA8)), DCOUNTA(査読範囲,AA7,AA7:AA8), 0)</f>
        <v>0</v>
      </c>
      <c r="AD8" s="2" t="s">
        <v>203</v>
      </c>
      <c r="AE8" s="2"/>
      <c r="AF8" s="2">
        <f>IF(ISNUMBER(DCOUNTA(査読範囲,AD7,AD7:AD8)), DCOUNTA(査読範囲,AD7,AD7:AD8), 0)</f>
        <v>0</v>
      </c>
      <c r="AG8" s="2" t="s">
        <v>204</v>
      </c>
      <c r="AH8" s="2"/>
      <c r="AI8" s="2">
        <f>IF(ISNUMBER(DCOUNTA(査読範囲,AG7,AG7:AG8)), DCOUNTA(査読範囲,AG7,AG7:AG8), 0)</f>
        <v>0</v>
      </c>
      <c r="AJ8" s="2" t="s">
        <v>205</v>
      </c>
      <c r="AK8" s="2"/>
      <c r="AL8" s="2">
        <f>IF(ISNUMBER(DCOUNTA(査読範囲,AJ7,AJ7:AJ8)), DCOUNTA(査読範囲,AJ7,AJ7:AJ8), 0)</f>
        <v>0</v>
      </c>
      <c r="AM8" s="2" t="s">
        <v>206</v>
      </c>
      <c r="AN8" s="2"/>
      <c r="AO8" s="2">
        <f>IF(ISNUMBER(DCOUNTA(査読範囲,AM7,AM7:AM8)), DCOUNTA(査読範囲,AM7,AM7:AM8), 0)</f>
        <v>0</v>
      </c>
      <c r="AP8" s="2" t="s">
        <v>207</v>
      </c>
      <c r="AQ8" s="2"/>
      <c r="AR8" s="2">
        <f>IF(ISNUMBER(DCOUNTA(査読範囲,AP7,AP7:AP8)), DCOUNTA(査読範囲,AP7,AP7:AP8), 0)</f>
        <v>0</v>
      </c>
      <c r="AS8" s="2" t="s">
        <v>208</v>
      </c>
      <c r="AT8" s="2"/>
      <c r="AU8" s="2">
        <f>IF(ISNUMBER(DCOUNTA(査読範囲,AS7,AS7:AS8)), DCOUNTA(査読範囲,AS7,AS7:AS8), 0)</f>
        <v>0</v>
      </c>
      <c r="AV8" s="2" t="s">
        <v>209</v>
      </c>
      <c r="AW8" s="2"/>
      <c r="AX8" s="2">
        <f>IF(ISNUMBER(DCOUNTA(査読範囲,AV7,AV7:AV8)), DCOUNTA(査読範囲,AV7,AV7:AV8), 0)</f>
        <v>0</v>
      </c>
      <c r="AY8" s="2" t="s">
        <v>210</v>
      </c>
      <c r="AZ8" s="2"/>
      <c r="BA8" s="2">
        <f>IF(ISNUMBER(DCOUNTA(査読範囲,AY7,AY7:AY8)), DCOUNTA(査読範囲,AY7,AY7:AY8), 0)</f>
        <v>0</v>
      </c>
      <c r="BB8" s="2" t="s">
        <v>211</v>
      </c>
      <c r="BC8" s="2"/>
      <c r="BD8" s="2">
        <f>IF(ISNUMBER(DCOUNTA(査読範囲,BB7,BB7:BB8)), DCOUNTA(査読範囲,BB7,BB7:BB8), 0)</f>
        <v>0</v>
      </c>
      <c r="BE8" s="2" t="s">
        <v>212</v>
      </c>
      <c r="BF8" s="2"/>
      <c r="BG8" s="2">
        <f>IF(ISNUMBER(DCOUNTA(査読範囲,BE7,BE7:BE8)), DCOUNTA(査読範囲,BE7,BE7:BE8), 0)</f>
        <v>0</v>
      </c>
      <c r="BH8" s="2" t="s">
        <v>213</v>
      </c>
      <c r="BI8" s="2"/>
      <c r="BJ8" s="2">
        <f>IF(ISNUMBER(DCOUNTA(査読範囲,BH7,BH7:BH8)), DCOUNTA(査読範囲,BH7,BH7:BH8), 0)</f>
        <v>0</v>
      </c>
      <c r="BK8" s="2" t="s">
        <v>214</v>
      </c>
      <c r="BL8" s="2"/>
      <c r="BM8" s="2">
        <f>IF(ISNUMBER(DCOUNTA(査読範囲,BK7,BK7:BK8)), DCOUNTA(査読範囲,BK7,BK7:BK8), 0)</f>
        <v>0</v>
      </c>
      <c r="BN8" s="2" t="s">
        <v>215</v>
      </c>
      <c r="BO8" s="2"/>
      <c r="BP8" s="2">
        <f>IF(ISNUMBER(DCOUNTA(査読範囲,BN7,BN7:BN8)), DCOUNTA(査読範囲,BN7,BN7:BN8), 0)</f>
        <v>0</v>
      </c>
      <c r="BQ8" s="2" t="s">
        <v>216</v>
      </c>
      <c r="BR8" s="2"/>
      <c r="BS8" s="2">
        <f>IF(ISNUMBER(DCOUNTA(査読範囲,BQ7,BQ7:BQ8)), DCOUNTA(査読範囲,BQ7,BQ7:BQ8), 0)</f>
        <v>0</v>
      </c>
      <c r="BT8" s="2" t="s">
        <v>217</v>
      </c>
      <c r="BU8" s="2"/>
      <c r="BV8" s="2">
        <f>IF(ISNUMBER(DCOUNTA(査読範囲,BT7,BT7:BT8)), DCOUNTA(査読範囲,BT7,BT7:BT8), 0)</f>
        <v>0</v>
      </c>
      <c r="BW8" s="2" t="s">
        <v>218</v>
      </c>
      <c r="BX8" s="2"/>
      <c r="BY8" s="2">
        <f>IF(ISNUMBER(DCOUNTA(査読範囲,BW7,BW7:BW8)), DCOUNTA(査読範囲,BW7,BW7:BW8), 0)</f>
        <v>0</v>
      </c>
      <c r="BZ8" s="2" t="s">
        <v>219</v>
      </c>
      <c r="CA8" s="2"/>
      <c r="CB8" s="2">
        <f>IF(ISNUMBER(DCOUNTA(査読範囲,BZ7,BZ7:BZ8)), DCOUNTA(査読範囲,BZ7,BZ7:BZ8), 0)</f>
        <v>0</v>
      </c>
      <c r="CC8" s="2" t="s">
        <v>220</v>
      </c>
      <c r="CD8" s="2"/>
      <c r="CE8" s="2">
        <f>IF(ISNUMBER(DCOUNTA(査読範囲,CC7,CC7:CC8)), DCOUNTA(査読範囲,CC7,CC7:CC8), 0)</f>
        <v>0</v>
      </c>
      <c r="CF8" s="2" t="s">
        <v>221</v>
      </c>
      <c r="CG8" s="2"/>
      <c r="CH8" s="2">
        <f>IF(ISNUMBER(DCOUNTA(査読範囲,CF7,CF7:CF8)), DCOUNTA(査読範囲,CF7,CF7:CF8), 0)</f>
        <v>0</v>
      </c>
      <c r="CI8" s="2" t="s">
        <v>222</v>
      </c>
      <c r="CJ8" s="2"/>
      <c r="CK8" s="2">
        <f>IF(ISNUMBER(DCOUNTA(査読範囲,CI7,CI7:CI8)), DCOUNTA(査読範囲,CI7,CI7:CI8), 0)</f>
        <v>0</v>
      </c>
      <c r="CL8" s="2" t="s">
        <v>223</v>
      </c>
      <c r="CM8" s="2"/>
      <c r="CN8" s="2">
        <f>IF(ISNUMBER(DCOUNTA(査読範囲,CL7,CL7:CL8)), DCOUNTA(査読範囲,CL7,CL7:CL8), 0)</f>
        <v>0</v>
      </c>
      <c r="CO8" s="2" t="s">
        <v>224</v>
      </c>
      <c r="CP8" s="2"/>
      <c r="CQ8" s="2">
        <f>IF(ISNUMBER(DCOUNTA(査読範囲,CO7,CO7:CO8)), DCOUNTA(査読範囲,CO7,CO7:CO8), 0)</f>
        <v>0</v>
      </c>
      <c r="CR8" s="2" t="s">
        <v>225</v>
      </c>
      <c r="CS8" s="2"/>
      <c r="CT8" s="2">
        <f>IF(ISNUMBER(DCOUNTA(査読範囲,CR7,CR7:CR8)), DCOUNTA(査読範囲,CR7,CR7:CR8), 0)</f>
        <v>0</v>
      </c>
      <c r="CU8" s="2" t="s">
        <v>226</v>
      </c>
      <c r="CV8" s="2"/>
      <c r="CW8" s="2">
        <f>IF(ISNUMBER(DCOUNTA(査読範囲,CU7,CU7:CU8)), DCOUNTA(査読範囲,CU7,CU7:CU8), 0)</f>
        <v>0</v>
      </c>
      <c r="CX8" s="2" t="s">
        <v>227</v>
      </c>
      <c r="CY8" s="2"/>
      <c r="CZ8" s="2">
        <f>IF(ISNUMBER(DCOUNTA(査読範囲,CX7,CX7:CX8)), DCOUNTA(査読範囲,CX7,CX7:CX8), 0)</f>
        <v>0</v>
      </c>
    </row>
    <row r="9" spans="1:104" ht="11.25" hidden="1" customHeight="1">
      <c r="A9"/>
      <c r="D9"/>
      <c r="E9"/>
      <c r="G9"/>
      <c r="H9"/>
      <c r="I9"/>
      <c r="J9"/>
      <c r="K9" s="44"/>
      <c r="L9" s="1" t="s">
        <v>50</v>
      </c>
      <c r="M9" s="3"/>
      <c r="N9" s="3" t="s">
        <v>135</v>
      </c>
      <c r="O9" s="1" t="s">
        <v>50</v>
      </c>
      <c r="P9" s="3"/>
      <c r="Q9" s="3" t="s">
        <v>135</v>
      </c>
      <c r="R9" s="1" t="s">
        <v>50</v>
      </c>
      <c r="S9" s="3"/>
      <c r="T9" s="3" t="s">
        <v>135</v>
      </c>
      <c r="U9" s="1" t="s">
        <v>50</v>
      </c>
      <c r="V9" s="3"/>
      <c r="W9" s="3" t="s">
        <v>135</v>
      </c>
      <c r="X9" s="1" t="s">
        <v>50</v>
      </c>
      <c r="Y9" s="3"/>
      <c r="Z9" s="3" t="s">
        <v>135</v>
      </c>
      <c r="AA9" s="1" t="s">
        <v>50</v>
      </c>
      <c r="AB9" s="3"/>
      <c r="AC9" s="3" t="s">
        <v>135</v>
      </c>
      <c r="AD9" s="1" t="s">
        <v>50</v>
      </c>
      <c r="AE9" s="3"/>
      <c r="AF9" s="3" t="s">
        <v>135</v>
      </c>
      <c r="AG9" s="1" t="s">
        <v>50</v>
      </c>
      <c r="AH9" s="3"/>
      <c r="AI9" s="3" t="s">
        <v>135</v>
      </c>
      <c r="AJ9" s="1" t="s">
        <v>50</v>
      </c>
      <c r="AK9" s="3"/>
      <c r="AL9" s="3" t="s">
        <v>135</v>
      </c>
      <c r="AM9" s="1" t="s">
        <v>50</v>
      </c>
      <c r="AN9" s="3"/>
      <c r="AO9" s="3" t="s">
        <v>135</v>
      </c>
      <c r="AP9" s="1" t="s">
        <v>50</v>
      </c>
      <c r="AQ9" s="3"/>
      <c r="AR9" s="3" t="s">
        <v>135</v>
      </c>
      <c r="AS9" s="1" t="s">
        <v>50</v>
      </c>
      <c r="AT9" s="3"/>
      <c r="AU9" s="3" t="s">
        <v>135</v>
      </c>
      <c r="AV9" s="1" t="s">
        <v>50</v>
      </c>
      <c r="AW9" s="3"/>
      <c r="AX9" s="3" t="s">
        <v>135</v>
      </c>
      <c r="AY9" s="1" t="s">
        <v>50</v>
      </c>
      <c r="AZ9" s="3"/>
      <c r="BA9" s="3" t="s">
        <v>135</v>
      </c>
      <c r="BB9" s="1" t="s">
        <v>50</v>
      </c>
      <c r="BC9" s="3"/>
      <c r="BD9" s="3" t="s">
        <v>135</v>
      </c>
      <c r="BE9" s="1" t="s">
        <v>50</v>
      </c>
      <c r="BF9" s="3"/>
      <c r="BG9" s="3" t="s">
        <v>135</v>
      </c>
      <c r="BH9" s="1" t="s">
        <v>50</v>
      </c>
      <c r="BI9" s="3"/>
      <c r="BJ9" s="3" t="s">
        <v>135</v>
      </c>
      <c r="BK9" s="1" t="s">
        <v>50</v>
      </c>
      <c r="BL9" s="3"/>
      <c r="BM9" s="3" t="s">
        <v>135</v>
      </c>
      <c r="BN9" s="1" t="s">
        <v>50</v>
      </c>
      <c r="BO9" s="3"/>
      <c r="BP9" s="3" t="s">
        <v>135</v>
      </c>
      <c r="BQ9" s="1" t="s">
        <v>50</v>
      </c>
      <c r="BR9" s="3"/>
      <c r="BS9" s="3" t="s">
        <v>135</v>
      </c>
      <c r="BT9" s="1" t="s">
        <v>50</v>
      </c>
      <c r="BU9" s="3"/>
      <c r="BV9" s="3" t="s">
        <v>135</v>
      </c>
      <c r="BW9" s="1" t="s">
        <v>50</v>
      </c>
      <c r="BX9" s="3"/>
      <c r="BY9" s="3" t="s">
        <v>135</v>
      </c>
      <c r="BZ9" s="1" t="s">
        <v>50</v>
      </c>
      <c r="CA9" s="3"/>
      <c r="CB9" s="3" t="s">
        <v>135</v>
      </c>
      <c r="CC9" s="1" t="s">
        <v>50</v>
      </c>
      <c r="CD9" s="3"/>
      <c r="CE9" s="3" t="s">
        <v>135</v>
      </c>
      <c r="CF9" s="1" t="s">
        <v>50</v>
      </c>
      <c r="CG9" s="3"/>
      <c r="CH9" s="3" t="s">
        <v>135</v>
      </c>
      <c r="CI9" s="1" t="s">
        <v>50</v>
      </c>
      <c r="CJ9" s="3"/>
      <c r="CK9" s="3" t="s">
        <v>135</v>
      </c>
      <c r="CL9" s="1" t="s">
        <v>50</v>
      </c>
      <c r="CM9" s="3"/>
      <c r="CN9" s="3" t="s">
        <v>135</v>
      </c>
      <c r="CO9" s="1" t="s">
        <v>50</v>
      </c>
      <c r="CP9" s="3"/>
      <c r="CQ9" s="3" t="s">
        <v>135</v>
      </c>
      <c r="CR9" s="1" t="s">
        <v>50</v>
      </c>
      <c r="CS9" s="3"/>
      <c r="CT9" s="3" t="s">
        <v>135</v>
      </c>
      <c r="CU9" s="1" t="s">
        <v>50</v>
      </c>
      <c r="CV9" s="3"/>
      <c r="CW9" s="3" t="s">
        <v>135</v>
      </c>
      <c r="CX9" s="1" t="s">
        <v>50</v>
      </c>
      <c r="CY9" s="3"/>
      <c r="CZ9" s="3" t="s">
        <v>135</v>
      </c>
    </row>
    <row r="10" spans="1:104" ht="11.25" hidden="1" customHeight="1">
      <c r="A10"/>
      <c r="D10"/>
      <c r="E10"/>
      <c r="G10"/>
      <c r="H10"/>
      <c r="I10"/>
      <c r="J10"/>
      <c r="K10" s="44"/>
      <c r="L10" s="2" t="s">
        <v>228</v>
      </c>
      <c r="M10" s="2"/>
      <c r="N10" s="123"/>
      <c r="O10" s="2" t="s">
        <v>229</v>
      </c>
      <c r="P10" s="2"/>
      <c r="Q10" s="123"/>
      <c r="R10" s="2" t="s">
        <v>230</v>
      </c>
      <c r="S10" s="2"/>
      <c r="T10" s="123"/>
      <c r="U10" s="2" t="s">
        <v>231</v>
      </c>
      <c r="V10" s="2"/>
      <c r="W10" s="2">
        <f>IF(ISNUMBER(DCOUNTA(査読範囲,U9,U9:U10)), DCOUNTA(査読範囲,U9,U9:U10), 0)</f>
        <v>0</v>
      </c>
      <c r="X10" s="2" t="s">
        <v>232</v>
      </c>
      <c r="Y10" s="2"/>
      <c r="Z10" s="2">
        <f>IF(ISNUMBER(DCOUNTA(査読範囲,X9,X9:X10)), DCOUNTA(査読範囲,X9,X9:X10), 0)</f>
        <v>0</v>
      </c>
      <c r="AA10" s="2" t="s">
        <v>233</v>
      </c>
      <c r="AB10" s="2"/>
      <c r="AC10" s="2">
        <f>IF(ISNUMBER(DCOUNTA(査読範囲,AA9,AA9:AA10)), DCOUNTA(査読範囲,AA9,AA9:AA10), 0)</f>
        <v>0</v>
      </c>
      <c r="AD10" s="2" t="s">
        <v>234</v>
      </c>
      <c r="AE10" s="2"/>
      <c r="AF10" s="2">
        <f>IF(ISNUMBER(DCOUNTA(査読範囲,AD9,AD9:AD10)), DCOUNTA(査読範囲,AD9,AD9:AD10), 0)</f>
        <v>0</v>
      </c>
      <c r="AG10" s="2" t="s">
        <v>235</v>
      </c>
      <c r="AH10" s="2"/>
      <c r="AI10" s="2">
        <f>IF(ISNUMBER(DCOUNTA(査読範囲,AG9,AG9:AG10)), DCOUNTA(査読範囲,AG9,AG9:AG10), 0)</f>
        <v>0</v>
      </c>
      <c r="AJ10" s="2" t="s">
        <v>236</v>
      </c>
      <c r="AK10" s="2"/>
      <c r="AL10" s="2">
        <f>IF(ISNUMBER(DCOUNTA(査読範囲,AJ9,AJ9:AJ10)), DCOUNTA(査読範囲,AJ9,AJ9:AJ10), 0)</f>
        <v>0</v>
      </c>
      <c r="AM10" s="2" t="s">
        <v>237</v>
      </c>
      <c r="AN10" s="2"/>
      <c r="AO10" s="2">
        <f>IF(ISNUMBER(DCOUNTA(査読範囲,AM9,AM9:AM10)), DCOUNTA(査読範囲,AM9,AM9:AM10), 0)</f>
        <v>0</v>
      </c>
      <c r="AP10" s="2" t="s">
        <v>238</v>
      </c>
      <c r="AQ10" s="2"/>
      <c r="AR10" s="2">
        <f>IF(ISNUMBER(DCOUNTA(査読範囲,AP9,AP9:AP10)), DCOUNTA(査読範囲,AP9,AP9:AP10), 0)</f>
        <v>0</v>
      </c>
      <c r="AS10" s="2" t="s">
        <v>239</v>
      </c>
      <c r="AT10" s="2"/>
      <c r="AU10" s="2">
        <f>IF(ISNUMBER(DCOUNTA(査読範囲,AS9,AS9:AS10)), DCOUNTA(査読範囲,AS9,AS9:AS10), 0)</f>
        <v>0</v>
      </c>
      <c r="AV10" s="2" t="s">
        <v>240</v>
      </c>
      <c r="AW10" s="2"/>
      <c r="AX10" s="2">
        <f>IF(ISNUMBER(DCOUNTA(査読範囲,AV9,AV9:AV10)), DCOUNTA(査読範囲,AV9,AV9:AV10), 0)</f>
        <v>0</v>
      </c>
      <c r="AY10" s="2" t="s">
        <v>241</v>
      </c>
      <c r="AZ10" s="2"/>
      <c r="BA10" s="2">
        <f>IF(ISNUMBER(DCOUNTA(査読範囲,AY9,AY9:AY10)), DCOUNTA(査読範囲,AY9,AY9:AY10), 0)</f>
        <v>0</v>
      </c>
      <c r="BB10" s="2" t="s">
        <v>242</v>
      </c>
      <c r="BC10" s="2"/>
      <c r="BD10" s="2">
        <f>IF(ISNUMBER(DCOUNTA(査読範囲,BB9,BB9:BB10)), DCOUNTA(査読範囲,BB9,BB9:BB10), 0)</f>
        <v>0</v>
      </c>
      <c r="BE10" s="2" t="s">
        <v>243</v>
      </c>
      <c r="BF10" s="2"/>
      <c r="BG10" s="2">
        <f>IF(ISNUMBER(DCOUNTA(査読範囲,BE9,BE9:BE10)), DCOUNTA(査読範囲,BE9,BE9:BE10), 0)</f>
        <v>0</v>
      </c>
      <c r="BH10" s="2" t="s">
        <v>244</v>
      </c>
      <c r="BI10" s="2"/>
      <c r="BJ10" s="2">
        <f>IF(ISNUMBER(DCOUNTA(査読範囲,BH9,BH9:BH10)), DCOUNTA(査読範囲,BH9,BH9:BH10), 0)</f>
        <v>0</v>
      </c>
      <c r="BK10" s="2" t="s">
        <v>245</v>
      </c>
      <c r="BL10" s="2"/>
      <c r="BM10" s="2">
        <f>IF(ISNUMBER(DCOUNTA(査読範囲,BK9,BK9:BK10)), DCOUNTA(査読範囲,BK9,BK9:BK10), 0)</f>
        <v>0</v>
      </c>
      <c r="BN10" s="2" t="s">
        <v>246</v>
      </c>
      <c r="BO10" s="2"/>
      <c r="BP10" s="2">
        <f>IF(ISNUMBER(DCOUNTA(査読範囲,BN9,BN9:BN10)), DCOUNTA(査読範囲,BN9,BN9:BN10), 0)</f>
        <v>0</v>
      </c>
      <c r="BQ10" s="2" t="s">
        <v>247</v>
      </c>
      <c r="BR10" s="2"/>
      <c r="BS10" s="2">
        <f>IF(ISNUMBER(DCOUNTA(査読範囲,BQ9,BQ9:BQ10)), DCOUNTA(査読範囲,BQ9,BQ9:BQ10), 0)</f>
        <v>0</v>
      </c>
      <c r="BT10" s="2" t="s">
        <v>248</v>
      </c>
      <c r="BU10" s="2"/>
      <c r="BV10" s="48">
        <f>IF(ISNUMBER(DCOUNTA(査読範囲,BT9,BT9:BT10)), DCOUNTA(査読範囲,BT9,BT9:BT10), 0)</f>
        <v>0</v>
      </c>
      <c r="BW10" s="2" t="s">
        <v>249</v>
      </c>
      <c r="BX10" s="2"/>
      <c r="BY10" s="48">
        <f>IF(ISNUMBER(DCOUNTA(査読範囲,BW9,BW9:BW10)), DCOUNTA(査読範囲,BW9,BW9:BW10), 0)</f>
        <v>0</v>
      </c>
      <c r="BZ10" s="2" t="s">
        <v>250</v>
      </c>
      <c r="CA10" s="2"/>
      <c r="CB10" s="2">
        <f>IF(ISNUMBER(DCOUNTA(査読範囲,BZ9,BZ9:BZ10)), DCOUNTA(査読範囲,BZ9,BZ9:BZ10), 0)</f>
        <v>0</v>
      </c>
      <c r="CC10" s="2" t="s">
        <v>251</v>
      </c>
      <c r="CD10" s="2"/>
      <c r="CE10" s="2">
        <f>IF(ISNUMBER(DCOUNTA(査読範囲,CC9,CC9:CC10)), DCOUNTA(査読範囲,CC9,CC9:CC10), 0)</f>
        <v>0</v>
      </c>
      <c r="CF10" s="2" t="s">
        <v>252</v>
      </c>
      <c r="CG10" s="2"/>
      <c r="CH10" s="48">
        <f>IF(ISNUMBER(DCOUNTA(査読範囲,CF9,CF9:CF10)), DCOUNTA(査読範囲,CF9,CF9:CF10), 0)</f>
        <v>0</v>
      </c>
      <c r="CI10" s="2" t="s">
        <v>253</v>
      </c>
      <c r="CJ10" s="2"/>
      <c r="CK10" s="48">
        <f>IF(ISNUMBER(DCOUNTA(査読範囲,CI9,CI9:CI10)), DCOUNTA(査読範囲,CI9,CI9:CI10), 0)</f>
        <v>0</v>
      </c>
      <c r="CL10" s="2" t="s">
        <v>254</v>
      </c>
      <c r="CM10" s="2"/>
      <c r="CN10" s="2">
        <f>IF(ISNUMBER(DCOUNTA(査読範囲,CL9,CL9:CL10)), DCOUNTA(査読範囲,CL9,CL9:CL10), 0)</f>
        <v>0</v>
      </c>
      <c r="CO10" s="2" t="s">
        <v>255</v>
      </c>
      <c r="CP10" s="2"/>
      <c r="CQ10" s="2">
        <f>IF(ISNUMBER(DCOUNTA(査読範囲,CO9,CO9:CO10)), DCOUNTA(査読範囲,CO9,CO9:CO10), 0)</f>
        <v>0</v>
      </c>
      <c r="CR10" s="2" t="s">
        <v>256</v>
      </c>
      <c r="CS10" s="2"/>
      <c r="CT10" s="2">
        <f>IF(ISNUMBER(DCOUNTA(査読範囲,CR9,CR9:CR10)), DCOUNTA(査読範囲,CR9,CR9:CR10), 0)</f>
        <v>0</v>
      </c>
      <c r="CU10" s="2" t="s">
        <v>257</v>
      </c>
      <c r="CV10" s="2"/>
      <c r="CW10" s="48">
        <f>IF(ISNUMBER(DCOUNTA(査読範囲,CU9,CU9:CU10)), DCOUNTA(査読範囲,CU9,CU9:CU10), 0)</f>
        <v>0</v>
      </c>
      <c r="CX10" s="2" t="s">
        <v>258</v>
      </c>
      <c r="CY10" s="2"/>
      <c r="CZ10" s="2">
        <f>IF(ISNUMBER(DCOUNTA(査読範囲,CX9,CX9:CX10)), DCOUNTA(査読範囲,CX9,CX9:CX10), 0)</f>
        <v>0</v>
      </c>
    </row>
    <row r="11" spans="1:104" ht="11.25" hidden="1" customHeight="1">
      <c r="A11"/>
      <c r="D11"/>
      <c r="E11"/>
      <c r="G11"/>
      <c r="H11"/>
      <c r="I11"/>
      <c r="J11"/>
      <c r="K11" s="44"/>
      <c r="L11" s="2" t="s">
        <v>259</v>
      </c>
      <c r="M11" s="2"/>
      <c r="N11" s="3" t="s">
        <v>260</v>
      </c>
      <c r="O11" s="2"/>
      <c r="P11" s="2"/>
      <c r="Q11" s="3" t="s">
        <v>261</v>
      </c>
      <c r="R11" s="2"/>
      <c r="S11" s="2"/>
      <c r="T11" s="3" t="s">
        <v>262</v>
      </c>
      <c r="U11" s="2"/>
      <c r="V11" s="2"/>
      <c r="W11" s="3" t="s">
        <v>263</v>
      </c>
      <c r="X11" s="2"/>
      <c r="Y11" s="2"/>
      <c r="Z11" s="3" t="s">
        <v>264</v>
      </c>
      <c r="AA11" s="2"/>
      <c r="AB11" s="2"/>
      <c r="AC11" s="3" t="s">
        <v>265</v>
      </c>
      <c r="AD11" s="2"/>
      <c r="AE11" s="2"/>
      <c r="AF11" s="3" t="s">
        <v>266</v>
      </c>
      <c r="AG11" s="2" t="s">
        <v>259</v>
      </c>
      <c r="AH11" s="2"/>
      <c r="AI11" s="3" t="s">
        <v>267</v>
      </c>
      <c r="AJ11" s="2"/>
      <c r="AK11" s="2"/>
      <c r="AL11" s="3" t="s">
        <v>268</v>
      </c>
      <c r="AM11" s="2"/>
      <c r="AN11" s="2"/>
      <c r="AO11" s="3" t="s">
        <v>269</v>
      </c>
      <c r="AP11" s="2"/>
      <c r="AQ11" s="2"/>
      <c r="AR11" s="3" t="s">
        <v>270</v>
      </c>
      <c r="AS11" s="2"/>
      <c r="AT11" s="2"/>
      <c r="AU11" s="3" t="s">
        <v>271</v>
      </c>
      <c r="AV11" s="2"/>
      <c r="AW11" s="2"/>
      <c r="AX11" s="3" t="s">
        <v>272</v>
      </c>
      <c r="AY11" s="2"/>
      <c r="AZ11" s="2"/>
      <c r="BA11" s="3" t="s">
        <v>273</v>
      </c>
      <c r="BB11" s="2"/>
      <c r="BC11" s="2"/>
      <c r="BD11" s="3" t="s">
        <v>274</v>
      </c>
      <c r="BE11" s="2"/>
      <c r="BF11" s="2"/>
      <c r="BG11" s="3" t="s">
        <v>275</v>
      </c>
      <c r="BH11" s="2"/>
      <c r="BI11" s="2"/>
      <c r="BJ11" s="3" t="s">
        <v>276</v>
      </c>
      <c r="BK11" s="2"/>
      <c r="BL11" s="2"/>
      <c r="BM11" s="3" t="s">
        <v>277</v>
      </c>
      <c r="BN11" s="2"/>
      <c r="BO11" s="2"/>
      <c r="BP11" s="3" t="s">
        <v>278</v>
      </c>
      <c r="BQ11" s="2"/>
      <c r="BR11" s="2"/>
      <c r="BS11" s="3" t="s">
        <v>279</v>
      </c>
      <c r="BT11" s="2"/>
      <c r="BU11" s="2"/>
      <c r="BV11" s="3" t="s">
        <v>280</v>
      </c>
      <c r="BW11" s="2"/>
      <c r="BX11" s="2"/>
      <c r="BY11" s="3" t="s">
        <v>281</v>
      </c>
      <c r="BZ11" s="2"/>
      <c r="CA11" s="2"/>
      <c r="CB11" s="3" t="s">
        <v>282</v>
      </c>
      <c r="CC11" s="2"/>
      <c r="CD11" s="2"/>
      <c r="CE11" s="3" t="s">
        <v>283</v>
      </c>
      <c r="CF11" s="2"/>
      <c r="CG11" s="2"/>
      <c r="CH11" s="3" t="s">
        <v>284</v>
      </c>
      <c r="CI11" s="2"/>
      <c r="CJ11" s="2"/>
      <c r="CK11" s="3" t="s">
        <v>285</v>
      </c>
      <c r="CL11" s="2"/>
      <c r="CM11" s="2"/>
      <c r="CN11" s="3" t="s">
        <v>286</v>
      </c>
      <c r="CO11" s="2"/>
      <c r="CP11" s="2"/>
      <c r="CQ11" s="3" t="s">
        <v>287</v>
      </c>
      <c r="CR11" s="2"/>
      <c r="CS11" s="2"/>
      <c r="CT11" s="3" t="s">
        <v>288</v>
      </c>
      <c r="CU11" s="2"/>
      <c r="CV11" s="2"/>
      <c r="CW11" s="3" t="s">
        <v>289</v>
      </c>
      <c r="CX11" s="2"/>
      <c r="CY11" s="2"/>
      <c r="CZ11" s="3" t="s">
        <v>290</v>
      </c>
    </row>
    <row r="12" spans="1:104" ht="11.25" hidden="1" customHeight="1">
      <c r="A12"/>
      <c r="D12"/>
      <c r="E12"/>
      <c r="G12"/>
      <c r="H12"/>
      <c r="I12"/>
      <c r="J12"/>
      <c r="K12" s="44"/>
      <c r="L12" s="2">
        <f>SUM(N12:CZ12)</f>
        <v>0</v>
      </c>
      <c r="M12" s="2"/>
      <c r="N12" s="2">
        <f>SUBTOTAL(9,N4:N10)</f>
        <v>0</v>
      </c>
      <c r="O12" s="2"/>
      <c r="P12" s="2"/>
      <c r="Q12" s="2">
        <f>SUBTOTAL(9,Q4:Q10)</f>
        <v>0</v>
      </c>
      <c r="R12" s="2"/>
      <c r="S12" s="2"/>
      <c r="T12" s="2">
        <f>SUBTOTAL(9,T4:T10)</f>
        <v>0</v>
      </c>
      <c r="U12" s="2"/>
      <c r="V12" s="2"/>
      <c r="W12" s="2">
        <f>SUBTOTAL(9,W4:W10)</f>
        <v>0</v>
      </c>
      <c r="X12" s="2"/>
      <c r="Y12" s="2"/>
      <c r="Z12" s="2">
        <f>SUBTOTAL(9,Z4:Z10)</f>
        <v>0</v>
      </c>
      <c r="AA12" s="2"/>
      <c r="AB12" s="2"/>
      <c r="AC12" s="2">
        <f>SUBTOTAL(9,AC4:AC10)</f>
        <v>0</v>
      </c>
      <c r="AD12" s="2"/>
      <c r="AE12" s="2"/>
      <c r="AF12" s="2">
        <f>SUBTOTAL(9,AF4:AF10)</f>
        <v>0</v>
      </c>
      <c r="AG12" s="2"/>
      <c r="AH12" s="2"/>
      <c r="AI12" s="2">
        <f>SUBTOTAL(9,AI4:AI10)</f>
        <v>0</v>
      </c>
      <c r="AJ12" s="2"/>
      <c r="AK12" s="2"/>
      <c r="AL12" s="2">
        <f>SUBTOTAL(9,AL4:AL10)</f>
        <v>0</v>
      </c>
      <c r="AM12" s="2"/>
      <c r="AN12" s="2"/>
      <c r="AO12" s="2">
        <f>SUBTOTAL(9,AO4:AO10)</f>
        <v>0</v>
      </c>
      <c r="AP12" s="2"/>
      <c r="AQ12" s="2"/>
      <c r="AR12" s="2">
        <f>SUBTOTAL(9,AR4:AR10)</f>
        <v>0</v>
      </c>
      <c r="AS12" s="2"/>
      <c r="AT12" s="2"/>
      <c r="AU12" s="2">
        <f>SUBTOTAL(9,AU4:AU10)</f>
        <v>0</v>
      </c>
      <c r="AV12" s="2"/>
      <c r="AW12" s="2"/>
      <c r="AX12" s="2">
        <f>SUBTOTAL(9,AX4:AX10)</f>
        <v>0</v>
      </c>
      <c r="AY12" s="2"/>
      <c r="AZ12" s="2"/>
      <c r="BA12" s="2">
        <f>SUBTOTAL(9,BA4:BA10)</f>
        <v>0</v>
      </c>
      <c r="BB12" s="2"/>
      <c r="BC12" s="2"/>
      <c r="BD12" s="2">
        <f>SUBTOTAL(9,BD4:BD10)</f>
        <v>0</v>
      </c>
      <c r="BE12" s="2"/>
      <c r="BF12" s="2"/>
      <c r="BG12" s="2">
        <f>SUBTOTAL(9,BG4:BG10)</f>
        <v>0</v>
      </c>
      <c r="BH12" s="2"/>
      <c r="BI12" s="2"/>
      <c r="BJ12" s="2">
        <f>SUBTOTAL(9,BJ4:BJ10)</f>
        <v>0</v>
      </c>
      <c r="BK12" s="2"/>
      <c r="BL12" s="2"/>
      <c r="BM12" s="2" t="s">
        <v>291</v>
      </c>
      <c r="BN12" s="2"/>
      <c r="BO12" s="2"/>
      <c r="BP12" s="2">
        <f>SUBTOTAL(9,BP4:BP10)</f>
        <v>0</v>
      </c>
      <c r="BQ12" s="2"/>
      <c r="BR12" s="2"/>
      <c r="BS12" s="2">
        <f>SUBTOTAL(9,BS4:BS10)</f>
        <v>0</v>
      </c>
      <c r="BT12" s="2"/>
      <c r="BU12" s="2"/>
      <c r="BV12" s="2">
        <f>SUBTOTAL(9,BV4:BV10)</f>
        <v>0</v>
      </c>
      <c r="BW12" s="2"/>
      <c r="BX12" s="2"/>
      <c r="BY12" s="2" t="s">
        <v>291</v>
      </c>
      <c r="BZ12" s="2"/>
      <c r="CA12" s="2"/>
      <c r="CB12" s="2" t="s">
        <v>291</v>
      </c>
      <c r="CC12" s="2"/>
      <c r="CD12" s="2"/>
      <c r="CE12" s="2">
        <f>SUBTOTAL(9,CE4:CE10)</f>
        <v>0</v>
      </c>
      <c r="CF12" s="2"/>
      <c r="CG12" s="2"/>
      <c r="CH12" s="2">
        <f>SUBTOTAL(9,CH4:CH10)</f>
        <v>0</v>
      </c>
      <c r="CI12" s="2"/>
      <c r="CJ12" s="2"/>
      <c r="CK12" s="2">
        <f>SUBTOTAL(9,CK4:CK10)</f>
        <v>0</v>
      </c>
      <c r="CL12" s="2"/>
      <c r="CM12" s="2"/>
      <c r="CN12" s="2">
        <f>SUBTOTAL(9,CN4:CN10)</f>
        <v>0</v>
      </c>
      <c r="CO12" s="2"/>
      <c r="CP12" s="2"/>
      <c r="CQ12" s="2">
        <f>SUBTOTAL(9,CQ4:CQ10)</f>
        <v>0</v>
      </c>
      <c r="CR12" s="2"/>
      <c r="CS12" s="2"/>
      <c r="CT12" s="2">
        <f>SUBTOTAL(9,CT4:CT10)</f>
        <v>0</v>
      </c>
      <c r="CU12" s="2"/>
      <c r="CV12" s="2"/>
      <c r="CW12" s="2">
        <f>SUBTOTAL(9,CW4:CW10)</f>
        <v>0</v>
      </c>
      <c r="CX12" s="2"/>
      <c r="CY12" s="2"/>
      <c r="CZ12" s="2">
        <f>SUBTOTAL(9,CZ4:CZ10)</f>
        <v>0</v>
      </c>
    </row>
    <row r="13" spans="1:104" ht="11.25" hidden="1" customHeight="1">
      <c r="A13"/>
      <c r="D13"/>
      <c r="E13"/>
      <c r="G13"/>
      <c r="H13"/>
      <c r="I13"/>
      <c r="J13"/>
      <c r="K13" s="44"/>
      <c r="L13"/>
      <c r="M13"/>
      <c r="N13"/>
      <c r="O13"/>
      <c r="P13"/>
      <c r="Q13"/>
      <c r="R13"/>
      <c r="S13"/>
      <c r="T13"/>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c r="AU13" s="2"/>
      <c r="AV13" s="2"/>
      <c r="AW13" s="2"/>
      <c r="AX13" s="2"/>
      <c r="AY13" s="2"/>
      <c r="AZ13" s="2"/>
      <c r="BA13" s="2"/>
      <c r="BB13" s="2"/>
      <c r="BC13" s="2"/>
      <c r="BD13" s="2"/>
      <c r="BE13" s="2"/>
      <c r="BF13" s="2"/>
      <c r="BG13" s="2"/>
      <c r="BH13" s="2"/>
      <c r="BI13" s="2"/>
      <c r="BJ13" s="2"/>
      <c r="BK13" s="2"/>
      <c r="BL13" s="2"/>
      <c r="BM13" s="2"/>
      <c r="BN13" s="2"/>
      <c r="BO13" s="2"/>
      <c r="BP13" s="2"/>
      <c r="BQ13" s="2"/>
      <c r="BR13" s="2"/>
      <c r="BS13" s="2"/>
      <c r="BT13" s="2"/>
      <c r="BU13" s="2"/>
      <c r="BV13" s="2"/>
      <c r="BW13" s="2"/>
      <c r="BX13" s="2"/>
      <c r="BY13" s="2"/>
      <c r="BZ13" s="2"/>
      <c r="CA13" s="2"/>
      <c r="CB13" s="2"/>
      <c r="CC13" s="2"/>
      <c r="CD13" s="2"/>
      <c r="CE13" s="2"/>
      <c r="CF13" s="2"/>
      <c r="CG13" s="2"/>
      <c r="CH13" s="2"/>
      <c r="CI13" s="2"/>
      <c r="CJ13" s="2"/>
      <c r="CK13" s="2"/>
      <c r="CL13" s="2"/>
      <c r="CM13" s="2"/>
      <c r="CN13" s="2"/>
      <c r="CO13" s="2"/>
      <c r="CP13" s="2"/>
      <c r="CQ13" s="2"/>
      <c r="CR13" s="2"/>
      <c r="CS13" s="2"/>
      <c r="CT13" s="2"/>
      <c r="CU13" s="2"/>
      <c r="CV13" s="2"/>
      <c r="CW13" s="2"/>
      <c r="CX13" s="2"/>
      <c r="CY13" s="2"/>
      <c r="CZ13" s="2"/>
    </row>
    <row r="14" spans="1:104" ht="11.25" hidden="1" customHeight="1">
      <c r="A14"/>
      <c r="D14"/>
      <c r="E14"/>
      <c r="G14"/>
      <c r="H14"/>
      <c r="I14"/>
      <c r="J14"/>
      <c r="K14" s="44"/>
      <c r="L14"/>
      <c r="M14"/>
      <c r="N14"/>
      <c r="O14"/>
      <c r="P14"/>
      <c r="Q14"/>
      <c r="R14"/>
      <c r="S14"/>
      <c r="T14"/>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c r="BU14" s="2"/>
      <c r="BV14" s="2"/>
      <c r="BW14" s="2"/>
      <c r="BX14" s="2"/>
      <c r="BY14" s="2"/>
      <c r="BZ14" s="2"/>
      <c r="CA14" s="2"/>
      <c r="CB14" s="2"/>
      <c r="CC14" s="2"/>
      <c r="CD14" s="2"/>
      <c r="CE14" s="2"/>
      <c r="CF14" s="2"/>
      <c r="CG14" s="2"/>
      <c r="CH14" s="2"/>
      <c r="CI14" s="2"/>
      <c r="CJ14" s="2"/>
      <c r="CK14" s="2"/>
      <c r="CL14" s="2"/>
      <c r="CM14" s="2"/>
      <c r="CN14" s="2"/>
      <c r="CO14" s="2"/>
      <c r="CP14" s="2"/>
      <c r="CQ14" s="2"/>
      <c r="CR14" s="2"/>
      <c r="CS14" s="2"/>
      <c r="CT14" s="2"/>
      <c r="CU14" s="2"/>
      <c r="CV14" s="2"/>
      <c r="CW14" s="2"/>
      <c r="CX14" s="2"/>
      <c r="CY14" s="2"/>
      <c r="CZ14" s="2"/>
    </row>
    <row r="15" spans="1:104" ht="11.25" hidden="1" customHeight="1">
      <c r="A15"/>
      <c r="D15"/>
      <c r="E15"/>
      <c r="G15"/>
      <c r="H15"/>
      <c r="I15"/>
      <c r="J15"/>
      <c r="K15" s="44"/>
      <c r="L15"/>
      <c r="M15"/>
      <c r="N15"/>
      <c r="O15"/>
      <c r="P15"/>
      <c r="Q15"/>
      <c r="R15"/>
      <c r="S15"/>
      <c r="T15"/>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2"/>
      <c r="BI15" s="2"/>
      <c r="BJ15" s="2"/>
      <c r="BK15" s="2"/>
      <c r="BL15" s="2"/>
      <c r="BM15" s="2"/>
      <c r="BN15" s="2"/>
      <c r="BO15" s="2"/>
      <c r="BP15" s="2"/>
      <c r="BQ15" s="2"/>
      <c r="BR15" s="2"/>
      <c r="BS15" s="2"/>
      <c r="BT15" s="2"/>
      <c r="BU15" s="2"/>
      <c r="BV15" s="2"/>
      <c r="BW15" s="2"/>
      <c r="BX15" s="2"/>
      <c r="BY15" s="2"/>
      <c r="BZ15" s="2"/>
      <c r="CA15" s="2"/>
      <c r="CB15" s="2"/>
      <c r="CC15" s="2"/>
      <c r="CD15" s="2"/>
      <c r="CE15" s="2"/>
      <c r="CF15" s="2"/>
      <c r="CG15" s="2"/>
      <c r="CH15" s="2"/>
      <c r="CI15" s="2"/>
      <c r="CJ15" s="2"/>
      <c r="CK15" s="2"/>
      <c r="CL15" s="2"/>
      <c r="CM15" s="2"/>
      <c r="CN15" s="2"/>
      <c r="CO15" s="2"/>
      <c r="CP15" s="2"/>
      <c r="CQ15" s="2"/>
      <c r="CR15" s="2"/>
      <c r="CS15" s="2"/>
      <c r="CT15" s="2"/>
      <c r="CU15" s="2"/>
      <c r="CV15" s="2"/>
      <c r="CW15" s="2"/>
      <c r="CX15" s="2"/>
      <c r="CY15" s="2"/>
      <c r="CZ15" s="2"/>
    </row>
    <row r="16" spans="1:104" ht="11.25" hidden="1" customHeight="1">
      <c r="A16"/>
      <c r="D16"/>
      <c r="E16"/>
      <c r="G16"/>
      <c r="H16"/>
      <c r="I16"/>
      <c r="J16"/>
      <c r="K16" s="44"/>
      <c r="L16"/>
      <c r="M16"/>
      <c r="N16"/>
      <c r="O16"/>
      <c r="P16"/>
      <c r="Q16"/>
      <c r="R16"/>
      <c r="S16"/>
      <c r="T16"/>
      <c r="U16" s="3" t="s">
        <v>115</v>
      </c>
      <c r="V16" s="3" t="s">
        <v>292</v>
      </c>
      <c r="W16" s="1" t="s">
        <v>50</v>
      </c>
      <c r="X16" s="3" t="s">
        <v>293</v>
      </c>
      <c r="Y16" s="3" t="s">
        <v>294</v>
      </c>
      <c r="Z16" s="3" t="s">
        <v>295</v>
      </c>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c r="BU16" s="2"/>
      <c r="BV16" s="2"/>
      <c r="BW16" s="2"/>
      <c r="BX16" s="2"/>
      <c r="BY16" s="2"/>
      <c r="BZ16" s="2"/>
      <c r="CA16" s="2"/>
      <c r="CB16" s="2"/>
      <c r="CC16" s="2"/>
      <c r="CD16" s="2"/>
      <c r="CE16" s="2"/>
      <c r="CF16" s="2"/>
      <c r="CG16" s="2"/>
      <c r="CH16" s="2"/>
      <c r="CI16" s="2"/>
      <c r="CJ16" s="2"/>
      <c r="CK16" s="2"/>
      <c r="CL16" s="2"/>
      <c r="CM16" s="2"/>
      <c r="CN16" s="2"/>
      <c r="CO16" s="2"/>
      <c r="CP16" s="2"/>
      <c r="CQ16" s="2"/>
      <c r="CR16" s="2"/>
      <c r="CS16" s="2"/>
      <c r="CT16" s="2"/>
      <c r="CU16" s="2"/>
      <c r="CV16" s="2"/>
      <c r="CW16" s="2"/>
      <c r="CX16" s="2"/>
      <c r="CY16" s="2"/>
      <c r="CZ16" s="2"/>
    </row>
    <row r="17" spans="1:104" ht="11.25" hidden="1" customHeight="1">
      <c r="A17"/>
      <c r="D17"/>
      <c r="E17"/>
      <c r="G17"/>
      <c r="H17"/>
      <c r="I17"/>
      <c r="J17"/>
      <c r="K17" s="44"/>
      <c r="L17"/>
      <c r="M17"/>
      <c r="N17"/>
      <c r="O17"/>
      <c r="P17"/>
      <c r="Q17"/>
      <c r="R17"/>
      <c r="S17"/>
      <c r="T17"/>
      <c r="U17" s="2">
        <v>1</v>
      </c>
      <c r="V17" s="8" t="str">
        <f>IF(ISNUMBER(SMALL(記入日範囲,1)), SMALL(記入日範囲,1), " ")</f>
        <v xml:space="preserve"> </v>
      </c>
      <c r="W17" s="2"/>
      <c r="X17" s="2">
        <f>IF(ISNUMBER(DCOUNTA(査読範囲,W16,V16:V17)), DCOUNTA(査読範囲,W16,V16:V17), 0)</f>
        <v>0</v>
      </c>
      <c r="Y17" s="2">
        <f>IF(ISNUMBER(DCOUNTA(査読範囲,V16,V16:V17)), DCOUNTA(査読範囲,V16,V16:V17), 0)</f>
        <v>0</v>
      </c>
      <c r="Z17" s="2">
        <f>Y17</f>
        <v>0</v>
      </c>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2"/>
      <c r="BT17" s="2"/>
      <c r="BU17" s="2"/>
      <c r="BV17" s="2"/>
      <c r="BW17" s="2"/>
      <c r="BX17" s="2"/>
      <c r="BY17" s="2"/>
      <c r="BZ17" s="2"/>
      <c r="CA17" s="2"/>
      <c r="CB17" s="2"/>
      <c r="CC17" s="2"/>
      <c r="CD17" s="2"/>
      <c r="CE17" s="2"/>
      <c r="CF17" s="2"/>
      <c r="CG17" s="2"/>
      <c r="CH17" s="2"/>
      <c r="CI17" s="2"/>
      <c r="CJ17" s="2"/>
      <c r="CK17" s="2"/>
      <c r="CL17" s="2"/>
      <c r="CM17" s="2"/>
      <c r="CN17" s="2"/>
      <c r="CO17" s="2"/>
      <c r="CP17" s="2"/>
      <c r="CQ17" s="2"/>
      <c r="CR17" s="2"/>
      <c r="CS17" s="2"/>
      <c r="CT17" s="2"/>
      <c r="CU17" s="2"/>
      <c r="CV17" s="2"/>
      <c r="CW17" s="2"/>
      <c r="CX17" s="2"/>
      <c r="CY17" s="2"/>
      <c r="CZ17" s="2"/>
    </row>
    <row r="18" spans="1:104" ht="11.25" hidden="1" customHeight="1">
      <c r="A18"/>
      <c r="D18"/>
      <c r="E18"/>
      <c r="G18"/>
      <c r="H18"/>
      <c r="I18"/>
      <c r="J18"/>
      <c r="K18" s="44"/>
      <c r="L18"/>
      <c r="M18"/>
      <c r="N18"/>
      <c r="O18"/>
      <c r="P18"/>
      <c r="Q18"/>
      <c r="R18"/>
      <c r="S18"/>
      <c r="T18"/>
      <c r="U18" s="2"/>
      <c r="V18" s="3" t="s">
        <v>292</v>
      </c>
      <c r="W18" s="1" t="s">
        <v>50</v>
      </c>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c r="BU18" s="2"/>
      <c r="BV18" s="2"/>
      <c r="BW18" s="2"/>
      <c r="BX18" s="2"/>
      <c r="BY18" s="2"/>
      <c r="BZ18" s="2"/>
      <c r="CA18" s="2"/>
      <c r="CB18" s="2"/>
      <c r="CC18" s="2"/>
      <c r="CD18" s="2"/>
      <c r="CE18" s="2"/>
      <c r="CF18" s="2"/>
      <c r="CG18" s="2"/>
      <c r="CH18" s="2"/>
      <c r="CI18" s="2"/>
      <c r="CJ18" s="2"/>
      <c r="CK18" s="2"/>
      <c r="CL18" s="2"/>
      <c r="CM18" s="2"/>
      <c r="CN18" s="2"/>
      <c r="CO18" s="2"/>
      <c r="CP18" s="2"/>
      <c r="CQ18" s="2"/>
      <c r="CR18" s="2"/>
      <c r="CS18" s="2"/>
      <c r="CT18" s="2"/>
      <c r="CU18" s="2"/>
      <c r="CV18" s="2"/>
      <c r="CW18" s="2"/>
      <c r="CX18" s="2"/>
      <c r="CY18" s="2"/>
      <c r="CZ18" s="2"/>
    </row>
    <row r="19" spans="1:104" ht="11.25" hidden="1" customHeight="1">
      <c r="A19"/>
      <c r="D19"/>
      <c r="E19"/>
      <c r="G19"/>
      <c r="H19"/>
      <c r="I19"/>
      <c r="J19"/>
      <c r="K19" s="44"/>
      <c r="L19"/>
      <c r="M19"/>
      <c r="N19"/>
      <c r="O19"/>
      <c r="P19"/>
      <c r="Q19"/>
      <c r="R19"/>
      <c r="S19"/>
      <c r="T19"/>
      <c r="U19" s="2">
        <v>2</v>
      </c>
      <c r="V19" s="8" t="str">
        <f>IF(ISNUMBER(SMALL(記入日範囲,Z17+1)), SMALL(記入日範囲,Z17+1), " ")</f>
        <v xml:space="preserve"> </v>
      </c>
      <c r="W19" s="2"/>
      <c r="X19" s="2">
        <f>IF(ISNUMBER(DCOUNTA(査読範囲,W18,V18:V19)), DCOUNTA(査読範囲,W18,V18:V19), 0)</f>
        <v>0</v>
      </c>
      <c r="Y19" s="2">
        <f>IF(ISNUMBER(DCOUNTA(査読範囲,V18,V18:V19)), DCOUNTA(査読範囲,V18,V18:V19), 0)</f>
        <v>0</v>
      </c>
      <c r="Z19" s="2">
        <f>Z17+Y19</f>
        <v>0</v>
      </c>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c r="BA19" s="2"/>
      <c r="BB19" s="2"/>
      <c r="BC19" s="2"/>
      <c r="BD19" s="2"/>
      <c r="BE19" s="2"/>
      <c r="BF19" s="2"/>
      <c r="BG19" s="2"/>
      <c r="BH19" s="2"/>
      <c r="BI19" s="2"/>
      <c r="BJ19" s="2"/>
      <c r="BK19" s="2"/>
      <c r="BL19" s="2"/>
      <c r="BM19" s="2"/>
      <c r="BN19" s="2"/>
      <c r="BO19" s="2"/>
      <c r="BP19" s="2"/>
      <c r="BQ19" s="2"/>
      <c r="BR19" s="2"/>
      <c r="BS19" s="2"/>
      <c r="BT19" s="2"/>
      <c r="BU19" s="2"/>
      <c r="BV19" s="2"/>
      <c r="BW19" s="2"/>
      <c r="BX19" s="2"/>
      <c r="BY19" s="2"/>
      <c r="BZ19" s="2"/>
      <c r="CA19" s="2"/>
      <c r="CB19" s="2"/>
      <c r="CC19" s="2"/>
      <c r="CD19" s="2"/>
      <c r="CE19" s="2"/>
      <c r="CF19" s="2"/>
      <c r="CG19" s="2"/>
      <c r="CH19" s="2"/>
      <c r="CI19" s="2"/>
      <c r="CJ19" s="2"/>
      <c r="CK19" s="2"/>
      <c r="CL19" s="2"/>
      <c r="CM19" s="2"/>
      <c r="CN19" s="2"/>
      <c r="CO19" s="2"/>
      <c r="CP19" s="2"/>
      <c r="CQ19" s="2"/>
      <c r="CR19" s="2"/>
      <c r="CS19" s="2"/>
      <c r="CT19" s="2"/>
      <c r="CU19" s="2"/>
      <c r="CV19" s="2"/>
      <c r="CW19" s="2"/>
      <c r="CX19" s="2"/>
      <c r="CY19" s="2"/>
      <c r="CZ19" s="2"/>
    </row>
    <row r="20" spans="1:104" ht="11.25" hidden="1" customHeight="1">
      <c r="A20"/>
      <c r="D20"/>
      <c r="E20"/>
      <c r="G20"/>
      <c r="H20"/>
      <c r="I20"/>
      <c r="J20"/>
      <c r="K20" s="44"/>
      <c r="L20"/>
      <c r="M20"/>
      <c r="N20"/>
      <c r="O20"/>
      <c r="P20"/>
      <c r="Q20"/>
      <c r="R20"/>
      <c r="S20"/>
      <c r="T20"/>
      <c r="U20" s="2"/>
      <c r="V20" s="3" t="s">
        <v>292</v>
      </c>
      <c r="W20" s="1" t="s">
        <v>50</v>
      </c>
      <c r="X20" s="2"/>
      <c r="Y20" s="2"/>
      <c r="Z20" s="2"/>
      <c r="AA20" s="2"/>
      <c r="AB20" s="2"/>
      <c r="AC20" s="2"/>
      <c r="AD20" s="2"/>
      <c r="AE20" s="2"/>
      <c r="AF20" s="2"/>
      <c r="AG20" s="2"/>
      <c r="AH20" s="2"/>
      <c r="AI20" s="2"/>
      <c r="AJ20" s="2"/>
      <c r="AK20" s="2"/>
      <c r="AL20" s="2"/>
      <c r="AM20" s="2"/>
      <c r="AN20" s="2"/>
      <c r="AO20" s="2"/>
      <c r="AP20" s="2"/>
      <c r="AQ20" s="2"/>
      <c r="AR20" s="2"/>
      <c r="AS20" s="2"/>
      <c r="AT20" s="2"/>
      <c r="AU20" s="2"/>
      <c r="AV20" s="2"/>
      <c r="AW20" s="2"/>
      <c r="AX20" s="2"/>
      <c r="AY20" s="2"/>
      <c r="AZ20" s="2"/>
      <c r="BA20" s="2"/>
      <c r="BB20" s="2"/>
      <c r="BC20" s="2"/>
      <c r="BD20" s="2"/>
      <c r="BE20" s="2"/>
      <c r="BF20" s="2"/>
      <c r="BG20" s="2"/>
      <c r="BH20" s="2"/>
      <c r="BI20" s="2"/>
      <c r="BJ20" s="2"/>
      <c r="BK20" s="2"/>
      <c r="BL20" s="2"/>
      <c r="BM20" s="2"/>
      <c r="BN20" s="2"/>
      <c r="BO20" s="2"/>
      <c r="BP20" s="2"/>
      <c r="BQ20" s="2"/>
      <c r="BR20" s="2"/>
      <c r="BS20" s="2"/>
      <c r="BT20" s="2"/>
      <c r="BU20" s="2"/>
      <c r="BV20" s="2"/>
      <c r="BW20" s="2"/>
      <c r="BX20" s="2"/>
      <c r="BY20" s="2"/>
      <c r="BZ20" s="2"/>
      <c r="CA20" s="2"/>
      <c r="CB20" s="2"/>
      <c r="CC20" s="2"/>
      <c r="CD20" s="2"/>
      <c r="CE20" s="2"/>
      <c r="CF20" s="2"/>
      <c r="CG20" s="2"/>
      <c r="CH20" s="2"/>
      <c r="CI20" s="2"/>
      <c r="CJ20" s="2"/>
      <c r="CK20" s="2"/>
      <c r="CL20" s="2"/>
      <c r="CM20" s="2"/>
      <c r="CN20" s="2"/>
      <c r="CO20" s="2"/>
      <c r="CP20" s="2"/>
      <c r="CQ20" s="2"/>
      <c r="CR20" s="2"/>
      <c r="CS20" s="2"/>
      <c r="CT20" s="2"/>
      <c r="CU20" s="2"/>
      <c r="CV20" s="2"/>
      <c r="CW20" s="2"/>
      <c r="CX20" s="2"/>
      <c r="CY20" s="2"/>
      <c r="CZ20" s="2"/>
    </row>
    <row r="21" spans="1:104" ht="11.25" hidden="1" customHeight="1">
      <c r="A21"/>
      <c r="D21"/>
      <c r="E21"/>
      <c r="G21"/>
      <c r="H21"/>
      <c r="I21"/>
      <c r="J21"/>
      <c r="K21" s="44"/>
      <c r="L21"/>
      <c r="M21"/>
      <c r="N21"/>
      <c r="O21"/>
      <c r="P21"/>
      <c r="Q21"/>
      <c r="R21"/>
      <c r="S21"/>
      <c r="T21"/>
      <c r="U21" s="2">
        <v>3</v>
      </c>
      <c r="V21" s="8" t="str">
        <f>IF(ISNUMBER(SMALL(記入日範囲,Z19+1)), SMALL(記入日範囲,Z19+1), " ")</f>
        <v xml:space="preserve"> </v>
      </c>
      <c r="W21" s="2"/>
      <c r="X21" s="2">
        <f>IF(ISNUMBER(DCOUNTA(査読範囲,W20,V20:V21)), DCOUNTA(査読範囲,W20,V20:V21), 0)</f>
        <v>0</v>
      </c>
      <c r="Y21" s="2">
        <f>IF(ISNUMBER(DCOUNTA(査読範囲,V20,V20:V21)), DCOUNTA(査読範囲,V20,V20:V21), 0)</f>
        <v>0</v>
      </c>
      <c r="Z21" s="2">
        <f>Z19+Y21</f>
        <v>0</v>
      </c>
      <c r="AA21" s="2"/>
      <c r="AB21" s="2"/>
      <c r="AC21" s="2"/>
      <c r="AD21" s="2"/>
      <c r="AE21" s="2"/>
      <c r="AF21" s="2"/>
      <c r="AG21" s="2"/>
      <c r="AH21" s="2"/>
      <c r="AI21" s="2"/>
      <c r="AJ21" s="2"/>
      <c r="AK21" s="2"/>
      <c r="AL21" s="2"/>
      <c r="AM21" s="2"/>
      <c r="AN21" s="2"/>
      <c r="AO21" s="2"/>
      <c r="AP21" s="2"/>
      <c r="AQ21" s="2"/>
      <c r="AR21" s="2"/>
      <c r="AS21" s="2"/>
      <c r="AT21" s="2"/>
      <c r="AU21" s="2"/>
      <c r="AV21" s="2"/>
      <c r="AW21" s="2"/>
      <c r="AX21" s="2"/>
      <c r="AY21" s="2"/>
      <c r="AZ21" s="2"/>
      <c r="BA21" s="2"/>
      <c r="BB21" s="2"/>
      <c r="BC21" s="2"/>
      <c r="BD21" s="2"/>
      <c r="BE21" s="2"/>
      <c r="BF21" s="2"/>
      <c r="BG21" s="2"/>
      <c r="BH21" s="2"/>
      <c r="BI21" s="2"/>
      <c r="BJ21" s="2"/>
      <c r="BK21" s="2"/>
      <c r="BL21" s="2"/>
      <c r="BM21" s="2"/>
      <c r="BN21" s="2"/>
      <c r="BO21" s="2"/>
      <c r="BP21" s="2"/>
      <c r="BQ21" s="2"/>
      <c r="BR21" s="2"/>
      <c r="BS21" s="2"/>
      <c r="BT21" s="2"/>
      <c r="BU21" s="2"/>
      <c r="BV21" s="2"/>
      <c r="BW21" s="2"/>
      <c r="BX21" s="2"/>
      <c r="BY21" s="2"/>
      <c r="BZ21" s="2"/>
      <c r="CA21" s="2"/>
      <c r="CB21" s="2"/>
      <c r="CC21" s="2"/>
      <c r="CD21" s="2"/>
      <c r="CE21" s="2"/>
      <c r="CF21" s="2"/>
      <c r="CG21" s="2"/>
      <c r="CH21" s="2"/>
      <c r="CI21" s="2"/>
      <c r="CJ21" s="2"/>
      <c r="CK21" s="2"/>
      <c r="CL21" s="2"/>
      <c r="CM21" s="2"/>
      <c r="CN21" s="2"/>
      <c r="CO21" s="2"/>
      <c r="CP21" s="2"/>
      <c r="CQ21" s="2"/>
      <c r="CR21" s="2"/>
      <c r="CS21" s="2"/>
      <c r="CT21" s="2"/>
      <c r="CU21" s="2"/>
      <c r="CV21" s="2"/>
      <c r="CW21" s="2"/>
      <c r="CX21" s="2"/>
      <c r="CY21" s="2"/>
      <c r="CZ21" s="2"/>
    </row>
    <row r="22" spans="1:104" ht="11.25" hidden="1" customHeight="1">
      <c r="A22"/>
      <c r="D22"/>
      <c r="E22"/>
      <c r="G22"/>
      <c r="H22"/>
      <c r="I22"/>
      <c r="J22"/>
      <c r="K22" s="44"/>
      <c r="L22"/>
      <c r="M22"/>
      <c r="N22"/>
      <c r="O22"/>
      <c r="P22"/>
      <c r="Q22"/>
      <c r="R22"/>
      <c r="S22"/>
      <c r="T22"/>
      <c r="U22" s="2"/>
      <c r="V22" s="3" t="s">
        <v>292</v>
      </c>
      <c r="W22" s="1" t="s">
        <v>50</v>
      </c>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2"/>
      <c r="BA22" s="2"/>
      <c r="BB22" s="2"/>
      <c r="BC22" s="2"/>
      <c r="BD22" s="2"/>
      <c r="BE22" s="2"/>
      <c r="BF22" s="2"/>
      <c r="BG22" s="2"/>
      <c r="BH22" s="2"/>
      <c r="BI22" s="2"/>
      <c r="BJ22" s="2"/>
      <c r="BK22" s="2"/>
      <c r="BL22" s="2"/>
      <c r="BM22" s="2"/>
      <c r="BN22" s="2"/>
      <c r="BO22" s="2"/>
      <c r="BP22" s="2"/>
      <c r="BQ22" s="2"/>
      <c r="BR22" s="2"/>
      <c r="BS22" s="2"/>
      <c r="BT22" s="2"/>
      <c r="BU22" s="2"/>
      <c r="BV22" s="2"/>
      <c r="BW22" s="2"/>
      <c r="BX22" s="2"/>
      <c r="BY22" s="2"/>
      <c r="BZ22" s="2"/>
      <c r="CA22" s="2"/>
      <c r="CB22" s="2"/>
      <c r="CC22" s="2"/>
      <c r="CD22" s="2"/>
      <c r="CE22" s="2"/>
      <c r="CF22" s="2"/>
      <c r="CG22" s="2"/>
      <c r="CH22" s="2"/>
      <c r="CI22" s="2"/>
      <c r="CJ22" s="2"/>
      <c r="CK22" s="2"/>
      <c r="CL22" s="2"/>
      <c r="CM22" s="2"/>
      <c r="CN22" s="2"/>
      <c r="CO22" s="2"/>
      <c r="CP22" s="2"/>
      <c r="CQ22" s="2"/>
      <c r="CR22" s="2"/>
      <c r="CS22" s="2"/>
      <c r="CT22" s="2"/>
      <c r="CU22" s="2"/>
      <c r="CV22" s="2"/>
      <c r="CW22" s="2"/>
      <c r="CX22" s="2"/>
      <c r="CY22" s="2"/>
      <c r="CZ22" s="2"/>
    </row>
    <row r="23" spans="1:104" ht="11.25" hidden="1" customHeight="1">
      <c r="A23"/>
      <c r="D23"/>
      <c r="E23"/>
      <c r="G23"/>
      <c r="H23"/>
      <c r="I23"/>
      <c r="J23"/>
      <c r="K23" s="44"/>
      <c r="L23"/>
      <c r="M23"/>
      <c r="N23"/>
      <c r="O23"/>
      <c r="P23"/>
      <c r="Q23"/>
      <c r="R23"/>
      <c r="S23"/>
      <c r="T23"/>
      <c r="U23" s="2">
        <v>4</v>
      </c>
      <c r="V23" s="8" t="str">
        <f>IF(ISNUMBER(SMALL(記入日範囲,Z21+1)), SMALL(記入日範囲,Z21+1), " ")</f>
        <v xml:space="preserve"> </v>
      </c>
      <c r="W23" s="2"/>
      <c r="X23" s="2">
        <f>IF(ISNUMBER(DCOUNTA(査読範囲,W22,V22:V23)), DCOUNTA(査読範囲,W22,V22:V23), 0)</f>
        <v>0</v>
      </c>
      <c r="Y23" s="2">
        <f>IF(ISNUMBER(DCOUNTA(査読範囲,V22,V22:V23)), DCOUNTA(査読範囲,V22,V22:V23), 0)</f>
        <v>0</v>
      </c>
      <c r="Z23" s="2">
        <f>Z21+Y23</f>
        <v>0</v>
      </c>
      <c r="AA23" s="2"/>
      <c r="AB23" s="2"/>
      <c r="AC23" s="2"/>
      <c r="AD23" s="2"/>
      <c r="AE23" s="2"/>
      <c r="AF23" s="2"/>
      <c r="AG23" s="2"/>
      <c r="AH23" s="2"/>
      <c r="AI23" s="2"/>
      <c r="AJ23" s="2"/>
      <c r="AK23" s="2"/>
      <c r="AL23" s="2"/>
      <c r="AM23" s="2"/>
      <c r="AN23" s="2"/>
      <c r="AO23" s="2"/>
      <c r="AP23" s="2"/>
      <c r="AQ23" s="2"/>
      <c r="AR23" s="2"/>
      <c r="AS23" s="2"/>
      <c r="AT23" s="2"/>
      <c r="AU23" s="2"/>
      <c r="AV23" s="2"/>
      <c r="AW23" s="2"/>
      <c r="AX23" s="2"/>
      <c r="AY23" s="2"/>
      <c r="AZ23" s="2"/>
      <c r="BA23" s="2"/>
      <c r="BB23" s="2"/>
      <c r="BC23" s="2"/>
      <c r="BD23" s="2"/>
      <c r="BE23" s="2"/>
      <c r="BF23" s="2"/>
      <c r="BG23" s="2"/>
      <c r="BH23" s="2"/>
      <c r="BI23" s="2"/>
      <c r="BJ23" s="2"/>
      <c r="BK23" s="2"/>
      <c r="BL23" s="2"/>
      <c r="BM23" s="2"/>
      <c r="BN23" s="2"/>
      <c r="BO23" s="2"/>
      <c r="BP23" s="2"/>
      <c r="BQ23" s="2"/>
      <c r="BR23" s="2"/>
      <c r="BS23" s="2"/>
      <c r="BT23" s="2"/>
      <c r="BU23" s="2"/>
      <c r="BV23" s="2"/>
      <c r="BW23" s="2"/>
      <c r="BX23" s="2"/>
      <c r="BY23" s="2"/>
      <c r="BZ23" s="2"/>
      <c r="CA23" s="2"/>
      <c r="CB23" s="2"/>
      <c r="CC23" s="2"/>
      <c r="CD23" s="2"/>
      <c r="CE23" s="2"/>
      <c r="CF23" s="2"/>
      <c r="CG23" s="2"/>
      <c r="CH23" s="2"/>
      <c r="CI23" s="2"/>
      <c r="CJ23" s="2"/>
      <c r="CK23" s="2"/>
      <c r="CL23" s="2"/>
      <c r="CM23" s="2"/>
      <c r="CN23" s="2"/>
      <c r="CO23" s="2"/>
      <c r="CP23" s="2"/>
      <c r="CQ23" s="2"/>
      <c r="CR23" s="2"/>
      <c r="CS23" s="2"/>
      <c r="CT23" s="2"/>
      <c r="CU23" s="2"/>
      <c r="CV23" s="2"/>
      <c r="CW23" s="2"/>
      <c r="CX23" s="2"/>
      <c r="CY23" s="2"/>
      <c r="CZ23" s="2"/>
    </row>
    <row r="24" spans="1:104" ht="11.25" hidden="1" customHeight="1">
      <c r="A24"/>
      <c r="D24"/>
      <c r="E24"/>
      <c r="G24"/>
      <c r="H24"/>
      <c r="I24"/>
      <c r="J24"/>
      <c r="K24" s="44"/>
      <c r="L24"/>
      <c r="M24"/>
      <c r="N24"/>
      <c r="O24"/>
      <c r="P24"/>
      <c r="Q24"/>
      <c r="R24"/>
      <c r="S24"/>
      <c r="T24"/>
      <c r="U24" s="2"/>
      <c r="V24" s="3" t="s">
        <v>292</v>
      </c>
      <c r="W24" s="1" t="s">
        <v>50</v>
      </c>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c r="BA24" s="2"/>
      <c r="BB24" s="2"/>
      <c r="BC24" s="2"/>
      <c r="BD24" s="2"/>
      <c r="BE24" s="2"/>
      <c r="BF24" s="2"/>
      <c r="BG24" s="2"/>
      <c r="BH24" s="2"/>
      <c r="BI24" s="2"/>
      <c r="BJ24" s="2"/>
      <c r="BK24" s="2"/>
      <c r="BL24" s="2"/>
      <c r="BM24" s="2"/>
      <c r="BN24" s="2"/>
      <c r="BO24" s="2"/>
      <c r="BP24" s="2"/>
      <c r="BQ24" s="2"/>
      <c r="BR24" s="2"/>
      <c r="BS24" s="2"/>
      <c r="BT24" s="2"/>
      <c r="BU24" s="2"/>
      <c r="BV24" s="2"/>
      <c r="BW24" s="2"/>
      <c r="BX24" s="2"/>
      <c r="BY24" s="2"/>
      <c r="BZ24" s="2"/>
      <c r="CA24" s="2"/>
      <c r="CB24" s="2"/>
      <c r="CC24" s="2"/>
      <c r="CD24" s="2"/>
      <c r="CE24" s="2"/>
      <c r="CF24" s="2"/>
      <c r="CG24" s="2"/>
      <c r="CH24" s="2"/>
      <c r="CI24" s="2"/>
      <c r="CJ24" s="2"/>
      <c r="CK24" s="2"/>
      <c r="CL24" s="2"/>
      <c r="CM24" s="2"/>
      <c r="CN24" s="2"/>
      <c r="CO24" s="2"/>
      <c r="CP24" s="2"/>
      <c r="CQ24" s="2"/>
      <c r="CR24" s="2"/>
      <c r="CS24" s="2"/>
      <c r="CT24" s="2"/>
      <c r="CU24" s="2"/>
      <c r="CV24" s="2"/>
      <c r="CW24" s="2"/>
      <c r="CX24" s="2"/>
      <c r="CY24" s="2"/>
      <c r="CZ24" s="2"/>
    </row>
    <row r="25" spans="1:104" ht="11.25" hidden="1" customHeight="1">
      <c r="A25"/>
      <c r="C25" s="71"/>
      <c r="D25" s="71"/>
      <c r="E25" s="71"/>
      <c r="F25" s="71"/>
      <c r="G25" s="71"/>
      <c r="H25" s="71"/>
      <c r="I25" s="71"/>
      <c r="J25" s="71"/>
      <c r="K25" s="72"/>
      <c r="L25" s="71"/>
      <c r="M25" s="71"/>
      <c r="N25" s="71"/>
      <c r="O25" s="71"/>
      <c r="P25" s="71"/>
      <c r="Q25" s="71"/>
      <c r="R25" s="71"/>
      <c r="S25" s="71"/>
      <c r="T25" s="71"/>
      <c r="U25" s="2">
        <v>5</v>
      </c>
      <c r="V25" s="8" t="str">
        <f>IF(ISNUMBER(SMALL(記入日範囲,Z23+1)), SMALL(記入日範囲,Z23+1), " ")</f>
        <v xml:space="preserve"> </v>
      </c>
      <c r="W25" s="2"/>
      <c r="X25" s="2">
        <f>IF(ISNUMBER(DCOUNTA(査読範囲,W24,V24:V25)), DCOUNTA(査読範囲,W24,V24:V25), 0)</f>
        <v>0</v>
      </c>
      <c r="Y25" s="2">
        <f>IF(ISNUMBER(DCOUNTA(査読範囲,V24,V24:V25)), DCOUNTA(査読範囲,V24,V24:V25), 0)</f>
        <v>0</v>
      </c>
      <c r="Z25" s="2">
        <f>Z23+Y25</f>
        <v>0</v>
      </c>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c r="BA25" s="2"/>
      <c r="BB25" s="2"/>
      <c r="BC25" s="2"/>
      <c r="BD25" s="2"/>
      <c r="BE25" s="2"/>
      <c r="BF25" s="2"/>
      <c r="BG25" s="2"/>
      <c r="BH25" s="2"/>
      <c r="BI25" s="2"/>
      <c r="BJ25" s="2"/>
      <c r="BK25" s="2"/>
      <c r="BL25" s="2"/>
      <c r="BM25" s="2"/>
      <c r="BN25" s="2"/>
      <c r="BO25" s="2"/>
      <c r="BP25" s="2"/>
      <c r="BQ25" s="2"/>
      <c r="BR25" s="2"/>
      <c r="BS25" s="2"/>
      <c r="BT25" s="2"/>
      <c r="BU25" s="2"/>
      <c r="BV25" s="2"/>
      <c r="BW25" s="2"/>
      <c r="BX25" s="2"/>
      <c r="BY25" s="2"/>
      <c r="BZ25" s="2"/>
      <c r="CA25" s="2"/>
      <c r="CB25" s="2"/>
      <c r="CC25" s="2"/>
      <c r="CD25" s="2"/>
      <c r="CE25" s="2"/>
      <c r="CF25" s="2"/>
      <c r="CG25" s="2"/>
      <c r="CH25" s="2"/>
      <c r="CI25" s="2"/>
      <c r="CJ25" s="2"/>
      <c r="CK25" s="2"/>
      <c r="CL25" s="2"/>
      <c r="CM25" s="2"/>
      <c r="CN25" s="2"/>
      <c r="CO25" s="2"/>
      <c r="CP25" s="2"/>
      <c r="CQ25" s="2"/>
      <c r="CR25" s="2"/>
      <c r="CS25" s="2"/>
      <c r="CT25" s="2"/>
      <c r="CU25" s="2"/>
      <c r="CV25" s="2"/>
      <c r="CW25" s="2"/>
      <c r="CX25" s="2"/>
      <c r="CY25" s="2"/>
      <c r="CZ25" s="2"/>
    </row>
    <row r="26" spans="1:104" ht="11.25" hidden="1" customHeight="1">
      <c r="A26"/>
      <c r="C26" s="74" t="s">
        <v>296</v>
      </c>
      <c r="D26"/>
      <c r="E26"/>
      <c r="G26"/>
      <c r="H26"/>
      <c r="I26"/>
      <c r="J26"/>
      <c r="K26" s="44"/>
      <c r="L26"/>
      <c r="M26"/>
      <c r="N26"/>
      <c r="O26"/>
      <c r="P26"/>
      <c r="Q26"/>
      <c r="R26"/>
      <c r="S26"/>
      <c r="T26"/>
      <c r="U26" s="2"/>
      <c r="V26" s="3" t="s">
        <v>292</v>
      </c>
      <c r="W26" s="1" t="s">
        <v>50</v>
      </c>
      <c r="X26" s="2"/>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c r="AY26" s="2"/>
      <c r="AZ26" s="2"/>
      <c r="BA26" s="2"/>
      <c r="BB26" s="2"/>
      <c r="BC26" s="2"/>
      <c r="BD26" s="2"/>
      <c r="BE26" s="2"/>
      <c r="BF26" s="2"/>
      <c r="BG26" s="2"/>
      <c r="BH26" s="2"/>
      <c r="BI26" s="2"/>
      <c r="BJ26" s="2"/>
      <c r="BK26" s="2"/>
      <c r="BL26" s="2"/>
      <c r="BM26" s="2"/>
      <c r="BN26" s="2"/>
      <c r="BO26" s="2"/>
      <c r="BP26" s="2"/>
      <c r="BQ26" s="2"/>
      <c r="BR26" s="2"/>
      <c r="BS26" s="2"/>
      <c r="BT26" s="2"/>
      <c r="BU26" s="2"/>
      <c r="BV26" s="2"/>
      <c r="BW26" s="2"/>
      <c r="BX26" s="2"/>
      <c r="BY26" s="2"/>
      <c r="BZ26" s="2"/>
      <c r="CA26" s="2"/>
      <c r="CB26" s="2"/>
      <c r="CC26" s="2"/>
      <c r="CD26" s="2"/>
      <c r="CE26" s="2"/>
      <c r="CF26" s="2"/>
      <c r="CG26" s="2"/>
      <c r="CH26" s="2"/>
      <c r="CI26" s="2"/>
      <c r="CJ26" s="2"/>
      <c r="CK26" s="2"/>
      <c r="CL26" s="2"/>
      <c r="CM26" s="2"/>
      <c r="CN26" s="2"/>
      <c r="CO26" s="2"/>
      <c r="CP26" s="2"/>
      <c r="CQ26" s="2"/>
      <c r="CR26" s="2"/>
      <c r="CS26" s="2"/>
      <c r="CT26" s="2"/>
      <c r="CU26" s="2"/>
      <c r="CV26" s="2"/>
      <c r="CW26" s="2"/>
      <c r="CX26" s="2"/>
      <c r="CY26" s="2"/>
      <c r="CZ26" s="2"/>
    </row>
    <row r="27" spans="1:104" ht="11.25" hidden="1" customHeight="1">
      <c r="A27"/>
      <c r="C27" s="73" t="s">
        <v>297</v>
      </c>
      <c r="D27"/>
      <c r="E27"/>
      <c r="G27"/>
      <c r="H27"/>
      <c r="I27"/>
      <c r="J27"/>
      <c r="K27" s="44"/>
      <c r="L27"/>
      <c r="M27"/>
      <c r="N27"/>
      <c r="O27"/>
      <c r="P27"/>
      <c r="Q27"/>
      <c r="R27"/>
      <c r="S27"/>
      <c r="T27"/>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c r="AY27" s="2"/>
      <c r="AZ27" s="2"/>
      <c r="BA27" s="2"/>
      <c r="BB27" s="2"/>
      <c r="BC27" s="2"/>
      <c r="BD27" s="2"/>
      <c r="BE27" s="2"/>
      <c r="BF27" s="2"/>
      <c r="BG27" s="2"/>
      <c r="BH27" s="2"/>
      <c r="BI27" s="2"/>
      <c r="BJ27" s="2"/>
      <c r="BK27" s="2"/>
      <c r="BL27" s="2"/>
      <c r="BM27" s="2"/>
      <c r="BN27" s="2"/>
      <c r="BO27" s="2"/>
      <c r="BP27" s="2"/>
      <c r="BQ27" s="2"/>
      <c r="BR27" s="2"/>
      <c r="BS27" s="2"/>
      <c r="BT27" s="2"/>
      <c r="BU27" s="2"/>
      <c r="BV27" s="2"/>
      <c r="BW27" s="2"/>
      <c r="BX27" s="2"/>
      <c r="BY27" s="2"/>
      <c r="BZ27" s="2"/>
      <c r="CA27" s="2"/>
      <c r="CB27" s="2"/>
      <c r="CC27" s="2"/>
      <c r="CD27" s="2"/>
      <c r="CE27" s="2"/>
      <c r="CF27" s="2"/>
      <c r="CG27" s="2"/>
      <c r="CH27" s="2"/>
      <c r="CI27" s="2"/>
      <c r="CJ27" s="2"/>
      <c r="CK27" s="2"/>
      <c r="CL27" s="2"/>
      <c r="CM27" s="2"/>
      <c r="CN27" s="2"/>
      <c r="CO27" s="2"/>
      <c r="CP27" s="2"/>
      <c r="CQ27" s="2"/>
      <c r="CR27" s="2"/>
      <c r="CS27" s="2"/>
      <c r="CT27" s="2"/>
      <c r="CU27" s="2"/>
      <c r="CV27" s="2"/>
      <c r="CW27" s="2"/>
      <c r="CX27" s="2"/>
      <c r="CY27" s="2"/>
      <c r="CZ27" s="2"/>
    </row>
    <row r="28" spans="1:104" ht="11.25" hidden="1" customHeight="1">
      <c r="A28"/>
      <c r="D28"/>
      <c r="E28"/>
      <c r="G28"/>
      <c r="H28"/>
      <c r="I28"/>
      <c r="J28"/>
      <c r="K28" s="44"/>
      <c r="L28"/>
      <c r="M28"/>
      <c r="N28"/>
      <c r="O28"/>
      <c r="P28"/>
      <c r="Q28"/>
      <c r="R28"/>
      <c r="S28"/>
      <c r="T28"/>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c r="AU28" s="2"/>
      <c r="AV28" s="2"/>
      <c r="AW28" s="2"/>
      <c r="AX28" s="2"/>
      <c r="AY28" s="2"/>
      <c r="AZ28" s="2"/>
      <c r="BA28" s="2"/>
      <c r="BB28" s="2"/>
      <c r="BC28" s="2"/>
      <c r="BD28" s="2"/>
      <c r="BE28" s="2"/>
      <c r="BF28" s="2"/>
      <c r="BG28" s="2"/>
      <c r="BH28" s="2"/>
      <c r="BI28" s="2"/>
      <c r="BJ28" s="2"/>
      <c r="BK28" s="2"/>
      <c r="BL28" s="2"/>
      <c r="BM28" s="2"/>
      <c r="BN28" s="2"/>
      <c r="BO28" s="2"/>
      <c r="BP28" s="2"/>
      <c r="BQ28" s="2"/>
      <c r="BR28" s="2"/>
      <c r="BS28" s="2"/>
      <c r="BT28" s="2"/>
      <c r="BU28" s="2"/>
      <c r="BV28" s="2"/>
      <c r="BW28" s="2"/>
      <c r="BX28" s="2"/>
      <c r="BY28" s="2"/>
      <c r="BZ28" s="2"/>
      <c r="CA28" s="2"/>
      <c r="CB28" s="2"/>
      <c r="CC28" s="2"/>
      <c r="CD28" s="2"/>
      <c r="CE28" s="2"/>
      <c r="CF28" s="2"/>
      <c r="CG28" s="2"/>
      <c r="CH28" s="2"/>
      <c r="CI28" s="2"/>
      <c r="CJ28" s="2"/>
      <c r="CK28" s="2"/>
      <c r="CL28" s="2"/>
      <c r="CM28" s="2"/>
      <c r="CN28" s="2"/>
      <c r="CO28" s="2"/>
      <c r="CP28" s="2"/>
      <c r="CQ28" s="2"/>
      <c r="CR28" s="2"/>
      <c r="CS28" s="2"/>
      <c r="CT28" s="2"/>
      <c r="CU28" s="2"/>
      <c r="CV28" s="2"/>
      <c r="CW28" s="2"/>
      <c r="CX28" s="2"/>
      <c r="CY28" s="2"/>
      <c r="CZ28" s="2"/>
    </row>
    <row r="29" spans="1:104" ht="11.25" hidden="1" customHeight="1">
      <c r="A29"/>
      <c r="D29"/>
      <c r="E29"/>
      <c r="G29"/>
      <c r="H29"/>
      <c r="I29"/>
      <c r="J29"/>
      <c r="K29" s="44"/>
      <c r="L29"/>
      <c r="M29"/>
      <c r="N29"/>
      <c r="O29"/>
      <c r="P29"/>
      <c r="Q29"/>
      <c r="R29"/>
      <c r="S29"/>
      <c r="T29"/>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2"/>
      <c r="BA29" s="2"/>
      <c r="BB29" s="2"/>
      <c r="BC29" s="2"/>
      <c r="BD29" s="2"/>
      <c r="BE29" s="2"/>
      <c r="BF29" s="2"/>
      <c r="BG29" s="2"/>
      <c r="BH29" s="2"/>
      <c r="BI29" s="2"/>
      <c r="BJ29" s="2"/>
      <c r="BK29" s="2"/>
      <c r="BL29" s="2"/>
      <c r="BM29" s="2"/>
      <c r="BN29" s="2"/>
      <c r="BO29" s="2"/>
      <c r="BP29" s="2"/>
      <c r="BQ29" s="2"/>
      <c r="BR29" s="2"/>
      <c r="BS29" s="2"/>
      <c r="BT29" s="2"/>
      <c r="BU29" s="2"/>
      <c r="BV29" s="2"/>
      <c r="BW29" s="2"/>
      <c r="BX29" s="2"/>
      <c r="BY29" s="2"/>
      <c r="BZ29" s="2"/>
      <c r="CA29" s="2"/>
      <c r="CB29" s="2"/>
      <c r="CC29" s="2"/>
      <c r="CD29" s="2"/>
      <c r="CE29" s="2"/>
      <c r="CF29" s="2"/>
      <c r="CG29" s="2"/>
      <c r="CH29" s="2"/>
      <c r="CI29" s="2"/>
      <c r="CJ29" s="2"/>
      <c r="CK29" s="2"/>
      <c r="CL29" s="2"/>
      <c r="CM29" s="2"/>
      <c r="CN29" s="2"/>
      <c r="CO29" s="2"/>
      <c r="CP29" s="2"/>
      <c r="CQ29" s="2"/>
      <c r="CR29" s="2"/>
      <c r="CS29" s="2"/>
      <c r="CT29" s="2"/>
      <c r="CU29" s="2"/>
      <c r="CV29" s="2"/>
      <c r="CW29" s="2"/>
      <c r="CX29" s="2"/>
      <c r="CY29" s="2"/>
      <c r="CZ29" s="2"/>
    </row>
    <row r="30" spans="1:104" ht="11.25" hidden="1" customHeight="1" thickBot="1">
      <c r="A30" s="43"/>
      <c r="B30" s="43"/>
      <c r="C30" s="43"/>
      <c r="D30" s="43"/>
      <c r="E30" s="43"/>
      <c r="F30" s="43"/>
      <c r="G30" s="43"/>
      <c r="H30" s="43"/>
      <c r="I30" s="43"/>
      <c r="J30" s="43"/>
      <c r="K30" s="45"/>
      <c r="L30" s="43"/>
      <c r="M30" s="43"/>
      <c r="N30" s="43"/>
      <c r="O30" s="43"/>
      <c r="P30" s="43"/>
      <c r="Q30" s="43"/>
      <c r="R30" s="43"/>
      <c r="S30" s="43"/>
      <c r="T30" s="43"/>
      <c r="U30" s="42"/>
      <c r="V30" s="43"/>
      <c r="W30" s="43"/>
      <c r="X30" s="42"/>
      <c r="Y30" s="43"/>
      <c r="Z30" s="42"/>
      <c r="AA30" s="42"/>
      <c r="AB30" s="42"/>
      <c r="AC30" s="42"/>
    </row>
    <row r="31" spans="1:104" ht="18" customHeight="1">
      <c r="A31"/>
      <c r="C31" s="117"/>
      <c r="D31" s="118" t="s">
        <v>298</v>
      </c>
      <c r="E31" s="118"/>
      <c r="F31" s="117"/>
      <c r="G31" s="119"/>
      <c r="H31" s="119"/>
    </row>
    <row r="32" spans="1:104" ht="6.75" customHeight="1" thickBot="1">
      <c r="C32" s="498"/>
      <c r="D32" s="499"/>
      <c r="E32" s="499"/>
      <c r="F32" s="499"/>
      <c r="G32" s="499"/>
      <c r="H32" s="119"/>
    </row>
    <row r="33" spans="1:24" ht="15.75" customHeight="1">
      <c r="A33" s="65" t="s">
        <v>299</v>
      </c>
      <c r="D33"/>
      <c r="E33"/>
      <c r="G33"/>
      <c r="H33"/>
      <c r="I33"/>
      <c r="J33" s="508" t="s">
        <v>300</v>
      </c>
      <c r="K33" s="509"/>
      <c r="L33" s="107"/>
      <c r="M33" s="107"/>
      <c r="N33" s="107"/>
      <c r="O33" s="107"/>
      <c r="P33" s="107"/>
      <c r="Q33" s="107"/>
      <c r="R33" s="107"/>
      <c r="S33" s="107"/>
      <c r="T33" s="107"/>
    </row>
    <row r="34" spans="1:24" ht="15" customHeight="1">
      <c r="A34" s="493"/>
      <c r="B34" s="507"/>
      <c r="C34" s="61" t="s">
        <v>301</v>
      </c>
      <c r="D34" s="49"/>
      <c r="E34" s="49"/>
      <c r="F34" s="2"/>
      <c r="G34" s="49"/>
      <c r="H34" s="49"/>
      <c r="I34" s="49"/>
      <c r="J34" s="501"/>
      <c r="K34" s="502"/>
      <c r="L34" s="63"/>
      <c r="M34" s="63"/>
      <c r="N34" s="63"/>
      <c r="O34" s="63"/>
      <c r="P34" s="63"/>
      <c r="Q34" s="63"/>
      <c r="R34" s="63"/>
      <c r="S34" s="63"/>
      <c r="T34" s="63"/>
    </row>
    <row r="35" spans="1:24" ht="14.25" customHeight="1" thickBot="1">
      <c r="A35" s="493"/>
      <c r="B35" s="494"/>
      <c r="C35" s="61" t="s">
        <v>302</v>
      </c>
      <c r="D35" s="49"/>
      <c r="E35" s="49"/>
      <c r="F35" s="12"/>
      <c r="G35" s="12"/>
      <c r="H35" s="12"/>
      <c r="I35" s="12"/>
      <c r="J35" s="503"/>
      <c r="K35" s="504"/>
      <c r="L35" s="108"/>
      <c r="M35" s="108"/>
      <c r="N35" s="108"/>
      <c r="O35" s="108"/>
      <c r="P35" s="108"/>
      <c r="Q35" s="108"/>
      <c r="R35" s="108"/>
      <c r="S35" s="108"/>
      <c r="T35" s="108"/>
    </row>
    <row r="36" spans="1:24" ht="10.5" customHeight="1">
      <c r="A36" s="13"/>
      <c r="B36" s="13"/>
      <c r="C36" s="61"/>
      <c r="D36" s="49"/>
      <c r="E36" s="49"/>
      <c r="F36" s="2"/>
      <c r="G36" s="49"/>
      <c r="H36" s="49"/>
      <c r="I36" s="49"/>
      <c r="J36" s="49"/>
      <c r="K36" s="49"/>
      <c r="L36" s="49"/>
      <c r="M36" s="49"/>
      <c r="N36" s="49"/>
      <c r="O36" s="49"/>
      <c r="P36" s="49"/>
      <c r="Q36" s="49"/>
      <c r="R36" s="49"/>
      <c r="S36" s="49"/>
      <c r="T36" s="49"/>
    </row>
    <row r="37" spans="1:24" ht="18" customHeight="1">
      <c r="A37" s="490" t="s">
        <v>303</v>
      </c>
      <c r="B37" s="247"/>
      <c r="C37" s="495"/>
      <c r="D37" s="495"/>
      <c r="E37" s="495"/>
      <c r="F37" s="495"/>
      <c r="G37" s="487" t="s">
        <v>304</v>
      </c>
      <c r="H37" s="487"/>
      <c r="I37" s="488"/>
      <c r="J37" s="505"/>
      <c r="K37" s="506"/>
      <c r="L37" s="120"/>
      <c r="M37" s="120"/>
      <c r="N37" s="120"/>
      <c r="O37" s="120"/>
      <c r="P37" s="120"/>
      <c r="Q37" s="120"/>
      <c r="R37" s="120"/>
      <c r="S37" s="120"/>
      <c r="T37" s="120"/>
    </row>
    <row r="38" spans="1:24" ht="23.25" customHeight="1" thickBot="1">
      <c r="A38" s="511" t="s">
        <v>305</v>
      </c>
      <c r="B38" s="512"/>
      <c r="C38" s="510" t="s">
        <v>323</v>
      </c>
      <c r="D38" s="500"/>
      <c r="E38" s="500"/>
      <c r="F38" s="500"/>
      <c r="G38" s="489"/>
      <c r="H38" s="489"/>
      <c r="I38" s="488"/>
      <c r="J38" s="496"/>
      <c r="K38" s="497"/>
      <c r="L38" s="121"/>
      <c r="M38" s="121"/>
      <c r="N38" s="121"/>
      <c r="O38" s="121"/>
      <c r="P38" s="121"/>
      <c r="Q38" s="121"/>
      <c r="R38" s="121"/>
      <c r="S38" s="121"/>
      <c r="T38" s="121"/>
    </row>
    <row r="39" spans="1:24" ht="11.25" customHeight="1">
      <c r="A39" s="62"/>
      <c r="D39"/>
      <c r="E39"/>
      <c r="J39" s="63"/>
      <c r="K39" s="63"/>
      <c r="L39" s="63"/>
      <c r="M39" s="63"/>
      <c r="N39" s="63"/>
      <c r="O39" s="63"/>
      <c r="P39" s="63"/>
      <c r="Q39" s="63"/>
      <c r="R39" s="63"/>
      <c r="S39" s="63"/>
      <c r="T39" s="63"/>
    </row>
    <row r="40" spans="1:24" ht="13.5" customHeight="1">
      <c r="A40" s="62"/>
      <c r="C40" s="78"/>
      <c r="D40" s="79"/>
      <c r="E40" s="79"/>
      <c r="F40" s="80"/>
      <c r="G40" s="81"/>
      <c r="H40" s="81"/>
      <c r="I40" s="50" t="s">
        <v>307</v>
      </c>
      <c r="J40" s="485">
        <f>IF(J37&lt;&gt;0,DCOUNTA(査読範囲,C43,C26:C27)/J37,IF(J38&lt;&gt;0,DCOUNTA(査読範囲,C43,C26:C27)/J38,0))</f>
        <v>0</v>
      </c>
      <c r="K40" s="486"/>
      <c r="L40" s="109"/>
      <c r="M40" s="109"/>
      <c r="N40" s="109"/>
      <c r="O40" s="109"/>
      <c r="P40" s="109"/>
      <c r="Q40" s="109"/>
      <c r="R40" s="109"/>
      <c r="S40" s="109"/>
      <c r="T40" s="109"/>
    </row>
    <row r="41" spans="1:24" ht="16.5" customHeight="1">
      <c r="A41" s="62"/>
      <c r="C41" s="50" t="s">
        <v>120</v>
      </c>
      <c r="D41" s="75"/>
      <c r="E41" s="124"/>
      <c r="F41" s="65" t="s">
        <v>308</v>
      </c>
      <c r="G41"/>
      <c r="H41"/>
      <c r="I41"/>
      <c r="J41"/>
      <c r="K41"/>
      <c r="L41"/>
      <c r="M41"/>
      <c r="N41"/>
      <c r="O41"/>
      <c r="P41"/>
      <c r="Q41"/>
      <c r="R41"/>
      <c r="S41"/>
      <c r="T41"/>
    </row>
    <row r="42" spans="1:24" ht="6" customHeight="1">
      <c r="F42" t="s">
        <v>309</v>
      </c>
    </row>
    <row r="43" spans="1:24" ht="20.25" customHeight="1">
      <c r="A43" s="122" t="s">
        <v>310</v>
      </c>
      <c r="B43" s="145" t="s">
        <v>311</v>
      </c>
      <c r="C43" s="122" t="s">
        <v>312</v>
      </c>
      <c r="D43" s="122" t="s">
        <v>292</v>
      </c>
      <c r="E43" s="125" t="s">
        <v>313</v>
      </c>
      <c r="F43" s="122" t="s">
        <v>314</v>
      </c>
      <c r="G43" s="122" t="s">
        <v>315</v>
      </c>
      <c r="H43" s="125" t="s">
        <v>316</v>
      </c>
      <c r="I43" s="122" t="s">
        <v>50</v>
      </c>
      <c r="J43" s="122" t="s">
        <v>317</v>
      </c>
      <c r="K43" s="122" t="s">
        <v>318</v>
      </c>
      <c r="L43" s="49"/>
      <c r="M43" s="49"/>
      <c r="N43" s="49"/>
      <c r="O43" s="49"/>
      <c r="P43" s="49"/>
      <c r="Q43" s="49"/>
      <c r="R43" s="49"/>
      <c r="S43" s="49"/>
      <c r="T43" s="49"/>
    </row>
    <row r="44" spans="1:24" s="79" customFormat="1">
      <c r="A44" s="128">
        <v>1</v>
      </c>
      <c r="B44" s="160"/>
      <c r="C44" s="154" t="s">
        <v>324</v>
      </c>
      <c r="D44" s="134">
        <v>44991</v>
      </c>
      <c r="E44" s="126" t="s">
        <v>325</v>
      </c>
      <c r="F44" s="155"/>
      <c r="G44" s="139"/>
      <c r="H44" s="130"/>
      <c r="I44" s="131"/>
      <c r="J44" s="142"/>
      <c r="K44" s="129"/>
      <c r="L44" s="132"/>
      <c r="M44" s="132"/>
      <c r="N44" s="132"/>
      <c r="O44" s="132"/>
      <c r="P44" s="132"/>
      <c r="Q44" s="132"/>
      <c r="R44" s="132"/>
      <c r="S44" s="132"/>
      <c r="T44" s="132"/>
    </row>
    <row r="45" spans="1:24" s="79" customFormat="1" ht="48">
      <c r="A45" s="128">
        <f t="shared" ref="A45:A63" si="0">A44+1</f>
        <v>2</v>
      </c>
      <c r="B45" s="161"/>
      <c r="C45" s="154" t="s">
        <v>326</v>
      </c>
      <c r="D45" s="134">
        <v>45007</v>
      </c>
      <c r="E45" s="126" t="s">
        <v>327</v>
      </c>
      <c r="F45" s="155" t="s">
        <v>457</v>
      </c>
      <c r="G45" s="139">
        <v>45026</v>
      </c>
      <c r="H45" s="127" t="s">
        <v>325</v>
      </c>
      <c r="I45" s="131"/>
      <c r="J45" s="142"/>
      <c r="K45" s="129"/>
      <c r="L45" s="132"/>
      <c r="M45" s="132"/>
      <c r="N45" s="132"/>
      <c r="O45" s="132"/>
      <c r="P45" s="132"/>
      <c r="Q45" s="132"/>
      <c r="R45" s="132"/>
      <c r="S45" s="132"/>
      <c r="T45" s="132"/>
      <c r="V45" s="133"/>
    </row>
    <row r="46" spans="1:24" s="79" customFormat="1" ht="24">
      <c r="A46" s="128">
        <f t="shared" si="0"/>
        <v>3</v>
      </c>
      <c r="B46" s="161"/>
      <c r="C46" s="154" t="s">
        <v>328</v>
      </c>
      <c r="D46" s="134">
        <v>45007</v>
      </c>
      <c r="E46" s="126" t="s">
        <v>327</v>
      </c>
      <c r="F46" s="155" t="s">
        <v>457</v>
      </c>
      <c r="G46" s="139">
        <v>45026</v>
      </c>
      <c r="H46" s="127" t="s">
        <v>325</v>
      </c>
      <c r="I46" s="131"/>
      <c r="J46" s="142"/>
      <c r="K46" s="129"/>
      <c r="L46" s="132"/>
      <c r="M46" s="132" t="s">
        <v>329</v>
      </c>
      <c r="N46" s="132"/>
      <c r="O46" s="132"/>
      <c r="P46" s="132"/>
      <c r="Q46" s="132"/>
      <c r="R46" s="132"/>
      <c r="S46" s="132"/>
      <c r="T46" s="132"/>
      <c r="V46" s="133"/>
      <c r="W46" s="133"/>
      <c r="X46" s="133"/>
    </row>
    <row r="47" spans="1:24" s="79" customFormat="1" ht="48">
      <c r="A47" s="128">
        <f t="shared" si="0"/>
        <v>4</v>
      </c>
      <c r="B47" s="160"/>
      <c r="C47" s="154" t="s">
        <v>330</v>
      </c>
      <c r="D47" s="134">
        <v>45007</v>
      </c>
      <c r="E47" s="126" t="s">
        <v>327</v>
      </c>
      <c r="F47" s="155" t="s">
        <v>457</v>
      </c>
      <c r="G47" s="139">
        <v>45026</v>
      </c>
      <c r="H47" s="127" t="s">
        <v>325</v>
      </c>
      <c r="I47" s="131"/>
      <c r="J47" s="142"/>
      <c r="K47" s="129"/>
      <c r="L47" s="132"/>
      <c r="M47" s="132"/>
      <c r="N47" s="132"/>
      <c r="O47" s="132"/>
      <c r="P47" s="132"/>
      <c r="Q47" s="132"/>
      <c r="R47" s="132"/>
      <c r="S47" s="132"/>
      <c r="T47" s="132"/>
      <c r="V47" s="133"/>
      <c r="W47" s="133"/>
      <c r="X47" s="133"/>
    </row>
    <row r="48" spans="1:24" s="79" customFormat="1" ht="36">
      <c r="A48" s="128">
        <f t="shared" si="0"/>
        <v>5</v>
      </c>
      <c r="B48" s="161"/>
      <c r="C48" s="154" t="s">
        <v>331</v>
      </c>
      <c r="D48" s="134">
        <v>45007</v>
      </c>
      <c r="E48" s="126" t="s">
        <v>327</v>
      </c>
      <c r="F48" s="155" t="s">
        <v>457</v>
      </c>
      <c r="G48" s="139">
        <v>45026</v>
      </c>
      <c r="H48" s="127" t="s">
        <v>325</v>
      </c>
      <c r="I48" s="131"/>
      <c r="J48" s="142"/>
      <c r="K48" s="129"/>
      <c r="L48" s="132"/>
      <c r="M48" s="132"/>
      <c r="N48" s="132"/>
      <c r="O48" s="132"/>
      <c r="P48" s="132"/>
      <c r="Q48" s="132"/>
      <c r="R48" s="132"/>
      <c r="S48" s="132"/>
      <c r="T48" s="132"/>
      <c r="V48" s="133"/>
      <c r="W48" s="133"/>
      <c r="X48" s="133"/>
    </row>
    <row r="49" spans="1:24" s="79" customFormat="1" ht="24">
      <c r="A49" s="128">
        <f t="shared" si="0"/>
        <v>6</v>
      </c>
      <c r="B49" s="160"/>
      <c r="C49" s="154" t="s">
        <v>332</v>
      </c>
      <c r="D49" s="134">
        <v>45007</v>
      </c>
      <c r="E49" s="126" t="s">
        <v>327</v>
      </c>
      <c r="F49" s="155" t="s">
        <v>457</v>
      </c>
      <c r="G49" s="139">
        <v>45026</v>
      </c>
      <c r="H49" s="127" t="s">
        <v>325</v>
      </c>
      <c r="I49" s="131"/>
      <c r="J49" s="142"/>
      <c r="K49" s="129"/>
      <c r="L49" s="132"/>
      <c r="M49" s="132"/>
      <c r="N49" s="132"/>
      <c r="O49" s="132"/>
      <c r="P49" s="132"/>
      <c r="Q49" s="132"/>
      <c r="R49" s="132"/>
      <c r="S49" s="132"/>
      <c r="T49" s="132"/>
      <c r="V49" s="133"/>
      <c r="W49" s="133"/>
      <c r="X49" s="133"/>
    </row>
    <row r="50" spans="1:24" s="79" customFormat="1" ht="72">
      <c r="A50" s="128">
        <f t="shared" si="0"/>
        <v>7</v>
      </c>
      <c r="B50" s="160"/>
      <c r="C50" s="154" t="s">
        <v>458</v>
      </c>
      <c r="D50" s="135">
        <v>45008</v>
      </c>
      <c r="E50" s="126" t="s">
        <v>333</v>
      </c>
      <c r="F50" s="155" t="s">
        <v>462</v>
      </c>
      <c r="G50" s="139">
        <v>45029</v>
      </c>
      <c r="H50" s="127" t="s">
        <v>461</v>
      </c>
      <c r="I50" s="131"/>
      <c r="J50" s="142"/>
      <c r="K50" s="129"/>
      <c r="L50" s="132"/>
      <c r="M50" s="132"/>
      <c r="N50" s="132"/>
      <c r="O50" s="132"/>
      <c r="P50" s="132"/>
      <c r="Q50" s="132"/>
      <c r="R50" s="132"/>
      <c r="S50" s="132"/>
      <c r="T50" s="132"/>
    </row>
    <row r="51" spans="1:24" s="79" customFormat="1" ht="36">
      <c r="A51" s="128">
        <f t="shared" si="0"/>
        <v>8</v>
      </c>
      <c r="B51" s="160"/>
      <c r="C51" s="154" t="s">
        <v>459</v>
      </c>
      <c r="D51" s="135">
        <v>45008</v>
      </c>
      <c r="E51" s="126" t="s">
        <v>333</v>
      </c>
      <c r="F51" s="155" t="s">
        <v>460</v>
      </c>
      <c r="G51" s="139">
        <v>45026</v>
      </c>
      <c r="H51" s="127" t="s">
        <v>325</v>
      </c>
      <c r="I51" s="131"/>
      <c r="J51" s="142"/>
      <c r="K51" s="129"/>
      <c r="L51" s="132"/>
      <c r="M51" s="132"/>
      <c r="N51" s="132"/>
      <c r="O51" s="132"/>
      <c r="P51" s="132"/>
      <c r="Q51" s="132"/>
      <c r="R51" s="132"/>
      <c r="S51" s="132"/>
      <c r="T51" s="132"/>
    </row>
    <row r="52" spans="1:24" s="79" customFormat="1" ht="36">
      <c r="A52" s="128">
        <f t="shared" si="0"/>
        <v>9</v>
      </c>
      <c r="B52" s="160"/>
      <c r="C52" s="154" t="s">
        <v>463</v>
      </c>
      <c r="D52" s="135">
        <v>45008</v>
      </c>
      <c r="E52" s="126" t="s">
        <v>333</v>
      </c>
      <c r="F52" s="155" t="s">
        <v>460</v>
      </c>
      <c r="G52" s="139">
        <v>45029</v>
      </c>
      <c r="H52" s="127" t="s">
        <v>461</v>
      </c>
      <c r="I52" s="131"/>
      <c r="J52" s="142"/>
      <c r="K52" s="129"/>
      <c r="L52" s="132"/>
      <c r="M52" s="132"/>
      <c r="N52" s="132"/>
      <c r="O52" s="132"/>
      <c r="P52" s="132"/>
      <c r="Q52" s="132"/>
      <c r="R52" s="132"/>
      <c r="S52" s="132"/>
      <c r="T52" s="132"/>
    </row>
    <row r="53" spans="1:24" s="79" customFormat="1">
      <c r="A53" s="128">
        <f t="shared" si="0"/>
        <v>10</v>
      </c>
      <c r="B53" s="160"/>
      <c r="C53" s="154"/>
      <c r="D53" s="135"/>
      <c r="E53" s="126"/>
      <c r="F53" s="155"/>
      <c r="G53" s="139"/>
      <c r="H53" s="159"/>
      <c r="I53" s="131"/>
      <c r="J53" s="142"/>
      <c r="K53" s="129"/>
      <c r="L53" s="132"/>
      <c r="M53" s="132"/>
      <c r="N53" s="132"/>
      <c r="O53" s="132"/>
      <c r="P53" s="132"/>
      <c r="Q53" s="132"/>
      <c r="R53" s="132"/>
      <c r="S53" s="132"/>
      <c r="T53" s="132"/>
    </row>
    <row r="54" spans="1:24" s="79" customFormat="1">
      <c r="A54" s="128">
        <f t="shared" si="0"/>
        <v>11</v>
      </c>
      <c r="B54" s="160"/>
      <c r="C54" s="154"/>
      <c r="D54" s="135"/>
      <c r="E54" s="126"/>
      <c r="F54" s="155"/>
      <c r="G54" s="139"/>
      <c r="H54" s="127"/>
      <c r="I54" s="131"/>
      <c r="J54" s="142"/>
      <c r="K54" s="129"/>
      <c r="L54" s="132"/>
      <c r="M54" s="132"/>
      <c r="N54" s="132"/>
      <c r="O54" s="132"/>
      <c r="P54" s="132"/>
      <c r="Q54" s="132"/>
      <c r="R54" s="132"/>
      <c r="S54" s="132"/>
      <c r="T54" s="132"/>
    </row>
    <row r="55" spans="1:24" s="79" customFormat="1">
      <c r="A55" s="128">
        <f t="shared" si="0"/>
        <v>12</v>
      </c>
      <c r="B55" s="160"/>
      <c r="C55" s="154"/>
      <c r="D55" s="135"/>
      <c r="E55" s="126"/>
      <c r="F55" s="155"/>
      <c r="G55" s="139"/>
      <c r="H55" s="127"/>
      <c r="I55" s="131"/>
      <c r="J55" s="142"/>
      <c r="K55" s="129"/>
      <c r="L55" s="132"/>
      <c r="M55" s="132"/>
      <c r="N55" s="132"/>
      <c r="O55" s="132"/>
      <c r="P55" s="132"/>
      <c r="Q55" s="132"/>
      <c r="R55" s="132"/>
      <c r="S55" s="132"/>
      <c r="T55" s="132"/>
    </row>
    <row r="56" spans="1:24" s="79" customFormat="1">
      <c r="A56" s="128">
        <f t="shared" si="0"/>
        <v>13</v>
      </c>
      <c r="B56" s="160"/>
      <c r="C56" s="154"/>
      <c r="D56" s="135"/>
      <c r="E56" s="126"/>
      <c r="F56" s="155"/>
      <c r="G56" s="139"/>
      <c r="H56" s="127"/>
      <c r="I56" s="131"/>
      <c r="J56" s="142"/>
      <c r="K56" s="129"/>
      <c r="L56" s="132"/>
      <c r="M56" s="132"/>
      <c r="N56" s="132"/>
      <c r="O56" s="132"/>
      <c r="P56" s="132"/>
      <c r="Q56" s="132"/>
      <c r="R56" s="132"/>
      <c r="S56" s="132"/>
      <c r="T56" s="132"/>
    </row>
    <row r="57" spans="1:24" s="79" customFormat="1">
      <c r="A57" s="128">
        <f t="shared" si="0"/>
        <v>14</v>
      </c>
      <c r="B57" s="160"/>
      <c r="C57" s="154"/>
      <c r="D57" s="135"/>
      <c r="E57" s="126"/>
      <c r="F57" s="155"/>
      <c r="G57" s="139"/>
      <c r="H57" s="127"/>
      <c r="I57" s="131"/>
      <c r="J57" s="142"/>
      <c r="K57" s="129"/>
      <c r="L57" s="132"/>
      <c r="M57" s="132"/>
      <c r="N57" s="132"/>
      <c r="O57" s="132"/>
      <c r="P57" s="132"/>
      <c r="Q57" s="132"/>
      <c r="R57" s="132"/>
      <c r="S57" s="132"/>
      <c r="T57" s="132"/>
    </row>
    <row r="58" spans="1:24" s="79" customFormat="1">
      <c r="A58" s="128">
        <f t="shared" si="0"/>
        <v>15</v>
      </c>
      <c r="B58" s="160"/>
      <c r="C58" s="154"/>
      <c r="D58" s="135"/>
      <c r="E58" s="126"/>
      <c r="F58" s="155"/>
      <c r="G58" s="139"/>
      <c r="H58" s="127"/>
      <c r="I58" s="131"/>
      <c r="J58" s="142"/>
      <c r="K58" s="129"/>
      <c r="L58" s="132"/>
      <c r="M58" s="132"/>
      <c r="N58" s="132"/>
      <c r="O58" s="132"/>
      <c r="P58" s="132"/>
      <c r="Q58" s="132"/>
      <c r="R58" s="132"/>
      <c r="S58" s="132"/>
      <c r="T58" s="132"/>
    </row>
    <row r="59" spans="1:24" s="79" customFormat="1">
      <c r="A59" s="128">
        <f t="shared" si="0"/>
        <v>16</v>
      </c>
      <c r="B59" s="160"/>
      <c r="C59" s="154"/>
      <c r="D59" s="135"/>
      <c r="E59" s="126"/>
      <c r="F59" s="155"/>
      <c r="G59" s="139"/>
      <c r="H59" s="159"/>
      <c r="I59" s="131"/>
      <c r="J59" s="142"/>
      <c r="K59" s="129"/>
      <c r="L59" s="132"/>
      <c r="M59" s="132"/>
      <c r="N59" s="132"/>
      <c r="O59" s="132"/>
      <c r="P59" s="132"/>
      <c r="Q59" s="132"/>
      <c r="R59" s="132"/>
      <c r="S59" s="132"/>
      <c r="T59" s="132"/>
    </row>
    <row r="60" spans="1:24" s="79" customFormat="1">
      <c r="A60" s="128">
        <f t="shared" si="0"/>
        <v>17</v>
      </c>
      <c r="B60" s="160"/>
      <c r="C60" s="154"/>
      <c r="D60" s="135"/>
      <c r="E60" s="126"/>
      <c r="F60" s="155"/>
      <c r="G60" s="139"/>
      <c r="H60" s="159"/>
      <c r="I60" s="131"/>
      <c r="J60" s="142"/>
      <c r="K60" s="129"/>
      <c r="L60" s="132"/>
      <c r="M60" s="132"/>
      <c r="N60" s="132"/>
      <c r="O60" s="132"/>
      <c r="P60" s="132"/>
      <c r="Q60" s="132"/>
      <c r="R60" s="132"/>
      <c r="S60" s="132"/>
      <c r="T60" s="132"/>
    </row>
    <row r="61" spans="1:24" s="79" customFormat="1">
      <c r="A61" s="128">
        <f t="shared" si="0"/>
        <v>18</v>
      </c>
      <c r="B61" s="160"/>
      <c r="C61" s="154"/>
      <c r="D61" s="135"/>
      <c r="E61" s="126"/>
      <c r="F61" s="155"/>
      <c r="G61" s="139"/>
      <c r="H61" s="127"/>
      <c r="I61" s="131"/>
      <c r="J61" s="142"/>
      <c r="K61" s="129"/>
      <c r="L61" s="132"/>
      <c r="M61" s="132"/>
      <c r="N61" s="132"/>
      <c r="O61" s="132"/>
      <c r="P61" s="132"/>
      <c r="Q61" s="132"/>
      <c r="R61" s="132"/>
      <c r="S61" s="132"/>
      <c r="T61" s="132"/>
    </row>
    <row r="62" spans="1:24" s="79" customFormat="1">
      <c r="A62" s="128">
        <f t="shared" si="0"/>
        <v>19</v>
      </c>
      <c r="B62" s="160"/>
      <c r="C62" s="154"/>
      <c r="D62" s="135"/>
      <c r="E62" s="126"/>
      <c r="F62" s="155"/>
      <c r="G62" s="139"/>
      <c r="H62" s="127"/>
      <c r="I62" s="131"/>
      <c r="J62" s="142"/>
      <c r="K62" s="129"/>
      <c r="L62" s="132"/>
      <c r="M62" s="132"/>
      <c r="N62" s="132"/>
      <c r="O62" s="132"/>
      <c r="P62" s="132"/>
      <c r="Q62" s="132"/>
      <c r="R62" s="132"/>
      <c r="S62" s="132"/>
      <c r="T62" s="132"/>
    </row>
    <row r="63" spans="1:24" s="79" customFormat="1">
      <c r="A63" s="128">
        <f t="shared" si="0"/>
        <v>20</v>
      </c>
      <c r="B63" s="160"/>
      <c r="C63" s="154"/>
      <c r="D63" s="135"/>
      <c r="E63" s="126"/>
      <c r="F63" s="155"/>
      <c r="G63" s="139"/>
      <c r="H63" s="127"/>
      <c r="I63" s="131"/>
      <c r="J63" s="142"/>
      <c r="K63" s="129"/>
      <c r="L63" s="132"/>
      <c r="M63" s="132"/>
      <c r="N63" s="132"/>
      <c r="O63" s="132"/>
      <c r="P63" s="132"/>
      <c r="Q63" s="132"/>
      <c r="R63" s="132"/>
      <c r="S63" s="132"/>
      <c r="T63" s="132"/>
    </row>
    <row r="64" spans="1:24" s="13" customFormat="1">
      <c r="A64" s="6" t="s">
        <v>319</v>
      </c>
      <c r="B64" s="12"/>
      <c r="C64" s="12"/>
      <c r="D64" s="136"/>
      <c r="E64" s="12"/>
      <c r="F64" s="12"/>
      <c r="G64" s="136"/>
      <c r="H64" s="12"/>
      <c r="I64" s="12"/>
      <c r="J64" s="136"/>
      <c r="K64" s="12"/>
      <c r="L64" s="12"/>
      <c r="M64" s="12"/>
      <c r="N64" s="12"/>
      <c r="O64" s="12"/>
      <c r="P64" s="12"/>
      <c r="Q64" s="12"/>
      <c r="R64" s="12"/>
      <c r="S64" s="12"/>
      <c r="T64" s="12"/>
    </row>
    <row r="65" spans="1:256" s="13" customFormat="1">
      <c r="B65" s="12"/>
      <c r="C65" s="12"/>
      <c r="D65" s="137"/>
      <c r="F65" s="12"/>
      <c r="G65" s="136"/>
      <c r="H65" s="12"/>
      <c r="I65" s="12"/>
      <c r="J65" s="136"/>
      <c r="K65" s="12"/>
      <c r="L65" s="12"/>
      <c r="M65" s="12"/>
      <c r="N65" s="12"/>
      <c r="O65" s="12"/>
      <c r="P65" s="12"/>
      <c r="Q65" s="12"/>
      <c r="R65" s="12"/>
      <c r="S65" s="12"/>
      <c r="T65" s="12"/>
    </row>
    <row r="66" spans="1:256">
      <c r="B66" s="12"/>
      <c r="C66" s="12"/>
      <c r="D66" s="138"/>
      <c r="F66" s="12"/>
      <c r="G66" s="136"/>
      <c r="H66" s="12"/>
      <c r="I66" s="12"/>
      <c r="J66" s="143"/>
      <c r="K66" s="6"/>
      <c r="L66" s="6"/>
      <c r="M66" s="6"/>
      <c r="N66" s="6"/>
      <c r="O66" s="6"/>
      <c r="P66" s="6"/>
      <c r="Q66" s="6"/>
      <c r="R66" s="6"/>
      <c r="S66" s="6"/>
      <c r="T66" s="6"/>
    </row>
    <row r="67" spans="1:256">
      <c r="B67" s="12"/>
      <c r="C67" s="21"/>
      <c r="D67" s="138"/>
      <c r="F67" s="12"/>
      <c r="G67" s="136"/>
      <c r="H67" s="12"/>
      <c r="I67" s="6"/>
      <c r="J67" s="143"/>
      <c r="K67" s="6"/>
      <c r="L67" s="6"/>
      <c r="M67" s="6"/>
      <c r="N67" s="6"/>
      <c r="O67" s="6"/>
      <c r="P67" s="6"/>
      <c r="Q67" s="6"/>
      <c r="R67" s="6"/>
      <c r="S67" s="6"/>
      <c r="T67" s="6"/>
      <c r="U67" s="7"/>
      <c r="V67" s="7"/>
      <c r="W67" s="7"/>
      <c r="X67" s="7"/>
      <c r="Y67" s="7"/>
      <c r="Z67" s="7"/>
      <c r="AA67" s="7"/>
      <c r="AB67" s="7"/>
      <c r="AC67" s="7"/>
      <c r="AD67" s="7"/>
      <c r="AE67" s="7"/>
      <c r="AF67" s="7"/>
      <c r="AG67" s="7"/>
      <c r="AH67" s="7"/>
      <c r="AI67" s="7"/>
      <c r="AJ67" s="7"/>
      <c r="AK67" s="7"/>
      <c r="AL67" s="7"/>
      <c r="AM67" s="7"/>
      <c r="AN67" s="7"/>
      <c r="AO67" s="7"/>
      <c r="AP67" s="7"/>
      <c r="AQ67" s="7"/>
      <c r="AR67" s="7"/>
      <c r="AS67" s="7"/>
      <c r="AT67" s="7"/>
      <c r="AU67" s="7"/>
      <c r="AV67" s="7"/>
      <c r="AW67" s="7"/>
      <c r="AX67" s="7"/>
      <c r="AY67" s="7"/>
      <c r="AZ67" s="7"/>
      <c r="BA67" s="7"/>
      <c r="BB67" s="7"/>
      <c r="BC67" s="7"/>
      <c r="BD67" s="7"/>
      <c r="BE67" s="7"/>
      <c r="BF67" s="7"/>
      <c r="BG67" s="7"/>
      <c r="BH67" s="7"/>
      <c r="BI67" s="7"/>
      <c r="BJ67" s="7"/>
      <c r="BK67" s="7"/>
      <c r="BL67" s="7"/>
      <c r="BM67" s="7"/>
      <c r="BN67" s="7"/>
      <c r="BO67" s="7"/>
      <c r="BP67" s="7"/>
      <c r="BQ67" s="7"/>
      <c r="BR67" s="7"/>
      <c r="BS67" s="7"/>
      <c r="BT67" s="7"/>
      <c r="BU67" s="7"/>
      <c r="BV67" s="7"/>
      <c r="BW67" s="7"/>
      <c r="BX67" s="7"/>
      <c r="BY67" s="7"/>
      <c r="BZ67" s="7"/>
      <c r="CA67" s="7"/>
      <c r="CB67" s="7"/>
      <c r="CC67" s="7"/>
      <c r="CD67" s="7"/>
      <c r="CE67" s="7"/>
      <c r="CF67" s="7"/>
      <c r="CG67" s="7"/>
      <c r="CH67" s="7"/>
      <c r="CI67" s="7"/>
      <c r="CJ67" s="7"/>
      <c r="CK67" s="7"/>
      <c r="CL67" s="7"/>
      <c r="CM67" s="7"/>
      <c r="CN67" s="7"/>
      <c r="CO67" s="7"/>
      <c r="CP67" s="7"/>
      <c r="CQ67" s="7"/>
      <c r="CR67" s="7"/>
      <c r="CS67" s="7"/>
      <c r="CT67" s="7"/>
      <c r="CU67" s="7"/>
      <c r="CV67" s="7"/>
      <c r="CW67" s="7"/>
      <c r="CX67" s="7"/>
      <c r="CY67" s="7"/>
      <c r="CZ67" s="7"/>
      <c r="DA67" s="7"/>
      <c r="DB67" s="7"/>
      <c r="DC67" s="7"/>
      <c r="DD67" s="7"/>
      <c r="DE67" s="7"/>
      <c r="DF67" s="7"/>
      <c r="DG67" s="7"/>
      <c r="DH67" s="7"/>
      <c r="DI67" s="7"/>
      <c r="DJ67" s="7"/>
      <c r="DK67" s="7"/>
      <c r="DL67" s="7"/>
      <c r="DM67" s="7"/>
      <c r="DN67" s="7"/>
      <c r="DO67" s="7"/>
      <c r="DP67" s="7"/>
      <c r="DQ67" s="7"/>
      <c r="DR67" s="7"/>
      <c r="DS67" s="7"/>
      <c r="DT67" s="7"/>
      <c r="DU67" s="7"/>
      <c r="DV67" s="7"/>
      <c r="DW67" s="7"/>
      <c r="DX67" s="7"/>
      <c r="DY67" s="7"/>
      <c r="DZ67" s="7"/>
      <c r="EA67" s="7"/>
      <c r="EB67" s="7"/>
      <c r="EC67" s="7"/>
      <c r="ED67" s="7"/>
      <c r="EE67" s="7"/>
      <c r="EF67" s="7"/>
      <c r="EG67" s="7"/>
      <c r="EH67" s="7"/>
      <c r="EI67" s="7"/>
      <c r="EJ67" s="7"/>
      <c r="EK67" s="7"/>
      <c r="EL67" s="7"/>
      <c r="EM67" s="7"/>
      <c r="EN67" s="7"/>
      <c r="EO67" s="7"/>
      <c r="EP67" s="7"/>
      <c r="EQ67" s="7"/>
      <c r="ER67" s="7"/>
      <c r="ES67" s="7"/>
      <c r="ET67" s="7"/>
      <c r="EU67" s="7"/>
      <c r="EV67" s="7"/>
      <c r="EW67" s="7"/>
      <c r="EX67" s="7"/>
      <c r="EY67" s="7"/>
      <c r="EZ67" s="7"/>
      <c r="FA67" s="7"/>
      <c r="FB67" s="7"/>
      <c r="FC67" s="7"/>
      <c r="FD67" s="7"/>
      <c r="FE67" s="7"/>
      <c r="FF67" s="7"/>
      <c r="FG67" s="7"/>
      <c r="FH67" s="7"/>
      <c r="FI67" s="7"/>
      <c r="FJ67" s="7"/>
      <c r="FK67" s="7"/>
      <c r="FL67" s="7"/>
      <c r="FM67" s="7"/>
      <c r="FN67" s="7"/>
      <c r="FO67" s="7"/>
      <c r="FP67" s="7"/>
      <c r="FQ67" s="7"/>
      <c r="FR67" s="7"/>
      <c r="FS67" s="7"/>
      <c r="FT67" s="7"/>
      <c r="FU67" s="7"/>
      <c r="FV67" s="7"/>
      <c r="FW67" s="7"/>
      <c r="FX67" s="7"/>
      <c r="FY67" s="7"/>
      <c r="FZ67" s="7"/>
      <c r="GA67" s="7"/>
      <c r="GB67" s="7"/>
      <c r="GC67" s="7"/>
      <c r="GD67" s="7"/>
      <c r="GE67" s="7"/>
      <c r="GF67" s="7"/>
      <c r="GG67" s="7"/>
      <c r="GH67" s="7"/>
      <c r="GI67" s="7"/>
      <c r="GJ67" s="7"/>
      <c r="GK67" s="7"/>
      <c r="GL67" s="7"/>
      <c r="GM67" s="7"/>
      <c r="GN67" s="7"/>
      <c r="GO67" s="7"/>
      <c r="GP67" s="7"/>
      <c r="GQ67" s="7"/>
      <c r="GR67" s="7"/>
      <c r="GS67" s="7"/>
      <c r="GT67" s="7"/>
      <c r="GU67" s="7"/>
      <c r="GV67" s="7"/>
      <c r="GW67" s="7"/>
      <c r="GX67" s="7"/>
      <c r="GY67" s="7"/>
      <c r="GZ67" s="7"/>
      <c r="HA67" s="7"/>
      <c r="HB67" s="7"/>
      <c r="HC67" s="7"/>
      <c r="HD67" s="7"/>
      <c r="HE67" s="7"/>
      <c r="HF67" s="7"/>
      <c r="HG67" s="7"/>
      <c r="HH67" s="7"/>
      <c r="HI67" s="7"/>
      <c r="HJ67" s="7"/>
      <c r="HK67" s="7"/>
      <c r="HL67" s="7"/>
      <c r="HM67" s="7"/>
      <c r="HN67" s="7"/>
      <c r="HO67" s="7"/>
      <c r="HP67" s="7"/>
      <c r="HQ67" s="7"/>
      <c r="HR67" s="7"/>
      <c r="HS67" s="7"/>
      <c r="HT67" s="7"/>
      <c r="HU67" s="7"/>
      <c r="HV67" s="7"/>
      <c r="HW67" s="7"/>
      <c r="HX67" s="7"/>
      <c r="HY67" s="7"/>
      <c r="HZ67" s="7"/>
      <c r="IA67" s="7"/>
      <c r="IB67" s="7"/>
      <c r="IC67" s="7"/>
      <c r="ID67" s="7"/>
      <c r="IE67" s="7"/>
      <c r="IF67" s="7"/>
      <c r="IG67" s="7"/>
      <c r="IH67" s="7"/>
      <c r="II67" s="7"/>
      <c r="IJ67" s="7"/>
      <c r="IK67" s="7"/>
      <c r="IL67" s="7"/>
      <c r="IM67" s="7"/>
      <c r="IN67" s="7"/>
      <c r="IO67" s="7"/>
      <c r="IP67" s="7"/>
      <c r="IQ67" s="7"/>
      <c r="IR67" s="7"/>
      <c r="IS67" s="7"/>
      <c r="IT67" s="7"/>
      <c r="IU67" s="7"/>
      <c r="IV67" s="7"/>
    </row>
    <row r="68" spans="1:256">
      <c r="B68" s="12"/>
      <c r="C68" s="21"/>
      <c r="D68" s="138"/>
      <c r="F68" s="12"/>
      <c r="G68" s="140"/>
      <c r="H68" s="21"/>
      <c r="I68" s="4"/>
      <c r="J68" s="144"/>
      <c r="K68" s="4"/>
      <c r="L68" s="4"/>
      <c r="M68" s="4"/>
      <c r="N68" s="4"/>
      <c r="O68" s="4"/>
      <c r="P68" s="4"/>
      <c r="Q68" s="4"/>
      <c r="R68" s="4"/>
      <c r="S68" s="4"/>
      <c r="T68" s="4"/>
    </row>
    <row r="69" spans="1:256">
      <c r="B69" s="12"/>
      <c r="C69" s="21"/>
      <c r="D69" s="138"/>
      <c r="F69" s="12"/>
      <c r="G69" s="140"/>
      <c r="H69" s="21"/>
      <c r="I69" s="4"/>
      <c r="J69" s="144"/>
      <c r="K69" s="4"/>
      <c r="L69" s="4"/>
      <c r="M69" s="4"/>
      <c r="N69" s="4"/>
      <c r="O69" s="4"/>
      <c r="P69" s="4"/>
      <c r="Q69" s="4"/>
      <c r="R69" s="4"/>
      <c r="S69" s="4"/>
      <c r="T69" s="4"/>
    </row>
    <row r="70" spans="1:256">
      <c r="A70" s="12"/>
      <c r="B70" s="12"/>
      <c r="C70" s="21"/>
      <c r="D70" s="138"/>
      <c r="F70" s="21"/>
      <c r="G70" s="140"/>
      <c r="H70" s="21"/>
      <c r="I70" s="4"/>
      <c r="J70" s="144"/>
      <c r="K70" s="4"/>
      <c r="L70" s="4"/>
      <c r="M70" s="4"/>
      <c r="N70" s="4"/>
      <c r="O70" s="4"/>
      <c r="P70" s="4"/>
      <c r="Q70" s="4"/>
      <c r="R70" s="4"/>
      <c r="S70" s="4"/>
      <c r="T70" s="4"/>
    </row>
    <row r="71" spans="1:256">
      <c r="A71" s="12"/>
      <c r="B71" s="21"/>
      <c r="C71" s="21"/>
      <c r="D71" s="138"/>
      <c r="F71" s="21"/>
      <c r="G71" s="140"/>
      <c r="H71" s="21"/>
      <c r="I71" s="4"/>
      <c r="J71" s="144"/>
      <c r="K71" s="4"/>
      <c r="L71" s="4"/>
      <c r="M71" s="4"/>
      <c r="N71" s="4"/>
      <c r="O71" s="4"/>
      <c r="P71" s="4"/>
      <c r="Q71" s="4"/>
      <c r="R71" s="4"/>
      <c r="S71" s="4"/>
      <c r="T71" s="4"/>
    </row>
    <row r="72" spans="1:256">
      <c r="D72" s="138"/>
      <c r="G72" s="141"/>
      <c r="H72"/>
      <c r="J72" s="138"/>
    </row>
    <row r="73" spans="1:256">
      <c r="D73" s="138"/>
      <c r="G73" s="141"/>
      <c r="H73"/>
      <c r="J73" s="138"/>
    </row>
    <row r="74" spans="1:256">
      <c r="D74" s="138"/>
      <c r="G74" s="138"/>
      <c r="J74" s="138"/>
    </row>
    <row r="75" spans="1:256">
      <c r="D75" s="138"/>
      <c r="G75" s="138"/>
      <c r="J75" s="138"/>
    </row>
    <row r="76" spans="1:256">
      <c r="A76" s="46" t="s">
        <v>320</v>
      </c>
      <c r="D76" s="138"/>
      <c r="G76" s="138"/>
      <c r="J76" s="138"/>
    </row>
    <row r="77" spans="1:256">
      <c r="A77" s="46" t="s">
        <v>321</v>
      </c>
      <c r="D77" s="138"/>
      <c r="G77" s="138"/>
      <c r="J77" s="138"/>
    </row>
    <row r="78" spans="1:256">
      <c r="A78" s="46" t="s">
        <v>322</v>
      </c>
      <c r="D78" s="138"/>
      <c r="G78" s="138"/>
      <c r="J78" s="138"/>
    </row>
    <row r="79" spans="1:256">
      <c r="A79" s="46"/>
      <c r="D79" s="138"/>
      <c r="G79" s="138"/>
      <c r="J79" s="138"/>
    </row>
    <row r="80" spans="1:256">
      <c r="D80" s="138"/>
      <c r="G80" s="138"/>
      <c r="J80" s="138"/>
    </row>
    <row r="81" spans="4:10">
      <c r="D81" s="138"/>
      <c r="G81" s="138"/>
      <c r="J81" s="138"/>
    </row>
    <row r="82" spans="4:10">
      <c r="D82" s="138"/>
      <c r="G82" s="138"/>
      <c r="J82" s="138"/>
    </row>
    <row r="83" spans="4:10">
      <c r="D83" s="138"/>
      <c r="G83" s="138"/>
      <c r="J83" s="138"/>
    </row>
    <row r="84" spans="4:10">
      <c r="D84" s="138"/>
      <c r="G84" s="138"/>
      <c r="J84" s="138"/>
    </row>
    <row r="85" spans="4:10">
      <c r="D85" s="51"/>
      <c r="G85" s="138"/>
      <c r="J85" s="138"/>
    </row>
    <row r="86" spans="4:10">
      <c r="D86" s="51"/>
      <c r="G86" s="138"/>
      <c r="J86" s="138"/>
    </row>
    <row r="87" spans="4:10">
      <c r="D87" s="51"/>
      <c r="G87" s="138"/>
      <c r="J87" s="138"/>
    </row>
    <row r="88" spans="4:10">
      <c r="D88" s="51"/>
      <c r="G88" s="138"/>
      <c r="J88" s="138"/>
    </row>
    <row r="89" spans="4:10">
      <c r="D89" s="51"/>
      <c r="G89" s="138"/>
      <c r="J89" s="138"/>
    </row>
    <row r="90" spans="4:10">
      <c r="D90" s="51"/>
      <c r="G90" s="138"/>
      <c r="J90" s="63"/>
    </row>
    <row r="91" spans="4:10">
      <c r="D91" s="51"/>
      <c r="G91" s="138"/>
      <c r="J91" s="63"/>
    </row>
    <row r="92" spans="4:10">
      <c r="D92" s="51"/>
      <c r="G92" s="138"/>
      <c r="J92" s="63"/>
    </row>
    <row r="93" spans="4:10">
      <c r="D93" s="51"/>
      <c r="G93" s="138"/>
      <c r="J93" s="63"/>
    </row>
    <row r="94" spans="4:10">
      <c r="D94" s="51"/>
      <c r="G94" s="138"/>
      <c r="J94" s="63"/>
    </row>
    <row r="95" spans="4:10">
      <c r="D95" s="51"/>
      <c r="G95" s="138"/>
      <c r="J95" s="63"/>
    </row>
    <row r="96" spans="4:10">
      <c r="D96" s="51"/>
      <c r="G96" s="138"/>
      <c r="J96" s="63"/>
    </row>
    <row r="97" spans="4:10">
      <c r="D97" s="51"/>
      <c r="G97" s="138"/>
      <c r="J97" s="63"/>
    </row>
    <row r="98" spans="4:10">
      <c r="D98" s="51"/>
      <c r="G98" s="138"/>
      <c r="J98" s="63"/>
    </row>
    <row r="99" spans="4:10">
      <c r="D99" s="51"/>
      <c r="G99" s="138"/>
      <c r="J99" s="63"/>
    </row>
    <row r="100" spans="4:10">
      <c r="D100" s="51"/>
      <c r="G100" s="138"/>
      <c r="J100" s="63"/>
    </row>
    <row r="101" spans="4:10">
      <c r="D101" s="51"/>
      <c r="G101" s="138"/>
      <c r="J101" s="63"/>
    </row>
    <row r="102" spans="4:10">
      <c r="D102" s="51"/>
      <c r="G102" s="138"/>
      <c r="J102" s="63"/>
    </row>
    <row r="103" spans="4:10">
      <c r="D103" s="51"/>
      <c r="G103" s="138"/>
      <c r="J103" s="63"/>
    </row>
    <row r="104" spans="4:10">
      <c r="D104" s="51"/>
      <c r="G104" s="138"/>
      <c r="J104" s="63"/>
    </row>
    <row r="105" spans="4:10">
      <c r="D105" s="51"/>
      <c r="G105" s="51"/>
      <c r="J105" s="63"/>
    </row>
    <row r="106" spans="4:10">
      <c r="D106" s="51"/>
      <c r="G106" s="51"/>
      <c r="J106" s="63"/>
    </row>
    <row r="107" spans="4:10">
      <c r="D107" s="51"/>
      <c r="G107" s="51"/>
      <c r="J107" s="63"/>
    </row>
    <row r="108" spans="4:10">
      <c r="D108" s="51"/>
      <c r="G108" s="51"/>
      <c r="J108" s="63"/>
    </row>
    <row r="109" spans="4:10">
      <c r="D109" s="51"/>
      <c r="G109" s="51"/>
      <c r="J109" s="63"/>
    </row>
    <row r="110" spans="4:10">
      <c r="D110" s="51"/>
      <c r="G110" s="51"/>
      <c r="J110" s="63"/>
    </row>
    <row r="111" spans="4:10">
      <c r="D111" s="51"/>
      <c r="G111" s="51"/>
      <c r="J111" s="63"/>
    </row>
    <row r="112" spans="4:10">
      <c r="D112" s="51"/>
      <c r="G112" s="51"/>
      <c r="J112" s="63"/>
    </row>
    <row r="113" spans="4:10">
      <c r="D113" s="51"/>
      <c r="G113" s="51"/>
      <c r="J113" s="63"/>
    </row>
    <row r="114" spans="4:10">
      <c r="D114" s="51"/>
      <c r="G114" s="51"/>
      <c r="J114" s="63"/>
    </row>
    <row r="115" spans="4:10">
      <c r="D115" s="51"/>
      <c r="G115" s="51"/>
      <c r="J115" s="63"/>
    </row>
    <row r="116" spans="4:10">
      <c r="D116" s="51"/>
      <c r="G116" s="51"/>
    </row>
    <row r="117" spans="4:10">
      <c r="D117" s="51"/>
      <c r="G117" s="51"/>
    </row>
    <row r="118" spans="4:10">
      <c r="D118" s="51"/>
      <c r="G118" s="51"/>
    </row>
    <row r="119" spans="4:10">
      <c r="D119" s="51"/>
      <c r="G119" s="51"/>
    </row>
    <row r="120" spans="4:10">
      <c r="D120" s="51"/>
      <c r="G120" s="51"/>
    </row>
    <row r="121" spans="4:10">
      <c r="D121" s="51"/>
      <c r="G121" s="51"/>
    </row>
    <row r="122" spans="4:10">
      <c r="D122" s="51"/>
      <c r="G122" s="51"/>
    </row>
    <row r="123" spans="4:10">
      <c r="D123" s="51"/>
      <c r="G123" s="51"/>
    </row>
    <row r="124" spans="4:10">
      <c r="D124" s="51"/>
      <c r="G124" s="51"/>
    </row>
    <row r="125" spans="4:10">
      <c r="D125" s="51"/>
    </row>
    <row r="126" spans="4:10">
      <c r="D126" s="51"/>
    </row>
    <row r="127" spans="4:10">
      <c r="D127" s="51"/>
    </row>
    <row r="128" spans="4:10">
      <c r="D128" s="51"/>
    </row>
    <row r="129" spans="4:4">
      <c r="D129" s="51"/>
    </row>
    <row r="130" spans="4:4">
      <c r="D130" s="51"/>
    </row>
    <row r="131" spans="4:4">
      <c r="D131" s="51"/>
    </row>
    <row r="132" spans="4:4">
      <c r="D132" s="51"/>
    </row>
    <row r="133" spans="4:4">
      <c r="D133" s="51"/>
    </row>
    <row r="134" spans="4:4">
      <c r="D134" s="51"/>
    </row>
    <row r="135" spans="4:4">
      <c r="D135" s="51"/>
    </row>
    <row r="136" spans="4:4">
      <c r="D136" s="51"/>
    </row>
    <row r="137" spans="4:4">
      <c r="D137" s="51"/>
    </row>
    <row r="138" spans="4:4">
      <c r="D138" s="51"/>
    </row>
    <row r="139" spans="4:4">
      <c r="D139" s="51"/>
    </row>
    <row r="140" spans="4:4">
      <c r="D140" s="51"/>
    </row>
    <row r="141" spans="4:4">
      <c r="D141" s="51"/>
    </row>
    <row r="142" spans="4:4">
      <c r="D142" s="51"/>
    </row>
    <row r="143" spans="4:4">
      <c r="D143" s="51"/>
    </row>
    <row r="144" spans="4:4">
      <c r="D144" s="51"/>
    </row>
    <row r="145" spans="4:4">
      <c r="D145" s="51"/>
    </row>
    <row r="146" spans="4:4">
      <c r="D146" s="51"/>
    </row>
    <row r="147" spans="4:4">
      <c r="D147" s="51"/>
    </row>
    <row r="148" spans="4:4">
      <c r="D148" s="51"/>
    </row>
    <row r="149" spans="4:4">
      <c r="D149" s="51"/>
    </row>
    <row r="150" spans="4:4">
      <c r="D150" s="51"/>
    </row>
    <row r="151" spans="4:4">
      <c r="D151" s="51"/>
    </row>
    <row r="152" spans="4:4">
      <c r="D152" s="51"/>
    </row>
    <row r="153" spans="4:4">
      <c r="D153" s="51"/>
    </row>
    <row r="154" spans="4:4">
      <c r="D154" s="51"/>
    </row>
    <row r="155" spans="4:4">
      <c r="D155" s="51"/>
    </row>
    <row r="156" spans="4:4">
      <c r="D156" s="51"/>
    </row>
    <row r="157" spans="4:4">
      <c r="D157" s="51"/>
    </row>
    <row r="158" spans="4:4">
      <c r="D158" s="51"/>
    </row>
    <row r="159" spans="4:4">
      <c r="D159" s="51"/>
    </row>
    <row r="160" spans="4:4">
      <c r="D160" s="51"/>
    </row>
    <row r="161" spans="4:4">
      <c r="D161" s="51"/>
    </row>
    <row r="162" spans="4:4">
      <c r="D162" s="51"/>
    </row>
    <row r="163" spans="4:4">
      <c r="D163" s="51"/>
    </row>
    <row r="164" spans="4:4">
      <c r="D164" s="51"/>
    </row>
    <row r="165" spans="4:4">
      <c r="D165" s="51"/>
    </row>
    <row r="166" spans="4:4">
      <c r="D166" s="51"/>
    </row>
    <row r="167" spans="4:4">
      <c r="D167" s="51"/>
    </row>
    <row r="168" spans="4:4">
      <c r="D168" s="51"/>
    </row>
    <row r="169" spans="4:4">
      <c r="D169" s="51"/>
    </row>
    <row r="170" spans="4:4">
      <c r="D170" s="51"/>
    </row>
    <row r="171" spans="4:4">
      <c r="D171" s="51"/>
    </row>
    <row r="172" spans="4:4">
      <c r="D172" s="51"/>
    </row>
    <row r="173" spans="4:4">
      <c r="D173" s="51"/>
    </row>
    <row r="174" spans="4:4">
      <c r="D174" s="51"/>
    </row>
    <row r="175" spans="4:4">
      <c r="D175" s="51"/>
    </row>
    <row r="176" spans="4:4">
      <c r="D176" s="51"/>
    </row>
    <row r="177" spans="4:4">
      <c r="D177" s="51"/>
    </row>
  </sheetData>
  <mergeCells count="13">
    <mergeCell ref="J40:K40"/>
    <mergeCell ref="G37:I38"/>
    <mergeCell ref="A37:B37"/>
    <mergeCell ref="A38:B38"/>
    <mergeCell ref="A35:B35"/>
    <mergeCell ref="C37:F37"/>
    <mergeCell ref="J38:K38"/>
    <mergeCell ref="C32:G32"/>
    <mergeCell ref="C38:F38"/>
    <mergeCell ref="J34:K35"/>
    <mergeCell ref="J37:K37"/>
    <mergeCell ref="A34:B34"/>
    <mergeCell ref="J33:K33"/>
  </mergeCells>
  <phoneticPr fontId="2"/>
  <pageMargins left="0.64" right="0.2" top="0.78740157480314965" bottom="0.39370078740157483" header="0.51181102362204722" footer="0.21"/>
  <pageSetup paperSize="9" scale="30" fitToHeight="0" orientation="portrait" horizontalDpi="4294967293" verticalDpi="1200" r:id="rId1"/>
  <headerFooter alignWithMargins="0">
    <oddHeader>&amp;R&amp;"ＭＳ Ｐ明朝,標準"8201 様式11</oddHeader>
    <oddFooter>&amp;C&amp;P / &amp;N ページ</oddFooter>
  </headerFooter>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pageSetUpPr fitToPage="1"/>
  </sheetPr>
  <dimension ref="A1:J114"/>
  <sheetViews>
    <sheetView showGridLines="0" view="pageBreakPreview" zoomScale="90" zoomScaleNormal="90" zoomScaleSheetLayoutView="90" workbookViewId="0">
      <pane ySplit="8" topLeftCell="A9" activePane="bottomLeft" state="frozen"/>
      <selection pane="bottomLeft"/>
    </sheetView>
  </sheetViews>
  <sheetFormatPr defaultColWidth="8" defaultRowHeight="12"/>
  <cols>
    <col min="1" max="1" width="16.875" style="162" bestFit="1" customWidth="1"/>
    <col min="2" max="2" width="4.375" style="162" bestFit="1" customWidth="1"/>
    <col min="3" max="3" width="82.25" style="163" bestFit="1" customWidth="1"/>
    <col min="4" max="4" width="10.875" style="162" bestFit="1" customWidth="1"/>
    <col min="5" max="9" width="2.75" style="162" customWidth="1"/>
    <col min="10" max="10" width="8" style="165"/>
    <col min="11" max="16384" width="8" style="162"/>
  </cols>
  <sheetData>
    <row r="1" spans="1:9">
      <c r="D1" s="164" t="s">
        <v>334</v>
      </c>
      <c r="E1" s="514">
        <v>44991</v>
      </c>
      <c r="F1" s="514"/>
      <c r="G1" s="514"/>
      <c r="H1" s="514"/>
      <c r="I1" s="514"/>
    </row>
    <row r="2" spans="1:9">
      <c r="D2" s="164" t="s">
        <v>335</v>
      </c>
      <c r="E2" s="514" t="s">
        <v>336</v>
      </c>
      <c r="F2" s="514"/>
      <c r="G2" s="514"/>
      <c r="H2" s="514"/>
      <c r="I2" s="514"/>
    </row>
    <row r="3" spans="1:9" ht="14.25">
      <c r="A3" s="516" t="s">
        <v>337</v>
      </c>
      <c r="B3" s="516"/>
      <c r="C3" s="516"/>
      <c r="D3" s="516"/>
      <c r="E3" s="516"/>
    </row>
    <row r="5" spans="1:9">
      <c r="A5" s="515" t="s">
        <v>338</v>
      </c>
      <c r="B5" s="515"/>
      <c r="C5" s="214" t="str">
        <f>査読ｼｰﾄ!C38</f>
        <v>単体試験要領書_MSBBPA050_【画面】Web製品マスタ.xlsx</v>
      </c>
      <c r="D5" s="164" t="s">
        <v>339</v>
      </c>
      <c r="E5" s="513" t="s">
        <v>340</v>
      </c>
      <c r="F5" s="513"/>
      <c r="G5" s="513"/>
      <c r="H5" s="513"/>
      <c r="I5" s="513"/>
    </row>
    <row r="6" spans="1:9" ht="12.75" thickBot="1"/>
    <row r="7" spans="1:9" ht="73.5">
      <c r="A7" s="166" t="s">
        <v>341</v>
      </c>
      <c r="B7" s="167" t="s">
        <v>342</v>
      </c>
      <c r="C7" s="168" t="s">
        <v>343</v>
      </c>
      <c r="D7" s="168" t="s">
        <v>344</v>
      </c>
      <c r="E7" s="169" t="s">
        <v>345</v>
      </c>
      <c r="F7" s="169" t="s">
        <v>346</v>
      </c>
      <c r="G7" s="169" t="s">
        <v>347</v>
      </c>
      <c r="H7" s="169" t="s">
        <v>348</v>
      </c>
      <c r="I7" s="170" t="s">
        <v>349</v>
      </c>
    </row>
    <row r="8" spans="1:9" ht="3" customHeight="1">
      <c r="A8" s="171"/>
      <c r="B8" s="172"/>
      <c r="C8" s="173"/>
      <c r="D8" s="173"/>
      <c r="E8" s="174"/>
      <c r="F8" s="174"/>
      <c r="G8" s="174"/>
      <c r="H8" s="174"/>
      <c r="I8" s="175"/>
    </row>
    <row r="9" spans="1:9" ht="24">
      <c r="A9" s="176" t="s">
        <v>350</v>
      </c>
      <c r="B9" s="177">
        <v>1</v>
      </c>
      <c r="C9" s="178" t="s">
        <v>351</v>
      </c>
      <c r="D9" s="179" t="s">
        <v>352</v>
      </c>
      <c r="E9" s="177" t="s">
        <v>353</v>
      </c>
      <c r="F9" s="215" t="s">
        <v>353</v>
      </c>
      <c r="G9" s="215" t="s">
        <v>353</v>
      </c>
      <c r="H9" s="215" t="s">
        <v>353</v>
      </c>
      <c r="I9" s="216" t="s">
        <v>353</v>
      </c>
    </row>
    <row r="10" spans="1:9" ht="36">
      <c r="A10" s="180"/>
      <c r="B10" s="181">
        <v>2</v>
      </c>
      <c r="C10" s="182" t="s">
        <v>354</v>
      </c>
      <c r="D10" s="183" t="s">
        <v>352</v>
      </c>
      <c r="E10" s="181" t="s">
        <v>353</v>
      </c>
      <c r="F10" s="217" t="s">
        <v>353</v>
      </c>
      <c r="G10" s="217" t="s">
        <v>353</v>
      </c>
      <c r="H10" s="217" t="s">
        <v>353</v>
      </c>
      <c r="I10" s="218" t="s">
        <v>353</v>
      </c>
    </row>
    <row r="11" spans="1:9" ht="24">
      <c r="A11" s="180"/>
      <c r="B11" s="184">
        <v>3</v>
      </c>
      <c r="C11" s="185" t="s">
        <v>355</v>
      </c>
      <c r="D11" s="186" t="s">
        <v>352</v>
      </c>
      <c r="E11" s="184" t="s">
        <v>353</v>
      </c>
      <c r="F11" s="219" t="s">
        <v>353</v>
      </c>
      <c r="G11" s="219" t="s">
        <v>353</v>
      </c>
      <c r="H11" s="219" t="s">
        <v>353</v>
      </c>
      <c r="I11" s="220" t="s">
        <v>353</v>
      </c>
    </row>
    <row r="12" spans="1:9" ht="48">
      <c r="A12" s="180"/>
      <c r="B12" s="184">
        <v>4</v>
      </c>
      <c r="C12" s="185" t="s">
        <v>356</v>
      </c>
      <c r="D12" s="186" t="s">
        <v>352</v>
      </c>
      <c r="E12" s="184" t="s">
        <v>353</v>
      </c>
      <c r="F12" s="219" t="s">
        <v>353</v>
      </c>
      <c r="G12" s="219" t="s">
        <v>353</v>
      </c>
      <c r="H12" s="219" t="s">
        <v>353</v>
      </c>
      <c r="I12" s="220" t="s">
        <v>353</v>
      </c>
    </row>
    <row r="13" spans="1:9" ht="24">
      <c r="A13" s="180"/>
      <c r="B13" s="181">
        <v>5</v>
      </c>
      <c r="C13" s="182" t="s">
        <v>357</v>
      </c>
      <c r="D13" s="183" t="s">
        <v>352</v>
      </c>
      <c r="E13" s="184" t="s">
        <v>353</v>
      </c>
      <c r="F13" s="219" t="s">
        <v>353</v>
      </c>
      <c r="G13" s="219" t="s">
        <v>353</v>
      </c>
      <c r="H13" s="219" t="s">
        <v>353</v>
      </c>
      <c r="I13" s="220" t="s">
        <v>353</v>
      </c>
    </row>
    <row r="14" spans="1:9" ht="168">
      <c r="A14" s="180"/>
      <c r="B14" s="181">
        <v>6</v>
      </c>
      <c r="C14" s="212" t="s">
        <v>358</v>
      </c>
      <c r="D14" s="237" t="s">
        <v>352</v>
      </c>
      <c r="E14" s="213" t="s">
        <v>353</v>
      </c>
      <c r="F14" s="221" t="s">
        <v>353</v>
      </c>
      <c r="G14" s="221" t="s">
        <v>353</v>
      </c>
      <c r="H14" s="221" t="s">
        <v>353</v>
      </c>
      <c r="I14" s="222" t="s">
        <v>353</v>
      </c>
    </row>
    <row r="15" spans="1:9">
      <c r="A15" s="187"/>
      <c r="B15" s="188"/>
      <c r="C15" s="189"/>
      <c r="D15" s="238"/>
      <c r="E15" s="203"/>
      <c r="F15" s="223"/>
      <c r="G15" s="223"/>
      <c r="H15" s="223"/>
      <c r="I15" s="224"/>
    </row>
    <row r="16" spans="1:9" ht="84">
      <c r="A16" s="176" t="s">
        <v>359</v>
      </c>
      <c r="B16" s="177">
        <v>1</v>
      </c>
      <c r="C16" s="178" t="s">
        <v>360</v>
      </c>
      <c r="D16" s="179" t="s">
        <v>352</v>
      </c>
      <c r="E16" s="179" t="s">
        <v>361</v>
      </c>
      <c r="F16" s="215"/>
      <c r="G16" s="215"/>
      <c r="H16" s="215"/>
      <c r="I16" s="216"/>
    </row>
    <row r="17" spans="1:9" ht="24">
      <c r="A17" s="180"/>
      <c r="B17" s="181">
        <v>2</v>
      </c>
      <c r="C17" s="182" t="s">
        <v>362</v>
      </c>
      <c r="D17" s="183" t="s">
        <v>352</v>
      </c>
      <c r="E17" s="183" t="s">
        <v>361</v>
      </c>
      <c r="F17" s="217"/>
      <c r="G17" s="217"/>
      <c r="H17" s="217"/>
      <c r="I17" s="218"/>
    </row>
    <row r="18" spans="1:9" ht="24">
      <c r="A18" s="180"/>
      <c r="B18" s="181">
        <v>3</v>
      </c>
      <c r="C18" s="182" t="s">
        <v>363</v>
      </c>
      <c r="D18" s="183" t="s">
        <v>352</v>
      </c>
      <c r="E18" s="183" t="s">
        <v>361</v>
      </c>
      <c r="F18" s="217"/>
      <c r="G18" s="217"/>
      <c r="H18" s="217"/>
      <c r="I18" s="218"/>
    </row>
    <row r="19" spans="1:9" ht="24">
      <c r="A19" s="180"/>
      <c r="B19" s="181">
        <v>4</v>
      </c>
      <c r="C19" s="182" t="s">
        <v>364</v>
      </c>
      <c r="D19" s="183" t="s">
        <v>352</v>
      </c>
      <c r="E19" s="183" t="s">
        <v>361</v>
      </c>
      <c r="F19" s="217"/>
      <c r="G19" s="217"/>
      <c r="H19" s="217"/>
      <c r="I19" s="218"/>
    </row>
    <row r="20" spans="1:9" ht="24">
      <c r="A20" s="180"/>
      <c r="B20" s="181">
        <v>5</v>
      </c>
      <c r="C20" s="182" t="s">
        <v>365</v>
      </c>
      <c r="D20" s="183" t="s">
        <v>352</v>
      </c>
      <c r="E20" s="183" t="s">
        <v>353</v>
      </c>
      <c r="F20" s="217"/>
      <c r="G20" s="217"/>
      <c r="H20" s="217"/>
      <c r="I20" s="218"/>
    </row>
    <row r="21" spans="1:9" ht="24">
      <c r="A21" s="180"/>
      <c r="B21" s="181">
        <v>6</v>
      </c>
      <c r="C21" s="182" t="s">
        <v>366</v>
      </c>
      <c r="D21" s="183" t="s">
        <v>352</v>
      </c>
      <c r="E21" s="183" t="s">
        <v>353</v>
      </c>
      <c r="F21" s="217"/>
      <c r="G21" s="217"/>
      <c r="H21" s="217"/>
      <c r="I21" s="218"/>
    </row>
    <row r="22" spans="1:9" ht="24">
      <c r="A22" s="180"/>
      <c r="B22" s="181">
        <v>7</v>
      </c>
      <c r="C22" s="182" t="s">
        <v>367</v>
      </c>
      <c r="D22" s="183" t="s">
        <v>352</v>
      </c>
      <c r="E22" s="183" t="s">
        <v>353</v>
      </c>
      <c r="F22" s="217"/>
      <c r="G22" s="217"/>
      <c r="H22" s="217"/>
      <c r="I22" s="218"/>
    </row>
    <row r="23" spans="1:9" ht="24">
      <c r="A23" s="180"/>
      <c r="B23" s="181">
        <v>8</v>
      </c>
      <c r="C23" s="182" t="s">
        <v>368</v>
      </c>
      <c r="D23" s="183" t="s">
        <v>352</v>
      </c>
      <c r="E23" s="183" t="s">
        <v>353</v>
      </c>
      <c r="F23" s="217"/>
      <c r="G23" s="217"/>
      <c r="H23" s="217"/>
      <c r="I23" s="218"/>
    </row>
    <row r="24" spans="1:9" ht="36">
      <c r="A24" s="180"/>
      <c r="B24" s="181">
        <v>9</v>
      </c>
      <c r="C24" s="182" t="s">
        <v>369</v>
      </c>
      <c r="D24" s="183" t="s">
        <v>352</v>
      </c>
      <c r="E24" s="183" t="s">
        <v>353</v>
      </c>
      <c r="F24" s="217"/>
      <c r="G24" s="217"/>
      <c r="H24" s="217"/>
      <c r="I24" s="218"/>
    </row>
    <row r="25" spans="1:9" ht="36">
      <c r="A25" s="180"/>
      <c r="B25" s="184">
        <v>10</v>
      </c>
      <c r="C25" s="185" t="s">
        <v>370</v>
      </c>
      <c r="D25" s="186" t="s">
        <v>352</v>
      </c>
      <c r="E25" s="186" t="s">
        <v>353</v>
      </c>
      <c r="F25" s="219"/>
      <c r="G25" s="219"/>
      <c r="H25" s="219"/>
      <c r="I25" s="220"/>
    </row>
    <row r="26" spans="1:9">
      <c r="A26" s="187"/>
      <c r="B26" s="190"/>
      <c r="C26" s="191"/>
      <c r="D26" s="192"/>
      <c r="E26" s="192"/>
      <c r="F26" s="225"/>
      <c r="G26" s="225"/>
      <c r="H26" s="225"/>
      <c r="I26" s="226"/>
    </row>
    <row r="27" spans="1:9" ht="60">
      <c r="A27" s="176" t="s">
        <v>371</v>
      </c>
      <c r="B27" s="177">
        <v>1</v>
      </c>
      <c r="C27" s="178" t="s">
        <v>372</v>
      </c>
      <c r="D27" s="179" t="s">
        <v>352</v>
      </c>
      <c r="E27" s="179" t="s">
        <v>353</v>
      </c>
      <c r="F27" s="215"/>
      <c r="G27" s="215"/>
      <c r="H27" s="215"/>
      <c r="I27" s="216"/>
    </row>
    <row r="28" spans="1:9" ht="60">
      <c r="A28" s="180"/>
      <c r="B28" s="181">
        <v>2</v>
      </c>
      <c r="C28" s="182" t="s">
        <v>373</v>
      </c>
      <c r="D28" s="183" t="s">
        <v>352</v>
      </c>
      <c r="E28" s="183" t="s">
        <v>353</v>
      </c>
      <c r="F28" s="217"/>
      <c r="G28" s="217"/>
      <c r="H28" s="217"/>
      <c r="I28" s="218"/>
    </row>
    <row r="29" spans="1:9" ht="72">
      <c r="A29" s="180"/>
      <c r="B29" s="184">
        <v>3</v>
      </c>
      <c r="C29" s="185" t="s">
        <v>374</v>
      </c>
      <c r="D29" s="186" t="s">
        <v>352</v>
      </c>
      <c r="E29" s="186" t="s">
        <v>353</v>
      </c>
      <c r="F29" s="219"/>
      <c r="G29" s="219"/>
      <c r="H29" s="219"/>
      <c r="I29" s="220"/>
    </row>
    <row r="30" spans="1:9">
      <c r="A30" s="187"/>
      <c r="B30" s="190"/>
      <c r="C30" s="191"/>
      <c r="D30" s="192"/>
      <c r="E30" s="192"/>
      <c r="F30" s="225"/>
      <c r="G30" s="225"/>
      <c r="H30" s="225"/>
      <c r="I30" s="226"/>
    </row>
    <row r="31" spans="1:9" ht="36">
      <c r="A31" s="176" t="s">
        <v>375</v>
      </c>
      <c r="B31" s="177">
        <v>1</v>
      </c>
      <c r="C31" s="178" t="s">
        <v>376</v>
      </c>
      <c r="D31" s="179" t="s">
        <v>352</v>
      </c>
      <c r="E31" s="179" t="s">
        <v>353</v>
      </c>
      <c r="F31" s="215"/>
      <c r="G31" s="215"/>
      <c r="H31" s="215"/>
      <c r="I31" s="216"/>
    </row>
    <row r="32" spans="1:9" ht="36">
      <c r="A32" s="180"/>
      <c r="B32" s="181">
        <v>2</v>
      </c>
      <c r="C32" s="182" t="s">
        <v>377</v>
      </c>
      <c r="D32" s="183" t="s">
        <v>352</v>
      </c>
      <c r="E32" s="183" t="s">
        <v>353</v>
      </c>
      <c r="F32" s="217"/>
      <c r="G32" s="217"/>
      <c r="H32" s="217"/>
      <c r="I32" s="218"/>
    </row>
    <row r="33" spans="1:9" ht="36">
      <c r="A33" s="180"/>
      <c r="B33" s="181">
        <v>3</v>
      </c>
      <c r="C33" s="182" t="s">
        <v>378</v>
      </c>
      <c r="D33" s="183" t="s">
        <v>352</v>
      </c>
      <c r="E33" s="183" t="s">
        <v>353</v>
      </c>
      <c r="F33" s="217"/>
      <c r="G33" s="217"/>
      <c r="H33" s="217"/>
      <c r="I33" s="218"/>
    </row>
    <row r="34" spans="1:9" ht="36">
      <c r="A34" s="180"/>
      <c r="B34" s="181">
        <v>4</v>
      </c>
      <c r="C34" s="182" t="s">
        <v>379</v>
      </c>
      <c r="D34" s="183" t="s">
        <v>352</v>
      </c>
      <c r="E34" s="183" t="s">
        <v>353</v>
      </c>
      <c r="F34" s="217"/>
      <c r="G34" s="217"/>
      <c r="H34" s="217"/>
      <c r="I34" s="218"/>
    </row>
    <row r="35" spans="1:9" ht="36">
      <c r="A35" s="180"/>
      <c r="B35" s="181">
        <v>5</v>
      </c>
      <c r="C35" s="182" t="s">
        <v>380</v>
      </c>
      <c r="D35" s="183" t="s">
        <v>352</v>
      </c>
      <c r="E35" s="183" t="s">
        <v>353</v>
      </c>
      <c r="F35" s="217"/>
      <c r="G35" s="217"/>
      <c r="H35" s="217"/>
      <c r="I35" s="218"/>
    </row>
    <row r="36" spans="1:9" ht="36">
      <c r="A36" s="180"/>
      <c r="B36" s="181">
        <v>6</v>
      </c>
      <c r="C36" s="182" t="s">
        <v>381</v>
      </c>
      <c r="D36" s="183" t="s">
        <v>352</v>
      </c>
      <c r="E36" s="183" t="s">
        <v>353</v>
      </c>
      <c r="F36" s="217"/>
      <c r="G36" s="217"/>
      <c r="H36" s="217"/>
      <c r="I36" s="218"/>
    </row>
    <row r="37" spans="1:9" ht="36">
      <c r="A37" s="180"/>
      <c r="B37" s="181">
        <v>7</v>
      </c>
      <c r="C37" s="182" t="s">
        <v>382</v>
      </c>
      <c r="D37" s="183" t="s">
        <v>352</v>
      </c>
      <c r="E37" s="183" t="s">
        <v>353</v>
      </c>
      <c r="F37" s="217"/>
      <c r="G37" s="217"/>
      <c r="H37" s="217"/>
      <c r="I37" s="218"/>
    </row>
    <row r="38" spans="1:9" ht="36">
      <c r="A38" s="180"/>
      <c r="B38" s="181">
        <v>8</v>
      </c>
      <c r="C38" s="182" t="s">
        <v>383</v>
      </c>
      <c r="D38" s="183" t="s">
        <v>352</v>
      </c>
      <c r="E38" s="183" t="s">
        <v>353</v>
      </c>
      <c r="F38" s="217"/>
      <c r="G38" s="217"/>
      <c r="H38" s="217"/>
      <c r="I38" s="218"/>
    </row>
    <row r="39" spans="1:9" ht="36">
      <c r="A39" s="180"/>
      <c r="B39" s="181">
        <v>9</v>
      </c>
      <c r="C39" s="182" t="s">
        <v>384</v>
      </c>
      <c r="D39" s="183" t="s">
        <v>352</v>
      </c>
      <c r="E39" s="183" t="s">
        <v>353</v>
      </c>
      <c r="F39" s="217"/>
      <c r="G39" s="217"/>
      <c r="H39" s="217"/>
      <c r="I39" s="218"/>
    </row>
    <row r="40" spans="1:9" ht="48">
      <c r="A40" s="180"/>
      <c r="B40" s="181">
        <v>10</v>
      </c>
      <c r="C40" s="182" t="s">
        <v>385</v>
      </c>
      <c r="D40" s="183" t="s">
        <v>352</v>
      </c>
      <c r="E40" s="183" t="s">
        <v>353</v>
      </c>
      <c r="F40" s="217"/>
      <c r="G40" s="217"/>
      <c r="H40" s="217"/>
      <c r="I40" s="218"/>
    </row>
    <row r="41" spans="1:9" ht="72">
      <c r="A41" s="180"/>
      <c r="B41" s="181">
        <v>11</v>
      </c>
      <c r="C41" s="182" t="s">
        <v>386</v>
      </c>
      <c r="D41" s="183" t="s">
        <v>352</v>
      </c>
      <c r="E41" s="183" t="s">
        <v>353</v>
      </c>
      <c r="F41" s="217"/>
      <c r="G41" s="217"/>
      <c r="H41" s="217"/>
      <c r="I41" s="218"/>
    </row>
    <row r="42" spans="1:9" ht="36">
      <c r="A42" s="180"/>
      <c r="B42" s="181">
        <v>12</v>
      </c>
      <c r="C42" s="182" t="s">
        <v>387</v>
      </c>
      <c r="D42" s="183" t="s">
        <v>352</v>
      </c>
      <c r="E42" s="183" t="s">
        <v>353</v>
      </c>
      <c r="F42" s="217"/>
      <c r="G42" s="217"/>
      <c r="H42" s="217"/>
      <c r="I42" s="218"/>
    </row>
    <row r="43" spans="1:9" ht="36">
      <c r="A43" s="180"/>
      <c r="B43" s="181">
        <v>13</v>
      </c>
      <c r="C43" s="182" t="s">
        <v>388</v>
      </c>
      <c r="D43" s="183" t="s">
        <v>352</v>
      </c>
      <c r="E43" s="183" t="s">
        <v>353</v>
      </c>
      <c r="F43" s="217"/>
      <c r="G43" s="217"/>
      <c r="H43" s="217"/>
      <c r="I43" s="218"/>
    </row>
    <row r="44" spans="1:9" ht="24">
      <c r="A44" s="180"/>
      <c r="B44" s="184">
        <v>14</v>
      </c>
      <c r="C44" s="185" t="s">
        <v>389</v>
      </c>
      <c r="D44" s="186" t="s">
        <v>352</v>
      </c>
      <c r="E44" s="186" t="s">
        <v>353</v>
      </c>
      <c r="F44" s="219"/>
      <c r="G44" s="219"/>
      <c r="H44" s="219"/>
      <c r="I44" s="220"/>
    </row>
    <row r="45" spans="1:9">
      <c r="A45" s="187"/>
      <c r="B45" s="184"/>
      <c r="C45" s="191"/>
      <c r="D45" s="192"/>
      <c r="E45" s="192"/>
      <c r="F45" s="225"/>
      <c r="G45" s="225"/>
      <c r="H45" s="225"/>
      <c r="I45" s="226"/>
    </row>
    <row r="46" spans="1:9" ht="36">
      <c r="A46" s="193" t="s">
        <v>390</v>
      </c>
      <c r="B46" s="194"/>
      <c r="C46" s="178" t="s">
        <v>391</v>
      </c>
      <c r="D46" s="195"/>
      <c r="E46" s="195"/>
      <c r="F46" s="227"/>
      <c r="G46" s="227"/>
      <c r="H46" s="227"/>
      <c r="I46" s="228"/>
    </row>
    <row r="47" spans="1:9">
      <c r="A47" s="196"/>
      <c r="B47" s="181">
        <v>1</v>
      </c>
      <c r="C47" s="182" t="s">
        <v>392</v>
      </c>
      <c r="D47" s="183" t="s">
        <v>352</v>
      </c>
      <c r="E47" s="183" t="s">
        <v>361</v>
      </c>
      <c r="F47" s="217"/>
      <c r="G47" s="217"/>
      <c r="H47" s="217"/>
      <c r="I47" s="218"/>
    </row>
    <row r="48" spans="1:9">
      <c r="A48" s="196"/>
      <c r="B48" s="181">
        <v>2</v>
      </c>
      <c r="C48" s="182" t="s">
        <v>393</v>
      </c>
      <c r="D48" s="183" t="s">
        <v>352</v>
      </c>
      <c r="E48" s="183" t="s">
        <v>361</v>
      </c>
      <c r="F48" s="217"/>
      <c r="G48" s="217"/>
      <c r="H48" s="217"/>
      <c r="I48" s="218"/>
    </row>
    <row r="49" spans="1:9">
      <c r="A49" s="196"/>
      <c r="B49" s="181">
        <v>3</v>
      </c>
      <c r="C49" s="182" t="s">
        <v>394</v>
      </c>
      <c r="D49" s="183" t="s">
        <v>352</v>
      </c>
      <c r="E49" s="183" t="s">
        <v>361</v>
      </c>
      <c r="F49" s="217"/>
      <c r="G49" s="217"/>
      <c r="H49" s="217"/>
      <c r="I49" s="218"/>
    </row>
    <row r="50" spans="1:9">
      <c r="A50" s="196"/>
      <c r="B50" s="181">
        <v>4</v>
      </c>
      <c r="C50" s="182" t="s">
        <v>395</v>
      </c>
      <c r="D50" s="183" t="s">
        <v>352</v>
      </c>
      <c r="E50" s="183" t="s">
        <v>361</v>
      </c>
      <c r="F50" s="217"/>
      <c r="G50" s="217"/>
      <c r="H50" s="217"/>
      <c r="I50" s="218"/>
    </row>
    <row r="51" spans="1:9" ht="24">
      <c r="A51" s="196"/>
      <c r="B51" s="181">
        <v>5</v>
      </c>
      <c r="C51" s="182" t="s">
        <v>396</v>
      </c>
      <c r="D51" s="183" t="s">
        <v>352</v>
      </c>
      <c r="E51" s="183" t="s">
        <v>361</v>
      </c>
      <c r="F51" s="217"/>
      <c r="G51" s="217"/>
      <c r="H51" s="217"/>
      <c r="I51" s="218"/>
    </row>
    <row r="52" spans="1:9">
      <c r="A52" s="196"/>
      <c r="B52" s="181">
        <v>6</v>
      </c>
      <c r="C52" s="182" t="s">
        <v>397</v>
      </c>
      <c r="D52" s="183" t="s">
        <v>352</v>
      </c>
      <c r="E52" s="183" t="s">
        <v>361</v>
      </c>
      <c r="F52" s="217"/>
      <c r="G52" s="217"/>
      <c r="H52" s="217"/>
      <c r="I52" s="218"/>
    </row>
    <row r="53" spans="1:9" ht="24">
      <c r="A53" s="196"/>
      <c r="B53" s="181">
        <v>7</v>
      </c>
      <c r="C53" s="182" t="s">
        <v>398</v>
      </c>
      <c r="D53" s="183" t="s">
        <v>352</v>
      </c>
      <c r="E53" s="183" t="s">
        <v>361</v>
      </c>
      <c r="F53" s="217"/>
      <c r="G53" s="217"/>
      <c r="H53" s="217"/>
      <c r="I53" s="218"/>
    </row>
    <row r="54" spans="1:9">
      <c r="A54" s="196"/>
      <c r="B54" s="181">
        <v>8</v>
      </c>
      <c r="C54" s="182" t="s">
        <v>399</v>
      </c>
      <c r="D54" s="183" t="s">
        <v>352</v>
      </c>
      <c r="E54" s="183" t="s">
        <v>361</v>
      </c>
      <c r="F54" s="217"/>
      <c r="G54" s="217"/>
      <c r="H54" s="217"/>
      <c r="I54" s="218"/>
    </row>
    <row r="55" spans="1:9" ht="24">
      <c r="A55" s="196"/>
      <c r="B55" s="184">
        <v>9</v>
      </c>
      <c r="C55" s="185" t="s">
        <v>400</v>
      </c>
      <c r="D55" s="186" t="s">
        <v>352</v>
      </c>
      <c r="E55" s="186" t="s">
        <v>361</v>
      </c>
      <c r="F55" s="219"/>
      <c r="G55" s="219"/>
      <c r="H55" s="219"/>
      <c r="I55" s="220"/>
    </row>
    <row r="56" spans="1:9" ht="36">
      <c r="A56" s="196"/>
      <c r="B56" s="181">
        <v>10</v>
      </c>
      <c r="C56" s="182" t="s">
        <v>401</v>
      </c>
      <c r="D56" s="183" t="s">
        <v>352</v>
      </c>
      <c r="E56" s="183" t="s">
        <v>361</v>
      </c>
      <c r="F56" s="217"/>
      <c r="G56" s="217"/>
      <c r="H56" s="217"/>
      <c r="I56" s="218"/>
    </row>
    <row r="57" spans="1:9" ht="24">
      <c r="A57" s="196"/>
      <c r="B57" s="194"/>
      <c r="C57" s="182" t="s">
        <v>402</v>
      </c>
      <c r="D57" s="197"/>
      <c r="E57" s="197"/>
      <c r="F57" s="229"/>
      <c r="G57" s="229"/>
      <c r="H57" s="229"/>
      <c r="I57" s="230"/>
    </row>
    <row r="58" spans="1:9">
      <c r="A58" s="196"/>
      <c r="B58" s="181">
        <v>11</v>
      </c>
      <c r="C58" s="198" t="s">
        <v>403</v>
      </c>
      <c r="D58" s="183" t="s">
        <v>352</v>
      </c>
      <c r="E58" s="183" t="s">
        <v>361</v>
      </c>
      <c r="F58" s="217"/>
      <c r="G58" s="217"/>
      <c r="H58" s="217"/>
      <c r="I58" s="218"/>
    </row>
    <row r="59" spans="1:9">
      <c r="A59" s="196"/>
      <c r="B59" s="181">
        <v>12</v>
      </c>
      <c r="C59" s="198" t="s">
        <v>404</v>
      </c>
      <c r="D59" s="183" t="s">
        <v>352</v>
      </c>
      <c r="E59" s="183" t="s">
        <v>361</v>
      </c>
      <c r="F59" s="217"/>
      <c r="G59" s="217"/>
      <c r="H59" s="217"/>
      <c r="I59" s="218"/>
    </row>
    <row r="60" spans="1:9" ht="24">
      <c r="A60" s="196"/>
      <c r="B60" s="181">
        <v>13</v>
      </c>
      <c r="C60" s="182" t="s">
        <v>405</v>
      </c>
      <c r="D60" s="183" t="s">
        <v>352</v>
      </c>
      <c r="E60" s="183" t="s">
        <v>361</v>
      </c>
      <c r="F60" s="217"/>
      <c r="G60" s="217"/>
      <c r="H60" s="217"/>
      <c r="I60" s="218"/>
    </row>
    <row r="61" spans="1:9" ht="36">
      <c r="A61" s="196"/>
      <c r="B61" s="194"/>
      <c r="C61" s="182" t="s">
        <v>406</v>
      </c>
      <c r="D61" s="197"/>
      <c r="E61" s="197"/>
      <c r="F61" s="229"/>
      <c r="G61" s="229"/>
      <c r="H61" s="229"/>
      <c r="I61" s="230"/>
    </row>
    <row r="62" spans="1:9">
      <c r="A62" s="196"/>
      <c r="B62" s="181">
        <v>14</v>
      </c>
      <c r="C62" s="182" t="s">
        <v>407</v>
      </c>
      <c r="D62" s="183" t="s">
        <v>352</v>
      </c>
      <c r="E62" s="183" t="s">
        <v>361</v>
      </c>
      <c r="F62" s="217"/>
      <c r="G62" s="217"/>
      <c r="H62" s="217"/>
      <c r="I62" s="218"/>
    </row>
    <row r="63" spans="1:9">
      <c r="A63" s="196"/>
      <c r="B63" s="181">
        <v>15</v>
      </c>
      <c r="C63" s="182" t="s">
        <v>408</v>
      </c>
      <c r="D63" s="183" t="s">
        <v>352</v>
      </c>
      <c r="E63" s="183" t="s">
        <v>361</v>
      </c>
      <c r="F63" s="217"/>
      <c r="G63" s="217"/>
      <c r="H63" s="217"/>
      <c r="I63" s="218"/>
    </row>
    <row r="64" spans="1:9">
      <c r="A64" s="196"/>
      <c r="B64" s="181">
        <v>16</v>
      </c>
      <c r="C64" s="182" t="s">
        <v>409</v>
      </c>
      <c r="D64" s="183" t="s">
        <v>352</v>
      </c>
      <c r="E64" s="183" t="s">
        <v>361</v>
      </c>
      <c r="F64" s="217"/>
      <c r="G64" s="217"/>
      <c r="H64" s="217"/>
      <c r="I64" s="218"/>
    </row>
    <row r="65" spans="1:9">
      <c r="A65" s="196"/>
      <c r="B65" s="181">
        <v>17</v>
      </c>
      <c r="C65" s="182" t="s">
        <v>410</v>
      </c>
      <c r="D65" s="183" t="s">
        <v>352</v>
      </c>
      <c r="E65" s="183" t="s">
        <v>361</v>
      </c>
      <c r="F65" s="217"/>
      <c r="G65" s="217"/>
      <c r="H65" s="217"/>
      <c r="I65" s="218"/>
    </row>
    <row r="66" spans="1:9" ht="24">
      <c r="A66" s="196"/>
      <c r="B66" s="181">
        <v>18</v>
      </c>
      <c r="C66" s="182" t="s">
        <v>396</v>
      </c>
      <c r="D66" s="183" t="s">
        <v>352</v>
      </c>
      <c r="E66" s="183" t="s">
        <v>361</v>
      </c>
      <c r="F66" s="217"/>
      <c r="G66" s="217"/>
      <c r="H66" s="217"/>
      <c r="I66" s="218"/>
    </row>
    <row r="67" spans="1:9">
      <c r="A67" s="196"/>
      <c r="B67" s="181">
        <v>19</v>
      </c>
      <c r="C67" s="182" t="s">
        <v>397</v>
      </c>
      <c r="D67" s="183" t="s">
        <v>352</v>
      </c>
      <c r="E67" s="183" t="s">
        <v>361</v>
      </c>
      <c r="F67" s="217"/>
      <c r="G67" s="217"/>
      <c r="H67" s="217"/>
      <c r="I67" s="218"/>
    </row>
    <row r="68" spans="1:9">
      <c r="A68" s="196"/>
      <c r="B68" s="181">
        <v>20</v>
      </c>
      <c r="C68" s="182" t="s">
        <v>411</v>
      </c>
      <c r="D68" s="183" t="s">
        <v>352</v>
      </c>
      <c r="E68" s="183" t="s">
        <v>361</v>
      </c>
      <c r="F68" s="217"/>
      <c r="G68" s="217"/>
      <c r="H68" s="217"/>
      <c r="I68" s="218"/>
    </row>
    <row r="69" spans="1:9">
      <c r="A69" s="196"/>
      <c r="B69" s="181">
        <v>21</v>
      </c>
      <c r="C69" s="182" t="s">
        <v>412</v>
      </c>
      <c r="D69" s="183" t="s">
        <v>352</v>
      </c>
      <c r="E69" s="183" t="s">
        <v>361</v>
      </c>
      <c r="F69" s="217"/>
      <c r="G69" s="217"/>
      <c r="H69" s="217"/>
      <c r="I69" s="218"/>
    </row>
    <row r="70" spans="1:9">
      <c r="A70" s="196"/>
      <c r="B70" s="181">
        <v>22</v>
      </c>
      <c r="C70" s="182" t="s">
        <v>413</v>
      </c>
      <c r="D70" s="183" t="s">
        <v>352</v>
      </c>
      <c r="E70" s="183" t="s">
        <v>361</v>
      </c>
      <c r="F70" s="217"/>
      <c r="G70" s="217"/>
      <c r="H70" s="217"/>
      <c r="I70" s="218"/>
    </row>
    <row r="71" spans="1:9" ht="36">
      <c r="A71" s="196"/>
      <c r="B71" s="194"/>
      <c r="C71" s="182" t="s">
        <v>414</v>
      </c>
      <c r="D71" s="197"/>
      <c r="E71" s="197"/>
      <c r="F71" s="229"/>
      <c r="G71" s="229"/>
      <c r="H71" s="229"/>
      <c r="I71" s="230"/>
    </row>
    <row r="72" spans="1:9">
      <c r="A72" s="196"/>
      <c r="B72" s="181">
        <v>18</v>
      </c>
      <c r="C72" s="182" t="s">
        <v>415</v>
      </c>
      <c r="D72" s="183" t="s">
        <v>352</v>
      </c>
      <c r="E72" s="183" t="s">
        <v>361</v>
      </c>
      <c r="F72" s="217"/>
      <c r="G72" s="217"/>
      <c r="H72" s="217"/>
      <c r="I72" s="218"/>
    </row>
    <row r="73" spans="1:9">
      <c r="A73" s="196"/>
      <c r="B73" s="181">
        <v>19</v>
      </c>
      <c r="C73" s="182" t="s">
        <v>416</v>
      </c>
      <c r="D73" s="183" t="s">
        <v>352</v>
      </c>
      <c r="E73" s="183" t="s">
        <v>361</v>
      </c>
      <c r="F73" s="217"/>
      <c r="G73" s="217"/>
      <c r="H73" s="217"/>
      <c r="I73" s="218"/>
    </row>
    <row r="74" spans="1:9">
      <c r="A74" s="196"/>
      <c r="B74" s="181">
        <v>20</v>
      </c>
      <c r="C74" s="182" t="s">
        <v>417</v>
      </c>
      <c r="D74" s="183" t="s">
        <v>352</v>
      </c>
      <c r="E74" s="183" t="s">
        <v>361</v>
      </c>
      <c r="F74" s="217"/>
      <c r="G74" s="217"/>
      <c r="H74" s="217"/>
      <c r="I74" s="218"/>
    </row>
    <row r="75" spans="1:9">
      <c r="A75" s="196"/>
      <c r="B75" s="181">
        <v>21</v>
      </c>
      <c r="C75" s="182" t="s">
        <v>418</v>
      </c>
      <c r="D75" s="183" t="s">
        <v>352</v>
      </c>
      <c r="E75" s="183" t="s">
        <v>361</v>
      </c>
      <c r="F75" s="217"/>
      <c r="G75" s="217"/>
      <c r="H75" s="217"/>
      <c r="I75" s="218"/>
    </row>
    <row r="76" spans="1:9" ht="36">
      <c r="A76" s="196"/>
      <c r="B76" s="181">
        <v>22</v>
      </c>
      <c r="C76" s="182" t="s">
        <v>419</v>
      </c>
      <c r="D76" s="183" t="s">
        <v>352</v>
      </c>
      <c r="E76" s="183" t="s">
        <v>361</v>
      </c>
      <c r="F76" s="217"/>
      <c r="G76" s="217"/>
      <c r="H76" s="217"/>
      <c r="I76" s="218"/>
    </row>
    <row r="77" spans="1:9" ht="24">
      <c r="A77" s="180"/>
      <c r="B77" s="194"/>
      <c r="C77" s="185" t="s">
        <v>420</v>
      </c>
      <c r="D77" s="197"/>
      <c r="E77" s="197"/>
      <c r="F77" s="229"/>
      <c r="G77" s="229"/>
      <c r="H77" s="229"/>
      <c r="I77" s="230"/>
    </row>
    <row r="78" spans="1:9">
      <c r="A78" s="180"/>
      <c r="B78" s="184">
        <v>23</v>
      </c>
      <c r="C78" s="185" t="s">
        <v>421</v>
      </c>
      <c r="D78" s="186" t="s">
        <v>352</v>
      </c>
      <c r="E78" s="186" t="s">
        <v>361</v>
      </c>
      <c r="F78" s="219"/>
      <c r="G78" s="219"/>
      <c r="H78" s="219"/>
      <c r="I78" s="220"/>
    </row>
    <row r="79" spans="1:9">
      <c r="A79" s="180"/>
      <c r="B79" s="184">
        <v>24</v>
      </c>
      <c r="C79" s="185" t="s">
        <v>422</v>
      </c>
      <c r="D79" s="186" t="s">
        <v>352</v>
      </c>
      <c r="E79" s="186" t="s">
        <v>361</v>
      </c>
      <c r="F79" s="219"/>
      <c r="G79" s="219"/>
      <c r="H79" s="219"/>
      <c r="I79" s="220"/>
    </row>
    <row r="80" spans="1:9" ht="24">
      <c r="A80" s="180"/>
      <c r="B80" s="184">
        <v>25</v>
      </c>
      <c r="C80" s="185" t="s">
        <v>423</v>
      </c>
      <c r="D80" s="186" t="s">
        <v>352</v>
      </c>
      <c r="E80" s="186" t="s">
        <v>353</v>
      </c>
      <c r="F80" s="219"/>
      <c r="G80" s="219"/>
      <c r="H80" s="219"/>
      <c r="I80" s="220"/>
    </row>
    <row r="81" spans="1:9">
      <c r="A81" s="187"/>
      <c r="B81" s="190"/>
      <c r="C81" s="191"/>
      <c r="D81" s="192"/>
      <c r="E81" s="192"/>
      <c r="F81" s="225"/>
      <c r="G81" s="225"/>
      <c r="H81" s="225"/>
      <c r="I81" s="226"/>
    </row>
    <row r="82" spans="1:9" ht="36">
      <c r="A82" s="193" t="s">
        <v>424</v>
      </c>
      <c r="B82" s="177">
        <v>1</v>
      </c>
      <c r="C82" s="178" t="s">
        <v>425</v>
      </c>
      <c r="D82" s="179"/>
      <c r="E82" s="179"/>
      <c r="F82" s="231" t="s">
        <v>353</v>
      </c>
      <c r="G82" s="231" t="s">
        <v>353</v>
      </c>
      <c r="H82" s="215" t="s">
        <v>353</v>
      </c>
      <c r="I82" s="216" t="s">
        <v>353</v>
      </c>
    </row>
    <row r="83" spans="1:9" ht="48">
      <c r="A83" s="180"/>
      <c r="B83" s="181">
        <v>2</v>
      </c>
      <c r="C83" s="182" t="s">
        <v>426</v>
      </c>
      <c r="D83" s="183"/>
      <c r="E83" s="183"/>
      <c r="F83" s="217" t="s">
        <v>353</v>
      </c>
      <c r="G83" s="217" t="s">
        <v>353</v>
      </c>
      <c r="H83" s="217" t="s">
        <v>353</v>
      </c>
      <c r="I83" s="218" t="s">
        <v>353</v>
      </c>
    </row>
    <row r="84" spans="1:9" ht="24">
      <c r="A84" s="180"/>
      <c r="B84" s="181">
        <v>3</v>
      </c>
      <c r="C84" s="182" t="s">
        <v>427</v>
      </c>
      <c r="D84" s="183"/>
      <c r="E84" s="183"/>
      <c r="F84" s="217" t="s">
        <v>353</v>
      </c>
      <c r="G84" s="217" t="s">
        <v>353</v>
      </c>
      <c r="H84" s="217" t="s">
        <v>353</v>
      </c>
      <c r="I84" s="218" t="s">
        <v>353</v>
      </c>
    </row>
    <row r="85" spans="1:9" ht="24">
      <c r="A85" s="180"/>
      <c r="B85" s="184">
        <v>4</v>
      </c>
      <c r="C85" s="185" t="s">
        <v>428</v>
      </c>
      <c r="D85" s="186"/>
      <c r="E85" s="186"/>
      <c r="F85" s="219" t="s">
        <v>353</v>
      </c>
      <c r="G85" s="219" t="s">
        <v>353</v>
      </c>
      <c r="H85" s="219" t="s">
        <v>353</v>
      </c>
      <c r="I85" s="220" t="s">
        <v>353</v>
      </c>
    </row>
    <row r="86" spans="1:9">
      <c r="A86" s="187"/>
      <c r="B86" s="190"/>
      <c r="C86" s="191"/>
      <c r="D86" s="192"/>
      <c r="E86" s="192"/>
      <c r="F86" s="225"/>
      <c r="G86" s="225"/>
      <c r="H86" s="225"/>
      <c r="I86" s="226"/>
    </row>
    <row r="87" spans="1:9" ht="36">
      <c r="A87" s="196" t="s">
        <v>429</v>
      </c>
      <c r="B87" s="200">
        <v>1</v>
      </c>
      <c r="C87" s="201" t="s">
        <v>430</v>
      </c>
      <c r="D87" s="202"/>
      <c r="E87" s="202"/>
      <c r="F87" s="215" t="s">
        <v>353</v>
      </c>
      <c r="G87" s="215" t="s">
        <v>353</v>
      </c>
      <c r="H87" s="232" t="s">
        <v>353</v>
      </c>
      <c r="I87" s="233" t="s">
        <v>353</v>
      </c>
    </row>
    <row r="88" spans="1:9" ht="48">
      <c r="A88" s="180"/>
      <c r="B88" s="181">
        <v>2</v>
      </c>
      <c r="C88" s="182" t="s">
        <v>431</v>
      </c>
      <c r="D88" s="183"/>
      <c r="E88" s="183"/>
      <c r="F88" s="217" t="s">
        <v>353</v>
      </c>
      <c r="G88" s="217" t="s">
        <v>353</v>
      </c>
      <c r="H88" s="217" t="s">
        <v>353</v>
      </c>
      <c r="I88" s="218" t="s">
        <v>353</v>
      </c>
    </row>
    <row r="89" spans="1:9" ht="24">
      <c r="A89" s="180"/>
      <c r="B89" s="181">
        <v>3</v>
      </c>
      <c r="C89" s="182" t="s">
        <v>432</v>
      </c>
      <c r="D89" s="183"/>
      <c r="E89" s="183"/>
      <c r="F89" s="217" t="s">
        <v>353</v>
      </c>
      <c r="G89" s="217" t="s">
        <v>353</v>
      </c>
      <c r="H89" s="217" t="s">
        <v>353</v>
      </c>
      <c r="I89" s="218" t="s">
        <v>353</v>
      </c>
    </row>
    <row r="90" spans="1:9" ht="24">
      <c r="A90" s="180"/>
      <c r="B90" s="181">
        <v>4</v>
      </c>
      <c r="C90" s="182" t="s">
        <v>433</v>
      </c>
      <c r="D90" s="183"/>
      <c r="E90" s="183"/>
      <c r="F90" s="217" t="s">
        <v>353</v>
      </c>
      <c r="G90" s="217" t="s">
        <v>353</v>
      </c>
      <c r="H90" s="217" t="s">
        <v>353</v>
      </c>
      <c r="I90" s="218" t="s">
        <v>353</v>
      </c>
    </row>
    <row r="91" spans="1:9" ht="24">
      <c r="A91" s="180"/>
      <c r="B91" s="181">
        <v>5</v>
      </c>
      <c r="C91" s="182" t="s">
        <v>434</v>
      </c>
      <c r="D91" s="183"/>
      <c r="E91" s="183"/>
      <c r="F91" s="217" t="s">
        <v>353</v>
      </c>
      <c r="G91" s="217" t="s">
        <v>353</v>
      </c>
      <c r="H91" s="217" t="s">
        <v>353</v>
      </c>
      <c r="I91" s="218" t="s">
        <v>353</v>
      </c>
    </row>
    <row r="92" spans="1:9" ht="24">
      <c r="A92" s="180"/>
      <c r="B92" s="181">
        <v>6</v>
      </c>
      <c r="C92" s="182" t="s">
        <v>435</v>
      </c>
      <c r="D92" s="183"/>
      <c r="E92" s="183"/>
      <c r="F92" s="217" t="s">
        <v>353</v>
      </c>
      <c r="G92" s="217" t="s">
        <v>353</v>
      </c>
      <c r="H92" s="217" t="s">
        <v>353</v>
      </c>
      <c r="I92" s="218" t="s">
        <v>353</v>
      </c>
    </row>
    <row r="93" spans="1:9" ht="24">
      <c r="A93" s="180"/>
      <c r="B93" s="181">
        <v>7</v>
      </c>
      <c r="C93" s="182" t="s">
        <v>436</v>
      </c>
      <c r="D93" s="183"/>
      <c r="E93" s="183"/>
      <c r="F93" s="217" t="s">
        <v>353</v>
      </c>
      <c r="G93" s="217" t="s">
        <v>353</v>
      </c>
      <c r="H93" s="217" t="s">
        <v>353</v>
      </c>
      <c r="I93" s="218" t="s">
        <v>353</v>
      </c>
    </row>
    <row r="94" spans="1:9" ht="24">
      <c r="A94" s="180"/>
      <c r="B94" s="181">
        <v>8</v>
      </c>
      <c r="C94" s="182" t="s">
        <v>437</v>
      </c>
      <c r="D94" s="183"/>
      <c r="E94" s="183"/>
      <c r="F94" s="217" t="s">
        <v>353</v>
      </c>
      <c r="G94" s="217" t="s">
        <v>353</v>
      </c>
      <c r="H94" s="217" t="s">
        <v>353</v>
      </c>
      <c r="I94" s="218" t="s">
        <v>353</v>
      </c>
    </row>
    <row r="95" spans="1:9">
      <c r="A95" s="187"/>
      <c r="B95" s="190"/>
      <c r="C95" s="191"/>
      <c r="D95" s="192"/>
      <c r="E95" s="192"/>
      <c r="F95" s="225"/>
      <c r="G95" s="225"/>
      <c r="H95" s="225"/>
      <c r="I95" s="226"/>
    </row>
    <row r="96" spans="1:9" ht="84">
      <c r="A96" s="193" t="s">
        <v>438</v>
      </c>
      <c r="B96" s="177">
        <v>1</v>
      </c>
      <c r="C96" s="178" t="s">
        <v>439</v>
      </c>
      <c r="D96" s="179"/>
      <c r="E96" s="179"/>
      <c r="F96" s="215" t="s">
        <v>353</v>
      </c>
      <c r="G96" s="215" t="s">
        <v>353</v>
      </c>
      <c r="H96" s="215"/>
      <c r="I96" s="216"/>
    </row>
    <row r="97" spans="1:9" ht="36">
      <c r="A97" s="180"/>
      <c r="B97" s="181">
        <v>2</v>
      </c>
      <c r="C97" s="182" t="s">
        <v>440</v>
      </c>
      <c r="D97" s="183"/>
      <c r="E97" s="183"/>
      <c r="F97" s="217" t="s">
        <v>353</v>
      </c>
      <c r="G97" s="217" t="s">
        <v>353</v>
      </c>
      <c r="H97" s="217"/>
      <c r="I97" s="218"/>
    </row>
    <row r="98" spans="1:9" ht="60">
      <c r="A98" s="180"/>
      <c r="B98" s="181">
        <v>3</v>
      </c>
      <c r="C98" s="182" t="s">
        <v>441</v>
      </c>
      <c r="D98" s="183"/>
      <c r="E98" s="183"/>
      <c r="F98" s="217" t="s">
        <v>353</v>
      </c>
      <c r="G98" s="217" t="s">
        <v>353</v>
      </c>
      <c r="H98" s="217"/>
      <c r="I98" s="218"/>
    </row>
    <row r="99" spans="1:9" ht="60">
      <c r="A99" s="180"/>
      <c r="B99" s="181">
        <v>4</v>
      </c>
      <c r="C99" s="182" t="s">
        <v>442</v>
      </c>
      <c r="D99" s="183"/>
      <c r="E99" s="183"/>
      <c r="F99" s="217" t="s">
        <v>353</v>
      </c>
      <c r="G99" s="217" t="s">
        <v>353</v>
      </c>
      <c r="H99" s="217"/>
      <c r="I99" s="218"/>
    </row>
    <row r="100" spans="1:9" ht="24">
      <c r="A100" s="180"/>
      <c r="B100" s="184">
        <v>5</v>
      </c>
      <c r="C100" s="185" t="s">
        <v>443</v>
      </c>
      <c r="D100" s="186"/>
      <c r="E100" s="186"/>
      <c r="F100" s="219" t="s">
        <v>353</v>
      </c>
      <c r="G100" s="219" t="s">
        <v>353</v>
      </c>
      <c r="H100" s="219"/>
      <c r="I100" s="220"/>
    </row>
    <row r="101" spans="1:9">
      <c r="A101" s="187"/>
      <c r="B101" s="190"/>
      <c r="C101" s="191"/>
      <c r="D101" s="192"/>
      <c r="E101" s="192"/>
      <c r="F101" s="225"/>
      <c r="G101" s="225"/>
      <c r="H101" s="225"/>
      <c r="I101" s="226"/>
    </row>
    <row r="102" spans="1:9" ht="36">
      <c r="A102" s="176" t="s">
        <v>444</v>
      </c>
      <c r="B102" s="177">
        <v>1</v>
      </c>
      <c r="C102" s="178" t="s">
        <v>445</v>
      </c>
      <c r="D102" s="179" t="s">
        <v>352</v>
      </c>
      <c r="E102" s="179" t="s">
        <v>353</v>
      </c>
      <c r="F102" s="215" t="s">
        <v>353</v>
      </c>
      <c r="G102" s="215" t="s">
        <v>353</v>
      </c>
      <c r="H102" s="215" t="s">
        <v>353</v>
      </c>
      <c r="I102" s="216" t="s">
        <v>353</v>
      </c>
    </row>
    <row r="103" spans="1:9" ht="60">
      <c r="A103" s="180"/>
      <c r="B103" s="181">
        <v>2</v>
      </c>
      <c r="C103" s="182" t="s">
        <v>446</v>
      </c>
      <c r="D103" s="183" t="s">
        <v>352</v>
      </c>
      <c r="E103" s="183" t="s">
        <v>353</v>
      </c>
      <c r="F103" s="217" t="s">
        <v>353</v>
      </c>
      <c r="G103" s="217" t="s">
        <v>353</v>
      </c>
      <c r="H103" s="217" t="s">
        <v>353</v>
      </c>
      <c r="I103" s="218" t="s">
        <v>353</v>
      </c>
    </row>
    <row r="104" spans="1:9" ht="36">
      <c r="A104" s="180"/>
      <c r="B104" s="184">
        <v>3</v>
      </c>
      <c r="C104" s="185" t="s">
        <v>447</v>
      </c>
      <c r="D104" s="186" t="s">
        <v>352</v>
      </c>
      <c r="E104" s="186" t="s">
        <v>353</v>
      </c>
      <c r="F104" s="219" t="s">
        <v>353</v>
      </c>
      <c r="G104" s="219" t="s">
        <v>353</v>
      </c>
      <c r="H104" s="219" t="s">
        <v>353</v>
      </c>
      <c r="I104" s="220" t="s">
        <v>353</v>
      </c>
    </row>
    <row r="105" spans="1:9" ht="36">
      <c r="A105" s="180"/>
      <c r="B105" s="184">
        <v>4</v>
      </c>
      <c r="C105" s="185" t="s">
        <v>448</v>
      </c>
      <c r="D105" s="186" t="s">
        <v>352</v>
      </c>
      <c r="E105" s="186" t="s">
        <v>353</v>
      </c>
      <c r="F105" s="219" t="s">
        <v>353</v>
      </c>
      <c r="G105" s="219" t="s">
        <v>353</v>
      </c>
      <c r="H105" s="219" t="s">
        <v>353</v>
      </c>
      <c r="I105" s="220" t="s">
        <v>353</v>
      </c>
    </row>
    <row r="106" spans="1:9">
      <c r="A106" s="187"/>
      <c r="B106" s="190"/>
      <c r="C106" s="191"/>
      <c r="D106" s="192"/>
      <c r="E106" s="192"/>
      <c r="F106" s="225"/>
      <c r="G106" s="225"/>
      <c r="H106" s="225"/>
      <c r="I106" s="226"/>
    </row>
    <row r="107" spans="1:9" ht="48">
      <c r="A107" s="180" t="s">
        <v>449</v>
      </c>
      <c r="B107" s="203">
        <v>1</v>
      </c>
      <c r="C107" s="204" t="s">
        <v>450</v>
      </c>
      <c r="D107" s="205" t="s">
        <v>352</v>
      </c>
      <c r="E107" s="205" t="s">
        <v>353</v>
      </c>
      <c r="F107" s="223" t="s">
        <v>353</v>
      </c>
      <c r="G107" s="223" t="s">
        <v>353</v>
      </c>
      <c r="H107" s="223" t="s">
        <v>353</v>
      </c>
      <c r="I107" s="224" t="s">
        <v>353</v>
      </c>
    </row>
    <row r="108" spans="1:9">
      <c r="A108" s="187"/>
      <c r="B108" s="190"/>
      <c r="C108" s="191"/>
      <c r="D108" s="192"/>
      <c r="E108" s="192"/>
      <c r="F108" s="225"/>
      <c r="G108" s="225"/>
      <c r="H108" s="225"/>
      <c r="I108" s="226"/>
    </row>
    <row r="109" spans="1:9" ht="24">
      <c r="A109" s="176" t="s">
        <v>451</v>
      </c>
      <c r="B109" s="206">
        <v>1</v>
      </c>
      <c r="C109" s="207" t="s">
        <v>452</v>
      </c>
      <c r="D109" s="199" t="s">
        <v>352</v>
      </c>
      <c r="E109" s="199" t="s">
        <v>353</v>
      </c>
      <c r="F109" s="231" t="s">
        <v>353</v>
      </c>
      <c r="G109" s="231" t="s">
        <v>353</v>
      </c>
      <c r="H109" s="231" t="s">
        <v>353</v>
      </c>
      <c r="I109" s="234" t="s">
        <v>353</v>
      </c>
    </row>
    <row r="110" spans="1:9">
      <c r="A110" s="187"/>
      <c r="B110" s="190"/>
      <c r="C110" s="191"/>
      <c r="D110" s="192"/>
      <c r="E110" s="192"/>
      <c r="F110" s="225"/>
      <c r="G110" s="225"/>
      <c r="H110" s="225"/>
      <c r="I110" s="226"/>
    </row>
    <row r="111" spans="1:9" ht="24">
      <c r="A111" s="176" t="s">
        <v>453</v>
      </c>
      <c r="B111" s="206">
        <v>1</v>
      </c>
      <c r="C111" s="207" t="s">
        <v>454</v>
      </c>
      <c r="D111" s="199" t="s">
        <v>352</v>
      </c>
      <c r="E111" s="199" t="s">
        <v>353</v>
      </c>
      <c r="F111" s="231" t="s">
        <v>353</v>
      </c>
      <c r="G111" s="231" t="s">
        <v>353</v>
      </c>
      <c r="H111" s="231" t="s">
        <v>353</v>
      </c>
      <c r="I111" s="234" t="s">
        <v>353</v>
      </c>
    </row>
    <row r="112" spans="1:9">
      <c r="A112" s="187"/>
      <c r="B112" s="190"/>
      <c r="C112" s="191"/>
      <c r="D112" s="192"/>
      <c r="E112" s="192"/>
      <c r="F112" s="225"/>
      <c r="G112" s="225"/>
      <c r="H112" s="225"/>
      <c r="I112" s="226"/>
    </row>
    <row r="113" spans="1:9" ht="24">
      <c r="A113" s="176" t="s">
        <v>455</v>
      </c>
      <c r="B113" s="206">
        <v>1</v>
      </c>
      <c r="C113" s="207" t="s">
        <v>456</v>
      </c>
      <c r="D113" s="199" t="s">
        <v>352</v>
      </c>
      <c r="E113" s="199" t="s">
        <v>353</v>
      </c>
      <c r="F113" s="231" t="s">
        <v>353</v>
      </c>
      <c r="G113" s="231" t="s">
        <v>353</v>
      </c>
      <c r="H113" s="231" t="s">
        <v>353</v>
      </c>
      <c r="I113" s="234" t="s">
        <v>353</v>
      </c>
    </row>
    <row r="114" spans="1:9" ht="12.75" thickBot="1">
      <c r="A114" s="208"/>
      <c r="B114" s="209"/>
      <c r="C114" s="210"/>
      <c r="D114" s="211"/>
      <c r="E114" s="211"/>
      <c r="F114" s="235"/>
      <c r="G114" s="235"/>
      <c r="H114" s="235"/>
      <c r="I114" s="236"/>
    </row>
  </sheetData>
  <mergeCells count="5">
    <mergeCell ref="E5:I5"/>
    <mergeCell ref="E1:I1"/>
    <mergeCell ref="E2:I2"/>
    <mergeCell ref="A5:B5"/>
    <mergeCell ref="A3:E3"/>
  </mergeCells>
  <phoneticPr fontId="95"/>
  <dataValidations count="1">
    <dataValidation type="list" allowBlank="1" showInputMessage="1" showErrorMessage="1" sqref="E5:I5" xr:uid="{00000000-0002-0000-0300-000000000000}">
      <formula1>"画面,帳票(紙),帳票(Ex),バッチ,ＩＦ"</formula1>
    </dataValidation>
  </dataValidations>
  <pageMargins left="0.39370078740157483" right="0.39370078740157483" top="0.59055118110236227" bottom="0.35433070866141736" header="0.43307086614173229" footer="0.19685039370078741"/>
  <pageSetup paperSize="9" scale="75" fitToHeight="0" orientation="portrait" verticalDpi="300" r:id="rId1"/>
  <headerFooter alignWithMargins="0">
    <oddFooter>&amp;L&amp;A&amp;C&amp;P / &amp;N&amp;R(C) 2012 Mitsubishi Electric Information Systems Corp.</oddFooter>
  </headerFooter>
  <rowBreaks count="1" manualBreakCount="1">
    <brk id="81" max="16383"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A9DDBD72CCDCB042BDF63871C064BF58" ma:contentTypeVersion="16" ma:contentTypeDescription="新しいドキュメントを作成します。" ma:contentTypeScope="" ma:versionID="55ecae9a3613a801fef51e36178657f4">
  <xsd:schema xmlns:xsd="http://www.w3.org/2001/XMLSchema" xmlns:xs="http://www.w3.org/2001/XMLSchema" xmlns:p="http://schemas.microsoft.com/office/2006/metadata/properties" xmlns:ns2="276bdb53-d102-4a67-8437-273e78fbb7dc" xmlns:ns3="761a324b-5d78-44cf-b9f7-03e8b2a8fda7" targetNamespace="http://schemas.microsoft.com/office/2006/metadata/properties" ma:root="true" ma:fieldsID="26567e7d53ebc34937c31979a3ce91ce" ns2:_="" ns3:_="">
    <xsd:import namespace="276bdb53-d102-4a67-8437-273e78fbb7dc"/>
    <xsd:import namespace="761a324b-5d78-44cf-b9f7-03e8b2a8fda7"/>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2:SharedWithUsers" minOccurs="0"/>
                <xsd:element ref="ns2:SharedWithDetails"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lcf76f155ced4ddcb4097134ff3c332f" minOccurs="0"/>
                <xsd:element ref="ns2:TaxCatchAll"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76bdb53-d102-4a67-8437-273e78fbb7dc" elementFormDefault="qualified">
    <xsd:import namespace="http://schemas.microsoft.com/office/2006/documentManagement/types"/>
    <xsd:import namespace="http://schemas.microsoft.com/office/infopath/2007/PartnerControls"/>
    <xsd:element name="_dlc_DocId" ma:index="8" nillable="true" ma:displayName="ドキュメント ID 値" ma:description="このアイテムに割り当てられているドキュメント ID の値です。" ma:indexed="true" ma:internalName="_dlc_DocId" ma:readOnly="true">
      <xsd:simpleType>
        <xsd:restriction base="dms:Text"/>
      </xsd:simpleType>
    </xsd:element>
    <xsd:element name="_dlc_DocIdUrl" ma:index="9" nillable="true" ma:displayName="ドキュメントID:" ma:description="このドキュメントへの常時接続リンクです。"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ID を保持" ma:description="追加時に ID を保持します。" ma:hidden="true" ma:internalName="_dlc_DocIdPersistId" ma:readOnly="true">
      <xsd:simpleType>
        <xsd:restriction base="dms:Boolean"/>
      </xsd:simpleType>
    </xsd:element>
    <xsd:element name="SharedWithUsers" ma:index="13"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共有相手の詳細情報" ma:internalName="SharedWithDetails" ma:readOnly="true">
      <xsd:simpleType>
        <xsd:restriction base="dms:Note">
          <xsd:maxLength value="255"/>
        </xsd:restriction>
      </xsd:simpleType>
    </xsd:element>
    <xsd:element name="TaxCatchAll" ma:index="22" nillable="true" ma:displayName="Taxonomy Catch All Column" ma:hidden="true" ma:list="{895f5552-8c0b-4e11-8abb-5e4d6c753bad}" ma:internalName="TaxCatchAll" ma:showField="CatchAllData" ma:web="276bdb53-d102-4a67-8437-273e78fbb7dc">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761a324b-5d78-44cf-b9f7-03e8b2a8fda7"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ternalName="MediaServiceDateTaken" ma:readOnly="true">
      <xsd:simpleType>
        <xsd:restriction base="dms:Text"/>
      </xsd:simpleType>
    </xsd:element>
    <xsd:element name="lcf76f155ced4ddcb4097134ff3c332f" ma:index="21" nillable="true" ma:taxonomy="true" ma:internalName="lcf76f155ced4ddcb4097134ff3c332f" ma:taxonomyFieldName="MediaServiceImageTags" ma:displayName="画像タグ" ma:readOnly="false" ma:fieldId="{5cf76f15-5ced-4ddc-b409-7134ff3c332f}" ma:taxonomyMulti="true" ma:sspId="9e8076fe-bb0c-488f-ac76-058e9f0b257c" ma:termSetId="09814cd3-568e-fe90-9814-8d621ff8fb84" ma:anchorId="fba54fb3-c3e1-fe81-a776-ca4b69148c4d" ma:open="true" ma:isKeyword="false">
      <xsd:complexType>
        <xsd:sequence>
          <xsd:element ref="pc:Terms" minOccurs="0" maxOccurs="1"/>
        </xsd:sequence>
      </xsd:complexType>
    </xsd:element>
    <xsd:element name="MediaLengthInSeconds" ma:index="23"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dlc_DocId xmlns="276bdb53-d102-4a67-8437-273e78fbb7dc">EVCTUWYQZQYC-538864054-46089</_dlc_DocId>
    <TaxCatchAll xmlns="276bdb53-d102-4a67-8437-273e78fbb7dc" xsi:nil="true"/>
    <lcf76f155ced4ddcb4097134ff3c332f xmlns="761a324b-5d78-44cf-b9f7-03e8b2a8fda7">
      <Terms xmlns="http://schemas.microsoft.com/office/infopath/2007/PartnerControls"/>
    </lcf76f155ced4ddcb4097134ff3c332f>
    <_dlc_DocIdUrl xmlns="276bdb53-d102-4a67-8437-273e78fbb7dc">
      <Url>https://mitsubishielectricgroup.sharepoint.com/sites/009989/_layouts/15/DocIdRedir.aspx?ID=EVCTUWYQZQYC-538864054-46089</Url>
      <Description>EVCTUWYQZQYC-538864054-46089</Description>
    </_dlc_DocIdUrl>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BCA95426-DE18-408B-96F5-5BB3D29AFEE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76bdb53-d102-4a67-8437-273e78fbb7dc"/>
    <ds:schemaRef ds:uri="761a324b-5d78-44cf-b9f7-03e8b2a8fda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1F0EE61-B195-4CB1-87A3-4E5E2F9B4720}">
  <ds:schemaRefs>
    <ds:schemaRef ds:uri="http://schemas.microsoft.com/office/2006/metadata/properties"/>
    <ds:schemaRef ds:uri="http://schemas.microsoft.com/office/infopath/2007/PartnerControls"/>
    <ds:schemaRef ds:uri="276bdb53-d102-4a67-8437-273e78fbb7dc"/>
    <ds:schemaRef ds:uri="761a324b-5d78-44cf-b9f7-03e8b2a8fda7"/>
  </ds:schemaRefs>
</ds:datastoreItem>
</file>

<file path=customXml/itemProps3.xml><?xml version="1.0" encoding="utf-8"?>
<ds:datastoreItem xmlns:ds="http://schemas.openxmlformats.org/officeDocument/2006/customXml" ds:itemID="{FA3665D7-A8D5-475E-997B-92106B9D6514}">
  <ds:schemaRefs>
    <ds:schemaRef ds:uri="http://schemas.microsoft.com/sharepoint/v3/contenttype/forms"/>
  </ds:schemaRefs>
</ds:datastoreItem>
</file>

<file path=customXml/itemProps4.xml><?xml version="1.0" encoding="utf-8"?>
<ds:datastoreItem xmlns:ds="http://schemas.openxmlformats.org/officeDocument/2006/customXml" ds:itemID="{A07D3A11-2CC9-48E9-921F-721AF3C039BB}">
  <ds:schemaRefs>
    <ds:schemaRef ds:uri="http://schemas.microsoft.com/sharepoint/event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1</vt:i4>
      </vt:variant>
    </vt:vector>
  </HeadingPairs>
  <TitlesOfParts>
    <vt:vector size="5" baseType="lpstr">
      <vt:lpstr>ﾚﾋﾞｭｰ評価ｼｰﾄ</vt:lpstr>
      <vt:lpstr>査読ｼｰﾄ記入要領</vt:lpstr>
      <vt:lpstr>査読ｼｰﾄ</vt:lpstr>
      <vt:lpstr>単体テスト要領書レビューチェックリスト</vt:lpstr>
      <vt:lpstr>単体テスト要領書レビューチェックリスト!Print_Area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2002-04-16T00:52:35Z</dcterms:created>
  <dcterms:modified xsi:type="dcterms:W3CDTF">2023-04-13T23:08:48Z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
    <vt:lpwstr>ドキュメント</vt:lpwstr>
  </property>
  <property fmtid="{D5CDD505-2E9C-101B-9397-08002B2CF9AE}" pid="3" name="ContentTypeId">
    <vt:lpwstr>0x010100A9DDBD72CCDCB042BDF63871C064BF58</vt:lpwstr>
  </property>
  <property fmtid="{D5CDD505-2E9C-101B-9397-08002B2CF9AE}" pid="4" name="_dlc_DocIdItemGuid">
    <vt:lpwstr>d983d548-f3a7-4b88-977c-7c2b1e5efc00</vt:lpwstr>
  </property>
  <property fmtid="{D5CDD505-2E9C-101B-9397-08002B2CF9AE}" pid="5" name="MediaServiceImageTags">
    <vt:lpwstr/>
  </property>
</Properties>
</file>