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227"/>
  <workbookPr filterPrivacy="1"/>
  <xr:revisionPtr revIDLastSave="0" documentId="13_ncr:1_{396ED5FA-40F6-4A34-8F6C-7B2ACAECFEEC}" xr6:coauthVersionLast="47" xr6:coauthVersionMax="47" xr10:uidLastSave="{00000000-0000-0000-0000-000000000000}"/>
  <bookViews>
    <workbookView xWindow="7545" yWindow="15" windowWidth="20445" windowHeight="14310" tabRatio="589" firstSheet="2" activeTab="2" xr2:uid="{00000000-000D-0000-FFFF-FFFF00000000}"/>
  </bookViews>
  <sheets>
    <sheet name="ﾚﾋﾞｭｰ評価ｼｰﾄ" sheetId="7" r:id="rId1"/>
    <sheet name="査読ｼｰﾄ記入要領" sheetId="2" r:id="rId2"/>
    <sheet name="査読ｼｰﾄ" sheetId="8" r:id="rId3"/>
    <sheet name="単体テスト要領書レビューチェックリスト" sheetId="11" r:id="rId4"/>
  </sheets>
  <definedNames>
    <definedName name="_xlnm.Print_Area" localSheetId="3">単体テスト要領書レビューチェックリスト!$A$1:$I$114</definedName>
    <definedName name="weww" hidden="1">{#N/A,#N/A,FALSE,"１）背景";#N/A,#N/A,FALSE,"２）前提事項";#N/A,#N/A,FALSE,"３）優先順位";#N/A,#N/A,FALSE,"４）改善サマリー";#N/A,#N/A,FALSE,"５）懸念-1";#N/A,#N/A,FALSE,"５）懸念-2";#N/A,#N/A,FALSE,"５）懸念-3";#N/A,#N/A,FALSE,"５）懸念-4";#N/A,#N/A,FALSE,"６）組織図";#N/A,#N/A,FALSE,"６）スケジュール"}</definedName>
    <definedName name="wrn.すべて印刷." hidden="1">{#N/A,#N/A,FALSE,"１）背景";#N/A,#N/A,FALSE,"２）前提事項";#N/A,#N/A,FALSE,"３）優先順位";#N/A,#N/A,FALSE,"４）改善サマリー";#N/A,#N/A,FALSE,"５）懸念-1";#N/A,#N/A,FALSE,"５）懸念-2";#N/A,#N/A,FALSE,"５）懸念-3";#N/A,#N/A,FALSE,"５）懸念-4";#N/A,#N/A,FALSE,"６）組織図";#N/A,#N/A,FALSE,"６）スケジュール"}</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 i="11" l="1"/>
  <c r="V17" i="8"/>
  <c r="Y17" i="8"/>
  <c r="Z17" i="8" s="1"/>
  <c r="Y19" i="8"/>
  <c r="Y21" i="8"/>
  <c r="Y23" i="8"/>
  <c r="X25" i="8"/>
  <c r="O53" i="7" s="1"/>
  <c r="X23" i="8"/>
  <c r="O52" i="7" s="1"/>
  <c r="X21" i="8"/>
  <c r="O51" i="7" s="1"/>
  <c r="X19" i="8"/>
  <c r="O50" i="7" s="1"/>
  <c r="X17" i="8"/>
  <c r="O49" i="7" s="1"/>
  <c r="O46" i="7"/>
  <c r="N4" i="8"/>
  <c r="N6" i="8"/>
  <c r="N8" i="8"/>
  <c r="N12" i="8"/>
  <c r="Q4" i="8"/>
  <c r="Q12" i="8" s="1"/>
  <c r="O18" i="7" s="1"/>
  <c r="Q6" i="8"/>
  <c r="Q8" i="8"/>
  <c r="T4" i="8"/>
  <c r="T6" i="8"/>
  <c r="T8" i="8"/>
  <c r="T12" i="8"/>
  <c r="W4" i="8"/>
  <c r="W6" i="8"/>
  <c r="W8" i="8"/>
  <c r="W10" i="8"/>
  <c r="Z4" i="8"/>
  <c r="Z6" i="8"/>
  <c r="Z8" i="8"/>
  <c r="Z10" i="8"/>
  <c r="AC4" i="8"/>
  <c r="AC6" i="8"/>
  <c r="AC8" i="8"/>
  <c r="AC10" i="8"/>
  <c r="AF4" i="8"/>
  <c r="AF6" i="8"/>
  <c r="AF8" i="8"/>
  <c r="AF10" i="8"/>
  <c r="AF12" i="8"/>
  <c r="O23" i="7" s="1"/>
  <c r="AI4" i="8"/>
  <c r="AI6" i="8"/>
  <c r="AI8" i="8"/>
  <c r="AI10" i="8"/>
  <c r="AL4" i="8"/>
  <c r="AL6" i="8"/>
  <c r="AL8" i="8"/>
  <c r="AL10" i="8"/>
  <c r="AO4" i="8"/>
  <c r="AO6" i="8"/>
  <c r="AO12" i="8" s="1"/>
  <c r="O26" i="7" s="1"/>
  <c r="AO8" i="8"/>
  <c r="AO10" i="8"/>
  <c r="AR4" i="8"/>
  <c r="AR6" i="8"/>
  <c r="AR8" i="8"/>
  <c r="AR12" i="8" s="1"/>
  <c r="O27" i="7" s="1"/>
  <c r="AR10" i="8"/>
  <c r="AU4" i="8"/>
  <c r="AU6" i="8"/>
  <c r="AU8" i="8"/>
  <c r="AU10" i="8"/>
  <c r="AX4" i="8"/>
  <c r="AX6" i="8"/>
  <c r="AX8" i="8"/>
  <c r="AX12" i="8" s="1"/>
  <c r="O29" i="7" s="1"/>
  <c r="AX10" i="8"/>
  <c r="BA4" i="8"/>
  <c r="BA6" i="8"/>
  <c r="BA8" i="8"/>
  <c r="BA10" i="8"/>
  <c r="BD4" i="8"/>
  <c r="BD6" i="8"/>
  <c r="BD8" i="8"/>
  <c r="BD12" i="8" s="1"/>
  <c r="O31" i="7" s="1"/>
  <c r="BD10" i="8"/>
  <c r="BG4" i="8"/>
  <c r="BG6" i="8"/>
  <c r="BG8" i="8"/>
  <c r="BG10" i="8"/>
  <c r="BJ4" i="8"/>
  <c r="BJ6" i="8"/>
  <c r="BJ8" i="8"/>
  <c r="BJ10" i="8"/>
  <c r="BP4" i="8"/>
  <c r="BP6" i="8"/>
  <c r="BP8" i="8"/>
  <c r="BP10" i="8"/>
  <c r="BS4" i="8"/>
  <c r="BS6" i="8"/>
  <c r="BS12" i="8" s="1"/>
  <c r="O35" i="7" s="1"/>
  <c r="BS8" i="8"/>
  <c r="BS10" i="8"/>
  <c r="BV4" i="8"/>
  <c r="BV6" i="8"/>
  <c r="BV8" i="8"/>
  <c r="BV10" i="8"/>
  <c r="BV12" i="8" s="1"/>
  <c r="O36" i="7" s="1"/>
  <c r="CE4" i="8"/>
  <c r="CE6" i="8"/>
  <c r="CE8" i="8"/>
  <c r="CE10" i="8"/>
  <c r="CH4" i="8"/>
  <c r="CH6" i="8"/>
  <c r="CH8" i="8"/>
  <c r="CH10" i="8"/>
  <c r="CK4" i="8"/>
  <c r="CK12" i="8" s="1"/>
  <c r="O39" i="7" s="1"/>
  <c r="CK6" i="8"/>
  <c r="CK8" i="8"/>
  <c r="CK10" i="8"/>
  <c r="CN4" i="8"/>
  <c r="CN6" i="8"/>
  <c r="CN8" i="8"/>
  <c r="CN10" i="8"/>
  <c r="CN12" i="8" s="1"/>
  <c r="O40" i="7" s="1"/>
  <c r="CQ4" i="8"/>
  <c r="CQ6" i="8"/>
  <c r="CQ8" i="8"/>
  <c r="CQ10" i="8"/>
  <c r="CT4" i="8"/>
  <c r="CT6" i="8"/>
  <c r="CT8" i="8"/>
  <c r="CT10" i="8"/>
  <c r="CW4" i="8"/>
  <c r="CW12" i="8" s="1"/>
  <c r="O43" i="7" s="1"/>
  <c r="CW6" i="8"/>
  <c r="CW8" i="8"/>
  <c r="CW10" i="8"/>
  <c r="CZ4" i="8"/>
  <c r="CZ6" i="8"/>
  <c r="CZ8" i="8"/>
  <c r="CZ10" i="8"/>
  <c r="O19" i="7"/>
  <c r="O17" i="7"/>
  <c r="J15" i="7"/>
  <c r="V35" i="7" s="1"/>
  <c r="J14" i="7"/>
  <c r="V31" i="7" s="1"/>
  <c r="H9" i="7"/>
  <c r="N9" i="7"/>
  <c r="BM4" i="8"/>
  <c r="BY4" i="8"/>
  <c r="CB4" i="8"/>
  <c r="BM6" i="8"/>
  <c r="BY6" i="8"/>
  <c r="CB6" i="8"/>
  <c r="BM8" i="8"/>
  <c r="BY8" i="8"/>
  <c r="CB8" i="8"/>
  <c r="BM10" i="8"/>
  <c r="BY10" i="8"/>
  <c r="CB10" i="8"/>
  <c r="G49" i="7"/>
  <c r="J40" i="8"/>
  <c r="A45" i="8"/>
  <c r="A46" i="8" s="1"/>
  <c r="A47" i="8" s="1"/>
  <c r="A48" i="8" s="1"/>
  <c r="A49" i="8" s="1"/>
  <c r="A50" i="8" s="1"/>
  <c r="A51" i="8" s="1"/>
  <c r="A52" i="8" s="1"/>
  <c r="A53" i="8" s="1"/>
  <c r="A54" i="8" s="1"/>
  <c r="A55" i="8" s="1"/>
  <c r="A56" i="8" s="1"/>
  <c r="A57" i="8" s="1"/>
  <c r="A58" i="8" s="1"/>
  <c r="A59" i="8" s="1"/>
  <c r="A60" i="8" s="1"/>
  <c r="A61" i="8" s="1"/>
  <c r="A62" i="8" s="1"/>
  <c r="A63" i="8" s="1"/>
  <c r="A45" i="2"/>
  <c r="A46" i="2" s="1"/>
  <c r="A47" i="2" s="1"/>
  <c r="A48" i="2" s="1"/>
  <c r="A49" i="2" s="1"/>
  <c r="A50" i="2" s="1"/>
  <c r="A51" i="2" s="1"/>
  <c r="A52" i="2" s="1"/>
  <c r="A53" i="2" s="1"/>
  <c r="A54" i="2" s="1"/>
  <c r="A55" i="2" s="1"/>
  <c r="A56" i="2" s="1"/>
  <c r="A57" i="2" s="1"/>
  <c r="A58" i="2" s="1"/>
  <c r="A59" i="2" s="1"/>
  <c r="A60" i="2" s="1"/>
  <c r="A61" i="2" s="1"/>
  <c r="A62" i="2" s="1"/>
  <c r="A63" i="2" s="1"/>
  <c r="V28" i="7"/>
  <c r="V17" i="2"/>
  <c r="X17" i="2"/>
  <c r="CW4" i="2"/>
  <c r="CW6" i="2"/>
  <c r="CW8" i="2"/>
  <c r="CW10" i="2"/>
  <c r="CZ4" i="2"/>
  <c r="CZ6" i="2"/>
  <c r="CZ8" i="2"/>
  <c r="CZ10" i="2"/>
  <c r="CT4" i="2"/>
  <c r="CT6" i="2"/>
  <c r="CT12" i="2" s="1"/>
  <c r="CT8" i="2"/>
  <c r="CT10" i="2"/>
  <c r="W4" i="2"/>
  <c r="W6" i="2"/>
  <c r="W8" i="2"/>
  <c r="W10" i="2"/>
  <c r="CK4" i="2"/>
  <c r="CK6" i="2"/>
  <c r="CK8" i="2"/>
  <c r="CK12" i="2" s="1"/>
  <c r="CK10" i="2"/>
  <c r="CH4" i="2"/>
  <c r="CH6" i="2"/>
  <c r="CH12" i="2" s="1"/>
  <c r="CH8" i="2"/>
  <c r="CH10" i="2"/>
  <c r="BV4" i="2"/>
  <c r="BV6" i="2"/>
  <c r="BV8" i="2"/>
  <c r="BV10" i="2"/>
  <c r="Z4" i="2"/>
  <c r="Z6" i="2"/>
  <c r="Z12" i="2" s="1"/>
  <c r="Z8" i="2"/>
  <c r="Z10" i="2"/>
  <c r="AC4" i="2"/>
  <c r="AC12" i="2" s="1"/>
  <c r="AC6" i="2"/>
  <c r="AC8" i="2"/>
  <c r="AC10" i="2"/>
  <c r="AF4" i="2"/>
  <c r="AF6" i="2"/>
  <c r="AF8" i="2"/>
  <c r="AF10" i="2"/>
  <c r="AI4" i="2"/>
  <c r="AI6" i="2"/>
  <c r="AI8" i="2"/>
  <c r="AI10" i="2"/>
  <c r="AL4" i="2"/>
  <c r="AL6" i="2"/>
  <c r="AL8" i="2"/>
  <c r="AL10" i="2"/>
  <c r="AO4" i="2"/>
  <c r="AO6" i="2"/>
  <c r="AO12" i="2" s="1"/>
  <c r="AO8" i="2"/>
  <c r="AO10" i="2"/>
  <c r="AR4" i="2"/>
  <c r="AR12" i="2" s="1"/>
  <c r="AR6" i="2"/>
  <c r="AR8" i="2"/>
  <c r="AR10" i="2"/>
  <c r="AU4" i="2"/>
  <c r="AU6" i="2"/>
  <c r="AU8" i="2"/>
  <c r="AU10" i="2"/>
  <c r="AX4" i="2"/>
  <c r="AX6" i="2"/>
  <c r="AX8" i="2"/>
  <c r="AX10" i="2"/>
  <c r="BA4" i="2"/>
  <c r="BA6" i="2"/>
  <c r="BA8" i="2"/>
  <c r="BA10" i="2"/>
  <c r="BD4" i="2"/>
  <c r="BD12" i="2" s="1"/>
  <c r="BD6" i="2"/>
  <c r="BD8" i="2"/>
  <c r="BD10" i="2"/>
  <c r="CQ4" i="2"/>
  <c r="CQ12" i="2" s="1"/>
  <c r="CQ6" i="2"/>
  <c r="CQ8" i="2"/>
  <c r="CQ10" i="2"/>
  <c r="CN4" i="2"/>
  <c r="CN6" i="2"/>
  <c r="CN8" i="2"/>
  <c r="CN10" i="2"/>
  <c r="CN12" i="2" s="1"/>
  <c r="CE4" i="2"/>
  <c r="CE6" i="2"/>
  <c r="CE8" i="2"/>
  <c r="CE10" i="2"/>
  <c r="BS4" i="2"/>
  <c r="BS6" i="2"/>
  <c r="BS8" i="2"/>
  <c r="BS10" i="2"/>
  <c r="BP4" i="2"/>
  <c r="BP12" i="2" s="1"/>
  <c r="BP6" i="2"/>
  <c r="BP8" i="2"/>
  <c r="BP10" i="2"/>
  <c r="BG4" i="2"/>
  <c r="BG6" i="2"/>
  <c r="BG8" i="2"/>
  <c r="BG10" i="2"/>
  <c r="BJ4" i="2"/>
  <c r="BJ6" i="2"/>
  <c r="BJ8" i="2"/>
  <c r="BJ12" i="2" s="1"/>
  <c r="BJ10" i="2"/>
  <c r="N4" i="2"/>
  <c r="N6" i="2"/>
  <c r="N8" i="2"/>
  <c r="Q4" i="2"/>
  <c r="Q6" i="2"/>
  <c r="Q8" i="2"/>
  <c r="T4" i="2"/>
  <c r="T6" i="2"/>
  <c r="T8" i="2"/>
  <c r="J40" i="2"/>
  <c r="BY10" i="2"/>
  <c r="BM4" i="2"/>
  <c r="BM6" i="2"/>
  <c r="BM8" i="2"/>
  <c r="BM10" i="2"/>
  <c r="BY4" i="2"/>
  <c r="CB4" i="2"/>
  <c r="BY6" i="2"/>
  <c r="CB6" i="2"/>
  <c r="BY8" i="2"/>
  <c r="CB8" i="2"/>
  <c r="CB10" i="2"/>
  <c r="AF12" i="2"/>
  <c r="Y17" i="2"/>
  <c r="Z17" i="2" s="1"/>
  <c r="X19" i="2"/>
  <c r="Y19" i="2"/>
  <c r="X21" i="2"/>
  <c r="Y21" i="2"/>
  <c r="Y23" i="2"/>
  <c r="X23" i="2"/>
  <c r="Y25" i="8"/>
  <c r="X25" i="2"/>
  <c r="Y25" i="2"/>
  <c r="V41" i="7"/>
  <c r="V37" i="7"/>
  <c r="V39" i="7"/>
  <c r="V33" i="7"/>
  <c r="AL12" i="2" l="1"/>
  <c r="AL12" i="8"/>
  <c r="O25" i="7" s="1"/>
  <c r="AU12" i="2"/>
  <c r="Q12" i="2"/>
  <c r="AI12" i="2"/>
  <c r="CZ12" i="2"/>
  <c r="CT12" i="8"/>
  <c r="O42" i="7" s="1"/>
  <c r="BG12" i="8"/>
  <c r="O32" i="7" s="1"/>
  <c r="Z12" i="8"/>
  <c r="O21" i="7" s="1"/>
  <c r="CE12" i="2"/>
  <c r="BG12" i="2"/>
  <c r="BA12" i="2"/>
  <c r="CH12" i="8"/>
  <c r="O38" i="7" s="1"/>
  <c r="AU12" i="8"/>
  <c r="O28" i="7" s="1"/>
  <c r="BP12" i="8"/>
  <c r="O34" i="7" s="1"/>
  <c r="AI12" i="8"/>
  <c r="O24" i="7" s="1"/>
  <c r="N12" i="2"/>
  <c r="L12" i="2" s="1"/>
  <c r="BV12" i="2"/>
  <c r="CQ12" i="8"/>
  <c r="O41" i="7" s="1"/>
  <c r="BA12" i="8"/>
  <c r="O30" i="7" s="1"/>
  <c r="W12" i="8"/>
  <c r="L12" i="8" s="1"/>
  <c r="CW12" i="2"/>
  <c r="CE12" i="8"/>
  <c r="O37" i="7" s="1"/>
  <c r="BS12" i="2"/>
  <c r="T12" i="2"/>
  <c r="AX12" i="2"/>
  <c r="W12" i="2"/>
  <c r="CZ12" i="8"/>
  <c r="O44" i="7" s="1"/>
  <c r="BJ12" i="8"/>
  <c r="O33" i="7" s="1"/>
  <c r="AC12" i="8"/>
  <c r="O22" i="7" s="1"/>
  <c r="V19" i="2"/>
  <c r="Z19" i="2"/>
  <c r="O20" i="7"/>
  <c r="Z19" i="8"/>
  <c r="V19" i="8"/>
  <c r="G50" i="7" s="1"/>
  <c r="J45" i="7" l="1"/>
  <c r="N45" i="7"/>
  <c r="Z21" i="8"/>
  <c r="V21" i="8"/>
  <c r="G51" i="7" s="1"/>
  <c r="Z21" i="2"/>
  <c r="V21" i="2"/>
  <c r="Z23" i="2" l="1"/>
  <c r="V23" i="2"/>
  <c r="V23" i="8"/>
  <c r="G52" i="7" s="1"/>
  <c r="Z23" i="8"/>
  <c r="V25" i="2" l="1"/>
  <c r="Z25" i="2"/>
  <c r="V25" i="8"/>
  <c r="G53" i="7" s="1"/>
  <c r="Z25"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C5" authorId="0" shapeId="0" xr:uid="{00000000-0006-0000-0300-000001000000}">
      <text>
        <r>
          <rPr>
            <b/>
            <sz val="9"/>
            <color indexed="81"/>
            <rFont val="ＭＳ Ｐゴシック"/>
            <family val="3"/>
            <charset val="128"/>
          </rPr>
          <t>【機能ＩＤ】_【機能名】
※査読シートと同じにする</t>
        </r>
      </text>
    </comment>
    <comment ref="D7" authorId="0" shapeId="0" xr:uid="{00000000-0006-0000-0300-000002000000}">
      <text>
        <r>
          <rPr>
            <b/>
            <sz val="9"/>
            <color indexed="81"/>
            <rFont val="ＭＳ Ｐゴシック"/>
            <family val="3"/>
            <charset val="128"/>
          </rPr>
          <t>チェック結果を記載する。
機能区分が「－」の場合は、結果を「－」とする。</t>
        </r>
      </text>
    </comment>
  </commentList>
</comments>
</file>

<file path=xl/sharedStrings.xml><?xml version="1.0" encoding="utf-8"?>
<sst xmlns="http://schemas.openxmlformats.org/spreadsheetml/2006/main" count="1447" uniqueCount="464">
  <si>
    <t>レビュー評価シート</t>
    <rPh sb="4" eb="6">
      <t>ヒョウカ</t>
    </rPh>
    <phoneticPr fontId="2"/>
  </si>
  <si>
    <t>作　成　日　</t>
    <rPh sb="0" eb="1">
      <t>サク</t>
    </rPh>
    <rPh sb="2" eb="3">
      <t>シゲル</t>
    </rPh>
    <rPh sb="4" eb="5">
      <t>ヒ</t>
    </rPh>
    <phoneticPr fontId="2"/>
  </si>
  <si>
    <t>※本評価シートは作業成果物に添付して，登録すること。</t>
    <rPh sb="1" eb="2">
      <t>ホン</t>
    </rPh>
    <rPh sb="2" eb="4">
      <t>ヒョウカ</t>
    </rPh>
    <rPh sb="8" eb="10">
      <t>サギョウ</t>
    </rPh>
    <rPh sb="10" eb="12">
      <t>セイカ</t>
    </rPh>
    <rPh sb="12" eb="13">
      <t>ブツ</t>
    </rPh>
    <rPh sb="14" eb="16">
      <t>テンプ</t>
    </rPh>
    <rPh sb="19" eb="21">
      <t>トウロク</t>
    </rPh>
    <phoneticPr fontId="2"/>
  </si>
  <si>
    <t>ﾚﾋﾞｭｰ形式：
（○を記入）</t>
    <rPh sb="12" eb="14">
      <t>キニュウ</t>
    </rPh>
    <phoneticPr fontId="2"/>
  </si>
  <si>
    <t>○</t>
  </si>
  <si>
    <t>ピアレビュー</t>
    <phoneticPr fontId="2"/>
  </si>
  <si>
    <t>公式レビュー</t>
    <rPh sb="0" eb="2">
      <t>コウシキ</t>
    </rPh>
    <phoneticPr fontId="2"/>
  </si>
  <si>
    <t>（注1）　　　　　：ピア/公式ﾚﾋﾞｭｰを行うドキュメントの場合の必須記入項目
（注2）　　　　　：計算式セル（入力不要）　　　　　　</t>
    <rPh sb="35" eb="37">
      <t>キニュウ</t>
    </rPh>
    <phoneticPr fontId="2"/>
  </si>
  <si>
    <t>担当 部課名</t>
    <rPh sb="0" eb="2">
      <t>タントウ</t>
    </rPh>
    <rPh sb="3" eb="5">
      <t>ブカ</t>
    </rPh>
    <rPh sb="5" eb="6">
      <t>メイ</t>
    </rPh>
    <phoneticPr fontId="2"/>
  </si>
  <si>
    <t>部</t>
    <rPh sb="0" eb="1">
      <t>ブ</t>
    </rPh>
    <phoneticPr fontId="2"/>
  </si>
  <si>
    <t>課</t>
    <rPh sb="0" eb="1">
      <t>カ</t>
    </rPh>
    <phoneticPr fontId="2"/>
  </si>
  <si>
    <t>作成者</t>
    <rPh sb="0" eb="3">
      <t>サクセイシャ</t>
    </rPh>
    <phoneticPr fontId="2"/>
  </si>
  <si>
    <t>PID</t>
    <phoneticPr fontId="2"/>
  </si>
  <si>
    <t>ー</t>
    <phoneticPr fontId="2"/>
  </si>
  <si>
    <t>PJ件名</t>
    <rPh sb="2" eb="3">
      <t>ケン</t>
    </rPh>
    <rPh sb="3" eb="4">
      <t>メイ</t>
    </rPh>
    <phoneticPr fontId="2"/>
  </si>
  <si>
    <t>株式会社クラウン・パッケージ新基幹システム導入</t>
    <phoneticPr fontId="2"/>
  </si>
  <si>
    <t>レビュー対象</t>
    <rPh sb="4" eb="6">
      <t>タイショウ</t>
    </rPh>
    <phoneticPr fontId="2"/>
  </si>
  <si>
    <t>ﾄﾞｷｭﾒﾝﾄ番号/ﾌﾟﾛｸﾞﾗﾑ番号</t>
    <rPh sb="7" eb="9">
      <t>バンゴウ</t>
    </rPh>
    <rPh sb="17" eb="19">
      <t>バンゴウ</t>
    </rPh>
    <phoneticPr fontId="2"/>
  </si>
  <si>
    <t>ﾄﾞｷｭﾒﾝﾄ名/ﾌﾟﾛｸﾞﾗﾑ名</t>
    <phoneticPr fontId="2"/>
  </si>
  <si>
    <t>種類(該当に○)</t>
    <rPh sb="0" eb="2">
      <t>シュルイ</t>
    </rPh>
    <rPh sb="3" eb="5">
      <t>ガイトウ</t>
    </rPh>
    <phoneticPr fontId="2"/>
  </si>
  <si>
    <t>要件定義書</t>
    <rPh sb="0" eb="2">
      <t>ヨウケン</t>
    </rPh>
    <rPh sb="2" eb="5">
      <t>テイギショ</t>
    </rPh>
    <phoneticPr fontId="2"/>
  </si>
  <si>
    <t>試験要領書</t>
    <rPh sb="0" eb="2">
      <t>シケン</t>
    </rPh>
    <rPh sb="2" eb="4">
      <t>ヨウリョウ</t>
    </rPh>
    <rPh sb="4" eb="5">
      <t>ショ</t>
    </rPh>
    <phoneticPr fontId="2"/>
  </si>
  <si>
    <t>プロジェクト実行計画書</t>
    <rPh sb="6" eb="8">
      <t>ジッコウ</t>
    </rPh>
    <rPh sb="8" eb="10">
      <t>ケイカク</t>
    </rPh>
    <rPh sb="10" eb="11">
      <t>ショ</t>
    </rPh>
    <phoneticPr fontId="2"/>
  </si>
  <si>
    <t>基本設計書（外部仕様書）</t>
    <rPh sb="0" eb="2">
      <t>キホン</t>
    </rPh>
    <rPh sb="2" eb="5">
      <t>セッケイショ</t>
    </rPh>
    <rPh sb="6" eb="8">
      <t>ガイブ</t>
    </rPh>
    <rPh sb="8" eb="11">
      <t>シヨウショ</t>
    </rPh>
    <phoneticPr fontId="2"/>
  </si>
  <si>
    <t>試験成績書</t>
    <rPh sb="0" eb="2">
      <t>シケン</t>
    </rPh>
    <rPh sb="2" eb="4">
      <t>セイセキ</t>
    </rPh>
    <rPh sb="4" eb="5">
      <t>ショ</t>
    </rPh>
    <phoneticPr fontId="2"/>
  </si>
  <si>
    <t>プロジェクト完了報告書</t>
    <rPh sb="6" eb="8">
      <t>カンリョウ</t>
    </rPh>
    <rPh sb="8" eb="10">
      <t>ホウコク</t>
    </rPh>
    <rPh sb="10" eb="11">
      <t>ショ</t>
    </rPh>
    <phoneticPr fontId="2"/>
  </si>
  <si>
    <t>詳細設計書（内部仕様書）</t>
    <rPh sb="0" eb="2">
      <t>ショウサイ</t>
    </rPh>
    <rPh sb="2" eb="5">
      <t>セッケイショ</t>
    </rPh>
    <rPh sb="6" eb="8">
      <t>ナイブ</t>
    </rPh>
    <rPh sb="8" eb="11">
      <t>シヨウショ</t>
    </rPh>
    <phoneticPr fontId="2"/>
  </si>
  <si>
    <t>ソースプログラムリスト</t>
    <phoneticPr fontId="2"/>
  </si>
  <si>
    <t>結合テスト計画書</t>
    <rPh sb="0" eb="2">
      <t>ケツゴウ</t>
    </rPh>
    <rPh sb="5" eb="8">
      <t>ケイカクショ</t>
    </rPh>
    <phoneticPr fontId="2"/>
  </si>
  <si>
    <t>プログラム仕様書</t>
    <rPh sb="5" eb="8">
      <t>シヨウショ</t>
    </rPh>
    <phoneticPr fontId="2"/>
  </si>
  <si>
    <t>その他</t>
    <rPh sb="2" eb="3">
      <t>タ</t>
    </rPh>
    <phoneticPr fontId="2"/>
  </si>
  <si>
    <t>システムテスト計画書</t>
    <rPh sb="7" eb="10">
      <t>ケイカクショ</t>
    </rPh>
    <phoneticPr fontId="2"/>
  </si>
  <si>
    <t>ドキュメント</t>
    <phoneticPr fontId="2"/>
  </si>
  <si>
    <t>ページ数(頁)</t>
    <rPh sb="3" eb="4">
      <t>スウ</t>
    </rPh>
    <rPh sb="5" eb="6">
      <t>ページ</t>
    </rPh>
    <phoneticPr fontId="2"/>
  </si>
  <si>
    <t>作成工数（Hr）</t>
    <rPh sb="0" eb="2">
      <t>サクセイ</t>
    </rPh>
    <rPh sb="2" eb="4">
      <t>コウスウ</t>
    </rPh>
    <phoneticPr fontId="2"/>
  </si>
  <si>
    <t>ライン数（KL）</t>
    <rPh sb="3" eb="4">
      <t>スウ</t>
    </rPh>
    <phoneticPr fontId="2"/>
  </si>
  <si>
    <t>ﾓｼﾞｭｰﾙ数(個)</t>
    <phoneticPr fontId="2"/>
  </si>
  <si>
    <t>(D)</t>
    <phoneticPr fontId="2"/>
  </si>
  <si>
    <t>計画段階での誤り</t>
    <phoneticPr fontId="2"/>
  </si>
  <si>
    <t>D1：計画内容の抜け</t>
    <phoneticPr fontId="2"/>
  </si>
  <si>
    <t>件</t>
    <rPh sb="0" eb="1">
      <t>ケン</t>
    </rPh>
    <phoneticPr fontId="2"/>
  </si>
  <si>
    <t>体制</t>
    <rPh sb="0" eb="2">
      <t>タイセイ</t>
    </rPh>
    <phoneticPr fontId="2"/>
  </si>
  <si>
    <t>区分</t>
    <rPh sb="0" eb="2">
      <t>クブン</t>
    </rPh>
    <phoneticPr fontId="2"/>
  </si>
  <si>
    <t>名前</t>
    <rPh sb="0" eb="2">
      <t>ナマエ</t>
    </rPh>
    <phoneticPr fontId="2"/>
  </si>
  <si>
    <t>人数</t>
    <rPh sb="0" eb="1">
      <t>ヒト</t>
    </rPh>
    <rPh sb="1" eb="2">
      <t>スウ</t>
    </rPh>
    <phoneticPr fontId="2"/>
  </si>
  <si>
    <t>D2：計画内容の誤り，不整合，記述不足</t>
  </si>
  <si>
    <t>当該仕様担当者</t>
    <rPh sb="0" eb="2">
      <t>トウガイ</t>
    </rPh>
    <rPh sb="2" eb="4">
      <t>シヨウ</t>
    </rPh>
    <rPh sb="4" eb="7">
      <t>タントウシャ</t>
    </rPh>
    <phoneticPr fontId="2"/>
  </si>
  <si>
    <t>DZ：その他</t>
    <phoneticPr fontId="2"/>
  </si>
  <si>
    <t>上位仕様担当者</t>
    <rPh sb="0" eb="2">
      <t>ジョウイ</t>
    </rPh>
    <rPh sb="2" eb="4">
      <t>シヨウ</t>
    </rPh>
    <rPh sb="4" eb="7">
      <t>タントウシャ</t>
    </rPh>
    <phoneticPr fontId="2"/>
  </si>
  <si>
    <t>レビュー結果</t>
    <rPh sb="4" eb="6">
      <t>ケッカ</t>
    </rPh>
    <phoneticPr fontId="2"/>
  </si>
  <si>
    <t>誤り分類</t>
    <rPh sb="0" eb="1">
      <t>アヤマ</t>
    </rPh>
    <rPh sb="2" eb="4">
      <t>ブンルイ</t>
    </rPh>
    <phoneticPr fontId="2"/>
  </si>
  <si>
    <t>(0)</t>
    <phoneticPr fontId="2"/>
  </si>
  <si>
    <t>要件定義段階での誤り</t>
    <rPh sb="0" eb="2">
      <t>ヨウケン</t>
    </rPh>
    <rPh sb="2" eb="4">
      <t>テイギ</t>
    </rPh>
    <rPh sb="4" eb="6">
      <t>ダンカイ</t>
    </rPh>
    <rPh sb="8" eb="9">
      <t>アヤマ</t>
    </rPh>
    <phoneticPr fontId="2"/>
  </si>
  <si>
    <t>0A:要件の抜け及び解釈誤り</t>
    <rPh sb="3" eb="5">
      <t>ヨウケン</t>
    </rPh>
    <rPh sb="6" eb="7">
      <t>ヌ</t>
    </rPh>
    <rPh sb="8" eb="9">
      <t>オヨ</t>
    </rPh>
    <rPh sb="10" eb="12">
      <t>カイシャク</t>
    </rPh>
    <rPh sb="12" eb="13">
      <t>アヤマ</t>
    </rPh>
    <phoneticPr fontId="2"/>
  </si>
  <si>
    <t>下位仕様担当者</t>
    <rPh sb="0" eb="2">
      <t>カイ</t>
    </rPh>
    <rPh sb="2" eb="4">
      <t>シヨウ</t>
    </rPh>
    <rPh sb="4" eb="7">
      <t>タントウシャ</t>
    </rPh>
    <phoneticPr fontId="2"/>
  </si>
  <si>
    <t>0B:要件定義の誤り</t>
    <rPh sb="3" eb="5">
      <t>ヨウケン</t>
    </rPh>
    <rPh sb="5" eb="7">
      <t>テイギ</t>
    </rPh>
    <rPh sb="8" eb="9">
      <t>アヤマ</t>
    </rPh>
    <phoneticPr fontId="2"/>
  </si>
  <si>
    <t>件</t>
  </si>
  <si>
    <t>営業担当者</t>
    <rPh sb="0" eb="2">
      <t>エイギョウ</t>
    </rPh>
    <rPh sb="2" eb="4">
      <t>タントウ</t>
    </rPh>
    <rPh sb="4" eb="5">
      <t>シャ</t>
    </rPh>
    <phoneticPr fontId="2"/>
  </si>
  <si>
    <t>0C:システム化対象範囲外とのインターフェースの誤り</t>
    <rPh sb="7" eb="8">
      <t>カ</t>
    </rPh>
    <rPh sb="8" eb="10">
      <t>タイショウ</t>
    </rPh>
    <rPh sb="10" eb="12">
      <t>ハンイ</t>
    </rPh>
    <rPh sb="12" eb="13">
      <t>ガイ</t>
    </rPh>
    <rPh sb="24" eb="25">
      <t>アヤマ</t>
    </rPh>
    <phoneticPr fontId="2"/>
  </si>
  <si>
    <t>ＰＪ外有識者（QA)</t>
    <rPh sb="2" eb="3">
      <t>ガイ</t>
    </rPh>
    <rPh sb="3" eb="6">
      <t>ユウシキシャ</t>
    </rPh>
    <phoneticPr fontId="2"/>
  </si>
  <si>
    <t>0Z:その他</t>
    <rPh sb="5" eb="6">
      <t>タ</t>
    </rPh>
    <phoneticPr fontId="2"/>
  </si>
  <si>
    <t>製外</t>
    <rPh sb="0" eb="2">
      <t>セイガイ</t>
    </rPh>
    <phoneticPr fontId="2"/>
  </si>
  <si>
    <t>(1)</t>
    <phoneticPr fontId="2"/>
  </si>
  <si>
    <t>基本設計（外部設計）段階での誤り</t>
    <rPh sb="0" eb="2">
      <t>キホン</t>
    </rPh>
    <rPh sb="2" eb="4">
      <t>セッケイ</t>
    </rPh>
    <rPh sb="5" eb="7">
      <t>ガイブ</t>
    </rPh>
    <rPh sb="7" eb="9">
      <t>セッケイ</t>
    </rPh>
    <rPh sb="10" eb="12">
      <t>ダンカイ</t>
    </rPh>
    <rPh sb="14" eb="15">
      <t>アヤマ</t>
    </rPh>
    <phoneticPr fontId="2"/>
  </si>
  <si>
    <t>1A:外部仕様の抜け及び要件定義の解釈誤り</t>
    <phoneticPr fontId="2"/>
  </si>
  <si>
    <t>PL</t>
    <phoneticPr fontId="2"/>
  </si>
  <si>
    <t>1B:外部仕様の誤り</t>
    <phoneticPr fontId="2"/>
  </si>
  <si>
    <t>QR</t>
    <phoneticPr fontId="2"/>
  </si>
  <si>
    <t>1C:機能間インターフェース仕様の誤り</t>
    <phoneticPr fontId="2"/>
  </si>
  <si>
    <t>1Z:その他</t>
  </si>
  <si>
    <t>(2)</t>
    <phoneticPr fontId="2"/>
  </si>
  <si>
    <t>詳細設計/プログラム設計(内部設計)段階での誤り</t>
    <phoneticPr fontId="2"/>
  </si>
  <si>
    <t>2A:内部設計漏れ及び外部仕様の解釈誤り</t>
    <phoneticPr fontId="2"/>
  </si>
  <si>
    <t>合　計　（人）</t>
    <rPh sb="0" eb="1">
      <t>ゴウ</t>
    </rPh>
    <rPh sb="2" eb="3">
      <t>ケイ</t>
    </rPh>
    <rPh sb="5" eb="6">
      <t>ヒト</t>
    </rPh>
    <phoneticPr fontId="2"/>
  </si>
  <si>
    <t>2B:内部設計の誤り</t>
  </si>
  <si>
    <t>2C:モジュール間インターフェース仕様の誤り</t>
  </si>
  <si>
    <t>品質目標</t>
    <rPh sb="0" eb="2">
      <t>ヒンシツ</t>
    </rPh>
    <rPh sb="2" eb="4">
      <t>モクヒョウ</t>
    </rPh>
    <phoneticPr fontId="2"/>
  </si>
  <si>
    <t>基準</t>
    <rPh sb="0" eb="2">
      <t>キジュン</t>
    </rPh>
    <phoneticPr fontId="2"/>
  </si>
  <si>
    <t>計画</t>
    <rPh sb="0" eb="2">
      <t>ケイカク</t>
    </rPh>
    <phoneticPr fontId="2"/>
  </si>
  <si>
    <t>実績</t>
    <rPh sb="0" eb="2">
      <t>ジッセキ</t>
    </rPh>
    <phoneticPr fontId="2"/>
  </si>
  <si>
    <t>2Z:その他</t>
  </si>
  <si>
    <t>ドキュメントレビュー
指摘率(件/頁)</t>
    <rPh sb="11" eb="13">
      <t>シテキ</t>
    </rPh>
    <rPh sb="13" eb="14">
      <t>リツ</t>
    </rPh>
    <phoneticPr fontId="2"/>
  </si>
  <si>
    <t>(3)</t>
    <phoneticPr fontId="2"/>
  </si>
  <si>
    <t>コーディング段階での誤り</t>
  </si>
  <si>
    <t>3A:設計どおりのコーディングがされていない</t>
    <phoneticPr fontId="2"/>
  </si>
  <si>
    <t>3B:不注意なコーディング・ミス</t>
  </si>
  <si>
    <t>ドキュメントレビュー
誤り指摘率(件/頁)</t>
    <rPh sb="11" eb="12">
      <t>アヤマ</t>
    </rPh>
    <rPh sb="13" eb="15">
      <t>シテキ</t>
    </rPh>
    <rPh sb="15" eb="16">
      <t>リツ</t>
    </rPh>
    <rPh sb="17" eb="18">
      <t>ケン</t>
    </rPh>
    <rPh sb="19" eb="20">
      <t>ページ</t>
    </rPh>
    <phoneticPr fontId="2"/>
  </si>
  <si>
    <t>3Z:その他</t>
  </si>
  <si>
    <t>(4)</t>
    <phoneticPr fontId="2"/>
  </si>
  <si>
    <t>その他</t>
  </si>
  <si>
    <t>4A:お客様からの仕様変更</t>
    <phoneticPr fontId="2"/>
  </si>
  <si>
    <t>コードレビュー
指摘率(件/KL)</t>
    <rPh sb="8" eb="10">
      <t>シテキ</t>
    </rPh>
    <rPh sb="10" eb="11">
      <t>リツ</t>
    </rPh>
    <phoneticPr fontId="2"/>
  </si>
  <si>
    <t>4B:表現不備(誤字/脱字など)</t>
  </si>
  <si>
    <t>(5)</t>
    <phoneticPr fontId="2"/>
  </si>
  <si>
    <t>試験段階での誤り</t>
  </si>
  <si>
    <t>5A:仕様の解釈誤り</t>
    <phoneticPr fontId="2"/>
  </si>
  <si>
    <t>コードレビュー
誤り指摘率(件/KL)</t>
    <rPh sb="8" eb="9">
      <t>アヤマ</t>
    </rPh>
    <rPh sb="10" eb="12">
      <t>シテキ</t>
    </rPh>
    <rPh sb="12" eb="13">
      <t>リツ</t>
    </rPh>
    <rPh sb="14" eb="15">
      <t>ケン</t>
    </rPh>
    <phoneticPr fontId="2"/>
  </si>
  <si>
    <t>5B:試験仕様の誤り</t>
  </si>
  <si>
    <t>5C:試験プログラム/データの誤り</t>
  </si>
  <si>
    <t>ドキュメントレビュー
密度(Ｈｒ/頁)</t>
    <rPh sb="11" eb="13">
      <t>ミツド</t>
    </rPh>
    <rPh sb="17" eb="18">
      <t>ページ</t>
    </rPh>
    <phoneticPr fontId="2"/>
  </si>
  <si>
    <t>5D:試験項目抜け</t>
  </si>
  <si>
    <t>5Z:その他</t>
  </si>
  <si>
    <t>コードレビュー
密度(Ｈｒ/KL)</t>
    <rPh sb="8" eb="10">
      <t>ミツド</t>
    </rPh>
    <phoneticPr fontId="2"/>
  </si>
  <si>
    <t>(6)</t>
    <phoneticPr fontId="2"/>
  </si>
  <si>
    <t>プロ完段階での誤り</t>
    <rPh sb="2" eb="3">
      <t>カン</t>
    </rPh>
    <rPh sb="3" eb="5">
      <t>ダンカイ</t>
    </rPh>
    <rPh sb="7" eb="8">
      <t>アヤマ</t>
    </rPh>
    <phoneticPr fontId="2"/>
  </si>
  <si>
    <t>6A：報告内容の抜け</t>
    <phoneticPr fontId="2"/>
  </si>
  <si>
    <t>6B：報告内容の誤り，不整合，記述不足</t>
  </si>
  <si>
    <t>6Z：その他</t>
    <phoneticPr fontId="2"/>
  </si>
  <si>
    <t>総指摘件数</t>
    <rPh sb="0" eb="1">
      <t>ソウ</t>
    </rPh>
    <rPh sb="1" eb="3">
      <t>シテキ</t>
    </rPh>
    <rPh sb="3" eb="5">
      <t>ケンスウ</t>
    </rPh>
    <phoneticPr fontId="2"/>
  </si>
  <si>
    <t>件　　（内 誤り件数</t>
    <rPh sb="0" eb="1">
      <t>ケン</t>
    </rPh>
    <rPh sb="4" eb="5">
      <t>ウチ</t>
    </rPh>
    <rPh sb="6" eb="7">
      <t>アヤマ</t>
    </rPh>
    <rPh sb="8" eb="10">
      <t>ケンスウ</t>
    </rPh>
    <phoneticPr fontId="2"/>
  </si>
  <si>
    <t>件）</t>
    <rPh sb="0" eb="1">
      <t>ケン</t>
    </rPh>
    <phoneticPr fontId="2"/>
  </si>
  <si>
    <t>(注)誤り件数＝総指摘件数－その他(4A・4B)件数</t>
    <rPh sb="1" eb="2">
      <t>チュウ</t>
    </rPh>
    <rPh sb="3" eb="4">
      <t>アヤマ</t>
    </rPh>
    <rPh sb="5" eb="7">
      <t>ケンスウ</t>
    </rPh>
    <rPh sb="8" eb="9">
      <t>ソウ</t>
    </rPh>
    <rPh sb="9" eb="11">
      <t>シテキ</t>
    </rPh>
    <rPh sb="11" eb="13">
      <t>ケンスウ</t>
    </rPh>
    <rPh sb="16" eb="17">
      <t>タ</t>
    </rPh>
    <rPh sb="24" eb="26">
      <t>ケンスウ</t>
    </rPh>
    <phoneticPr fontId="2"/>
  </si>
  <si>
    <t>総レビュー工数（Hr）</t>
    <rPh sb="0" eb="1">
      <t>ソウ</t>
    </rPh>
    <rPh sb="5" eb="7">
      <t>コウスウ</t>
    </rPh>
    <phoneticPr fontId="2"/>
  </si>
  <si>
    <t>Hr</t>
    <phoneticPr fontId="2"/>
  </si>
  <si>
    <t>レビュー履歴</t>
    <rPh sb="4" eb="6">
      <t>リレキ</t>
    </rPh>
    <phoneticPr fontId="2"/>
  </si>
  <si>
    <t>回数</t>
    <rPh sb="0" eb="2">
      <t>カイスウ</t>
    </rPh>
    <phoneticPr fontId="2"/>
  </si>
  <si>
    <t>レビュー日時</t>
    <rPh sb="4" eb="6">
      <t>ニチジ</t>
    </rPh>
    <phoneticPr fontId="2"/>
  </si>
  <si>
    <t>完成度(%)</t>
    <rPh sb="0" eb="3">
      <t>カンセイド</t>
    </rPh>
    <phoneticPr fontId="2"/>
  </si>
  <si>
    <t>実施確認者名</t>
    <rPh sb="0" eb="2">
      <t>ジッシ</t>
    </rPh>
    <rPh sb="2" eb="4">
      <t>カクニン</t>
    </rPh>
    <rPh sb="4" eb="5">
      <t>シャ</t>
    </rPh>
    <rPh sb="5" eb="6">
      <t>ナ</t>
    </rPh>
    <phoneticPr fontId="2"/>
  </si>
  <si>
    <t>指摘件数</t>
    <rPh sb="0" eb="2">
      <t>シテキ</t>
    </rPh>
    <rPh sb="2" eb="4">
      <t>ケンスウ</t>
    </rPh>
    <phoneticPr fontId="2"/>
  </si>
  <si>
    <t>ﾚﾋﾞｭｰ工数(Hr)</t>
    <rPh sb="5" eb="7">
      <t>コウスウ</t>
    </rPh>
    <phoneticPr fontId="2"/>
  </si>
  <si>
    <t>備　考</t>
    <rPh sb="0" eb="1">
      <t>ビ</t>
    </rPh>
    <rPh sb="2" eb="3">
      <t>コウ</t>
    </rPh>
    <phoneticPr fontId="2"/>
  </si>
  <si>
    <t>～</t>
    <phoneticPr fontId="2"/>
  </si>
  <si>
    <t>評価</t>
    <rPh sb="0" eb="2">
      <t>ヒョウカ</t>
    </rPh>
    <phoneticPr fontId="2"/>
  </si>
  <si>
    <t>審査
責任者
欄</t>
    <rPh sb="0" eb="2">
      <t>シンサ</t>
    </rPh>
    <rPh sb="3" eb="6">
      <t>セキニンシャ</t>
    </rPh>
    <rPh sb="7" eb="8">
      <t>ラン</t>
    </rPh>
    <phoneticPr fontId="2"/>
  </si>
  <si>
    <t>[ガイド] 誤り分類の傾向，レビュー工数，参加者，対象ページ数などの相関から，レビューの妥当性を判断する。</t>
  </si>
  <si>
    <t>審査責任者</t>
    <phoneticPr fontId="2"/>
  </si>
  <si>
    <t>審査責任者は実施計画で計画する。（所属部門長，PM，PL，QRなど。　ピアレビュー時は作成担当者で可。）</t>
    <rPh sb="41" eb="42">
      <t>ジ</t>
    </rPh>
    <rPh sb="43" eb="45">
      <t>サクセイ</t>
    </rPh>
    <rPh sb="45" eb="47">
      <t>タントウ</t>
    </rPh>
    <rPh sb="47" eb="48">
      <t>シャ</t>
    </rPh>
    <rPh sb="49" eb="50">
      <t>カ</t>
    </rPh>
    <phoneticPr fontId="2"/>
  </si>
  <si>
    <t>添付資料</t>
    <rPh sb="0" eb="2">
      <t>テンプ</t>
    </rPh>
    <rPh sb="2" eb="4">
      <t>シリョウ</t>
    </rPh>
    <phoneticPr fontId="2"/>
  </si>
  <si>
    <t>■</t>
  </si>
  <si>
    <t>レビューチェックリスト</t>
    <phoneticPr fontId="2"/>
  </si>
  <si>
    <t>査読シート</t>
    <rPh sb="0" eb="2">
      <t>サドク</t>
    </rPh>
    <phoneticPr fontId="2"/>
  </si>
  <si>
    <t>□</t>
    <phoneticPr fontId="2"/>
  </si>
  <si>
    <t>その他（　　　　　　　　　　　　　　　　　　　　　　　）</t>
    <rPh sb="2" eb="3">
      <t>タ</t>
    </rPh>
    <phoneticPr fontId="2"/>
  </si>
  <si>
    <t>＜査読シートの誤り分類の集計＞</t>
    <rPh sb="1" eb="3">
      <t>サドク</t>
    </rPh>
    <rPh sb="7" eb="8">
      <t>アヤマ</t>
    </rPh>
    <rPh sb="9" eb="11">
      <t>ブンルイ</t>
    </rPh>
    <rPh sb="12" eb="14">
      <t>シュウケイ</t>
    </rPh>
    <phoneticPr fontId="2"/>
  </si>
  <si>
    <t>件数</t>
    <rPh sb="0" eb="2">
      <t>ケンスウ</t>
    </rPh>
    <phoneticPr fontId="2"/>
  </si>
  <si>
    <t>Ｄ１</t>
    <phoneticPr fontId="2"/>
  </si>
  <si>
    <t>Ｄ２</t>
    <phoneticPr fontId="2"/>
  </si>
  <si>
    <t>ＤＺ</t>
    <phoneticPr fontId="2"/>
  </si>
  <si>
    <t>０Ａ</t>
  </si>
  <si>
    <t>０Ｂ</t>
  </si>
  <si>
    <t>０Ｃ</t>
  </si>
  <si>
    <t>０Ｚ</t>
  </si>
  <si>
    <t>１Ａ</t>
    <phoneticPr fontId="2"/>
  </si>
  <si>
    <t>１Ｂ</t>
    <phoneticPr fontId="2"/>
  </si>
  <si>
    <t>１Ｃ</t>
    <phoneticPr fontId="2"/>
  </si>
  <si>
    <t>１Ｚ</t>
  </si>
  <si>
    <t>２Ａ</t>
  </si>
  <si>
    <t>２Ｂ</t>
  </si>
  <si>
    <t>２Ｃ</t>
  </si>
  <si>
    <t>２Ｚ</t>
  </si>
  <si>
    <t>３Ａ</t>
  </si>
  <si>
    <t>３Ｂ</t>
  </si>
  <si>
    <t>３Ｃ</t>
  </si>
  <si>
    <t>３Ｚ</t>
  </si>
  <si>
    <t>４Ａ</t>
  </si>
  <si>
    <t>４Ｂ</t>
  </si>
  <si>
    <t>４Ｃ</t>
  </si>
  <si>
    <t>４Ｚ</t>
  </si>
  <si>
    <t>５Ａ</t>
  </si>
  <si>
    <t>５Ｂ</t>
  </si>
  <si>
    <t>５Ｃ</t>
  </si>
  <si>
    <t>５Ｄ</t>
  </si>
  <si>
    <t>５Ｚ</t>
    <phoneticPr fontId="2"/>
  </si>
  <si>
    <t>６Ａ</t>
    <phoneticPr fontId="2"/>
  </si>
  <si>
    <t>６Ｂ</t>
    <phoneticPr fontId="2"/>
  </si>
  <si>
    <t>６Ｚ</t>
    <phoneticPr fontId="2"/>
  </si>
  <si>
    <t>D1</t>
    <phoneticPr fontId="2"/>
  </si>
  <si>
    <t>D2</t>
    <phoneticPr fontId="2"/>
  </si>
  <si>
    <t>DZ</t>
    <phoneticPr fontId="2"/>
  </si>
  <si>
    <t>0A</t>
  </si>
  <si>
    <t>0B</t>
  </si>
  <si>
    <t>0C</t>
  </si>
  <si>
    <t>0Z</t>
  </si>
  <si>
    <t>1A</t>
    <phoneticPr fontId="2"/>
  </si>
  <si>
    <t>1B</t>
    <phoneticPr fontId="2"/>
  </si>
  <si>
    <t>1C</t>
    <phoneticPr fontId="2"/>
  </si>
  <si>
    <t>1Z</t>
  </si>
  <si>
    <t>2A</t>
  </si>
  <si>
    <t>2B</t>
  </si>
  <si>
    <t>2C</t>
  </si>
  <si>
    <t>2Z</t>
  </si>
  <si>
    <t>3A</t>
  </si>
  <si>
    <t>3B</t>
  </si>
  <si>
    <t>3C</t>
  </si>
  <si>
    <t>3Z</t>
  </si>
  <si>
    <t>4A</t>
  </si>
  <si>
    <t>4B</t>
  </si>
  <si>
    <t>4C</t>
  </si>
  <si>
    <t>4Z</t>
  </si>
  <si>
    <t>5A</t>
  </si>
  <si>
    <t>5B</t>
  </si>
  <si>
    <t>5C</t>
  </si>
  <si>
    <t>5D</t>
  </si>
  <si>
    <t>5Z</t>
    <phoneticPr fontId="2"/>
  </si>
  <si>
    <t>6A</t>
    <phoneticPr fontId="2"/>
  </si>
  <si>
    <t>6B</t>
    <phoneticPr fontId="2"/>
  </si>
  <si>
    <t>6Z</t>
    <phoneticPr fontId="2"/>
  </si>
  <si>
    <t>Ｄ1</t>
    <phoneticPr fontId="2"/>
  </si>
  <si>
    <t>ＤZ</t>
    <phoneticPr fontId="2"/>
  </si>
  <si>
    <t>０A</t>
  </si>
  <si>
    <t>０B</t>
  </si>
  <si>
    <t>０C</t>
  </si>
  <si>
    <t>０Z</t>
  </si>
  <si>
    <t>１A</t>
    <phoneticPr fontId="2"/>
  </si>
  <si>
    <t>１B</t>
    <phoneticPr fontId="2"/>
  </si>
  <si>
    <t>１C</t>
    <phoneticPr fontId="2"/>
  </si>
  <si>
    <t>１Z</t>
  </si>
  <si>
    <t>２A</t>
  </si>
  <si>
    <t>２B</t>
  </si>
  <si>
    <t>２C</t>
  </si>
  <si>
    <t>２Z</t>
  </si>
  <si>
    <t>３A</t>
  </si>
  <si>
    <t>３B</t>
  </si>
  <si>
    <t>３C</t>
  </si>
  <si>
    <t>３Z</t>
  </si>
  <si>
    <t>４A</t>
  </si>
  <si>
    <t>４B</t>
  </si>
  <si>
    <t>４C</t>
  </si>
  <si>
    <t>４Z</t>
  </si>
  <si>
    <t>５A</t>
  </si>
  <si>
    <t>５B</t>
  </si>
  <si>
    <t>５C</t>
  </si>
  <si>
    <t>５D</t>
  </si>
  <si>
    <t>５Z</t>
    <phoneticPr fontId="2"/>
  </si>
  <si>
    <t>６A</t>
    <phoneticPr fontId="2"/>
  </si>
  <si>
    <t>６B</t>
    <phoneticPr fontId="2"/>
  </si>
  <si>
    <t>６Z</t>
    <phoneticPr fontId="2"/>
  </si>
  <si>
    <t>d1</t>
    <phoneticPr fontId="2"/>
  </si>
  <si>
    <t>d2</t>
    <phoneticPr fontId="2"/>
  </si>
  <si>
    <t>dz</t>
    <phoneticPr fontId="2"/>
  </si>
  <si>
    <t>0ａ</t>
  </si>
  <si>
    <t>0ｂ</t>
  </si>
  <si>
    <t>0ｃ</t>
  </si>
  <si>
    <t>0ｚ</t>
  </si>
  <si>
    <t>1ａ</t>
    <phoneticPr fontId="2"/>
  </si>
  <si>
    <t>1ｂ</t>
    <phoneticPr fontId="2"/>
  </si>
  <si>
    <t>1ｃ</t>
    <phoneticPr fontId="2"/>
  </si>
  <si>
    <t>1ｚ</t>
  </si>
  <si>
    <t>2ａ</t>
  </si>
  <si>
    <t>2ｂ</t>
  </si>
  <si>
    <t>2ｃ</t>
  </si>
  <si>
    <t>2ｚ</t>
  </si>
  <si>
    <t>3ａ</t>
  </si>
  <si>
    <t>3ｂ</t>
  </si>
  <si>
    <t>3ｃ</t>
  </si>
  <si>
    <t>3ｚ</t>
  </si>
  <si>
    <t>4ａ</t>
  </si>
  <si>
    <t>4ｂ</t>
  </si>
  <si>
    <t>4ｃ</t>
  </si>
  <si>
    <t>4ｚ</t>
  </si>
  <si>
    <t>5ａ</t>
  </si>
  <si>
    <t>5ｂ</t>
  </si>
  <si>
    <t>5ｃ</t>
  </si>
  <si>
    <t>5Ｄ</t>
  </si>
  <si>
    <t>5ｚ</t>
    <phoneticPr fontId="2"/>
  </si>
  <si>
    <t>6ａ</t>
    <phoneticPr fontId="2"/>
  </si>
  <si>
    <t>6ｂ</t>
    <phoneticPr fontId="2"/>
  </si>
  <si>
    <t>6ｚ</t>
    <phoneticPr fontId="2"/>
  </si>
  <si>
    <t>合計</t>
    <rPh sb="0" eb="2">
      <t>ゴウケイ</t>
    </rPh>
    <phoneticPr fontId="2"/>
  </si>
  <si>
    <t>”D1”合計</t>
    <rPh sb="4" eb="6">
      <t>ゴウケイ</t>
    </rPh>
    <phoneticPr fontId="2"/>
  </si>
  <si>
    <t>”D2”合計</t>
    <rPh sb="4" eb="6">
      <t>ゴウケイ</t>
    </rPh>
    <phoneticPr fontId="2"/>
  </si>
  <si>
    <t>”DZ”合計</t>
    <rPh sb="4" eb="6">
      <t>ゴウケイ</t>
    </rPh>
    <phoneticPr fontId="2"/>
  </si>
  <si>
    <t>”0A”合計</t>
    <rPh sb="4" eb="6">
      <t>ゴウケイ</t>
    </rPh>
    <phoneticPr fontId="2"/>
  </si>
  <si>
    <t>”0B”合計</t>
    <rPh sb="4" eb="6">
      <t>ゴウケイ</t>
    </rPh>
    <phoneticPr fontId="2"/>
  </si>
  <si>
    <t>”0C”合計</t>
    <rPh sb="4" eb="6">
      <t>ゴウケイ</t>
    </rPh>
    <phoneticPr fontId="2"/>
  </si>
  <si>
    <t>”0Z”合計</t>
    <rPh sb="4" eb="6">
      <t>ゴウケイ</t>
    </rPh>
    <phoneticPr fontId="2"/>
  </si>
  <si>
    <t>”1A”合計</t>
    <rPh sb="4" eb="6">
      <t>ゴウケイ</t>
    </rPh>
    <phoneticPr fontId="2"/>
  </si>
  <si>
    <t>”1B”合計</t>
    <rPh sb="4" eb="6">
      <t>ゴウケイ</t>
    </rPh>
    <phoneticPr fontId="2"/>
  </si>
  <si>
    <t>”1C”合計</t>
    <rPh sb="4" eb="6">
      <t>ゴウケイ</t>
    </rPh>
    <phoneticPr fontId="2"/>
  </si>
  <si>
    <t>”1Z”合計</t>
    <rPh sb="4" eb="6">
      <t>ゴウケイ</t>
    </rPh>
    <phoneticPr fontId="2"/>
  </si>
  <si>
    <t>”2A”合計</t>
    <rPh sb="4" eb="6">
      <t>ゴウケイ</t>
    </rPh>
    <phoneticPr fontId="2"/>
  </si>
  <si>
    <t>”2B”合計</t>
    <rPh sb="4" eb="6">
      <t>ゴウケイ</t>
    </rPh>
    <phoneticPr fontId="2"/>
  </si>
  <si>
    <t>”2C”合計</t>
    <rPh sb="4" eb="6">
      <t>ゴウケイ</t>
    </rPh>
    <phoneticPr fontId="2"/>
  </si>
  <si>
    <t>”2Z”合計</t>
    <rPh sb="4" eb="6">
      <t>ゴウケイ</t>
    </rPh>
    <phoneticPr fontId="2"/>
  </si>
  <si>
    <t>”3A”合計</t>
    <rPh sb="4" eb="6">
      <t>ゴウケイ</t>
    </rPh>
    <phoneticPr fontId="2"/>
  </si>
  <si>
    <t>”3B”合計</t>
    <rPh sb="4" eb="6">
      <t>ゴウケイ</t>
    </rPh>
    <phoneticPr fontId="2"/>
  </si>
  <si>
    <t>”3C”合計</t>
    <rPh sb="4" eb="6">
      <t>ゴウケイ</t>
    </rPh>
    <phoneticPr fontId="2"/>
  </si>
  <si>
    <t>”3Z”合計</t>
    <rPh sb="4" eb="6">
      <t>ゴウケイ</t>
    </rPh>
    <phoneticPr fontId="2"/>
  </si>
  <si>
    <t>”4A”合計</t>
    <rPh sb="4" eb="6">
      <t>ゴウケイ</t>
    </rPh>
    <phoneticPr fontId="2"/>
  </si>
  <si>
    <t>”4B”合計</t>
    <rPh sb="4" eb="6">
      <t>ゴウケイ</t>
    </rPh>
    <phoneticPr fontId="2"/>
  </si>
  <si>
    <t>”4C”合計</t>
    <rPh sb="4" eb="6">
      <t>ゴウケイ</t>
    </rPh>
    <phoneticPr fontId="2"/>
  </si>
  <si>
    <t>”4Z”合計</t>
    <rPh sb="4" eb="6">
      <t>ゴウケイ</t>
    </rPh>
    <phoneticPr fontId="2"/>
  </si>
  <si>
    <t>”5A”合計</t>
    <rPh sb="4" eb="6">
      <t>ゴウケイ</t>
    </rPh>
    <phoneticPr fontId="2"/>
  </si>
  <si>
    <t>”5B”合計</t>
    <rPh sb="4" eb="6">
      <t>ゴウケイ</t>
    </rPh>
    <phoneticPr fontId="2"/>
  </si>
  <si>
    <t>”5C”合計</t>
    <rPh sb="4" eb="6">
      <t>ゴウケイ</t>
    </rPh>
    <phoneticPr fontId="2"/>
  </si>
  <si>
    <t>”5D”合計</t>
    <rPh sb="4" eb="6">
      <t>ゴウケイ</t>
    </rPh>
    <phoneticPr fontId="2"/>
  </si>
  <si>
    <t>”5Z”合計</t>
    <rPh sb="4" eb="6">
      <t>ゴウケイ</t>
    </rPh>
    <phoneticPr fontId="2"/>
  </si>
  <si>
    <t>”6A”合計</t>
    <rPh sb="4" eb="6">
      <t>ゴウケイ</t>
    </rPh>
    <phoneticPr fontId="2"/>
  </si>
  <si>
    <t>”6B”合計</t>
    <rPh sb="4" eb="6">
      <t>ゴウケイ</t>
    </rPh>
    <phoneticPr fontId="2"/>
  </si>
  <si>
    <t>”6Z”合計</t>
    <rPh sb="4" eb="6">
      <t>ゴウケイ</t>
    </rPh>
    <phoneticPr fontId="2"/>
  </si>
  <si>
    <t>未使用</t>
    <rPh sb="0" eb="1">
      <t>ミ</t>
    </rPh>
    <rPh sb="1" eb="3">
      <t>シヨウ</t>
    </rPh>
    <phoneticPr fontId="2"/>
  </si>
  <si>
    <t>記入日</t>
    <rPh sb="0" eb="2">
      <t>キニュウ</t>
    </rPh>
    <rPh sb="2" eb="3">
      <t>ビ</t>
    </rPh>
    <phoneticPr fontId="2"/>
  </si>
  <si>
    <t>コメント数</t>
    <rPh sb="4" eb="5">
      <t>スウ</t>
    </rPh>
    <phoneticPr fontId="2"/>
  </si>
  <si>
    <t>日付記入数</t>
    <rPh sb="0" eb="2">
      <t>ヒヅケ</t>
    </rPh>
    <rPh sb="2" eb="4">
      <t>キニュウ</t>
    </rPh>
    <rPh sb="4" eb="5">
      <t>スウ</t>
    </rPh>
    <phoneticPr fontId="2"/>
  </si>
  <si>
    <t>日付累計</t>
    <rPh sb="0" eb="2">
      <t>ヒヅケ</t>
    </rPh>
    <rPh sb="2" eb="4">
      <t>ルイケイ</t>
    </rPh>
    <phoneticPr fontId="2"/>
  </si>
  <si>
    <t>査読コメント</t>
  </si>
  <si>
    <t>&lt;&gt;""</t>
    <phoneticPr fontId="2"/>
  </si>
  <si>
    <t>査　読　シ ー ト</t>
  </si>
  <si>
    <t>　＜必須記入項目＞以下の区分毎に，色分けされた必須項目を記入する。（注）赤字セルは，計算式（入力不要）</t>
    <rPh sb="2" eb="4">
      <t>ヒッス</t>
    </rPh>
    <rPh sb="4" eb="6">
      <t>キニュウ</t>
    </rPh>
    <rPh sb="6" eb="8">
      <t>コウモク</t>
    </rPh>
    <rPh sb="34" eb="35">
      <t>チュウ</t>
    </rPh>
    <rPh sb="36" eb="37">
      <t>アカ</t>
    </rPh>
    <rPh sb="37" eb="38">
      <t>ジ</t>
    </rPh>
    <rPh sb="42" eb="44">
      <t>ケイサン</t>
    </rPh>
    <rPh sb="44" eb="45">
      <t>シキ</t>
    </rPh>
    <rPh sb="46" eb="48">
      <t>ニュウリョク</t>
    </rPh>
    <rPh sb="48" eb="50">
      <t>フヨウ</t>
    </rPh>
    <phoneticPr fontId="2"/>
  </si>
  <si>
    <t>回答期限</t>
    <rPh sb="0" eb="2">
      <t>カイトウ</t>
    </rPh>
    <rPh sb="2" eb="4">
      <t>キゲン</t>
    </rPh>
    <phoneticPr fontId="2"/>
  </si>
  <si>
    <t>：レビューア</t>
    <phoneticPr fontId="2"/>
  </si>
  <si>
    <t>：回答者　（インスペクション／公式レビュー対象ドキュメントの場合は，緑色セルも記入する）　　　　</t>
    <rPh sb="1" eb="3">
      <t>カイトウ</t>
    </rPh>
    <rPh sb="3" eb="4">
      <t>シャ</t>
    </rPh>
    <rPh sb="15" eb="17">
      <t>コウシキ</t>
    </rPh>
    <rPh sb="21" eb="23">
      <t>タイショウ</t>
    </rPh>
    <rPh sb="30" eb="32">
      <t>バアイ</t>
    </rPh>
    <rPh sb="34" eb="35">
      <t>ミドリ</t>
    </rPh>
    <rPh sb="35" eb="36">
      <t>イロ</t>
    </rPh>
    <rPh sb="39" eb="41">
      <t>キニュウ</t>
    </rPh>
    <phoneticPr fontId="2"/>
  </si>
  <si>
    <t>ﾄﾞｷｭﾒﾝﾄ番号：</t>
    <rPh sb="7" eb="9">
      <t>バンゴウ</t>
    </rPh>
    <phoneticPr fontId="2"/>
  </si>
  <si>
    <t>ページ数(頁) 
or
ライン数（KL)</t>
    <rPh sb="3" eb="4">
      <t>スウ</t>
    </rPh>
    <rPh sb="5" eb="6">
      <t>ページ</t>
    </rPh>
    <phoneticPr fontId="2"/>
  </si>
  <si>
    <t>ﾄﾞｷｭﾒﾝﾄ名／
ﾌﾟﾛｸﾞﾗﾑ名　　：</t>
    <rPh sb="7" eb="8">
      <t>メイ</t>
    </rPh>
    <rPh sb="17" eb="18">
      <t>メイ</t>
    </rPh>
    <phoneticPr fontId="2"/>
  </si>
  <si>
    <t>システムフロー_S100_01f_レビューシート.xls</t>
    <phoneticPr fontId="2"/>
  </si>
  <si>
    <t>ﾚﾋﾞｭｰ指摘率（件/頁）orｺｰﾄﾞﾚﾋﾞｭｰ指摘率（件/KL）</t>
    <phoneticPr fontId="2"/>
  </si>
  <si>
    <t>（複数ﾒﾝﾊﾞによるﾚﾋﾞｭｰの場合，工数加算する）</t>
  </si>
  <si>
    <t>　</t>
    <phoneticPr fontId="2"/>
  </si>
  <si>
    <t>No.</t>
    <phoneticPr fontId="2"/>
  </si>
  <si>
    <t>ページ</t>
    <phoneticPr fontId="2"/>
  </si>
  <si>
    <t>査読コメント</t>
    <rPh sb="0" eb="2">
      <t>サドク</t>
    </rPh>
    <phoneticPr fontId="2"/>
  </si>
  <si>
    <t>記入者</t>
    <rPh sb="0" eb="2">
      <t>キニュウ</t>
    </rPh>
    <rPh sb="2" eb="3">
      <t>シャ</t>
    </rPh>
    <phoneticPr fontId="2"/>
  </si>
  <si>
    <t>回　　答</t>
    <rPh sb="0" eb="1">
      <t>カイ</t>
    </rPh>
    <rPh sb="3" eb="4">
      <t>コタエ</t>
    </rPh>
    <phoneticPr fontId="2"/>
  </si>
  <si>
    <t>回答日</t>
    <rPh sb="0" eb="3">
      <t>カイトウビ</t>
    </rPh>
    <phoneticPr fontId="2"/>
  </si>
  <si>
    <t>回答者</t>
    <rPh sb="0" eb="2">
      <t>カイトウ</t>
    </rPh>
    <rPh sb="2" eb="3">
      <t>シャ</t>
    </rPh>
    <phoneticPr fontId="2"/>
  </si>
  <si>
    <t>処置期限</t>
    <rPh sb="0" eb="2">
      <t>ショチ</t>
    </rPh>
    <rPh sb="2" eb="4">
      <t>キゲン</t>
    </rPh>
    <phoneticPr fontId="2"/>
  </si>
  <si>
    <t>確認</t>
    <rPh sb="0" eb="2">
      <t>カクニン</t>
    </rPh>
    <phoneticPr fontId="2"/>
  </si>
  <si>
    <t>誤り分類コード(誤り分類の欄に下記コード 0A～DZを記入)</t>
    <rPh sb="0" eb="1">
      <t>アヤマ</t>
    </rPh>
    <rPh sb="2" eb="4">
      <t>ブンルイ</t>
    </rPh>
    <rPh sb="8" eb="9">
      <t>アヤマ</t>
    </rPh>
    <rPh sb="10" eb="12">
      <t>ブンルイ</t>
    </rPh>
    <rPh sb="13" eb="14">
      <t>ラン</t>
    </rPh>
    <rPh sb="15" eb="17">
      <t>カキ</t>
    </rPh>
    <rPh sb="27" eb="29">
      <t>キニュウ</t>
    </rPh>
    <phoneticPr fontId="2"/>
  </si>
  <si>
    <t>(注1)査読ｼｰﾄとﾚﾋﾞｭｰ評価ｼｰﾄは，対象とするﾄﾞｷｭﾒﾝﾄ／ﾌﾟﾛｸﾞﾗﾑ単位にファイルコピーして，使用して下さい。</t>
    <rPh sb="1" eb="2">
      <t>チュウ</t>
    </rPh>
    <rPh sb="4" eb="6">
      <t>サドク</t>
    </rPh>
    <rPh sb="15" eb="17">
      <t>ヒョウカ</t>
    </rPh>
    <rPh sb="22" eb="24">
      <t>タイショウ</t>
    </rPh>
    <rPh sb="42" eb="44">
      <t>タンイ</t>
    </rPh>
    <rPh sb="55" eb="57">
      <t>シヨウ</t>
    </rPh>
    <rPh sb="59" eb="60">
      <t>クダ</t>
    </rPh>
    <phoneticPr fontId="2"/>
  </si>
  <si>
    <t>　　　（各ｼｰﾄを同一ﾌｧｲﾙ内にｺﾋﾟｰして使用すると，ｺﾋﾟｰしたﾚﾋﾞｭｰ評価ｼｰﾄ内での計算式参照箇所が対応しなくなります。）</t>
    <rPh sb="23" eb="25">
      <t>シヨウ</t>
    </rPh>
    <phoneticPr fontId="2"/>
  </si>
  <si>
    <t>(注2)行数を増やす場合は，行単位で挿入＆書式コピーして下さい。</t>
    <rPh sb="1" eb="2">
      <t>チュウ</t>
    </rPh>
    <rPh sb="4" eb="6">
      <t>ギョウスウ</t>
    </rPh>
    <rPh sb="7" eb="8">
      <t>フ</t>
    </rPh>
    <rPh sb="10" eb="12">
      <t>バアイ</t>
    </rPh>
    <rPh sb="14" eb="15">
      <t>ギョウ</t>
    </rPh>
    <rPh sb="15" eb="17">
      <t>タンイ</t>
    </rPh>
    <rPh sb="18" eb="20">
      <t>ソウニュウ</t>
    </rPh>
    <rPh sb="21" eb="23">
      <t>ショシキ</t>
    </rPh>
    <rPh sb="28" eb="29">
      <t>クダ</t>
    </rPh>
    <phoneticPr fontId="2"/>
  </si>
  <si>
    <t>単体試験要領書_MSBBRA030_【帳票】アドオン(御見積書).xlsx</t>
    <phoneticPr fontId="2"/>
  </si>
  <si>
    <t>帳票名確認してください。</t>
    <rPh sb="2" eb="3">
      <t>メイ</t>
    </rPh>
    <rPh sb="3" eb="5">
      <t>カクニン</t>
    </rPh>
    <phoneticPr fontId="2"/>
  </si>
  <si>
    <t>TBK徐</t>
    <rPh sb="3" eb="4">
      <t>ジョ</t>
    </rPh>
    <phoneticPr fontId="2"/>
  </si>
  <si>
    <t>追加しました。</t>
    <rPh sb="0" eb="2">
      <t>ツイカ</t>
    </rPh>
    <phoneticPr fontId="2"/>
  </si>
  <si>
    <t>TBK高</t>
    <rPh sb="3" eb="4">
      <t>コウ</t>
    </rPh>
    <phoneticPr fontId="2"/>
  </si>
  <si>
    <t>５B</t>
    <phoneticPr fontId="2"/>
  </si>
  <si>
    <t>MDSOL
石田</t>
  </si>
  <si>
    <t>実施日：</t>
    <rPh sb="0" eb="2">
      <t>ジッシ</t>
    </rPh>
    <rPh sb="2" eb="3">
      <t>ビ</t>
    </rPh>
    <phoneticPr fontId="95"/>
  </si>
  <si>
    <t>実施者：</t>
    <rPh sb="0" eb="2">
      <t>ジッシ</t>
    </rPh>
    <rPh sb="2" eb="3">
      <t>シャ</t>
    </rPh>
    <phoneticPr fontId="95"/>
  </si>
  <si>
    <t>TBK徐</t>
    <rPh sb="3" eb="4">
      <t>ジョ</t>
    </rPh>
    <phoneticPr fontId="95"/>
  </si>
  <si>
    <t>単体テスト要領書チェックリスト（Ｒｅｖ１．０）</t>
    <rPh sb="0" eb="2">
      <t>タンタイ</t>
    </rPh>
    <rPh sb="5" eb="7">
      <t>ヨウリョウ</t>
    </rPh>
    <rPh sb="7" eb="8">
      <t>ショ</t>
    </rPh>
    <phoneticPr fontId="95"/>
  </si>
  <si>
    <t>ドキュメント番号：</t>
    <rPh sb="6" eb="8">
      <t>バンゴウ</t>
    </rPh>
    <phoneticPr fontId="95"/>
  </si>
  <si>
    <t>機能区分：</t>
    <rPh sb="0" eb="2">
      <t>キノウ</t>
    </rPh>
    <rPh sb="2" eb="4">
      <t>クブン</t>
    </rPh>
    <phoneticPr fontId="95"/>
  </si>
  <si>
    <t>帳票(紙)</t>
  </si>
  <si>
    <t>チェック項目</t>
    <rPh sb="4" eb="6">
      <t>コウモク</t>
    </rPh>
    <phoneticPr fontId="95"/>
  </si>
  <si>
    <t>No.</t>
    <phoneticPr fontId="95"/>
  </si>
  <si>
    <t>チェック内容</t>
    <rPh sb="4" eb="6">
      <t>ナイヨウ</t>
    </rPh>
    <phoneticPr fontId="95"/>
  </si>
  <si>
    <t>結果
(○／×／－)</t>
    <rPh sb="0" eb="2">
      <t>ケッカ</t>
    </rPh>
    <phoneticPr fontId="95"/>
  </si>
  <si>
    <t>画面</t>
    <rPh sb="0" eb="2">
      <t>ガメン</t>
    </rPh>
    <phoneticPr fontId="95"/>
  </si>
  <si>
    <t>帳票（紙）</t>
    <rPh sb="0" eb="2">
      <t>チョウヒョウ</t>
    </rPh>
    <rPh sb="3" eb="4">
      <t>カミ</t>
    </rPh>
    <phoneticPr fontId="95"/>
  </si>
  <si>
    <t>帳票（Ex）</t>
    <rPh sb="0" eb="2">
      <t>チョウヒョウ</t>
    </rPh>
    <phoneticPr fontId="95"/>
  </si>
  <si>
    <t>バッチ</t>
    <phoneticPr fontId="95"/>
  </si>
  <si>
    <t>Ｉ／Ｆ</t>
    <phoneticPr fontId="95"/>
  </si>
  <si>
    <t>０．全体</t>
    <rPh sb="2" eb="4">
      <t>ゼンタイ</t>
    </rPh>
    <phoneticPr fontId="95"/>
  </si>
  <si>
    <t xml:space="preserve">全ページがレビュー済みであるか。
</t>
    <phoneticPr fontId="95"/>
  </si>
  <si>
    <t>〇</t>
  </si>
  <si>
    <t>●</t>
  </si>
  <si>
    <t>語句が統一されていることを確認したか。（業務用語はお客様と認識を合わせておく）
　例）納品先と納入先 ⇒ 納品先、仕入先⇒発注先 等
※業務用語集はドキュメント・リンク集から参照のこと</t>
    <rPh sb="57" eb="59">
      <t>シイ</t>
    </rPh>
    <rPh sb="59" eb="60">
      <t>サキ</t>
    </rPh>
    <rPh sb="61" eb="63">
      <t>ハッチュウ</t>
    </rPh>
    <rPh sb="63" eb="64">
      <t>サキ</t>
    </rPh>
    <rPh sb="65" eb="66">
      <t>ナド</t>
    </rPh>
    <rPh sb="68" eb="70">
      <t>ギョウム</t>
    </rPh>
    <rPh sb="70" eb="72">
      <t>ヨウゴ</t>
    </rPh>
    <rPh sb="72" eb="73">
      <t>シュウ</t>
    </rPh>
    <rPh sb="84" eb="85">
      <t>シュウ</t>
    </rPh>
    <rPh sb="87" eb="89">
      <t>サンショウ</t>
    </rPh>
    <phoneticPr fontId="95"/>
  </si>
  <si>
    <t xml:space="preserve">仕様書を印刷した際に、各ページにヘッダが存在すること。
</t>
    <rPh sb="8" eb="9">
      <t>サイ</t>
    </rPh>
    <phoneticPr fontId="95"/>
  </si>
  <si>
    <t>試験実施の要否が正しく記載されていること
なお「×」のものについては理由が明記されていること
※試験ができない項目に「○」がついていないか
※試験を実施すべき項目に「×」がついていないか</t>
    <rPh sb="0" eb="2">
      <t>シケン</t>
    </rPh>
    <rPh sb="2" eb="4">
      <t>ジッシ</t>
    </rPh>
    <rPh sb="5" eb="7">
      <t>ヨウヒ</t>
    </rPh>
    <rPh sb="8" eb="9">
      <t>タダ</t>
    </rPh>
    <rPh sb="11" eb="13">
      <t>キサイ</t>
    </rPh>
    <rPh sb="34" eb="36">
      <t>リユウ</t>
    </rPh>
    <rPh sb="37" eb="39">
      <t>メイキ</t>
    </rPh>
    <rPh sb="48" eb="50">
      <t>シケン</t>
    </rPh>
    <rPh sb="55" eb="57">
      <t>コウモク</t>
    </rPh>
    <rPh sb="71" eb="73">
      <t>シケン</t>
    </rPh>
    <rPh sb="74" eb="76">
      <t>ジッシ</t>
    </rPh>
    <rPh sb="79" eb="81">
      <t>コウモク</t>
    </rPh>
    <phoneticPr fontId="95"/>
  </si>
  <si>
    <t>誰でも試験を実施できる内容になっているか。
必要に応じて「試験データシート」または「試験シート」にInput/Outputが明記されているか</t>
    <rPh sb="0" eb="1">
      <t>ダレ</t>
    </rPh>
    <rPh sb="3" eb="5">
      <t>シケン</t>
    </rPh>
    <rPh sb="6" eb="8">
      <t>ジッシ</t>
    </rPh>
    <rPh sb="11" eb="13">
      <t>ナイヨウ</t>
    </rPh>
    <rPh sb="22" eb="24">
      <t>ヒツヨウ</t>
    </rPh>
    <rPh sb="25" eb="26">
      <t>オウ</t>
    </rPh>
    <rPh sb="29" eb="31">
      <t>シケン</t>
    </rPh>
    <rPh sb="42" eb="44">
      <t>シケン</t>
    </rPh>
    <rPh sb="62" eb="64">
      <t>メイキ</t>
    </rPh>
    <phoneticPr fontId="95"/>
  </si>
  <si>
    <t>テスト方法、期待される結果が曖昧な表現となっていないこと
例1　
　　正しく処理されること　×
　　ログファイルに以下が出力されること　〇
　　処理件数：0件
　　戻り値：0　←期待される結果として、具体的な値、事象を記載すること
例2
　　詳細設計通りであること　×
　　別紙：詳細設計書.DB項目転送シートの編集内容通りに値が設定されていること　〇
　　←詳細設計書.DB項目転送シートのINS02の表を別紙に添付する。
　　　単体試験成績書で結果のエビデンスと表横にOK、NGを記載していただくイメージ
　　</t>
    <rPh sb="3" eb="5">
      <t>ホウホウ</t>
    </rPh>
    <rPh sb="6" eb="8">
      <t>キタイ</t>
    </rPh>
    <rPh sb="11" eb="13">
      <t>ケッカ</t>
    </rPh>
    <rPh sb="14" eb="16">
      <t>アイマイ</t>
    </rPh>
    <rPh sb="17" eb="19">
      <t>ヒョウゲン</t>
    </rPh>
    <rPh sb="29" eb="30">
      <t>レイ</t>
    </rPh>
    <rPh sb="35" eb="36">
      <t>タダ</t>
    </rPh>
    <rPh sb="38" eb="40">
      <t>ショリ</t>
    </rPh>
    <rPh sb="58" eb="60">
      <t>イカ</t>
    </rPh>
    <rPh sb="61" eb="63">
      <t>シュツリョク</t>
    </rPh>
    <rPh sb="73" eb="75">
      <t>ショリ</t>
    </rPh>
    <rPh sb="75" eb="77">
      <t>ケンスウ</t>
    </rPh>
    <rPh sb="79" eb="80">
      <t>ケン</t>
    </rPh>
    <rPh sb="83" eb="84">
      <t>モド</t>
    </rPh>
    <rPh sb="85" eb="86">
      <t>チ</t>
    </rPh>
    <rPh sb="90" eb="92">
      <t>キタイ</t>
    </rPh>
    <rPh sb="95" eb="97">
      <t>ケッカ</t>
    </rPh>
    <rPh sb="101" eb="104">
      <t>グタイテキ</t>
    </rPh>
    <rPh sb="105" eb="106">
      <t>アタイ</t>
    </rPh>
    <rPh sb="107" eb="109">
      <t>ジショウ</t>
    </rPh>
    <rPh sb="110" eb="112">
      <t>キサイ</t>
    </rPh>
    <rPh sb="122" eb="124">
      <t>ショウサイ</t>
    </rPh>
    <rPh sb="124" eb="126">
      <t>セッケイ</t>
    </rPh>
    <rPh sb="126" eb="127">
      <t>トオ</t>
    </rPh>
    <rPh sb="141" eb="143">
      <t>ベッシ</t>
    </rPh>
    <rPh sb="144" eb="146">
      <t>ショウサイ</t>
    </rPh>
    <rPh sb="146" eb="148">
      <t>セッケイ</t>
    </rPh>
    <rPh sb="148" eb="149">
      <t>ショ</t>
    </rPh>
    <rPh sb="152" eb="154">
      <t>コウモク</t>
    </rPh>
    <rPh sb="154" eb="156">
      <t>テンソウ</t>
    </rPh>
    <rPh sb="160" eb="162">
      <t>ヘンシュウ</t>
    </rPh>
    <rPh sb="162" eb="164">
      <t>ナイヨウ</t>
    </rPh>
    <rPh sb="164" eb="165">
      <t>トオ</t>
    </rPh>
    <rPh sb="167" eb="168">
      <t>アタイ</t>
    </rPh>
    <rPh sb="169" eb="171">
      <t>セッテイ</t>
    </rPh>
    <rPh sb="184" eb="186">
      <t>ショウサイ</t>
    </rPh>
    <rPh sb="186" eb="188">
      <t>セッケイ</t>
    </rPh>
    <rPh sb="188" eb="189">
      <t>ショ</t>
    </rPh>
    <rPh sb="192" eb="194">
      <t>コウモク</t>
    </rPh>
    <rPh sb="194" eb="196">
      <t>テンソウ</t>
    </rPh>
    <rPh sb="206" eb="207">
      <t>ヒョウ</t>
    </rPh>
    <rPh sb="208" eb="210">
      <t>ベッシ</t>
    </rPh>
    <rPh sb="211" eb="213">
      <t>テンプ</t>
    </rPh>
    <rPh sb="220" eb="222">
      <t>タンタイ</t>
    </rPh>
    <rPh sb="222" eb="224">
      <t>シケン</t>
    </rPh>
    <rPh sb="224" eb="227">
      <t>セイセキショ</t>
    </rPh>
    <rPh sb="228" eb="230">
      <t>ケッカ</t>
    </rPh>
    <rPh sb="237" eb="238">
      <t>ヒョウ</t>
    </rPh>
    <rPh sb="238" eb="239">
      <t>ヨコ</t>
    </rPh>
    <rPh sb="246" eb="248">
      <t>キサイ</t>
    </rPh>
    <phoneticPr fontId="95"/>
  </si>
  <si>
    <t>１．画面全体</t>
    <rPh sb="2" eb="4">
      <t>ガメン</t>
    </rPh>
    <rPh sb="4" eb="6">
      <t>ゼンタイ</t>
    </rPh>
    <phoneticPr fontId="95"/>
  </si>
  <si>
    <t>＜全体＞
レイアウトが設計書の画面イメージと一致していることを確認する。
タブがある場合は、全てのタブについて確認する。
遷移元からの指定やパラメータなどの処理条件でレイアウトが異なる場合、全ての条件で確認する。
・項目やボタンの配置
・画面サイズ
・一覧枠の項目並び順</t>
    <rPh sb="1" eb="3">
      <t>ゼンタイ</t>
    </rPh>
    <rPh sb="31" eb="33">
      <t>カクニン</t>
    </rPh>
    <rPh sb="42" eb="44">
      <t>バアイ</t>
    </rPh>
    <rPh sb="46" eb="47">
      <t>スベ</t>
    </rPh>
    <rPh sb="55" eb="57">
      <t>カクニン</t>
    </rPh>
    <rPh sb="61" eb="63">
      <t>センイ</t>
    </rPh>
    <rPh sb="63" eb="64">
      <t>モト</t>
    </rPh>
    <rPh sb="67" eb="69">
      <t>シテイ</t>
    </rPh>
    <rPh sb="78" eb="80">
      <t>ショリ</t>
    </rPh>
    <rPh sb="80" eb="82">
      <t>ジョウケン</t>
    </rPh>
    <rPh sb="89" eb="90">
      <t>コト</t>
    </rPh>
    <rPh sb="92" eb="94">
      <t>バアイ</t>
    </rPh>
    <rPh sb="95" eb="96">
      <t>スベ</t>
    </rPh>
    <rPh sb="98" eb="100">
      <t>ジョウケン</t>
    </rPh>
    <rPh sb="101" eb="103">
      <t>カクニン</t>
    </rPh>
    <phoneticPr fontId="92"/>
  </si>
  <si>
    <t>●</t>
    <phoneticPr fontId="95"/>
  </si>
  <si>
    <t>＜名称＞
トップバーに画面名称が正しく表示されていることを確認する。</t>
    <rPh sb="29" eb="31">
      <t>カクニン</t>
    </rPh>
    <phoneticPr fontId="95"/>
  </si>
  <si>
    <t>＜各項目タイトル＞
各項目のタイトル（ラベル）が設計書と一致していることを確認する。</t>
    <rPh sb="1" eb="4">
      <t>カクコウモク</t>
    </rPh>
    <rPh sb="37" eb="39">
      <t>カクニン</t>
    </rPh>
    <phoneticPr fontId="92"/>
  </si>
  <si>
    <t>＜ボタンのタイトル＞
各ボタンのタイトル（ラベル）が設計書と一致していることを確認する。</t>
    <rPh sb="39" eb="41">
      <t>カクニン</t>
    </rPh>
    <phoneticPr fontId="95"/>
  </si>
  <si>
    <t>＜一覧枠のサイズ＞
一覧枠のサイズが設計書と一致していることを確認する。</t>
    <rPh sb="1" eb="3">
      <t>イチラン</t>
    </rPh>
    <rPh sb="3" eb="4">
      <t>ワク</t>
    </rPh>
    <rPh sb="31" eb="33">
      <t>カクニン</t>
    </rPh>
    <phoneticPr fontId="92"/>
  </si>
  <si>
    <t>＜一覧枠のタイトル＞
一覧枠のタイトルが設計書と一致していることを確認する。</t>
    <rPh sb="1" eb="3">
      <t>イチラン</t>
    </rPh>
    <rPh sb="3" eb="4">
      <t>ワク</t>
    </rPh>
    <phoneticPr fontId="92"/>
  </si>
  <si>
    <t>＜入力枠＞
入力項目の桁・型・種類（入力補助/コンボボックス）が設計書と一致していることを確認する。</t>
    <rPh sb="1" eb="3">
      <t>ニュウリョク</t>
    </rPh>
    <rPh sb="3" eb="4">
      <t>ワク</t>
    </rPh>
    <rPh sb="11" eb="12">
      <t>ケタ</t>
    </rPh>
    <rPh sb="13" eb="14">
      <t>カタ</t>
    </rPh>
    <phoneticPr fontId="92"/>
  </si>
  <si>
    <t>＜入力枠　一覧＞
入力項目の桁・型・種類（入力補助/コンボボックス）が設計書と一致していることを確認する。</t>
    <rPh sb="1" eb="3">
      <t>ニュウリョク</t>
    </rPh>
    <rPh sb="3" eb="4">
      <t>ワク</t>
    </rPh>
    <rPh sb="5" eb="7">
      <t>イチラン</t>
    </rPh>
    <rPh sb="14" eb="15">
      <t>ケタ</t>
    </rPh>
    <rPh sb="16" eb="17">
      <t>カタ</t>
    </rPh>
    <phoneticPr fontId="92"/>
  </si>
  <si>
    <t>＜最大化・最小化＞
画面の最大化、最小化、ドラッグによるサイズ変更が可能であること（設計書に記載がなければフレームワークの標準仕様とする）を確認する。</t>
    <rPh sb="1" eb="4">
      <t>サイダイカ</t>
    </rPh>
    <rPh sb="5" eb="8">
      <t>サイショウカ</t>
    </rPh>
    <phoneticPr fontId="92"/>
  </si>
  <si>
    <t>＜「×」ボタン動作＞
「×」ボタン押下時に画面が終了することを確認する。
・更新中の項目があれば確認ダイアログを表示する。</t>
    <rPh sb="38" eb="40">
      <t>コウシン</t>
    </rPh>
    <rPh sb="40" eb="41">
      <t>チュウ</t>
    </rPh>
    <rPh sb="42" eb="44">
      <t>コウモク</t>
    </rPh>
    <rPh sb="48" eb="50">
      <t>カクニン</t>
    </rPh>
    <rPh sb="56" eb="58">
      <t>ヒョウジ</t>
    </rPh>
    <phoneticPr fontId="95"/>
  </si>
  <si>
    <t>２．画面初期動作</t>
    <rPh sb="4" eb="6">
      <t>ショキ</t>
    </rPh>
    <rPh sb="6" eb="8">
      <t>ドウサ</t>
    </rPh>
    <phoneticPr fontId="95"/>
  </si>
  <si>
    <t>＜初期表示時の項目制御＞
画面起動時に項目毎に必要に応じて「入力可」「入力不可」の制御が行われていることを確認する。
・遷移元の指定やパラメータなどの処理条件によって制御が異なる場合、全ての条件で確認する。
※各フィールドやボタンについて
　項目シートに直接記載するかデータシートまたはマトリックスシートに記載しているか</t>
    <rPh sb="1" eb="3">
      <t>ショキ</t>
    </rPh>
    <rPh sb="3" eb="5">
      <t>ヒョウジ</t>
    </rPh>
    <rPh sb="5" eb="6">
      <t>ジ</t>
    </rPh>
    <rPh sb="7" eb="9">
      <t>コウモク</t>
    </rPh>
    <rPh sb="9" eb="11">
      <t>セイギョ</t>
    </rPh>
    <rPh sb="83" eb="85">
      <t>セイギョ</t>
    </rPh>
    <rPh sb="105" eb="106">
      <t>カク</t>
    </rPh>
    <rPh sb="121" eb="123">
      <t>コウモク</t>
    </rPh>
    <rPh sb="127" eb="129">
      <t>チョクセツ</t>
    </rPh>
    <rPh sb="129" eb="131">
      <t>キサイ</t>
    </rPh>
    <phoneticPr fontId="92"/>
  </si>
  <si>
    <t>＜初期表示時のボタン制御＞
画面起動時にボタン毎に必要に応じて「押下可」「押下不可」の制御が行われていることを確認する。
・遷移元の指定やパラメータなどの処理条件によって制御が異なる場合、全ての条件で確認する。
※各ボタンについて
　項目シートに直接記載するかデータシートまたはマトリックスシートに記載しているか</t>
    <rPh sb="1" eb="3">
      <t>ショキ</t>
    </rPh>
    <rPh sb="3" eb="5">
      <t>ヒョウジ</t>
    </rPh>
    <rPh sb="5" eb="6">
      <t>ジ</t>
    </rPh>
    <rPh sb="10" eb="12">
      <t>セイギョ</t>
    </rPh>
    <rPh sb="85" eb="87">
      <t>セイギョ</t>
    </rPh>
    <rPh sb="107" eb="108">
      <t>カク</t>
    </rPh>
    <phoneticPr fontId="92"/>
  </si>
  <si>
    <t>＜初期値の設定＞
画面起動時の入力項目に設定されている値が設計書と一致していることを確認する。
・初期値が設定されていない項目は、設定されていないことを確認する。
・遷移元の指定やパラメータなどの処理条件によって初期値が異なる場合、全ての条件で確認する。
※各フィールドおよび値について
　項目シートに直接記載するかデータシートまたはマトリックスシートに記載しているか</t>
    <rPh sb="1" eb="4">
      <t>ショキチ</t>
    </rPh>
    <rPh sb="5" eb="7">
      <t>セッテイ</t>
    </rPh>
    <rPh sb="83" eb="85">
      <t>センイ</t>
    </rPh>
    <rPh sb="85" eb="86">
      <t>モト</t>
    </rPh>
    <rPh sb="87" eb="89">
      <t>シテイ</t>
    </rPh>
    <rPh sb="98" eb="100">
      <t>ショリ</t>
    </rPh>
    <rPh sb="100" eb="102">
      <t>ジョウケン</t>
    </rPh>
    <rPh sb="106" eb="109">
      <t>ショキチ</t>
    </rPh>
    <rPh sb="110" eb="111">
      <t>コト</t>
    </rPh>
    <rPh sb="113" eb="115">
      <t>バアイ</t>
    </rPh>
    <rPh sb="116" eb="117">
      <t>スベ</t>
    </rPh>
    <rPh sb="119" eb="121">
      <t>ジョウケン</t>
    </rPh>
    <rPh sb="122" eb="124">
      <t>カクニン</t>
    </rPh>
    <rPh sb="129" eb="130">
      <t>カク</t>
    </rPh>
    <rPh sb="138" eb="139">
      <t>アタイ</t>
    </rPh>
    <phoneticPr fontId="92"/>
  </si>
  <si>
    <t>３．画面基本動作</t>
    <rPh sb="4" eb="6">
      <t>キホン</t>
    </rPh>
    <rPh sb="6" eb="8">
      <t>ドウサ</t>
    </rPh>
    <phoneticPr fontId="95"/>
  </si>
  <si>
    <t>＜Tabキー移動＞
TabキーまたはEnterキーでの移動が設計書と一致していることを確認する。
（画面項目定義の項目順に準拠していること）</t>
    <rPh sb="6" eb="8">
      <t>イドウ</t>
    </rPh>
    <phoneticPr fontId="92"/>
  </si>
  <si>
    <t>＜ファンクションキー(F1)の押下＞
ファンクションキー押下時の動作が標準仕様、または設計書と一致していることを確認する。
・検索ボタン</t>
    <rPh sb="15" eb="17">
      <t>オウカ</t>
    </rPh>
    <phoneticPr fontId="92"/>
  </si>
  <si>
    <t>＜ファンクションキー(F2)の押下＞
ファンクションキー押下時の動作が標準仕様、または設計書と一致していることを確認する。
・入力補助画面起動</t>
    <rPh sb="15" eb="17">
      <t>オウカ</t>
    </rPh>
    <phoneticPr fontId="92"/>
  </si>
  <si>
    <t>＜ファンクションキー(F5)の押下＞
ファンクションキー押下時の動作が標準仕様、または設計書と一致していることを確認する。
・行追加ボタン</t>
    <rPh sb="15" eb="17">
      <t>オウカ</t>
    </rPh>
    <phoneticPr fontId="92"/>
  </si>
  <si>
    <t>＜ファンクションキー(F6)の押下＞
ファンクションキー押下時の動作が標準仕様、または設計書と一致していることを確認する。
・行削除ボタン</t>
    <rPh sb="15" eb="17">
      <t>オウカ</t>
    </rPh>
    <phoneticPr fontId="92"/>
  </si>
  <si>
    <t>＜ファンクションキー(F7)の押下＞
ファンクションキー押下時の動作が標準仕様、または設計書と一致していることを確認する。
・テーブルクリアボタン</t>
    <rPh sb="15" eb="17">
      <t>オウカ</t>
    </rPh>
    <phoneticPr fontId="92"/>
  </si>
  <si>
    <t>＜ファンクションキー(F9)の押下＞
ファンクションキー押下時の動作が標準仕様、または設計書と一致していることを確認する。
・登録ボタン</t>
    <rPh sb="15" eb="17">
      <t>オウカ</t>
    </rPh>
    <phoneticPr fontId="92"/>
  </si>
  <si>
    <t>＜ファンクションキー(F12)の押下＞
ファンクションキー押下時の動作が標準仕様、または設計書と一致していることを確認する。
・削除ボタン</t>
    <rPh sb="16" eb="18">
      <t>オウカ</t>
    </rPh>
    <phoneticPr fontId="92"/>
  </si>
  <si>
    <t>＜ファンクションキー(F17)の押下＞
ファンクションキー押下時の動作が標準仕様、または設計書と一致していることを確認する。
・行コピーボタン</t>
    <rPh sb="16" eb="18">
      <t>オウカ</t>
    </rPh>
    <phoneticPr fontId="92"/>
  </si>
  <si>
    <t>＜入力補助の動作＞
全項目の入力補助について、起動と値の受渡しが設計書と一致していることを確認する。
・マスタから値を取得する場合は、マスタを準備する。
・遷移元の指定やパラメータなどの処理条件によってリストが異なる場合、全ての条件で確認する。</t>
    <rPh sb="10" eb="11">
      <t>ゼン</t>
    </rPh>
    <rPh sb="11" eb="13">
      <t>コウモク</t>
    </rPh>
    <rPh sb="45" eb="47">
      <t>カクニン</t>
    </rPh>
    <phoneticPr fontId="95"/>
  </si>
  <si>
    <t>＜コンボボックスの動作＞
全項目のコンボボックスについて、起動と値の受渡しが設計書と一致していることを確認する。
※システム仕様書の「項目説明」に記載のあるもの全てが対象
・マスタから値を取得する場合は、マスタを準備する。
・遷移元の指定やパラメータなどの処理条件によってリストが異なる場合、全ての条件で確認する。
　Ex.倉庫CDに所属する場所CDの入力が可能（所属しない場合には入力不可）</t>
    <rPh sb="13" eb="14">
      <t>ゼン</t>
    </rPh>
    <rPh sb="14" eb="16">
      <t>コウモク</t>
    </rPh>
    <rPh sb="51" eb="53">
      <t>カクニン</t>
    </rPh>
    <rPh sb="62" eb="65">
      <t>シヨウショ</t>
    </rPh>
    <rPh sb="67" eb="69">
      <t>コウモク</t>
    </rPh>
    <rPh sb="69" eb="71">
      <t>セツメイ</t>
    </rPh>
    <rPh sb="73" eb="75">
      <t>キサイ</t>
    </rPh>
    <rPh sb="80" eb="81">
      <t>スベ</t>
    </rPh>
    <rPh sb="83" eb="85">
      <t>タイショウ</t>
    </rPh>
    <rPh sb="92" eb="93">
      <t>アタイ</t>
    </rPh>
    <rPh sb="94" eb="96">
      <t>シュトク</t>
    </rPh>
    <rPh sb="98" eb="100">
      <t>バアイ</t>
    </rPh>
    <rPh sb="106" eb="108">
      <t>ジュンビ</t>
    </rPh>
    <rPh sb="162" eb="164">
      <t>ソウコ</t>
    </rPh>
    <rPh sb="167" eb="169">
      <t>ショゾク</t>
    </rPh>
    <rPh sb="171" eb="173">
      <t>バショ</t>
    </rPh>
    <rPh sb="176" eb="178">
      <t>ニュウリョク</t>
    </rPh>
    <rPh sb="179" eb="181">
      <t>カノウ</t>
    </rPh>
    <rPh sb="182" eb="184">
      <t>ショゾク</t>
    </rPh>
    <rPh sb="187" eb="189">
      <t>バアイ</t>
    </rPh>
    <rPh sb="191" eb="193">
      <t>ニュウリョク</t>
    </rPh>
    <rPh sb="193" eb="195">
      <t>フカ</t>
    </rPh>
    <phoneticPr fontId="95"/>
  </si>
  <si>
    <t>＜入力項目の値の制限＞
各項目に対して、形式（日付、数値）、桁数、右詰、左詰、及びIME制御（全半角）が設計書と一致していることを確認する。</t>
    <rPh sb="1" eb="3">
      <t>ニュウリョク</t>
    </rPh>
    <rPh sb="3" eb="5">
      <t>コウモク</t>
    </rPh>
    <rPh sb="6" eb="7">
      <t>アタイ</t>
    </rPh>
    <rPh sb="8" eb="10">
      <t>セイゲン</t>
    </rPh>
    <rPh sb="65" eb="67">
      <t>カクニン</t>
    </rPh>
    <phoneticPr fontId="92"/>
  </si>
  <si>
    <t>＜数値の有効桁数（表示形式）＞
全数値項目に対して、は小数点以下の桁数、端数の扱い（四捨五入、切り上げ、切り捨て）が設計書と一致していることを確認する。</t>
    <rPh sb="1" eb="3">
      <t>スウチ</t>
    </rPh>
    <rPh sb="4" eb="6">
      <t>ユウコウ</t>
    </rPh>
    <rPh sb="6" eb="8">
      <t>ケタスウ</t>
    </rPh>
    <rPh sb="9" eb="11">
      <t>ヒョウジ</t>
    </rPh>
    <rPh sb="11" eb="13">
      <t>ケイシキ</t>
    </rPh>
    <rPh sb="16" eb="17">
      <t>ゼン</t>
    </rPh>
    <rPh sb="19" eb="21">
      <t>コウモク</t>
    </rPh>
    <rPh sb="22" eb="23">
      <t>タイ</t>
    </rPh>
    <rPh sb="71" eb="73">
      <t>カクニン</t>
    </rPh>
    <phoneticPr fontId="92"/>
  </si>
  <si>
    <t>＜日付の表示形式＞
全日付項目に対して、は表示形式（YMD形式など）が設計書と一致していることを確認する。</t>
    <rPh sb="1" eb="3">
      <t>ヒヅケ</t>
    </rPh>
    <rPh sb="4" eb="6">
      <t>ヒョウジ</t>
    </rPh>
    <rPh sb="6" eb="8">
      <t>ケイシキ</t>
    </rPh>
    <rPh sb="10" eb="11">
      <t>ゼン</t>
    </rPh>
    <rPh sb="11" eb="13">
      <t>ヒヅケ</t>
    </rPh>
    <rPh sb="13" eb="15">
      <t>コウモク</t>
    </rPh>
    <rPh sb="16" eb="17">
      <t>タイ</t>
    </rPh>
    <rPh sb="21" eb="23">
      <t>ヒョウジ</t>
    </rPh>
    <rPh sb="23" eb="25">
      <t>ケイシキ</t>
    </rPh>
    <rPh sb="29" eb="31">
      <t>ケイシキ</t>
    </rPh>
    <rPh sb="48" eb="50">
      <t>カクニン</t>
    </rPh>
    <phoneticPr fontId="92"/>
  </si>
  <si>
    <t>４．画面イベント</t>
    <phoneticPr fontId="95"/>
  </si>
  <si>
    <t>＜検索ボタン＞
検索ボタンによって発生するイベントが設計書と一致していることを確認する。
以下の試験項目は必ず含めること。</t>
    <rPh sb="1" eb="3">
      <t>ケンサク</t>
    </rPh>
    <rPh sb="8" eb="10">
      <t>ケンサク</t>
    </rPh>
    <rPh sb="17" eb="19">
      <t>ハッセイ</t>
    </rPh>
    <rPh sb="26" eb="29">
      <t>セッケイショ</t>
    </rPh>
    <rPh sb="30" eb="32">
      <t>イッチ</t>
    </rPh>
    <rPh sb="39" eb="41">
      <t>カクニン</t>
    </rPh>
    <rPh sb="45" eb="47">
      <t>イカ</t>
    </rPh>
    <rPh sb="48" eb="50">
      <t>シケン</t>
    </rPh>
    <rPh sb="50" eb="52">
      <t>コウモク</t>
    </rPh>
    <rPh sb="53" eb="54">
      <t>カナラ</t>
    </rPh>
    <rPh sb="55" eb="56">
      <t>フク</t>
    </rPh>
    <phoneticPr fontId="95"/>
  </si>
  <si>
    <t>・対象０件の場合の検索結果を確認する。</t>
    <rPh sb="9" eb="11">
      <t>ケンサク</t>
    </rPh>
    <phoneticPr fontId="95"/>
  </si>
  <si>
    <t>・対象１件の場合の、登録処理の検索結果を確認する。</t>
    <rPh sb="15" eb="17">
      <t>ケンサク</t>
    </rPh>
    <rPh sb="17" eb="19">
      <t>ケッカ</t>
    </rPh>
    <phoneticPr fontId="95"/>
  </si>
  <si>
    <t>・対象複数件（５件以上）の場合の、登録処理の検索結果を確認する。</t>
    <rPh sb="22" eb="24">
      <t>ケンサク</t>
    </rPh>
    <rPh sb="24" eb="26">
      <t>ケッカ</t>
    </rPh>
    <phoneticPr fontId="95"/>
  </si>
  <si>
    <t>・合計値項目など導出値が正しく登録されているか検索結果を確認する。</t>
    <rPh sb="23" eb="25">
      <t>ケンサク</t>
    </rPh>
    <rPh sb="25" eb="27">
      <t>ケッカ</t>
    </rPh>
    <phoneticPr fontId="95"/>
  </si>
  <si>
    <t>・入力項目の境界値（上限範囲内・範囲外、下限範囲内・範囲外）が正しく動作しているかを確認する。</t>
  </si>
  <si>
    <t>・入力チェック処理（必須、重複、整合など）が全てのケースで正しく動作しているかを確認する。</t>
  </si>
  <si>
    <t>・パラメータや処理モードなどの条件によって登録処理が異なる場合、全ての条件で出力結果を確認する。</t>
    <rPh sb="38" eb="40">
      <t>シュツリョク</t>
    </rPh>
    <rPh sb="40" eb="42">
      <t>ケッカ</t>
    </rPh>
    <phoneticPr fontId="95"/>
  </si>
  <si>
    <t>・登録処理において、新規と更新のケースで各々確認する。</t>
    <phoneticPr fontId="95"/>
  </si>
  <si>
    <t>・登録処理において、新規と更新が同時に処理可能な場合、新規と更新の処理を織り交ぜた出力結果を確認する。</t>
    <rPh sb="33" eb="35">
      <t>ショリ</t>
    </rPh>
    <rPh sb="41" eb="43">
      <t>シュツリョク</t>
    </rPh>
    <rPh sb="43" eb="45">
      <t>ケッカ</t>
    </rPh>
    <phoneticPr fontId="95"/>
  </si>
  <si>
    <t>＜行追加ボタン＞
行追加ボタンによって発生するイベントが設計書と一致していることを確認する。
・空行が追加されていることを確認する。</t>
    <rPh sb="1" eb="2">
      <t>ギョウ</t>
    </rPh>
    <rPh sb="2" eb="4">
      <t>ツイカ</t>
    </rPh>
    <rPh sb="48" eb="49">
      <t>カラ</t>
    </rPh>
    <rPh sb="49" eb="50">
      <t>ギョウ</t>
    </rPh>
    <rPh sb="51" eb="53">
      <t>ツイカ</t>
    </rPh>
    <rPh sb="61" eb="63">
      <t>カクニン</t>
    </rPh>
    <phoneticPr fontId="95"/>
  </si>
  <si>
    <t>＜行削除ボタン＞
行削除ボタンによって発生するイベントが設計書と一致していることを確認する。</t>
    <rPh sb="1" eb="2">
      <t>ギョウ</t>
    </rPh>
    <rPh sb="2" eb="4">
      <t>サクジョ</t>
    </rPh>
    <rPh sb="10" eb="12">
      <t>サクジョ</t>
    </rPh>
    <phoneticPr fontId="95"/>
  </si>
  <si>
    <t>・削除処理の対象行が空行の場合は削除されることを確認する。</t>
  </si>
  <si>
    <t>・削除処理の対象行が空行以外の場合は、行ステータスが「D：削除」になることを確認する。</t>
  </si>
  <si>
    <t>＜テーブルクリアボタン＞
テーブルクリアボタンによって発生するイベントが設計書と一致していることを確認する。</t>
    <phoneticPr fontId="95"/>
  </si>
  <si>
    <t>＜登録ボタン＞
登録ボタンによって発生するイベントが設計書と一致していることを確認する。
以下の試験項目は必ず含めること。</t>
    <rPh sb="1" eb="3">
      <t>トウロク</t>
    </rPh>
    <rPh sb="8" eb="10">
      <t>トウロク</t>
    </rPh>
    <phoneticPr fontId="95"/>
  </si>
  <si>
    <t>・対象０件の場合の結果を確認する。</t>
    <phoneticPr fontId="95"/>
  </si>
  <si>
    <t>・対象１件の場合、登録処理を確認する。</t>
  </si>
  <si>
    <t>・対象複数件（５件以上）の場合、登録処理を確認する。</t>
  </si>
  <si>
    <t>・合計値項目など導出値が正しく登録されているかを確認する。</t>
  </si>
  <si>
    <t>・パラメータや処理モードなどの条件によって登録処理が異なる場合、全ての条件で確認する。</t>
  </si>
  <si>
    <t>・登録処理において、新規と更新を各々確認する。</t>
  </si>
  <si>
    <t>・登録処理において、新規と更新が同時に処理可能な場合、新規と更新を織り交ぜて確認する。</t>
  </si>
  <si>
    <t>＜削除ボタン＞
削除ボタンによって発生するイベントが設計書と一致していることを確認する。
以下の試験項目は必ず含めること。</t>
    <rPh sb="1" eb="3">
      <t>サクジョ</t>
    </rPh>
    <rPh sb="8" eb="10">
      <t>サクジョ</t>
    </rPh>
    <phoneticPr fontId="95"/>
  </si>
  <si>
    <t>・対象０件の場合の結果を確認する。</t>
  </si>
  <si>
    <t>・対象１件の場合、削除処理を確認する。</t>
  </si>
  <si>
    <t>・対象複数件（５件以上）の場合、削除処理を確認する。</t>
  </si>
  <si>
    <t>・削除処理において、新規と更新と削除が同時に処理可能な場合、すべてを織り交ぜて確認する。</t>
  </si>
  <si>
    <t>＜行コピーボタン＞
行コピーボタンによって発生するイベントが設計書と一致していることを確認する。
・コピーの対象項目に値が引き継がれていることを確認する。</t>
    <rPh sb="1" eb="2">
      <t>ギョウ</t>
    </rPh>
    <rPh sb="54" eb="56">
      <t>タイショウ</t>
    </rPh>
    <rPh sb="56" eb="58">
      <t>コウモク</t>
    </rPh>
    <rPh sb="59" eb="60">
      <t>アタイ</t>
    </rPh>
    <rPh sb="61" eb="62">
      <t>ヒ</t>
    </rPh>
    <rPh sb="63" eb="64">
      <t>ツ</t>
    </rPh>
    <rPh sb="72" eb="74">
      <t>カクニン</t>
    </rPh>
    <phoneticPr fontId="95"/>
  </si>
  <si>
    <t>＜その他イベントボタン＞
その他のイベントボタンによって発生するイベントの処理が設計書と一致していることを確認する。</t>
    <rPh sb="28" eb="30">
      <t>ハッセイ</t>
    </rPh>
    <rPh sb="37" eb="39">
      <t>ショリ</t>
    </rPh>
    <rPh sb="40" eb="43">
      <t>セッケイショ</t>
    </rPh>
    <rPh sb="44" eb="46">
      <t>イッチ</t>
    </rPh>
    <rPh sb="53" eb="55">
      <t>カクニン</t>
    </rPh>
    <phoneticPr fontId="95"/>
  </si>
  <si>
    <t>・正常系の処理は、標準仕様にて動作が保証されている場合、試験項目は不要とする。</t>
  </si>
  <si>
    <t>・異常系の処理は、標準仕様にて動作が保証されている場合、試験項目として確認する。</t>
  </si>
  <si>
    <t>＜標準のボタンの動作＞
標準のボタンに関する試験項目が記載されているか（クリックしてもアベンドしないこと）。</t>
    <rPh sb="1" eb="3">
      <t>ヒョウジュン</t>
    </rPh>
    <rPh sb="8" eb="10">
      <t>ドウサ</t>
    </rPh>
    <rPh sb="12" eb="14">
      <t>ヒョウジュン</t>
    </rPh>
    <rPh sb="19" eb="20">
      <t>カン</t>
    </rPh>
    <rPh sb="22" eb="24">
      <t>シケン</t>
    </rPh>
    <rPh sb="24" eb="26">
      <t>コウモク</t>
    </rPh>
    <rPh sb="27" eb="29">
      <t>キサイ</t>
    </rPh>
    <phoneticPr fontId="92"/>
  </si>
  <si>
    <t>５．ファイル入力
　（Excel、テキスト)</t>
    <rPh sb="6" eb="7">
      <t>ニュウ</t>
    </rPh>
    <phoneticPr fontId="95"/>
  </si>
  <si>
    <t>＜Excel・ファイル　フォーマット確認＞
指定フォーマット/指定外フォーマットを入力した場合の結果を確認する。</t>
    <rPh sb="18" eb="20">
      <t>カクニン</t>
    </rPh>
    <rPh sb="22" eb="24">
      <t>シテイ</t>
    </rPh>
    <rPh sb="31" eb="33">
      <t>シテイ</t>
    </rPh>
    <rPh sb="33" eb="34">
      <t>ガイ</t>
    </rPh>
    <rPh sb="41" eb="43">
      <t>ニュウリョク</t>
    </rPh>
    <rPh sb="45" eb="47">
      <t>バアイ</t>
    </rPh>
    <rPh sb="48" eb="50">
      <t>ケッカ</t>
    </rPh>
    <rPh sb="51" eb="53">
      <t>カクニン</t>
    </rPh>
    <phoneticPr fontId="95"/>
  </si>
  <si>
    <t>＜Excel・ファイル　項目確認＞
Excel・ファイルに対応した項目に値が設定されることを確認する。
・各項目が正しく値が反映されていること。
　（数値項目の前ゼロや小数点、日付形式など）</t>
    <rPh sb="12" eb="14">
      <t>コウモク</t>
    </rPh>
    <rPh sb="14" eb="16">
      <t>カクニン</t>
    </rPh>
    <phoneticPr fontId="95"/>
  </si>
  <si>
    <t>＜Excel・ファイル　件数確認＞
対象１件、５件以上の２パターンの結果を確認する。</t>
    <rPh sb="12" eb="14">
      <t>ケンスウ</t>
    </rPh>
    <rPh sb="14" eb="16">
      <t>カクニン</t>
    </rPh>
    <phoneticPr fontId="95"/>
  </si>
  <si>
    <t>＜Excel・ファイル　対象ゼロ件確認＞
対象０件の結果を確認する。</t>
    <rPh sb="12" eb="14">
      <t>タイショウ</t>
    </rPh>
    <rPh sb="16" eb="17">
      <t>ケン</t>
    </rPh>
    <rPh sb="17" eb="19">
      <t>カクニン</t>
    </rPh>
    <phoneticPr fontId="95"/>
  </si>
  <si>
    <t>６．ファイル出力
　（Excel帳票含む）</t>
    <rPh sb="6" eb="8">
      <t>シュツリョク</t>
    </rPh>
    <rPh sb="16" eb="18">
      <t>チョウヒョウ</t>
    </rPh>
    <rPh sb="18" eb="19">
      <t>フク</t>
    </rPh>
    <phoneticPr fontId="95"/>
  </si>
  <si>
    <t>＜Excel・ファイル　フォーマット確認＞
出力対象データが指定したフォーマットで正しく出力されていることを確認する。</t>
    <rPh sb="22" eb="24">
      <t>シュツリョク</t>
    </rPh>
    <rPh sb="24" eb="26">
      <t>タイショウ</t>
    </rPh>
    <rPh sb="30" eb="32">
      <t>シテイ</t>
    </rPh>
    <rPh sb="41" eb="42">
      <t>タダ</t>
    </rPh>
    <rPh sb="44" eb="46">
      <t>シュツリョク</t>
    </rPh>
    <phoneticPr fontId="95"/>
  </si>
  <si>
    <t>＜Excel・ファイル　ファイル名確認＞
ファイル名、フォルダ構成を確認する。
・新規の場合
・出力先に同一ファイル名で存在する場合</t>
    <rPh sb="16" eb="17">
      <t>メイ</t>
    </rPh>
    <rPh sb="17" eb="19">
      <t>カクニン</t>
    </rPh>
    <rPh sb="25" eb="26">
      <t>メイ</t>
    </rPh>
    <rPh sb="31" eb="33">
      <t>コウセイ</t>
    </rPh>
    <rPh sb="34" eb="36">
      <t>カクニン</t>
    </rPh>
    <rPh sb="41" eb="43">
      <t>シンキ</t>
    </rPh>
    <rPh sb="44" eb="46">
      <t>バアイ</t>
    </rPh>
    <rPh sb="48" eb="50">
      <t>シュツリョク</t>
    </rPh>
    <rPh sb="50" eb="51">
      <t>サキ</t>
    </rPh>
    <rPh sb="52" eb="54">
      <t>ドウイツ</t>
    </rPh>
    <rPh sb="58" eb="59">
      <t>メイ</t>
    </rPh>
    <rPh sb="60" eb="62">
      <t>ソンザイ</t>
    </rPh>
    <rPh sb="64" eb="66">
      <t>バアイ</t>
    </rPh>
    <phoneticPr fontId="95"/>
  </si>
  <si>
    <t>＜Excel・ファイル　文字コード確認＞
文字コード、改行コードを確認する。</t>
    <rPh sb="12" eb="14">
      <t>モジ</t>
    </rPh>
    <rPh sb="17" eb="19">
      <t>カクニン</t>
    </rPh>
    <rPh sb="21" eb="23">
      <t>モジ</t>
    </rPh>
    <rPh sb="27" eb="29">
      <t>カイギョウ</t>
    </rPh>
    <rPh sb="33" eb="35">
      <t>カクニン</t>
    </rPh>
    <phoneticPr fontId="95"/>
  </si>
  <si>
    <t>＜Excel・ファイル　対象件数の確認＞
対象１件、５件以上の２パターンの結果を確認する。</t>
    <rPh sb="12" eb="14">
      <t>タイショウ</t>
    </rPh>
    <rPh sb="14" eb="16">
      <t>ケンスウ</t>
    </rPh>
    <rPh sb="17" eb="19">
      <t>カクニン</t>
    </rPh>
    <phoneticPr fontId="95"/>
  </si>
  <si>
    <t>＜Excel・ファイル　出力項目確認＞
Excel・ファイルに対応した項目に値が設定されることを確認する（固定値を含める）。</t>
    <rPh sb="14" eb="16">
      <t>コウモク</t>
    </rPh>
    <rPh sb="16" eb="18">
      <t>カクニン</t>
    </rPh>
    <rPh sb="53" eb="56">
      <t>コテイチ</t>
    </rPh>
    <rPh sb="57" eb="58">
      <t>フク</t>
    </rPh>
    <phoneticPr fontId="95"/>
  </si>
  <si>
    <t>＜Excel・ファイル　限界値確認＞
各項目の値を限界値に設定した場合の結果を確認する。</t>
    <rPh sb="12" eb="14">
      <t>ゲンカイ</t>
    </rPh>
    <rPh sb="14" eb="15">
      <t>チ</t>
    </rPh>
    <rPh sb="15" eb="17">
      <t>カクニン</t>
    </rPh>
    <phoneticPr fontId="95"/>
  </si>
  <si>
    <t>＜Excel・ファイル　ソート順・改ページ＞
複数ページを印字し、項目のはみ出しや、ソート順や改ページが正しいことを確認する。</t>
    <rPh sb="15" eb="16">
      <t>ジュン</t>
    </rPh>
    <rPh sb="17" eb="18">
      <t>カイ</t>
    </rPh>
    <phoneticPr fontId="95"/>
  </si>
  <si>
    <t>＜Excel・ファイル　対象ゼロ件確認＞
対象０件の結果を確認する。</t>
    <phoneticPr fontId="95"/>
  </si>
  <si>
    <t>７．帳票</t>
    <rPh sb="2" eb="4">
      <t>チョウヒョウ</t>
    </rPh>
    <phoneticPr fontId="95"/>
  </si>
  <si>
    <t>＜レイアウト＞
レイアウトが設計書の画面イメージと一致していることを確認する。
・用紙サイズ
・印字文字列
・フォント・サイズ
・罫線の位置、線種、幅
・ページ数、総ページ数、バーコードなど</t>
    <rPh sb="41" eb="43">
      <t>ヨウシ</t>
    </rPh>
    <rPh sb="48" eb="50">
      <t>インジ</t>
    </rPh>
    <rPh sb="50" eb="53">
      <t>モジレツ</t>
    </rPh>
    <rPh sb="65" eb="67">
      <t>ケイセン</t>
    </rPh>
    <rPh sb="68" eb="70">
      <t>イチ</t>
    </rPh>
    <rPh sb="71" eb="73">
      <t>センシュ</t>
    </rPh>
    <rPh sb="74" eb="75">
      <t>ハバ</t>
    </rPh>
    <rPh sb="80" eb="81">
      <t>スウ</t>
    </rPh>
    <rPh sb="82" eb="83">
      <t>ソウ</t>
    </rPh>
    <rPh sb="86" eb="87">
      <t>スウ</t>
    </rPh>
    <phoneticPr fontId="95"/>
  </si>
  <si>
    <t>＜表示形式＞
各項目の表示形式（日付、数値カンマ、マイナス）が設計書と一致していることを確認する。
・各項目をコード定義に従って、最大の値を準備して試験を行うこと。</t>
    <rPh sb="1" eb="3">
      <t>ヒョウジ</t>
    </rPh>
    <rPh sb="3" eb="5">
      <t>ケイシキ</t>
    </rPh>
    <rPh sb="7" eb="8">
      <t>カク</t>
    </rPh>
    <rPh sb="8" eb="10">
      <t>コウモク</t>
    </rPh>
    <rPh sb="11" eb="13">
      <t>ヒョウジ</t>
    </rPh>
    <rPh sb="13" eb="15">
      <t>ケイシキ</t>
    </rPh>
    <rPh sb="16" eb="18">
      <t>ヒヅケ</t>
    </rPh>
    <rPh sb="19" eb="21">
      <t>スウチ</t>
    </rPh>
    <rPh sb="31" eb="34">
      <t>セッケイショ</t>
    </rPh>
    <rPh sb="35" eb="37">
      <t>イッチ</t>
    </rPh>
    <rPh sb="44" eb="46">
      <t>カクニン</t>
    </rPh>
    <rPh sb="51" eb="52">
      <t>カク</t>
    </rPh>
    <rPh sb="52" eb="54">
      <t>コウモク</t>
    </rPh>
    <rPh sb="58" eb="60">
      <t>テイギ</t>
    </rPh>
    <rPh sb="61" eb="62">
      <t>シタガ</t>
    </rPh>
    <rPh sb="65" eb="67">
      <t>サイダイ</t>
    </rPh>
    <rPh sb="68" eb="69">
      <t>アタイ</t>
    </rPh>
    <rPh sb="70" eb="72">
      <t>ジュンビ</t>
    </rPh>
    <rPh sb="74" eb="76">
      <t>シケン</t>
    </rPh>
    <rPh sb="77" eb="78">
      <t>オコナ</t>
    </rPh>
    <phoneticPr fontId="95"/>
  </si>
  <si>
    <t>＜複数行印字＞
対象データが複数行になる場合、設計書と一致していることを確認する。
・改行、改ページの位置
・印字順（ソート順）
・合計値項目など導出値が正しく表示されているかを確認する。</t>
    <rPh sb="1" eb="3">
      <t>フクスウ</t>
    </rPh>
    <rPh sb="3" eb="4">
      <t>ギョウ</t>
    </rPh>
    <rPh sb="4" eb="6">
      <t>インジ</t>
    </rPh>
    <rPh sb="8" eb="10">
      <t>タイショウ</t>
    </rPh>
    <rPh sb="14" eb="16">
      <t>フクスウ</t>
    </rPh>
    <rPh sb="16" eb="17">
      <t>ギョウ</t>
    </rPh>
    <rPh sb="20" eb="22">
      <t>バアイ</t>
    </rPh>
    <rPh sb="23" eb="26">
      <t>セッケイショ</t>
    </rPh>
    <rPh sb="27" eb="29">
      <t>イッチ</t>
    </rPh>
    <rPh sb="36" eb="38">
      <t>カクニン</t>
    </rPh>
    <rPh sb="43" eb="45">
      <t>カイギョウ</t>
    </rPh>
    <rPh sb="46" eb="47">
      <t>カイ</t>
    </rPh>
    <rPh sb="51" eb="53">
      <t>イチ</t>
    </rPh>
    <rPh sb="55" eb="57">
      <t>インジ</t>
    </rPh>
    <rPh sb="57" eb="58">
      <t>ジュン</t>
    </rPh>
    <rPh sb="62" eb="63">
      <t>ジュン</t>
    </rPh>
    <phoneticPr fontId="95"/>
  </si>
  <si>
    <t xml:space="preserve">＜DB更新＞
印刷処理を行った後、出力済フラグなどの更新処理が設計書の画面イメージと一致していることを確認する。
・DB更新ができること
</t>
    <rPh sb="3" eb="5">
      <t>コウシン</t>
    </rPh>
    <rPh sb="7" eb="9">
      <t>インサツ</t>
    </rPh>
    <rPh sb="9" eb="11">
      <t>ショリ</t>
    </rPh>
    <rPh sb="12" eb="13">
      <t>オコナ</t>
    </rPh>
    <rPh sb="15" eb="16">
      <t>ノチ</t>
    </rPh>
    <rPh sb="17" eb="19">
      <t>シュツリョク</t>
    </rPh>
    <rPh sb="19" eb="20">
      <t>ズ</t>
    </rPh>
    <rPh sb="26" eb="28">
      <t>コウシン</t>
    </rPh>
    <rPh sb="28" eb="30">
      <t>ショリ</t>
    </rPh>
    <rPh sb="60" eb="62">
      <t>コウシン</t>
    </rPh>
    <phoneticPr fontId="95"/>
  </si>
  <si>
    <t>＜対象データなし＞
印刷対象がゼロ件の場合の動作が設計書の画面イメージと一致していることを確認する。</t>
    <rPh sb="1" eb="3">
      <t>タイショウ</t>
    </rPh>
    <rPh sb="10" eb="12">
      <t>インサツ</t>
    </rPh>
    <rPh sb="12" eb="14">
      <t>タイショウ</t>
    </rPh>
    <rPh sb="17" eb="18">
      <t>ケン</t>
    </rPh>
    <rPh sb="19" eb="21">
      <t>バアイ</t>
    </rPh>
    <rPh sb="22" eb="24">
      <t>ドウサ</t>
    </rPh>
    <phoneticPr fontId="95"/>
  </si>
  <si>
    <t>８．DB</t>
    <phoneticPr fontId="95"/>
  </si>
  <si>
    <t>＜更新＞
入力された内容でテーブルが設計書通りに更新できること。
・登録対象のテーブルと項目の試験項目に抜けがないことをマトリクス表を用いて確認する。</t>
    <rPh sb="1" eb="3">
      <t>コウシン</t>
    </rPh>
    <rPh sb="5" eb="7">
      <t>ニュウリョク</t>
    </rPh>
    <rPh sb="10" eb="12">
      <t>ナイヨウ</t>
    </rPh>
    <rPh sb="18" eb="20">
      <t>セッケイ</t>
    </rPh>
    <rPh sb="20" eb="21">
      <t>ショ</t>
    </rPh>
    <rPh sb="21" eb="22">
      <t>ドオ</t>
    </rPh>
    <rPh sb="24" eb="26">
      <t>コウシン</t>
    </rPh>
    <rPh sb="34" eb="36">
      <t>トウロク</t>
    </rPh>
    <rPh sb="36" eb="38">
      <t>タイショウ</t>
    </rPh>
    <rPh sb="44" eb="46">
      <t>コウモク</t>
    </rPh>
    <rPh sb="47" eb="49">
      <t>シケン</t>
    </rPh>
    <rPh sb="49" eb="51">
      <t>コウモク</t>
    </rPh>
    <rPh sb="52" eb="53">
      <t>ヌ</t>
    </rPh>
    <rPh sb="65" eb="66">
      <t>ヒョウ</t>
    </rPh>
    <rPh sb="67" eb="68">
      <t>モチ</t>
    </rPh>
    <rPh sb="70" eb="72">
      <t>カクニン</t>
    </rPh>
    <phoneticPr fontId="92"/>
  </si>
  <si>
    <t xml:space="preserve">＜削除＞
削除した内容でテーブルが設計書通りに削除できること。
・削除（論理or物理）対象のテーブルと項目の試験項目に抜けがないことをマトリクス表を用いて確認する。
</t>
    <rPh sb="1" eb="3">
      <t>サクジョ</t>
    </rPh>
    <rPh sb="5" eb="7">
      <t>サクジョ</t>
    </rPh>
    <rPh sb="9" eb="11">
      <t>ナイヨウ</t>
    </rPh>
    <rPh sb="23" eb="25">
      <t>サクジョ</t>
    </rPh>
    <rPh sb="33" eb="35">
      <t>サクジョ</t>
    </rPh>
    <rPh sb="36" eb="38">
      <t>ロンリ</t>
    </rPh>
    <rPh sb="40" eb="42">
      <t>ブツリ</t>
    </rPh>
    <rPh sb="43" eb="45">
      <t>タイショウ</t>
    </rPh>
    <rPh sb="51" eb="53">
      <t>コウモク</t>
    </rPh>
    <rPh sb="54" eb="56">
      <t>シケン</t>
    </rPh>
    <rPh sb="56" eb="58">
      <t>コウモク</t>
    </rPh>
    <rPh sb="59" eb="60">
      <t>ヌ</t>
    </rPh>
    <rPh sb="72" eb="73">
      <t>ヒョウ</t>
    </rPh>
    <rPh sb="74" eb="75">
      <t>モチ</t>
    </rPh>
    <rPh sb="77" eb="79">
      <t>カクニン</t>
    </rPh>
    <phoneticPr fontId="92"/>
  </si>
  <si>
    <t>＜追加＞
入力された内容でテーブルが設計書通りに追加できること。
・登録対象のテーブルと項目の試験項目に抜けがないことをマトリクス表を用いて確認する。</t>
    <rPh sb="1" eb="3">
      <t>ツイカ</t>
    </rPh>
    <rPh sb="5" eb="7">
      <t>ニュウリョク</t>
    </rPh>
    <rPh sb="10" eb="12">
      <t>ナイヨウ</t>
    </rPh>
    <rPh sb="18" eb="21">
      <t>セッケイショ</t>
    </rPh>
    <rPh sb="21" eb="22">
      <t>ドオ</t>
    </rPh>
    <rPh sb="24" eb="26">
      <t>ツイカ</t>
    </rPh>
    <phoneticPr fontId="92"/>
  </si>
  <si>
    <t>＜参照＞
適用開始/終了日付けを持ったマスタを参照する場合に、これらの日付けを意識した試験項目が挙げられていること。</t>
    <rPh sb="1" eb="3">
      <t>サンショウ</t>
    </rPh>
    <rPh sb="5" eb="7">
      <t>テキヨウ</t>
    </rPh>
    <rPh sb="7" eb="9">
      <t>カイシ</t>
    </rPh>
    <rPh sb="10" eb="12">
      <t>シュウリョウ</t>
    </rPh>
    <rPh sb="12" eb="14">
      <t>ヒヅ</t>
    </rPh>
    <rPh sb="16" eb="17">
      <t>モ</t>
    </rPh>
    <rPh sb="23" eb="25">
      <t>サンショウ</t>
    </rPh>
    <rPh sb="27" eb="29">
      <t>バアイ</t>
    </rPh>
    <rPh sb="35" eb="37">
      <t>ヒヅ</t>
    </rPh>
    <rPh sb="39" eb="41">
      <t>イシキ</t>
    </rPh>
    <rPh sb="43" eb="45">
      <t>シケン</t>
    </rPh>
    <rPh sb="45" eb="47">
      <t>コウモク</t>
    </rPh>
    <rPh sb="48" eb="49">
      <t>ア</t>
    </rPh>
    <phoneticPr fontId="92"/>
  </si>
  <si>
    <t>９．性能</t>
    <rPh sb="2" eb="4">
      <t>セイノウ</t>
    </rPh>
    <phoneticPr fontId="95"/>
  </si>
  <si>
    <t>＜SQLトレース＞
SQLの実行計画を確認して、非効率なSQLがないこと。
・全表走査（FullScan）に対する評価
・SELECT文の発行回数（無駄に多いと問題あり）に対する評価</t>
    <rPh sb="54" eb="55">
      <t>タイ</t>
    </rPh>
    <rPh sb="57" eb="59">
      <t>ヒョウカ</t>
    </rPh>
    <rPh sb="86" eb="87">
      <t>タイ</t>
    </rPh>
    <rPh sb="89" eb="91">
      <t>ヒョウカ</t>
    </rPh>
    <phoneticPr fontId="95"/>
  </si>
  <si>
    <t>２１．マトリックス</t>
    <phoneticPr fontId="95"/>
  </si>
  <si>
    <t xml:space="preserve">試験項目番号が正しく記載（表示）されていること。
</t>
    <rPh sb="0" eb="2">
      <t>シケン</t>
    </rPh>
    <rPh sb="2" eb="4">
      <t>コウモク</t>
    </rPh>
    <rPh sb="4" eb="6">
      <t>バンゴウ</t>
    </rPh>
    <rPh sb="7" eb="8">
      <t>タダ</t>
    </rPh>
    <rPh sb="10" eb="12">
      <t>キサイ</t>
    </rPh>
    <rPh sb="13" eb="15">
      <t>ヒョウジ</t>
    </rPh>
    <phoneticPr fontId="95"/>
  </si>
  <si>
    <t>３１．試験データシート</t>
    <rPh sb="3" eb="5">
      <t>シケン</t>
    </rPh>
    <phoneticPr fontId="95"/>
  </si>
  <si>
    <t xml:space="preserve">試験項目番号が正しく記載されていること。
</t>
    <rPh sb="0" eb="2">
      <t>シケン</t>
    </rPh>
    <rPh sb="2" eb="4">
      <t>コウモク</t>
    </rPh>
    <rPh sb="4" eb="6">
      <t>バンゴウ</t>
    </rPh>
    <rPh sb="7" eb="8">
      <t>タダ</t>
    </rPh>
    <rPh sb="10" eb="12">
      <t>キサイ</t>
    </rPh>
    <phoneticPr fontId="95"/>
  </si>
  <si>
    <t>８１．不具合対応</t>
    <rPh sb="3" eb="6">
      <t>フグアイ</t>
    </rPh>
    <rPh sb="6" eb="8">
      <t>タイオウ</t>
    </rPh>
    <phoneticPr fontId="95"/>
  </si>
  <si>
    <t>不具合対応の試験項目が挙げられていること。
※故障対応のみ</t>
    <rPh sb="0" eb="3">
      <t>フグアイ</t>
    </rPh>
    <rPh sb="3" eb="5">
      <t>タイオウ</t>
    </rPh>
    <rPh sb="6" eb="8">
      <t>シケン</t>
    </rPh>
    <rPh sb="8" eb="10">
      <t>コウモク</t>
    </rPh>
    <rPh sb="11" eb="12">
      <t>ア</t>
    </rPh>
    <rPh sb="23" eb="25">
      <t>コショウ</t>
    </rPh>
    <rPh sb="25" eb="27">
      <t>タイオウ</t>
    </rPh>
    <phoneticPr fontId="95"/>
  </si>
  <si>
    <t>PDFの出力はPRITPROとなるため検証できないです。</t>
    <phoneticPr fontId="2"/>
  </si>
  <si>
    <t>【PRITPRO共通処理】
ログイン別に異なるフォルダへCSV出力されることを確認する試験を追加ください</t>
    <rPh sb="8" eb="10">
      <t>キョウツウ</t>
    </rPh>
    <rPh sb="10" eb="12">
      <t>ショリ</t>
    </rPh>
    <rPh sb="18" eb="19">
      <t>ベツ</t>
    </rPh>
    <rPh sb="20" eb="21">
      <t>コト</t>
    </rPh>
    <rPh sb="31" eb="33">
      <t>シュツリョク</t>
    </rPh>
    <rPh sb="39" eb="41">
      <t>カクニン</t>
    </rPh>
    <rPh sb="43" eb="45">
      <t>シケン</t>
    </rPh>
    <rPh sb="46" eb="48">
      <t>ツイカ</t>
    </rPh>
    <phoneticPr fontId="2"/>
  </si>
  <si>
    <t>MDSOL
野村</t>
    <rPh sb="6" eb="8">
      <t>ノムラ</t>
    </rPh>
    <phoneticPr fontId="2"/>
  </si>
  <si>
    <t>【PRITPRO共通処理】
出力CSVファイル名が共通仕様に沿うか確認する試験を追加ください</t>
    <rPh sb="8" eb="10">
      <t>キョウツウ</t>
    </rPh>
    <rPh sb="10" eb="12">
      <t>ショリ</t>
    </rPh>
    <rPh sb="23" eb="24">
      <t>メイ</t>
    </rPh>
    <rPh sb="25" eb="29">
      <t>キョウツウシヨウ</t>
    </rPh>
    <rPh sb="30" eb="31">
      <t>ソ</t>
    </rPh>
    <rPh sb="33" eb="35">
      <t>カクニン</t>
    </rPh>
    <rPh sb="37" eb="39">
      <t>シケン</t>
    </rPh>
    <rPh sb="40" eb="42">
      <t>ツイカ</t>
    </rPh>
    <phoneticPr fontId="2"/>
  </si>
  <si>
    <t>合計金額印字用の制御項目がCSVに出力されているか？検証ください。</t>
    <phoneticPr fontId="2"/>
  </si>
  <si>
    <t>合計金額⇒合計金額印字用
修正しました。</t>
    <rPh sb="0" eb="2">
      <t>ゴウケイ</t>
    </rPh>
    <rPh sb="2" eb="4">
      <t>キンガク</t>
    </rPh>
    <rPh sb="5" eb="7">
      <t>ゴウケイ</t>
    </rPh>
    <rPh sb="7" eb="9">
      <t>キンガク</t>
    </rPh>
    <rPh sb="9" eb="11">
      <t>インジ</t>
    </rPh>
    <rPh sb="11" eb="12">
      <t>ヨウ</t>
    </rPh>
    <rPh sb="13" eb="15">
      <t>シュウセイ</t>
    </rPh>
    <phoneticPr fontId="2"/>
  </si>
  <si>
    <t>ソートできているか検証ください。</t>
    <phoneticPr fontId="2"/>
  </si>
  <si>
    <t>対象外にしました。</t>
    <rPh sb="0" eb="2">
      <t>タイショウ</t>
    </rPh>
    <rPh sb="2" eb="3">
      <t>ガイ</t>
    </rPh>
    <phoneticPr fontId="2"/>
  </si>
  <si>
    <t>朱</t>
    <rPh sb="0" eb="1">
      <t>シュ</t>
    </rPh>
    <phoneticPr fontId="2"/>
  </si>
  <si>
    <r>
      <t xml:space="preserve">試験項目を追加しました。
</t>
    </r>
    <r>
      <rPr>
        <sz val="10"/>
        <color rgb="FFFF0000"/>
        <rFont val="ＭＳ Ｐゴシック"/>
        <family val="3"/>
        <charset val="128"/>
      </rPr>
      <t xml:space="preserve">確認：フォルダの設定仕様は不明ですが、ユーザIDごとに持つことだと理解していますが、つまり、ユーザ数分のフォルダを作成しておくことでしょうか。
</t>
    </r>
    <rPh sb="0" eb="2">
      <t>シケン</t>
    </rPh>
    <rPh sb="2" eb="4">
      <t>コウモク</t>
    </rPh>
    <rPh sb="5" eb="7">
      <t>ツイカ</t>
    </rPh>
    <rPh sb="13" eb="15">
      <t>カクニン</t>
    </rPh>
    <rPh sb="21" eb="23">
      <t>セッテイ</t>
    </rPh>
    <rPh sb="23" eb="25">
      <t>シヨウ</t>
    </rPh>
    <rPh sb="26" eb="28">
      <t>フメイ</t>
    </rPh>
    <rPh sb="40" eb="41">
      <t>モ</t>
    </rPh>
    <rPh sb="46" eb="48">
      <t>リカイ</t>
    </rPh>
    <rPh sb="62" eb="64">
      <t>スウフン</t>
    </rPh>
    <rPh sb="70" eb="72">
      <t>サクセイ</t>
    </rPh>
    <phoneticPr fontId="2"/>
  </si>
  <si>
    <r>
      <t xml:space="preserve">試験項目を追加しました。
</t>
    </r>
    <r>
      <rPr>
        <sz val="10"/>
        <color rgb="FFFF0000"/>
        <rFont val="ＭＳ Ｐゴシック"/>
        <family val="3"/>
        <charset val="128"/>
      </rPr>
      <t xml:space="preserve">確認：ファイル名＝帳票の機能ＩＤにしてよろしいでしょうか？
</t>
    </r>
    <rPh sb="13" eb="15">
      <t>カクニン</t>
    </rPh>
    <rPh sb="20" eb="21">
      <t>メイ</t>
    </rPh>
    <rPh sb="22" eb="24">
      <t>チョウヒョウ</t>
    </rPh>
    <rPh sb="25" eb="27">
      <t>キノウ</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</si>
</sst>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41" formatCode="_ * #,##0_ ;_ * \-#,##0_ ;_ * &quot;-&quot;_ ;_ @_ "/>
    <numFmt numFmtId="43" formatCode="_ * #,##0.00_ ;_ * \-#,##0.00_ ;_ * &quot;-&quot;??_ ;_ @_ "/>
    <numFmt numFmtId="176" formatCode="0_ "/>
    <numFmt numFmtId="177" formatCode="m/d"/>
    <numFmt numFmtId="178" formatCode="0.0_ "/>
    <numFmt numFmtId="179" formatCode="0.00_ "/>
    <numFmt numFmtId="180" formatCode="0.0%"/>
    <numFmt numFmtId="181" formatCode="0.0"/>
    <numFmt numFmtId="182" formatCode="0.00_);[Red]\(0.00\)"/>
    <numFmt numFmtId="183" formatCode="#,##0;\-#,##0;&quot;-&quot;"/>
    <numFmt numFmtId="184" formatCode="0.00&quot;  &quot;"/>
    <numFmt numFmtId="185" formatCode="#,##0.0"/>
    <numFmt numFmtId="186" formatCode="&quot;$&quot;#,##0.00_);[Red]\(&quot;$&quot;#,##0.00\)"/>
    <numFmt numFmtId="187" formatCode="_(&quot;$&quot;* #,##0_);_(&quot;$&quot;* \(#,##0\);_(&quot;$&quot;* &quot;-&quot;_);_(@_)"/>
    <numFmt numFmtId="188" formatCode="_(&quot;$&quot;* #,##0.00_);_(&quot;$&quot;* \(#,##0.00\);_(&quot;$&quot;* &quot;-&quot;??_);_(@_)"/>
    <numFmt numFmtId="189" formatCode="&quot;¥&quot;#,##0.\-;&quot;¥&quot;\-#,##0.\-"/>
    <numFmt numFmtId="190" formatCode="#,##0_ ;[Red]\-#,##0\ "/>
    <numFmt numFmtId="191" formatCode="#,##0.00&quot;｣&quot;_);[Red]\(#,##0.00&quot;｣&quot;\)"/>
    <numFmt numFmtId="192" formatCode="#,##0.00&quot;｣&quot;_);\(#,##0.00&quot;｣&quot;\)"/>
    <numFmt numFmtId="193" formatCode="_-* #,##0.0_-;\-* #,##0.0_-;_-* &quot;-&quot;??_-;_-@_-"/>
    <numFmt numFmtId="194" formatCode="&quot;$&quot;#,##0;\-&quot;$&quot;#,##0"/>
  </numFmts>
  <fonts count="101">
    <font>
      <sz val="11"/>
      <name val="ＭＳ Ｐゴシック"/>
      <family val="3"/>
      <charset val="128"/>
    </font>
    <font>
      <sz val="11"/>
      <name val="ＭＳ Ｐゴシック"/>
      <family val="3"/>
      <charset val="128"/>
    </font>
    <font>
      <sz val="6"/>
      <name val="ＭＳ Ｐゴシック"/>
      <family val="3"/>
      <charset val="128"/>
    </font>
    <font>
      <sz val="8"/>
      <name val="ＭＳ Ｐ明朝"/>
      <family val="1"/>
      <charset val="128"/>
    </font>
    <font>
      <b/>
      <u/>
      <sz val="18"/>
      <name val="ＭＳ Ｐ明朝"/>
      <family val="1"/>
      <charset val="128"/>
    </font>
    <font>
      <sz val="9"/>
      <name val="ＭＳ Ｐ明朝"/>
      <family val="1"/>
      <charset val="128"/>
    </font>
    <font>
      <b/>
      <sz val="11"/>
      <name val="ＭＳ Ｐ明朝"/>
      <family val="1"/>
      <charset val="128"/>
    </font>
    <font>
      <b/>
      <sz val="12"/>
      <name val="ＭＳ Ｐ明朝"/>
      <family val="1"/>
      <charset val="128"/>
    </font>
    <font>
      <sz val="11"/>
      <name val="ＭＳ Ｐ明朝"/>
      <family val="1"/>
      <charset val="128"/>
    </font>
    <font>
      <sz val="10"/>
      <name val="ＭＳ Ｐゴシック"/>
      <family val="3"/>
      <charset val="128"/>
    </font>
    <font>
      <sz val="9"/>
      <name val="ＭＳ Ｐゴシック"/>
      <family val="3"/>
      <charset val="128"/>
    </font>
    <font>
      <b/>
      <u/>
      <sz val="16"/>
      <name val="ＭＳ Ｐゴシック"/>
      <family val="3"/>
      <charset val="128"/>
    </font>
    <font>
      <sz val="16"/>
      <name val="ＭＳ Ｐゴシック"/>
      <family val="3"/>
      <charset val="128"/>
    </font>
    <font>
      <sz val="8"/>
      <name val="ＭＳ Ｐゴシック"/>
      <family val="3"/>
      <charset val="128"/>
    </font>
    <font>
      <sz val="7"/>
      <name val="ＭＳ Ｐ明朝"/>
      <family val="1"/>
      <charset val="128"/>
    </font>
    <font>
      <sz val="10"/>
      <name val="ＭＳ Ｐ明朝"/>
      <family val="1"/>
      <charset val="128"/>
    </font>
    <font>
      <sz val="10"/>
      <color indexed="61"/>
      <name val="ＭＳ Ｐゴシック"/>
      <family val="3"/>
      <charset val="128"/>
    </font>
    <font>
      <sz val="9"/>
      <color indexed="10"/>
      <name val="ＭＳ Ｐ明朝"/>
      <family val="1"/>
      <charset val="128"/>
    </font>
    <font>
      <sz val="10"/>
      <color indexed="10"/>
      <name val="ＭＳ Ｐ明朝"/>
      <family val="1"/>
      <charset val="128"/>
    </font>
    <font>
      <sz val="11"/>
      <color indexed="10"/>
      <name val="ＭＳ Ｐゴシック"/>
      <family val="3"/>
      <charset val="128"/>
    </font>
    <font>
      <u/>
      <sz val="10.5"/>
      <name val="ＭＳ Ｐ明朝"/>
      <family val="1"/>
      <charset val="128"/>
    </font>
    <font>
      <sz val="11"/>
      <color indexed="8"/>
      <name val="ＭＳ Ｐゴシック"/>
      <family val="3"/>
      <charset val="128"/>
    </font>
    <font>
      <sz val="11"/>
      <color indexed="9"/>
      <name val="ＭＳ Ｐゴシック"/>
      <family val="3"/>
      <charset val="128"/>
    </font>
    <font>
      <b/>
      <sz val="11"/>
      <color indexed="9"/>
      <name val="ＭＳ Ｐゴシック"/>
      <family val="3"/>
      <charset val="128"/>
    </font>
    <font>
      <sz val="11"/>
      <color indexed="20"/>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8"/>
      <name val="Arial"/>
      <family val="2"/>
    </font>
    <font>
      <sz val="11"/>
      <name val="ＭＳ 明朝"/>
      <family val="1"/>
      <charset val="128"/>
    </font>
    <font>
      <sz val="8"/>
      <name val="Times New Roman"/>
      <family val="1"/>
    </font>
    <font>
      <sz val="10"/>
      <color indexed="8"/>
      <name val="Arial"/>
      <family val="2"/>
    </font>
    <font>
      <sz val="10"/>
      <name val="Arial"/>
      <family val="2"/>
    </font>
    <font>
      <sz val="12"/>
      <name val="ＭＳ ゴシック"/>
      <family val="3"/>
      <charset val="128"/>
    </font>
    <font>
      <sz val="10"/>
      <name val="MS Serif"/>
      <family val="1"/>
    </font>
    <font>
      <b/>
      <sz val="12"/>
      <name val="Helv"/>
      <family val="2"/>
    </font>
    <font>
      <sz val="10"/>
      <color indexed="12"/>
      <name val="Arial"/>
      <family val="2"/>
    </font>
    <font>
      <sz val="10"/>
      <color indexed="16"/>
      <name val="MS Serif"/>
      <family val="1"/>
    </font>
    <font>
      <sz val="9"/>
      <name val="Times New Roman"/>
      <family val="1"/>
    </font>
    <font>
      <u/>
      <sz val="10"/>
      <color indexed="36"/>
      <name val="Arial"/>
      <family val="2"/>
    </font>
    <font>
      <b/>
      <sz val="12"/>
      <name val="Arial"/>
      <family val="2"/>
    </font>
    <font>
      <b/>
      <sz val="8"/>
      <name val="MS Sans Serif"/>
      <family val="2"/>
    </font>
    <font>
      <u/>
      <sz val="8"/>
      <color indexed="12"/>
      <name val="Times New Roman"/>
      <family val="1"/>
    </font>
    <font>
      <sz val="10"/>
      <color indexed="14"/>
      <name val="Arial"/>
      <family val="2"/>
    </font>
    <font>
      <sz val="10"/>
      <name val="Helv"/>
      <family val="2"/>
    </font>
    <font>
      <sz val="11"/>
      <name val="ＭＳ ゴシック"/>
      <family val="3"/>
      <charset val="128"/>
    </font>
    <font>
      <sz val="10"/>
      <name val="MS Sans Serif"/>
      <family val="2"/>
    </font>
    <font>
      <sz val="10"/>
      <color indexed="10"/>
      <name val="Arial"/>
      <family val="2"/>
    </font>
    <font>
      <sz val="10"/>
      <name val="Tms Rmn"/>
      <family val="1"/>
    </font>
    <font>
      <b/>
      <sz val="10"/>
      <name val="MS Sans Serif"/>
      <family val="2"/>
    </font>
    <font>
      <sz val="8"/>
      <name val="Wingdings"/>
      <charset val="2"/>
    </font>
    <font>
      <sz val="8"/>
      <color indexed="16"/>
      <name val="Century Schoolbook"/>
      <family val="1"/>
    </font>
    <font>
      <sz val="8"/>
      <name val="Helv"/>
      <family val="2"/>
    </font>
    <font>
      <b/>
      <sz val="11"/>
      <color indexed="18"/>
      <name val="Arial"/>
      <family val="2"/>
    </font>
    <font>
      <b/>
      <i/>
      <sz val="11"/>
      <color indexed="18"/>
      <name val="Arial"/>
      <family val="2"/>
    </font>
    <font>
      <sz val="12"/>
      <color indexed="18"/>
      <name val="MS Sans Serif"/>
      <family val="2"/>
    </font>
    <font>
      <sz val="12"/>
      <color indexed="9"/>
      <name val="MS Sans Serif"/>
      <family val="2"/>
    </font>
    <font>
      <sz val="11"/>
      <color indexed="9"/>
      <name val="Arial"/>
      <family val="2"/>
    </font>
    <font>
      <sz val="11"/>
      <name val="Arial"/>
      <family val="2"/>
    </font>
    <font>
      <b/>
      <sz val="11"/>
      <color indexed="9"/>
      <name val="Arial"/>
      <family val="2"/>
    </font>
    <font>
      <b/>
      <sz val="11"/>
      <color indexed="18"/>
      <name val="Arial Narrow"/>
      <family val="2"/>
    </font>
    <font>
      <b/>
      <sz val="11"/>
      <color indexed="9"/>
      <name val="Arial Narrow"/>
      <family val="2"/>
    </font>
    <font>
      <sz val="11"/>
      <color indexed="18"/>
      <name val="Arial"/>
      <family val="2"/>
    </font>
    <font>
      <sz val="10"/>
      <color indexed="56"/>
      <name val="Arial"/>
      <family val="2"/>
    </font>
    <font>
      <sz val="10"/>
      <color indexed="18"/>
      <name val="Arial"/>
      <family val="2"/>
    </font>
    <font>
      <sz val="10"/>
      <color indexed="9"/>
      <name val="Arial"/>
      <family val="2"/>
    </font>
    <font>
      <sz val="12"/>
      <color indexed="56"/>
      <name val="Arial"/>
      <family val="2"/>
    </font>
    <font>
      <i/>
      <sz val="12"/>
      <color indexed="56"/>
      <name val="Arial"/>
      <family val="2"/>
    </font>
    <font>
      <sz val="11"/>
      <color indexed="56"/>
      <name val="Arial"/>
      <family val="2"/>
    </font>
    <font>
      <i/>
      <sz val="11"/>
      <color indexed="56"/>
      <name val="Arial"/>
      <family val="2"/>
    </font>
    <font>
      <b/>
      <sz val="11"/>
      <color indexed="56"/>
      <name val="Arial"/>
      <family val="2"/>
    </font>
    <font>
      <b/>
      <i/>
      <sz val="11"/>
      <color indexed="56"/>
      <name val="Arial"/>
      <family val="2"/>
    </font>
    <font>
      <sz val="18"/>
      <color indexed="18"/>
      <name val="Arial"/>
      <family val="2"/>
    </font>
    <font>
      <sz val="11"/>
      <color indexed="10"/>
      <name val="Arial"/>
      <family val="2"/>
    </font>
    <font>
      <b/>
      <i/>
      <sz val="10"/>
      <name val="Times New Roman"/>
      <family val="1"/>
    </font>
    <font>
      <sz val="8"/>
      <name val="MS Sans Serif"/>
      <family val="2"/>
    </font>
    <font>
      <sz val="10"/>
      <name val="Times New Roman"/>
      <family val="1"/>
    </font>
    <font>
      <b/>
      <sz val="11"/>
      <name val="Helv"/>
      <family val="2"/>
    </font>
    <font>
      <b/>
      <sz val="8"/>
      <color indexed="8"/>
      <name val="Helv"/>
      <family val="2"/>
    </font>
    <font>
      <b/>
      <sz val="9"/>
      <name val="Times New Roman"/>
      <family val="1"/>
    </font>
    <font>
      <sz val="12"/>
      <name val="Osaka"/>
      <family val="3"/>
      <charset val="128"/>
    </font>
    <font>
      <sz val="22"/>
      <name val="ＭＳ 明朝"/>
      <family val="1"/>
      <charset val="128"/>
    </font>
    <font>
      <b/>
      <sz val="18"/>
      <color indexed="62"/>
      <name val="ＭＳ Ｐゴシック"/>
      <family val="3"/>
      <charset val="128"/>
    </font>
    <font>
      <sz val="11"/>
      <color indexed="19"/>
      <name val="ＭＳ Ｐゴシック"/>
      <family val="3"/>
      <charset val="128"/>
    </font>
    <font>
      <b/>
      <sz val="11"/>
      <color indexed="10"/>
      <name val="ＭＳ Ｐゴシック"/>
      <family val="3"/>
      <charset val="128"/>
    </font>
    <font>
      <sz val="11"/>
      <name val="・団"/>
      <family val="1"/>
      <charset val="128"/>
    </font>
    <font>
      <b/>
      <sz val="15"/>
      <color indexed="62"/>
      <name val="ＭＳ Ｐゴシック"/>
      <family val="3"/>
      <charset val="128"/>
    </font>
    <font>
      <b/>
      <sz val="13"/>
      <color indexed="62"/>
      <name val="ＭＳ Ｐゴシック"/>
      <family val="3"/>
      <charset val="128"/>
    </font>
    <font>
      <b/>
      <sz val="11"/>
      <color indexed="62"/>
      <name val="ＭＳ Ｐゴシック"/>
      <family val="3"/>
      <charset val="128"/>
    </font>
    <font>
      <sz val="10"/>
      <name val="ＭＳ ゴシック"/>
      <family val="3"/>
      <charset val="128"/>
    </font>
    <font>
      <sz val="10"/>
      <name val="ＭＳ 明朝"/>
      <family val="1"/>
      <charset val="128"/>
    </font>
    <font>
      <sz val="12"/>
      <name val="ＭＳ Ｐゴシック"/>
      <family val="3"/>
      <charset val="128"/>
    </font>
    <font>
      <sz val="11"/>
      <name val="明朝"/>
      <family val="1"/>
      <charset val="128"/>
    </font>
    <font>
      <sz val="6"/>
      <name val="ＭＳ 明朝"/>
      <family val="1"/>
      <charset val="128"/>
    </font>
    <font>
      <b/>
      <sz val="9"/>
      <color indexed="81"/>
      <name val="ＭＳ Ｐゴシック"/>
      <family val="3"/>
      <charset val="128"/>
    </font>
    <font>
      <b/>
      <sz val="10"/>
      <name val="ＭＳ Ｐ明朝"/>
      <family val="1"/>
      <charset val="128"/>
    </font>
    <font>
      <sz val="10"/>
      <color theme="1"/>
      <name val="ＭＳ ゴシック"/>
      <family val="3"/>
      <charset val="128"/>
    </font>
    <font>
      <u/>
      <sz val="12"/>
      <name val="ＭＳ Ｐゴシック"/>
      <family val="3"/>
      <charset val="128"/>
    </font>
    <font>
      <sz val="10"/>
      <color rgb="FFFF0000"/>
      <name val="ＭＳ Ｐゴシック"/>
      <family val="3"/>
      <charset val="128"/>
    </font>
  </fonts>
  <fills count="34">
    <fill>
      <patternFill patternType="none"/>
    </fill>
    <fill>
      <patternFill patternType="gray125"/>
    </fill>
    <fill>
      <patternFill patternType="solid">
        <fgColor indexed="44"/>
      </patternFill>
    </fill>
    <fill>
      <patternFill patternType="solid">
        <fgColor indexed="29"/>
      </patternFill>
    </fill>
    <fill>
      <patternFill patternType="solid">
        <fgColor indexed="45"/>
      </patternFill>
    </fill>
    <fill>
      <patternFill patternType="solid">
        <fgColor indexed="26"/>
      </patternFill>
    </fill>
    <fill>
      <patternFill patternType="solid">
        <fgColor indexed="47"/>
      </patternFill>
    </fill>
    <fill>
      <patternFill patternType="solid">
        <fgColor indexed="46"/>
      </patternFill>
    </fill>
    <fill>
      <patternFill patternType="solid">
        <fgColor indexed="27"/>
      </patternFill>
    </fill>
    <fill>
      <patternFill patternType="solid">
        <fgColor indexed="43"/>
      </patternFill>
    </fill>
    <fill>
      <patternFill patternType="solid">
        <fgColor indexed="51"/>
      </patternFill>
    </fill>
    <fill>
      <patternFill patternType="solid">
        <fgColor indexed="53"/>
      </patternFill>
    </fill>
    <fill>
      <patternFill patternType="solid">
        <fgColor indexed="49"/>
      </patternFill>
    </fill>
    <fill>
      <patternFill patternType="solid">
        <fgColor indexed="22"/>
        <bgColor indexed="64"/>
      </patternFill>
    </fill>
    <fill>
      <patternFill patternType="solid">
        <fgColor indexed="26"/>
        <bgColor indexed="64"/>
      </patternFill>
    </fill>
    <fill>
      <patternFill patternType="solid">
        <fgColor indexed="9"/>
        <bgColor indexed="64"/>
      </patternFill>
    </fill>
    <fill>
      <patternFill patternType="mediumGray">
        <fgColor indexed="22"/>
      </patternFill>
    </fill>
    <fill>
      <patternFill patternType="darkVertical"/>
    </fill>
    <fill>
      <patternFill patternType="solid">
        <fgColor indexed="43"/>
        <bgColor indexed="64"/>
      </patternFill>
    </fill>
    <fill>
      <patternFill patternType="solid">
        <fgColor indexed="54"/>
        <bgColor indexed="64"/>
      </patternFill>
    </fill>
    <fill>
      <patternFill patternType="solid">
        <fgColor indexed="10"/>
        <bgColor indexed="64"/>
      </patternFill>
    </fill>
    <fill>
      <patternFill patternType="solid">
        <fgColor indexed="21"/>
        <bgColor indexed="64"/>
      </patternFill>
    </fill>
    <fill>
      <patternFill patternType="lightUp">
        <fgColor indexed="54"/>
        <bgColor indexed="41"/>
      </patternFill>
    </fill>
    <fill>
      <patternFill patternType="solid">
        <fgColor indexed="41"/>
        <bgColor indexed="64"/>
      </patternFill>
    </fill>
    <fill>
      <patternFill patternType="solid">
        <fgColor indexed="44"/>
        <bgColor indexed="64"/>
      </patternFill>
    </fill>
    <fill>
      <patternFill patternType="solid">
        <fgColor indexed="56"/>
      </patternFill>
    </fill>
    <fill>
      <patternFill patternType="solid">
        <fgColor indexed="10"/>
      </patternFill>
    </fill>
    <fill>
      <patternFill patternType="solid">
        <fgColor indexed="54"/>
      </patternFill>
    </fill>
    <fill>
      <patternFill patternType="solid">
        <fgColor indexed="55"/>
      </patternFill>
    </fill>
    <fill>
      <patternFill patternType="solid">
        <fgColor indexed="9"/>
      </patternFill>
    </fill>
    <fill>
      <patternFill patternType="solid">
        <fgColor indexed="65"/>
        <bgColor indexed="64"/>
      </patternFill>
    </fill>
    <fill>
      <patternFill patternType="solid">
        <fgColor indexed="42"/>
        <bgColor indexed="64"/>
      </patternFill>
    </fill>
    <fill>
      <patternFill patternType="solid">
        <fgColor indexed="47"/>
        <bgColor indexed="64"/>
      </patternFill>
    </fill>
    <fill>
      <patternFill patternType="solid">
        <fgColor theme="0" tint="-0.14999847407452621"/>
        <bgColor indexed="64"/>
      </patternFill>
    </fill>
  </fills>
  <borders count="110">
    <border>
      <left/>
      <right/>
      <top/>
      <bottom/>
      <diagonal/>
    </border>
    <border>
      <left/>
      <right/>
      <top style="medium">
        <color indexed="64"/>
      </top>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right/>
      <top/>
      <bottom style="thick">
        <color indexed="4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10"/>
      </bottom>
      <diagonal/>
    </border>
    <border>
      <left/>
      <right/>
      <top/>
      <bottom style="hair">
        <color indexed="64"/>
      </bottom>
      <diagonal/>
    </border>
    <border>
      <left style="thin">
        <color indexed="23"/>
      </left>
      <right style="thin">
        <color indexed="23"/>
      </right>
      <top style="thin">
        <color indexed="23"/>
      </top>
      <bottom style="thin">
        <color indexed="2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thin">
        <color indexed="56"/>
      </top>
      <bottom style="double">
        <color indexed="56"/>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medium">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top/>
      <bottom style="double">
        <color indexed="64"/>
      </bottom>
      <diagonal/>
    </border>
    <border>
      <left/>
      <right style="thin">
        <color indexed="64"/>
      </right>
      <top/>
      <bottom/>
      <diagonal/>
    </border>
    <border>
      <left/>
      <right style="thin">
        <color indexed="64"/>
      </right>
      <top/>
      <bottom style="double">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right style="medium">
        <color indexed="64"/>
      </right>
      <top style="thin">
        <color indexed="64"/>
      </top>
      <bottom style="double">
        <color indexed="64"/>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medium">
        <color indexed="64"/>
      </left>
      <right/>
      <top/>
      <bottom/>
      <diagonal/>
    </border>
    <border>
      <left/>
      <right style="medium">
        <color indexed="64"/>
      </right>
      <top style="thin">
        <color indexed="64"/>
      </top>
      <bottom/>
      <diagonal/>
    </border>
    <border>
      <left style="thin">
        <color indexed="64"/>
      </left>
      <right/>
      <top style="medium">
        <color indexed="64"/>
      </top>
      <bottom/>
      <diagonal/>
    </border>
    <border>
      <left style="thin">
        <color indexed="64"/>
      </left>
      <right/>
      <top/>
      <bottom/>
      <diagonal/>
    </border>
    <border>
      <left style="thin">
        <color indexed="64"/>
      </left>
      <right style="thin">
        <color indexed="64"/>
      </right>
      <top/>
      <bottom/>
      <diagonal/>
    </border>
    <border>
      <left/>
      <right style="medium">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thin">
        <color indexed="64"/>
      </left>
      <right style="hair">
        <color indexed="64"/>
      </right>
      <top style="thin">
        <color indexed="64"/>
      </top>
      <bottom style="thin">
        <color indexed="64"/>
      </bottom>
      <diagonal/>
    </border>
    <border>
      <left style="medium">
        <color indexed="64"/>
      </left>
      <right style="medium">
        <color indexed="64"/>
      </right>
      <top/>
      <bottom/>
      <diagonal/>
    </border>
    <border>
      <left/>
      <right style="thin">
        <color indexed="64"/>
      </right>
      <top style="medium">
        <color indexed="64"/>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style="medium">
        <color indexed="64"/>
      </right>
      <top style="thin">
        <color indexed="64"/>
      </top>
      <bottom style="hair">
        <color indexed="64"/>
      </bottom>
      <diagonal/>
    </border>
    <border>
      <left style="medium">
        <color indexed="64"/>
      </left>
      <right style="thin">
        <color indexed="64"/>
      </right>
      <top/>
      <bottom/>
      <diagonal/>
    </border>
    <border>
      <left style="thin">
        <color indexed="64"/>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medium">
        <color indexed="64"/>
      </right>
      <top style="hair">
        <color indexed="64"/>
      </top>
      <bottom/>
      <diagonal/>
    </border>
    <border>
      <left style="medium">
        <color indexed="64"/>
      </left>
      <right style="thin">
        <color indexed="64"/>
      </right>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style="medium">
        <color indexed="64"/>
      </right>
      <top style="hair">
        <color indexed="64"/>
      </top>
      <bottom style="thin">
        <color indexed="64"/>
      </bottom>
      <diagonal/>
    </border>
    <border diagonalUp="1">
      <left style="thin">
        <color indexed="64"/>
      </left>
      <right style="thin">
        <color indexed="64"/>
      </right>
      <top style="hair">
        <color indexed="64"/>
      </top>
      <bottom style="hair">
        <color indexed="64"/>
      </bottom>
      <diagonal style="thin">
        <color indexed="64"/>
      </diagonal>
    </border>
    <border diagonalUp="1">
      <left style="thin">
        <color indexed="64"/>
      </left>
      <right style="thin">
        <color indexed="64"/>
      </right>
      <top style="thin">
        <color indexed="64"/>
      </top>
      <bottom style="hair">
        <color indexed="64"/>
      </bottom>
      <diagonal style="thin">
        <color indexed="64"/>
      </diagonal>
    </border>
    <border diagonalUp="1">
      <left style="thin">
        <color indexed="64"/>
      </left>
      <right style="medium">
        <color indexed="64"/>
      </right>
      <top style="thin">
        <color indexed="64"/>
      </top>
      <bottom style="hair">
        <color indexed="64"/>
      </bottom>
      <diagonal style="thin">
        <color indexed="64"/>
      </diagonal>
    </border>
    <border diagonalUp="1">
      <left style="thin">
        <color indexed="64"/>
      </left>
      <right style="medium">
        <color indexed="64"/>
      </right>
      <top style="hair">
        <color indexed="64"/>
      </top>
      <bottom style="hair">
        <color indexed="64"/>
      </bottom>
      <diagonal style="thin">
        <color indexed="64"/>
      </diagonal>
    </border>
    <border>
      <left style="thin">
        <color indexed="64"/>
      </left>
      <right style="thin">
        <color indexed="64"/>
      </right>
      <top/>
      <bottom style="hair">
        <color indexed="64"/>
      </bottom>
      <diagonal/>
    </border>
    <border>
      <left style="thin">
        <color indexed="64"/>
      </left>
      <right style="medium">
        <color indexed="64"/>
      </right>
      <top/>
      <bottom style="hair">
        <color indexed="64"/>
      </bottom>
      <diagonal/>
    </border>
    <border>
      <left style="thin">
        <color indexed="64"/>
      </left>
      <right style="medium">
        <color indexed="64"/>
      </right>
      <top/>
      <bottom/>
      <diagonal/>
    </border>
    <border>
      <left style="thin">
        <color indexed="64"/>
      </left>
      <right style="medium">
        <color indexed="64"/>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style="hair">
        <color indexed="64"/>
      </left>
      <right/>
      <top style="thin">
        <color indexed="64"/>
      </top>
      <bottom style="thin">
        <color indexed="64"/>
      </bottom>
      <diagonal/>
    </border>
    <border>
      <left/>
      <right/>
      <top style="double">
        <color indexed="64"/>
      </top>
      <bottom style="thin">
        <color indexed="64"/>
      </bottom>
      <diagonal/>
    </border>
    <border>
      <left style="thin">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style="double">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style="thin">
        <color indexed="64"/>
      </left>
      <right/>
      <top/>
      <bottom style="double">
        <color indexed="64"/>
      </bottom>
      <diagonal/>
    </border>
    <border>
      <left/>
      <right style="medium">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style="thin">
        <color indexed="64"/>
      </left>
      <right/>
      <top style="double">
        <color indexed="64"/>
      </top>
      <bottom style="medium">
        <color indexed="64"/>
      </bottom>
      <diagonal/>
    </border>
    <border>
      <left/>
      <right/>
      <top style="double">
        <color indexed="64"/>
      </top>
      <bottom style="medium">
        <color indexed="64"/>
      </bottom>
      <diagonal/>
    </border>
    <border>
      <left/>
      <right style="thin">
        <color indexed="64"/>
      </right>
      <top/>
      <bottom style="medium">
        <color indexed="64"/>
      </bottom>
      <diagonal/>
    </border>
    <border>
      <left style="thin">
        <color indexed="64"/>
      </left>
      <right/>
      <top style="double">
        <color indexed="64"/>
      </top>
      <bottom/>
      <diagonal/>
    </border>
    <border>
      <left/>
      <right style="medium">
        <color indexed="64"/>
      </right>
      <top style="double">
        <color indexed="64"/>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style="double">
        <color indexed="64"/>
      </bottom>
      <diagonal/>
    </border>
    <border>
      <left/>
      <right style="thin">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right style="medium">
        <color indexed="64"/>
      </right>
      <top/>
      <bottom/>
      <diagonal/>
    </border>
  </borders>
  <cellStyleXfs count="280">
    <xf numFmtId="0" fontId="0"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0" fillId="0" borderId="0" applyNumberFormat="0" applyFill="0" applyBorder="0" applyAlignment="0" applyProtection="0"/>
    <xf numFmtId="0" fontId="82" fillId="0" borderId="0"/>
    <xf numFmtId="0" fontId="31" fillId="0" borderId="0"/>
    <xf numFmtId="0" fontId="31" fillId="0" borderId="0"/>
    <xf numFmtId="0" fontId="21" fillId="2" borderId="0" applyNumberFormat="0" applyBorder="0" applyAlignment="0" applyProtection="0">
      <alignment vertical="center"/>
    </xf>
    <xf numFmtId="0" fontId="21" fillId="2" borderId="0" applyNumberFormat="0" applyBorder="0" applyAlignment="0" applyProtection="0">
      <alignment vertical="center"/>
    </xf>
    <xf numFmtId="0" fontId="21" fillId="2" borderId="0" applyNumberFormat="0" applyBorder="0" applyAlignment="0" applyProtection="0">
      <alignment vertical="center"/>
    </xf>
    <xf numFmtId="0" fontId="21" fillId="3" borderId="0" applyNumberFormat="0" applyBorder="0" applyAlignment="0" applyProtection="0">
      <alignment vertical="center"/>
    </xf>
    <xf numFmtId="0" fontId="21" fillId="3" borderId="0" applyNumberFormat="0" applyBorder="0" applyAlignment="0" applyProtection="0">
      <alignment vertical="center"/>
    </xf>
    <xf numFmtId="0" fontId="21" fillId="3" borderId="0" applyNumberFormat="0" applyBorder="0" applyAlignment="0" applyProtection="0">
      <alignment vertical="center"/>
    </xf>
    <xf numFmtId="0" fontId="21" fillId="5" borderId="0" applyNumberFormat="0" applyBorder="0" applyAlignment="0" applyProtection="0">
      <alignment vertical="center"/>
    </xf>
    <xf numFmtId="0" fontId="21" fillId="5" borderId="0" applyNumberFormat="0" applyBorder="0" applyAlignment="0" applyProtection="0">
      <alignment vertical="center"/>
    </xf>
    <xf numFmtId="0" fontId="21" fillId="5" borderId="0" applyNumberFormat="0" applyBorder="0" applyAlignment="0" applyProtection="0">
      <alignment vertical="center"/>
    </xf>
    <xf numFmtId="0" fontId="21" fillId="6" borderId="0" applyNumberFormat="0" applyBorder="0" applyAlignment="0" applyProtection="0">
      <alignment vertical="center"/>
    </xf>
    <xf numFmtId="0" fontId="21" fillId="6" borderId="0" applyNumberFormat="0" applyBorder="0" applyAlignment="0" applyProtection="0">
      <alignment vertical="center"/>
    </xf>
    <xf numFmtId="0" fontId="21" fillId="6" borderId="0" applyNumberFormat="0" applyBorder="0" applyAlignment="0" applyProtection="0">
      <alignment vertical="center"/>
    </xf>
    <xf numFmtId="0" fontId="21" fillId="8" borderId="0" applyNumberFormat="0" applyBorder="0" applyAlignment="0" applyProtection="0">
      <alignment vertical="center"/>
    </xf>
    <xf numFmtId="0" fontId="21" fillId="8" borderId="0" applyNumberFormat="0" applyBorder="0" applyAlignment="0" applyProtection="0">
      <alignment vertical="center"/>
    </xf>
    <xf numFmtId="0" fontId="21" fillId="8" borderId="0" applyNumberFormat="0" applyBorder="0" applyAlignment="0" applyProtection="0">
      <alignment vertical="center"/>
    </xf>
    <xf numFmtId="0" fontId="21" fillId="5" borderId="0" applyNumberFormat="0" applyBorder="0" applyAlignment="0" applyProtection="0">
      <alignment vertical="center"/>
    </xf>
    <xf numFmtId="0" fontId="21" fillId="5" borderId="0" applyNumberFormat="0" applyBorder="0" applyAlignment="0" applyProtection="0">
      <alignment vertical="center"/>
    </xf>
    <xf numFmtId="0" fontId="21" fillId="5" borderId="0" applyNumberFormat="0" applyBorder="0" applyAlignment="0" applyProtection="0">
      <alignment vertical="center"/>
    </xf>
    <xf numFmtId="0" fontId="21" fillId="8" borderId="0" applyNumberFormat="0" applyBorder="0" applyAlignment="0" applyProtection="0">
      <alignment vertical="center"/>
    </xf>
    <xf numFmtId="0" fontId="21" fillId="8" borderId="0" applyNumberFormat="0" applyBorder="0" applyAlignment="0" applyProtection="0">
      <alignment vertical="center"/>
    </xf>
    <xf numFmtId="0" fontId="21" fillId="8" borderId="0" applyNumberFormat="0" applyBorder="0" applyAlignment="0" applyProtection="0">
      <alignment vertical="center"/>
    </xf>
    <xf numFmtId="0" fontId="21" fillId="3" borderId="0" applyNumberFormat="0" applyBorder="0" applyAlignment="0" applyProtection="0">
      <alignment vertical="center"/>
    </xf>
    <xf numFmtId="0" fontId="21" fillId="3" borderId="0" applyNumberFormat="0" applyBorder="0" applyAlignment="0" applyProtection="0">
      <alignment vertical="center"/>
    </xf>
    <xf numFmtId="0" fontId="21" fillId="3" borderId="0" applyNumberFormat="0" applyBorder="0" applyAlignment="0" applyProtection="0">
      <alignment vertical="center"/>
    </xf>
    <xf numFmtId="0" fontId="21" fillId="9" borderId="0" applyNumberFormat="0" applyBorder="0" applyAlignment="0" applyProtection="0">
      <alignment vertical="center"/>
    </xf>
    <xf numFmtId="0" fontId="21" fillId="9" borderId="0" applyNumberFormat="0" applyBorder="0" applyAlignment="0" applyProtection="0">
      <alignment vertical="center"/>
    </xf>
    <xf numFmtId="0" fontId="21" fillId="9" borderId="0" applyNumberFormat="0" applyBorder="0" applyAlignment="0" applyProtection="0">
      <alignment vertical="center"/>
    </xf>
    <xf numFmtId="0" fontId="21" fillId="4" borderId="0" applyNumberFormat="0" applyBorder="0" applyAlignment="0" applyProtection="0">
      <alignment vertical="center"/>
    </xf>
    <xf numFmtId="0" fontId="21" fillId="4" borderId="0" applyNumberFormat="0" applyBorder="0" applyAlignment="0" applyProtection="0">
      <alignment vertical="center"/>
    </xf>
    <xf numFmtId="0" fontId="21" fillId="4" borderId="0" applyNumberFormat="0" applyBorder="0" applyAlignment="0" applyProtection="0">
      <alignment vertical="center"/>
    </xf>
    <xf numFmtId="0" fontId="21" fillId="8" borderId="0" applyNumberFormat="0" applyBorder="0" applyAlignment="0" applyProtection="0">
      <alignment vertical="center"/>
    </xf>
    <xf numFmtId="0" fontId="21" fillId="8" borderId="0" applyNumberFormat="0" applyBorder="0" applyAlignment="0" applyProtection="0">
      <alignment vertical="center"/>
    </xf>
    <xf numFmtId="0" fontId="21" fillId="8" borderId="0" applyNumberFormat="0" applyBorder="0" applyAlignment="0" applyProtection="0">
      <alignment vertical="center"/>
    </xf>
    <xf numFmtId="0" fontId="21" fillId="5" borderId="0" applyNumberFormat="0" applyBorder="0" applyAlignment="0" applyProtection="0">
      <alignment vertical="center"/>
    </xf>
    <xf numFmtId="0" fontId="21" fillId="5" borderId="0" applyNumberFormat="0" applyBorder="0" applyAlignment="0" applyProtection="0">
      <alignment vertical="center"/>
    </xf>
    <xf numFmtId="0" fontId="21" fillId="5" borderId="0" applyNumberFormat="0" applyBorder="0" applyAlignment="0" applyProtection="0">
      <alignment vertical="center"/>
    </xf>
    <xf numFmtId="0" fontId="22" fillId="8" borderId="0" applyNumberFormat="0" applyBorder="0" applyAlignment="0" applyProtection="0">
      <alignment vertical="center"/>
    </xf>
    <xf numFmtId="0" fontId="22" fillId="8" borderId="0" applyNumberFormat="0" applyBorder="0" applyAlignment="0" applyProtection="0">
      <alignment vertical="center"/>
    </xf>
    <xf numFmtId="0" fontId="22" fillId="8" borderId="0" applyNumberFormat="0" applyBorder="0" applyAlignment="0" applyProtection="0">
      <alignment vertical="center"/>
    </xf>
    <xf numFmtId="0" fontId="22" fillId="11" borderId="0" applyNumberFormat="0" applyBorder="0" applyAlignment="0" applyProtection="0">
      <alignment vertical="center"/>
    </xf>
    <xf numFmtId="0" fontId="22" fillId="11" borderId="0" applyNumberFormat="0" applyBorder="0" applyAlignment="0" applyProtection="0">
      <alignment vertical="center"/>
    </xf>
    <xf numFmtId="0" fontId="22" fillId="11" borderId="0" applyNumberFormat="0" applyBorder="0" applyAlignment="0" applyProtection="0">
      <alignment vertical="center"/>
    </xf>
    <xf numFmtId="0" fontId="22" fillId="10" borderId="0" applyNumberFormat="0" applyBorder="0" applyAlignment="0" applyProtection="0">
      <alignment vertical="center"/>
    </xf>
    <xf numFmtId="0" fontId="22" fillId="10" borderId="0" applyNumberFormat="0" applyBorder="0" applyAlignment="0" applyProtection="0">
      <alignment vertical="center"/>
    </xf>
    <xf numFmtId="0" fontId="22" fillId="10" borderId="0" applyNumberFormat="0" applyBorder="0" applyAlignment="0" applyProtection="0">
      <alignment vertical="center"/>
    </xf>
    <xf numFmtId="0" fontId="22" fillId="4" borderId="0" applyNumberFormat="0" applyBorder="0" applyAlignment="0" applyProtection="0">
      <alignment vertical="center"/>
    </xf>
    <xf numFmtId="0" fontId="22" fillId="4" borderId="0" applyNumberFormat="0" applyBorder="0" applyAlignment="0" applyProtection="0">
      <alignment vertical="center"/>
    </xf>
    <xf numFmtId="0" fontId="22" fillId="4" borderId="0" applyNumberFormat="0" applyBorder="0" applyAlignment="0" applyProtection="0">
      <alignment vertical="center"/>
    </xf>
    <xf numFmtId="0" fontId="22" fillId="8" borderId="0" applyNumberFormat="0" applyBorder="0" applyAlignment="0" applyProtection="0">
      <alignment vertical="center"/>
    </xf>
    <xf numFmtId="0" fontId="22" fillId="8" borderId="0" applyNumberFormat="0" applyBorder="0" applyAlignment="0" applyProtection="0">
      <alignment vertical="center"/>
    </xf>
    <xf numFmtId="0" fontId="22" fillId="8" borderId="0" applyNumberFormat="0" applyBorder="0" applyAlignment="0" applyProtection="0">
      <alignment vertical="center"/>
    </xf>
    <xf numFmtId="0" fontId="22" fillId="3" borderId="0" applyNumberFormat="0" applyBorder="0" applyAlignment="0" applyProtection="0">
      <alignment vertical="center"/>
    </xf>
    <xf numFmtId="0" fontId="22" fillId="3" borderId="0" applyNumberFormat="0" applyBorder="0" applyAlignment="0" applyProtection="0">
      <alignment vertical="center"/>
    </xf>
    <xf numFmtId="0" fontId="22" fillId="3" borderId="0" applyNumberFormat="0" applyBorder="0" applyAlignment="0" applyProtection="0">
      <alignment vertical="center"/>
    </xf>
    <xf numFmtId="0" fontId="32" fillId="0" borderId="0">
      <alignment horizontal="center" wrapText="1"/>
      <protection locked="0"/>
    </xf>
    <xf numFmtId="183" fontId="33" fillId="0" borderId="0" applyFill="0" applyBorder="0" applyAlignment="0"/>
    <xf numFmtId="0" fontId="33" fillId="0" borderId="0" applyFill="0" applyBorder="0" applyAlignment="0"/>
    <xf numFmtId="0" fontId="34" fillId="0" borderId="0" applyFill="0" applyBorder="0" applyAlignment="0"/>
    <xf numFmtId="0" fontId="34" fillId="0" borderId="0" applyFill="0" applyBorder="0" applyAlignment="0"/>
    <xf numFmtId="0" fontId="34" fillId="0" borderId="0" applyFill="0" applyBorder="0" applyAlignment="0"/>
    <xf numFmtId="0" fontId="33" fillId="0" borderId="0" applyFill="0" applyBorder="0" applyAlignment="0"/>
    <xf numFmtId="0" fontId="34" fillId="0" borderId="0" applyFill="0" applyBorder="0" applyAlignment="0"/>
    <xf numFmtId="0" fontId="33" fillId="0" borderId="0" applyFill="0" applyBorder="0" applyAlignment="0"/>
    <xf numFmtId="41" fontId="1" fillId="0" borderId="0" applyFont="0" applyFill="0" applyBorder="0" applyAlignment="0" applyProtection="0"/>
    <xf numFmtId="0" fontId="34" fillId="0" borderId="0" applyFont="0" applyFill="0" applyBorder="0" applyAlignment="0" applyProtection="0"/>
    <xf numFmtId="43" fontId="1" fillId="0" borderId="0" applyFont="0" applyFill="0" applyBorder="0" applyAlignment="0" applyProtection="0"/>
    <xf numFmtId="0" fontId="35" fillId="0" borderId="0" applyNumberFormat="0" applyFont="0" applyBorder="0" applyAlignment="0" applyProtection="0"/>
    <xf numFmtId="0" fontId="36" fillId="0" borderId="0" applyNumberFormat="0" applyAlignment="0">
      <alignment horizontal="left"/>
    </xf>
    <xf numFmtId="187" fontId="1" fillId="0" borderId="0" applyFont="0" applyFill="0" applyBorder="0" applyAlignment="0" applyProtection="0"/>
    <xf numFmtId="0" fontId="34" fillId="0" borderId="0" applyFont="0" applyFill="0" applyBorder="0" applyAlignment="0" applyProtection="0"/>
    <xf numFmtId="188" fontId="1" fillId="0" borderId="0" applyFont="0" applyFill="0" applyBorder="0" applyAlignment="0" applyProtection="0"/>
    <xf numFmtId="0" fontId="37" fillId="0" borderId="1" applyNumberFormat="0" applyBorder="0">
      <alignment horizontal="centerContinuous"/>
    </xf>
    <xf numFmtId="14" fontId="33" fillId="0" borderId="0" applyFill="0" applyBorder="0" applyAlignment="0"/>
    <xf numFmtId="0" fontId="38" fillId="0" borderId="0" applyFill="0" applyBorder="0" applyAlignment="0"/>
    <xf numFmtId="0" fontId="38" fillId="0" borderId="0" applyFill="0" applyBorder="0" applyAlignment="0"/>
    <xf numFmtId="0" fontId="38" fillId="0" borderId="0" applyFill="0" applyBorder="0" applyAlignment="0"/>
    <xf numFmtId="0" fontId="34" fillId="0" borderId="0" applyFill="0" applyBorder="0" applyAlignment="0"/>
    <xf numFmtId="0" fontId="38" fillId="0" borderId="0" applyFill="0" applyBorder="0" applyAlignment="0"/>
    <xf numFmtId="0" fontId="39" fillId="0" borderId="0" applyNumberFormat="0" applyAlignment="0">
      <alignment horizontal="left"/>
    </xf>
    <xf numFmtId="0" fontId="40" fillId="0" borderId="0">
      <alignment horizontal="left"/>
    </xf>
    <xf numFmtId="0" fontId="41" fillId="0" borderId="0" applyNumberFormat="0" applyFill="0" applyBorder="0" applyAlignment="0" applyProtection="0">
      <alignment vertical="top"/>
      <protection locked="0"/>
    </xf>
    <xf numFmtId="38" fontId="1" fillId="13" borderId="0" applyNumberFormat="0" applyBorder="0" applyAlignment="0" applyProtection="0"/>
    <xf numFmtId="0" fontId="42" fillId="0" borderId="2" applyNumberFormat="0" applyAlignment="0" applyProtection="0">
      <alignment horizontal="left" vertical="center"/>
    </xf>
    <xf numFmtId="0" fontId="42" fillId="0" borderId="3">
      <alignment horizontal="left" vertical="center"/>
    </xf>
    <xf numFmtId="0" fontId="43" fillId="0" borderId="4">
      <alignment horizontal="center"/>
    </xf>
    <xf numFmtId="0" fontId="43" fillId="0" borderId="0">
      <alignment horizontal="center"/>
    </xf>
    <xf numFmtId="0" fontId="44" fillId="0" borderId="0" applyNumberFormat="0" applyFill="0" applyBorder="0" applyAlignment="0" applyProtection="0">
      <alignment vertical="top"/>
      <protection locked="0"/>
    </xf>
    <xf numFmtId="10" fontId="1" fillId="14" borderId="5" applyNumberFormat="0" applyBorder="0" applyAlignment="0" applyProtection="0"/>
    <xf numFmtId="0" fontId="45" fillId="0" borderId="0" applyFill="0" applyBorder="0" applyAlignment="0"/>
    <xf numFmtId="0" fontId="45" fillId="0" borderId="0" applyFill="0" applyBorder="0" applyAlignment="0"/>
    <xf numFmtId="0" fontId="45" fillId="0" borderId="0" applyFill="0" applyBorder="0" applyAlignment="0"/>
    <xf numFmtId="0" fontId="34" fillId="0" borderId="0" applyFill="0" applyBorder="0" applyAlignment="0"/>
    <xf numFmtId="0" fontId="45" fillId="0" borderId="0" applyFill="0" applyBorder="0" applyAlignment="0"/>
    <xf numFmtId="185" fontId="1" fillId="0" borderId="0" applyFont="0" applyFill="0" applyBorder="0" applyAlignment="0" applyProtection="0"/>
    <xf numFmtId="4" fontId="46" fillId="0" borderId="0" applyFont="0" applyFill="0" applyBorder="0" applyAlignment="0" applyProtection="0"/>
    <xf numFmtId="191" fontId="1" fillId="0" borderId="0" applyFont="0" applyFill="0" applyBorder="0" applyAlignment="0" applyProtection="0"/>
    <xf numFmtId="191" fontId="47" fillId="0" borderId="0" applyFont="0" applyFill="0" applyBorder="0" applyAlignment="0" applyProtection="0"/>
    <xf numFmtId="187" fontId="34" fillId="0" borderId="0" applyFont="0" applyFill="0" applyBorder="0" applyAlignment="0" applyProtection="0"/>
    <xf numFmtId="186" fontId="46" fillId="0" borderId="0" applyFont="0" applyFill="0" applyBorder="0" applyAlignment="0" applyProtection="0"/>
    <xf numFmtId="191" fontId="47" fillId="0" borderId="0" applyFont="0" applyFill="0" applyBorder="0" applyAlignment="0" applyProtection="0"/>
    <xf numFmtId="192" fontId="47" fillId="0" borderId="0" applyFont="0" applyFill="0" applyBorder="0" applyAlignment="0" applyProtection="0"/>
    <xf numFmtId="2" fontId="40" fillId="15" borderId="0"/>
    <xf numFmtId="184" fontId="1" fillId="0" borderId="0"/>
    <xf numFmtId="0" fontId="1" fillId="0" borderId="0"/>
    <xf numFmtId="0" fontId="48" fillId="0" borderId="0"/>
    <xf numFmtId="14" fontId="32" fillId="0" borderId="0">
      <alignment horizontal="center" wrapText="1"/>
      <protection locked="0"/>
    </xf>
    <xf numFmtId="0" fontId="34" fillId="0" borderId="0" applyFont="0" applyFill="0" applyBorder="0" applyAlignment="0" applyProtection="0"/>
    <xf numFmtId="193" fontId="34" fillId="0" borderId="0" applyFont="0" applyFill="0" applyBorder="0" applyAlignment="0" applyProtection="0"/>
    <xf numFmtId="10" fontId="1" fillId="0" borderId="0" applyFont="0" applyFill="0" applyBorder="0" applyAlignment="0" applyProtection="0"/>
    <xf numFmtId="0" fontId="34" fillId="0" borderId="0" applyFont="0" applyFill="0" applyBorder="0" applyAlignment="0" applyProtection="0"/>
    <xf numFmtId="0" fontId="49" fillId="0" borderId="0" applyFill="0" applyBorder="0" applyAlignment="0"/>
    <xf numFmtId="0" fontId="49" fillId="0" borderId="0" applyFill="0" applyBorder="0" applyAlignment="0"/>
    <xf numFmtId="0" fontId="49" fillId="0" borderId="0" applyFill="0" applyBorder="0" applyAlignment="0"/>
    <xf numFmtId="0" fontId="34" fillId="0" borderId="0" applyFill="0" applyBorder="0" applyAlignment="0"/>
    <xf numFmtId="0" fontId="49" fillId="0" borderId="0" applyFill="0" applyBorder="0" applyAlignment="0"/>
    <xf numFmtId="4" fontId="40" fillId="0" borderId="0">
      <alignment horizontal="right"/>
    </xf>
    <xf numFmtId="194" fontId="50" fillId="0" borderId="0"/>
    <xf numFmtId="0" fontId="48" fillId="0" borderId="0" applyNumberFormat="0" applyFont="0" applyFill="0" applyBorder="0" applyAlignment="0" applyProtection="0">
      <alignment horizontal="left"/>
    </xf>
    <xf numFmtId="15" fontId="1" fillId="0" borderId="0" applyFont="0" applyFill="0" applyBorder="0" applyAlignment="0" applyProtection="0"/>
    <xf numFmtId="4" fontId="1" fillId="0" borderId="0" applyFont="0" applyFill="0" applyBorder="0" applyAlignment="0" applyProtection="0"/>
    <xf numFmtId="0" fontId="51" fillId="0" borderId="4">
      <alignment horizontal="center"/>
    </xf>
    <xf numFmtId="3" fontId="1" fillId="0" borderId="0" applyFont="0" applyFill="0" applyBorder="0" applyAlignment="0" applyProtection="0"/>
    <xf numFmtId="0" fontId="1" fillId="16" borderId="0" applyNumberFormat="0" applyFont="0" applyBorder="0" applyAlignment="0" applyProtection="0"/>
    <xf numFmtId="0" fontId="52" fillId="17" borderId="0" applyNumberFormat="0" applyFont="0" applyBorder="0" applyAlignment="0">
      <alignment horizontal="center"/>
    </xf>
    <xf numFmtId="4" fontId="53" fillId="0" borderId="0">
      <alignment horizontal="right"/>
    </xf>
    <xf numFmtId="30" fontId="54" fillId="0" borderId="0" applyNumberFormat="0" applyFill="0" applyBorder="0" applyAlignment="0" applyProtection="0">
      <alignment horizontal="left"/>
    </xf>
    <xf numFmtId="4" fontId="55" fillId="18" borderId="6" applyNumberFormat="0" applyProtection="0">
      <alignment vertical="center"/>
    </xf>
    <xf numFmtId="4" fontId="56" fillId="18" borderId="6" applyNumberFormat="0" applyProtection="0">
      <alignment vertical="center"/>
    </xf>
    <xf numFmtId="4" fontId="57" fillId="18" borderId="6" applyNumberFormat="0" applyProtection="0">
      <alignment horizontal="left" vertical="center"/>
    </xf>
    <xf numFmtId="4" fontId="58" fillId="19" borderId="6">
      <alignment horizontal="left" vertical="center"/>
    </xf>
    <xf numFmtId="4" fontId="59" fillId="20" borderId="6" applyNumberFormat="0" applyProtection="0">
      <alignment vertical="center"/>
    </xf>
    <xf numFmtId="4" fontId="60" fillId="13" borderId="6" applyNumberFormat="0" applyProtection="0">
      <alignment vertical="center"/>
    </xf>
    <xf numFmtId="4" fontId="59" fillId="21" borderId="6" applyNumberFormat="0" applyProtection="0">
      <alignment vertical="center"/>
    </xf>
    <xf numFmtId="4" fontId="61" fillId="20" borderId="6" applyNumberFormat="0" applyProtection="0">
      <alignment vertical="center"/>
    </xf>
    <xf numFmtId="4" fontId="62" fillId="22" borderId="6">
      <alignment horizontal="left" vertical="center"/>
    </xf>
    <xf numFmtId="4" fontId="62" fillId="23" borderId="6">
      <alignment horizontal="left" vertical="center"/>
    </xf>
    <xf numFmtId="4" fontId="63" fillId="19" borderId="6">
      <alignment horizontal="left" vertical="center"/>
    </xf>
    <xf numFmtId="4" fontId="64" fillId="24" borderId="6" applyNumberFormat="0" applyProtection="0">
      <alignment vertical="center"/>
    </xf>
    <xf numFmtId="4" fontId="65" fillId="15" borderId="6" applyNumberFormat="0" applyProtection="0">
      <alignment horizontal="left" vertical="center"/>
    </xf>
    <xf numFmtId="4" fontId="66" fillId="23" borderId="6" applyNumberFormat="0" applyProtection="0">
      <alignment horizontal="left" vertical="center"/>
    </xf>
    <xf numFmtId="4" fontId="67" fillId="19" borderId="6" applyNumberFormat="0" applyProtection="0">
      <alignment horizontal="left" vertical="center"/>
    </xf>
    <xf numFmtId="4" fontId="68" fillId="15" borderId="6" applyNumberFormat="0" applyProtection="0">
      <alignment vertical="center"/>
    </xf>
    <xf numFmtId="4" fontId="69" fillId="15" borderId="6" applyNumberFormat="0" applyProtection="0">
      <alignment vertical="center"/>
    </xf>
    <xf numFmtId="4" fontId="62" fillId="23" borderId="6" applyNumberFormat="0" applyProtection="0">
      <alignment horizontal="left" vertical="center"/>
    </xf>
    <xf numFmtId="4" fontId="70" fillId="15" borderId="6">
      <alignment vertical="center"/>
    </xf>
    <xf numFmtId="4" fontId="71" fillId="15" borderId="6" applyNumberFormat="0" applyProtection="0">
      <alignment vertical="center"/>
    </xf>
    <xf numFmtId="4" fontId="62" fillId="23" borderId="6">
      <alignment horizontal="left" vertical="center"/>
    </xf>
    <xf numFmtId="4" fontId="72" fillId="15" borderId="6" applyNumberFormat="0" applyProtection="0">
      <alignment vertical="center"/>
    </xf>
    <xf numFmtId="4" fontId="73" fillId="15" borderId="6" applyNumberFormat="0" applyProtection="0">
      <alignment vertical="center"/>
    </xf>
    <xf numFmtId="4" fontId="62" fillId="14" borderId="6" applyNumberFormat="0" applyProtection="0">
      <alignment horizontal="left" vertical="center"/>
    </xf>
    <xf numFmtId="4" fontId="74" fillId="24" borderId="6" applyNumberFormat="0" applyProtection="0">
      <alignment horizontal="left"/>
    </xf>
    <xf numFmtId="4" fontId="75" fillId="15" borderId="6" applyNumberFormat="0" applyProtection="0">
      <alignment vertical="center"/>
    </xf>
    <xf numFmtId="0" fontId="76" fillId="0" borderId="0">
      <alignment horizontal="left"/>
    </xf>
    <xf numFmtId="0" fontId="52" fillId="1" borderId="3" applyNumberFormat="0" applyFont="0" applyAlignment="0">
      <alignment horizontal="center"/>
    </xf>
    <xf numFmtId="0" fontId="77" fillId="0" borderId="0" applyNumberFormat="0" applyFill="0" applyBorder="0" applyAlignment="0">
      <alignment horizontal="center"/>
    </xf>
    <xf numFmtId="1" fontId="78" fillId="0" borderId="0" applyBorder="0">
      <alignment horizontal="left" vertical="top" wrapText="1"/>
    </xf>
    <xf numFmtId="0" fontId="1" fillId="15" borderId="0">
      <alignment horizontal="left" vertical="top"/>
    </xf>
    <xf numFmtId="0" fontId="79" fillId="0" borderId="0"/>
    <xf numFmtId="40" fontId="80" fillId="0" borderId="0" applyBorder="0">
      <alignment horizontal="right"/>
    </xf>
    <xf numFmtId="49" fontId="33" fillId="0" borderId="0" applyFill="0" applyBorder="0" applyAlignment="0"/>
    <xf numFmtId="0" fontId="34" fillId="0" borderId="0" applyFill="0" applyBorder="0" applyAlignment="0"/>
    <xf numFmtId="0" fontId="34" fillId="0" borderId="0" applyFill="0" applyBorder="0" applyAlignment="0"/>
    <xf numFmtId="0" fontId="81" fillId="0" borderId="0">
      <alignment horizontal="center"/>
    </xf>
    <xf numFmtId="0" fontId="9" fillId="0" borderId="0">
      <alignment wrapText="1"/>
    </xf>
    <xf numFmtId="0" fontId="22" fillId="25" borderId="0" applyNumberFormat="0" applyBorder="0" applyAlignment="0" applyProtection="0">
      <alignment vertical="center"/>
    </xf>
    <xf numFmtId="0" fontId="22" fillId="25" borderId="0" applyNumberFormat="0" applyBorder="0" applyAlignment="0" applyProtection="0">
      <alignment vertical="center"/>
    </xf>
    <xf numFmtId="0" fontId="22" fillId="25" borderId="0" applyNumberFormat="0" applyBorder="0" applyAlignment="0" applyProtection="0">
      <alignment vertical="center"/>
    </xf>
    <xf numFmtId="0" fontId="22" fillId="11" borderId="0" applyNumberFormat="0" applyBorder="0" applyAlignment="0" applyProtection="0">
      <alignment vertical="center"/>
    </xf>
    <xf numFmtId="0" fontId="22" fillId="11" borderId="0" applyNumberFormat="0" applyBorder="0" applyAlignment="0" applyProtection="0">
      <alignment vertical="center"/>
    </xf>
    <xf numFmtId="0" fontId="22" fillId="11" borderId="0" applyNumberFormat="0" applyBorder="0" applyAlignment="0" applyProtection="0">
      <alignment vertical="center"/>
    </xf>
    <xf numFmtId="0" fontId="22" fillId="10" borderId="0" applyNumberFormat="0" applyBorder="0" applyAlignment="0" applyProtection="0">
      <alignment vertical="center"/>
    </xf>
    <xf numFmtId="0" fontId="22" fillId="10" borderId="0" applyNumberFormat="0" applyBorder="0" applyAlignment="0" applyProtection="0">
      <alignment vertical="center"/>
    </xf>
    <xf numFmtId="0" fontId="22" fillId="10" borderId="0" applyNumberFormat="0" applyBorder="0" applyAlignment="0" applyProtection="0">
      <alignment vertical="center"/>
    </xf>
    <xf numFmtId="0" fontId="22" fillId="27" borderId="0" applyNumberFormat="0" applyBorder="0" applyAlignment="0" applyProtection="0">
      <alignment vertical="center"/>
    </xf>
    <xf numFmtId="0" fontId="22" fillId="27" borderId="0" applyNumberFormat="0" applyBorder="0" applyAlignment="0" applyProtection="0">
      <alignment vertical="center"/>
    </xf>
    <xf numFmtId="0" fontId="22" fillId="27" borderId="0" applyNumberFormat="0" applyBorder="0" applyAlignment="0" applyProtection="0">
      <alignment vertical="center"/>
    </xf>
    <xf numFmtId="0" fontId="22" fillId="12" borderId="0" applyNumberFormat="0" applyBorder="0" applyAlignment="0" applyProtection="0">
      <alignment vertical="center"/>
    </xf>
    <xf numFmtId="0" fontId="22" fillId="12" borderId="0" applyNumberFormat="0" applyBorder="0" applyAlignment="0" applyProtection="0">
      <alignment vertical="center"/>
    </xf>
    <xf numFmtId="0" fontId="22" fillId="12" borderId="0" applyNumberFormat="0" applyBorder="0" applyAlignment="0" applyProtection="0">
      <alignment vertical="center"/>
    </xf>
    <xf numFmtId="0" fontId="22" fillId="26" borderId="0" applyNumberFormat="0" applyBorder="0" applyAlignment="0" applyProtection="0">
      <alignment vertical="center"/>
    </xf>
    <xf numFmtId="0" fontId="22" fillId="26" borderId="0" applyNumberFormat="0" applyBorder="0" applyAlignment="0" applyProtection="0">
      <alignment vertical="center"/>
    </xf>
    <xf numFmtId="0" fontId="22" fillId="26" borderId="0" applyNumberFormat="0" applyBorder="0" applyAlignment="0" applyProtection="0">
      <alignment vertical="center"/>
    </xf>
    <xf numFmtId="0" fontId="46" fillId="0" borderId="0"/>
    <xf numFmtId="0" fontId="83" fillId="0" borderId="0">
      <alignment vertical="center"/>
    </xf>
    <xf numFmtId="0" fontId="84" fillId="0" borderId="0" applyNumberFormat="0" applyFill="0" applyBorder="0" applyAlignment="0" applyProtection="0">
      <alignment vertical="center"/>
    </xf>
    <xf numFmtId="0" fontId="84" fillId="0" borderId="0" applyNumberFormat="0" applyFill="0" applyBorder="0" applyAlignment="0" applyProtection="0">
      <alignment vertical="center"/>
    </xf>
    <xf numFmtId="0" fontId="84" fillId="0" borderId="0" applyNumberFormat="0" applyFill="0" applyBorder="0" applyAlignment="0" applyProtection="0">
      <alignment vertical="center"/>
    </xf>
    <xf numFmtId="0" fontId="23" fillId="28" borderId="7" applyNumberFormat="0" applyAlignment="0" applyProtection="0">
      <alignment vertical="center"/>
    </xf>
    <xf numFmtId="0" fontId="23" fillId="28" borderId="7" applyNumberFormat="0" applyAlignment="0" applyProtection="0">
      <alignment vertical="center"/>
    </xf>
    <xf numFmtId="0" fontId="23" fillId="28" borderId="7" applyNumberFormat="0" applyAlignment="0" applyProtection="0">
      <alignment vertical="center"/>
    </xf>
    <xf numFmtId="0" fontId="85" fillId="9" borderId="0" applyNumberFormat="0" applyBorder="0" applyAlignment="0" applyProtection="0">
      <alignment vertical="center"/>
    </xf>
    <xf numFmtId="0" fontId="85" fillId="9" borderId="0" applyNumberFormat="0" applyBorder="0" applyAlignment="0" applyProtection="0">
      <alignment vertical="center"/>
    </xf>
    <xf numFmtId="0" fontId="85" fillId="9" borderId="0" applyNumberFormat="0" applyBorder="0" applyAlignment="0" applyProtection="0">
      <alignment vertical="center"/>
    </xf>
    <xf numFmtId="0" fontId="1" fillId="5" borderId="8" applyNumberFormat="0" applyFont="0" applyAlignment="0" applyProtection="0">
      <alignment vertical="center"/>
    </xf>
    <xf numFmtId="0" fontId="1" fillId="5" borderId="8" applyNumberFormat="0" applyFont="0" applyAlignment="0" applyProtection="0">
      <alignment vertical="center"/>
    </xf>
    <xf numFmtId="0" fontId="1" fillId="5" borderId="8" applyNumberFormat="0" applyFont="0" applyAlignment="0" applyProtection="0">
      <alignment vertical="center"/>
    </xf>
    <xf numFmtId="0" fontId="19" fillId="0" borderId="9" applyNumberFormat="0" applyFill="0" applyAlignment="0" applyProtection="0">
      <alignment vertical="center"/>
    </xf>
    <xf numFmtId="0" fontId="19" fillId="0" borderId="9" applyNumberFormat="0" applyFill="0" applyAlignment="0" applyProtection="0">
      <alignment vertical="center"/>
    </xf>
    <xf numFmtId="0" fontId="19" fillId="0" borderId="9" applyNumberFormat="0" applyFill="0" applyAlignment="0" applyProtection="0">
      <alignment vertical="center"/>
    </xf>
    <xf numFmtId="0" fontId="94" fillId="0" borderId="0"/>
    <xf numFmtId="0" fontId="24" fillId="7" borderId="0" applyNumberFormat="0" applyBorder="0" applyAlignment="0" applyProtection="0">
      <alignment vertical="center"/>
    </xf>
    <xf numFmtId="0" fontId="24" fillId="7" borderId="0" applyNumberFormat="0" applyBorder="0" applyAlignment="0" applyProtection="0">
      <alignment vertical="center"/>
    </xf>
    <xf numFmtId="0" fontId="24" fillId="7" borderId="0" applyNumberFormat="0" applyBorder="0" applyAlignment="0" applyProtection="0">
      <alignment vertical="center"/>
    </xf>
    <xf numFmtId="190" fontId="9" fillId="0" borderId="0" applyBorder="0">
      <alignment horizontal="right"/>
    </xf>
    <xf numFmtId="49" fontId="1" fillId="0" borderId="0" applyFont="0"/>
    <xf numFmtId="189" fontId="1" fillId="0" borderId="10" applyNumberFormat="0" applyFont="0" applyFill="0" applyAlignment="0" applyProtection="0">
      <alignment horizontal="left"/>
    </xf>
    <xf numFmtId="0" fontId="86" fillId="29" borderId="11" applyNumberFormat="0" applyAlignment="0" applyProtection="0">
      <alignment vertical="center"/>
    </xf>
    <xf numFmtId="0" fontId="86" fillId="29" borderId="11" applyNumberFormat="0" applyAlignment="0" applyProtection="0">
      <alignment vertical="center"/>
    </xf>
    <xf numFmtId="0" fontId="86" fillId="29" borderId="11" applyNumberFormat="0" applyAlignment="0" applyProtection="0">
      <alignment vertical="center"/>
    </xf>
    <xf numFmtId="0" fontId="19"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9" fillId="0" borderId="0" applyNumberFormat="0" applyFill="0" applyBorder="0" applyAlignment="0" applyProtection="0">
      <alignment vertical="center"/>
    </xf>
    <xf numFmtId="43" fontId="1" fillId="0" borderId="0" applyFont="0" applyFill="0" applyBorder="0" applyAlignment="0" applyProtection="0"/>
    <xf numFmtId="38" fontId="87" fillId="0" borderId="0" applyFont="0" applyFill="0" applyBorder="0" applyAlignment="0" applyProtection="0"/>
    <xf numFmtId="4" fontId="1" fillId="0" borderId="0" applyFont="0" applyFill="0" applyBorder="0" applyAlignment="0" applyProtection="0"/>
    <xf numFmtId="0" fontId="88" fillId="0" borderId="12" applyNumberFormat="0" applyFill="0" applyAlignment="0" applyProtection="0">
      <alignment vertical="center"/>
    </xf>
    <xf numFmtId="0" fontId="88" fillId="0" borderId="12" applyNumberFormat="0" applyFill="0" applyAlignment="0" applyProtection="0">
      <alignment vertical="center"/>
    </xf>
    <xf numFmtId="0" fontId="88" fillId="0" borderId="12" applyNumberFormat="0" applyFill="0" applyAlignment="0" applyProtection="0">
      <alignment vertical="center"/>
    </xf>
    <xf numFmtId="0" fontId="89" fillId="0" borderId="13" applyNumberFormat="0" applyFill="0" applyAlignment="0" applyProtection="0">
      <alignment vertical="center"/>
    </xf>
    <xf numFmtId="0" fontId="89" fillId="0" borderId="13" applyNumberFormat="0" applyFill="0" applyAlignment="0" applyProtection="0">
      <alignment vertical="center"/>
    </xf>
    <xf numFmtId="0" fontId="89" fillId="0" borderId="13" applyNumberFormat="0" applyFill="0" applyAlignment="0" applyProtection="0">
      <alignment vertical="center"/>
    </xf>
    <xf numFmtId="0" fontId="90" fillId="0" borderId="14" applyNumberFormat="0" applyFill="0" applyAlignment="0" applyProtection="0">
      <alignment vertical="center"/>
    </xf>
    <xf numFmtId="0" fontId="90" fillId="0" borderId="14" applyNumberFormat="0" applyFill="0" applyAlignment="0" applyProtection="0">
      <alignment vertical="center"/>
    </xf>
    <xf numFmtId="0" fontId="90" fillId="0" borderId="14" applyNumberFormat="0" applyFill="0" applyAlignment="0" applyProtection="0">
      <alignment vertical="center"/>
    </xf>
    <xf numFmtId="0" fontId="90" fillId="0" borderId="0" applyNumberFormat="0" applyFill="0" applyBorder="0" applyAlignment="0" applyProtection="0">
      <alignment vertical="center"/>
    </xf>
    <xf numFmtId="0" fontId="90" fillId="0" borderId="0" applyNumberFormat="0" applyFill="0" applyBorder="0" applyAlignment="0" applyProtection="0">
      <alignment vertical="center"/>
    </xf>
    <xf numFmtId="0" fontId="90" fillId="0" borderId="0" applyNumberFormat="0" applyFill="0" applyBorder="0" applyAlignment="0" applyProtection="0">
      <alignment vertical="center"/>
    </xf>
    <xf numFmtId="0" fontId="47" fillId="0" borderId="0"/>
    <xf numFmtId="0" fontId="47" fillId="0" borderId="0" applyNumberFormat="0"/>
    <xf numFmtId="0" fontId="91" fillId="0" borderId="0" applyBorder="0" applyAlignment="0"/>
    <xf numFmtId="0" fontId="25" fillId="0" borderId="15" applyNumberFormat="0" applyFill="0" applyAlignment="0" applyProtection="0">
      <alignment vertical="center"/>
    </xf>
    <xf numFmtId="0" fontId="25" fillId="0" borderId="15" applyNumberFormat="0" applyFill="0" applyAlignment="0" applyProtection="0">
      <alignment vertical="center"/>
    </xf>
    <xf numFmtId="0" fontId="25" fillId="0" borderId="15" applyNumberFormat="0" applyFill="0" applyAlignment="0" applyProtection="0">
      <alignment vertical="center"/>
    </xf>
    <xf numFmtId="0" fontId="26" fillId="29" borderId="16" applyNumberFormat="0" applyAlignment="0" applyProtection="0">
      <alignment vertical="center"/>
    </xf>
    <xf numFmtId="0" fontId="26" fillId="29" borderId="16" applyNumberFormat="0" applyAlignment="0" applyProtection="0">
      <alignment vertical="center"/>
    </xf>
    <xf numFmtId="0" fontId="26" fillId="29" borderId="16" applyNumberFormat="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9" borderId="11" applyNumberFormat="0" applyAlignment="0" applyProtection="0">
      <alignment vertical="center"/>
    </xf>
    <xf numFmtId="0" fontId="28" fillId="9" borderId="11" applyNumberFormat="0" applyAlignment="0" applyProtection="0">
      <alignment vertical="center"/>
    </xf>
    <xf numFmtId="0" fontId="28" fillId="9" borderId="11" applyNumberFormat="0" applyAlignment="0" applyProtection="0">
      <alignment vertical="center"/>
    </xf>
    <xf numFmtId="0" fontId="1" fillId="0" borderId="0">
      <alignment vertical="center"/>
    </xf>
    <xf numFmtId="0" fontId="1" fillId="0" borderId="0">
      <alignment vertical="center"/>
    </xf>
    <xf numFmtId="0" fontId="10" fillId="0" borderId="0"/>
    <xf numFmtId="0" fontId="1" fillId="0" borderId="0"/>
    <xf numFmtId="0" fontId="1" fillId="0" borderId="0"/>
    <xf numFmtId="0" fontId="1" fillId="0" borderId="0"/>
    <xf numFmtId="0" fontId="21" fillId="0" borderId="0">
      <alignment vertical="center"/>
    </xf>
    <xf numFmtId="0" fontId="92" fillId="0" borderId="0">
      <alignment vertical="center" wrapText="1"/>
    </xf>
    <xf numFmtId="0" fontId="47" fillId="0" borderId="0" applyNumberFormat="0"/>
    <xf numFmtId="0" fontId="91" fillId="0" borderId="0">
      <alignment vertical="center"/>
    </xf>
    <xf numFmtId="0" fontId="47" fillId="0" borderId="0" applyNumberFormat="0"/>
    <xf numFmtId="0" fontId="93" fillId="0" borderId="0"/>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cellStyleXfs>
  <cellXfs count="521">
    <xf numFmtId="0" fontId="0" fillId="0" borderId="0" xfId="0"/>
    <xf numFmtId="0" fontId="9" fillId="0" borderId="0" xfId="0" applyFont="1" applyAlignment="1">
      <alignment horizontal="center" vertical="center" wrapText="1"/>
    </xf>
    <xf numFmtId="0" fontId="9" fillId="0" borderId="0" xfId="0" applyFont="1"/>
    <xf numFmtId="0" fontId="9" fillId="0" borderId="0" xfId="0" applyFont="1" applyAlignment="1">
      <alignment horizontal="center"/>
    </xf>
    <xf numFmtId="0" fontId="10" fillId="0" borderId="0" xfId="0" applyFont="1" applyAlignment="1">
      <alignment horizontal="center" vertical="center"/>
    </xf>
    <xf numFmtId="0" fontId="0" fillId="0" borderId="0" xfId="0" applyAlignment="1">
      <alignment horizontal="center" vertical="center"/>
    </xf>
    <xf numFmtId="0" fontId="10" fillId="0" borderId="0" xfId="0" applyFont="1" applyAlignment="1">
      <alignment horizontal="left" vertical="center"/>
    </xf>
    <xf numFmtId="0" fontId="10" fillId="0" borderId="0" xfId="0" applyFont="1" applyAlignment="1">
      <alignment horizontal="left"/>
    </xf>
    <xf numFmtId="14" fontId="9" fillId="0" borderId="0" xfId="0" applyNumberFormat="1" applyFont="1"/>
    <xf numFmtId="0" fontId="5" fillId="0" borderId="0" xfId="0" applyFont="1" applyAlignment="1">
      <alignment vertical="center" shrinkToFit="1"/>
    </xf>
    <xf numFmtId="0" fontId="5" fillId="0" borderId="0" xfId="0" applyFont="1" applyAlignment="1">
      <alignment horizontal="center" vertical="center" shrinkToFit="1"/>
    </xf>
    <xf numFmtId="0" fontId="5" fillId="0" borderId="0" xfId="0" applyFont="1" applyAlignment="1" applyProtection="1">
      <alignment vertical="center" shrinkToFit="1"/>
      <protection locked="0"/>
    </xf>
    <xf numFmtId="0" fontId="10" fillId="0" borderId="0" xfId="0" applyFont="1" applyAlignment="1">
      <alignment vertical="center"/>
    </xf>
    <xf numFmtId="0" fontId="0" fillId="0" borderId="0" xfId="0" applyAlignment="1">
      <alignment vertical="center"/>
    </xf>
    <xf numFmtId="0" fontId="5" fillId="0" borderId="4" xfId="0" applyFont="1" applyBorder="1" applyAlignment="1">
      <alignment vertical="center" shrinkToFit="1"/>
    </xf>
    <xf numFmtId="0" fontId="5" fillId="30" borderId="0" xfId="0" applyFont="1" applyFill="1" applyAlignment="1" applyProtection="1">
      <alignment horizontal="right" vertical="center" shrinkToFit="1"/>
      <protection locked="0"/>
    </xf>
    <xf numFmtId="0" fontId="5" fillId="0" borderId="17" xfId="0" applyFont="1" applyBorder="1" applyAlignment="1">
      <alignment horizontal="center" vertical="center" shrinkToFit="1"/>
    </xf>
    <xf numFmtId="0" fontId="5" fillId="0" borderId="18" xfId="0" applyFont="1" applyBorder="1" applyAlignment="1">
      <alignment horizontal="center" vertical="center" shrinkToFit="1"/>
    </xf>
    <xf numFmtId="0" fontId="5" fillId="0" borderId="19" xfId="0" applyFont="1" applyBorder="1" applyAlignment="1">
      <alignment horizontal="center" vertical="center" shrinkToFit="1"/>
    </xf>
    <xf numFmtId="0" fontId="5" fillId="0" borderId="20" xfId="0" applyFont="1" applyBorder="1" applyAlignment="1">
      <alignment horizontal="center" vertical="center" shrinkToFit="1"/>
    </xf>
    <xf numFmtId="0" fontId="7" fillId="30" borderId="0" xfId="0" applyFont="1" applyFill="1" applyAlignment="1">
      <alignment horizontal="right" vertical="center" shrinkToFit="1"/>
    </xf>
    <xf numFmtId="0" fontId="10" fillId="0" borderId="0" xfId="0" applyFont="1"/>
    <xf numFmtId="0" fontId="4" fillId="0" borderId="0" xfId="0" applyFont="1" applyAlignment="1">
      <alignment vertical="center" shrinkToFit="1"/>
    </xf>
    <xf numFmtId="177" fontId="5" fillId="0" borderId="1" xfId="0" applyNumberFormat="1" applyFont="1" applyBorder="1" applyAlignment="1" applyProtection="1">
      <alignment horizontal="center" vertical="center" shrinkToFit="1"/>
      <protection hidden="1"/>
    </xf>
    <xf numFmtId="49" fontId="5" fillId="0" borderId="1" xfId="0" applyNumberFormat="1" applyFont="1" applyBorder="1" applyAlignment="1" applyProtection="1">
      <alignment horizontal="center" vertical="center" shrinkToFit="1"/>
      <protection locked="0"/>
    </xf>
    <xf numFmtId="49" fontId="8" fillId="0" borderId="1" xfId="0" applyNumberFormat="1" applyFont="1" applyBorder="1" applyProtection="1">
      <protection locked="0"/>
    </xf>
    <xf numFmtId="180" fontId="5" fillId="0" borderId="1" xfId="0" applyNumberFormat="1" applyFont="1" applyBorder="1" applyAlignment="1" applyProtection="1">
      <alignment horizontal="right" vertical="center" shrinkToFit="1"/>
      <protection locked="0"/>
    </xf>
    <xf numFmtId="180" fontId="8" fillId="0" borderId="1" xfId="0" applyNumberFormat="1" applyFont="1" applyBorder="1" applyProtection="1">
      <protection locked="0"/>
    </xf>
    <xf numFmtId="49" fontId="5" fillId="0" borderId="1" xfId="0" applyNumberFormat="1" applyFont="1" applyBorder="1" applyAlignment="1" applyProtection="1">
      <alignment vertical="center" shrinkToFit="1"/>
      <protection locked="0"/>
    </xf>
    <xf numFmtId="0" fontId="5" fillId="0" borderId="1" xfId="0" applyFont="1" applyBorder="1" applyAlignment="1" applyProtection="1">
      <alignment horizontal="right" vertical="center" shrinkToFit="1"/>
      <protection hidden="1"/>
    </xf>
    <xf numFmtId="0" fontId="5" fillId="0" borderId="1" xfId="0" applyFont="1" applyBorder="1" applyAlignment="1" applyProtection="1">
      <alignment horizontal="right" vertical="center" shrinkToFit="1"/>
      <protection locked="0"/>
    </xf>
    <xf numFmtId="0" fontId="5" fillId="30" borderId="1" xfId="0" applyFont="1" applyFill="1" applyBorder="1" applyAlignment="1" applyProtection="1">
      <alignment horizontal="right" vertical="center" shrinkToFit="1"/>
      <protection locked="0"/>
    </xf>
    <xf numFmtId="0" fontId="4" fillId="0" borderId="0" xfId="0" applyFont="1" applyAlignment="1">
      <alignment horizontal="center" vertical="center" shrinkToFit="1"/>
    </xf>
    <xf numFmtId="0" fontId="5" fillId="0" borderId="21" xfId="0" applyFont="1" applyBorder="1" applyAlignment="1">
      <alignment horizontal="right" vertical="center" shrinkToFit="1"/>
    </xf>
    <xf numFmtId="0" fontId="5" fillId="0" borderId="22" xfId="0" applyFont="1" applyBorder="1" applyAlignment="1">
      <alignment horizontal="right" vertical="center" shrinkToFit="1"/>
    </xf>
    <xf numFmtId="0" fontId="5" fillId="0" borderId="23" xfId="0" applyFont="1" applyBorder="1" applyAlignment="1" applyProtection="1">
      <alignment horizontal="center" vertical="center" shrinkToFit="1"/>
      <protection locked="0"/>
    </xf>
    <xf numFmtId="0" fontId="5" fillId="0" borderId="24" xfId="0" applyFont="1" applyBorder="1" applyAlignment="1" applyProtection="1">
      <alignment vertical="center" shrinkToFit="1"/>
      <protection locked="0"/>
    </xf>
    <xf numFmtId="179" fontId="5" fillId="0" borderId="0" xfId="0" applyNumberFormat="1" applyFont="1" applyAlignment="1">
      <alignment vertical="center" shrinkToFit="1"/>
    </xf>
    <xf numFmtId="0" fontId="5" fillId="0" borderId="25" xfId="0" applyFont="1" applyBorder="1" applyAlignment="1">
      <alignment horizontal="right" vertical="center" shrinkToFit="1"/>
    </xf>
    <xf numFmtId="0" fontId="5" fillId="0" borderId="26" xfId="0" applyFont="1" applyBorder="1" applyAlignment="1">
      <alignment horizontal="right" vertical="center" shrinkToFit="1"/>
    </xf>
    <xf numFmtId="0" fontId="5" fillId="0" borderId="27" xfId="0" applyFont="1" applyBorder="1" applyAlignment="1">
      <alignment horizontal="right" vertical="center" shrinkToFit="1"/>
    </xf>
    <xf numFmtId="0" fontId="5" fillId="0" borderId="28" xfId="0" applyFont="1" applyBorder="1" applyAlignment="1">
      <alignment horizontal="right" vertical="center" shrinkToFit="1"/>
    </xf>
    <xf numFmtId="0" fontId="0" fillId="0" borderId="29" xfId="0" applyBorder="1" applyAlignment="1">
      <alignment horizontal="center" vertical="center"/>
    </xf>
    <xf numFmtId="0" fontId="0" fillId="0" borderId="29" xfId="0" applyBorder="1"/>
    <xf numFmtId="0" fontId="0" fillId="0" borderId="30" xfId="0" applyBorder="1"/>
    <xf numFmtId="0" fontId="0" fillId="0" borderId="31" xfId="0" applyBorder="1"/>
    <xf numFmtId="0" fontId="16" fillId="0" borderId="0" xfId="0" applyFont="1" applyAlignment="1">
      <alignment horizontal="left" vertical="center"/>
    </xf>
    <xf numFmtId="0" fontId="3" fillId="0" borderId="0" xfId="0" applyFont="1" applyAlignment="1">
      <alignment vertical="center"/>
    </xf>
    <xf numFmtId="0" fontId="9" fillId="18" borderId="0" xfId="0" applyFont="1" applyFill="1"/>
    <xf numFmtId="0" fontId="9" fillId="0" borderId="0" xfId="0" applyFont="1" applyAlignment="1">
      <alignment horizontal="center" vertical="center"/>
    </xf>
    <xf numFmtId="0" fontId="9" fillId="0" borderId="0" xfId="0" applyFont="1" applyAlignment="1">
      <alignment horizontal="right" vertical="center"/>
    </xf>
    <xf numFmtId="0" fontId="0" fillId="0" borderId="0" xfId="0" applyAlignment="1">
      <alignment horizontal="center" vertical="center" shrinkToFit="1"/>
    </xf>
    <xf numFmtId="181" fontId="5" fillId="0" borderId="20" xfId="0" applyNumberFormat="1" applyFont="1" applyBorder="1" applyAlignment="1" applyProtection="1">
      <alignment vertical="center" shrinkToFit="1"/>
      <protection locked="0"/>
    </xf>
    <xf numFmtId="0" fontId="17" fillId="0" borderId="19" xfId="0" applyFont="1" applyBorder="1" applyAlignment="1">
      <alignment horizontal="right" vertical="center" shrinkToFit="1"/>
    </xf>
    <xf numFmtId="0" fontId="18" fillId="0" borderId="22" xfId="0" applyFont="1" applyBorder="1" applyAlignment="1">
      <alignment horizontal="center" vertical="center" shrinkToFit="1"/>
    </xf>
    <xf numFmtId="0" fontId="17" fillId="0" borderId="18" xfId="0" applyFont="1" applyBorder="1" applyAlignment="1">
      <alignment horizontal="right" vertical="center" shrinkToFit="1"/>
    </xf>
    <xf numFmtId="0" fontId="17" fillId="0" borderId="20" xfId="0" applyFont="1" applyBorder="1" applyAlignment="1">
      <alignment horizontal="right" vertical="center" shrinkToFit="1"/>
    </xf>
    <xf numFmtId="177" fontId="17" fillId="0" borderId="32" xfId="0" applyNumberFormat="1" applyFont="1" applyBorder="1" applyAlignment="1">
      <alignment horizontal="center" vertical="center" shrinkToFit="1"/>
    </xf>
    <xf numFmtId="177" fontId="17" fillId="0" borderId="5" xfId="0" applyNumberFormat="1" applyFont="1" applyBorder="1" applyAlignment="1">
      <alignment horizontal="center" vertical="center" shrinkToFit="1"/>
    </xf>
    <xf numFmtId="177" fontId="17" fillId="0" borderId="33" xfId="0" applyNumberFormat="1" applyFont="1" applyBorder="1" applyAlignment="1">
      <alignment horizontal="center" vertical="center" shrinkToFit="1"/>
    </xf>
    <xf numFmtId="0" fontId="5" fillId="31" borderId="32" xfId="0" applyFont="1" applyFill="1" applyBorder="1" applyAlignment="1" applyProtection="1">
      <alignment horizontal="center" vertical="center" shrinkToFit="1"/>
      <protection locked="0"/>
    </xf>
    <xf numFmtId="0" fontId="9" fillId="0" borderId="0" xfId="0" applyFont="1" applyAlignment="1">
      <alignment vertical="center"/>
    </xf>
    <xf numFmtId="0" fontId="10" fillId="0" borderId="0" xfId="0" applyFont="1" applyAlignment="1">
      <alignment wrapText="1"/>
    </xf>
    <xf numFmtId="14" fontId="0" fillId="0" borderId="0" xfId="0" applyNumberFormat="1" applyAlignment="1">
      <alignment horizontal="center" vertical="center"/>
    </xf>
    <xf numFmtId="0" fontId="9" fillId="0" borderId="34" xfId="0" applyFont="1" applyBorder="1" applyAlignment="1">
      <alignment horizontal="right" vertical="center"/>
    </xf>
    <xf numFmtId="0" fontId="9" fillId="0" borderId="0" xfId="0" applyFont="1" applyAlignment="1">
      <alignment horizontal="left" vertical="center"/>
    </xf>
    <xf numFmtId="181" fontId="5" fillId="0" borderId="18" xfId="0" applyNumberFormat="1" applyFont="1" applyBorder="1" applyAlignment="1" applyProtection="1">
      <alignment vertical="center" shrinkToFit="1"/>
      <protection locked="0"/>
    </xf>
    <xf numFmtId="178" fontId="17" fillId="0" borderId="35" xfId="0" applyNumberFormat="1" applyFont="1" applyBorder="1" applyAlignment="1">
      <alignment horizontal="right" vertical="center" shrinkToFit="1"/>
    </xf>
    <xf numFmtId="178" fontId="5" fillId="0" borderId="36" xfId="0" applyNumberFormat="1" applyFont="1" applyBorder="1" applyAlignment="1">
      <alignment horizontal="right" vertical="center" shrinkToFit="1"/>
    </xf>
    <xf numFmtId="0" fontId="10" fillId="0" borderId="22" xfId="0" applyFont="1" applyBorder="1" applyAlignment="1">
      <alignment vertical="center" shrinkToFit="1"/>
    </xf>
    <xf numFmtId="0" fontId="10" fillId="0" borderId="37" xfId="0" applyFont="1" applyBorder="1" applyAlignment="1">
      <alignment vertical="center" shrinkToFit="1"/>
    </xf>
    <xf numFmtId="0" fontId="19" fillId="0" borderId="0" xfId="0" applyFont="1"/>
    <xf numFmtId="0" fontId="19" fillId="0" borderId="30" xfId="0" applyFont="1" applyBorder="1"/>
    <xf numFmtId="0" fontId="0" fillId="0" borderId="5" xfId="0" applyBorder="1"/>
    <xf numFmtId="0" fontId="0" fillId="0" borderId="5" xfId="0" applyBorder="1" applyAlignment="1">
      <alignment horizontal="center"/>
    </xf>
    <xf numFmtId="178" fontId="0" fillId="14" borderId="5" xfId="0" applyNumberFormat="1" applyFill="1" applyBorder="1" applyAlignment="1">
      <alignment horizontal="center" vertical="center"/>
    </xf>
    <xf numFmtId="0" fontId="17" fillId="0" borderId="5" xfId="0" applyFont="1" applyBorder="1" applyAlignment="1">
      <alignment vertical="center" shrinkToFit="1"/>
    </xf>
    <xf numFmtId="0" fontId="17" fillId="0" borderId="38" xfId="0" applyFont="1" applyBorder="1" applyAlignment="1">
      <alignment vertical="center" shrinkToFit="1"/>
    </xf>
    <xf numFmtId="0" fontId="9" fillId="0" borderId="0" xfId="0" applyFont="1" applyAlignment="1">
      <alignment vertical="top"/>
    </xf>
    <xf numFmtId="0" fontId="0" fillId="0" borderId="0" xfId="0" applyAlignment="1">
      <alignment vertical="top"/>
    </xf>
    <xf numFmtId="0" fontId="9" fillId="0" borderId="0" xfId="0" quotePrefix="1" applyFont="1" applyAlignment="1">
      <alignment vertical="top"/>
    </xf>
    <xf numFmtId="0" fontId="19" fillId="0" borderId="0" xfId="0" applyFont="1" applyAlignment="1">
      <alignment vertical="top"/>
    </xf>
    <xf numFmtId="0" fontId="5" fillId="0" borderId="4" xfId="0" applyFont="1" applyBorder="1" applyAlignment="1">
      <alignment horizontal="right" vertical="center" shrinkToFit="1"/>
    </xf>
    <xf numFmtId="0" fontId="5" fillId="0" borderId="1" xfId="0" applyFont="1" applyBorder="1" applyAlignment="1">
      <alignment vertical="center" shrinkToFit="1"/>
    </xf>
    <xf numFmtId="0" fontId="20" fillId="0" borderId="0" xfId="0" applyFont="1" applyAlignment="1">
      <alignment vertical="center"/>
    </xf>
    <xf numFmtId="0" fontId="8" fillId="0" borderId="39" xfId="0" applyFont="1" applyBorder="1" applyAlignment="1">
      <alignment vertical="center"/>
    </xf>
    <xf numFmtId="0" fontId="5" fillId="0" borderId="1" xfId="0" applyFont="1" applyBorder="1" applyAlignment="1">
      <alignment horizontal="center" vertical="center" shrinkToFit="1"/>
    </xf>
    <xf numFmtId="0" fontId="5" fillId="0" borderId="40" xfId="0" applyFont="1" applyBorder="1" applyAlignment="1">
      <alignment vertical="center" shrinkToFit="1"/>
    </xf>
    <xf numFmtId="0" fontId="5" fillId="0" borderId="4" xfId="0" applyFont="1" applyBorder="1" applyAlignment="1">
      <alignment horizontal="right" vertical="center"/>
    </xf>
    <xf numFmtId="0" fontId="5" fillId="0" borderId="4" xfId="0" applyFont="1" applyBorder="1" applyAlignment="1">
      <alignment vertical="center"/>
    </xf>
    <xf numFmtId="0" fontId="5" fillId="0" borderId="4" xfId="0" applyFont="1" applyBorder="1" applyAlignment="1">
      <alignment horizontal="center" vertical="center" shrinkToFit="1"/>
    </xf>
    <xf numFmtId="0" fontId="5" fillId="0" borderId="39" xfId="0" applyFont="1" applyBorder="1" applyAlignment="1">
      <alignment vertical="center" shrinkToFit="1"/>
    </xf>
    <xf numFmtId="0" fontId="5" fillId="0" borderId="41" xfId="0" applyFont="1" applyBorder="1" applyAlignment="1">
      <alignment vertical="center" shrinkToFit="1"/>
    </xf>
    <xf numFmtId="0" fontId="5" fillId="0" borderId="24" xfId="0" applyFont="1" applyBorder="1" applyAlignment="1">
      <alignment horizontal="right" vertical="center" shrinkToFit="1"/>
    </xf>
    <xf numFmtId="0" fontId="5" fillId="0" borderId="42" xfId="0" applyFont="1" applyBorder="1" applyAlignment="1">
      <alignment horizontal="right" vertical="center" shrinkToFit="1"/>
    </xf>
    <xf numFmtId="0" fontId="5" fillId="0" borderId="0" xfId="0" applyFont="1" applyAlignment="1">
      <alignment horizontal="center" vertical="center" textRotation="255"/>
    </xf>
    <xf numFmtId="0" fontId="14" fillId="0" borderId="0" xfId="0" applyFont="1" applyAlignment="1">
      <alignment vertical="center" wrapText="1" shrinkToFit="1"/>
    </xf>
    <xf numFmtId="179" fontId="18" fillId="0" borderId="0" xfId="0" applyNumberFormat="1" applyFont="1" applyAlignment="1">
      <alignment horizontal="center" vertical="center" wrapText="1"/>
    </xf>
    <xf numFmtId="0" fontId="5" fillId="0" borderId="43" xfId="0" applyFont="1" applyBorder="1" applyAlignment="1">
      <alignment vertical="center" shrinkToFit="1"/>
    </xf>
    <xf numFmtId="0" fontId="5" fillId="0" borderId="44" xfId="0" applyFont="1" applyBorder="1" applyAlignment="1">
      <alignment vertical="center" shrinkToFit="1"/>
    </xf>
    <xf numFmtId="0" fontId="5" fillId="0" borderId="45" xfId="0" applyFont="1" applyBorder="1" applyAlignment="1">
      <alignment vertical="center" shrinkToFit="1"/>
    </xf>
    <xf numFmtId="179" fontId="15" fillId="0" borderId="0" xfId="0" applyNumberFormat="1" applyFont="1" applyAlignment="1" applyProtection="1">
      <alignment horizontal="center" vertical="center" shrinkToFit="1"/>
      <protection locked="0"/>
    </xf>
    <xf numFmtId="0" fontId="5" fillId="0" borderId="0" xfId="0" applyFont="1" applyAlignment="1">
      <alignment vertical="center"/>
    </xf>
    <xf numFmtId="0" fontId="3" fillId="0" borderId="1" xfId="0" applyFont="1" applyBorder="1" applyAlignment="1">
      <alignment vertical="center"/>
    </xf>
    <xf numFmtId="0" fontId="3" fillId="0" borderId="46" xfId="0" applyFont="1" applyBorder="1" applyAlignment="1">
      <alignment vertical="center"/>
    </xf>
    <xf numFmtId="0" fontId="3" fillId="0" borderId="4" xfId="0" applyFont="1" applyBorder="1" applyAlignment="1">
      <alignment vertical="center"/>
    </xf>
    <xf numFmtId="0" fontId="3" fillId="0" borderId="36" xfId="0" applyFont="1" applyBorder="1" applyAlignment="1">
      <alignment vertical="center"/>
    </xf>
    <xf numFmtId="0" fontId="0" fillId="0" borderId="0" xfId="0" applyAlignment="1">
      <alignment horizontal="centerContinuous" vertical="center"/>
    </xf>
    <xf numFmtId="14" fontId="0" fillId="0" borderId="0" xfId="0" applyNumberFormat="1" applyAlignment="1">
      <alignment vertical="center"/>
    </xf>
    <xf numFmtId="182" fontId="19" fillId="0" borderId="0" xfId="0" applyNumberFormat="1" applyFont="1" applyAlignment="1">
      <alignment horizontal="center" vertical="center"/>
    </xf>
    <xf numFmtId="0" fontId="17" fillId="0" borderId="47" xfId="0" applyFont="1" applyBorder="1" applyAlignment="1">
      <alignment horizontal="right" vertical="center" shrinkToFit="1"/>
    </xf>
    <xf numFmtId="0" fontId="5" fillId="0" borderId="0" xfId="0" applyFont="1" applyAlignment="1">
      <alignment horizontal="center" vertical="top"/>
    </xf>
    <xf numFmtId="0" fontId="4" fillId="0" borderId="0" xfId="0" applyFont="1" applyAlignment="1">
      <alignment vertical="center"/>
    </xf>
    <xf numFmtId="0" fontId="5" fillId="0" borderId="0" xfId="0" applyFont="1" applyAlignment="1">
      <alignment vertical="top" shrinkToFit="1"/>
    </xf>
    <xf numFmtId="0" fontId="5" fillId="0" borderId="0" xfId="0" applyFont="1" applyAlignment="1">
      <alignment vertical="top"/>
    </xf>
    <xf numFmtId="0" fontId="5" fillId="0" borderId="0" xfId="0" applyFont="1" applyAlignment="1">
      <alignment horizontal="center" vertical="top" shrinkToFit="1"/>
    </xf>
    <xf numFmtId="0" fontId="3" fillId="0" borderId="1" xfId="0" applyFont="1" applyBorder="1" applyAlignment="1">
      <alignment vertical="top"/>
    </xf>
    <xf numFmtId="0" fontId="11" fillId="0" borderId="0" xfId="0" applyFont="1" applyAlignment="1">
      <alignment horizontal="center" vertical="center"/>
    </xf>
    <xf numFmtId="0" fontId="11" fillId="0" borderId="0" xfId="0" applyFont="1" applyAlignment="1">
      <alignment horizontal="right" vertical="center"/>
    </xf>
    <xf numFmtId="0" fontId="12" fillId="0" borderId="0" xfId="0" applyFont="1"/>
    <xf numFmtId="176" fontId="0" fillId="0" borderId="0" xfId="0" applyNumberFormat="1" applyAlignment="1">
      <alignment horizontal="center" vertical="center"/>
    </xf>
    <xf numFmtId="178" fontId="0" fillId="0" borderId="0" xfId="0" applyNumberFormat="1" applyAlignment="1">
      <alignment horizontal="center" vertical="center"/>
    </xf>
    <xf numFmtId="0" fontId="9" fillId="0" borderId="33" xfId="0" applyFont="1" applyBorder="1" applyAlignment="1">
      <alignment horizontal="center" vertical="center"/>
    </xf>
    <xf numFmtId="0" fontId="9" fillId="32" borderId="0" xfId="0" applyFont="1" applyFill="1"/>
    <xf numFmtId="178" fontId="0" fillId="14" borderId="0" xfId="0" applyNumberFormat="1" applyFill="1" applyAlignment="1">
      <alignment horizontal="center" vertical="center"/>
    </xf>
    <xf numFmtId="0" fontId="9" fillId="0" borderId="5" xfId="0" applyFont="1" applyBorder="1" applyAlignment="1">
      <alignment horizontal="center" vertical="center"/>
    </xf>
    <xf numFmtId="56" fontId="9" fillId="14" borderId="5" xfId="0" applyNumberFormat="1" applyFont="1" applyFill="1" applyBorder="1" applyAlignment="1" applyProtection="1">
      <alignment horizontal="center" vertical="top" wrapText="1"/>
      <protection locked="0"/>
    </xf>
    <xf numFmtId="0" fontId="9" fillId="23" borderId="5" xfId="0" applyFont="1" applyFill="1" applyBorder="1" applyAlignment="1" applyProtection="1">
      <alignment horizontal="center" vertical="top"/>
      <protection locked="0"/>
    </xf>
    <xf numFmtId="0" fontId="9" fillId="0" borderId="5" xfId="0" applyFont="1" applyBorder="1" applyAlignment="1">
      <alignment horizontal="center" vertical="top"/>
    </xf>
    <xf numFmtId="0" fontId="9" fillId="14" borderId="5" xfId="0" applyFont="1" applyFill="1" applyBorder="1" applyAlignment="1" applyProtection="1">
      <alignment horizontal="center" vertical="top"/>
      <protection locked="0"/>
    </xf>
    <xf numFmtId="56" fontId="9" fillId="23" borderId="5" xfId="0" applyNumberFormat="1" applyFont="1" applyFill="1" applyBorder="1" applyAlignment="1" applyProtection="1">
      <alignment horizontal="center" vertical="top"/>
      <protection locked="0"/>
    </xf>
    <xf numFmtId="0" fontId="9" fillId="31" borderId="5" xfId="0" applyFont="1" applyFill="1" applyBorder="1" applyAlignment="1" applyProtection="1">
      <alignment horizontal="center" vertical="top"/>
      <protection locked="0"/>
    </xf>
    <xf numFmtId="0" fontId="9" fillId="0" borderId="0" xfId="0" applyFont="1" applyAlignment="1" applyProtection="1">
      <alignment horizontal="center" vertical="top"/>
      <protection locked="0"/>
    </xf>
    <xf numFmtId="0" fontId="10" fillId="0" borderId="0" xfId="0" applyFont="1" applyAlignment="1">
      <alignment horizontal="left" vertical="top"/>
    </xf>
    <xf numFmtId="14" fontId="9" fillId="14" borderId="5" xfId="0" quotePrefix="1" applyNumberFormat="1" applyFont="1" applyFill="1" applyBorder="1" applyAlignment="1" applyProtection="1">
      <alignment horizontal="center" vertical="top" shrinkToFit="1"/>
      <protection locked="0"/>
    </xf>
    <xf numFmtId="14" fontId="9" fillId="14" borderId="5" xfId="0" applyNumberFormat="1" applyFont="1" applyFill="1" applyBorder="1" applyAlignment="1" applyProtection="1">
      <alignment horizontal="center" vertical="top" shrinkToFit="1"/>
      <protection locked="0"/>
    </xf>
    <xf numFmtId="14" fontId="10" fillId="0" borderId="0" xfId="0" applyNumberFormat="1" applyFont="1" applyAlignment="1">
      <alignment vertical="center" shrinkToFit="1"/>
    </xf>
    <xf numFmtId="14" fontId="0" fillId="0" borderId="0" xfId="0" applyNumberFormat="1" applyAlignment="1">
      <alignment vertical="center" shrinkToFit="1"/>
    </xf>
    <xf numFmtId="14" fontId="0" fillId="0" borderId="0" xfId="0" applyNumberFormat="1" applyAlignment="1">
      <alignment horizontal="center" vertical="center" shrinkToFit="1"/>
    </xf>
    <xf numFmtId="14" fontId="9" fillId="23" borderId="5" xfId="0" applyNumberFormat="1" applyFont="1" applyFill="1" applyBorder="1" applyAlignment="1" applyProtection="1">
      <alignment horizontal="center" vertical="top" shrinkToFit="1"/>
      <protection locked="0"/>
    </xf>
    <xf numFmtId="14" fontId="10" fillId="0" borderId="0" xfId="0" applyNumberFormat="1" applyFont="1" applyAlignment="1">
      <alignment shrinkToFit="1"/>
    </xf>
    <xf numFmtId="14" fontId="0" fillId="0" borderId="0" xfId="0" applyNumberFormat="1" applyAlignment="1">
      <alignment shrinkToFit="1"/>
    </xf>
    <xf numFmtId="14" fontId="9" fillId="0" borderId="5" xfId="0" applyNumberFormat="1" applyFont="1" applyBorder="1" applyAlignment="1" applyProtection="1">
      <alignment horizontal="center" vertical="top" shrinkToFit="1"/>
      <protection locked="0"/>
    </xf>
    <xf numFmtId="14" fontId="10" fillId="0" borderId="0" xfId="0" applyNumberFormat="1" applyFont="1" applyAlignment="1">
      <alignment horizontal="left" vertical="center" shrinkToFit="1"/>
    </xf>
    <xf numFmtId="14" fontId="10" fillId="0" borderId="0" xfId="0" applyNumberFormat="1" applyFont="1" applyAlignment="1">
      <alignment horizontal="center" vertical="center" shrinkToFit="1"/>
    </xf>
    <xf numFmtId="0" fontId="9" fillId="0" borderId="33" xfId="0" applyFont="1" applyBorder="1" applyAlignment="1">
      <alignment horizontal="center" vertical="center" shrinkToFit="1"/>
    </xf>
    <xf numFmtId="0" fontId="5" fillId="0" borderId="32" xfId="0" applyFont="1" applyBorder="1" applyAlignment="1">
      <alignment horizontal="center" vertical="center" shrinkToFit="1"/>
    </xf>
    <xf numFmtId="0" fontId="5" fillId="0" borderId="5" xfId="0" applyFont="1" applyBorder="1" applyAlignment="1">
      <alignment horizontal="center" vertical="center" shrinkToFit="1"/>
    </xf>
    <xf numFmtId="0" fontId="5" fillId="0" borderId="5" xfId="0" applyFont="1" applyBorder="1" applyAlignment="1" applyProtection="1">
      <alignment vertical="center" shrinkToFit="1"/>
      <protection locked="0"/>
    </xf>
    <xf numFmtId="0" fontId="5" fillId="0" borderId="48" xfId="0" applyFont="1" applyBorder="1" applyAlignment="1" applyProtection="1">
      <alignment horizontal="right" vertical="center" shrinkToFit="1"/>
      <protection locked="0"/>
    </xf>
    <xf numFmtId="0" fontId="5" fillId="0" borderId="19" xfId="0" applyFont="1" applyBorder="1" applyAlignment="1" applyProtection="1">
      <alignment horizontal="center" vertical="center" shrinkToFit="1"/>
      <protection locked="0"/>
    </xf>
    <xf numFmtId="0" fontId="5" fillId="0" borderId="17" xfId="0" applyFont="1" applyBorder="1" applyAlignment="1">
      <alignment horizontal="center" vertical="center"/>
    </xf>
    <xf numFmtId="0" fontId="6" fillId="0" borderId="19" xfId="0" applyFont="1" applyBorder="1" applyAlignment="1">
      <alignment horizontal="center" vertical="center"/>
    </xf>
    <xf numFmtId="0" fontId="6" fillId="0" borderId="49" xfId="0" applyFont="1" applyBorder="1" applyAlignment="1">
      <alignment horizontal="center" vertical="center" shrinkToFit="1"/>
    </xf>
    <xf numFmtId="0" fontId="9" fillId="14" borderId="5" xfId="0" applyFont="1" applyFill="1" applyBorder="1" applyAlignment="1" applyProtection="1">
      <alignment vertical="top" wrapText="1"/>
      <protection locked="0"/>
    </xf>
    <xf numFmtId="0" fontId="9" fillId="23" borderId="5" xfId="0" applyFont="1" applyFill="1" applyBorder="1" applyAlignment="1" applyProtection="1">
      <alignment vertical="top" wrapText="1"/>
      <protection locked="0"/>
    </xf>
    <xf numFmtId="0" fontId="5" fillId="0" borderId="50" xfId="0" applyFont="1" applyBorder="1" applyAlignment="1" applyProtection="1">
      <alignment vertical="center" shrinkToFit="1"/>
      <protection hidden="1"/>
    </xf>
    <xf numFmtId="0" fontId="5" fillId="0" borderId="41" xfId="0" applyFont="1" applyBorder="1" applyAlignment="1" applyProtection="1">
      <alignment vertical="center" shrinkToFit="1"/>
      <protection hidden="1"/>
    </xf>
    <xf numFmtId="0" fontId="5" fillId="0" borderId="51" xfId="0" applyFont="1" applyBorder="1" applyAlignment="1">
      <alignment horizontal="center" vertical="center" shrinkToFit="1"/>
    </xf>
    <xf numFmtId="0" fontId="9" fillId="23" borderId="5" xfId="0" applyFont="1" applyFill="1" applyBorder="1" applyAlignment="1" applyProtection="1">
      <alignment horizontal="center" vertical="top" wrapText="1"/>
      <protection locked="0"/>
    </xf>
    <xf numFmtId="0" fontId="9" fillId="14" borderId="5" xfId="0" applyFont="1" applyFill="1" applyBorder="1" applyAlignment="1" applyProtection="1">
      <alignment horizontal="center" vertical="top" wrapText="1"/>
      <protection locked="0"/>
    </xf>
    <xf numFmtId="0" fontId="13" fillId="14" borderId="5" xfId="0" applyFont="1" applyFill="1" applyBorder="1" applyAlignment="1" applyProtection="1">
      <alignment horizontal="center" vertical="top" wrapText="1"/>
      <protection locked="0"/>
    </xf>
    <xf numFmtId="0" fontId="9" fillId="0" borderId="0" xfId="272" applyFont="1" applyAlignment="1">
      <alignment vertical="top"/>
    </xf>
    <xf numFmtId="0" fontId="9" fillId="0" borderId="0" xfId="272" applyFont="1" applyAlignment="1">
      <alignment vertical="top" wrapText="1"/>
    </xf>
    <xf numFmtId="0" fontId="9" fillId="0" borderId="0" xfId="272" applyFont="1" applyAlignment="1">
      <alignment horizontal="right" vertical="top"/>
    </xf>
    <xf numFmtId="49" fontId="9" fillId="0" borderId="0" xfId="272" applyNumberFormat="1" applyFont="1" applyAlignment="1">
      <alignment horizontal="left" vertical="top"/>
    </xf>
    <xf numFmtId="0" fontId="9" fillId="31" borderId="52" xfId="272" applyFont="1" applyFill="1" applyBorder="1" applyAlignment="1">
      <alignment horizontal="center" vertical="center"/>
    </xf>
    <xf numFmtId="0" fontId="9" fillId="31" borderId="53" xfId="272" applyFont="1" applyFill="1" applyBorder="1" applyAlignment="1">
      <alignment horizontal="center" vertical="center"/>
    </xf>
    <xf numFmtId="0" fontId="9" fillId="31" borderId="53" xfId="272" applyFont="1" applyFill="1" applyBorder="1" applyAlignment="1">
      <alignment horizontal="center" vertical="center" wrapText="1"/>
    </xf>
    <xf numFmtId="0" fontId="9" fillId="31" borderId="53" xfId="272" applyFont="1" applyFill="1" applyBorder="1" applyAlignment="1">
      <alignment vertical="top" textRotation="255" shrinkToFit="1"/>
    </xf>
    <xf numFmtId="0" fontId="9" fillId="31" borderId="54" xfId="272" applyFont="1" applyFill="1" applyBorder="1" applyAlignment="1">
      <alignment vertical="top" textRotation="255" shrinkToFit="1"/>
    </xf>
    <xf numFmtId="0" fontId="9" fillId="0" borderId="55" xfId="272" applyFont="1" applyBorder="1" applyAlignment="1">
      <alignment horizontal="center" vertical="center"/>
    </xf>
    <xf numFmtId="0" fontId="9" fillId="0" borderId="5" xfId="272" applyFont="1" applyBorder="1" applyAlignment="1">
      <alignment horizontal="center" vertical="center"/>
    </xf>
    <xf numFmtId="0" fontId="9" fillId="0" borderId="5" xfId="272" applyFont="1" applyBorder="1" applyAlignment="1">
      <alignment horizontal="center" vertical="center" wrapText="1"/>
    </xf>
    <xf numFmtId="0" fontId="9" fillId="0" borderId="5" xfId="272" applyFont="1" applyBorder="1" applyAlignment="1">
      <alignment vertical="top"/>
    </xf>
    <xf numFmtId="0" fontId="9" fillId="0" borderId="56" xfId="272" applyFont="1" applyBorder="1" applyAlignment="1">
      <alignment vertical="top"/>
    </xf>
    <xf numFmtId="0" fontId="91" fillId="0" borderId="57" xfId="272" applyFont="1" applyBorder="1" applyAlignment="1">
      <alignment vertical="top"/>
    </xf>
    <xf numFmtId="0" fontId="91" fillId="0" borderId="58" xfId="272" applyFont="1" applyBorder="1" applyAlignment="1">
      <alignment vertical="top"/>
    </xf>
    <xf numFmtId="0" fontId="91" fillId="0" borderId="58" xfId="272" applyFont="1" applyBorder="1" applyAlignment="1">
      <alignment vertical="top" wrapText="1"/>
    </xf>
    <xf numFmtId="0" fontId="91" fillId="0" borderId="58" xfId="272" applyFont="1" applyBorder="1" applyAlignment="1">
      <alignment horizontal="center" vertical="top"/>
    </xf>
    <xf numFmtId="0" fontId="91" fillId="0" borderId="60" xfId="272" applyFont="1" applyBorder="1" applyAlignment="1">
      <alignment vertical="top"/>
    </xf>
    <xf numFmtId="0" fontId="91" fillId="0" borderId="61" xfId="272" applyFont="1" applyBorder="1" applyAlignment="1">
      <alignment vertical="top"/>
    </xf>
    <xf numFmtId="0" fontId="91" fillId="0" borderId="61" xfId="272" applyFont="1" applyBorder="1" applyAlignment="1">
      <alignment vertical="top" wrapText="1"/>
    </xf>
    <xf numFmtId="0" fontId="91" fillId="0" borderId="61" xfId="272" applyFont="1" applyBorder="1" applyAlignment="1">
      <alignment horizontal="center" vertical="top"/>
    </xf>
    <xf numFmtId="0" fontId="91" fillId="0" borderId="63" xfId="272" applyFont="1" applyBorder="1" applyAlignment="1">
      <alignment vertical="top"/>
    </xf>
    <xf numFmtId="0" fontId="91" fillId="0" borderId="63" xfId="272" applyFont="1" applyBorder="1" applyAlignment="1">
      <alignment vertical="top" wrapText="1"/>
    </xf>
    <xf numFmtId="0" fontId="91" fillId="0" borderId="63" xfId="272" applyFont="1" applyBorder="1" applyAlignment="1">
      <alignment horizontal="center" vertical="top"/>
    </xf>
    <xf numFmtId="0" fontId="91" fillId="0" borderId="65" xfId="272" applyFont="1" applyBorder="1" applyAlignment="1">
      <alignment vertical="top"/>
    </xf>
    <xf numFmtId="0" fontId="91" fillId="0" borderId="32" xfId="272" applyFont="1" applyBorder="1" applyAlignment="1">
      <alignment vertical="top"/>
    </xf>
    <xf numFmtId="0" fontId="91" fillId="0" borderId="32" xfId="272" applyFont="1" applyBorder="1" applyAlignment="1">
      <alignment vertical="top" wrapText="1"/>
    </xf>
    <xf numFmtId="0" fontId="91" fillId="0" borderId="66" xfId="272" applyFont="1" applyBorder="1" applyAlignment="1">
      <alignment vertical="top"/>
    </xf>
    <xf numFmtId="0" fontId="91" fillId="0" borderId="66" xfId="272" applyFont="1" applyBorder="1" applyAlignment="1">
      <alignment vertical="top" wrapText="1"/>
    </xf>
    <xf numFmtId="0" fontId="91" fillId="0" borderId="66" xfId="272" applyFont="1" applyBorder="1" applyAlignment="1">
      <alignment horizontal="center" vertical="top"/>
    </xf>
    <xf numFmtId="0" fontId="91" fillId="0" borderId="57" xfId="272" applyFont="1" applyBorder="1" applyAlignment="1">
      <alignment vertical="top" wrapText="1"/>
    </xf>
    <xf numFmtId="0" fontId="91" fillId="0" borderId="68" xfId="272" applyFont="1" applyBorder="1" applyAlignment="1">
      <alignment vertical="top"/>
    </xf>
    <xf numFmtId="0" fontId="91" fillId="0" borderId="69" xfId="272" applyFont="1" applyBorder="1" applyAlignment="1">
      <alignment horizontal="center" vertical="top"/>
    </xf>
    <xf numFmtId="0" fontId="91" fillId="0" borderId="60" xfId="272" applyFont="1" applyBorder="1" applyAlignment="1">
      <alignment vertical="top" wrapText="1"/>
    </xf>
    <xf numFmtId="0" fontId="91" fillId="0" borderId="68" xfId="272" applyFont="1" applyBorder="1" applyAlignment="1">
      <alignment horizontal="center" vertical="top"/>
    </xf>
    <xf numFmtId="0" fontId="91" fillId="0" borderId="61" xfId="272" applyFont="1" applyBorder="1" applyAlignment="1">
      <alignment horizontal="justify" vertical="center"/>
    </xf>
    <xf numFmtId="0" fontId="91" fillId="0" borderId="33" xfId="272" applyFont="1" applyBorder="1" applyAlignment="1">
      <alignment horizontal="center" vertical="top"/>
    </xf>
    <xf numFmtId="0" fontId="91" fillId="0" borderId="72" xfId="272" applyFont="1" applyBorder="1" applyAlignment="1">
      <alignment vertical="top"/>
    </xf>
    <xf numFmtId="0" fontId="91" fillId="0" borderId="72" xfId="272" applyFont="1" applyBorder="1" applyAlignment="1">
      <alignment vertical="top" wrapText="1"/>
    </xf>
    <xf numFmtId="0" fontId="91" fillId="0" borderId="45" xfId="272" applyFont="1" applyBorder="1" applyAlignment="1">
      <alignment vertical="top"/>
    </xf>
    <xf numFmtId="0" fontId="91" fillId="0" borderId="45" xfId="272" applyFont="1" applyBorder="1" applyAlignment="1">
      <alignment vertical="top" wrapText="1"/>
    </xf>
    <xf numFmtId="0" fontId="91" fillId="0" borderId="45" xfId="272" applyFont="1" applyBorder="1" applyAlignment="1">
      <alignment horizontal="center" vertical="top"/>
    </xf>
    <xf numFmtId="0" fontId="91" fillId="0" borderId="33" xfId="272" applyFont="1" applyBorder="1" applyAlignment="1">
      <alignment vertical="top"/>
    </xf>
    <xf numFmtId="0" fontId="91" fillId="0" borderId="33" xfId="272" applyFont="1" applyBorder="1" applyAlignment="1">
      <alignment vertical="top" wrapText="1"/>
    </xf>
    <xf numFmtId="0" fontId="91" fillId="0" borderId="76" xfId="272" applyFont="1" applyBorder="1" applyAlignment="1">
      <alignment vertical="top"/>
    </xf>
    <xf numFmtId="0" fontId="91" fillId="0" borderId="77" xfId="272" applyFont="1" applyBorder="1" applyAlignment="1">
      <alignment vertical="top"/>
    </xf>
    <xf numFmtId="0" fontId="91" fillId="0" borderId="77" xfId="272" applyFont="1" applyBorder="1" applyAlignment="1">
      <alignment vertical="top" wrapText="1"/>
    </xf>
    <xf numFmtId="0" fontId="91" fillId="0" borderId="77" xfId="272" applyFont="1" applyBorder="1" applyAlignment="1">
      <alignment horizontal="center" vertical="top"/>
    </xf>
    <xf numFmtId="0" fontId="98" fillId="0" borderId="61" xfId="272" applyFont="1" applyBorder="1" applyAlignment="1">
      <alignment vertical="top" wrapText="1"/>
    </xf>
    <xf numFmtId="0" fontId="98" fillId="0" borderId="61" xfId="272" applyFont="1" applyBorder="1" applyAlignment="1">
      <alignment horizontal="center" vertical="top"/>
    </xf>
    <xf numFmtId="49" fontId="9" fillId="18" borderId="0" xfId="272" applyNumberFormat="1" applyFont="1" applyFill="1" applyAlignment="1">
      <alignment horizontal="left" vertical="top"/>
    </xf>
    <xf numFmtId="0" fontId="91" fillId="33" borderId="58" xfId="272" applyFont="1" applyFill="1" applyBorder="1" applyAlignment="1">
      <alignment horizontal="center" vertical="top"/>
    </xf>
    <xf numFmtId="0" fontId="91" fillId="33" borderId="59" xfId="272" applyFont="1" applyFill="1" applyBorder="1" applyAlignment="1">
      <alignment horizontal="center" vertical="top"/>
    </xf>
    <xf numFmtId="0" fontId="91" fillId="33" borderId="61" xfId="272" applyFont="1" applyFill="1" applyBorder="1" applyAlignment="1">
      <alignment horizontal="center" vertical="top"/>
    </xf>
    <xf numFmtId="0" fontId="91" fillId="33" borderId="62" xfId="272" applyFont="1" applyFill="1" applyBorder="1" applyAlignment="1">
      <alignment horizontal="center" vertical="top"/>
    </xf>
    <xf numFmtId="0" fontId="91" fillId="33" borderId="63" xfId="272" applyFont="1" applyFill="1" applyBorder="1" applyAlignment="1">
      <alignment horizontal="center" vertical="top"/>
    </xf>
    <xf numFmtId="0" fontId="91" fillId="33" borderId="64" xfId="272" applyFont="1" applyFill="1" applyBorder="1" applyAlignment="1">
      <alignment horizontal="center" vertical="top"/>
    </xf>
    <xf numFmtId="0" fontId="98" fillId="33" borderId="61" xfId="272" applyFont="1" applyFill="1" applyBorder="1" applyAlignment="1">
      <alignment horizontal="center" vertical="top"/>
    </xf>
    <xf numFmtId="0" fontId="98" fillId="33" borderId="62" xfId="272" applyFont="1" applyFill="1" applyBorder="1" applyAlignment="1">
      <alignment horizontal="center" vertical="top"/>
    </xf>
    <xf numFmtId="0" fontId="91" fillId="33" borderId="45" xfId="272" applyFont="1" applyFill="1" applyBorder="1" applyAlignment="1">
      <alignment horizontal="center" vertical="top"/>
    </xf>
    <xf numFmtId="0" fontId="91" fillId="33" borderId="74" xfId="272" applyFont="1" applyFill="1" applyBorder="1" applyAlignment="1">
      <alignment horizontal="center" vertical="top"/>
    </xf>
    <xf numFmtId="0" fontId="91" fillId="33" borderId="66" xfId="272" applyFont="1" applyFill="1" applyBorder="1" applyAlignment="1">
      <alignment horizontal="center" vertical="top"/>
    </xf>
    <xf numFmtId="0" fontId="91" fillId="33" borderId="67" xfId="272" applyFont="1" applyFill="1" applyBorder="1" applyAlignment="1">
      <alignment horizontal="center" vertical="top"/>
    </xf>
    <xf numFmtId="0" fontId="91" fillId="33" borderId="69" xfId="272" applyFont="1" applyFill="1" applyBorder="1" applyAlignment="1">
      <alignment horizontal="center" vertical="top"/>
    </xf>
    <xf numFmtId="0" fontId="91" fillId="33" borderId="70" xfId="272" applyFont="1" applyFill="1" applyBorder="1" applyAlignment="1">
      <alignment horizontal="center" vertical="top"/>
    </xf>
    <xf numFmtId="0" fontId="91" fillId="33" borderId="68" xfId="272" applyFont="1" applyFill="1" applyBorder="1" applyAlignment="1">
      <alignment horizontal="center" vertical="top"/>
    </xf>
    <xf numFmtId="0" fontId="91" fillId="33" borderId="71" xfId="272" applyFont="1" applyFill="1" applyBorder="1" applyAlignment="1">
      <alignment horizontal="center" vertical="top"/>
    </xf>
    <xf numFmtId="0" fontId="91" fillId="33" borderId="33" xfId="272" applyFont="1" applyFill="1" applyBorder="1" applyAlignment="1">
      <alignment horizontal="center" vertical="top"/>
    </xf>
    <xf numFmtId="0" fontId="91" fillId="33" borderId="72" xfId="272" applyFont="1" applyFill="1" applyBorder="1" applyAlignment="1">
      <alignment horizontal="center" vertical="top"/>
    </xf>
    <xf numFmtId="0" fontId="91" fillId="33" borderId="73" xfId="272" applyFont="1" applyFill="1" applyBorder="1" applyAlignment="1">
      <alignment horizontal="center" vertical="top"/>
    </xf>
    <xf numFmtId="0" fontId="91" fillId="33" borderId="75" xfId="272" applyFont="1" applyFill="1" applyBorder="1" applyAlignment="1">
      <alignment horizontal="center" vertical="top"/>
    </xf>
    <xf numFmtId="0" fontId="91" fillId="33" borderId="77" xfId="272" applyFont="1" applyFill="1" applyBorder="1" applyAlignment="1">
      <alignment horizontal="center" vertical="top"/>
    </xf>
    <xf numFmtId="0" fontId="91" fillId="33" borderId="78" xfId="272" applyFont="1" applyFill="1" applyBorder="1" applyAlignment="1">
      <alignment horizontal="center" vertical="top"/>
    </xf>
    <xf numFmtId="0" fontId="91" fillId="33" borderId="58" xfId="272" applyFont="1" applyFill="1" applyBorder="1" applyAlignment="1">
      <alignment vertical="top"/>
    </xf>
    <xf numFmtId="0" fontId="91" fillId="33" borderId="61" xfId="272" applyFont="1" applyFill="1" applyBorder="1" applyAlignment="1">
      <alignment vertical="top"/>
    </xf>
    <xf numFmtId="0" fontId="91" fillId="33" borderId="63" xfId="272" applyFont="1" applyFill="1" applyBorder="1" applyAlignment="1">
      <alignment vertical="top"/>
    </xf>
    <xf numFmtId="0" fontId="98" fillId="33" borderId="61" xfId="272" applyFont="1" applyFill="1" applyBorder="1" applyAlignment="1">
      <alignment vertical="top"/>
    </xf>
    <xf numFmtId="0" fontId="91" fillId="33" borderId="45" xfId="272" applyFont="1" applyFill="1" applyBorder="1" applyAlignment="1">
      <alignment vertical="top"/>
    </xf>
    <xf numFmtId="0" fontId="91" fillId="0" borderId="32" xfId="272" applyFont="1" applyBorder="1" applyAlignment="1">
      <alignment horizontal="center" vertical="top"/>
    </xf>
    <xf numFmtId="0" fontId="91" fillId="0" borderId="72" xfId="272" applyFont="1" applyBorder="1" applyAlignment="1">
      <alignment horizontal="center" vertical="top"/>
    </xf>
    <xf numFmtId="49" fontId="5" fillId="30" borderId="5" xfId="0" applyNumberFormat="1" applyFont="1" applyFill="1" applyBorder="1" applyAlignment="1" applyProtection="1">
      <alignment horizontal="center" vertical="center" shrinkToFit="1"/>
      <protection locked="0"/>
    </xf>
    <xf numFmtId="49" fontId="8" fillId="30" borderId="5" xfId="0" applyNumberFormat="1" applyFont="1" applyFill="1" applyBorder="1" applyProtection="1">
      <protection locked="0"/>
    </xf>
    <xf numFmtId="180" fontId="5" fillId="0" borderId="5" xfId="0" applyNumberFormat="1" applyFont="1" applyBorder="1" applyAlignment="1" applyProtection="1">
      <alignment horizontal="right" vertical="center" shrinkToFit="1"/>
      <protection locked="0"/>
    </xf>
    <xf numFmtId="180" fontId="8" fillId="0" borderId="5" xfId="0" applyNumberFormat="1" applyFont="1" applyBorder="1" applyProtection="1">
      <protection locked="0"/>
    </xf>
    <xf numFmtId="180" fontId="5" fillId="0" borderId="32" xfId="0" applyNumberFormat="1" applyFont="1" applyBorder="1" applyAlignment="1" applyProtection="1">
      <alignment horizontal="right" vertical="center" shrinkToFit="1"/>
      <protection locked="0"/>
    </xf>
    <xf numFmtId="180" fontId="8" fillId="0" borderId="32" xfId="0" applyNumberFormat="1" applyFont="1" applyBorder="1" applyProtection="1">
      <protection locked="0"/>
    </xf>
    <xf numFmtId="0" fontId="5" fillId="0" borderId="18" xfId="0" applyFont="1" applyBorder="1" applyAlignment="1" applyProtection="1">
      <alignment vertical="center" shrinkToFit="1"/>
      <protection locked="0"/>
    </xf>
    <xf numFmtId="0" fontId="0" fillId="0" borderId="96" xfId="0" applyBorder="1" applyAlignment="1" applyProtection="1">
      <alignment vertical="center" shrinkToFit="1"/>
      <protection locked="0"/>
    </xf>
    <xf numFmtId="0" fontId="0" fillId="0" borderId="96" xfId="0" applyBorder="1" applyAlignment="1">
      <alignment vertical="center" shrinkToFit="1"/>
    </xf>
    <xf numFmtId="0" fontId="0" fillId="0" borderId="93" xfId="0" applyBorder="1" applyAlignment="1">
      <alignment vertical="center" shrinkToFit="1"/>
    </xf>
    <xf numFmtId="178" fontId="5" fillId="0" borderId="32" xfId="0" applyNumberFormat="1" applyFont="1" applyBorder="1" applyAlignment="1" applyProtection="1">
      <alignment horizontal="center" vertical="center" shrinkToFit="1"/>
      <protection locked="0"/>
    </xf>
    <xf numFmtId="178" fontId="0" fillId="0" borderId="32" xfId="0" applyNumberFormat="1" applyBorder="1" applyAlignment="1" applyProtection="1">
      <alignment vertical="center" shrinkToFit="1"/>
      <protection locked="0"/>
    </xf>
    <xf numFmtId="49" fontId="5" fillId="0" borderId="18" xfId="0" applyNumberFormat="1" applyFont="1" applyBorder="1" applyAlignment="1" applyProtection="1">
      <alignment vertical="center" shrinkToFit="1"/>
      <protection locked="0"/>
    </xf>
    <xf numFmtId="49" fontId="5" fillId="0" borderId="96" xfId="0" applyNumberFormat="1" applyFont="1" applyBorder="1" applyAlignment="1" applyProtection="1">
      <alignment vertical="center" shrinkToFit="1"/>
      <protection locked="0"/>
    </xf>
    <xf numFmtId="0" fontId="0" fillId="0" borderId="26" xfId="0" applyBorder="1" applyAlignment="1" applyProtection="1">
      <alignment vertical="center" shrinkToFit="1"/>
      <protection locked="0"/>
    </xf>
    <xf numFmtId="178" fontId="5" fillId="0" borderId="5" xfId="0" applyNumberFormat="1" applyFont="1" applyBorder="1" applyAlignment="1" applyProtection="1">
      <alignment horizontal="center" vertical="center" shrinkToFit="1"/>
      <protection locked="0"/>
    </xf>
    <xf numFmtId="178" fontId="0" fillId="0" borderId="5" xfId="0" applyNumberFormat="1" applyBorder="1" applyAlignment="1" applyProtection="1">
      <alignment vertical="center" shrinkToFit="1"/>
      <protection locked="0"/>
    </xf>
    <xf numFmtId="49" fontId="5" fillId="0" borderId="19" xfId="0" applyNumberFormat="1" applyFont="1" applyBorder="1" applyAlignment="1" applyProtection="1">
      <alignment vertical="center" shrinkToFit="1"/>
      <protection locked="0"/>
    </xf>
    <xf numFmtId="49" fontId="5" fillId="0" borderId="3" xfId="0" applyNumberFormat="1" applyFont="1" applyBorder="1" applyAlignment="1" applyProtection="1">
      <alignment vertical="center" shrinkToFit="1"/>
      <protection locked="0"/>
    </xf>
    <xf numFmtId="0" fontId="0" fillId="0" borderId="27" xfId="0" applyBorder="1" applyAlignment="1" applyProtection="1">
      <alignment vertical="center" shrinkToFit="1"/>
      <protection locked="0"/>
    </xf>
    <xf numFmtId="0" fontId="5" fillId="0" borderId="19" xfId="0" applyFont="1" applyBorder="1" applyAlignment="1" applyProtection="1">
      <alignment vertical="center" shrinkToFit="1"/>
      <protection locked="0"/>
    </xf>
    <xf numFmtId="0" fontId="0" fillId="0" borderId="3" xfId="0" applyBorder="1" applyAlignment="1" applyProtection="1">
      <alignment vertical="center" shrinkToFit="1"/>
      <protection locked="0"/>
    </xf>
    <xf numFmtId="0" fontId="0" fillId="0" borderId="3" xfId="0" applyBorder="1" applyAlignment="1">
      <alignment vertical="center" shrinkToFit="1"/>
    </xf>
    <xf numFmtId="0" fontId="0" fillId="0" borderId="25" xfId="0" applyBorder="1" applyAlignment="1">
      <alignment vertical="center" shrinkToFit="1"/>
    </xf>
    <xf numFmtId="0" fontId="5" fillId="0" borderId="52" xfId="0" applyFont="1" applyBorder="1" applyAlignment="1">
      <alignment horizontal="center" vertical="center" textRotation="255" shrinkToFit="1"/>
    </xf>
    <xf numFmtId="0" fontId="5" fillId="0" borderId="53" xfId="0" applyFont="1" applyBorder="1" applyAlignment="1">
      <alignment horizontal="center" vertical="center" textRotation="255" shrinkToFit="1"/>
    </xf>
    <xf numFmtId="0" fontId="5" fillId="0" borderId="55" xfId="0" applyFont="1" applyBorder="1" applyAlignment="1">
      <alignment horizontal="center" vertical="center" textRotation="255" shrinkToFit="1"/>
    </xf>
    <xf numFmtId="0" fontId="5" fillId="0" borderId="5" xfId="0" applyFont="1" applyBorder="1" applyAlignment="1">
      <alignment horizontal="center" vertical="center" textRotation="255" shrinkToFit="1"/>
    </xf>
    <xf numFmtId="0" fontId="5" fillId="0" borderId="95" xfId="0" applyFont="1" applyBorder="1" applyAlignment="1">
      <alignment horizontal="center" vertical="center" textRotation="255" shrinkToFit="1"/>
    </xf>
    <xf numFmtId="0" fontId="5" fillId="0" borderId="38" xfId="0" applyFont="1" applyBorder="1" applyAlignment="1">
      <alignment horizontal="center" vertical="center" textRotation="255" shrinkToFit="1"/>
    </xf>
    <xf numFmtId="0" fontId="10" fillId="0" borderId="43" xfId="0" applyFont="1" applyBorder="1" applyAlignment="1" applyProtection="1">
      <alignment horizontal="center" vertical="center" wrapText="1" shrinkToFit="1"/>
      <protection hidden="1"/>
    </xf>
    <xf numFmtId="0" fontId="10" fillId="0" borderId="104" xfId="0" applyFont="1" applyBorder="1" applyAlignment="1">
      <alignment horizontal="center" vertical="center" wrapText="1" shrinkToFit="1"/>
    </xf>
    <xf numFmtId="0" fontId="10" fillId="0" borderId="44" xfId="0" applyFont="1" applyBorder="1" applyAlignment="1">
      <alignment horizontal="center" vertical="center" wrapText="1" shrinkToFit="1"/>
    </xf>
    <xf numFmtId="0" fontId="10" fillId="0" borderId="30" xfId="0" applyFont="1" applyBorder="1" applyAlignment="1">
      <alignment horizontal="center" vertical="center" wrapText="1" shrinkToFit="1"/>
    </xf>
    <xf numFmtId="0" fontId="0" fillId="0" borderId="44" xfId="0" applyBorder="1" applyAlignment="1">
      <alignment horizontal="center" vertical="center" wrapText="1" shrinkToFit="1"/>
    </xf>
    <xf numFmtId="0" fontId="0" fillId="0" borderId="30" xfId="0" applyBorder="1" applyAlignment="1">
      <alignment horizontal="center" vertical="center" wrapText="1" shrinkToFit="1"/>
    </xf>
    <xf numFmtId="0" fontId="0" fillId="0" borderId="35" xfId="0" applyBorder="1" applyAlignment="1">
      <alignment horizontal="center" vertical="center" wrapText="1" shrinkToFit="1"/>
    </xf>
    <xf numFmtId="0" fontId="0" fillId="0" borderId="99" xfId="0" applyBorder="1" applyAlignment="1">
      <alignment horizontal="center" vertical="center" wrapText="1" shrinkToFit="1"/>
    </xf>
    <xf numFmtId="0" fontId="5" fillId="0" borderId="20" xfId="0" applyFont="1" applyBorder="1" applyAlignment="1" applyProtection="1">
      <alignment vertical="center" shrinkToFit="1"/>
      <protection locked="0"/>
    </xf>
    <xf numFmtId="0" fontId="0" fillId="0" borderId="91" xfId="0" applyBorder="1" applyAlignment="1" applyProtection="1">
      <alignment vertical="center" shrinkToFit="1"/>
      <protection locked="0"/>
    </xf>
    <xf numFmtId="0" fontId="0" fillId="0" borderId="91" xfId="0" applyBorder="1" applyAlignment="1">
      <alignment vertical="center" shrinkToFit="1"/>
    </xf>
    <xf numFmtId="0" fontId="0" fillId="0" borderId="90" xfId="0" applyBorder="1" applyAlignment="1">
      <alignment vertical="center" shrinkToFit="1"/>
    </xf>
    <xf numFmtId="178" fontId="5" fillId="0" borderId="38" xfId="0" applyNumberFormat="1" applyFont="1" applyBorder="1" applyAlignment="1" applyProtection="1">
      <alignment horizontal="center" vertical="center" shrinkToFit="1"/>
      <protection locked="0"/>
    </xf>
    <xf numFmtId="178" fontId="0" fillId="0" borderId="38" xfId="0" applyNumberFormat="1" applyBorder="1" applyAlignment="1" applyProtection="1">
      <alignment vertical="center" shrinkToFit="1"/>
      <protection locked="0"/>
    </xf>
    <xf numFmtId="49" fontId="5" fillId="0" borderId="20" xfId="0" applyNumberFormat="1" applyFont="1" applyBorder="1" applyAlignment="1" applyProtection="1">
      <alignment vertical="center" shrinkToFit="1"/>
      <protection locked="0"/>
    </xf>
    <xf numFmtId="49" fontId="5" fillId="0" borderId="91" xfId="0" applyNumberFormat="1" applyFont="1" applyBorder="1" applyAlignment="1" applyProtection="1">
      <alignment vertical="center" shrinkToFit="1"/>
      <protection locked="0"/>
    </xf>
    <xf numFmtId="0" fontId="0" fillId="0" borderId="28" xfId="0" applyBorder="1" applyAlignment="1" applyProtection="1">
      <alignment vertical="center" shrinkToFit="1"/>
      <protection locked="0"/>
    </xf>
    <xf numFmtId="49" fontId="5" fillId="30" borderId="33" xfId="0" applyNumberFormat="1" applyFont="1" applyFill="1" applyBorder="1" applyAlignment="1" applyProtection="1">
      <alignment horizontal="center" vertical="center" shrinkToFit="1"/>
      <protection locked="0"/>
    </xf>
    <xf numFmtId="49" fontId="8" fillId="30" borderId="33" xfId="0" applyNumberFormat="1" applyFont="1" applyFill="1" applyBorder="1" applyProtection="1">
      <protection locked="0"/>
    </xf>
    <xf numFmtId="0" fontId="10" fillId="31" borderId="43" xfId="0" applyFont="1" applyFill="1" applyBorder="1" applyAlignment="1">
      <alignment vertical="top" wrapText="1" shrinkToFit="1"/>
    </xf>
    <xf numFmtId="0" fontId="10" fillId="31" borderId="1" xfId="0" applyFont="1" applyFill="1" applyBorder="1" applyAlignment="1">
      <alignment vertical="top" wrapText="1" shrinkToFit="1"/>
    </xf>
    <xf numFmtId="0" fontId="10" fillId="31" borderId="44" xfId="0" applyFont="1" applyFill="1" applyBorder="1" applyAlignment="1">
      <alignment vertical="top" wrapText="1" shrinkToFit="1"/>
    </xf>
    <xf numFmtId="0" fontId="10" fillId="31" borderId="0" xfId="0" applyFont="1" applyFill="1" applyAlignment="1">
      <alignment vertical="top" wrapText="1" shrinkToFit="1"/>
    </xf>
    <xf numFmtId="0" fontId="10" fillId="31" borderId="35" xfId="0" applyFont="1" applyFill="1" applyBorder="1" applyAlignment="1">
      <alignment vertical="top" wrapText="1" shrinkToFit="1"/>
    </xf>
    <xf numFmtId="0" fontId="10" fillId="31" borderId="4" xfId="0" applyFont="1" applyFill="1" applyBorder="1" applyAlignment="1">
      <alignment vertical="top" wrapText="1" shrinkToFit="1"/>
    </xf>
    <xf numFmtId="0" fontId="10" fillId="31" borderId="107" xfId="0" applyFont="1" applyFill="1" applyBorder="1" applyAlignment="1">
      <alignment horizontal="center" vertical="center" wrapText="1" shrinkToFit="1"/>
    </xf>
    <xf numFmtId="0" fontId="10" fillId="31" borderId="48" xfId="0" applyFont="1" applyFill="1" applyBorder="1" applyAlignment="1">
      <alignment horizontal="center" vertical="center" wrapText="1" shrinkToFit="1"/>
    </xf>
    <xf numFmtId="0" fontId="10" fillId="31" borderId="24" xfId="0" applyFont="1" applyFill="1" applyBorder="1" applyAlignment="1">
      <alignment horizontal="center" vertical="center" wrapText="1" shrinkToFit="1"/>
    </xf>
    <xf numFmtId="0" fontId="10" fillId="31" borderId="108" xfId="0" applyFont="1" applyFill="1" applyBorder="1" applyAlignment="1">
      <alignment horizontal="center" vertical="center" wrapText="1" shrinkToFit="1"/>
    </xf>
    <xf numFmtId="0" fontId="10" fillId="31" borderId="88" xfId="0" applyFont="1" applyFill="1" applyBorder="1" applyAlignment="1">
      <alignment horizontal="center" vertical="center" wrapText="1" shrinkToFit="1"/>
    </xf>
    <xf numFmtId="0" fontId="10" fillId="31" borderId="42" xfId="0" applyFont="1" applyFill="1" applyBorder="1" applyAlignment="1">
      <alignment horizontal="center" vertical="center" wrapText="1" shrinkToFit="1"/>
    </xf>
    <xf numFmtId="0" fontId="10" fillId="31" borderId="41" xfId="0" applyFont="1" applyFill="1" applyBorder="1" applyAlignment="1">
      <alignment horizontal="center" vertical="center" wrapText="1" shrinkToFit="1"/>
    </xf>
    <xf numFmtId="0" fontId="10" fillId="31" borderId="0" xfId="0" applyFont="1" applyFill="1" applyAlignment="1">
      <alignment horizontal="center" vertical="center" wrapText="1" shrinkToFit="1"/>
    </xf>
    <xf numFmtId="0" fontId="10" fillId="31" borderId="109" xfId="0" applyFont="1" applyFill="1" applyBorder="1" applyAlignment="1">
      <alignment horizontal="center" vertical="center" wrapText="1" shrinkToFit="1"/>
    </xf>
    <xf numFmtId="0" fontId="10" fillId="31" borderId="40" xfId="0" applyFont="1" applyFill="1" applyBorder="1" applyAlignment="1">
      <alignment horizontal="center" vertical="center" wrapText="1" shrinkToFit="1"/>
    </xf>
    <xf numFmtId="0" fontId="10" fillId="31" borderId="4" xfId="0" applyFont="1" applyFill="1" applyBorder="1" applyAlignment="1">
      <alignment horizontal="center" vertical="center" wrapText="1" shrinkToFit="1"/>
    </xf>
    <xf numFmtId="0" fontId="10" fillId="31" borderId="36" xfId="0" applyFont="1" applyFill="1" applyBorder="1" applyAlignment="1">
      <alignment horizontal="center" vertical="center" wrapText="1" shrinkToFit="1"/>
    </xf>
    <xf numFmtId="0" fontId="4" fillId="0" borderId="0" xfId="0" applyFont="1" applyAlignment="1">
      <alignment horizontal="center" vertical="center"/>
    </xf>
    <xf numFmtId="14" fontId="1" fillId="31" borderId="105" xfId="0" applyNumberFormat="1" applyFont="1" applyFill="1" applyBorder="1" applyAlignment="1">
      <alignment horizontal="center" vertical="center"/>
    </xf>
    <xf numFmtId="14" fontId="1" fillId="31" borderId="2" xfId="0" applyNumberFormat="1" applyFont="1" applyFill="1" applyBorder="1" applyAlignment="1">
      <alignment horizontal="center" vertical="center"/>
    </xf>
    <xf numFmtId="14" fontId="1" fillId="31" borderId="106" xfId="0" applyNumberFormat="1" applyFont="1" applyFill="1" applyBorder="1" applyAlignment="1">
      <alignment horizontal="center" vertical="center"/>
    </xf>
    <xf numFmtId="0" fontId="5" fillId="0" borderId="95" xfId="0" applyFont="1" applyBorder="1" applyAlignment="1">
      <alignment horizontal="center" vertical="center" shrinkToFit="1"/>
    </xf>
    <xf numFmtId="0" fontId="5" fillId="0" borderId="38" xfId="0" applyFont="1" applyBorder="1" applyAlignment="1">
      <alignment horizontal="center" vertical="center" shrinkToFit="1"/>
    </xf>
    <xf numFmtId="0" fontId="5" fillId="0" borderId="52" xfId="0" applyFont="1" applyBorder="1" applyAlignment="1">
      <alignment horizontal="center" vertical="center" shrinkToFit="1"/>
    </xf>
    <xf numFmtId="0" fontId="5" fillId="0" borderId="53" xfId="0" applyFont="1" applyBorder="1" applyAlignment="1">
      <alignment horizontal="center" vertical="center" shrinkToFit="1"/>
    </xf>
    <xf numFmtId="0" fontId="5" fillId="0" borderId="47" xfId="0" applyFont="1" applyBorder="1" applyAlignment="1" applyProtection="1">
      <alignment horizontal="center" vertical="center" shrinkToFit="1"/>
      <protection locked="0"/>
    </xf>
    <xf numFmtId="0" fontId="5" fillId="0" borderId="48" xfId="0" applyFont="1" applyBorder="1" applyAlignment="1" applyProtection="1">
      <alignment horizontal="center" vertical="center" shrinkToFit="1"/>
      <protection locked="0"/>
    </xf>
    <xf numFmtId="0" fontId="5" fillId="0" borderId="38" xfId="0" applyFont="1" applyBorder="1" applyAlignment="1" applyProtection="1">
      <alignment horizontal="center" vertical="center" shrinkToFit="1"/>
      <protection locked="0"/>
    </xf>
    <xf numFmtId="0" fontId="5" fillId="0" borderId="47" xfId="0" applyFont="1" applyBorder="1" applyAlignment="1" applyProtection="1">
      <alignment horizontal="center" vertical="center" wrapText="1"/>
      <protection locked="0"/>
    </xf>
    <xf numFmtId="0" fontId="0" fillId="0" borderId="48" xfId="0" applyBorder="1" applyAlignment="1" applyProtection="1">
      <alignment horizontal="center" vertical="center" wrapText="1"/>
      <protection locked="0"/>
    </xf>
    <xf numFmtId="49" fontId="5" fillId="0" borderId="20" xfId="0" quotePrefix="1" applyNumberFormat="1" applyFont="1" applyBorder="1" applyAlignment="1" applyProtection="1">
      <alignment horizontal="center" vertical="center" shrinkToFit="1"/>
      <protection locked="0"/>
    </xf>
    <xf numFmtId="49" fontId="5" fillId="0" borderId="91" xfId="0" applyNumberFormat="1" applyFont="1" applyBorder="1" applyAlignment="1" applyProtection="1">
      <alignment horizontal="center" vertical="center" shrinkToFit="1"/>
      <protection locked="0"/>
    </xf>
    <xf numFmtId="49" fontId="5" fillId="0" borderId="28" xfId="0" applyNumberFormat="1" applyFont="1" applyBorder="1" applyAlignment="1" applyProtection="1">
      <alignment horizontal="center" vertical="center" shrinkToFit="1"/>
      <protection locked="0"/>
    </xf>
    <xf numFmtId="0" fontId="8" fillId="30" borderId="3" xfId="0" applyFont="1" applyFill="1" applyBorder="1" applyAlignment="1" applyProtection="1">
      <alignment horizontal="center" vertical="center"/>
      <protection hidden="1"/>
    </xf>
    <xf numFmtId="0" fontId="8" fillId="30" borderId="27" xfId="0" applyFont="1" applyFill="1" applyBorder="1" applyAlignment="1" applyProtection="1">
      <alignment horizontal="center" vertical="center"/>
      <protection hidden="1"/>
    </xf>
    <xf numFmtId="49" fontId="5" fillId="0" borderId="20" xfId="0" applyNumberFormat="1" applyFont="1" applyBorder="1" applyAlignment="1" applyProtection="1">
      <alignment horizontal="left" vertical="center" shrinkToFit="1"/>
      <protection locked="0"/>
    </xf>
    <xf numFmtId="49" fontId="5" fillId="0" borderId="91" xfId="0" applyNumberFormat="1" applyFont="1" applyBorder="1" applyAlignment="1" applyProtection="1">
      <alignment horizontal="left" vertical="center" shrinkToFit="1"/>
      <protection locked="0"/>
    </xf>
    <xf numFmtId="49" fontId="5" fillId="0" borderId="90" xfId="0" applyNumberFormat="1" applyFont="1" applyBorder="1" applyAlignment="1" applyProtection="1">
      <alignment horizontal="left" vertical="center" shrinkToFit="1"/>
      <protection locked="0"/>
    </xf>
    <xf numFmtId="0" fontId="97" fillId="0" borderId="0" xfId="0" applyFont="1" applyAlignment="1">
      <alignment vertical="center" wrapText="1"/>
    </xf>
    <xf numFmtId="0" fontId="97" fillId="0" borderId="30" xfId="0" applyFont="1" applyBorder="1" applyAlignment="1">
      <alignment vertical="center" wrapText="1"/>
    </xf>
    <xf numFmtId="0" fontId="8" fillId="0" borderId="81" xfId="0" applyFont="1" applyBorder="1" applyAlignment="1">
      <alignment horizontal="center" vertical="center" shrinkToFit="1"/>
    </xf>
    <xf numFmtId="0" fontId="8" fillId="0" borderId="27" xfId="0" applyFont="1" applyBorder="1" applyAlignment="1">
      <alignment horizontal="center" vertical="center" shrinkToFit="1"/>
    </xf>
    <xf numFmtId="0" fontId="5" fillId="0" borderId="53" xfId="0" applyFont="1" applyBorder="1" applyAlignment="1" applyProtection="1">
      <alignment horizontal="center" vertical="center" shrinkToFit="1"/>
      <protection locked="0"/>
    </xf>
    <xf numFmtId="49" fontId="5" fillId="0" borderId="48" xfId="0" applyNumberFormat="1" applyFont="1" applyBorder="1" applyAlignment="1" applyProtection="1">
      <alignment horizontal="center" vertical="center" shrinkToFit="1"/>
      <protection locked="0"/>
    </xf>
    <xf numFmtId="0" fontId="5" fillId="30" borderId="0" xfId="0" applyFont="1" applyFill="1" applyAlignment="1">
      <alignment vertical="center" wrapText="1"/>
    </xf>
    <xf numFmtId="0" fontId="5" fillId="30" borderId="0" xfId="0" applyFont="1" applyFill="1" applyAlignment="1">
      <alignment vertical="center"/>
    </xf>
    <xf numFmtId="0" fontId="5" fillId="0" borderId="83" xfId="0" applyFont="1" applyBorder="1" applyAlignment="1">
      <alignment horizontal="center" vertical="center" shrinkToFit="1"/>
    </xf>
    <xf numFmtId="0" fontId="0" fillId="0" borderId="84" xfId="0" applyBorder="1" applyAlignment="1">
      <alignment vertical="center" shrinkToFit="1"/>
    </xf>
    <xf numFmtId="0" fontId="0" fillId="0" borderId="51" xfId="0" applyBorder="1" applyAlignment="1">
      <alignment vertical="center" shrinkToFit="1"/>
    </xf>
    <xf numFmtId="0" fontId="5" fillId="0" borderId="5" xfId="0" applyFont="1" applyBorder="1" applyAlignment="1">
      <alignment horizontal="center" vertical="center" shrinkToFit="1"/>
    </xf>
    <xf numFmtId="0" fontId="5" fillId="0" borderId="19" xfId="0" applyFont="1" applyBorder="1" applyAlignment="1">
      <alignment vertical="center" shrinkToFit="1"/>
    </xf>
    <xf numFmtId="0" fontId="5" fillId="0" borderId="3" xfId="0" applyFont="1" applyBorder="1" applyAlignment="1">
      <alignment vertical="center" shrinkToFit="1"/>
    </xf>
    <xf numFmtId="0" fontId="5" fillId="0" borderId="27" xfId="0" applyFont="1" applyBorder="1" applyAlignment="1">
      <alignment vertical="center" shrinkToFit="1"/>
    </xf>
    <xf numFmtId="0" fontId="5" fillId="0" borderId="1" xfId="0" applyFont="1" applyBorder="1" applyAlignment="1">
      <alignment vertical="top" wrapText="1"/>
    </xf>
    <xf numFmtId="0" fontId="5" fillId="0" borderId="104" xfId="0" applyFont="1" applyBorder="1" applyAlignment="1">
      <alignment vertical="top" wrapText="1"/>
    </xf>
    <xf numFmtId="0" fontId="5" fillId="0" borderId="0" xfId="0" applyFont="1" applyAlignment="1">
      <alignment vertical="top" wrapText="1"/>
    </xf>
    <xf numFmtId="0" fontId="5" fillId="0" borderId="30" xfId="0" applyFont="1" applyBorder="1" applyAlignment="1">
      <alignment vertical="top" wrapText="1"/>
    </xf>
    <xf numFmtId="0" fontId="5" fillId="0" borderId="32" xfId="0" applyFont="1" applyBorder="1" applyAlignment="1">
      <alignment vertical="center" shrinkToFit="1"/>
    </xf>
    <xf numFmtId="0" fontId="5" fillId="0" borderId="5" xfId="0" applyFont="1" applyBorder="1" applyAlignment="1">
      <alignment vertical="center" shrinkToFit="1"/>
    </xf>
    <xf numFmtId="0" fontId="18" fillId="0" borderId="83" xfId="0" applyFont="1" applyBorder="1" applyAlignment="1">
      <alignment horizontal="left" vertical="center" shrinkToFit="1"/>
    </xf>
    <xf numFmtId="0" fontId="18" fillId="0" borderId="84" xfId="0" applyFont="1" applyBorder="1" applyAlignment="1">
      <alignment horizontal="left" vertical="center" shrinkToFit="1"/>
    </xf>
    <xf numFmtId="0" fontId="18" fillId="0" borderId="85" xfId="0" applyFont="1" applyBorder="1" applyAlignment="1">
      <alignment horizontal="left" vertical="center" shrinkToFit="1"/>
    </xf>
    <xf numFmtId="0" fontId="5" fillId="31" borderId="79" xfId="0" applyFont="1" applyFill="1" applyBorder="1" applyAlignment="1" applyProtection="1">
      <alignment vertical="center"/>
      <protection locked="0"/>
    </xf>
    <xf numFmtId="0" fontId="0" fillId="31" borderId="86" xfId="0" applyFill="1" applyBorder="1" applyAlignment="1">
      <alignment vertical="center"/>
    </xf>
    <xf numFmtId="0" fontId="5" fillId="31" borderId="20" xfId="0" applyFont="1" applyFill="1" applyBorder="1" applyAlignment="1" applyProtection="1">
      <alignment horizontal="center" vertical="center" shrinkToFit="1"/>
      <protection locked="0"/>
    </xf>
    <xf numFmtId="0" fontId="0" fillId="31" borderId="91" xfId="0" applyFill="1" applyBorder="1" applyAlignment="1" applyProtection="1">
      <alignment horizontal="center" vertical="center" shrinkToFit="1"/>
      <protection locked="0"/>
    </xf>
    <xf numFmtId="0" fontId="5" fillId="0" borderId="20" xfId="0" applyFont="1" applyBorder="1" applyAlignment="1" applyProtection="1">
      <alignment vertical="center"/>
      <protection locked="0"/>
    </xf>
    <xf numFmtId="0" fontId="0" fillId="0" borderId="91" xfId="0" applyBorder="1" applyAlignment="1">
      <alignment vertical="center"/>
    </xf>
    <xf numFmtId="0" fontId="0" fillId="0" borderId="28" xfId="0" applyBorder="1" applyAlignment="1">
      <alignment vertical="center"/>
    </xf>
    <xf numFmtId="0" fontId="5" fillId="0" borderId="32" xfId="0" applyFont="1" applyBorder="1" applyAlignment="1">
      <alignment vertical="center" wrapText="1"/>
    </xf>
    <xf numFmtId="0" fontId="5" fillId="0" borderId="5" xfId="0" applyFont="1" applyBorder="1" applyAlignment="1">
      <alignment vertical="center" wrapText="1"/>
    </xf>
    <xf numFmtId="0" fontId="5" fillId="31" borderId="20" xfId="0" applyFont="1" applyFill="1" applyBorder="1" applyAlignment="1" applyProtection="1">
      <alignment vertical="center"/>
      <protection locked="0"/>
    </xf>
    <xf numFmtId="0" fontId="0" fillId="31" borderId="90" xfId="0" applyFill="1" applyBorder="1" applyAlignment="1">
      <alignment vertical="center"/>
    </xf>
    <xf numFmtId="0" fontId="5" fillId="0" borderId="79" xfId="0" applyFont="1" applyBorder="1" applyAlignment="1" applyProtection="1">
      <alignment vertical="center"/>
      <protection locked="0"/>
    </xf>
    <xf numFmtId="0" fontId="0" fillId="0" borderId="82" xfId="0" applyBorder="1" applyAlignment="1">
      <alignment vertical="center"/>
    </xf>
    <xf numFmtId="0" fontId="0" fillId="0" borderId="80" xfId="0" applyBorder="1" applyAlignment="1">
      <alignment vertical="center"/>
    </xf>
    <xf numFmtId="0" fontId="5" fillId="0" borderId="19" xfId="0" applyFont="1" applyBorder="1" applyAlignment="1" applyProtection="1">
      <alignment vertical="center"/>
      <protection locked="0"/>
    </xf>
    <xf numFmtId="0" fontId="0" fillId="0" borderId="3" xfId="0" applyBorder="1" applyAlignment="1">
      <alignment vertical="center"/>
    </xf>
    <xf numFmtId="0" fontId="0" fillId="0" borderId="27" xfId="0" applyBorder="1" applyAlignment="1">
      <alignment vertical="center"/>
    </xf>
    <xf numFmtId="0" fontId="5" fillId="31" borderId="79" xfId="0" applyFont="1" applyFill="1" applyBorder="1" applyAlignment="1" applyProtection="1">
      <alignment horizontal="center" vertical="center" shrinkToFit="1"/>
      <protection locked="0"/>
    </xf>
    <xf numFmtId="0" fontId="0" fillId="31" borderId="82" xfId="0" applyFill="1" applyBorder="1" applyAlignment="1" applyProtection="1">
      <alignment horizontal="center" vertical="center" shrinkToFit="1"/>
      <protection locked="0"/>
    </xf>
    <xf numFmtId="0" fontId="5" fillId="0" borderId="17" xfId="0" applyFont="1" applyBorder="1" applyAlignment="1">
      <alignment horizontal="center" vertical="center" shrinkToFit="1"/>
    </xf>
    <xf numFmtId="0" fontId="5" fillId="0" borderId="103" xfId="0" applyFont="1" applyBorder="1" applyAlignment="1">
      <alignment horizontal="center" vertical="center" shrinkToFit="1"/>
    </xf>
    <xf numFmtId="176" fontId="5" fillId="0" borderId="5" xfId="0" applyNumberFormat="1" applyFont="1" applyBorder="1" applyAlignment="1" applyProtection="1">
      <alignment horizontal="center" vertical="center" shrinkToFit="1"/>
      <protection locked="0"/>
    </xf>
    <xf numFmtId="176" fontId="5" fillId="0" borderId="56" xfId="0" applyNumberFormat="1" applyFont="1" applyBorder="1" applyAlignment="1" applyProtection="1">
      <alignment horizontal="center" vertical="center" shrinkToFit="1"/>
      <protection locked="0"/>
    </xf>
    <xf numFmtId="0" fontId="5" fillId="0" borderId="83" xfId="0" applyFont="1" applyBorder="1" applyAlignment="1">
      <alignment horizontal="center" vertical="center"/>
    </xf>
    <xf numFmtId="0" fontId="5" fillId="0" borderId="51" xfId="0" applyFont="1" applyBorder="1" applyAlignment="1">
      <alignment horizontal="center" vertical="center"/>
    </xf>
    <xf numFmtId="0" fontId="5" fillId="0" borderId="79" xfId="0" applyFont="1" applyBorder="1" applyAlignment="1">
      <alignment horizontal="center" vertical="center"/>
    </xf>
    <xf numFmtId="0" fontId="5" fillId="0" borderId="80" xfId="0" applyFont="1" applyBorder="1" applyAlignment="1">
      <alignment horizontal="center" vertical="center"/>
    </xf>
    <xf numFmtId="176" fontId="5" fillId="0" borderId="32" xfId="0" applyNumberFormat="1" applyFont="1" applyBorder="1" applyAlignment="1" applyProtection="1">
      <alignment horizontal="center" vertical="center" shrinkToFit="1"/>
      <protection locked="0"/>
    </xf>
    <xf numFmtId="176" fontId="5" fillId="0" borderId="94" xfId="0" applyNumberFormat="1" applyFont="1" applyBorder="1" applyAlignment="1" applyProtection="1">
      <alignment horizontal="center" vertical="center" shrinkToFit="1"/>
      <protection locked="0"/>
    </xf>
    <xf numFmtId="0" fontId="5" fillId="0" borderId="43" xfId="0" applyFont="1" applyBorder="1" applyAlignment="1">
      <alignment vertical="top" wrapText="1"/>
    </xf>
    <xf numFmtId="0" fontId="0" fillId="0" borderId="44" xfId="0" applyBorder="1" applyAlignment="1">
      <alignment vertical="top" wrapText="1"/>
    </xf>
    <xf numFmtId="0" fontId="0" fillId="0" borderId="18" xfId="0" applyBorder="1" applyAlignment="1">
      <alignment vertical="top" wrapText="1"/>
    </xf>
    <xf numFmtId="0" fontId="5" fillId="0" borderId="87" xfId="0" applyFont="1" applyBorder="1" applyAlignment="1">
      <alignment vertical="center" shrinkToFit="1"/>
    </xf>
    <xf numFmtId="0" fontId="5" fillId="0" borderId="88" xfId="0" applyFont="1" applyBorder="1" applyAlignment="1">
      <alignment vertical="center" shrinkToFit="1"/>
    </xf>
    <xf numFmtId="0" fontId="5" fillId="0" borderId="89" xfId="0" applyFont="1" applyBorder="1" applyAlignment="1">
      <alignment vertical="center" shrinkToFit="1"/>
    </xf>
    <xf numFmtId="49" fontId="5" fillId="0" borderId="19" xfId="0" applyNumberFormat="1" applyFont="1" applyBorder="1" applyAlignment="1">
      <alignment horizontal="right" vertical="top" shrinkToFit="1"/>
    </xf>
    <xf numFmtId="49" fontId="0" fillId="0" borderId="19" xfId="0" applyNumberFormat="1" applyBorder="1" applyAlignment="1">
      <alignment shrinkToFit="1"/>
    </xf>
    <xf numFmtId="0" fontId="5" fillId="0" borderId="32" xfId="0" applyFont="1" applyBorder="1" applyAlignment="1">
      <alignment horizontal="center" vertical="center" shrinkToFit="1"/>
    </xf>
    <xf numFmtId="0" fontId="5" fillId="0" borderId="0" xfId="0" applyFont="1" applyAlignment="1">
      <alignment vertical="center" shrinkToFit="1"/>
    </xf>
    <xf numFmtId="0" fontId="5" fillId="0" borderId="47" xfId="0" applyFont="1" applyBorder="1" applyAlignment="1">
      <alignment vertical="center" shrinkToFit="1"/>
    </xf>
    <xf numFmtId="0" fontId="5" fillId="0" borderId="48" xfId="0" applyFont="1" applyBorder="1" applyAlignment="1">
      <alignment vertical="center" shrinkToFit="1"/>
    </xf>
    <xf numFmtId="0" fontId="5" fillId="0" borderId="23" xfId="0" applyFont="1" applyBorder="1" applyAlignment="1">
      <alignment vertical="center" shrinkToFit="1"/>
    </xf>
    <xf numFmtId="0" fontId="5" fillId="0" borderId="52" xfId="0" applyFont="1" applyBorder="1" applyAlignment="1">
      <alignment vertical="center" textRotation="255" shrinkToFit="1"/>
    </xf>
    <xf numFmtId="0" fontId="5" fillId="0" borderId="53" xfId="0" applyFont="1" applyBorder="1" applyAlignment="1">
      <alignment vertical="center" textRotation="255" shrinkToFit="1"/>
    </xf>
    <xf numFmtId="0" fontId="5" fillId="0" borderId="55" xfId="0" applyFont="1" applyBorder="1" applyAlignment="1">
      <alignment vertical="center" textRotation="255" shrinkToFit="1"/>
    </xf>
    <xf numFmtId="0" fontId="5" fillId="0" borderId="5" xfId="0" applyFont="1" applyBorder="1" applyAlignment="1">
      <alignment vertical="center" textRotation="255" shrinkToFit="1"/>
    </xf>
    <xf numFmtId="0" fontId="5" fillId="0" borderId="95" xfId="0" applyFont="1" applyBorder="1" applyAlignment="1">
      <alignment vertical="center" textRotation="255" shrinkToFit="1"/>
    </xf>
    <xf numFmtId="0" fontId="5" fillId="0" borderId="38" xfId="0" applyFont="1" applyBorder="1" applyAlignment="1">
      <alignment vertical="center" textRotation="255" shrinkToFit="1"/>
    </xf>
    <xf numFmtId="0" fontId="17" fillId="0" borderId="83" xfId="0" applyFont="1" applyBorder="1" applyAlignment="1">
      <alignment horizontal="center" vertical="center" shrinkToFit="1"/>
    </xf>
    <xf numFmtId="0" fontId="19" fillId="0" borderId="84" xfId="0" applyFont="1" applyBorder="1" applyAlignment="1">
      <alignment horizontal="center" vertical="center" shrinkToFit="1"/>
    </xf>
    <xf numFmtId="0" fontId="19" fillId="0" borderId="51" xfId="0" applyFont="1" applyBorder="1" applyAlignment="1">
      <alignment horizontal="center" vertical="center" shrinkToFit="1"/>
    </xf>
    <xf numFmtId="0" fontId="5" fillId="0" borderId="84" xfId="0" applyFont="1" applyBorder="1" applyAlignment="1">
      <alignment horizontal="center" vertical="center" shrinkToFit="1"/>
    </xf>
    <xf numFmtId="0" fontId="5" fillId="0" borderId="41" xfId="0" applyFont="1" applyBorder="1" applyAlignment="1">
      <alignment vertical="center" shrinkToFit="1"/>
    </xf>
    <xf numFmtId="0" fontId="5" fillId="31" borderId="19" xfId="0" applyFont="1" applyFill="1" applyBorder="1" applyAlignment="1" applyProtection="1">
      <alignment horizontal="center" vertical="center" shrinkToFit="1"/>
      <protection locked="0"/>
    </xf>
    <xf numFmtId="0" fontId="0" fillId="31" borderId="3" xfId="0" applyFill="1" applyBorder="1" applyAlignment="1" applyProtection="1">
      <alignment horizontal="center" vertical="center" shrinkToFit="1"/>
      <protection locked="0"/>
    </xf>
    <xf numFmtId="0" fontId="5" fillId="31" borderId="19" xfId="0" applyFont="1" applyFill="1" applyBorder="1" applyAlignment="1" applyProtection="1">
      <alignment vertical="center"/>
      <protection locked="0"/>
    </xf>
    <xf numFmtId="0" fontId="0" fillId="31" borderId="25" xfId="0" applyFill="1" applyBorder="1" applyAlignment="1">
      <alignment vertical="center"/>
    </xf>
    <xf numFmtId="0" fontId="5" fillId="0" borderId="45" xfId="0" applyFont="1" applyBorder="1" applyAlignment="1">
      <alignment horizontal="center" vertical="center" textRotation="255" wrapText="1"/>
    </xf>
    <xf numFmtId="0" fontId="0" fillId="0" borderId="45" xfId="0" applyBorder="1"/>
    <xf numFmtId="0" fontId="0" fillId="0" borderId="44" xfId="0" applyBorder="1"/>
    <xf numFmtId="0" fontId="0" fillId="0" borderId="92" xfId="0" applyBorder="1"/>
    <xf numFmtId="0" fontId="5" fillId="0" borderId="19" xfId="0" applyFont="1" applyBorder="1" applyAlignment="1" applyProtection="1">
      <alignment horizontal="center" vertical="center"/>
      <protection locked="0"/>
    </xf>
    <xf numFmtId="0" fontId="5" fillId="0" borderId="27" xfId="0" applyFont="1" applyBorder="1" applyAlignment="1" applyProtection="1">
      <alignment horizontal="center" vertical="center"/>
      <protection locked="0"/>
    </xf>
    <xf numFmtId="0" fontId="5" fillId="0" borderId="19" xfId="0" applyFont="1" applyBorder="1" applyAlignment="1">
      <alignment horizontal="center" vertical="center"/>
    </xf>
    <xf numFmtId="0" fontId="5" fillId="0" borderId="27" xfId="0" applyFont="1" applyBorder="1" applyAlignment="1">
      <alignment horizontal="center" vertical="center"/>
    </xf>
    <xf numFmtId="49" fontId="5" fillId="0" borderId="87" xfId="0" applyNumberFormat="1" applyFont="1" applyBorder="1" applyAlignment="1">
      <alignment horizontal="right" vertical="top" shrinkToFit="1"/>
    </xf>
    <xf numFmtId="49" fontId="5" fillId="0" borderId="44" xfId="0" applyNumberFormat="1" applyFont="1" applyBorder="1" applyAlignment="1">
      <alignment horizontal="right" vertical="top" shrinkToFit="1"/>
    </xf>
    <xf numFmtId="49" fontId="5" fillId="0" borderId="18" xfId="0" applyNumberFormat="1" applyFont="1" applyBorder="1" applyAlignment="1">
      <alignment horizontal="right" vertical="top" shrinkToFit="1"/>
    </xf>
    <xf numFmtId="0" fontId="5" fillId="0" borderId="5" xfId="0" applyFont="1" applyBorder="1" applyAlignment="1">
      <alignment vertical="center" wrapText="1" shrinkToFit="1"/>
    </xf>
    <xf numFmtId="0" fontId="5" fillId="0" borderId="19" xfId="0" applyFont="1" applyBorder="1" applyAlignment="1">
      <alignment vertical="center" wrapText="1" shrinkToFit="1"/>
    </xf>
    <xf numFmtId="0" fontId="5" fillId="0" borderId="27" xfId="0" applyFont="1" applyBorder="1" applyAlignment="1">
      <alignment vertical="top" wrapText="1" shrinkToFit="1"/>
    </xf>
    <xf numFmtId="0" fontId="5" fillId="0" borderId="5" xfId="0" applyFont="1" applyBorder="1" applyAlignment="1">
      <alignment vertical="top" wrapText="1" shrinkToFit="1"/>
    </xf>
    <xf numFmtId="0" fontId="5" fillId="0" borderId="20" xfId="0" applyFont="1" applyBorder="1" applyAlignment="1">
      <alignment horizontal="center" vertical="center" shrinkToFit="1"/>
    </xf>
    <xf numFmtId="0" fontId="5" fillId="0" borderId="91" xfId="0" applyFont="1" applyBorder="1" applyAlignment="1">
      <alignment horizontal="center" vertical="center" shrinkToFit="1"/>
    </xf>
    <xf numFmtId="0" fontId="5" fillId="0" borderId="28" xfId="0" applyFont="1" applyBorder="1" applyAlignment="1">
      <alignment horizontal="center" vertical="center" shrinkToFit="1"/>
    </xf>
    <xf numFmtId="0" fontId="3" fillId="30" borderId="83" xfId="0" applyFont="1" applyFill="1" applyBorder="1" applyAlignment="1">
      <alignment horizontal="center" vertical="center" wrapText="1" shrinkToFit="1"/>
    </xf>
    <xf numFmtId="0" fontId="13" fillId="0" borderId="51" xfId="0" applyFont="1" applyBorder="1" applyAlignment="1">
      <alignment horizontal="center" vertical="center" wrapText="1" shrinkToFit="1"/>
    </xf>
    <xf numFmtId="179" fontId="15" fillId="31" borderId="5" xfId="0" applyNumberFormat="1" applyFont="1" applyFill="1" applyBorder="1" applyAlignment="1" applyProtection="1">
      <alignment horizontal="center" vertical="center" shrinkToFit="1"/>
      <protection locked="0"/>
    </xf>
    <xf numFmtId="0" fontId="14" fillId="0" borderId="27" xfId="0" applyFont="1" applyBorder="1" applyAlignment="1">
      <alignment vertical="center" wrapText="1"/>
    </xf>
    <xf numFmtId="0" fontId="14" fillId="0" borderId="5" xfId="0" applyFont="1" applyBorder="1" applyAlignment="1">
      <alignment vertical="center" wrapText="1" shrinkToFit="1"/>
    </xf>
    <xf numFmtId="0" fontId="14" fillId="0" borderId="38" xfId="0" applyFont="1" applyBorder="1" applyAlignment="1">
      <alignment vertical="center" wrapText="1" shrinkToFit="1"/>
    </xf>
    <xf numFmtId="179" fontId="15" fillId="31" borderId="38" xfId="0" applyNumberFormat="1" applyFont="1" applyFill="1" applyBorder="1" applyAlignment="1" applyProtection="1">
      <alignment horizontal="center" vertical="center" shrinkToFit="1"/>
      <protection locked="0"/>
    </xf>
    <xf numFmtId="0" fontId="5" fillId="0" borderId="102" xfId="0" applyFont="1" applyBorder="1" applyAlignment="1">
      <alignment horizontal="center" vertical="center" textRotation="255"/>
    </xf>
    <xf numFmtId="0" fontId="5" fillId="0" borderId="60" xfId="0" applyFont="1" applyBorder="1" applyAlignment="1">
      <alignment horizontal="center" vertical="center" textRotation="255"/>
    </xf>
    <xf numFmtId="0" fontId="5" fillId="0" borderId="76" xfId="0" applyFont="1" applyBorder="1" applyAlignment="1">
      <alignment horizontal="center" vertical="center" textRotation="255"/>
    </xf>
    <xf numFmtId="0" fontId="5" fillId="30" borderId="83" xfId="0" applyFont="1" applyFill="1" applyBorder="1" applyAlignment="1">
      <alignment horizontal="center" vertical="center" shrinkToFit="1"/>
    </xf>
    <xf numFmtId="0" fontId="0" fillId="0" borderId="85" xfId="0" applyBorder="1" applyAlignment="1">
      <alignment vertical="center" shrinkToFit="1"/>
    </xf>
    <xf numFmtId="176" fontId="17" fillId="0" borderId="35" xfId="0" applyNumberFormat="1" applyFont="1" applyBorder="1" applyAlignment="1">
      <alignment horizontal="center" vertical="center" shrinkToFit="1"/>
    </xf>
    <xf numFmtId="176" fontId="17" fillId="0" borderId="36" xfId="0" applyNumberFormat="1" applyFont="1" applyBorder="1" applyAlignment="1">
      <alignment horizontal="center" vertical="center" shrinkToFit="1"/>
    </xf>
    <xf numFmtId="179" fontId="18" fillId="0" borderId="19" xfId="0" applyNumberFormat="1" applyFont="1" applyBorder="1" applyAlignment="1">
      <alignment horizontal="center" vertical="center" wrapText="1"/>
    </xf>
    <xf numFmtId="179" fontId="18" fillId="0" borderId="25" xfId="0" applyNumberFormat="1" applyFont="1" applyBorder="1" applyAlignment="1">
      <alignment horizontal="center" vertical="center" wrapText="1"/>
    </xf>
    <xf numFmtId="179" fontId="18" fillId="0" borderId="20" xfId="0" applyNumberFormat="1" applyFont="1" applyBorder="1" applyAlignment="1">
      <alignment horizontal="center" vertical="center" wrapText="1"/>
    </xf>
    <xf numFmtId="179" fontId="18" fillId="0" borderId="90" xfId="0" applyNumberFormat="1" applyFont="1" applyBorder="1" applyAlignment="1">
      <alignment horizontal="center" vertical="center" wrapText="1"/>
    </xf>
    <xf numFmtId="0" fontId="14" fillId="0" borderId="26" xfId="0" applyFont="1" applyBorder="1" applyAlignment="1">
      <alignment vertical="center" wrapText="1"/>
    </xf>
    <xf numFmtId="179" fontId="15" fillId="31" borderId="32" xfId="0" applyNumberFormat="1" applyFont="1" applyFill="1" applyBorder="1" applyAlignment="1" applyProtection="1">
      <alignment horizontal="center" vertical="center" shrinkToFit="1"/>
      <protection locked="0"/>
    </xf>
    <xf numFmtId="0" fontId="14" fillId="0" borderId="27" xfId="0" applyFont="1" applyBorder="1" applyAlignment="1">
      <alignment vertical="center" wrapText="1" shrinkToFit="1"/>
    </xf>
    <xf numFmtId="0" fontId="5" fillId="30" borderId="51" xfId="0" applyFont="1" applyFill="1" applyBorder="1" applyAlignment="1">
      <alignment horizontal="center" vertical="center" shrinkToFit="1"/>
    </xf>
    <xf numFmtId="0" fontId="5" fillId="30" borderId="84" xfId="0" applyFont="1" applyFill="1" applyBorder="1" applyAlignment="1">
      <alignment horizontal="center" vertical="center" shrinkToFit="1"/>
    </xf>
    <xf numFmtId="0" fontId="0" fillId="0" borderId="51" xfId="0" applyBorder="1" applyAlignment="1">
      <alignment horizontal="center" vertical="center" shrinkToFit="1"/>
    </xf>
    <xf numFmtId="0" fontId="5" fillId="0" borderId="88" xfId="0" applyFont="1" applyBorder="1" applyAlignment="1">
      <alignment vertical="top" wrapText="1"/>
    </xf>
    <xf numFmtId="0" fontId="5" fillId="0" borderId="89" xfId="0" applyFont="1" applyBorder="1" applyAlignment="1">
      <alignment vertical="top" wrapText="1"/>
    </xf>
    <xf numFmtId="0" fontId="5" fillId="0" borderId="96" xfId="0" applyFont="1" applyBorder="1" applyAlignment="1">
      <alignment vertical="top" wrapText="1"/>
    </xf>
    <xf numFmtId="0" fontId="5" fillId="0" borderId="26" xfId="0" applyFont="1" applyBorder="1" applyAlignment="1">
      <alignment vertical="top" wrapText="1"/>
    </xf>
    <xf numFmtId="0" fontId="5" fillId="0" borderId="22" xfId="0" applyFont="1" applyBorder="1" applyAlignment="1">
      <alignment horizontal="right" vertical="center" shrinkToFit="1"/>
    </xf>
    <xf numFmtId="0" fontId="0" fillId="0" borderId="22" xfId="0" applyBorder="1"/>
    <xf numFmtId="0" fontId="5" fillId="0" borderId="97" xfId="0" applyFont="1" applyBorder="1" applyAlignment="1">
      <alignment horizontal="right" vertical="center" shrinkToFit="1"/>
    </xf>
    <xf numFmtId="0" fontId="5" fillId="0" borderId="98" xfId="0" applyFont="1" applyBorder="1" applyAlignment="1">
      <alignment horizontal="right" vertical="center" shrinkToFit="1"/>
    </xf>
    <xf numFmtId="0" fontId="5" fillId="0" borderId="4" xfId="0" applyFont="1" applyBorder="1" applyAlignment="1">
      <alignment horizontal="right" vertical="center" shrinkToFit="1"/>
    </xf>
    <xf numFmtId="0" fontId="5" fillId="0" borderId="99" xfId="0" applyFont="1" applyBorder="1" applyAlignment="1">
      <alignment horizontal="right" vertical="center" shrinkToFit="1"/>
    </xf>
    <xf numFmtId="0" fontId="5" fillId="0" borderId="39" xfId="0" applyFont="1" applyBorder="1" applyAlignment="1">
      <alignment vertical="center" shrinkToFit="1"/>
    </xf>
    <xf numFmtId="0" fontId="5" fillId="0" borderId="1" xfId="0" applyFont="1" applyBorder="1" applyAlignment="1">
      <alignment vertical="center" shrinkToFit="1"/>
    </xf>
    <xf numFmtId="0" fontId="0" fillId="0" borderId="40" xfId="0" applyBorder="1" applyAlignment="1">
      <alignment vertical="center" shrinkToFit="1"/>
    </xf>
    <xf numFmtId="0" fontId="0" fillId="0" borderId="4" xfId="0" applyBorder="1" applyAlignment="1">
      <alignment vertical="center" shrinkToFit="1"/>
    </xf>
    <xf numFmtId="0" fontId="0" fillId="0" borderId="27" xfId="0" applyBorder="1" applyAlignment="1">
      <alignment vertical="center" shrinkToFit="1"/>
    </xf>
    <xf numFmtId="180" fontId="5" fillId="0" borderId="33" xfId="0" applyNumberFormat="1" applyFont="1" applyBorder="1" applyAlignment="1" applyProtection="1">
      <alignment horizontal="right" vertical="center" shrinkToFit="1"/>
      <protection locked="0"/>
    </xf>
    <xf numFmtId="180" fontId="8" fillId="0" borderId="33" xfId="0" applyNumberFormat="1" applyFont="1" applyBorder="1" applyProtection="1">
      <protection locked="0"/>
    </xf>
    <xf numFmtId="49" fontId="5" fillId="30" borderId="32" xfId="0" applyNumberFormat="1" applyFont="1" applyFill="1" applyBorder="1" applyAlignment="1" applyProtection="1">
      <alignment horizontal="center" vertical="center" shrinkToFit="1"/>
      <protection locked="0"/>
    </xf>
    <xf numFmtId="0" fontId="5" fillId="0" borderId="65" xfId="0" applyFont="1" applyBorder="1" applyAlignment="1">
      <alignment horizontal="center" vertical="center" textRotation="255" wrapText="1" shrinkToFit="1"/>
    </xf>
    <xf numFmtId="0" fontId="5" fillId="0" borderId="32" xfId="0" applyFont="1" applyBorder="1" applyAlignment="1">
      <alignment horizontal="center" vertical="center" textRotation="255" wrapText="1" shrinkToFit="1"/>
    </xf>
    <xf numFmtId="0" fontId="5" fillId="0" borderId="55" xfId="0" applyFont="1" applyBorder="1" applyAlignment="1">
      <alignment horizontal="center" vertical="center" textRotation="255" wrapText="1" shrinkToFit="1"/>
    </xf>
    <xf numFmtId="0" fontId="5" fillId="0" borderId="5" xfId="0" applyFont="1" applyBorder="1" applyAlignment="1">
      <alignment horizontal="center" vertical="center" textRotation="255" wrapText="1" shrinkToFit="1"/>
    </xf>
    <xf numFmtId="0" fontId="5" fillId="0" borderId="95" xfId="0" applyFont="1" applyBorder="1" applyAlignment="1">
      <alignment horizontal="center" vertical="center" textRotation="255" wrapText="1" shrinkToFit="1"/>
    </xf>
    <xf numFmtId="0" fontId="5" fillId="0" borderId="38" xfId="0" applyFont="1" applyBorder="1" applyAlignment="1">
      <alignment horizontal="center" vertical="center" textRotation="255" wrapText="1" shrinkToFit="1"/>
    </xf>
    <xf numFmtId="0" fontId="5" fillId="0" borderId="27" xfId="0" applyFont="1" applyBorder="1" applyAlignment="1">
      <alignment vertical="top" wrapText="1"/>
    </xf>
    <xf numFmtId="0" fontId="5" fillId="0" borderId="5" xfId="0" applyFont="1" applyBorder="1" applyAlignment="1">
      <alignment vertical="top" wrapText="1"/>
    </xf>
    <xf numFmtId="0" fontId="5" fillId="0" borderId="22" xfId="0" applyFont="1" applyBorder="1" applyAlignment="1" applyProtection="1">
      <alignment horizontal="left" vertical="center" shrinkToFit="1"/>
      <protection hidden="1"/>
    </xf>
    <xf numFmtId="0" fontId="0" fillId="0" borderId="22" xfId="0" applyBorder="1" applyAlignment="1">
      <alignment horizontal="left" vertical="center"/>
    </xf>
    <xf numFmtId="0" fontId="0" fillId="0" borderId="22" xfId="0" applyBorder="1" applyAlignment="1">
      <alignment vertical="center"/>
    </xf>
    <xf numFmtId="179" fontId="18" fillId="0" borderId="87" xfId="0" applyNumberFormat="1" applyFont="1" applyBorder="1" applyAlignment="1">
      <alignment horizontal="center" vertical="center" wrapText="1"/>
    </xf>
    <xf numFmtId="179" fontId="18" fillId="0" borderId="42" xfId="0" applyNumberFormat="1" applyFont="1" applyBorder="1" applyAlignment="1">
      <alignment horizontal="center" vertical="center" wrapText="1"/>
    </xf>
    <xf numFmtId="179" fontId="18" fillId="0" borderId="18" xfId="0" applyNumberFormat="1" applyFont="1" applyBorder="1" applyAlignment="1">
      <alignment horizontal="center" vertical="center" wrapText="1"/>
    </xf>
    <xf numFmtId="179" fontId="18" fillId="0" borderId="93" xfId="0" applyNumberFormat="1" applyFont="1" applyBorder="1" applyAlignment="1">
      <alignment horizontal="center" vertical="center" wrapText="1"/>
    </xf>
    <xf numFmtId="179" fontId="18" fillId="0" borderId="100" xfId="0" applyNumberFormat="1" applyFont="1" applyBorder="1" applyAlignment="1">
      <alignment horizontal="center" vertical="center" wrapText="1"/>
    </xf>
    <xf numFmtId="179" fontId="18" fillId="0" borderId="101" xfId="0" applyNumberFormat="1" applyFont="1" applyBorder="1" applyAlignment="1">
      <alignment horizontal="center" vertical="center" wrapText="1"/>
    </xf>
    <xf numFmtId="182" fontId="19" fillId="0" borderId="19" xfId="0" applyNumberFormat="1" applyFont="1" applyBorder="1" applyAlignment="1">
      <alignment horizontal="center" vertical="center"/>
    </xf>
    <xf numFmtId="182" fontId="19" fillId="0" borderId="27" xfId="0" applyNumberFormat="1" applyFont="1" applyBorder="1" applyAlignment="1">
      <alignment horizontal="center" vertical="center"/>
    </xf>
    <xf numFmtId="0" fontId="9" fillId="0" borderId="0" xfId="0" applyFont="1" applyAlignment="1">
      <alignment horizontal="right" vertical="center" wrapText="1"/>
    </xf>
    <xf numFmtId="0" fontId="0" fillId="0" borderId="30" xfId="0" applyBorder="1" applyAlignment="1">
      <alignment vertical="center" wrapText="1"/>
    </xf>
    <xf numFmtId="0" fontId="0" fillId="0" borderId="0" xfId="0" applyAlignment="1">
      <alignment vertical="center" wrapText="1"/>
    </xf>
    <xf numFmtId="0" fontId="9" fillId="0" borderId="96" xfId="0" applyFont="1" applyBorder="1" applyAlignment="1" applyProtection="1">
      <alignment vertical="center" shrinkToFit="1"/>
      <protection hidden="1"/>
    </xf>
    <xf numFmtId="0" fontId="10" fillId="0" borderId="4" xfId="0" applyFont="1" applyBorder="1" applyAlignment="1">
      <alignment wrapText="1"/>
    </xf>
    <xf numFmtId="0" fontId="10" fillId="0" borderId="4" xfId="0" applyFont="1" applyBorder="1"/>
    <xf numFmtId="0" fontId="9" fillId="0" borderId="0" xfId="0" applyFont="1" applyAlignment="1">
      <alignment horizontal="right" vertical="center"/>
    </xf>
    <xf numFmtId="0" fontId="0" fillId="0" borderId="0" xfId="0" applyAlignment="1">
      <alignment vertical="center"/>
    </xf>
    <xf numFmtId="49" fontId="0" fillId="23" borderId="96" xfId="0" applyNumberFormat="1" applyFill="1" applyBorder="1" applyAlignment="1">
      <alignment vertical="center"/>
    </xf>
    <xf numFmtId="178" fontId="0" fillId="23" borderId="19" xfId="0" applyNumberFormat="1" applyFill="1" applyBorder="1" applyAlignment="1">
      <alignment horizontal="center" vertical="center"/>
    </xf>
    <xf numFmtId="178" fontId="0" fillId="23" borderId="27" xfId="0" applyNumberFormat="1" applyFill="1" applyBorder="1" applyAlignment="1">
      <alignment horizontal="center" vertical="center"/>
    </xf>
    <xf numFmtId="0" fontId="11" fillId="0" borderId="0" xfId="0" applyFont="1" applyAlignment="1">
      <alignment horizontal="center" vertical="center"/>
    </xf>
    <xf numFmtId="0" fontId="12" fillId="0" borderId="0" xfId="0" applyFont="1"/>
    <xf numFmtId="49" fontId="1" fillId="23" borderId="4" xfId="0" applyNumberFormat="1" applyFont="1" applyFill="1" applyBorder="1"/>
    <xf numFmtId="14" fontId="0" fillId="0" borderId="108" xfId="0" applyNumberFormat="1" applyBorder="1" applyAlignment="1">
      <alignment horizontal="center" vertical="center"/>
    </xf>
    <xf numFmtId="14" fontId="0" fillId="0" borderId="42" xfId="0" applyNumberFormat="1" applyBorder="1" applyAlignment="1">
      <alignment horizontal="center" vertical="center"/>
    </xf>
    <xf numFmtId="14" fontId="0" fillId="0" borderId="40" xfId="0" applyNumberFormat="1" applyBorder="1" applyAlignment="1">
      <alignment vertical="center"/>
    </xf>
    <xf numFmtId="14" fontId="0" fillId="0" borderId="36" xfId="0" applyNumberFormat="1" applyBorder="1" applyAlignment="1">
      <alignment vertical="center"/>
    </xf>
    <xf numFmtId="176" fontId="0" fillId="23" borderId="19" xfId="0" applyNumberFormat="1" applyFill="1" applyBorder="1" applyAlignment="1">
      <alignment horizontal="center" vertical="center"/>
    </xf>
    <xf numFmtId="176" fontId="0" fillId="23" borderId="27" xfId="0" applyNumberFormat="1" applyFill="1" applyBorder="1" applyAlignment="1">
      <alignment horizontal="center" vertical="center"/>
    </xf>
    <xf numFmtId="0" fontId="0" fillId="0" borderId="0" xfId="0" applyAlignment="1">
      <alignment horizontal="right"/>
    </xf>
    <xf numFmtId="0" fontId="9" fillId="0" borderId="107" xfId="0" applyFont="1" applyBorder="1" applyAlignment="1">
      <alignment horizontal="center" vertical="center"/>
    </xf>
    <xf numFmtId="0" fontId="9" fillId="0" borderId="24" xfId="0" applyFont="1" applyBorder="1" applyAlignment="1">
      <alignment horizontal="center" vertical="center"/>
    </xf>
    <xf numFmtId="49" fontId="0" fillId="23" borderId="4" xfId="0" applyNumberFormat="1" applyFill="1" applyBorder="1"/>
    <xf numFmtId="0" fontId="13" fillId="0" borderId="91" xfId="0" applyFont="1" applyBorder="1" applyAlignment="1">
      <alignment wrapText="1"/>
    </xf>
    <xf numFmtId="0" fontId="13" fillId="0" borderId="91" xfId="0" applyFont="1" applyBorder="1"/>
    <xf numFmtId="0" fontId="9" fillId="18" borderId="0" xfId="272" applyFont="1" applyFill="1" applyAlignment="1">
      <alignment horizontal="center" vertical="top"/>
    </xf>
    <xf numFmtId="14" fontId="9" fillId="18" borderId="0" xfId="272" applyNumberFormat="1" applyFont="1" applyFill="1" applyAlignment="1">
      <alignment horizontal="center" vertical="top" shrinkToFit="1"/>
    </xf>
    <xf numFmtId="0" fontId="9" fillId="0" borderId="0" xfId="272" applyFont="1" applyAlignment="1">
      <alignment horizontal="right" vertical="top"/>
    </xf>
    <xf numFmtId="0" fontId="99" fillId="0" borderId="0" xfId="272" applyFont="1" applyAlignment="1">
      <alignment horizontal="center" vertical="top"/>
    </xf>
  </cellXfs>
  <cellStyles count="280">
    <cellStyle name="_x000c_ーセン_x000c_" xfId="1" xr:uid="{00000000-0005-0000-0000-000000000000}"/>
    <cellStyle name="_C66E-1-0004_カスタマイズ仕様書（0表紙）" xfId="2" xr:uid="{00000000-0005-0000-0000-000001000000}"/>
    <cellStyle name="_C66E-1-0004_カスタマイズ仕様書（0表紙）_(sample)画面説明書（詳細）_HEP1050_リベート約定登録" xfId="3" xr:uid="{00000000-0005-0000-0000-000002000000}"/>
    <cellStyle name="_C66E-1-0004_カスタマイズ仕様書（0表紙）_(sample)画面説明書（詳細）_HEP1050_リベート約定登録_コピー画面説明書（詳細）_CFP0010_支払予定登録.xls-revHEAD.svn004.tmp" xfId="4" xr:uid="{00000000-0005-0000-0000-000003000000}"/>
    <cellStyle name="_C66E-1-0004_カスタマイズ仕様書（0表紙）_(sample)画面説明書（詳細）_HEP1050_リベート約定登録_画面説明書（詳細）_【機能ID】_【機能名】" xfId="5" xr:uid="{00000000-0005-0000-0000-000004000000}"/>
    <cellStyle name="_C66E-1-0004_カスタマイズ仕様書（0表紙）_(sample)画面説明書（詳細）_HEP1050_リベート約定登録_画面説明書（詳細）_CFP0010_支払予定登録" xfId="6" xr:uid="{00000000-0005-0000-0000-000005000000}"/>
    <cellStyle name="_C66E-1-0004_カスタマイズ仕様書（0表紙）_(sample)画面説明書（詳細）_HEP1050_リベート約定登録v2" xfId="7" xr:uid="{00000000-0005-0000-0000-000006000000}"/>
    <cellStyle name="_C66E-1-0004_カスタマイズ仕様書（0表紙）_(sample)画面説明書（詳細）_HEP1050_リベート約定登録v2_コピー画面説明書（詳細）_CFP0010_支払予定登録.xls-revHEAD.svn004.tmp" xfId="8" xr:uid="{00000000-0005-0000-0000-000007000000}"/>
    <cellStyle name="_C66E-1-0004_カスタマイズ仕様書（0表紙）_(sample)画面説明書（詳細）_HEP1050_リベート約定登録v2_画面説明書（詳細）_【機能ID】_【機能名】" xfId="9" xr:uid="{00000000-0005-0000-0000-000008000000}"/>
    <cellStyle name="_C66E-1-0004_カスタマイズ仕様書（0表紙）_(sample)画面説明書（詳細）_HEP1050_リベート約定登録v2_画面説明書（詳細）_CFP0010_支払予定登録" xfId="10" xr:uid="{00000000-0005-0000-0000-000009000000}"/>
    <cellStyle name="_C66E-1-0004_カスタマイズ仕様書（0表紙）_コ画面説明書（詳細）_CMP4201_補足情報マスタ登録" xfId="11" xr:uid="{00000000-0005-0000-0000-00000A000000}"/>
    <cellStyle name="_C66E-1-0004_カスタマイズ仕様書（0表紙）_コ画面説明書（詳細）_CMP4201_補足情報マスタ登録_コピー画面説明書（詳細）_CFP0010_支払予定登録.xls-revHEAD.svn004.tmp" xfId="12" xr:uid="{00000000-0005-0000-0000-00000B000000}"/>
    <cellStyle name="_C66E-1-0004_カスタマイズ仕様書（0表紙）_コ画面説明書（詳細）_CMP4201_補足情報マスタ登録_画面説明書（詳細）_【機能ID】_【機能名】" xfId="13" xr:uid="{00000000-0005-0000-0000-00000C000000}"/>
    <cellStyle name="_C66E-1-0004_カスタマイズ仕様書（0表紙）_コ画面説明書（詳細）_CMP4201_補足情報マスタ登録_画面説明書（詳細）_CFP0010_支払予定登録" xfId="14" xr:uid="{00000000-0005-0000-0000-00000D000000}"/>
    <cellStyle name="_C66E-1-0004_カスタマイズ仕様書（0表紙）_画面説明書（詳細）_HAP0010_月次出荷計画登録" xfId="15" xr:uid="{00000000-0005-0000-0000-00000E000000}"/>
    <cellStyle name="_C66E-1-0004_カスタマイズ仕様書（0表紙）_画面説明書（詳細）_HAP0010_月次出荷計画登録_コピー画面説明書（詳細）_CFP0010_支払予定登録.xls-revHEAD.svn004.tmp" xfId="16" xr:uid="{00000000-0005-0000-0000-00000F000000}"/>
    <cellStyle name="_C66E-1-0004_カスタマイズ仕様書（0表紙）_画面説明書（詳細）_HAP0010_月次出荷計画登録_画面説明書（詳細）_【機能ID】_【機能名】" xfId="17" xr:uid="{00000000-0005-0000-0000-000010000000}"/>
    <cellStyle name="_C66E-1-0004_カスタマイズ仕様書（0表紙）_画面説明書（詳細）_HAP0010_月次出荷計画登録_画面説明書（詳細）_CFP0010_支払予定登録" xfId="18" xr:uid="{00000000-0005-0000-0000-000011000000}"/>
    <cellStyle name="=C:\WINNT\SYSTEM32\COMMAND.COM" xfId="19" xr:uid="{00000000-0005-0000-0000-000012000000}"/>
    <cellStyle name="W_p2" xfId="20" xr:uid="{00000000-0005-0000-0000-000013000000}"/>
    <cellStyle name="0301" xfId="21" xr:uid="{00000000-0005-0000-0000-000014000000}"/>
    <cellStyle name="0_x0014_標準_F_02?P_Dd080301" xfId="22" xr:uid="{00000000-0005-0000-0000-000015000000}"/>
    <cellStyle name="20% - アクセント 1 2" xfId="23" xr:uid="{00000000-0005-0000-0000-000016000000}"/>
    <cellStyle name="20% - アクセント 1 3" xfId="24" xr:uid="{00000000-0005-0000-0000-000017000000}"/>
    <cellStyle name="20% - アクセント 1 4" xfId="25" xr:uid="{00000000-0005-0000-0000-000018000000}"/>
    <cellStyle name="20% - アクセント 2 2" xfId="26" xr:uid="{00000000-0005-0000-0000-000019000000}"/>
    <cellStyle name="20% - アクセント 2 3" xfId="27" xr:uid="{00000000-0005-0000-0000-00001A000000}"/>
    <cellStyle name="20% - アクセント 2 4" xfId="28" xr:uid="{00000000-0005-0000-0000-00001B000000}"/>
    <cellStyle name="20% - アクセント 3 2" xfId="29" xr:uid="{00000000-0005-0000-0000-00001C000000}"/>
    <cellStyle name="20% - アクセント 3 3" xfId="30" xr:uid="{00000000-0005-0000-0000-00001D000000}"/>
    <cellStyle name="20% - アクセント 3 4" xfId="31" xr:uid="{00000000-0005-0000-0000-00001E000000}"/>
    <cellStyle name="20% - アクセント 4 2" xfId="32" xr:uid="{00000000-0005-0000-0000-00001F000000}"/>
    <cellStyle name="20% - アクセント 4 3" xfId="33" xr:uid="{00000000-0005-0000-0000-000020000000}"/>
    <cellStyle name="20% - アクセント 4 4" xfId="34" xr:uid="{00000000-0005-0000-0000-000021000000}"/>
    <cellStyle name="20% - アクセント 5 2" xfId="35" xr:uid="{00000000-0005-0000-0000-000022000000}"/>
    <cellStyle name="20% - アクセント 5 3" xfId="36" xr:uid="{00000000-0005-0000-0000-000023000000}"/>
    <cellStyle name="20% - アクセント 5 4" xfId="37" xr:uid="{00000000-0005-0000-0000-000024000000}"/>
    <cellStyle name="20% - アクセント 6 2" xfId="38" xr:uid="{00000000-0005-0000-0000-000025000000}"/>
    <cellStyle name="20% - アクセント 6 3" xfId="39" xr:uid="{00000000-0005-0000-0000-000026000000}"/>
    <cellStyle name="20% - アクセント 6 4" xfId="40" xr:uid="{00000000-0005-0000-0000-000027000000}"/>
    <cellStyle name="40% - アクセント 1 2" xfId="41" xr:uid="{00000000-0005-0000-0000-000028000000}"/>
    <cellStyle name="40% - アクセント 1 3" xfId="42" xr:uid="{00000000-0005-0000-0000-000029000000}"/>
    <cellStyle name="40% - アクセント 1 4" xfId="43" xr:uid="{00000000-0005-0000-0000-00002A000000}"/>
    <cellStyle name="40% - アクセント 2 2" xfId="44" xr:uid="{00000000-0005-0000-0000-00002B000000}"/>
    <cellStyle name="40% - アクセント 2 3" xfId="45" xr:uid="{00000000-0005-0000-0000-00002C000000}"/>
    <cellStyle name="40% - アクセント 2 4" xfId="46" xr:uid="{00000000-0005-0000-0000-00002D000000}"/>
    <cellStyle name="40% - アクセント 3 2" xfId="47" xr:uid="{00000000-0005-0000-0000-00002E000000}"/>
    <cellStyle name="40% - アクセント 3 3" xfId="48" xr:uid="{00000000-0005-0000-0000-00002F000000}"/>
    <cellStyle name="40% - アクセント 3 4" xfId="49" xr:uid="{00000000-0005-0000-0000-000030000000}"/>
    <cellStyle name="40% - アクセント 4 2" xfId="50" xr:uid="{00000000-0005-0000-0000-000031000000}"/>
    <cellStyle name="40% - アクセント 4 3" xfId="51" xr:uid="{00000000-0005-0000-0000-000032000000}"/>
    <cellStyle name="40% - アクセント 4 4" xfId="52" xr:uid="{00000000-0005-0000-0000-000033000000}"/>
    <cellStyle name="40% - アクセント 5 2" xfId="53" xr:uid="{00000000-0005-0000-0000-000034000000}"/>
    <cellStyle name="40% - アクセント 5 3" xfId="54" xr:uid="{00000000-0005-0000-0000-000035000000}"/>
    <cellStyle name="40% - アクセント 5 4" xfId="55" xr:uid="{00000000-0005-0000-0000-000036000000}"/>
    <cellStyle name="40% - アクセント 6 2" xfId="56" xr:uid="{00000000-0005-0000-0000-000037000000}"/>
    <cellStyle name="40% - アクセント 6 3" xfId="57" xr:uid="{00000000-0005-0000-0000-000038000000}"/>
    <cellStyle name="40% - アクセント 6 4" xfId="58" xr:uid="{00000000-0005-0000-0000-000039000000}"/>
    <cellStyle name="60% - アクセント 1 2" xfId="59" xr:uid="{00000000-0005-0000-0000-00003A000000}"/>
    <cellStyle name="60% - アクセント 1 3" xfId="60" xr:uid="{00000000-0005-0000-0000-00003B000000}"/>
    <cellStyle name="60% - アクセント 1 4" xfId="61" xr:uid="{00000000-0005-0000-0000-00003C000000}"/>
    <cellStyle name="60% - アクセント 2 2" xfId="62" xr:uid="{00000000-0005-0000-0000-00003D000000}"/>
    <cellStyle name="60% - アクセント 2 3" xfId="63" xr:uid="{00000000-0005-0000-0000-00003E000000}"/>
    <cellStyle name="60% - アクセント 2 4" xfId="64" xr:uid="{00000000-0005-0000-0000-00003F000000}"/>
    <cellStyle name="60% - アクセント 3 2" xfId="65" xr:uid="{00000000-0005-0000-0000-000040000000}"/>
    <cellStyle name="60% - アクセント 3 3" xfId="66" xr:uid="{00000000-0005-0000-0000-000041000000}"/>
    <cellStyle name="60% - アクセント 3 4" xfId="67" xr:uid="{00000000-0005-0000-0000-000042000000}"/>
    <cellStyle name="60% - アクセント 4 2" xfId="68" xr:uid="{00000000-0005-0000-0000-000043000000}"/>
    <cellStyle name="60% - アクセント 4 3" xfId="69" xr:uid="{00000000-0005-0000-0000-000044000000}"/>
    <cellStyle name="60% - アクセント 4 4" xfId="70" xr:uid="{00000000-0005-0000-0000-000045000000}"/>
    <cellStyle name="60% - アクセント 5 2" xfId="71" xr:uid="{00000000-0005-0000-0000-000046000000}"/>
    <cellStyle name="60% - アクセント 5 3" xfId="72" xr:uid="{00000000-0005-0000-0000-000047000000}"/>
    <cellStyle name="60% - アクセント 5 4" xfId="73" xr:uid="{00000000-0005-0000-0000-000048000000}"/>
    <cellStyle name="60% - アクセント 6 2" xfId="74" xr:uid="{00000000-0005-0000-0000-000049000000}"/>
    <cellStyle name="60% - アクセント 6 3" xfId="75" xr:uid="{00000000-0005-0000-0000-00004A000000}"/>
    <cellStyle name="60% - アクセント 6 4" xfId="76" xr:uid="{00000000-0005-0000-0000-00004B000000}"/>
    <cellStyle name="args.style" xfId="77" xr:uid="{00000000-0005-0000-0000-00004C000000}"/>
    <cellStyle name="Calc Currency (0)" xfId="78" xr:uid="{00000000-0005-0000-0000-00004D000000}"/>
    <cellStyle name="Calc Currency (2)" xfId="79" xr:uid="{00000000-0005-0000-0000-00004E000000}"/>
    <cellStyle name="Calc Percent (0)" xfId="80" xr:uid="{00000000-0005-0000-0000-00004F000000}"/>
    <cellStyle name="Calc Percent (1)" xfId="81" xr:uid="{00000000-0005-0000-0000-000050000000}"/>
    <cellStyle name="Calc Percent (2)" xfId="82" xr:uid="{00000000-0005-0000-0000-000051000000}"/>
    <cellStyle name="Calc Units (0)" xfId="83" xr:uid="{00000000-0005-0000-0000-000052000000}"/>
    <cellStyle name="Calc Units (1)" xfId="84" xr:uid="{00000000-0005-0000-0000-000053000000}"/>
    <cellStyle name="Calc Units (2)" xfId="85" xr:uid="{00000000-0005-0000-0000-000054000000}"/>
    <cellStyle name="Comma [0]_ SG&amp;A Bridge " xfId="86" xr:uid="{00000000-0005-0000-0000-000055000000}"/>
    <cellStyle name="Comma [00]" xfId="87" xr:uid="{00000000-0005-0000-0000-000056000000}"/>
    <cellStyle name="Comma_ SG&amp;A Bridge " xfId="88" xr:uid="{00000000-0005-0000-0000-000057000000}"/>
    <cellStyle name="COMP定番表書式" xfId="89" xr:uid="{00000000-0005-0000-0000-000058000000}"/>
    <cellStyle name="Copied" xfId="90" xr:uid="{00000000-0005-0000-0000-000059000000}"/>
    <cellStyle name="Currency [0]_ SG&amp;A Bridge " xfId="91" xr:uid="{00000000-0005-0000-0000-00005A000000}"/>
    <cellStyle name="Currency [00]" xfId="92" xr:uid="{00000000-0005-0000-0000-00005B000000}"/>
    <cellStyle name="Currency_ SG&amp;A Bridge " xfId="93" xr:uid="{00000000-0005-0000-0000-00005C000000}"/>
    <cellStyle name="dak" xfId="94" xr:uid="{00000000-0005-0000-0000-00005D000000}"/>
    <cellStyle name="Date Short" xfId="95" xr:uid="{00000000-0005-0000-0000-00005E000000}"/>
    <cellStyle name="Enter Currency (0)" xfId="96" xr:uid="{00000000-0005-0000-0000-00005F000000}"/>
    <cellStyle name="Enter Currency (2)" xfId="97" xr:uid="{00000000-0005-0000-0000-000060000000}"/>
    <cellStyle name="Enter Units (0)" xfId="98" xr:uid="{00000000-0005-0000-0000-000061000000}"/>
    <cellStyle name="Enter Units (1)" xfId="99" xr:uid="{00000000-0005-0000-0000-000062000000}"/>
    <cellStyle name="Enter Units (2)" xfId="100" xr:uid="{00000000-0005-0000-0000-000063000000}"/>
    <cellStyle name="Entered" xfId="101" xr:uid="{00000000-0005-0000-0000-000064000000}"/>
    <cellStyle name="entry" xfId="102" xr:uid="{00000000-0005-0000-0000-000065000000}"/>
    <cellStyle name="Followed Hyperlink" xfId="103" xr:uid="{00000000-0005-0000-0000-000066000000}"/>
    <cellStyle name="Grey" xfId="104" xr:uid="{00000000-0005-0000-0000-000067000000}"/>
    <cellStyle name="Header1" xfId="105" xr:uid="{00000000-0005-0000-0000-000068000000}"/>
    <cellStyle name="Header2" xfId="106" xr:uid="{00000000-0005-0000-0000-000069000000}"/>
    <cellStyle name="HEADINGS" xfId="107" xr:uid="{00000000-0005-0000-0000-00006A000000}"/>
    <cellStyle name="HEADINGSTOP" xfId="108" xr:uid="{00000000-0005-0000-0000-00006B000000}"/>
    <cellStyle name="Hyperlink" xfId="109" xr:uid="{00000000-0005-0000-0000-00006C000000}"/>
    <cellStyle name="Input [yellow]" xfId="110" xr:uid="{00000000-0005-0000-0000-00006D000000}"/>
    <cellStyle name="Link Currency (0)" xfId="111" xr:uid="{00000000-0005-0000-0000-00006E000000}"/>
    <cellStyle name="Link Currency (2)" xfId="112" xr:uid="{00000000-0005-0000-0000-00006F000000}"/>
    <cellStyle name="Link Units (0)" xfId="113" xr:uid="{00000000-0005-0000-0000-000070000000}"/>
    <cellStyle name="Link Units (1)" xfId="114" xr:uid="{00000000-0005-0000-0000-000071000000}"/>
    <cellStyle name="Link Units (2)" xfId="115" xr:uid="{00000000-0005-0000-0000-000072000000}"/>
    <cellStyle name="Millares [0]_BRASIL (2)" xfId="116" xr:uid="{00000000-0005-0000-0000-000073000000}"/>
    <cellStyle name="Millares_5670-t123" xfId="117" xr:uid="{00000000-0005-0000-0000-000074000000}"/>
    <cellStyle name="Milliers [0]_!!!GO" xfId="118" xr:uid="{00000000-0005-0000-0000-000075000000}"/>
    <cellStyle name="Milliers_!!!GO" xfId="119" xr:uid="{00000000-0005-0000-0000-000076000000}"/>
    <cellStyle name="Moneda [0]_BRASIL (2)" xfId="120" xr:uid="{00000000-0005-0000-0000-000077000000}"/>
    <cellStyle name="Moneda_5670-t123" xfId="121" xr:uid="{00000000-0005-0000-0000-000078000000}"/>
    <cellStyle name="Mon騁aire [0]_!!!GO" xfId="122" xr:uid="{00000000-0005-0000-0000-000079000000}"/>
    <cellStyle name="Mon騁aire_!!!GO" xfId="123" xr:uid="{00000000-0005-0000-0000-00007A000000}"/>
    <cellStyle name="new" xfId="124" xr:uid="{00000000-0005-0000-0000-00007B000000}"/>
    <cellStyle name="Normal - Style1" xfId="125" xr:uid="{00000000-0005-0000-0000-00007C000000}"/>
    <cellStyle name="Normal_ SG&amp;A Bridge " xfId="126" xr:uid="{00000000-0005-0000-0000-00007D000000}"/>
    <cellStyle name="Normale_LSCO0697" xfId="127" xr:uid="{00000000-0005-0000-0000-00007E000000}"/>
    <cellStyle name="per.style" xfId="128" xr:uid="{00000000-0005-0000-0000-00007F000000}"/>
    <cellStyle name="Percent [0]" xfId="129" xr:uid="{00000000-0005-0000-0000-000080000000}"/>
    <cellStyle name="Percent [00]" xfId="130" xr:uid="{00000000-0005-0000-0000-000081000000}"/>
    <cellStyle name="Percent [2]" xfId="131" xr:uid="{00000000-0005-0000-0000-000082000000}"/>
    <cellStyle name="Percent_#6 Temps &amp; Contractors" xfId="132" xr:uid="{00000000-0005-0000-0000-000083000000}"/>
    <cellStyle name="PrePop Currency (0)" xfId="133" xr:uid="{00000000-0005-0000-0000-000084000000}"/>
    <cellStyle name="PrePop Currency (2)" xfId="134" xr:uid="{00000000-0005-0000-0000-000085000000}"/>
    <cellStyle name="PrePop Units (0)" xfId="135" xr:uid="{00000000-0005-0000-0000-000086000000}"/>
    <cellStyle name="PrePop Units (1)" xfId="136" xr:uid="{00000000-0005-0000-0000-000087000000}"/>
    <cellStyle name="PrePop Units (2)" xfId="137" xr:uid="{00000000-0005-0000-0000-000088000000}"/>
    <cellStyle name="price" xfId="138" xr:uid="{00000000-0005-0000-0000-000089000000}"/>
    <cellStyle name="pricing" xfId="139" xr:uid="{00000000-0005-0000-0000-00008A000000}"/>
    <cellStyle name="PSChar" xfId="140" xr:uid="{00000000-0005-0000-0000-00008B000000}"/>
    <cellStyle name="PSDate" xfId="141" xr:uid="{00000000-0005-0000-0000-00008C000000}"/>
    <cellStyle name="PSDec" xfId="142" xr:uid="{00000000-0005-0000-0000-00008D000000}"/>
    <cellStyle name="PSHeading" xfId="143" xr:uid="{00000000-0005-0000-0000-00008E000000}"/>
    <cellStyle name="PSInt" xfId="144" xr:uid="{00000000-0005-0000-0000-00008F000000}"/>
    <cellStyle name="PSSpacer" xfId="145" xr:uid="{00000000-0005-0000-0000-000090000000}"/>
    <cellStyle name="regstoresfromspecstores" xfId="146" xr:uid="{00000000-0005-0000-0000-000091000000}"/>
    <cellStyle name="revised" xfId="147" xr:uid="{00000000-0005-0000-0000-000092000000}"/>
    <cellStyle name="RevList" xfId="148" xr:uid="{00000000-0005-0000-0000-000093000000}"/>
    <cellStyle name="SAPBEXaggData" xfId="149" xr:uid="{00000000-0005-0000-0000-000094000000}"/>
    <cellStyle name="SAPBEXaggDataEmph" xfId="150" xr:uid="{00000000-0005-0000-0000-000095000000}"/>
    <cellStyle name="SAPBEXaggItem" xfId="151" xr:uid="{00000000-0005-0000-0000-000096000000}"/>
    <cellStyle name="SAPBEXchaText" xfId="152" xr:uid="{00000000-0005-0000-0000-000097000000}"/>
    <cellStyle name="SAPBEXexcBad" xfId="153" xr:uid="{00000000-0005-0000-0000-000098000000}"/>
    <cellStyle name="SAPBEXexcCritical" xfId="154" xr:uid="{00000000-0005-0000-0000-000099000000}"/>
    <cellStyle name="SAPBEXexcGood" xfId="155" xr:uid="{00000000-0005-0000-0000-00009A000000}"/>
    <cellStyle name="SAPBEXexcVeryBad" xfId="156" xr:uid="{00000000-0005-0000-0000-00009B000000}"/>
    <cellStyle name="SAPBEXfilterDrill" xfId="157" xr:uid="{00000000-0005-0000-0000-00009C000000}"/>
    <cellStyle name="SAPBEXfilterItem" xfId="158" xr:uid="{00000000-0005-0000-0000-00009D000000}"/>
    <cellStyle name="SAPBEXfilterText" xfId="159" xr:uid="{00000000-0005-0000-0000-00009E000000}"/>
    <cellStyle name="SAPBEXformats" xfId="160" xr:uid="{00000000-0005-0000-0000-00009F000000}"/>
    <cellStyle name="SAPBEXheaderData" xfId="161" xr:uid="{00000000-0005-0000-0000-0000A0000000}"/>
    <cellStyle name="SAPBEXheaderItem" xfId="162" xr:uid="{00000000-0005-0000-0000-0000A1000000}"/>
    <cellStyle name="SAPBEXheaderText" xfId="163" xr:uid="{00000000-0005-0000-0000-0000A2000000}"/>
    <cellStyle name="SAPBEXresData" xfId="164" xr:uid="{00000000-0005-0000-0000-0000A3000000}"/>
    <cellStyle name="SAPBEXresDataEmph" xfId="165" xr:uid="{00000000-0005-0000-0000-0000A4000000}"/>
    <cellStyle name="SAPBEXresItem" xfId="166" xr:uid="{00000000-0005-0000-0000-0000A5000000}"/>
    <cellStyle name="SAPBEXstdData" xfId="167" xr:uid="{00000000-0005-0000-0000-0000A6000000}"/>
    <cellStyle name="SAPBEXstdDataEmph" xfId="168" xr:uid="{00000000-0005-0000-0000-0000A7000000}"/>
    <cellStyle name="SAPBEXstdItem" xfId="169" xr:uid="{00000000-0005-0000-0000-0000A8000000}"/>
    <cellStyle name="SAPBEXsubData" xfId="170" xr:uid="{00000000-0005-0000-0000-0000A9000000}"/>
    <cellStyle name="SAPBEXsubDataEmph" xfId="171" xr:uid="{00000000-0005-0000-0000-0000AA000000}"/>
    <cellStyle name="SAPBEXsubItem" xfId="172" xr:uid="{00000000-0005-0000-0000-0000AB000000}"/>
    <cellStyle name="SAPBEXtitle" xfId="173" xr:uid="{00000000-0005-0000-0000-0000AC000000}"/>
    <cellStyle name="SAPBEXundefined" xfId="174" xr:uid="{00000000-0005-0000-0000-0000AD000000}"/>
    <cellStyle name="section" xfId="175" xr:uid="{00000000-0005-0000-0000-0000AE000000}"/>
    <cellStyle name="SHADEDSTORES" xfId="176" xr:uid="{00000000-0005-0000-0000-0000AF000000}"/>
    <cellStyle name="specstores" xfId="177" xr:uid="{00000000-0005-0000-0000-0000B0000000}"/>
    <cellStyle name="SPOl" xfId="178" xr:uid="{00000000-0005-0000-0000-0000B1000000}"/>
    <cellStyle name="standard" xfId="179" xr:uid="{00000000-0005-0000-0000-0000B2000000}"/>
    <cellStyle name="subhead" xfId="180" xr:uid="{00000000-0005-0000-0000-0000B3000000}"/>
    <cellStyle name="Subtotal" xfId="181" xr:uid="{00000000-0005-0000-0000-0000B4000000}"/>
    <cellStyle name="Text Indent A" xfId="182" xr:uid="{00000000-0005-0000-0000-0000B5000000}"/>
    <cellStyle name="Text Indent B" xfId="183" xr:uid="{00000000-0005-0000-0000-0000B6000000}"/>
    <cellStyle name="Text Indent C" xfId="184" xr:uid="{00000000-0005-0000-0000-0000B7000000}"/>
    <cellStyle name="title" xfId="185" xr:uid="{00000000-0005-0000-0000-0000B8000000}"/>
    <cellStyle name="u" xfId="186" xr:uid="{00000000-0005-0000-0000-0000B9000000}"/>
    <cellStyle name="アクセント 1 2" xfId="187" xr:uid="{00000000-0005-0000-0000-0000BA000000}"/>
    <cellStyle name="アクセント 1 3" xfId="188" xr:uid="{00000000-0005-0000-0000-0000BB000000}"/>
    <cellStyle name="アクセント 1 4" xfId="189" xr:uid="{00000000-0005-0000-0000-0000BC000000}"/>
    <cellStyle name="アクセント 2 2" xfId="190" xr:uid="{00000000-0005-0000-0000-0000BD000000}"/>
    <cellStyle name="アクセント 2 3" xfId="191" xr:uid="{00000000-0005-0000-0000-0000BE000000}"/>
    <cellStyle name="アクセント 2 4" xfId="192" xr:uid="{00000000-0005-0000-0000-0000BF000000}"/>
    <cellStyle name="アクセント 3 2" xfId="193" xr:uid="{00000000-0005-0000-0000-0000C0000000}"/>
    <cellStyle name="アクセント 3 3" xfId="194" xr:uid="{00000000-0005-0000-0000-0000C1000000}"/>
    <cellStyle name="アクセント 3 4" xfId="195" xr:uid="{00000000-0005-0000-0000-0000C2000000}"/>
    <cellStyle name="アクセント 4 2" xfId="196" xr:uid="{00000000-0005-0000-0000-0000C3000000}"/>
    <cellStyle name="アクセント 4 3" xfId="197" xr:uid="{00000000-0005-0000-0000-0000C4000000}"/>
    <cellStyle name="アクセント 4 4" xfId="198" xr:uid="{00000000-0005-0000-0000-0000C5000000}"/>
    <cellStyle name="アクセント 5 2" xfId="199" xr:uid="{00000000-0005-0000-0000-0000C6000000}"/>
    <cellStyle name="アクセント 5 3" xfId="200" xr:uid="{00000000-0005-0000-0000-0000C7000000}"/>
    <cellStyle name="アクセント 5 4" xfId="201" xr:uid="{00000000-0005-0000-0000-0000C8000000}"/>
    <cellStyle name="アクセント 6 2" xfId="202" xr:uid="{00000000-0005-0000-0000-0000C9000000}"/>
    <cellStyle name="アクセント 6 3" xfId="203" xr:uid="{00000000-0005-0000-0000-0000CA000000}"/>
    <cellStyle name="アクセント 6 4" xfId="204" xr:uid="{00000000-0005-0000-0000-0000CB000000}"/>
    <cellStyle name="スタイル 1" xfId="205" xr:uid="{00000000-0005-0000-0000-0000CC000000}"/>
    <cellStyle name="センター" xfId="206" xr:uid="{00000000-0005-0000-0000-0000CD000000}"/>
    <cellStyle name="タイトル 2" xfId="207" xr:uid="{00000000-0005-0000-0000-0000CE000000}"/>
    <cellStyle name="タイトル 3" xfId="208" xr:uid="{00000000-0005-0000-0000-0000CF000000}"/>
    <cellStyle name="タイトル 4" xfId="209" xr:uid="{00000000-0005-0000-0000-0000D0000000}"/>
    <cellStyle name="チェック セル 2" xfId="210" xr:uid="{00000000-0005-0000-0000-0000D1000000}"/>
    <cellStyle name="チェック セル 3" xfId="211" xr:uid="{00000000-0005-0000-0000-0000D2000000}"/>
    <cellStyle name="チェック セル 4" xfId="212" xr:uid="{00000000-0005-0000-0000-0000D3000000}"/>
    <cellStyle name="どちらでもない 2" xfId="213" xr:uid="{00000000-0005-0000-0000-0000D4000000}"/>
    <cellStyle name="どちらでもない 3" xfId="214" xr:uid="{00000000-0005-0000-0000-0000D5000000}"/>
    <cellStyle name="どちらでもない 4" xfId="215" xr:uid="{00000000-0005-0000-0000-0000D6000000}"/>
    <cellStyle name="メモ 2" xfId="216" xr:uid="{00000000-0005-0000-0000-0000D7000000}"/>
    <cellStyle name="メモ 3" xfId="217" xr:uid="{00000000-0005-0000-0000-0000D8000000}"/>
    <cellStyle name="メモ 4" xfId="218" xr:uid="{00000000-0005-0000-0000-0000D9000000}"/>
    <cellStyle name="リンク セル 2" xfId="219" xr:uid="{00000000-0005-0000-0000-0000DA000000}"/>
    <cellStyle name="リンク セル 3" xfId="220" xr:uid="{00000000-0005-0000-0000-0000DB000000}"/>
    <cellStyle name="リンク セル 4" xfId="221" xr:uid="{00000000-0005-0000-0000-0000DC000000}"/>
    <cellStyle name="_x001d__x000c_K_x0014__x000d_&gt;V_x0001_&gt;_x0014_n_x001e__x0007__x0001__x0001_" xfId="222" xr:uid="{00000000-0005-0000-0000-0000DD000000}"/>
    <cellStyle name="悪い 2" xfId="223" xr:uid="{00000000-0005-0000-0000-0000DE000000}"/>
    <cellStyle name="悪い 3" xfId="224" xr:uid="{00000000-0005-0000-0000-0000DF000000}"/>
    <cellStyle name="悪い 4" xfId="225" xr:uid="{00000000-0005-0000-0000-0000E0000000}"/>
    <cellStyle name="価格桁区切り" xfId="226" xr:uid="{00000000-0005-0000-0000-0000E1000000}"/>
    <cellStyle name="型番" xfId="227" xr:uid="{00000000-0005-0000-0000-0000E2000000}"/>
    <cellStyle name="罫線" xfId="228" xr:uid="{00000000-0005-0000-0000-0000E3000000}"/>
    <cellStyle name="計算 2" xfId="229" xr:uid="{00000000-0005-0000-0000-0000E4000000}"/>
    <cellStyle name="計算 3" xfId="230" xr:uid="{00000000-0005-0000-0000-0000E5000000}"/>
    <cellStyle name="計算 4" xfId="231" xr:uid="{00000000-0005-0000-0000-0000E6000000}"/>
    <cellStyle name="警告文 2" xfId="232" xr:uid="{00000000-0005-0000-0000-0000E7000000}"/>
    <cellStyle name="警告文 3" xfId="233" xr:uid="{00000000-0005-0000-0000-0000E8000000}"/>
    <cellStyle name="警告文 4" xfId="234" xr:uid="{00000000-0005-0000-0000-0000E9000000}"/>
    <cellStyle name="桁蟻唇Ｆ [0.00]_laroux" xfId="235" xr:uid="{00000000-0005-0000-0000-0000EA000000}"/>
    <cellStyle name="桁蟻唇Ｆ_A°DAU±ATIsA" xfId="236" xr:uid="{00000000-0005-0000-0000-0000EB000000}"/>
    <cellStyle name="桁区切り [0.00]???瑳?倨???渭湯??:l search ; *.xla; *.xlt; *.xlm; *t match these search criteria:" xfId="237" xr:uid="{00000000-0005-0000-0000-0000EC000000}"/>
    <cellStyle name="見出し 1 2" xfId="238" xr:uid="{00000000-0005-0000-0000-0000ED000000}"/>
    <cellStyle name="見出し 1 3" xfId="239" xr:uid="{00000000-0005-0000-0000-0000EE000000}"/>
    <cellStyle name="見出し 1 4" xfId="240" xr:uid="{00000000-0005-0000-0000-0000EF000000}"/>
    <cellStyle name="見出し 2 2" xfId="241" xr:uid="{00000000-0005-0000-0000-0000F0000000}"/>
    <cellStyle name="見出し 2 3" xfId="242" xr:uid="{00000000-0005-0000-0000-0000F1000000}"/>
    <cellStyle name="見出し 2 4" xfId="243" xr:uid="{00000000-0005-0000-0000-0000F2000000}"/>
    <cellStyle name="見出し 3 2" xfId="244" xr:uid="{00000000-0005-0000-0000-0000F3000000}"/>
    <cellStyle name="見出し 3 3" xfId="245" xr:uid="{00000000-0005-0000-0000-0000F4000000}"/>
    <cellStyle name="見出し 3 4" xfId="246" xr:uid="{00000000-0005-0000-0000-0000F5000000}"/>
    <cellStyle name="見出し 4 2" xfId="247" xr:uid="{00000000-0005-0000-0000-0000F6000000}"/>
    <cellStyle name="見出し 4 3" xfId="248" xr:uid="{00000000-0005-0000-0000-0000F7000000}"/>
    <cellStyle name="見出し 4 4" xfId="249" xr:uid="{00000000-0005-0000-0000-0000F8000000}"/>
    <cellStyle name="作業ﾌﾛｰ" xfId="250" xr:uid="{00000000-0005-0000-0000-0000F9000000}"/>
    <cellStyle name="資料" xfId="251" xr:uid="{00000000-0005-0000-0000-0000FA000000}"/>
    <cellStyle name="資料２" xfId="252" xr:uid="{00000000-0005-0000-0000-0000FB000000}"/>
    <cellStyle name="集計 2" xfId="253" xr:uid="{00000000-0005-0000-0000-0000FC000000}"/>
    <cellStyle name="集計 3" xfId="254" xr:uid="{00000000-0005-0000-0000-0000FD000000}"/>
    <cellStyle name="集計 4" xfId="255" xr:uid="{00000000-0005-0000-0000-0000FE000000}"/>
    <cellStyle name="出力 2" xfId="256" xr:uid="{00000000-0005-0000-0000-0000FF000000}"/>
    <cellStyle name="出力 3" xfId="257" xr:uid="{00000000-0005-0000-0000-000000010000}"/>
    <cellStyle name="出力 4" xfId="258" xr:uid="{00000000-0005-0000-0000-000001010000}"/>
    <cellStyle name="説明文 2" xfId="259" xr:uid="{00000000-0005-0000-0000-000002010000}"/>
    <cellStyle name="説明文 3" xfId="260" xr:uid="{00000000-0005-0000-0000-000003010000}"/>
    <cellStyle name="説明文 4" xfId="261" xr:uid="{00000000-0005-0000-0000-000004010000}"/>
    <cellStyle name="入力 2" xfId="262" xr:uid="{00000000-0005-0000-0000-000005010000}"/>
    <cellStyle name="入力 3" xfId="263" xr:uid="{00000000-0005-0000-0000-000006010000}"/>
    <cellStyle name="入力 4" xfId="264" xr:uid="{00000000-0005-0000-0000-000007010000}"/>
    <cellStyle name="標準" xfId="0" builtinId="0"/>
    <cellStyle name="標準 2" xfId="265" xr:uid="{00000000-0005-0000-0000-000009010000}"/>
    <cellStyle name="標準 3" xfId="266" xr:uid="{00000000-0005-0000-0000-00000A010000}"/>
    <cellStyle name="標準 4" xfId="267" xr:uid="{00000000-0005-0000-0000-00000B010000}"/>
    <cellStyle name="標準 5" xfId="268" xr:uid="{00000000-0005-0000-0000-00000C010000}"/>
    <cellStyle name="標準 6" xfId="269" xr:uid="{00000000-0005-0000-0000-00000D010000}"/>
    <cellStyle name="標準 7" xfId="270" xr:uid="{00000000-0005-0000-0000-00000E010000}"/>
    <cellStyle name="標準 8" xfId="271" xr:uid="{00000000-0005-0000-0000-00000F010000}"/>
    <cellStyle name="標準_32_単体テスト要領書レビューチェックリスト" xfId="272" xr:uid="{00000000-0005-0000-0000-000010010000}"/>
    <cellStyle name="標準2" xfId="273" xr:uid="{00000000-0005-0000-0000-000011010000}"/>
    <cellStyle name="標準２" xfId="274" xr:uid="{00000000-0005-0000-0000-000012010000}"/>
    <cellStyle name="標準2_DAIICH" xfId="275" xr:uid="{00000000-0005-0000-0000-000013010000}"/>
    <cellStyle name="未定義" xfId="276" xr:uid="{00000000-0005-0000-0000-000014010000}"/>
    <cellStyle name="良い 2" xfId="277" xr:uid="{00000000-0005-0000-0000-000015010000}"/>
    <cellStyle name="良い 3" xfId="278" xr:uid="{00000000-0005-0000-0000-000016010000}"/>
    <cellStyle name="良い 4" xfId="279" xr:uid="{00000000-0005-0000-0000-00001701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13</xdr:col>
      <xdr:colOff>419100</xdr:colOff>
      <xdr:row>39</xdr:row>
      <xdr:rowOff>0</xdr:rowOff>
    </xdr:from>
    <xdr:to>
      <xdr:col>13</xdr:col>
      <xdr:colOff>419100</xdr:colOff>
      <xdr:row>39</xdr:row>
      <xdr:rowOff>0</xdr:rowOff>
    </xdr:to>
    <xdr:sp macro="" textlink="">
      <xdr:nvSpPr>
        <xdr:cNvPr id="7380" name="Line 2">
          <a:extLst>
            <a:ext uri="{FF2B5EF4-FFF2-40B4-BE49-F238E27FC236}">
              <a16:creationId xmlns:a16="http://schemas.microsoft.com/office/drawing/2014/main" id="{00000000-0008-0000-0000-0000D41C0000}"/>
            </a:ext>
          </a:extLst>
        </xdr:cNvPr>
        <xdr:cNvSpPr>
          <a:spLocks noChangeShapeType="1"/>
        </xdr:cNvSpPr>
      </xdr:nvSpPr>
      <xdr:spPr bwMode="auto">
        <a:xfrm flipH="1">
          <a:off x="4067175" y="71532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13</xdr:col>
      <xdr:colOff>352425</xdr:colOff>
      <xdr:row>3</xdr:row>
      <xdr:rowOff>190500</xdr:rowOff>
    </xdr:from>
    <xdr:to>
      <xdr:col>14</xdr:col>
      <xdr:colOff>157257</xdr:colOff>
      <xdr:row>3</xdr:row>
      <xdr:rowOff>333375</xdr:rowOff>
    </xdr:to>
    <xdr:sp macro="" textlink="">
      <xdr:nvSpPr>
        <xdr:cNvPr id="7188" name="Rectangle 20">
          <a:extLst>
            <a:ext uri="{FF2B5EF4-FFF2-40B4-BE49-F238E27FC236}">
              <a16:creationId xmlns:a16="http://schemas.microsoft.com/office/drawing/2014/main" id="{00000000-0008-0000-0000-0000141C0000}"/>
            </a:ext>
          </a:extLst>
        </xdr:cNvPr>
        <xdr:cNvSpPr>
          <a:spLocks noChangeArrowheads="1"/>
        </xdr:cNvSpPr>
      </xdr:nvSpPr>
      <xdr:spPr bwMode="auto">
        <a:xfrm>
          <a:off x="4000500" y="600075"/>
          <a:ext cx="333375" cy="142875"/>
        </a:xfrm>
        <a:prstGeom prst="rect">
          <a:avLst/>
        </a:prstGeom>
        <a:noFill/>
        <a:ln w="9525">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000" b="0" i="0" u="none" strike="noStrike" baseline="0">
              <a:solidFill>
                <a:srgbClr val="FF0000"/>
              </a:solidFill>
              <a:latin typeface="ＭＳ Ｐゴシック"/>
              <a:ea typeface="ＭＳ Ｐゴシック"/>
            </a:rPr>
            <a:t>xxxx</a:t>
          </a:r>
          <a:endParaRPr lang="ja-JP" altLang="en-US"/>
        </a:p>
      </xdr:txBody>
    </xdr:sp>
    <xdr:clientData/>
  </xdr:twoCellAnchor>
  <xdr:twoCellAnchor>
    <xdr:from>
      <xdr:col>16</xdr:col>
      <xdr:colOff>0</xdr:colOff>
      <xdr:row>45</xdr:row>
      <xdr:rowOff>76200</xdr:rowOff>
    </xdr:from>
    <xdr:to>
      <xdr:col>17</xdr:col>
      <xdr:colOff>47625</xdr:colOff>
      <xdr:row>46</xdr:row>
      <xdr:rowOff>76200</xdr:rowOff>
    </xdr:to>
    <xdr:sp macro="" textlink="">
      <xdr:nvSpPr>
        <xdr:cNvPr id="7382" name="Freeform 21">
          <a:extLst>
            <a:ext uri="{FF2B5EF4-FFF2-40B4-BE49-F238E27FC236}">
              <a16:creationId xmlns:a16="http://schemas.microsoft.com/office/drawing/2014/main" id="{00000000-0008-0000-0000-0000D61C0000}"/>
            </a:ext>
          </a:extLst>
        </xdr:cNvPr>
        <xdr:cNvSpPr>
          <a:spLocks/>
        </xdr:cNvSpPr>
      </xdr:nvSpPr>
      <xdr:spPr bwMode="auto">
        <a:xfrm>
          <a:off x="4781550" y="8372475"/>
          <a:ext cx="323850" cy="190500"/>
        </a:xfrm>
        <a:custGeom>
          <a:avLst/>
          <a:gdLst>
            <a:gd name="T0" fmla="*/ 0 w 38"/>
            <a:gd name="T1" fmla="*/ 2147483647 h 26"/>
            <a:gd name="T2" fmla="*/ 2147483647 w 38"/>
            <a:gd name="T3" fmla="*/ 2147483647 h 26"/>
            <a:gd name="T4" fmla="*/ 2147483647 w 38"/>
            <a:gd name="T5" fmla="*/ 2147483647 h 26"/>
            <a:gd name="T6" fmla="*/ 0 60000 65536"/>
            <a:gd name="T7" fmla="*/ 0 60000 65536"/>
            <a:gd name="T8" fmla="*/ 0 60000 65536"/>
            <a:gd name="T9" fmla="*/ 0 w 38"/>
            <a:gd name="T10" fmla="*/ 0 h 26"/>
            <a:gd name="T11" fmla="*/ 38 w 38"/>
            <a:gd name="T12" fmla="*/ 26 h 26"/>
          </a:gdLst>
          <a:ahLst/>
          <a:cxnLst>
            <a:cxn ang="T6">
              <a:pos x="T0" y="T1"/>
            </a:cxn>
            <a:cxn ang="T7">
              <a:pos x="T2" y="T3"/>
            </a:cxn>
            <a:cxn ang="T8">
              <a:pos x="T4" y="T5"/>
            </a:cxn>
          </a:cxnLst>
          <a:rect l="T9" t="T10" r="T11" b="T12"/>
          <a:pathLst>
            <a:path w="38" h="26">
              <a:moveTo>
                <a:pt x="0" y="2"/>
              </a:moveTo>
              <a:cubicBezTo>
                <a:pt x="11" y="1"/>
                <a:pt x="23" y="0"/>
                <a:pt x="29" y="4"/>
              </a:cubicBezTo>
              <a:cubicBezTo>
                <a:pt x="35" y="8"/>
                <a:pt x="36" y="17"/>
                <a:pt x="38" y="26"/>
              </a:cubicBezTo>
            </a:path>
          </a:pathLst>
        </a:custGeom>
        <a:noFill/>
        <a:ln w="9525">
          <a:solidFill>
            <a:srgbClr val="000000"/>
          </a:solidFill>
          <a:prstDash val="dash"/>
          <a:round/>
          <a:headEnd/>
          <a:tailEnd type="triangle" w="med" len="me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352425</xdr:colOff>
      <xdr:row>3</xdr:row>
      <xdr:rowOff>9525</xdr:rowOff>
    </xdr:from>
    <xdr:to>
      <xdr:col>14</xdr:col>
      <xdr:colOff>161925</xdr:colOff>
      <xdr:row>3</xdr:row>
      <xdr:rowOff>152400</xdr:rowOff>
    </xdr:to>
    <xdr:sp macro="" textlink="">
      <xdr:nvSpPr>
        <xdr:cNvPr id="7383" name="Rectangle 22">
          <a:extLst>
            <a:ext uri="{FF2B5EF4-FFF2-40B4-BE49-F238E27FC236}">
              <a16:creationId xmlns:a16="http://schemas.microsoft.com/office/drawing/2014/main" id="{00000000-0008-0000-0000-0000D71C0000}"/>
            </a:ext>
          </a:extLst>
        </xdr:cNvPr>
        <xdr:cNvSpPr>
          <a:spLocks noChangeArrowheads="1"/>
        </xdr:cNvSpPr>
      </xdr:nvSpPr>
      <xdr:spPr bwMode="auto">
        <a:xfrm>
          <a:off x="4000500" y="419100"/>
          <a:ext cx="333375" cy="142875"/>
        </a:xfrm>
        <a:prstGeom prst="rect">
          <a:avLst/>
        </a:prstGeom>
        <a:solidFill>
          <a:srgbClr val="CCFFCC"/>
        </a:solidFill>
        <a:ln w="9525">
          <a:solidFill>
            <a:srgbClr val="000000"/>
          </a:solidFill>
          <a:miter lim="800000"/>
          <a:headEnd/>
          <a:tailEnd/>
        </a:ln>
      </xdr:spPr>
    </xdr:sp>
    <xdr:clientData/>
  </xdr:twoCellAnchor>
  <xdr:twoCellAnchor>
    <xdr:from>
      <xdr:col>0</xdr:col>
      <xdr:colOff>0</xdr:colOff>
      <xdr:row>0</xdr:row>
      <xdr:rowOff>0</xdr:rowOff>
    </xdr:from>
    <xdr:to>
      <xdr:col>3</xdr:col>
      <xdr:colOff>20998</xdr:colOff>
      <xdr:row>1</xdr:row>
      <xdr:rowOff>133737</xdr:rowOff>
    </xdr:to>
    <xdr:sp macro="" textlink="">
      <xdr:nvSpPr>
        <xdr:cNvPr id="7191" name="Text Box 23">
          <a:extLst>
            <a:ext uri="{FF2B5EF4-FFF2-40B4-BE49-F238E27FC236}">
              <a16:creationId xmlns:a16="http://schemas.microsoft.com/office/drawing/2014/main" id="{00000000-0008-0000-0000-0000171C0000}"/>
            </a:ext>
          </a:extLst>
        </xdr:cNvPr>
        <xdr:cNvSpPr txBox="1">
          <a:spLocks noChangeArrowheads="1"/>
        </xdr:cNvSpPr>
      </xdr:nvSpPr>
      <xdr:spPr bwMode="auto">
        <a:xfrm>
          <a:off x="0" y="0"/>
          <a:ext cx="314325" cy="15240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秘</a:t>
          </a:r>
          <a:endParaRPr lang="ja-JP" altLang="en-US"/>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64</xdr:row>
      <xdr:rowOff>9525</xdr:rowOff>
    </xdr:from>
    <xdr:to>
      <xdr:col>2</xdr:col>
      <xdr:colOff>1895781</xdr:colOff>
      <xdr:row>75</xdr:row>
      <xdr:rowOff>918</xdr:rowOff>
    </xdr:to>
    <xdr:sp macro="" textlink="">
      <xdr:nvSpPr>
        <xdr:cNvPr id="2050" name="Text Box 2">
          <a:extLst>
            <a:ext uri="{FF2B5EF4-FFF2-40B4-BE49-F238E27FC236}">
              <a16:creationId xmlns:a16="http://schemas.microsoft.com/office/drawing/2014/main" id="{00000000-0008-0000-0100-000002080000}"/>
            </a:ext>
          </a:extLst>
        </xdr:cNvPr>
        <xdr:cNvSpPr txBox="1">
          <a:spLocks noChangeArrowheads="1"/>
        </xdr:cNvSpPr>
      </xdr:nvSpPr>
      <xdr:spPr bwMode="auto">
        <a:xfrm>
          <a:off x="0" y="10201275"/>
          <a:ext cx="2638425" cy="1876425"/>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　(D)計画段階での誤り　</a:t>
          </a:r>
        </a:p>
        <a:p>
          <a:pPr algn="l" rtl="0">
            <a:defRPr sz="1000"/>
          </a:pPr>
          <a:r>
            <a:rPr lang="ja-JP" altLang="en-US" sz="800" b="0" i="0" u="none" strike="noStrike" baseline="0">
              <a:solidFill>
                <a:srgbClr val="000000"/>
              </a:solidFill>
              <a:latin typeface="ＭＳ Ｐゴシック"/>
              <a:ea typeface="ＭＳ Ｐゴシック"/>
            </a:rPr>
            <a:t>　　　D1：計画内容の抜け</a:t>
          </a:r>
        </a:p>
        <a:p>
          <a:pPr algn="l" rtl="0">
            <a:lnSpc>
              <a:spcPts val="900"/>
            </a:lnSpc>
            <a:defRPr sz="1000"/>
          </a:pPr>
          <a:r>
            <a:rPr lang="ja-JP" altLang="en-US" sz="800" b="0" i="0" u="none" strike="noStrike" baseline="0">
              <a:solidFill>
                <a:srgbClr val="000000"/>
              </a:solidFill>
              <a:latin typeface="ＭＳ Ｐゴシック"/>
              <a:ea typeface="ＭＳ Ｐゴシック"/>
            </a:rPr>
            <a:t>　　　D2：計画内容の誤り，不整合，記述不足</a:t>
          </a:r>
        </a:p>
        <a:p>
          <a:pPr algn="l" rtl="0">
            <a:defRPr sz="1000"/>
          </a:pPr>
          <a:r>
            <a:rPr lang="ja-JP" altLang="en-US" sz="800" b="0" i="0" u="none" strike="noStrike" baseline="0">
              <a:solidFill>
                <a:srgbClr val="000000"/>
              </a:solidFill>
              <a:latin typeface="ＭＳ Ｐゴシック"/>
              <a:ea typeface="ＭＳ Ｐゴシック"/>
            </a:rPr>
            <a:t>　　　DZ：その他</a:t>
          </a:r>
        </a:p>
        <a:p>
          <a:pPr algn="l" rtl="0">
            <a:lnSpc>
              <a:spcPts val="900"/>
            </a:lnSpc>
            <a:defRPr sz="1000"/>
          </a:pPr>
          <a:r>
            <a:rPr lang="ja-JP" altLang="en-US" sz="800" b="0" i="0" u="none" strike="noStrike" baseline="0">
              <a:solidFill>
                <a:srgbClr val="000000"/>
              </a:solidFill>
              <a:latin typeface="ＭＳ Ｐゴシック"/>
              <a:ea typeface="ＭＳ Ｐゴシック"/>
            </a:rPr>
            <a:t>　(0) 要件定義段階での誤り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0A:要件の抜け及び解釈誤り</a:t>
          </a:r>
        </a:p>
        <a:p>
          <a:pPr algn="l" rtl="0">
            <a:defRPr sz="1000"/>
          </a:pPr>
          <a:r>
            <a:rPr lang="ja-JP" altLang="en-US" sz="800" b="0" i="0" u="none" strike="noStrike" baseline="0">
              <a:solidFill>
                <a:srgbClr val="000000"/>
              </a:solidFill>
              <a:latin typeface="ＭＳ Ｐゴシック"/>
              <a:ea typeface="ＭＳ Ｐゴシック"/>
            </a:rPr>
            <a:t>　　　0B:要件定義の誤り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0C:システム化対象範囲外とのI/Fの誤り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0Z:その他</a:t>
          </a:r>
        </a:p>
        <a:p>
          <a:pPr algn="l" rtl="0">
            <a:defRPr sz="1000"/>
          </a:pPr>
          <a:r>
            <a:rPr lang="ja-JP" altLang="en-US" sz="800" b="0" i="0" u="none" strike="noStrike" baseline="0">
              <a:solidFill>
                <a:srgbClr val="000000"/>
              </a:solidFill>
              <a:latin typeface="ＭＳ Ｐゴシック"/>
              <a:ea typeface="ＭＳ Ｐゴシック"/>
            </a:rPr>
            <a:t>　(1) システム設計(外部設計)段階での誤り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1A:外部仕様の抜け及び要件定義の解釈誤り</a:t>
          </a:r>
        </a:p>
        <a:p>
          <a:pPr algn="l" rtl="0">
            <a:defRPr sz="1000"/>
          </a:pPr>
          <a:r>
            <a:rPr lang="ja-JP" altLang="en-US" sz="800" b="0" i="0" u="none" strike="noStrike" baseline="0">
              <a:solidFill>
                <a:srgbClr val="000000"/>
              </a:solidFill>
              <a:latin typeface="ＭＳ Ｐゴシック"/>
              <a:ea typeface="ＭＳ Ｐゴシック"/>
            </a:rPr>
            <a:t>　　　1B:外部仕様の誤り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1C:機能間I/F仕様の誤り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1Z:その他</a:t>
          </a:r>
          <a:endParaRPr lang="ja-JP" altLang="en-US"/>
        </a:p>
      </xdr:txBody>
    </xdr:sp>
    <xdr:clientData/>
  </xdr:twoCellAnchor>
  <xdr:twoCellAnchor>
    <xdr:from>
      <xdr:col>2</xdr:col>
      <xdr:colOff>1945005</xdr:colOff>
      <xdr:row>64</xdr:row>
      <xdr:rowOff>28575</xdr:rowOff>
    </xdr:from>
    <xdr:to>
      <xdr:col>5</xdr:col>
      <xdr:colOff>1611661</xdr:colOff>
      <xdr:row>74</xdr:row>
      <xdr:rowOff>166716</xdr:rowOff>
    </xdr:to>
    <xdr:sp macro="" textlink="">
      <xdr:nvSpPr>
        <xdr:cNvPr id="2051" name="Text Box 3">
          <a:extLst>
            <a:ext uri="{FF2B5EF4-FFF2-40B4-BE49-F238E27FC236}">
              <a16:creationId xmlns:a16="http://schemas.microsoft.com/office/drawing/2014/main" id="{00000000-0008-0000-0100-000003080000}"/>
            </a:ext>
          </a:extLst>
        </xdr:cNvPr>
        <xdr:cNvSpPr txBox="1">
          <a:spLocks noChangeArrowheads="1"/>
        </xdr:cNvSpPr>
      </xdr:nvSpPr>
      <xdr:spPr bwMode="auto">
        <a:xfrm>
          <a:off x="2695575" y="10220325"/>
          <a:ext cx="3171825" cy="1857375"/>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　(2) SW設計/PRG設計(内部設計)段階での誤り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2A:内部設計漏れ及び外部仕様の解釈誤り</a:t>
          </a:r>
        </a:p>
        <a:p>
          <a:pPr algn="l" rtl="0">
            <a:defRPr sz="1000"/>
          </a:pPr>
          <a:r>
            <a:rPr lang="ja-JP" altLang="en-US" sz="800" b="0" i="0" u="none" strike="noStrike" baseline="0">
              <a:solidFill>
                <a:srgbClr val="000000"/>
              </a:solidFill>
              <a:latin typeface="ＭＳ Ｐゴシック"/>
              <a:ea typeface="ＭＳ Ｐゴシック"/>
            </a:rPr>
            <a:t>　　　2B:内部設計の誤り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2C:モジュール間I/F仕様の誤り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2Z:その他</a:t>
          </a:r>
        </a:p>
        <a:p>
          <a:pPr algn="l" rtl="0">
            <a:defRPr sz="1000"/>
          </a:pPr>
          <a:r>
            <a:rPr lang="ja-JP" altLang="en-US" sz="800" b="0" i="0" u="none" strike="noStrike" baseline="0">
              <a:solidFill>
                <a:srgbClr val="000000"/>
              </a:solidFill>
              <a:latin typeface="ＭＳ Ｐゴシック"/>
              <a:ea typeface="ＭＳ Ｐゴシック"/>
            </a:rPr>
            <a:t>　(3) コーディング段階での誤り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3A:設計どおりのコーディングがされていない</a:t>
          </a:r>
        </a:p>
        <a:p>
          <a:pPr algn="l" rtl="0">
            <a:lnSpc>
              <a:spcPts val="900"/>
            </a:lnSpc>
            <a:defRPr sz="1000"/>
          </a:pPr>
          <a:r>
            <a:rPr lang="ja-JP" altLang="en-US" sz="800" b="0" i="0" u="none" strike="noStrike" baseline="0">
              <a:solidFill>
                <a:srgbClr val="000000"/>
              </a:solidFill>
              <a:latin typeface="ＭＳ Ｐゴシック"/>
              <a:ea typeface="ＭＳ Ｐゴシック"/>
            </a:rPr>
            <a:t>　　　3B:不注意なコーディング・ミス</a:t>
          </a:r>
        </a:p>
        <a:p>
          <a:pPr algn="l" rtl="0">
            <a:lnSpc>
              <a:spcPts val="900"/>
            </a:lnSpc>
            <a:defRPr sz="1000"/>
          </a:pPr>
          <a:r>
            <a:rPr lang="ja-JP" altLang="en-US" sz="800" b="0" i="0" u="none" strike="noStrike" baseline="0">
              <a:solidFill>
                <a:srgbClr val="000000"/>
              </a:solidFill>
              <a:latin typeface="ＭＳ Ｐゴシック"/>
              <a:ea typeface="ＭＳ Ｐゴシック"/>
            </a:rPr>
            <a:t>　　　3Z:その他</a:t>
          </a:r>
          <a:endParaRPr lang="ja-JP" altLang="en-US"/>
        </a:p>
      </xdr:txBody>
    </xdr:sp>
    <xdr:clientData/>
  </xdr:twoCellAnchor>
  <xdr:twoCellAnchor>
    <xdr:from>
      <xdr:col>5</xdr:col>
      <xdr:colOff>1653540</xdr:colOff>
      <xdr:row>64</xdr:row>
      <xdr:rowOff>11430</xdr:rowOff>
    </xdr:from>
    <xdr:to>
      <xdr:col>10</xdr:col>
      <xdr:colOff>449409</xdr:colOff>
      <xdr:row>74</xdr:row>
      <xdr:rowOff>159166</xdr:rowOff>
    </xdr:to>
    <xdr:sp macro="" textlink="">
      <xdr:nvSpPr>
        <xdr:cNvPr id="2052" name="Text Box 4">
          <a:extLst>
            <a:ext uri="{FF2B5EF4-FFF2-40B4-BE49-F238E27FC236}">
              <a16:creationId xmlns:a16="http://schemas.microsoft.com/office/drawing/2014/main" id="{00000000-0008-0000-0100-000004080000}"/>
            </a:ext>
          </a:extLst>
        </xdr:cNvPr>
        <xdr:cNvSpPr txBox="1">
          <a:spLocks noChangeArrowheads="1"/>
        </xdr:cNvSpPr>
      </xdr:nvSpPr>
      <xdr:spPr bwMode="auto">
        <a:xfrm>
          <a:off x="5915025" y="10210800"/>
          <a:ext cx="2638425" cy="1857375"/>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　(4) その他</a:t>
          </a:r>
        </a:p>
        <a:p>
          <a:pPr algn="l" rtl="0">
            <a:defRPr sz="1000"/>
          </a:pPr>
          <a:r>
            <a:rPr lang="ja-JP" altLang="en-US" sz="800" b="0" i="0" u="none" strike="noStrike" baseline="0">
              <a:solidFill>
                <a:srgbClr val="000000"/>
              </a:solidFill>
              <a:latin typeface="ＭＳ Ｐゴシック"/>
              <a:ea typeface="ＭＳ Ｐゴシック"/>
            </a:rPr>
            <a:t>　　　4A:お客様からの仕様変更</a:t>
          </a:r>
        </a:p>
        <a:p>
          <a:pPr algn="l" rtl="0">
            <a:lnSpc>
              <a:spcPts val="900"/>
            </a:lnSpc>
            <a:defRPr sz="1000"/>
          </a:pPr>
          <a:r>
            <a:rPr lang="ja-JP" altLang="en-US" sz="800" b="0" i="0" u="none" strike="noStrike" baseline="0">
              <a:solidFill>
                <a:srgbClr val="000000"/>
              </a:solidFill>
              <a:latin typeface="ＭＳ Ｐゴシック"/>
              <a:ea typeface="ＭＳ Ｐゴシック"/>
            </a:rPr>
            <a:t>　　　4B:表現不備(誤字/脱字など)</a:t>
          </a:r>
        </a:p>
        <a:p>
          <a:pPr algn="l" rtl="0">
            <a:defRPr sz="1000"/>
          </a:pPr>
          <a:r>
            <a:rPr lang="ja-JP" altLang="en-US" sz="800" b="0" i="0" u="none" strike="noStrike" baseline="0">
              <a:solidFill>
                <a:srgbClr val="000000"/>
              </a:solidFill>
              <a:latin typeface="ＭＳ Ｐゴシック"/>
              <a:ea typeface="ＭＳ Ｐゴシック"/>
            </a:rPr>
            <a:t>　(5) 試験段階での誤り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5A:仕様の解釈誤り</a:t>
          </a:r>
        </a:p>
        <a:p>
          <a:pPr algn="l" rtl="0">
            <a:lnSpc>
              <a:spcPts val="900"/>
            </a:lnSpc>
            <a:defRPr sz="1000"/>
          </a:pPr>
          <a:r>
            <a:rPr lang="ja-JP" altLang="en-US" sz="800" b="0" i="0" u="none" strike="noStrike" baseline="0">
              <a:solidFill>
                <a:srgbClr val="000000"/>
              </a:solidFill>
              <a:latin typeface="ＭＳ Ｐゴシック"/>
              <a:ea typeface="ＭＳ Ｐゴシック"/>
            </a:rPr>
            <a:t>　　　5B:試験仕様の誤り</a:t>
          </a:r>
        </a:p>
        <a:p>
          <a:pPr algn="l" rtl="0">
            <a:defRPr sz="1000"/>
          </a:pPr>
          <a:r>
            <a:rPr lang="ja-JP" altLang="en-US" sz="800" b="0" i="0" u="none" strike="noStrike" baseline="0">
              <a:solidFill>
                <a:srgbClr val="000000"/>
              </a:solidFill>
              <a:latin typeface="ＭＳ Ｐゴシック"/>
              <a:ea typeface="ＭＳ Ｐゴシック"/>
            </a:rPr>
            <a:t>　　　5C:試験プログラム/データの誤り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5D:試験項目抜け</a:t>
          </a:r>
        </a:p>
        <a:p>
          <a:pPr algn="l" rtl="0">
            <a:defRPr sz="1000"/>
          </a:pPr>
          <a:r>
            <a:rPr lang="ja-JP" altLang="en-US" sz="800" b="0" i="0" u="none" strike="noStrike" baseline="0">
              <a:solidFill>
                <a:srgbClr val="000000"/>
              </a:solidFill>
              <a:latin typeface="ＭＳ Ｐゴシック"/>
              <a:ea typeface="ＭＳ Ｐゴシック"/>
            </a:rPr>
            <a:t>　　　5Z:その他</a:t>
          </a:r>
        </a:p>
        <a:p>
          <a:pPr algn="l" rtl="0">
            <a:lnSpc>
              <a:spcPts val="900"/>
            </a:lnSpc>
            <a:defRPr sz="1000"/>
          </a:pPr>
          <a:r>
            <a:rPr lang="ja-JP" altLang="en-US" sz="800" b="0" i="0" u="none" strike="noStrike" baseline="0">
              <a:solidFill>
                <a:srgbClr val="000000"/>
              </a:solidFill>
              <a:latin typeface="ＭＳ Ｐゴシック"/>
              <a:ea typeface="ＭＳ Ｐゴシック"/>
            </a:rPr>
            <a:t>　(6)プロ完段階での誤り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6A：報告内容の抜け</a:t>
          </a:r>
        </a:p>
        <a:p>
          <a:pPr algn="l" rtl="0">
            <a:defRPr sz="1000"/>
          </a:pPr>
          <a:r>
            <a:rPr lang="ja-JP" altLang="en-US" sz="800" b="0" i="0" u="none" strike="noStrike" baseline="0">
              <a:solidFill>
                <a:srgbClr val="000000"/>
              </a:solidFill>
              <a:latin typeface="ＭＳ Ｐゴシック"/>
              <a:ea typeface="ＭＳ Ｐゴシック"/>
            </a:rPr>
            <a:t>　　　6B：報告内容の誤り，不整合，記述不足</a:t>
          </a:r>
        </a:p>
        <a:p>
          <a:pPr algn="l" rtl="0">
            <a:lnSpc>
              <a:spcPts val="800"/>
            </a:lnSpc>
            <a:defRPr sz="1000"/>
          </a:pPr>
          <a:r>
            <a:rPr lang="ja-JP" altLang="en-US" sz="800" b="0" i="0" u="none" strike="noStrike" baseline="0">
              <a:solidFill>
                <a:srgbClr val="000000"/>
              </a:solidFill>
              <a:latin typeface="ＭＳ Ｐゴシック"/>
              <a:ea typeface="ＭＳ Ｐゴシック"/>
            </a:rPr>
            <a:t>　　　6Z：その他</a:t>
          </a:r>
          <a:endParaRPr lang="ja-JP" altLang="en-US"/>
        </a:p>
      </xdr:txBody>
    </xdr:sp>
    <xdr:clientData/>
  </xdr:twoCellAnchor>
  <xdr:twoCellAnchor>
    <xdr:from>
      <xdr:col>0</xdr:col>
      <xdr:colOff>180975</xdr:colOff>
      <xdr:row>74</xdr:row>
      <xdr:rowOff>0</xdr:rowOff>
    </xdr:from>
    <xdr:to>
      <xdr:col>10</xdr:col>
      <xdr:colOff>381000</xdr:colOff>
      <xdr:row>74</xdr:row>
      <xdr:rowOff>0</xdr:rowOff>
    </xdr:to>
    <xdr:grpSp>
      <xdr:nvGrpSpPr>
        <xdr:cNvPr id="2727" name="Group 7">
          <a:extLst>
            <a:ext uri="{FF2B5EF4-FFF2-40B4-BE49-F238E27FC236}">
              <a16:creationId xmlns:a16="http://schemas.microsoft.com/office/drawing/2014/main" id="{00000000-0008-0000-0100-0000A70A0000}"/>
            </a:ext>
          </a:extLst>
        </xdr:cNvPr>
        <xdr:cNvGrpSpPr>
          <a:grpSpLocks/>
        </xdr:cNvGrpSpPr>
      </xdr:nvGrpSpPr>
      <xdr:grpSpPr bwMode="auto">
        <a:xfrm>
          <a:off x="180975" y="11811000"/>
          <a:ext cx="8305800" cy="0"/>
          <a:chOff x="24" y="1037"/>
          <a:chExt cx="802" cy="156"/>
        </a:xfrm>
      </xdr:grpSpPr>
      <xdr:sp macro="" textlink="">
        <xdr:nvSpPr>
          <xdr:cNvPr id="2056" name="Text Box 8">
            <a:extLst>
              <a:ext uri="{FF2B5EF4-FFF2-40B4-BE49-F238E27FC236}">
                <a16:creationId xmlns:a16="http://schemas.microsoft.com/office/drawing/2014/main" id="{00000000-0008-0000-0100-000008080000}"/>
              </a:ext>
            </a:extLst>
          </xdr:cNvPr>
          <xdr:cNvSpPr txBox="1">
            <a:spLocks noChangeArrowheads="1"/>
          </xdr:cNvSpPr>
        </xdr:nvSpPr>
        <xdr:spPr bwMode="auto">
          <a:xfrm>
            <a:off x="16344870605850" y="13430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　(0) 要件定義段階での誤り</a:t>
            </a:r>
          </a:p>
          <a:p>
            <a:pPr algn="l" rtl="0">
              <a:defRPr sz="1000"/>
            </a:pPr>
            <a:r>
              <a:rPr lang="ja-JP" altLang="en-US" sz="900" b="0" i="0" u="none" strike="noStrike" baseline="0">
                <a:solidFill>
                  <a:srgbClr val="000000"/>
                </a:solidFill>
                <a:latin typeface="ＭＳ Ｐゴシック"/>
                <a:ea typeface="ＭＳ Ｐゴシック"/>
              </a:rPr>
              <a:t>　　　0A:要件の抜け及び解釈誤り</a:t>
            </a:r>
          </a:p>
          <a:p>
            <a:pPr algn="l" rtl="0">
              <a:defRPr sz="1000"/>
            </a:pPr>
            <a:r>
              <a:rPr lang="ja-JP" altLang="en-US" sz="900" b="0" i="0" u="none" strike="noStrike" baseline="0">
                <a:solidFill>
                  <a:srgbClr val="000000"/>
                </a:solidFill>
                <a:latin typeface="ＭＳ Ｐゴシック"/>
                <a:ea typeface="ＭＳ Ｐゴシック"/>
              </a:rPr>
              <a:t>　　　0B:要件定義の誤り</a:t>
            </a:r>
          </a:p>
          <a:p>
            <a:pPr algn="l" rtl="0">
              <a:defRPr sz="1000"/>
            </a:pPr>
            <a:r>
              <a:rPr lang="ja-JP" altLang="en-US" sz="900" b="0" i="0" u="none" strike="noStrike" baseline="0">
                <a:solidFill>
                  <a:srgbClr val="000000"/>
                </a:solidFill>
                <a:latin typeface="ＭＳ Ｐゴシック"/>
                <a:ea typeface="ＭＳ Ｐゴシック"/>
              </a:rPr>
              <a:t>　　　0C:システム化対象範囲外とのI/Fの誤り</a:t>
            </a:r>
          </a:p>
          <a:p>
            <a:pPr algn="l" rtl="0">
              <a:defRPr sz="1000"/>
            </a:pPr>
            <a:r>
              <a:rPr lang="ja-JP" altLang="en-US" sz="900" b="0" i="0" u="none" strike="noStrike" baseline="0">
                <a:solidFill>
                  <a:srgbClr val="000000"/>
                </a:solidFill>
                <a:latin typeface="ＭＳ Ｐゴシック"/>
                <a:ea typeface="ＭＳ Ｐゴシック"/>
              </a:rPr>
              <a:t>　　　0Z:その他</a:t>
            </a:r>
          </a:p>
          <a:p>
            <a:pPr algn="l" rtl="0">
              <a:defRPr sz="1000"/>
            </a:pPr>
            <a:r>
              <a:rPr lang="ja-JP" altLang="en-US" sz="900" b="0" i="0" u="none" strike="noStrike" baseline="0">
                <a:solidFill>
                  <a:srgbClr val="000000"/>
                </a:solidFill>
                <a:latin typeface="ＭＳ Ｐゴシック"/>
                <a:ea typeface="ＭＳ Ｐゴシック"/>
              </a:rPr>
              <a:t>　(1) システム設計(外部設計)段階での誤り</a:t>
            </a:r>
          </a:p>
          <a:p>
            <a:pPr algn="l" rtl="0">
              <a:defRPr sz="1000"/>
            </a:pPr>
            <a:r>
              <a:rPr lang="ja-JP" altLang="en-US" sz="900" b="0" i="0" u="none" strike="noStrike" baseline="0">
                <a:solidFill>
                  <a:srgbClr val="000000"/>
                </a:solidFill>
                <a:latin typeface="ＭＳ Ｐゴシック"/>
                <a:ea typeface="ＭＳ Ｐゴシック"/>
              </a:rPr>
              <a:t>　　　1A:外部仕様の抜け及び要件定義の解釈誤り</a:t>
            </a:r>
          </a:p>
          <a:p>
            <a:pPr algn="l" rtl="0">
              <a:defRPr sz="1000"/>
            </a:pPr>
            <a:r>
              <a:rPr lang="ja-JP" altLang="en-US" sz="900" b="0" i="0" u="none" strike="noStrike" baseline="0">
                <a:solidFill>
                  <a:srgbClr val="000000"/>
                </a:solidFill>
                <a:latin typeface="ＭＳ Ｐゴシック"/>
                <a:ea typeface="ＭＳ Ｐゴシック"/>
              </a:rPr>
              <a:t>　　　1B:外部仕様の誤り</a:t>
            </a:r>
          </a:p>
          <a:p>
            <a:pPr algn="l" rtl="0">
              <a:defRPr sz="1000"/>
            </a:pPr>
            <a:r>
              <a:rPr lang="ja-JP" altLang="en-US" sz="900" b="0" i="0" u="none" strike="noStrike" baseline="0">
                <a:solidFill>
                  <a:srgbClr val="000000"/>
                </a:solidFill>
                <a:latin typeface="ＭＳ Ｐゴシック"/>
                <a:ea typeface="ＭＳ Ｐゴシック"/>
              </a:rPr>
              <a:t>　　　1C:機能間I/F仕様の誤り</a:t>
            </a:r>
          </a:p>
          <a:p>
            <a:pPr algn="l" rtl="0">
              <a:defRPr sz="1000"/>
            </a:pPr>
            <a:r>
              <a:rPr lang="ja-JP" altLang="en-US" sz="900" b="0" i="0" u="none" strike="noStrike" baseline="0">
                <a:solidFill>
                  <a:srgbClr val="000000"/>
                </a:solidFill>
                <a:latin typeface="ＭＳ Ｐゴシック"/>
                <a:ea typeface="ＭＳ Ｐゴシック"/>
              </a:rPr>
              <a:t>　　　1Z:その他</a:t>
            </a:r>
            <a:endParaRPr lang="ja-JP" altLang="en-US"/>
          </a:p>
        </xdr:txBody>
      </xdr:sp>
      <xdr:sp macro="" textlink="">
        <xdr:nvSpPr>
          <xdr:cNvPr id="2057" name="Text Box 9">
            <a:extLst>
              <a:ext uri="{FF2B5EF4-FFF2-40B4-BE49-F238E27FC236}">
                <a16:creationId xmlns:a16="http://schemas.microsoft.com/office/drawing/2014/main" id="{00000000-0008-0000-0100-000009080000}"/>
              </a:ext>
            </a:extLst>
          </xdr:cNvPr>
          <xdr:cNvSpPr txBox="1">
            <a:spLocks noChangeArrowheads="1"/>
          </xdr:cNvSpPr>
        </xdr:nvSpPr>
        <xdr:spPr bwMode="auto">
          <a:xfrm>
            <a:off x="419397513375" y="13430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　(2) SW設計/PRG設計(内部設計)段階での誤り</a:t>
            </a:r>
          </a:p>
          <a:p>
            <a:pPr algn="l" rtl="0">
              <a:defRPr sz="1000"/>
            </a:pPr>
            <a:r>
              <a:rPr lang="ja-JP" altLang="en-US" sz="900" b="0" i="0" u="none" strike="noStrike" baseline="0">
                <a:solidFill>
                  <a:srgbClr val="000000"/>
                </a:solidFill>
                <a:latin typeface="ＭＳ Ｐゴシック"/>
                <a:ea typeface="ＭＳ Ｐゴシック"/>
              </a:rPr>
              <a:t>　　　2A:内部設計漏れ及び外部仕様の解釈誤り</a:t>
            </a:r>
          </a:p>
          <a:p>
            <a:pPr algn="l" rtl="0">
              <a:defRPr sz="1000"/>
            </a:pPr>
            <a:r>
              <a:rPr lang="ja-JP" altLang="en-US" sz="900" b="0" i="0" u="none" strike="noStrike" baseline="0">
                <a:solidFill>
                  <a:srgbClr val="000000"/>
                </a:solidFill>
                <a:latin typeface="ＭＳ Ｐゴシック"/>
                <a:ea typeface="ＭＳ Ｐゴシック"/>
              </a:rPr>
              <a:t>　　　2B:内部設計の誤り</a:t>
            </a:r>
          </a:p>
          <a:p>
            <a:pPr algn="l" rtl="0">
              <a:defRPr sz="1000"/>
            </a:pPr>
            <a:r>
              <a:rPr lang="ja-JP" altLang="en-US" sz="900" b="0" i="0" u="none" strike="noStrike" baseline="0">
                <a:solidFill>
                  <a:srgbClr val="000000"/>
                </a:solidFill>
                <a:latin typeface="ＭＳ Ｐゴシック"/>
                <a:ea typeface="ＭＳ Ｐゴシック"/>
              </a:rPr>
              <a:t>　　　2C:モジュール間I/F仕様の誤り</a:t>
            </a:r>
          </a:p>
          <a:p>
            <a:pPr algn="l" rtl="0">
              <a:defRPr sz="1000"/>
            </a:pPr>
            <a:r>
              <a:rPr lang="ja-JP" altLang="en-US" sz="900" b="0" i="0" u="none" strike="noStrike" baseline="0">
                <a:solidFill>
                  <a:srgbClr val="000000"/>
                </a:solidFill>
                <a:latin typeface="ＭＳ Ｐゴシック"/>
                <a:ea typeface="ＭＳ Ｐゴシック"/>
              </a:rPr>
              <a:t>　　　2Z:その他</a:t>
            </a:r>
          </a:p>
          <a:p>
            <a:pPr algn="l" rtl="0">
              <a:defRPr sz="1000"/>
            </a:pPr>
            <a:r>
              <a:rPr lang="ja-JP" altLang="en-US" sz="900" b="0" i="0" u="none" strike="noStrike" baseline="0">
                <a:solidFill>
                  <a:srgbClr val="000000"/>
                </a:solidFill>
                <a:latin typeface="ＭＳ Ｐゴシック"/>
                <a:ea typeface="ＭＳ Ｐゴシック"/>
              </a:rPr>
              <a:t>　(3) コーディング段階での誤り</a:t>
            </a:r>
          </a:p>
          <a:p>
            <a:pPr algn="l" rtl="0">
              <a:defRPr sz="1000"/>
            </a:pPr>
            <a:r>
              <a:rPr lang="ja-JP" altLang="en-US" sz="900" b="0" i="0" u="none" strike="noStrike" baseline="0">
                <a:solidFill>
                  <a:srgbClr val="000000"/>
                </a:solidFill>
                <a:latin typeface="ＭＳ Ｐゴシック"/>
                <a:ea typeface="ＭＳ Ｐゴシック"/>
              </a:rPr>
              <a:t>　　　3A:設計どおりのコーディングがされていない</a:t>
            </a:r>
          </a:p>
          <a:p>
            <a:pPr algn="l" rtl="0">
              <a:defRPr sz="1000"/>
            </a:pPr>
            <a:r>
              <a:rPr lang="ja-JP" altLang="en-US" sz="900" b="0" i="0" u="none" strike="noStrike" baseline="0">
                <a:solidFill>
                  <a:srgbClr val="000000"/>
                </a:solidFill>
                <a:latin typeface="ＭＳ Ｐゴシック"/>
                <a:ea typeface="ＭＳ Ｐゴシック"/>
              </a:rPr>
              <a:t>　　　3B:不注意なコーディング・ミス</a:t>
            </a:r>
          </a:p>
          <a:p>
            <a:pPr algn="l" rtl="0">
              <a:defRPr sz="1000"/>
            </a:pPr>
            <a:r>
              <a:rPr lang="ja-JP" altLang="en-US" sz="900" b="0" i="0" u="none" strike="noStrike" baseline="0">
                <a:solidFill>
                  <a:srgbClr val="000000"/>
                </a:solidFill>
                <a:latin typeface="ＭＳ Ｐゴシック"/>
                <a:ea typeface="ＭＳ Ｐゴシック"/>
              </a:rPr>
              <a:t>　　　3Z:その他</a:t>
            </a:r>
            <a:endParaRPr lang="ja-JP" altLang="en-US"/>
          </a:p>
        </xdr:txBody>
      </xdr:sp>
      <xdr:sp macro="" textlink="">
        <xdr:nvSpPr>
          <xdr:cNvPr id="2058" name="Text Box 10">
            <a:extLst>
              <a:ext uri="{FF2B5EF4-FFF2-40B4-BE49-F238E27FC236}">
                <a16:creationId xmlns:a16="http://schemas.microsoft.com/office/drawing/2014/main" id="{00000000-0008-0000-0100-00000A080000}"/>
              </a:ext>
            </a:extLst>
          </xdr:cNvPr>
          <xdr:cNvSpPr txBox="1">
            <a:spLocks noChangeArrowheads="1"/>
          </xdr:cNvSpPr>
        </xdr:nvSpPr>
        <xdr:spPr bwMode="auto">
          <a:xfrm>
            <a:off x="171450" y="13430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　(4) その他</a:t>
            </a:r>
          </a:p>
          <a:p>
            <a:pPr algn="l" rtl="0">
              <a:defRPr sz="1000"/>
            </a:pPr>
            <a:r>
              <a:rPr lang="ja-JP" altLang="en-US" sz="900" b="0" i="0" u="none" strike="noStrike" baseline="0">
                <a:solidFill>
                  <a:srgbClr val="000000"/>
                </a:solidFill>
                <a:latin typeface="ＭＳ Ｐゴシック"/>
                <a:ea typeface="ＭＳ Ｐゴシック"/>
              </a:rPr>
              <a:t>　　　4A:お客様からの仕様変更</a:t>
            </a:r>
          </a:p>
          <a:p>
            <a:pPr algn="l" rtl="0">
              <a:defRPr sz="1000"/>
            </a:pPr>
            <a:r>
              <a:rPr lang="ja-JP" altLang="en-US" sz="900" b="0" i="0" u="none" strike="noStrike" baseline="0">
                <a:solidFill>
                  <a:srgbClr val="000000"/>
                </a:solidFill>
                <a:latin typeface="ＭＳ Ｐゴシック"/>
                <a:ea typeface="ＭＳ Ｐゴシック"/>
              </a:rPr>
              <a:t>　　　4B:表現不備(誤字/脱字など)</a:t>
            </a:r>
          </a:p>
          <a:p>
            <a:pPr algn="l" rtl="0">
              <a:defRPr sz="1000"/>
            </a:pPr>
            <a:r>
              <a:rPr lang="ja-JP" altLang="en-US" sz="900" b="0" i="0" u="none" strike="noStrike" baseline="0">
                <a:solidFill>
                  <a:srgbClr val="000000"/>
                </a:solidFill>
                <a:latin typeface="ＭＳ Ｐゴシック"/>
                <a:ea typeface="ＭＳ Ｐゴシック"/>
              </a:rPr>
              <a:t>　(5) 試験段階での誤り</a:t>
            </a:r>
          </a:p>
          <a:p>
            <a:pPr algn="l" rtl="0">
              <a:defRPr sz="1000"/>
            </a:pPr>
            <a:r>
              <a:rPr lang="ja-JP" altLang="en-US" sz="900" b="0" i="0" u="none" strike="noStrike" baseline="0">
                <a:solidFill>
                  <a:srgbClr val="000000"/>
                </a:solidFill>
                <a:latin typeface="ＭＳ Ｐゴシック"/>
                <a:ea typeface="ＭＳ Ｐゴシック"/>
              </a:rPr>
              <a:t>　　　5A:仕様の解釈誤り</a:t>
            </a:r>
          </a:p>
          <a:p>
            <a:pPr algn="l" rtl="0">
              <a:defRPr sz="1000"/>
            </a:pPr>
            <a:r>
              <a:rPr lang="ja-JP" altLang="en-US" sz="900" b="0" i="0" u="none" strike="noStrike" baseline="0">
                <a:solidFill>
                  <a:srgbClr val="000000"/>
                </a:solidFill>
                <a:latin typeface="ＭＳ Ｐゴシック"/>
                <a:ea typeface="ＭＳ Ｐゴシック"/>
              </a:rPr>
              <a:t>　　　5B:試験仕様の誤り</a:t>
            </a:r>
          </a:p>
          <a:p>
            <a:pPr algn="l" rtl="0">
              <a:defRPr sz="1000"/>
            </a:pPr>
            <a:r>
              <a:rPr lang="ja-JP" altLang="en-US" sz="900" b="0" i="0" u="none" strike="noStrike" baseline="0">
                <a:solidFill>
                  <a:srgbClr val="000000"/>
                </a:solidFill>
                <a:latin typeface="ＭＳ Ｐゴシック"/>
                <a:ea typeface="ＭＳ Ｐゴシック"/>
              </a:rPr>
              <a:t>　　　5C:試験プログラム/データの誤り</a:t>
            </a:r>
          </a:p>
          <a:p>
            <a:pPr algn="l" rtl="0">
              <a:defRPr sz="1000"/>
            </a:pPr>
            <a:r>
              <a:rPr lang="ja-JP" altLang="en-US" sz="900" b="0" i="0" u="none" strike="noStrike" baseline="0">
                <a:solidFill>
                  <a:srgbClr val="000000"/>
                </a:solidFill>
                <a:latin typeface="ＭＳ Ｐゴシック"/>
                <a:ea typeface="ＭＳ Ｐゴシック"/>
              </a:rPr>
              <a:t>　　　5D:試験項目抜け</a:t>
            </a:r>
          </a:p>
          <a:p>
            <a:pPr algn="l" rtl="0">
              <a:defRPr sz="1000"/>
            </a:pPr>
            <a:r>
              <a:rPr lang="ja-JP" altLang="en-US" sz="900" b="0" i="0" u="none" strike="noStrike" baseline="0">
                <a:solidFill>
                  <a:srgbClr val="000000"/>
                </a:solidFill>
                <a:latin typeface="ＭＳ Ｐゴシック"/>
                <a:ea typeface="ＭＳ Ｐゴシック"/>
              </a:rPr>
              <a:t>　　　5Z:その他</a:t>
            </a:r>
            <a:endParaRPr lang="ja-JP" altLang="en-US"/>
          </a:p>
        </xdr:txBody>
      </xdr:sp>
    </xdr:grpSp>
    <xdr:clientData/>
  </xdr:twoCellAnchor>
  <xdr:twoCellAnchor>
    <xdr:from>
      <xdr:col>0</xdr:col>
      <xdr:colOff>171450</xdr:colOff>
      <xdr:row>33</xdr:row>
      <xdr:rowOff>38100</xdr:rowOff>
    </xdr:from>
    <xdr:to>
      <xdr:col>1</xdr:col>
      <xdr:colOff>85725</xdr:colOff>
      <xdr:row>33</xdr:row>
      <xdr:rowOff>180975</xdr:rowOff>
    </xdr:to>
    <xdr:sp macro="" textlink="">
      <xdr:nvSpPr>
        <xdr:cNvPr id="2728" name="Rectangle 12">
          <a:extLst>
            <a:ext uri="{FF2B5EF4-FFF2-40B4-BE49-F238E27FC236}">
              <a16:creationId xmlns:a16="http://schemas.microsoft.com/office/drawing/2014/main" id="{00000000-0008-0000-0100-0000A80A0000}"/>
            </a:ext>
          </a:extLst>
        </xdr:cNvPr>
        <xdr:cNvSpPr>
          <a:spLocks noChangeArrowheads="1"/>
        </xdr:cNvSpPr>
      </xdr:nvSpPr>
      <xdr:spPr bwMode="auto">
        <a:xfrm>
          <a:off x="171450" y="552450"/>
          <a:ext cx="247650" cy="142875"/>
        </a:xfrm>
        <a:prstGeom prst="rect">
          <a:avLst/>
        </a:prstGeom>
        <a:solidFill>
          <a:srgbClr val="FFFFCC"/>
        </a:solidFill>
        <a:ln w="12700">
          <a:solidFill>
            <a:srgbClr val="000000"/>
          </a:solidFill>
          <a:miter lim="800000"/>
          <a:headEnd/>
          <a:tailEnd/>
        </a:ln>
      </xdr:spPr>
    </xdr:sp>
    <xdr:clientData/>
  </xdr:twoCellAnchor>
  <xdr:twoCellAnchor>
    <xdr:from>
      <xdr:col>0</xdr:col>
      <xdr:colOff>171450</xdr:colOff>
      <xdr:row>34</xdr:row>
      <xdr:rowOff>38100</xdr:rowOff>
    </xdr:from>
    <xdr:to>
      <xdr:col>1</xdr:col>
      <xdr:colOff>57150</xdr:colOff>
      <xdr:row>35</xdr:row>
      <xdr:rowOff>0</xdr:rowOff>
    </xdr:to>
    <xdr:sp macro="" textlink="">
      <xdr:nvSpPr>
        <xdr:cNvPr id="2729" name="Rectangle 13">
          <a:extLst>
            <a:ext uri="{FF2B5EF4-FFF2-40B4-BE49-F238E27FC236}">
              <a16:creationId xmlns:a16="http://schemas.microsoft.com/office/drawing/2014/main" id="{00000000-0008-0000-0100-0000A90A0000}"/>
            </a:ext>
          </a:extLst>
        </xdr:cNvPr>
        <xdr:cNvSpPr>
          <a:spLocks noChangeArrowheads="1"/>
        </xdr:cNvSpPr>
      </xdr:nvSpPr>
      <xdr:spPr bwMode="auto">
        <a:xfrm>
          <a:off x="171450" y="742950"/>
          <a:ext cx="219075" cy="142875"/>
        </a:xfrm>
        <a:prstGeom prst="rect">
          <a:avLst/>
        </a:prstGeom>
        <a:solidFill>
          <a:srgbClr val="CCFFFF"/>
        </a:solidFill>
        <a:ln w="9525">
          <a:solidFill>
            <a:srgbClr val="000000"/>
          </a:solidFill>
          <a:miter lim="800000"/>
          <a:headEnd/>
          <a:tailEnd/>
        </a:ln>
      </xdr:spPr>
    </xdr:sp>
    <xdr:clientData/>
  </xdr:twoCellAnchor>
  <xdr:twoCellAnchor>
    <xdr:from>
      <xdr:col>1</xdr:col>
      <xdr:colOff>200025</xdr:colOff>
      <xdr:row>34</xdr:row>
      <xdr:rowOff>38100</xdr:rowOff>
    </xdr:from>
    <xdr:to>
      <xdr:col>1</xdr:col>
      <xdr:colOff>428625</xdr:colOff>
      <xdr:row>35</xdr:row>
      <xdr:rowOff>0</xdr:rowOff>
    </xdr:to>
    <xdr:sp macro="" textlink="">
      <xdr:nvSpPr>
        <xdr:cNvPr id="2730" name="Rectangle 14">
          <a:extLst>
            <a:ext uri="{FF2B5EF4-FFF2-40B4-BE49-F238E27FC236}">
              <a16:creationId xmlns:a16="http://schemas.microsoft.com/office/drawing/2014/main" id="{00000000-0008-0000-0100-0000AA0A0000}"/>
            </a:ext>
          </a:extLst>
        </xdr:cNvPr>
        <xdr:cNvSpPr>
          <a:spLocks noChangeArrowheads="1"/>
        </xdr:cNvSpPr>
      </xdr:nvSpPr>
      <xdr:spPr bwMode="auto">
        <a:xfrm>
          <a:off x="533400" y="742950"/>
          <a:ext cx="219075" cy="142875"/>
        </a:xfrm>
        <a:prstGeom prst="rect">
          <a:avLst/>
        </a:prstGeom>
        <a:solidFill>
          <a:srgbClr val="CCFFCC"/>
        </a:solidFill>
        <a:ln w="9525">
          <a:solidFill>
            <a:srgbClr val="000000"/>
          </a:solidFill>
          <a:miter lim="800000"/>
          <a:headEnd/>
          <a:tailEnd/>
        </a:ln>
      </xdr:spPr>
    </xdr:sp>
    <xdr:clientData/>
  </xdr:twoCellAnchor>
  <xdr:twoCellAnchor editAs="oneCell">
    <xdr:from>
      <xdr:col>1</xdr:col>
      <xdr:colOff>47625</xdr:colOff>
      <xdr:row>34</xdr:row>
      <xdr:rowOff>47625</xdr:rowOff>
    </xdr:from>
    <xdr:to>
      <xdr:col>1</xdr:col>
      <xdr:colOff>224608</xdr:colOff>
      <xdr:row>35</xdr:row>
      <xdr:rowOff>38100</xdr:rowOff>
    </xdr:to>
    <xdr:sp macro="" textlink="">
      <xdr:nvSpPr>
        <xdr:cNvPr id="2064" name="Text Box 16">
          <a:extLst>
            <a:ext uri="{FF2B5EF4-FFF2-40B4-BE49-F238E27FC236}">
              <a16:creationId xmlns:a16="http://schemas.microsoft.com/office/drawing/2014/main" id="{00000000-0008-0000-0100-000010080000}"/>
            </a:ext>
          </a:extLst>
        </xdr:cNvPr>
        <xdr:cNvSpPr txBox="1">
          <a:spLocks noChangeArrowheads="1"/>
        </xdr:cNvSpPr>
      </xdr:nvSpPr>
      <xdr:spPr bwMode="auto">
        <a:xfrm>
          <a:off x="381000" y="752475"/>
          <a:ext cx="180975" cy="171450"/>
        </a:xfrm>
        <a:prstGeom prst="rect">
          <a:avLst/>
        </a:prstGeom>
        <a:no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a:t>
          </a:r>
        </a:p>
        <a:p>
          <a:pPr algn="l" rtl="0">
            <a:defRPr sz="1000"/>
          </a:pPr>
          <a:r>
            <a:rPr lang="ja-JP" altLang="en-US" sz="900" b="0" i="0" u="none" strike="noStrike" baseline="0">
              <a:solidFill>
                <a:srgbClr val="000000"/>
              </a:solidFill>
              <a:latin typeface="ＭＳ Ｐゴシック"/>
              <a:ea typeface="ＭＳ Ｐゴシック"/>
            </a:rPr>
            <a:t>（＋</a:t>
          </a:r>
          <a:endParaRPr lang="ja-JP" altLang="en-US"/>
        </a:p>
      </xdr:txBody>
    </xdr:sp>
    <xdr:clientData/>
  </xdr:twoCellAnchor>
  <xdr:twoCellAnchor>
    <xdr:from>
      <xdr:col>0</xdr:col>
      <xdr:colOff>76200</xdr:colOff>
      <xdr:row>32</xdr:row>
      <xdr:rowOff>9525</xdr:rowOff>
    </xdr:from>
    <xdr:to>
      <xdr:col>8</xdr:col>
      <xdr:colOff>133350</xdr:colOff>
      <xdr:row>35</xdr:row>
      <xdr:rowOff>47625</xdr:rowOff>
    </xdr:to>
    <xdr:sp macro="" textlink="">
      <xdr:nvSpPr>
        <xdr:cNvPr id="2732" name="Rectangle 17">
          <a:extLst>
            <a:ext uri="{FF2B5EF4-FFF2-40B4-BE49-F238E27FC236}">
              <a16:creationId xmlns:a16="http://schemas.microsoft.com/office/drawing/2014/main" id="{00000000-0008-0000-0100-0000AC0A0000}"/>
            </a:ext>
          </a:extLst>
        </xdr:cNvPr>
        <xdr:cNvSpPr>
          <a:spLocks noChangeArrowheads="1"/>
        </xdr:cNvSpPr>
      </xdr:nvSpPr>
      <xdr:spPr bwMode="auto">
        <a:xfrm>
          <a:off x="76200" y="323850"/>
          <a:ext cx="7115175" cy="609600"/>
        </a:xfrm>
        <a:prstGeom prst="rect">
          <a:avLst/>
        </a:prstGeom>
        <a:noFill/>
        <a:ln w="9525">
          <a:solidFill>
            <a:srgbClr val="00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9</xdr:col>
      <xdr:colOff>495300</xdr:colOff>
      <xdr:row>38</xdr:row>
      <xdr:rowOff>9525</xdr:rowOff>
    </xdr:from>
    <xdr:to>
      <xdr:col>9</xdr:col>
      <xdr:colOff>495300</xdr:colOff>
      <xdr:row>39</xdr:row>
      <xdr:rowOff>0</xdr:rowOff>
    </xdr:to>
    <xdr:sp macro="" textlink="">
      <xdr:nvSpPr>
        <xdr:cNvPr id="2733" name="Line 18">
          <a:extLst>
            <a:ext uri="{FF2B5EF4-FFF2-40B4-BE49-F238E27FC236}">
              <a16:creationId xmlns:a16="http://schemas.microsoft.com/office/drawing/2014/main" id="{00000000-0008-0000-0100-0000AD0A0000}"/>
            </a:ext>
          </a:extLst>
        </xdr:cNvPr>
        <xdr:cNvSpPr>
          <a:spLocks noChangeShapeType="1"/>
        </xdr:cNvSpPr>
      </xdr:nvSpPr>
      <xdr:spPr bwMode="auto">
        <a:xfrm>
          <a:off x="8067675" y="1552575"/>
          <a:ext cx="0" cy="1333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0</xdr:col>
      <xdr:colOff>0</xdr:colOff>
      <xdr:row>1</xdr:row>
      <xdr:rowOff>0</xdr:rowOff>
    </xdr:from>
    <xdr:to>
      <xdr:col>0</xdr:col>
      <xdr:colOff>312122</xdr:colOff>
      <xdr:row>30</xdr:row>
      <xdr:rowOff>152400</xdr:rowOff>
    </xdr:to>
    <xdr:sp macro="" textlink="">
      <xdr:nvSpPr>
        <xdr:cNvPr id="2067" name="Text Box 19">
          <a:extLst>
            <a:ext uri="{FF2B5EF4-FFF2-40B4-BE49-F238E27FC236}">
              <a16:creationId xmlns:a16="http://schemas.microsoft.com/office/drawing/2014/main" id="{00000000-0008-0000-0100-000013080000}"/>
            </a:ext>
          </a:extLst>
        </xdr:cNvPr>
        <xdr:cNvSpPr txBox="1">
          <a:spLocks noChangeArrowheads="1"/>
        </xdr:cNvSpPr>
      </xdr:nvSpPr>
      <xdr:spPr bwMode="auto">
        <a:xfrm>
          <a:off x="0" y="0"/>
          <a:ext cx="314325" cy="15240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秘</a:t>
          </a:r>
          <a:endParaRPr lang="ja-JP" altLang="en-US"/>
        </a:p>
      </xdr:txBody>
    </xdr:sp>
    <xdr:clientData/>
  </xdr:twoCellAnchor>
  <xdr:twoCellAnchor>
    <xdr:from>
      <xdr:col>7</xdr:col>
      <xdr:colOff>438150</xdr:colOff>
      <xdr:row>41</xdr:row>
      <xdr:rowOff>28575</xdr:rowOff>
    </xdr:from>
    <xdr:to>
      <xdr:col>9</xdr:col>
      <xdr:colOff>19050</xdr:colOff>
      <xdr:row>48</xdr:row>
      <xdr:rowOff>85725</xdr:rowOff>
    </xdr:to>
    <xdr:sp macro="" textlink="">
      <xdr:nvSpPr>
        <xdr:cNvPr id="2735" name="AutoShape 258">
          <a:extLst>
            <a:ext uri="{FF2B5EF4-FFF2-40B4-BE49-F238E27FC236}">
              <a16:creationId xmlns:a16="http://schemas.microsoft.com/office/drawing/2014/main" id="{00000000-0008-0000-0100-0000AF0A0000}"/>
            </a:ext>
          </a:extLst>
        </xdr:cNvPr>
        <xdr:cNvSpPr>
          <a:spLocks noChangeArrowheads="1"/>
        </xdr:cNvSpPr>
      </xdr:nvSpPr>
      <xdr:spPr bwMode="auto">
        <a:xfrm>
          <a:off x="7019925" y="2095500"/>
          <a:ext cx="571500" cy="3819525"/>
        </a:xfrm>
        <a:prstGeom prst="roundRect">
          <a:avLst>
            <a:gd name="adj" fmla="val 16667"/>
          </a:avLst>
        </a:prstGeom>
        <a:solidFill>
          <a:srgbClr val="FF99CC">
            <a:alpha val="50195"/>
          </a:srgbClr>
        </a:solidFill>
        <a:ln w="28575">
          <a:solidFill>
            <a:srgbClr val="FF0000"/>
          </a:solidFill>
          <a:prstDash val="sysDot"/>
          <a:round/>
          <a:headEnd/>
          <a:tailEnd/>
        </a:ln>
      </xdr:spPr>
    </xdr:sp>
    <xdr:clientData/>
  </xdr:twoCellAnchor>
  <xdr:twoCellAnchor>
    <xdr:from>
      <xdr:col>9</xdr:col>
      <xdr:colOff>466725</xdr:colOff>
      <xdr:row>41</xdr:row>
      <xdr:rowOff>9525</xdr:rowOff>
    </xdr:from>
    <xdr:to>
      <xdr:col>11</xdr:col>
      <xdr:colOff>47625</xdr:colOff>
      <xdr:row>48</xdr:row>
      <xdr:rowOff>66675</xdr:rowOff>
    </xdr:to>
    <xdr:sp macro="" textlink="">
      <xdr:nvSpPr>
        <xdr:cNvPr id="2736" name="AutoShape 259">
          <a:extLst>
            <a:ext uri="{FF2B5EF4-FFF2-40B4-BE49-F238E27FC236}">
              <a16:creationId xmlns:a16="http://schemas.microsoft.com/office/drawing/2014/main" id="{00000000-0008-0000-0100-0000B00A0000}"/>
            </a:ext>
          </a:extLst>
        </xdr:cNvPr>
        <xdr:cNvSpPr>
          <a:spLocks noChangeArrowheads="1"/>
        </xdr:cNvSpPr>
      </xdr:nvSpPr>
      <xdr:spPr bwMode="auto">
        <a:xfrm>
          <a:off x="8039100" y="2076450"/>
          <a:ext cx="571500" cy="3819525"/>
        </a:xfrm>
        <a:prstGeom prst="roundRect">
          <a:avLst>
            <a:gd name="adj" fmla="val 16667"/>
          </a:avLst>
        </a:prstGeom>
        <a:solidFill>
          <a:srgbClr val="FF99CC">
            <a:alpha val="50195"/>
          </a:srgbClr>
        </a:solidFill>
        <a:ln w="28575">
          <a:solidFill>
            <a:srgbClr val="FF0000"/>
          </a:solidFill>
          <a:prstDash val="sysDot"/>
          <a:round/>
          <a:headEnd/>
          <a:tailEnd/>
        </a:ln>
      </xdr:spPr>
    </xdr:sp>
    <xdr:clientData/>
  </xdr:twoCellAnchor>
  <xdr:twoCellAnchor>
    <xdr:from>
      <xdr:col>7</xdr:col>
      <xdr:colOff>78105</xdr:colOff>
      <xdr:row>48</xdr:row>
      <xdr:rowOff>198120</xdr:rowOff>
    </xdr:from>
    <xdr:to>
      <xdr:col>8</xdr:col>
      <xdr:colOff>434138</xdr:colOff>
      <xdr:row>49</xdr:row>
      <xdr:rowOff>53340</xdr:rowOff>
    </xdr:to>
    <xdr:sp macro="" textlink="">
      <xdr:nvSpPr>
        <xdr:cNvPr id="2308" name="AutoShape 260">
          <a:extLst>
            <a:ext uri="{FF2B5EF4-FFF2-40B4-BE49-F238E27FC236}">
              <a16:creationId xmlns:a16="http://schemas.microsoft.com/office/drawing/2014/main" id="{00000000-0008-0000-0100-000004090000}"/>
            </a:ext>
          </a:extLst>
        </xdr:cNvPr>
        <xdr:cNvSpPr>
          <a:spLocks noChangeArrowheads="1"/>
        </xdr:cNvSpPr>
      </xdr:nvSpPr>
      <xdr:spPr bwMode="auto">
        <a:xfrm>
          <a:off x="5981700" y="6446520"/>
          <a:ext cx="754380" cy="236220"/>
        </a:xfrm>
        <a:prstGeom prst="wedgeRoundRectCallout">
          <a:avLst>
            <a:gd name="adj1" fmla="val -5681"/>
            <a:gd name="adj2" fmla="val -150000"/>
            <a:gd name="adj3" fmla="val 16667"/>
          </a:avLst>
        </a:prstGeom>
        <a:solidFill>
          <a:srgbClr val="FF99CC"/>
        </a:solidFill>
        <a:ln w="19050">
          <a:solidFill>
            <a:srgbClr val="FF0000"/>
          </a:solidFill>
          <a:miter lim="800000"/>
          <a:headEnd/>
          <a:tailEnd/>
        </a:ln>
        <a:effectLst/>
      </xdr:spPr>
      <xdr:txBody>
        <a:bodyPr vertOverflow="clip" wrap="square" lIns="36576" tIns="18288" rIns="0" bIns="0" anchor="t" upright="1"/>
        <a:lstStyle/>
        <a:p>
          <a:pPr algn="l" rtl="0">
            <a:defRPr sz="1000"/>
          </a:pPr>
          <a:r>
            <a:rPr lang="ja-JP" altLang="en-US" sz="1000" b="0" i="0" u="none" strike="noStrike" baseline="0">
              <a:solidFill>
                <a:srgbClr val="000000"/>
              </a:solidFill>
              <a:latin typeface="ＭＳ Ｐゴシック"/>
              <a:ea typeface="ＭＳ Ｐゴシック"/>
            </a:rPr>
            <a:t>記載すること</a:t>
          </a:r>
        </a:p>
      </xdr:txBody>
    </xdr:sp>
    <xdr:clientData/>
  </xdr:twoCellAnchor>
  <xdr:twoCellAnchor>
    <xdr:from>
      <xdr:col>7</xdr:col>
      <xdr:colOff>70485</xdr:colOff>
      <xdr:row>49</xdr:row>
      <xdr:rowOff>220980</xdr:rowOff>
    </xdr:from>
    <xdr:to>
      <xdr:col>10</xdr:col>
      <xdr:colOff>123825</xdr:colOff>
      <xdr:row>51</xdr:row>
      <xdr:rowOff>0</xdr:rowOff>
    </xdr:to>
    <xdr:sp macro="" textlink="">
      <xdr:nvSpPr>
        <xdr:cNvPr id="2309" name="AutoShape 261">
          <a:extLst>
            <a:ext uri="{FF2B5EF4-FFF2-40B4-BE49-F238E27FC236}">
              <a16:creationId xmlns:a16="http://schemas.microsoft.com/office/drawing/2014/main" id="{00000000-0008-0000-0100-000005090000}"/>
            </a:ext>
          </a:extLst>
        </xdr:cNvPr>
        <xdr:cNvSpPr>
          <a:spLocks noChangeArrowheads="1"/>
        </xdr:cNvSpPr>
      </xdr:nvSpPr>
      <xdr:spPr bwMode="auto">
        <a:xfrm>
          <a:off x="5974080" y="6850380"/>
          <a:ext cx="1424940" cy="541020"/>
        </a:xfrm>
        <a:prstGeom prst="wedgeRoundRectCallout">
          <a:avLst>
            <a:gd name="adj1" fmla="val 48194"/>
            <a:gd name="adj2" fmla="val -146491"/>
            <a:gd name="adj3" fmla="val 16667"/>
          </a:avLst>
        </a:prstGeom>
        <a:solidFill>
          <a:srgbClr val="FF99CC"/>
        </a:solidFill>
        <a:ln w="19050">
          <a:solidFill>
            <a:srgbClr val="FF0000"/>
          </a:solidFill>
          <a:miter lim="800000"/>
          <a:headEnd/>
          <a:tailEnd/>
        </a:ln>
        <a:effectLst/>
      </xdr:spPr>
      <xdr:txBody>
        <a:bodyPr vertOverflow="clip" wrap="square" lIns="36576" tIns="18288" rIns="0" bIns="0" anchor="t"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日付　</a:t>
          </a:r>
          <a:r>
            <a:rPr lang="en-US" altLang="ja-JP" sz="1000" b="0" i="0" u="none" strike="noStrike" baseline="0">
              <a:solidFill>
                <a:srgbClr val="000000"/>
              </a:solidFill>
              <a:latin typeface="ＭＳ Ｐゴシック"/>
              <a:ea typeface="ＭＳ Ｐゴシック"/>
            </a:rPr>
            <a:t>OK/NG</a:t>
          </a:r>
          <a:r>
            <a:rPr lang="ja-JP" altLang="en-US" sz="1000" b="0" i="0" u="none" strike="noStrike" baseline="0">
              <a:solidFill>
                <a:srgbClr val="000000"/>
              </a:solidFill>
              <a:latin typeface="ＭＳ Ｐゴシック"/>
              <a:ea typeface="ＭＳ Ｐゴシック"/>
            </a:rPr>
            <a:t>を記載。</a:t>
          </a:r>
        </a:p>
        <a:p>
          <a:pPr algn="l" rtl="0">
            <a:lnSpc>
              <a:spcPts val="1200"/>
            </a:lnSpc>
            <a:defRPr sz="1000"/>
          </a:pPr>
          <a:r>
            <a:rPr lang="en-US" altLang="ja-JP" sz="1000" b="0" i="0" u="none" strike="noStrike" baseline="0">
              <a:solidFill>
                <a:srgbClr val="000000"/>
              </a:solidFill>
              <a:latin typeface="ＭＳ Ｐゴシック"/>
              <a:ea typeface="ＭＳ Ｐゴシック"/>
            </a:rPr>
            <a:t>NG</a:t>
          </a:r>
          <a:r>
            <a:rPr lang="ja-JP" altLang="en-US" sz="1000" b="0" i="0" u="none" strike="noStrike" baseline="0">
              <a:solidFill>
                <a:srgbClr val="000000"/>
              </a:solidFill>
              <a:latin typeface="ＭＳ Ｐゴシック"/>
              <a:ea typeface="ＭＳ Ｐゴシック"/>
            </a:rPr>
            <a:t>の場合は行を追加し、指摘内容を記載すること。</a:t>
          </a:r>
        </a:p>
      </xdr:txBody>
    </xdr:sp>
    <xdr:clientData/>
  </xdr:twoCellAnchor>
  <xdr:twoCellAnchor>
    <xdr:from>
      <xdr:col>9</xdr:col>
      <xdr:colOff>219075</xdr:colOff>
      <xdr:row>35</xdr:row>
      <xdr:rowOff>95250</xdr:rowOff>
    </xdr:from>
    <xdr:to>
      <xdr:col>10</xdr:col>
      <xdr:colOff>152400</xdr:colOff>
      <xdr:row>37</xdr:row>
      <xdr:rowOff>57150</xdr:rowOff>
    </xdr:to>
    <xdr:sp macro="" textlink="">
      <xdr:nvSpPr>
        <xdr:cNvPr id="2739" name="AutoShape 262">
          <a:extLst>
            <a:ext uri="{FF2B5EF4-FFF2-40B4-BE49-F238E27FC236}">
              <a16:creationId xmlns:a16="http://schemas.microsoft.com/office/drawing/2014/main" id="{00000000-0008-0000-0100-0000B30A0000}"/>
            </a:ext>
          </a:extLst>
        </xdr:cNvPr>
        <xdr:cNvSpPr>
          <a:spLocks noChangeArrowheads="1"/>
        </xdr:cNvSpPr>
      </xdr:nvSpPr>
      <xdr:spPr bwMode="auto">
        <a:xfrm>
          <a:off x="7791450" y="981075"/>
          <a:ext cx="466725" cy="323850"/>
        </a:xfrm>
        <a:prstGeom prst="roundRect">
          <a:avLst>
            <a:gd name="adj" fmla="val 16667"/>
          </a:avLst>
        </a:prstGeom>
        <a:solidFill>
          <a:srgbClr val="FF99CC">
            <a:alpha val="50195"/>
          </a:srgbClr>
        </a:solidFill>
        <a:ln w="28575">
          <a:solidFill>
            <a:srgbClr val="FF0000"/>
          </a:solidFill>
          <a:prstDash val="sysDot"/>
          <a:round/>
          <a:headEnd/>
          <a:tailEnd/>
        </a:ln>
      </xdr:spPr>
    </xdr:sp>
    <xdr:clientData/>
  </xdr:twoCellAnchor>
  <xdr:twoCellAnchor>
    <xdr:from>
      <xdr:col>5</xdr:col>
      <xdr:colOff>887730</xdr:colOff>
      <xdr:row>35</xdr:row>
      <xdr:rowOff>7620</xdr:rowOff>
    </xdr:from>
    <xdr:to>
      <xdr:col>7</xdr:col>
      <xdr:colOff>139359</xdr:colOff>
      <xdr:row>37</xdr:row>
      <xdr:rowOff>190500</xdr:rowOff>
    </xdr:to>
    <xdr:sp macro="" textlink="">
      <xdr:nvSpPr>
        <xdr:cNvPr id="2311" name="AutoShape 263">
          <a:extLst>
            <a:ext uri="{FF2B5EF4-FFF2-40B4-BE49-F238E27FC236}">
              <a16:creationId xmlns:a16="http://schemas.microsoft.com/office/drawing/2014/main" id="{00000000-0008-0000-0100-000007090000}"/>
            </a:ext>
          </a:extLst>
        </xdr:cNvPr>
        <xdr:cNvSpPr>
          <a:spLocks noChangeArrowheads="1"/>
        </xdr:cNvSpPr>
      </xdr:nvSpPr>
      <xdr:spPr bwMode="auto">
        <a:xfrm>
          <a:off x="4617720" y="883920"/>
          <a:ext cx="1424940" cy="541020"/>
        </a:xfrm>
        <a:prstGeom prst="wedgeRoundRectCallout">
          <a:avLst>
            <a:gd name="adj1" fmla="val 107227"/>
            <a:gd name="adj2" fmla="val 25440"/>
            <a:gd name="adj3" fmla="val 16667"/>
          </a:avLst>
        </a:prstGeom>
        <a:solidFill>
          <a:srgbClr val="FF99CC"/>
        </a:solidFill>
        <a:ln w="19050">
          <a:solidFill>
            <a:srgbClr val="FF0000"/>
          </a:solidFill>
          <a:miter lim="800000"/>
          <a:headEnd/>
          <a:tailEnd/>
        </a:ln>
        <a:effectLst/>
      </xdr:spPr>
      <xdr:txBody>
        <a:bodyPr vertOverflow="clip" wrap="square" lIns="36576" tIns="18288" rIns="0" bIns="0" anchor="t"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ページ数を記載。</a:t>
          </a:r>
        </a:p>
        <a:p>
          <a:pPr algn="l" rtl="0">
            <a:lnSpc>
              <a:spcPts val="1100"/>
            </a:lnSpc>
            <a:defRPr sz="1000"/>
          </a:pPr>
          <a:r>
            <a:rPr lang="ja-JP" altLang="en-US" sz="1000" b="0" i="0" u="none" strike="noStrike" baseline="0">
              <a:solidFill>
                <a:srgbClr val="000000"/>
              </a:solidFill>
              <a:latin typeface="ＭＳ Ｐゴシック"/>
              <a:ea typeface="ＭＳ Ｐゴシック"/>
            </a:rPr>
            <a:t>これで指摘率、密度が算出されます。</a:t>
          </a:r>
        </a:p>
      </xdr:txBody>
    </xdr:sp>
    <xdr:clientData/>
  </xdr:twoCellAnchor>
  <xdr:twoCellAnchor>
    <xdr:from>
      <xdr:col>0</xdr:col>
      <xdr:colOff>234315</xdr:colOff>
      <xdr:row>43</xdr:row>
      <xdr:rowOff>219075</xdr:rowOff>
    </xdr:from>
    <xdr:to>
      <xdr:col>4</xdr:col>
      <xdr:colOff>64791</xdr:colOff>
      <xdr:row>47</xdr:row>
      <xdr:rowOff>333375</xdr:rowOff>
    </xdr:to>
    <xdr:sp macro="" textlink="">
      <xdr:nvSpPr>
        <xdr:cNvPr id="2312" name="AutoShape 264">
          <a:extLst>
            <a:ext uri="{FF2B5EF4-FFF2-40B4-BE49-F238E27FC236}">
              <a16:creationId xmlns:a16="http://schemas.microsoft.com/office/drawing/2014/main" id="{00000000-0008-0000-0100-000008090000}"/>
            </a:ext>
          </a:extLst>
        </xdr:cNvPr>
        <xdr:cNvSpPr>
          <a:spLocks noChangeArrowheads="1"/>
        </xdr:cNvSpPr>
      </xdr:nvSpPr>
      <xdr:spPr bwMode="auto">
        <a:xfrm>
          <a:off x="234315" y="2619375"/>
          <a:ext cx="3554751" cy="1562100"/>
        </a:xfrm>
        <a:prstGeom prst="wedgeRoundRectCallout">
          <a:avLst>
            <a:gd name="adj1" fmla="val -27476"/>
            <a:gd name="adj2" fmla="val -132264"/>
            <a:gd name="adj3" fmla="val 16667"/>
          </a:avLst>
        </a:prstGeom>
        <a:solidFill>
          <a:srgbClr val="FF99CC"/>
        </a:solidFill>
        <a:ln w="19050">
          <a:solidFill>
            <a:srgbClr val="FF0000"/>
          </a:solidFill>
          <a:miter lim="800000"/>
          <a:headEnd/>
          <a:tailEnd/>
        </a:ln>
        <a:effectLst/>
      </xdr:spPr>
      <xdr:txBody>
        <a:bodyPr vertOverflow="clip" wrap="square" lIns="36576" tIns="18288" rIns="0" bIns="0" anchor="t"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レビュー対象のファイル名を記載</a:t>
          </a:r>
        </a:p>
      </xdr:txBody>
    </xdr:sp>
    <xdr:clientData/>
  </xdr:twoCellAnchor>
  <xdr:twoCellAnchor>
    <xdr:from>
      <xdr:col>1</xdr:col>
      <xdr:colOff>142875</xdr:colOff>
      <xdr:row>37</xdr:row>
      <xdr:rowOff>85725</xdr:rowOff>
    </xdr:from>
    <xdr:to>
      <xdr:col>5</xdr:col>
      <xdr:colOff>104775</xdr:colOff>
      <xdr:row>38</xdr:row>
      <xdr:rowOff>57150</xdr:rowOff>
    </xdr:to>
    <xdr:sp macro="" textlink="">
      <xdr:nvSpPr>
        <xdr:cNvPr id="2742" name="AutoShape 265">
          <a:extLst>
            <a:ext uri="{FF2B5EF4-FFF2-40B4-BE49-F238E27FC236}">
              <a16:creationId xmlns:a16="http://schemas.microsoft.com/office/drawing/2014/main" id="{00000000-0008-0000-0100-0000B60A0000}"/>
            </a:ext>
          </a:extLst>
        </xdr:cNvPr>
        <xdr:cNvSpPr>
          <a:spLocks noChangeArrowheads="1"/>
        </xdr:cNvSpPr>
      </xdr:nvSpPr>
      <xdr:spPr bwMode="auto">
        <a:xfrm>
          <a:off x="476250" y="1333500"/>
          <a:ext cx="3886200" cy="266700"/>
        </a:xfrm>
        <a:prstGeom prst="roundRect">
          <a:avLst>
            <a:gd name="adj" fmla="val 16667"/>
          </a:avLst>
        </a:prstGeom>
        <a:solidFill>
          <a:srgbClr val="FF99CC">
            <a:alpha val="30196"/>
          </a:srgbClr>
        </a:solidFill>
        <a:ln w="28575">
          <a:solidFill>
            <a:srgbClr val="FF0000"/>
          </a:solidFill>
          <a:prstDash val="sysDot"/>
          <a:round/>
          <a:headEnd/>
          <a:tailEnd/>
        </a:ln>
      </xdr:spPr>
    </xdr:sp>
    <xdr:clientData/>
  </xdr:twoCellAnchor>
  <xdr:twoCellAnchor>
    <xdr:from>
      <xdr:col>2</xdr:col>
      <xdr:colOff>2352675</xdr:colOff>
      <xdr:row>39</xdr:row>
      <xdr:rowOff>114300</xdr:rowOff>
    </xdr:from>
    <xdr:to>
      <xdr:col>4</xdr:col>
      <xdr:colOff>76200</xdr:colOff>
      <xdr:row>41</xdr:row>
      <xdr:rowOff>57150</xdr:rowOff>
    </xdr:to>
    <xdr:sp macro="" textlink="">
      <xdr:nvSpPr>
        <xdr:cNvPr id="2743" name="AutoShape 266">
          <a:extLst>
            <a:ext uri="{FF2B5EF4-FFF2-40B4-BE49-F238E27FC236}">
              <a16:creationId xmlns:a16="http://schemas.microsoft.com/office/drawing/2014/main" id="{00000000-0008-0000-0100-0000B70A0000}"/>
            </a:ext>
          </a:extLst>
        </xdr:cNvPr>
        <xdr:cNvSpPr>
          <a:spLocks noChangeArrowheads="1"/>
        </xdr:cNvSpPr>
      </xdr:nvSpPr>
      <xdr:spPr bwMode="auto">
        <a:xfrm>
          <a:off x="3105150" y="1800225"/>
          <a:ext cx="695325" cy="323850"/>
        </a:xfrm>
        <a:prstGeom prst="roundRect">
          <a:avLst>
            <a:gd name="adj" fmla="val 16667"/>
          </a:avLst>
        </a:prstGeom>
        <a:solidFill>
          <a:srgbClr val="FF99CC">
            <a:alpha val="30196"/>
          </a:srgbClr>
        </a:solidFill>
        <a:ln w="28575">
          <a:solidFill>
            <a:srgbClr val="FF0000"/>
          </a:solidFill>
          <a:prstDash val="sysDot"/>
          <a:round/>
          <a:headEnd/>
          <a:tailEnd/>
        </a:ln>
      </xdr:spPr>
    </xdr:sp>
    <xdr:clientData/>
  </xdr:twoCellAnchor>
  <xdr:twoCellAnchor>
    <xdr:from>
      <xdr:col>5</xdr:col>
      <xdr:colOff>45720</xdr:colOff>
      <xdr:row>42</xdr:row>
      <xdr:rowOff>99060</xdr:rowOff>
    </xdr:from>
    <xdr:to>
      <xdr:col>5</xdr:col>
      <xdr:colOff>1624748</xdr:colOff>
      <xdr:row>43</xdr:row>
      <xdr:rowOff>384810</xdr:rowOff>
    </xdr:to>
    <xdr:sp macro="" textlink="">
      <xdr:nvSpPr>
        <xdr:cNvPr id="2315" name="AutoShape 267">
          <a:extLst>
            <a:ext uri="{FF2B5EF4-FFF2-40B4-BE49-F238E27FC236}">
              <a16:creationId xmlns:a16="http://schemas.microsoft.com/office/drawing/2014/main" id="{00000000-0008-0000-0100-00000B090000}"/>
            </a:ext>
          </a:extLst>
        </xdr:cNvPr>
        <xdr:cNvSpPr>
          <a:spLocks noChangeArrowheads="1"/>
        </xdr:cNvSpPr>
      </xdr:nvSpPr>
      <xdr:spPr bwMode="auto">
        <a:xfrm>
          <a:off x="3870960" y="2209800"/>
          <a:ext cx="1417320" cy="632460"/>
        </a:xfrm>
        <a:prstGeom prst="wedgeRoundRectCallout">
          <a:avLst>
            <a:gd name="adj1" fmla="val -80120"/>
            <a:gd name="adj2" fmla="val -86843"/>
            <a:gd name="adj3" fmla="val 16667"/>
          </a:avLst>
        </a:prstGeom>
        <a:solidFill>
          <a:srgbClr val="FF99CC"/>
        </a:solidFill>
        <a:ln w="19050">
          <a:solidFill>
            <a:srgbClr val="FF0000"/>
          </a:solidFill>
          <a:miter lim="800000"/>
          <a:headEnd/>
          <a:tailEnd/>
        </a:ln>
        <a:effectLst/>
      </xdr:spPr>
      <xdr:txBody>
        <a:bodyPr vertOverflow="clip" wrap="square" lIns="36576" tIns="18288" rIns="0" bIns="0" anchor="t"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トータルの時間を記入</a:t>
          </a:r>
        </a:p>
        <a:p>
          <a:pPr algn="l" rtl="0">
            <a:lnSpc>
              <a:spcPts val="1100"/>
            </a:lnSpc>
            <a:defRPr sz="1000"/>
          </a:pPr>
          <a:r>
            <a:rPr lang="en-US" altLang="ja-JP" sz="1000" b="0" i="0" u="none" strike="noStrike" baseline="0">
              <a:solidFill>
                <a:srgbClr val="000000"/>
              </a:solidFill>
              <a:latin typeface="ＭＳ Ｐゴシック"/>
              <a:ea typeface="ＭＳ Ｐゴシック"/>
            </a:rPr>
            <a:t>2</a:t>
          </a:r>
          <a:r>
            <a:rPr lang="ja-JP" altLang="en-US" sz="1000" b="0" i="0" u="none" strike="noStrike" baseline="0">
              <a:solidFill>
                <a:srgbClr val="000000"/>
              </a:solidFill>
              <a:latin typeface="ＭＳ Ｐゴシック"/>
              <a:ea typeface="ＭＳ Ｐゴシック"/>
            </a:rPr>
            <a:t>人で</a:t>
          </a:r>
          <a:r>
            <a:rPr lang="en-US" altLang="ja-JP" sz="1000" b="0" i="0" u="none" strike="noStrike" baseline="0">
              <a:solidFill>
                <a:srgbClr val="000000"/>
              </a:solidFill>
              <a:latin typeface="ＭＳ Ｐゴシック"/>
              <a:ea typeface="ＭＳ Ｐゴシック"/>
            </a:rPr>
            <a:t>1</a:t>
          </a:r>
          <a:r>
            <a:rPr lang="ja-JP" altLang="en-US" sz="1000" b="0" i="0" u="none" strike="noStrike" baseline="0">
              <a:solidFill>
                <a:srgbClr val="000000"/>
              </a:solidFill>
              <a:latin typeface="ＭＳ Ｐゴシック"/>
              <a:ea typeface="ＭＳ Ｐゴシック"/>
            </a:rPr>
            <a:t>時間なら</a:t>
          </a:r>
          <a:r>
            <a:rPr lang="en-US" altLang="ja-JP" sz="1000" b="0" i="0" u="none" strike="noStrike" baseline="0">
              <a:solidFill>
                <a:srgbClr val="000000"/>
              </a:solidFill>
              <a:latin typeface="ＭＳ Ｐゴシック"/>
              <a:ea typeface="ＭＳ Ｐゴシック"/>
            </a:rPr>
            <a:t>2.0</a:t>
          </a:r>
          <a:r>
            <a:rPr lang="ja-JP" altLang="en-US" sz="1000" b="0" i="0" u="none" strike="noStrike" baseline="0">
              <a:solidFill>
                <a:srgbClr val="000000"/>
              </a:solidFill>
              <a:latin typeface="ＭＳ Ｐゴシック"/>
              <a:ea typeface="ＭＳ Ｐゴシック"/>
            </a:rPr>
            <a:t>時間になります。</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64</xdr:row>
      <xdr:rowOff>9525</xdr:rowOff>
    </xdr:from>
    <xdr:to>
      <xdr:col>2</xdr:col>
      <xdr:colOff>1895781</xdr:colOff>
      <xdr:row>75</xdr:row>
      <xdr:rowOff>0</xdr:rowOff>
    </xdr:to>
    <xdr:sp macro="" textlink="">
      <xdr:nvSpPr>
        <xdr:cNvPr id="2050" name="Text Box 2">
          <a:extLst>
            <a:ext uri="{FF2B5EF4-FFF2-40B4-BE49-F238E27FC236}">
              <a16:creationId xmlns:a16="http://schemas.microsoft.com/office/drawing/2014/main" id="{00000000-0008-0000-0200-000002080000}"/>
            </a:ext>
          </a:extLst>
        </xdr:cNvPr>
        <xdr:cNvSpPr txBox="1">
          <a:spLocks noChangeArrowheads="1"/>
        </xdr:cNvSpPr>
      </xdr:nvSpPr>
      <xdr:spPr bwMode="auto">
        <a:xfrm>
          <a:off x="0" y="10201275"/>
          <a:ext cx="2638425" cy="1876425"/>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　(D)計画段階での誤り　</a:t>
          </a:r>
        </a:p>
        <a:p>
          <a:pPr algn="l" rtl="0">
            <a:defRPr sz="1000"/>
          </a:pPr>
          <a:r>
            <a:rPr lang="ja-JP" altLang="en-US" sz="800" b="0" i="0" u="none" strike="noStrike" baseline="0">
              <a:solidFill>
                <a:srgbClr val="000000"/>
              </a:solidFill>
              <a:latin typeface="ＭＳ Ｐゴシック"/>
              <a:ea typeface="ＭＳ Ｐゴシック"/>
            </a:rPr>
            <a:t>　　　D1：計画内容の抜け</a:t>
          </a:r>
        </a:p>
        <a:p>
          <a:pPr algn="l" rtl="0">
            <a:lnSpc>
              <a:spcPts val="900"/>
            </a:lnSpc>
            <a:defRPr sz="1000"/>
          </a:pPr>
          <a:r>
            <a:rPr lang="ja-JP" altLang="en-US" sz="800" b="0" i="0" u="none" strike="noStrike" baseline="0">
              <a:solidFill>
                <a:srgbClr val="000000"/>
              </a:solidFill>
              <a:latin typeface="ＭＳ Ｐゴシック"/>
              <a:ea typeface="ＭＳ Ｐゴシック"/>
            </a:rPr>
            <a:t>　　　D2：計画内容の誤り，不整合，記述不足</a:t>
          </a:r>
        </a:p>
        <a:p>
          <a:pPr algn="l" rtl="0">
            <a:defRPr sz="1000"/>
          </a:pPr>
          <a:r>
            <a:rPr lang="ja-JP" altLang="en-US" sz="800" b="0" i="0" u="none" strike="noStrike" baseline="0">
              <a:solidFill>
                <a:srgbClr val="000000"/>
              </a:solidFill>
              <a:latin typeface="ＭＳ Ｐゴシック"/>
              <a:ea typeface="ＭＳ Ｐゴシック"/>
            </a:rPr>
            <a:t>　　　DZ：その他</a:t>
          </a:r>
        </a:p>
        <a:p>
          <a:pPr algn="l" rtl="0">
            <a:lnSpc>
              <a:spcPts val="900"/>
            </a:lnSpc>
            <a:defRPr sz="1000"/>
          </a:pPr>
          <a:r>
            <a:rPr lang="ja-JP" altLang="en-US" sz="800" b="0" i="0" u="none" strike="noStrike" baseline="0">
              <a:solidFill>
                <a:srgbClr val="000000"/>
              </a:solidFill>
              <a:latin typeface="ＭＳ Ｐゴシック"/>
              <a:ea typeface="ＭＳ Ｐゴシック"/>
            </a:rPr>
            <a:t>　(0) 要件定義段階での誤り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0A:要件の抜け及び解釈誤り</a:t>
          </a:r>
        </a:p>
        <a:p>
          <a:pPr algn="l" rtl="0">
            <a:defRPr sz="1000"/>
          </a:pPr>
          <a:r>
            <a:rPr lang="ja-JP" altLang="en-US" sz="800" b="0" i="0" u="none" strike="noStrike" baseline="0">
              <a:solidFill>
                <a:srgbClr val="000000"/>
              </a:solidFill>
              <a:latin typeface="ＭＳ Ｐゴシック"/>
              <a:ea typeface="ＭＳ Ｐゴシック"/>
            </a:rPr>
            <a:t>　　　0B:要件定義の誤り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0C:システム化対象範囲外とのI/Fの誤り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0Z:その他</a:t>
          </a:r>
        </a:p>
        <a:p>
          <a:pPr algn="l" rtl="0">
            <a:defRPr sz="1000"/>
          </a:pPr>
          <a:r>
            <a:rPr lang="ja-JP" altLang="en-US" sz="800" b="0" i="0" u="none" strike="noStrike" baseline="0">
              <a:solidFill>
                <a:srgbClr val="000000"/>
              </a:solidFill>
              <a:latin typeface="ＭＳ Ｐゴシック"/>
              <a:ea typeface="ＭＳ Ｐゴシック"/>
            </a:rPr>
            <a:t>　(1) </a:t>
          </a:r>
          <a:r>
            <a:rPr lang="ja-JP" altLang="en-US" sz="800" b="0" i="0" u="none" strike="noStrike" baseline="0">
              <a:solidFill>
                <a:sysClr val="windowText" lastClr="000000"/>
              </a:solidFill>
              <a:latin typeface="ＭＳ Ｐゴシック"/>
              <a:ea typeface="ＭＳ Ｐゴシック"/>
            </a:rPr>
            <a:t>基本</a:t>
          </a:r>
          <a:r>
            <a:rPr lang="ja-JP" altLang="en-US" sz="800" b="0" i="0" u="none" strike="noStrike" baseline="0">
              <a:solidFill>
                <a:srgbClr val="000000"/>
              </a:solidFill>
              <a:latin typeface="ＭＳ Ｐゴシック"/>
              <a:ea typeface="ＭＳ Ｐゴシック"/>
            </a:rPr>
            <a:t>設計(外部設計)段階での誤り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1A:外部仕様の抜け及び要件定義の解釈誤り</a:t>
          </a:r>
        </a:p>
        <a:p>
          <a:pPr algn="l" rtl="0">
            <a:defRPr sz="1000"/>
          </a:pPr>
          <a:r>
            <a:rPr lang="ja-JP" altLang="en-US" sz="800" b="0" i="0" u="none" strike="noStrike" baseline="0">
              <a:solidFill>
                <a:srgbClr val="000000"/>
              </a:solidFill>
              <a:latin typeface="ＭＳ Ｐゴシック"/>
              <a:ea typeface="ＭＳ Ｐゴシック"/>
            </a:rPr>
            <a:t>　　　1B:外部仕様の誤り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1C:機能間I/F仕様の誤り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1Z:その他</a:t>
          </a:r>
          <a:endParaRPr lang="ja-JP" altLang="en-US"/>
        </a:p>
      </xdr:txBody>
    </xdr:sp>
    <xdr:clientData/>
  </xdr:twoCellAnchor>
  <xdr:twoCellAnchor>
    <xdr:from>
      <xdr:col>2</xdr:col>
      <xdr:colOff>1945005</xdr:colOff>
      <xdr:row>64</xdr:row>
      <xdr:rowOff>28575</xdr:rowOff>
    </xdr:from>
    <xdr:to>
      <xdr:col>5</xdr:col>
      <xdr:colOff>1611661</xdr:colOff>
      <xdr:row>75</xdr:row>
      <xdr:rowOff>0</xdr:rowOff>
    </xdr:to>
    <xdr:sp macro="" textlink="">
      <xdr:nvSpPr>
        <xdr:cNvPr id="2051" name="Text Box 3">
          <a:extLst>
            <a:ext uri="{FF2B5EF4-FFF2-40B4-BE49-F238E27FC236}">
              <a16:creationId xmlns:a16="http://schemas.microsoft.com/office/drawing/2014/main" id="{00000000-0008-0000-0200-000003080000}"/>
            </a:ext>
          </a:extLst>
        </xdr:cNvPr>
        <xdr:cNvSpPr txBox="1">
          <a:spLocks noChangeArrowheads="1"/>
        </xdr:cNvSpPr>
      </xdr:nvSpPr>
      <xdr:spPr bwMode="auto">
        <a:xfrm>
          <a:off x="2695575" y="10220325"/>
          <a:ext cx="3171825" cy="1857375"/>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　(2) </a:t>
          </a:r>
          <a:r>
            <a:rPr lang="ja-JP" altLang="en-US" sz="800" b="0" i="0" u="none" strike="noStrike" baseline="0">
              <a:solidFill>
                <a:sysClr val="windowText" lastClr="000000"/>
              </a:solidFill>
              <a:latin typeface="ＭＳ Ｐゴシック"/>
              <a:ea typeface="ＭＳ Ｐゴシック"/>
            </a:rPr>
            <a:t>詳細</a:t>
          </a:r>
          <a:r>
            <a:rPr lang="ja-JP" altLang="en-US" sz="800" b="0" i="0" u="none" strike="noStrike" baseline="0">
              <a:solidFill>
                <a:srgbClr val="000000"/>
              </a:solidFill>
              <a:latin typeface="ＭＳ Ｐゴシック"/>
              <a:ea typeface="ＭＳ Ｐゴシック"/>
            </a:rPr>
            <a:t>設計/PRG設計(内部設計)段階での誤り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2A:内部設計漏れ及び外部仕様の解釈誤り</a:t>
          </a:r>
        </a:p>
        <a:p>
          <a:pPr algn="l" rtl="0">
            <a:defRPr sz="1000"/>
          </a:pPr>
          <a:r>
            <a:rPr lang="ja-JP" altLang="en-US" sz="800" b="0" i="0" u="none" strike="noStrike" baseline="0">
              <a:solidFill>
                <a:srgbClr val="000000"/>
              </a:solidFill>
              <a:latin typeface="ＭＳ Ｐゴシック"/>
              <a:ea typeface="ＭＳ Ｐゴシック"/>
            </a:rPr>
            <a:t>　　　2B:内部設計の誤り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2C:モジュール間I/F仕様の誤り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2Z:その他</a:t>
          </a:r>
        </a:p>
        <a:p>
          <a:pPr algn="l" rtl="0">
            <a:defRPr sz="1000"/>
          </a:pPr>
          <a:r>
            <a:rPr lang="ja-JP" altLang="en-US" sz="800" b="0" i="0" u="none" strike="noStrike" baseline="0">
              <a:solidFill>
                <a:srgbClr val="000000"/>
              </a:solidFill>
              <a:latin typeface="ＭＳ Ｐゴシック"/>
              <a:ea typeface="ＭＳ Ｐゴシック"/>
            </a:rPr>
            <a:t>　(3) コーディング段階での誤り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3A:設計どおりのコーディングがされていない</a:t>
          </a:r>
        </a:p>
        <a:p>
          <a:pPr algn="l" rtl="0">
            <a:lnSpc>
              <a:spcPts val="900"/>
            </a:lnSpc>
            <a:defRPr sz="1000"/>
          </a:pPr>
          <a:r>
            <a:rPr lang="ja-JP" altLang="en-US" sz="800" b="0" i="0" u="none" strike="noStrike" baseline="0">
              <a:solidFill>
                <a:srgbClr val="000000"/>
              </a:solidFill>
              <a:latin typeface="ＭＳ Ｐゴシック"/>
              <a:ea typeface="ＭＳ Ｐゴシック"/>
            </a:rPr>
            <a:t>　　　3B:不注意なコーディング・ミス</a:t>
          </a:r>
        </a:p>
        <a:p>
          <a:pPr algn="l" rtl="0">
            <a:lnSpc>
              <a:spcPts val="900"/>
            </a:lnSpc>
            <a:defRPr sz="1000"/>
          </a:pPr>
          <a:r>
            <a:rPr lang="ja-JP" altLang="en-US" sz="800" b="0" i="0" u="none" strike="noStrike" baseline="0">
              <a:solidFill>
                <a:srgbClr val="000000"/>
              </a:solidFill>
              <a:latin typeface="ＭＳ Ｐゴシック"/>
              <a:ea typeface="ＭＳ Ｐゴシック"/>
            </a:rPr>
            <a:t>　　　3Z:その他</a:t>
          </a:r>
          <a:endParaRPr lang="ja-JP" altLang="en-US"/>
        </a:p>
      </xdr:txBody>
    </xdr:sp>
    <xdr:clientData/>
  </xdr:twoCellAnchor>
  <xdr:twoCellAnchor>
    <xdr:from>
      <xdr:col>5</xdr:col>
      <xdr:colOff>1653540</xdr:colOff>
      <xdr:row>64</xdr:row>
      <xdr:rowOff>11430</xdr:rowOff>
    </xdr:from>
    <xdr:to>
      <xdr:col>10</xdr:col>
      <xdr:colOff>449409</xdr:colOff>
      <xdr:row>74</xdr:row>
      <xdr:rowOff>161949</xdr:rowOff>
    </xdr:to>
    <xdr:sp macro="" textlink="">
      <xdr:nvSpPr>
        <xdr:cNvPr id="2052" name="Text Box 4">
          <a:extLst>
            <a:ext uri="{FF2B5EF4-FFF2-40B4-BE49-F238E27FC236}">
              <a16:creationId xmlns:a16="http://schemas.microsoft.com/office/drawing/2014/main" id="{00000000-0008-0000-0200-000004080000}"/>
            </a:ext>
          </a:extLst>
        </xdr:cNvPr>
        <xdr:cNvSpPr txBox="1">
          <a:spLocks noChangeArrowheads="1"/>
        </xdr:cNvSpPr>
      </xdr:nvSpPr>
      <xdr:spPr bwMode="auto">
        <a:xfrm>
          <a:off x="5915025" y="10210800"/>
          <a:ext cx="2638425" cy="1857375"/>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　(4) その他</a:t>
          </a:r>
        </a:p>
        <a:p>
          <a:pPr algn="l" rtl="0">
            <a:defRPr sz="1000"/>
          </a:pPr>
          <a:r>
            <a:rPr lang="ja-JP" altLang="en-US" sz="800" b="0" i="0" u="none" strike="noStrike" baseline="0">
              <a:solidFill>
                <a:srgbClr val="000000"/>
              </a:solidFill>
              <a:latin typeface="ＭＳ Ｐゴシック"/>
              <a:ea typeface="ＭＳ Ｐゴシック"/>
            </a:rPr>
            <a:t>　　　4A:お客様からの仕様変更</a:t>
          </a:r>
        </a:p>
        <a:p>
          <a:pPr algn="l" rtl="0">
            <a:defRPr sz="1000"/>
          </a:pPr>
          <a:r>
            <a:rPr lang="ja-JP" altLang="en-US" sz="800" b="0" i="0" u="none" strike="noStrike" baseline="0">
              <a:solidFill>
                <a:srgbClr val="000000"/>
              </a:solidFill>
              <a:latin typeface="ＭＳ Ｐゴシック"/>
              <a:ea typeface="ＭＳ Ｐゴシック"/>
            </a:rPr>
            <a:t>　　　4B:表現不備(誤字/脱字など)</a:t>
          </a:r>
        </a:p>
        <a:p>
          <a:pPr algn="l" rtl="0">
            <a:lnSpc>
              <a:spcPts val="900"/>
            </a:lnSpc>
            <a:defRPr sz="1000"/>
          </a:pPr>
          <a:r>
            <a:rPr lang="ja-JP" altLang="en-US" sz="800" b="0" i="0" u="none" strike="noStrike" baseline="0">
              <a:solidFill>
                <a:srgbClr val="000000"/>
              </a:solidFill>
              <a:latin typeface="ＭＳ Ｐゴシック"/>
              <a:ea typeface="ＭＳ Ｐゴシック"/>
            </a:rPr>
            <a:t>　(5) 試験段階での誤り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5A:仕様の解釈誤り</a:t>
          </a:r>
        </a:p>
        <a:p>
          <a:pPr algn="l" rtl="0">
            <a:defRPr sz="1000"/>
          </a:pPr>
          <a:r>
            <a:rPr lang="ja-JP" altLang="en-US" sz="800" b="0" i="0" u="none" strike="noStrike" baseline="0">
              <a:solidFill>
                <a:srgbClr val="000000"/>
              </a:solidFill>
              <a:latin typeface="ＭＳ Ｐゴシック"/>
              <a:ea typeface="ＭＳ Ｐゴシック"/>
            </a:rPr>
            <a:t>　　　5B:試験仕様の誤り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5C:試験プログラム/データの誤り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5D:試験項目抜け</a:t>
          </a:r>
        </a:p>
        <a:p>
          <a:pPr algn="l" rtl="0">
            <a:defRPr sz="1000"/>
          </a:pPr>
          <a:r>
            <a:rPr lang="ja-JP" altLang="en-US" sz="800" b="0" i="0" u="none" strike="noStrike" baseline="0">
              <a:solidFill>
                <a:srgbClr val="000000"/>
              </a:solidFill>
              <a:latin typeface="ＭＳ Ｐゴシック"/>
              <a:ea typeface="ＭＳ Ｐゴシック"/>
            </a:rPr>
            <a:t>　　　5Z:その他</a:t>
          </a:r>
        </a:p>
        <a:p>
          <a:pPr algn="l" rtl="0">
            <a:lnSpc>
              <a:spcPts val="900"/>
            </a:lnSpc>
            <a:defRPr sz="1000"/>
          </a:pPr>
          <a:r>
            <a:rPr lang="ja-JP" altLang="en-US" sz="800" b="0" i="0" u="none" strike="noStrike" baseline="0">
              <a:solidFill>
                <a:srgbClr val="000000"/>
              </a:solidFill>
              <a:latin typeface="ＭＳ Ｐゴシック"/>
              <a:ea typeface="ＭＳ Ｐゴシック"/>
            </a:rPr>
            <a:t>　(6)プロ完段階での誤り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6A：報告内容の抜け</a:t>
          </a:r>
        </a:p>
        <a:p>
          <a:pPr algn="l" rtl="0">
            <a:defRPr sz="1000"/>
          </a:pPr>
          <a:r>
            <a:rPr lang="ja-JP" altLang="en-US" sz="800" b="0" i="0" u="none" strike="noStrike" baseline="0">
              <a:solidFill>
                <a:srgbClr val="000000"/>
              </a:solidFill>
              <a:latin typeface="ＭＳ Ｐゴシック"/>
              <a:ea typeface="ＭＳ Ｐゴシック"/>
            </a:rPr>
            <a:t>　　　6B：報告内容の誤り，不整合，記述不足</a:t>
          </a:r>
        </a:p>
        <a:p>
          <a:pPr algn="l" rtl="0">
            <a:lnSpc>
              <a:spcPts val="800"/>
            </a:lnSpc>
            <a:defRPr sz="1000"/>
          </a:pPr>
          <a:r>
            <a:rPr lang="ja-JP" altLang="en-US" sz="800" b="0" i="0" u="none" strike="noStrike" baseline="0">
              <a:solidFill>
                <a:srgbClr val="000000"/>
              </a:solidFill>
              <a:latin typeface="ＭＳ Ｐゴシック"/>
              <a:ea typeface="ＭＳ Ｐゴシック"/>
            </a:rPr>
            <a:t>　　　6Z：その他</a:t>
          </a:r>
          <a:endParaRPr lang="ja-JP" altLang="en-US"/>
        </a:p>
      </xdr:txBody>
    </xdr:sp>
    <xdr:clientData/>
  </xdr:twoCellAnchor>
  <xdr:twoCellAnchor>
    <xdr:from>
      <xdr:col>0</xdr:col>
      <xdr:colOff>180975</xdr:colOff>
      <xdr:row>74</xdr:row>
      <xdr:rowOff>0</xdr:rowOff>
    </xdr:from>
    <xdr:to>
      <xdr:col>10</xdr:col>
      <xdr:colOff>381000</xdr:colOff>
      <xdr:row>74</xdr:row>
      <xdr:rowOff>0</xdr:rowOff>
    </xdr:to>
    <xdr:grpSp>
      <xdr:nvGrpSpPr>
        <xdr:cNvPr id="18698" name="Group 7">
          <a:extLst>
            <a:ext uri="{FF2B5EF4-FFF2-40B4-BE49-F238E27FC236}">
              <a16:creationId xmlns:a16="http://schemas.microsoft.com/office/drawing/2014/main" id="{00000000-0008-0000-0200-00000A490000}"/>
            </a:ext>
          </a:extLst>
        </xdr:cNvPr>
        <xdr:cNvGrpSpPr>
          <a:grpSpLocks/>
        </xdr:cNvGrpSpPr>
      </xdr:nvGrpSpPr>
      <xdr:grpSpPr bwMode="auto">
        <a:xfrm>
          <a:off x="180975" y="9525000"/>
          <a:ext cx="8303602" cy="0"/>
          <a:chOff x="24" y="1037"/>
          <a:chExt cx="802" cy="156"/>
        </a:xfrm>
      </xdr:grpSpPr>
      <xdr:sp macro="" textlink="">
        <xdr:nvSpPr>
          <xdr:cNvPr id="2056" name="Text Box 8">
            <a:extLst>
              <a:ext uri="{FF2B5EF4-FFF2-40B4-BE49-F238E27FC236}">
                <a16:creationId xmlns:a16="http://schemas.microsoft.com/office/drawing/2014/main" id="{00000000-0008-0000-0200-000008080000}"/>
              </a:ext>
            </a:extLst>
          </xdr:cNvPr>
          <xdr:cNvSpPr txBox="1">
            <a:spLocks noChangeArrowheads="1"/>
          </xdr:cNvSpPr>
        </xdr:nvSpPr>
        <xdr:spPr bwMode="auto">
          <a:xfrm>
            <a:off x="16344870605850" y="7715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　(0) 要件定義段階での誤り</a:t>
            </a:r>
          </a:p>
          <a:p>
            <a:pPr algn="l" rtl="0">
              <a:defRPr sz="1000"/>
            </a:pPr>
            <a:r>
              <a:rPr lang="ja-JP" altLang="en-US" sz="900" b="0" i="0" u="none" strike="noStrike" baseline="0">
                <a:solidFill>
                  <a:srgbClr val="000000"/>
                </a:solidFill>
                <a:latin typeface="ＭＳ Ｐゴシック"/>
                <a:ea typeface="ＭＳ Ｐゴシック"/>
              </a:rPr>
              <a:t>　　　0A:要件の抜け及び解釈誤り</a:t>
            </a:r>
          </a:p>
          <a:p>
            <a:pPr algn="l" rtl="0">
              <a:defRPr sz="1000"/>
            </a:pPr>
            <a:r>
              <a:rPr lang="ja-JP" altLang="en-US" sz="900" b="0" i="0" u="none" strike="noStrike" baseline="0">
                <a:solidFill>
                  <a:srgbClr val="000000"/>
                </a:solidFill>
                <a:latin typeface="ＭＳ Ｐゴシック"/>
                <a:ea typeface="ＭＳ Ｐゴシック"/>
              </a:rPr>
              <a:t>　　　0B:要件定義の誤り</a:t>
            </a:r>
          </a:p>
          <a:p>
            <a:pPr algn="l" rtl="0">
              <a:defRPr sz="1000"/>
            </a:pPr>
            <a:r>
              <a:rPr lang="ja-JP" altLang="en-US" sz="900" b="0" i="0" u="none" strike="noStrike" baseline="0">
                <a:solidFill>
                  <a:srgbClr val="000000"/>
                </a:solidFill>
                <a:latin typeface="ＭＳ Ｐゴシック"/>
                <a:ea typeface="ＭＳ Ｐゴシック"/>
              </a:rPr>
              <a:t>　　　0C:システム化対象範囲外とのI/Fの誤り</a:t>
            </a:r>
          </a:p>
          <a:p>
            <a:pPr algn="l" rtl="0">
              <a:defRPr sz="1000"/>
            </a:pPr>
            <a:r>
              <a:rPr lang="ja-JP" altLang="en-US" sz="900" b="0" i="0" u="none" strike="noStrike" baseline="0">
                <a:solidFill>
                  <a:srgbClr val="000000"/>
                </a:solidFill>
                <a:latin typeface="ＭＳ Ｐゴシック"/>
                <a:ea typeface="ＭＳ Ｐゴシック"/>
              </a:rPr>
              <a:t>　　　0Z:その他</a:t>
            </a:r>
          </a:p>
          <a:p>
            <a:pPr algn="l" rtl="0">
              <a:defRPr sz="1000"/>
            </a:pPr>
            <a:r>
              <a:rPr lang="ja-JP" altLang="en-US" sz="900" b="0" i="0" u="none" strike="noStrike" baseline="0">
                <a:solidFill>
                  <a:srgbClr val="000000"/>
                </a:solidFill>
                <a:latin typeface="ＭＳ Ｐゴシック"/>
                <a:ea typeface="ＭＳ Ｐゴシック"/>
              </a:rPr>
              <a:t>　(1) システム設計(外部設計)段階での誤り</a:t>
            </a:r>
          </a:p>
          <a:p>
            <a:pPr algn="l" rtl="0">
              <a:defRPr sz="1000"/>
            </a:pPr>
            <a:r>
              <a:rPr lang="ja-JP" altLang="en-US" sz="900" b="0" i="0" u="none" strike="noStrike" baseline="0">
                <a:solidFill>
                  <a:srgbClr val="000000"/>
                </a:solidFill>
                <a:latin typeface="ＭＳ Ｐゴシック"/>
                <a:ea typeface="ＭＳ Ｐゴシック"/>
              </a:rPr>
              <a:t>　　　1A:外部仕様の抜け及び要件定義の解釈誤り</a:t>
            </a:r>
          </a:p>
          <a:p>
            <a:pPr algn="l" rtl="0">
              <a:defRPr sz="1000"/>
            </a:pPr>
            <a:r>
              <a:rPr lang="ja-JP" altLang="en-US" sz="900" b="0" i="0" u="none" strike="noStrike" baseline="0">
                <a:solidFill>
                  <a:srgbClr val="000000"/>
                </a:solidFill>
                <a:latin typeface="ＭＳ Ｐゴシック"/>
                <a:ea typeface="ＭＳ Ｐゴシック"/>
              </a:rPr>
              <a:t>　　　1B:外部仕様の誤り</a:t>
            </a:r>
          </a:p>
          <a:p>
            <a:pPr algn="l" rtl="0">
              <a:defRPr sz="1000"/>
            </a:pPr>
            <a:r>
              <a:rPr lang="ja-JP" altLang="en-US" sz="900" b="0" i="0" u="none" strike="noStrike" baseline="0">
                <a:solidFill>
                  <a:srgbClr val="000000"/>
                </a:solidFill>
                <a:latin typeface="ＭＳ Ｐゴシック"/>
                <a:ea typeface="ＭＳ Ｐゴシック"/>
              </a:rPr>
              <a:t>　　　1C:機能間I/F仕様の誤り</a:t>
            </a:r>
          </a:p>
          <a:p>
            <a:pPr algn="l" rtl="0">
              <a:defRPr sz="1000"/>
            </a:pPr>
            <a:r>
              <a:rPr lang="ja-JP" altLang="en-US" sz="900" b="0" i="0" u="none" strike="noStrike" baseline="0">
                <a:solidFill>
                  <a:srgbClr val="000000"/>
                </a:solidFill>
                <a:latin typeface="ＭＳ Ｐゴシック"/>
                <a:ea typeface="ＭＳ Ｐゴシック"/>
              </a:rPr>
              <a:t>　　　1Z:その他</a:t>
            </a:r>
            <a:endParaRPr lang="ja-JP" altLang="en-US"/>
          </a:p>
        </xdr:txBody>
      </xdr:sp>
      <xdr:sp macro="" textlink="">
        <xdr:nvSpPr>
          <xdr:cNvPr id="2057" name="Text Box 9">
            <a:extLst>
              <a:ext uri="{FF2B5EF4-FFF2-40B4-BE49-F238E27FC236}">
                <a16:creationId xmlns:a16="http://schemas.microsoft.com/office/drawing/2014/main" id="{00000000-0008-0000-0200-000009080000}"/>
              </a:ext>
            </a:extLst>
          </xdr:cNvPr>
          <xdr:cNvSpPr txBox="1">
            <a:spLocks noChangeArrowheads="1"/>
          </xdr:cNvSpPr>
        </xdr:nvSpPr>
        <xdr:spPr bwMode="auto">
          <a:xfrm>
            <a:off x="419397513375" y="7715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　(2) SW設計/PRG設計(内部設計)段階での誤り</a:t>
            </a:r>
          </a:p>
          <a:p>
            <a:pPr algn="l" rtl="0">
              <a:defRPr sz="1000"/>
            </a:pPr>
            <a:r>
              <a:rPr lang="ja-JP" altLang="en-US" sz="900" b="0" i="0" u="none" strike="noStrike" baseline="0">
                <a:solidFill>
                  <a:srgbClr val="000000"/>
                </a:solidFill>
                <a:latin typeface="ＭＳ Ｐゴシック"/>
                <a:ea typeface="ＭＳ Ｐゴシック"/>
              </a:rPr>
              <a:t>　　　2A:内部設計漏れ及び外部仕様の解釈誤り</a:t>
            </a:r>
          </a:p>
          <a:p>
            <a:pPr algn="l" rtl="0">
              <a:defRPr sz="1000"/>
            </a:pPr>
            <a:r>
              <a:rPr lang="ja-JP" altLang="en-US" sz="900" b="0" i="0" u="none" strike="noStrike" baseline="0">
                <a:solidFill>
                  <a:srgbClr val="000000"/>
                </a:solidFill>
                <a:latin typeface="ＭＳ Ｐゴシック"/>
                <a:ea typeface="ＭＳ Ｐゴシック"/>
              </a:rPr>
              <a:t>　　　2B:内部設計の誤り</a:t>
            </a:r>
          </a:p>
          <a:p>
            <a:pPr algn="l" rtl="0">
              <a:defRPr sz="1000"/>
            </a:pPr>
            <a:r>
              <a:rPr lang="ja-JP" altLang="en-US" sz="900" b="0" i="0" u="none" strike="noStrike" baseline="0">
                <a:solidFill>
                  <a:srgbClr val="000000"/>
                </a:solidFill>
                <a:latin typeface="ＭＳ Ｐゴシック"/>
                <a:ea typeface="ＭＳ Ｐゴシック"/>
              </a:rPr>
              <a:t>　　　2C:モジュール間I/F仕様の誤り</a:t>
            </a:r>
          </a:p>
          <a:p>
            <a:pPr algn="l" rtl="0">
              <a:defRPr sz="1000"/>
            </a:pPr>
            <a:r>
              <a:rPr lang="ja-JP" altLang="en-US" sz="900" b="0" i="0" u="none" strike="noStrike" baseline="0">
                <a:solidFill>
                  <a:srgbClr val="000000"/>
                </a:solidFill>
                <a:latin typeface="ＭＳ Ｐゴシック"/>
                <a:ea typeface="ＭＳ Ｐゴシック"/>
              </a:rPr>
              <a:t>　　　2Z:その他</a:t>
            </a:r>
          </a:p>
          <a:p>
            <a:pPr algn="l" rtl="0">
              <a:defRPr sz="1000"/>
            </a:pPr>
            <a:r>
              <a:rPr lang="ja-JP" altLang="en-US" sz="900" b="0" i="0" u="none" strike="noStrike" baseline="0">
                <a:solidFill>
                  <a:srgbClr val="000000"/>
                </a:solidFill>
                <a:latin typeface="ＭＳ Ｐゴシック"/>
                <a:ea typeface="ＭＳ Ｐゴシック"/>
              </a:rPr>
              <a:t>　(3) コーディング段階での誤り</a:t>
            </a:r>
          </a:p>
          <a:p>
            <a:pPr algn="l" rtl="0">
              <a:defRPr sz="1000"/>
            </a:pPr>
            <a:r>
              <a:rPr lang="ja-JP" altLang="en-US" sz="900" b="0" i="0" u="none" strike="noStrike" baseline="0">
                <a:solidFill>
                  <a:srgbClr val="000000"/>
                </a:solidFill>
                <a:latin typeface="ＭＳ Ｐゴシック"/>
                <a:ea typeface="ＭＳ Ｐゴシック"/>
              </a:rPr>
              <a:t>　　　3A:設計どおりのコーディングがされていない</a:t>
            </a:r>
          </a:p>
          <a:p>
            <a:pPr algn="l" rtl="0">
              <a:defRPr sz="1000"/>
            </a:pPr>
            <a:r>
              <a:rPr lang="ja-JP" altLang="en-US" sz="900" b="0" i="0" u="none" strike="noStrike" baseline="0">
                <a:solidFill>
                  <a:srgbClr val="000000"/>
                </a:solidFill>
                <a:latin typeface="ＭＳ Ｐゴシック"/>
                <a:ea typeface="ＭＳ Ｐゴシック"/>
              </a:rPr>
              <a:t>　　　3B:不注意なコーディング・ミス</a:t>
            </a:r>
          </a:p>
          <a:p>
            <a:pPr algn="l" rtl="0">
              <a:defRPr sz="1000"/>
            </a:pPr>
            <a:r>
              <a:rPr lang="ja-JP" altLang="en-US" sz="900" b="0" i="0" u="none" strike="noStrike" baseline="0">
                <a:solidFill>
                  <a:srgbClr val="000000"/>
                </a:solidFill>
                <a:latin typeface="ＭＳ Ｐゴシック"/>
                <a:ea typeface="ＭＳ Ｐゴシック"/>
              </a:rPr>
              <a:t>　　　3Z:その他</a:t>
            </a:r>
            <a:endParaRPr lang="ja-JP" altLang="en-US"/>
          </a:p>
        </xdr:txBody>
      </xdr:sp>
      <xdr:sp macro="" textlink="">
        <xdr:nvSpPr>
          <xdr:cNvPr id="2058" name="Text Box 10">
            <a:extLst>
              <a:ext uri="{FF2B5EF4-FFF2-40B4-BE49-F238E27FC236}">
                <a16:creationId xmlns:a16="http://schemas.microsoft.com/office/drawing/2014/main" id="{00000000-0008-0000-0200-00000A080000}"/>
              </a:ext>
            </a:extLst>
          </xdr:cNvPr>
          <xdr:cNvSpPr txBox="1">
            <a:spLocks noChangeArrowheads="1"/>
          </xdr:cNvSpPr>
        </xdr:nvSpPr>
        <xdr:spPr bwMode="auto">
          <a:xfrm>
            <a:off x="171450" y="7715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　(4) その他</a:t>
            </a:r>
          </a:p>
          <a:p>
            <a:pPr algn="l" rtl="0">
              <a:defRPr sz="1000"/>
            </a:pPr>
            <a:r>
              <a:rPr lang="ja-JP" altLang="en-US" sz="900" b="0" i="0" u="none" strike="noStrike" baseline="0">
                <a:solidFill>
                  <a:srgbClr val="000000"/>
                </a:solidFill>
                <a:latin typeface="ＭＳ Ｐゴシック"/>
                <a:ea typeface="ＭＳ Ｐゴシック"/>
              </a:rPr>
              <a:t>　　　4A:お客様からの仕様変更</a:t>
            </a:r>
          </a:p>
          <a:p>
            <a:pPr algn="l" rtl="0">
              <a:defRPr sz="1000"/>
            </a:pPr>
            <a:r>
              <a:rPr lang="ja-JP" altLang="en-US" sz="900" b="0" i="0" u="none" strike="noStrike" baseline="0">
                <a:solidFill>
                  <a:srgbClr val="000000"/>
                </a:solidFill>
                <a:latin typeface="ＭＳ Ｐゴシック"/>
                <a:ea typeface="ＭＳ Ｐゴシック"/>
              </a:rPr>
              <a:t>　　　4B:表現不備(誤字/脱字など)</a:t>
            </a:r>
          </a:p>
          <a:p>
            <a:pPr algn="l" rtl="0">
              <a:defRPr sz="1000"/>
            </a:pPr>
            <a:r>
              <a:rPr lang="ja-JP" altLang="en-US" sz="900" b="0" i="0" u="none" strike="noStrike" baseline="0">
                <a:solidFill>
                  <a:srgbClr val="000000"/>
                </a:solidFill>
                <a:latin typeface="ＭＳ Ｐゴシック"/>
                <a:ea typeface="ＭＳ Ｐゴシック"/>
              </a:rPr>
              <a:t>　(5) 試験段階での誤り</a:t>
            </a:r>
          </a:p>
          <a:p>
            <a:pPr algn="l" rtl="0">
              <a:defRPr sz="1000"/>
            </a:pPr>
            <a:r>
              <a:rPr lang="ja-JP" altLang="en-US" sz="900" b="0" i="0" u="none" strike="noStrike" baseline="0">
                <a:solidFill>
                  <a:srgbClr val="000000"/>
                </a:solidFill>
                <a:latin typeface="ＭＳ Ｐゴシック"/>
                <a:ea typeface="ＭＳ Ｐゴシック"/>
              </a:rPr>
              <a:t>　　　5A:仕様の解釈誤り</a:t>
            </a:r>
          </a:p>
          <a:p>
            <a:pPr algn="l" rtl="0">
              <a:defRPr sz="1000"/>
            </a:pPr>
            <a:r>
              <a:rPr lang="ja-JP" altLang="en-US" sz="900" b="0" i="0" u="none" strike="noStrike" baseline="0">
                <a:solidFill>
                  <a:srgbClr val="000000"/>
                </a:solidFill>
                <a:latin typeface="ＭＳ Ｐゴシック"/>
                <a:ea typeface="ＭＳ Ｐゴシック"/>
              </a:rPr>
              <a:t>　　　5B:試験仕様の誤り</a:t>
            </a:r>
          </a:p>
          <a:p>
            <a:pPr algn="l" rtl="0">
              <a:defRPr sz="1000"/>
            </a:pPr>
            <a:r>
              <a:rPr lang="ja-JP" altLang="en-US" sz="900" b="0" i="0" u="none" strike="noStrike" baseline="0">
                <a:solidFill>
                  <a:srgbClr val="000000"/>
                </a:solidFill>
                <a:latin typeface="ＭＳ Ｐゴシック"/>
                <a:ea typeface="ＭＳ Ｐゴシック"/>
              </a:rPr>
              <a:t>　　　5C:試験プログラム/データの誤り</a:t>
            </a:r>
          </a:p>
          <a:p>
            <a:pPr algn="l" rtl="0">
              <a:defRPr sz="1000"/>
            </a:pPr>
            <a:r>
              <a:rPr lang="ja-JP" altLang="en-US" sz="900" b="0" i="0" u="none" strike="noStrike" baseline="0">
                <a:solidFill>
                  <a:srgbClr val="000000"/>
                </a:solidFill>
                <a:latin typeface="ＭＳ Ｐゴシック"/>
                <a:ea typeface="ＭＳ Ｐゴシック"/>
              </a:rPr>
              <a:t>　　　5D:試験項目抜け</a:t>
            </a:r>
          </a:p>
          <a:p>
            <a:pPr algn="l" rtl="0">
              <a:defRPr sz="1000"/>
            </a:pPr>
            <a:r>
              <a:rPr lang="ja-JP" altLang="en-US" sz="900" b="0" i="0" u="none" strike="noStrike" baseline="0">
                <a:solidFill>
                  <a:srgbClr val="000000"/>
                </a:solidFill>
                <a:latin typeface="ＭＳ Ｐゴシック"/>
                <a:ea typeface="ＭＳ Ｐゴシック"/>
              </a:rPr>
              <a:t>　　　5Z:その他</a:t>
            </a:r>
            <a:endParaRPr lang="ja-JP" altLang="en-US"/>
          </a:p>
        </xdr:txBody>
      </xdr:sp>
    </xdr:grpSp>
    <xdr:clientData/>
  </xdr:twoCellAnchor>
  <xdr:twoCellAnchor>
    <xdr:from>
      <xdr:col>0</xdr:col>
      <xdr:colOff>171450</xdr:colOff>
      <xdr:row>33</xdr:row>
      <xdr:rowOff>38100</xdr:rowOff>
    </xdr:from>
    <xdr:to>
      <xdr:col>1</xdr:col>
      <xdr:colOff>85725</xdr:colOff>
      <xdr:row>33</xdr:row>
      <xdr:rowOff>180975</xdr:rowOff>
    </xdr:to>
    <xdr:sp macro="" textlink="">
      <xdr:nvSpPr>
        <xdr:cNvPr id="18699" name="Rectangle 12">
          <a:extLst>
            <a:ext uri="{FF2B5EF4-FFF2-40B4-BE49-F238E27FC236}">
              <a16:creationId xmlns:a16="http://schemas.microsoft.com/office/drawing/2014/main" id="{00000000-0008-0000-0200-00000B490000}"/>
            </a:ext>
          </a:extLst>
        </xdr:cNvPr>
        <xdr:cNvSpPr>
          <a:spLocks noChangeArrowheads="1"/>
        </xdr:cNvSpPr>
      </xdr:nvSpPr>
      <xdr:spPr bwMode="auto">
        <a:xfrm>
          <a:off x="171450" y="552450"/>
          <a:ext cx="247650" cy="142875"/>
        </a:xfrm>
        <a:prstGeom prst="rect">
          <a:avLst/>
        </a:prstGeom>
        <a:solidFill>
          <a:srgbClr val="FFFFCC"/>
        </a:solidFill>
        <a:ln w="12700">
          <a:solidFill>
            <a:srgbClr val="000000"/>
          </a:solidFill>
          <a:miter lim="800000"/>
          <a:headEnd/>
          <a:tailEnd/>
        </a:ln>
      </xdr:spPr>
    </xdr:sp>
    <xdr:clientData/>
  </xdr:twoCellAnchor>
  <xdr:twoCellAnchor>
    <xdr:from>
      <xdr:col>0</xdr:col>
      <xdr:colOff>171450</xdr:colOff>
      <xdr:row>34</xdr:row>
      <xdr:rowOff>38100</xdr:rowOff>
    </xdr:from>
    <xdr:to>
      <xdr:col>1</xdr:col>
      <xdr:colOff>57150</xdr:colOff>
      <xdr:row>35</xdr:row>
      <xdr:rowOff>0</xdr:rowOff>
    </xdr:to>
    <xdr:sp macro="" textlink="">
      <xdr:nvSpPr>
        <xdr:cNvPr id="18700" name="Rectangle 13">
          <a:extLst>
            <a:ext uri="{FF2B5EF4-FFF2-40B4-BE49-F238E27FC236}">
              <a16:creationId xmlns:a16="http://schemas.microsoft.com/office/drawing/2014/main" id="{00000000-0008-0000-0200-00000C490000}"/>
            </a:ext>
          </a:extLst>
        </xdr:cNvPr>
        <xdr:cNvSpPr>
          <a:spLocks noChangeArrowheads="1"/>
        </xdr:cNvSpPr>
      </xdr:nvSpPr>
      <xdr:spPr bwMode="auto">
        <a:xfrm>
          <a:off x="171450" y="742950"/>
          <a:ext cx="219075" cy="142875"/>
        </a:xfrm>
        <a:prstGeom prst="rect">
          <a:avLst/>
        </a:prstGeom>
        <a:solidFill>
          <a:srgbClr val="CCFFFF"/>
        </a:solidFill>
        <a:ln w="9525">
          <a:solidFill>
            <a:srgbClr val="000000"/>
          </a:solidFill>
          <a:miter lim="800000"/>
          <a:headEnd/>
          <a:tailEnd/>
        </a:ln>
      </xdr:spPr>
    </xdr:sp>
    <xdr:clientData/>
  </xdr:twoCellAnchor>
  <xdr:twoCellAnchor>
    <xdr:from>
      <xdr:col>1</xdr:col>
      <xdr:colOff>200025</xdr:colOff>
      <xdr:row>34</xdr:row>
      <xdr:rowOff>38100</xdr:rowOff>
    </xdr:from>
    <xdr:to>
      <xdr:col>1</xdr:col>
      <xdr:colOff>428625</xdr:colOff>
      <xdr:row>35</xdr:row>
      <xdr:rowOff>0</xdr:rowOff>
    </xdr:to>
    <xdr:sp macro="" textlink="">
      <xdr:nvSpPr>
        <xdr:cNvPr id="18701" name="Rectangle 14">
          <a:extLst>
            <a:ext uri="{FF2B5EF4-FFF2-40B4-BE49-F238E27FC236}">
              <a16:creationId xmlns:a16="http://schemas.microsoft.com/office/drawing/2014/main" id="{00000000-0008-0000-0200-00000D490000}"/>
            </a:ext>
          </a:extLst>
        </xdr:cNvPr>
        <xdr:cNvSpPr>
          <a:spLocks noChangeArrowheads="1"/>
        </xdr:cNvSpPr>
      </xdr:nvSpPr>
      <xdr:spPr bwMode="auto">
        <a:xfrm>
          <a:off x="533400" y="742950"/>
          <a:ext cx="219075" cy="142875"/>
        </a:xfrm>
        <a:prstGeom prst="rect">
          <a:avLst/>
        </a:prstGeom>
        <a:solidFill>
          <a:srgbClr val="CCFFCC"/>
        </a:solidFill>
        <a:ln w="9525">
          <a:solidFill>
            <a:srgbClr val="000000"/>
          </a:solidFill>
          <a:miter lim="800000"/>
          <a:headEnd/>
          <a:tailEnd/>
        </a:ln>
      </xdr:spPr>
    </xdr:sp>
    <xdr:clientData/>
  </xdr:twoCellAnchor>
  <xdr:twoCellAnchor editAs="oneCell">
    <xdr:from>
      <xdr:col>1</xdr:col>
      <xdr:colOff>47625</xdr:colOff>
      <xdr:row>34</xdr:row>
      <xdr:rowOff>47625</xdr:rowOff>
    </xdr:from>
    <xdr:to>
      <xdr:col>1</xdr:col>
      <xdr:colOff>224608</xdr:colOff>
      <xdr:row>35</xdr:row>
      <xdr:rowOff>38100</xdr:rowOff>
    </xdr:to>
    <xdr:sp macro="" textlink="">
      <xdr:nvSpPr>
        <xdr:cNvPr id="2064" name="Text Box 16">
          <a:extLst>
            <a:ext uri="{FF2B5EF4-FFF2-40B4-BE49-F238E27FC236}">
              <a16:creationId xmlns:a16="http://schemas.microsoft.com/office/drawing/2014/main" id="{00000000-0008-0000-0200-000010080000}"/>
            </a:ext>
          </a:extLst>
        </xdr:cNvPr>
        <xdr:cNvSpPr txBox="1">
          <a:spLocks noChangeArrowheads="1"/>
        </xdr:cNvSpPr>
      </xdr:nvSpPr>
      <xdr:spPr bwMode="auto">
        <a:xfrm>
          <a:off x="381000" y="752475"/>
          <a:ext cx="180975" cy="171450"/>
        </a:xfrm>
        <a:prstGeom prst="rect">
          <a:avLst/>
        </a:prstGeom>
        <a:no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a:t>
          </a:r>
        </a:p>
        <a:p>
          <a:pPr algn="l" rtl="0">
            <a:defRPr sz="1000"/>
          </a:pPr>
          <a:r>
            <a:rPr lang="ja-JP" altLang="en-US" sz="900" b="0" i="0" u="none" strike="noStrike" baseline="0">
              <a:solidFill>
                <a:srgbClr val="000000"/>
              </a:solidFill>
              <a:latin typeface="ＭＳ Ｐゴシック"/>
              <a:ea typeface="ＭＳ Ｐゴシック"/>
            </a:rPr>
            <a:t>（＋</a:t>
          </a:r>
          <a:endParaRPr lang="ja-JP" altLang="en-US"/>
        </a:p>
      </xdr:txBody>
    </xdr:sp>
    <xdr:clientData/>
  </xdr:twoCellAnchor>
  <xdr:twoCellAnchor>
    <xdr:from>
      <xdr:col>0</xdr:col>
      <xdr:colOff>76200</xdr:colOff>
      <xdr:row>32</xdr:row>
      <xdr:rowOff>9525</xdr:rowOff>
    </xdr:from>
    <xdr:to>
      <xdr:col>8</xdr:col>
      <xdr:colOff>133350</xdr:colOff>
      <xdr:row>35</xdr:row>
      <xdr:rowOff>47625</xdr:rowOff>
    </xdr:to>
    <xdr:sp macro="" textlink="">
      <xdr:nvSpPr>
        <xdr:cNvPr id="18703" name="Rectangle 17">
          <a:extLst>
            <a:ext uri="{FF2B5EF4-FFF2-40B4-BE49-F238E27FC236}">
              <a16:creationId xmlns:a16="http://schemas.microsoft.com/office/drawing/2014/main" id="{00000000-0008-0000-0200-00000F490000}"/>
            </a:ext>
          </a:extLst>
        </xdr:cNvPr>
        <xdr:cNvSpPr>
          <a:spLocks noChangeArrowheads="1"/>
        </xdr:cNvSpPr>
      </xdr:nvSpPr>
      <xdr:spPr bwMode="auto">
        <a:xfrm>
          <a:off x="76200" y="323850"/>
          <a:ext cx="7115175" cy="609600"/>
        </a:xfrm>
        <a:prstGeom prst="rect">
          <a:avLst/>
        </a:prstGeom>
        <a:noFill/>
        <a:ln w="9525">
          <a:solidFill>
            <a:srgbClr val="00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9</xdr:col>
      <xdr:colOff>495300</xdr:colOff>
      <xdr:row>38</xdr:row>
      <xdr:rowOff>9525</xdr:rowOff>
    </xdr:from>
    <xdr:to>
      <xdr:col>9</xdr:col>
      <xdr:colOff>495300</xdr:colOff>
      <xdr:row>39</xdr:row>
      <xdr:rowOff>0</xdr:rowOff>
    </xdr:to>
    <xdr:sp macro="" textlink="">
      <xdr:nvSpPr>
        <xdr:cNvPr id="18704" name="Line 18">
          <a:extLst>
            <a:ext uri="{FF2B5EF4-FFF2-40B4-BE49-F238E27FC236}">
              <a16:creationId xmlns:a16="http://schemas.microsoft.com/office/drawing/2014/main" id="{00000000-0008-0000-0200-000010490000}"/>
            </a:ext>
          </a:extLst>
        </xdr:cNvPr>
        <xdr:cNvSpPr>
          <a:spLocks noChangeShapeType="1"/>
        </xdr:cNvSpPr>
      </xdr:nvSpPr>
      <xdr:spPr bwMode="auto">
        <a:xfrm>
          <a:off x="8067675" y="1552575"/>
          <a:ext cx="0" cy="1333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0</xdr:col>
      <xdr:colOff>0</xdr:colOff>
      <xdr:row>1</xdr:row>
      <xdr:rowOff>0</xdr:rowOff>
    </xdr:from>
    <xdr:to>
      <xdr:col>0</xdr:col>
      <xdr:colOff>312122</xdr:colOff>
      <xdr:row>30</xdr:row>
      <xdr:rowOff>152400</xdr:rowOff>
    </xdr:to>
    <xdr:sp macro="" textlink="">
      <xdr:nvSpPr>
        <xdr:cNvPr id="2067" name="Text Box 19">
          <a:extLst>
            <a:ext uri="{FF2B5EF4-FFF2-40B4-BE49-F238E27FC236}">
              <a16:creationId xmlns:a16="http://schemas.microsoft.com/office/drawing/2014/main" id="{00000000-0008-0000-0200-000013080000}"/>
            </a:ext>
          </a:extLst>
        </xdr:cNvPr>
        <xdr:cNvSpPr txBox="1">
          <a:spLocks noChangeArrowheads="1"/>
        </xdr:cNvSpPr>
      </xdr:nvSpPr>
      <xdr:spPr bwMode="auto">
        <a:xfrm>
          <a:off x="0" y="0"/>
          <a:ext cx="314325" cy="15240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秘</a:t>
          </a:r>
          <a:endParaRPr lang="ja-JP" altLang="en-US"/>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9</xdr:col>
      <xdr:colOff>85725</xdr:colOff>
      <xdr:row>1</xdr:row>
      <xdr:rowOff>9525</xdr:rowOff>
    </xdr:from>
    <xdr:to>
      <xdr:col>15</xdr:col>
      <xdr:colOff>542925</xdr:colOff>
      <xdr:row>8</xdr:row>
      <xdr:rowOff>266700</xdr:rowOff>
    </xdr:to>
    <xdr:sp macro="" textlink="">
      <xdr:nvSpPr>
        <xdr:cNvPr id="21505" name="角丸四角形 1">
          <a:extLst>
            <a:ext uri="{FF2B5EF4-FFF2-40B4-BE49-F238E27FC236}">
              <a16:creationId xmlns:a16="http://schemas.microsoft.com/office/drawing/2014/main" id="{00000000-0008-0000-0300-000001540000}"/>
            </a:ext>
          </a:extLst>
        </xdr:cNvPr>
        <xdr:cNvSpPr>
          <a:spLocks noChangeArrowheads="1"/>
        </xdr:cNvSpPr>
      </xdr:nvSpPr>
      <xdr:spPr bwMode="auto">
        <a:xfrm>
          <a:off x="9848850" y="161925"/>
          <a:ext cx="4114800" cy="2028825"/>
        </a:xfrm>
        <a:prstGeom prst="roundRect">
          <a:avLst>
            <a:gd name="adj" fmla="val 16667"/>
          </a:avLst>
        </a:prstGeom>
        <a:solidFill>
          <a:srgbClr val="FFFF66"/>
        </a:solidFill>
        <a:ln w="9525" algn="ctr">
          <a:solidFill>
            <a:srgbClr val="000000"/>
          </a:solidFill>
          <a:round/>
          <a:headEnd/>
          <a:tailEnd/>
        </a:ln>
      </xdr:spPr>
      <xdr:txBody>
        <a:bodyPr vertOverflow="clip" wrap="square" lIns="36576" tIns="18288" rIns="0" bIns="0" anchor="t" upright="1"/>
        <a:lstStyle/>
        <a:p>
          <a:pPr algn="l" rtl="0">
            <a:defRPr sz="1000"/>
          </a:pPr>
          <a:r>
            <a:rPr lang="ja-JP" altLang="en-US" sz="1100" b="1" i="0" strike="noStrike">
              <a:solidFill>
                <a:srgbClr val="FF0000"/>
              </a:solidFill>
              <a:latin typeface="ＭＳ Ｐゴシック"/>
              <a:ea typeface="ＭＳ Ｐゴシック"/>
            </a:rPr>
            <a:t>＜記述要領＞</a:t>
          </a:r>
          <a:endParaRPr lang="ja-JP" altLang="en-US" sz="1100" b="1" i="0" strike="noStrike">
            <a:solidFill>
              <a:srgbClr val="FF0000"/>
            </a:solidFill>
            <a:latin typeface="Calibri"/>
          </a:endParaRPr>
        </a:p>
        <a:p>
          <a:pPr algn="l" rtl="0">
            <a:defRPr sz="1000"/>
          </a:pPr>
          <a:r>
            <a:rPr lang="ja-JP" altLang="en-US" sz="1100" b="1" i="0" strike="noStrike">
              <a:solidFill>
                <a:srgbClr val="FF0000"/>
              </a:solidFill>
              <a:latin typeface="ＭＳ Ｐゴシック"/>
              <a:ea typeface="ＭＳ Ｐゴシック"/>
            </a:rPr>
            <a:t>１．ヘッダー情報（実施日、実施者、ドキュメント番号）を</a:t>
          </a:r>
          <a:endParaRPr lang="ja-JP" altLang="en-US" sz="1100" b="1" i="0" strike="noStrike">
            <a:solidFill>
              <a:srgbClr val="FF0000"/>
            </a:solidFill>
            <a:latin typeface="Calibri"/>
          </a:endParaRPr>
        </a:p>
        <a:p>
          <a:pPr algn="l" rtl="0">
            <a:defRPr sz="1000"/>
          </a:pPr>
          <a:r>
            <a:rPr lang="ja-JP" altLang="en-US" sz="1100" b="1" i="0" strike="noStrike">
              <a:solidFill>
                <a:srgbClr val="FF0000"/>
              </a:solidFill>
              <a:latin typeface="ＭＳ Ｐゴシック"/>
              <a:ea typeface="ＭＳ Ｐゴシック"/>
            </a:rPr>
            <a:t>　　記入する。</a:t>
          </a:r>
          <a:endParaRPr lang="ja-JP" altLang="en-US" sz="1100" b="1" i="0" strike="noStrike">
            <a:solidFill>
              <a:srgbClr val="FF0000"/>
            </a:solidFill>
            <a:latin typeface="Calibri"/>
          </a:endParaRPr>
        </a:p>
        <a:p>
          <a:pPr algn="l" rtl="0">
            <a:defRPr sz="1000"/>
          </a:pPr>
          <a:r>
            <a:rPr lang="ja-JP" altLang="en-US" sz="1100" b="1" i="0" strike="noStrike">
              <a:solidFill>
                <a:srgbClr val="FF0000"/>
              </a:solidFill>
              <a:latin typeface="ＭＳ Ｐゴシック"/>
              <a:ea typeface="ＭＳ Ｐゴシック"/>
            </a:rPr>
            <a:t>２．機能区分を選択する。</a:t>
          </a:r>
          <a:endParaRPr lang="ja-JP" altLang="en-US" sz="1100" b="1" i="0" strike="noStrike">
            <a:solidFill>
              <a:srgbClr val="FF0000"/>
            </a:solidFill>
            <a:latin typeface="Calibri"/>
          </a:endParaRPr>
        </a:p>
        <a:p>
          <a:pPr algn="l" rtl="0">
            <a:defRPr sz="1000"/>
          </a:pPr>
          <a:r>
            <a:rPr lang="ja-JP" altLang="en-US" sz="1100" b="1" i="0" strike="noStrike">
              <a:solidFill>
                <a:srgbClr val="FF0000"/>
              </a:solidFill>
              <a:latin typeface="ＭＳ Ｐゴシック"/>
              <a:ea typeface="ＭＳ Ｐゴシック"/>
            </a:rPr>
            <a:t>　　⇒画面</a:t>
          </a:r>
          <a:r>
            <a:rPr lang="en-US" altLang="ja-JP" sz="1100" b="1" i="0" strike="noStrike">
              <a:solidFill>
                <a:srgbClr val="FF0000"/>
              </a:solidFill>
              <a:latin typeface="Calibri"/>
            </a:rPr>
            <a:t>/</a:t>
          </a:r>
          <a:r>
            <a:rPr lang="ja-JP" altLang="en-US" sz="1100" b="1" i="0" strike="noStrike">
              <a:solidFill>
                <a:srgbClr val="FF0000"/>
              </a:solidFill>
              <a:latin typeface="ＭＳ Ｐゴシック"/>
              <a:ea typeface="ＭＳ Ｐゴシック"/>
            </a:rPr>
            <a:t>帳票</a:t>
          </a:r>
          <a:r>
            <a:rPr lang="en-US" altLang="ja-JP" sz="1100" b="1" i="0" strike="noStrike">
              <a:solidFill>
                <a:srgbClr val="FF0000"/>
              </a:solidFill>
              <a:latin typeface="Calibri"/>
            </a:rPr>
            <a:t>(</a:t>
          </a:r>
          <a:r>
            <a:rPr lang="ja-JP" altLang="en-US" sz="1100" b="1" i="0" strike="noStrike">
              <a:solidFill>
                <a:srgbClr val="FF0000"/>
              </a:solidFill>
              <a:latin typeface="ＭＳ Ｐゴシック"/>
              <a:ea typeface="ＭＳ Ｐゴシック"/>
            </a:rPr>
            <a:t>紙</a:t>
          </a:r>
          <a:r>
            <a:rPr lang="en-US" altLang="ja-JP" sz="1100" b="1" i="0" strike="noStrike">
              <a:solidFill>
                <a:srgbClr val="FF0000"/>
              </a:solidFill>
              <a:latin typeface="Calibri"/>
            </a:rPr>
            <a:t>)/</a:t>
          </a:r>
          <a:r>
            <a:rPr lang="ja-JP" altLang="en-US" sz="1100" b="1" i="0" strike="noStrike">
              <a:solidFill>
                <a:srgbClr val="FF0000"/>
              </a:solidFill>
              <a:latin typeface="ＭＳ Ｐゴシック"/>
              <a:ea typeface="ＭＳ Ｐゴシック"/>
            </a:rPr>
            <a:t>帳票</a:t>
          </a:r>
          <a:r>
            <a:rPr lang="en-US" altLang="ja-JP" sz="1100" b="1" i="0" strike="noStrike">
              <a:solidFill>
                <a:srgbClr val="FF0000"/>
              </a:solidFill>
              <a:latin typeface="Calibri"/>
            </a:rPr>
            <a:t>(</a:t>
          </a:r>
          <a:r>
            <a:rPr lang="ja-JP" altLang="en-US" sz="1100" b="1" i="0" strike="noStrike">
              <a:solidFill>
                <a:srgbClr val="FF0000"/>
              </a:solidFill>
              <a:latin typeface="ＭＳ Ｐゴシック"/>
              <a:ea typeface="ＭＳ Ｐゴシック"/>
            </a:rPr>
            <a:t>Ｅｘ</a:t>
          </a:r>
          <a:r>
            <a:rPr lang="en-US" altLang="ja-JP" sz="1100" b="1" i="0" strike="noStrike">
              <a:solidFill>
                <a:srgbClr val="FF0000"/>
              </a:solidFill>
              <a:latin typeface="Calibri"/>
            </a:rPr>
            <a:t>)/</a:t>
          </a:r>
          <a:r>
            <a:rPr lang="ja-JP" altLang="en-US" sz="1100" b="1" i="0" strike="noStrike">
              <a:solidFill>
                <a:srgbClr val="FF0000"/>
              </a:solidFill>
              <a:latin typeface="ＭＳ Ｐゴシック"/>
              <a:ea typeface="ＭＳ Ｐゴシック"/>
            </a:rPr>
            <a:t>バッチ</a:t>
          </a:r>
          <a:r>
            <a:rPr lang="en-US" altLang="ja-JP" sz="1100" b="1" i="0" strike="noStrike">
              <a:solidFill>
                <a:srgbClr val="FF0000"/>
              </a:solidFill>
              <a:latin typeface="Calibri"/>
            </a:rPr>
            <a:t>/</a:t>
          </a:r>
          <a:r>
            <a:rPr lang="ja-JP" altLang="en-US" sz="1100" b="1" i="0" strike="noStrike">
              <a:solidFill>
                <a:srgbClr val="FF0000"/>
              </a:solidFill>
              <a:latin typeface="ＭＳ Ｐゴシック"/>
              <a:ea typeface="ＭＳ Ｐゴシック"/>
            </a:rPr>
            <a:t>Ｉ／Ｆ</a:t>
          </a:r>
          <a:endParaRPr lang="ja-JP" altLang="en-US" sz="1100" b="1" i="0" strike="noStrike">
            <a:solidFill>
              <a:srgbClr val="FF0000"/>
            </a:solidFill>
            <a:latin typeface="Calibri"/>
          </a:endParaRPr>
        </a:p>
        <a:p>
          <a:pPr algn="l" rtl="0">
            <a:defRPr sz="1000"/>
          </a:pPr>
          <a:r>
            <a:rPr lang="ja-JP" altLang="en-US" sz="1100" b="1" i="0" strike="noStrike">
              <a:solidFill>
                <a:srgbClr val="FF0000"/>
              </a:solidFill>
              <a:latin typeface="ＭＳ Ｐゴシック"/>
              <a:ea typeface="ＭＳ Ｐゴシック"/>
            </a:rPr>
            <a:t>３．機能区分に「●」が付いているチェック項目が</a:t>
          </a:r>
          <a:endParaRPr lang="ja-JP" altLang="en-US" sz="1100" b="1" i="0" strike="noStrike">
            <a:solidFill>
              <a:srgbClr val="FF0000"/>
            </a:solidFill>
            <a:latin typeface="Calibri"/>
          </a:endParaRPr>
        </a:p>
        <a:p>
          <a:pPr algn="l" rtl="0">
            <a:defRPr sz="1000"/>
          </a:pPr>
          <a:r>
            <a:rPr lang="ja-JP" altLang="en-US" sz="1100" b="1" i="0" strike="noStrike">
              <a:solidFill>
                <a:srgbClr val="FF0000"/>
              </a:solidFill>
              <a:latin typeface="ＭＳ Ｐゴシック"/>
              <a:ea typeface="ＭＳ Ｐゴシック"/>
            </a:rPr>
            <a:t>　　試験項目として含まれているかを確認する。</a:t>
          </a:r>
          <a:endParaRPr lang="ja-JP" altLang="en-US" sz="1100" b="1" i="0" strike="noStrike">
            <a:solidFill>
              <a:srgbClr val="FF0000"/>
            </a:solidFill>
            <a:latin typeface="Calibri"/>
          </a:endParaRPr>
        </a:p>
        <a:p>
          <a:pPr algn="l" rtl="0">
            <a:defRPr sz="1000"/>
          </a:pPr>
          <a:r>
            <a:rPr lang="ja-JP" altLang="en-US" sz="1100" b="1" i="0" strike="noStrike">
              <a:solidFill>
                <a:srgbClr val="FF0000"/>
              </a:solidFill>
              <a:latin typeface="ＭＳ Ｐゴシック"/>
              <a:ea typeface="ＭＳ Ｐゴシック"/>
            </a:rPr>
            <a:t>　　機能区分に印がない項目は「－」とする。</a:t>
          </a:r>
          <a:endParaRPr lang="ja-JP" altLang="en-US" sz="1100" b="1" i="0" strike="noStrike">
            <a:solidFill>
              <a:srgbClr val="FF0000"/>
            </a:solidFill>
            <a:latin typeface="Calibri"/>
          </a:endParaRPr>
        </a:p>
        <a:p>
          <a:pPr algn="l" rtl="0">
            <a:defRPr sz="1000"/>
          </a:pPr>
          <a:r>
            <a:rPr lang="en-US" altLang="ja-JP" sz="1100" b="1" i="0" strike="noStrike">
              <a:solidFill>
                <a:srgbClr val="FF0000"/>
              </a:solidFill>
              <a:latin typeface="ＭＳ Ｐゴシック"/>
              <a:ea typeface="ＭＳ Ｐゴシック"/>
            </a:rPr>
            <a:t>※</a:t>
          </a:r>
          <a:r>
            <a:rPr lang="ja-JP" altLang="en-US" sz="1100" b="1" i="0" strike="noStrike">
              <a:solidFill>
                <a:srgbClr val="FF0000"/>
              </a:solidFill>
              <a:latin typeface="ＭＳ Ｐゴシック"/>
              <a:ea typeface="ＭＳ Ｐゴシック"/>
            </a:rPr>
            <a:t>このコメントは削除してから使用して下さい。</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AE61"/>
  <sheetViews>
    <sheetView showGridLines="0" zoomScale="115" zoomScaleNormal="100" workbookViewId="0">
      <selection activeCell="T2" sqref="T2:W2"/>
    </sheetView>
  </sheetViews>
  <sheetFormatPr defaultColWidth="9" defaultRowHeight="11.25"/>
  <cols>
    <col min="1" max="1" width="0.75" style="9" customWidth="1"/>
    <col min="2" max="3" width="1.5" style="9" customWidth="1"/>
    <col min="4" max="4" width="3" style="9" customWidth="1"/>
    <col min="5" max="5" width="2.75" style="9" customWidth="1"/>
    <col min="6" max="6" width="4.375" style="9" customWidth="1"/>
    <col min="7" max="7" width="5" style="9" customWidth="1"/>
    <col min="8" max="8" width="6.125" style="9" customWidth="1"/>
    <col min="9" max="9" width="3.375" style="9" customWidth="1"/>
    <col min="10" max="10" width="5.875" style="9" customWidth="1"/>
    <col min="11" max="11" width="6.875" style="9" customWidth="1"/>
    <col min="12" max="13" width="3.375" style="9" customWidth="1"/>
    <col min="14" max="14" width="6.875" style="9" customWidth="1"/>
    <col min="15" max="15" width="5" style="10" customWidth="1"/>
    <col min="16" max="16" width="3" style="10" customWidth="1"/>
    <col min="17" max="17" width="3.625" style="10" customWidth="1"/>
    <col min="18" max="18" width="3.625" style="9" customWidth="1"/>
    <col min="19" max="19" width="11.625" style="9" customWidth="1"/>
    <col min="20" max="20" width="5" style="9" customWidth="1"/>
    <col min="21" max="21" width="3.375" style="9" customWidth="1"/>
    <col min="22" max="22" width="5" style="9" customWidth="1"/>
    <col min="23" max="23" width="3.375" style="9" customWidth="1"/>
    <col min="24" max="16384" width="9" style="9"/>
  </cols>
  <sheetData>
    <row r="1" spans="2:26" ht="2.25" customHeight="1" thickBot="1">
      <c r="B1"/>
      <c r="C1"/>
      <c r="D1"/>
      <c r="E1"/>
      <c r="F1"/>
      <c r="G1"/>
      <c r="H1"/>
    </row>
    <row r="2" spans="2:26" ht="15" customHeight="1" thickBot="1">
      <c r="C2" s="111"/>
      <c r="D2"/>
      <c r="E2"/>
      <c r="F2" s="310" t="s">
        <v>0</v>
      </c>
      <c r="G2" s="310"/>
      <c r="H2" s="310"/>
      <c r="I2" s="310"/>
      <c r="J2" s="310"/>
      <c r="K2" s="310"/>
      <c r="L2" s="112"/>
      <c r="M2" s="112"/>
      <c r="N2" s="32"/>
      <c r="O2" s="32"/>
      <c r="P2" s="22"/>
      <c r="Q2"/>
      <c r="R2"/>
      <c r="S2" s="64" t="s">
        <v>1</v>
      </c>
      <c r="T2" s="311"/>
      <c r="U2" s="312"/>
      <c r="V2" s="312"/>
      <c r="W2" s="313"/>
    </row>
    <row r="3" spans="2:26" ht="15" customHeight="1">
      <c r="C3" s="102"/>
      <c r="D3" s="102"/>
      <c r="E3" s="102"/>
      <c r="F3" s="310"/>
      <c r="G3" s="310"/>
      <c r="H3" s="310"/>
      <c r="I3" s="310"/>
      <c r="J3" s="310"/>
      <c r="K3" s="310"/>
      <c r="L3" s="112"/>
      <c r="M3" s="112"/>
      <c r="N3" s="84" t="s">
        <v>2</v>
      </c>
      <c r="O3" s="51"/>
      <c r="P3" s="32"/>
      <c r="Q3" s="22"/>
      <c r="R3"/>
      <c r="S3" s="10"/>
    </row>
    <row r="4" spans="2:26" ht="28.5" customHeight="1">
      <c r="B4" s="20"/>
      <c r="C4" s="331" t="s">
        <v>3</v>
      </c>
      <c r="D4" s="331"/>
      <c r="E4" s="331"/>
      <c r="F4" s="332"/>
      <c r="G4" s="152" t="s">
        <v>4</v>
      </c>
      <c r="H4" s="333" t="s">
        <v>5</v>
      </c>
      <c r="I4" s="334"/>
      <c r="J4" s="153"/>
      <c r="K4" s="326" t="s">
        <v>6</v>
      </c>
      <c r="L4" s="326"/>
      <c r="M4" s="327"/>
      <c r="N4" s="337" t="s">
        <v>7</v>
      </c>
      <c r="O4" s="338"/>
      <c r="P4" s="338"/>
      <c r="Q4" s="338"/>
      <c r="R4" s="338"/>
      <c r="S4" s="338"/>
      <c r="T4" s="338"/>
      <c r="U4" s="338"/>
      <c r="V4" s="338"/>
      <c r="W4" s="338"/>
    </row>
    <row r="5" spans="2:26" ht="9" customHeight="1" thickBot="1"/>
    <row r="6" spans="2:26" ht="15" customHeight="1">
      <c r="B6" s="316" t="s">
        <v>8</v>
      </c>
      <c r="C6" s="317"/>
      <c r="D6" s="317"/>
      <c r="E6" s="317"/>
      <c r="F6" s="321"/>
      <c r="G6" s="322"/>
      <c r="H6" s="322"/>
      <c r="I6" s="35" t="s">
        <v>9</v>
      </c>
      <c r="J6" s="318"/>
      <c r="K6" s="319"/>
      <c r="L6" s="35" t="s">
        <v>10</v>
      </c>
      <c r="M6" s="335" t="s">
        <v>11</v>
      </c>
      <c r="N6" s="335"/>
      <c r="O6" s="318"/>
      <c r="P6" s="319"/>
      <c r="Q6" s="319"/>
      <c r="R6" s="319"/>
      <c r="S6" s="319"/>
      <c r="T6" s="149"/>
      <c r="U6" s="336"/>
      <c r="V6" s="336"/>
      <c r="W6" s="36"/>
    </row>
    <row r="7" spans="2:26" ht="15" customHeight="1" thickBot="1">
      <c r="B7" s="314" t="s">
        <v>12</v>
      </c>
      <c r="C7" s="315"/>
      <c r="D7" s="315"/>
      <c r="E7" s="315"/>
      <c r="F7" s="323" t="s">
        <v>13</v>
      </c>
      <c r="G7" s="324"/>
      <c r="H7" s="324"/>
      <c r="I7" s="325"/>
      <c r="J7" s="320" t="s">
        <v>14</v>
      </c>
      <c r="K7" s="320"/>
      <c r="L7" s="328" t="s">
        <v>15</v>
      </c>
      <c r="M7" s="329"/>
      <c r="N7" s="329"/>
      <c r="O7" s="329"/>
      <c r="P7" s="329"/>
      <c r="Q7" s="329"/>
      <c r="R7" s="329"/>
      <c r="S7" s="329"/>
      <c r="T7" s="329"/>
      <c r="U7" s="329"/>
      <c r="V7" s="329"/>
      <c r="W7" s="330"/>
    </row>
    <row r="8" spans="2:26" ht="6.75" customHeight="1" thickBot="1">
      <c r="B8" s="10"/>
      <c r="C8" s="10"/>
      <c r="D8" s="10"/>
      <c r="E8" s="11"/>
      <c r="F8" s="11"/>
      <c r="G8" s="11"/>
      <c r="H8" s="11"/>
      <c r="I8" s="11"/>
      <c r="J8" s="10"/>
      <c r="K8" s="10"/>
      <c r="L8" s="10"/>
      <c r="M8" s="10"/>
      <c r="N8" s="10"/>
      <c r="R8" s="10"/>
      <c r="S8" s="10"/>
      <c r="T8" s="10"/>
    </row>
    <row r="9" spans="2:26" ht="15" customHeight="1" thickBot="1">
      <c r="B9" s="397" t="s">
        <v>16</v>
      </c>
      <c r="C9" s="398"/>
      <c r="D9" s="339" t="s">
        <v>17</v>
      </c>
      <c r="E9" s="406"/>
      <c r="F9" s="340"/>
      <c r="G9" s="341"/>
      <c r="H9" s="403" t="str">
        <f>IF(査読ｼｰﾄ!C37="","（転記）",査読ｼｰﾄ!C37)</f>
        <v>（転記）</v>
      </c>
      <c r="I9" s="404"/>
      <c r="J9" s="405"/>
      <c r="K9" s="339" t="s">
        <v>18</v>
      </c>
      <c r="L9" s="340"/>
      <c r="M9" s="341"/>
      <c r="N9" s="352" t="str">
        <f>IF(査読ｼｰﾄ!C38="","（転記）",査読ｼｰﾄ!C38)</f>
        <v>単体試験要領書_MSBBRA030_【帳票】アドオン(御見積書).xlsx</v>
      </c>
      <c r="O9" s="353"/>
      <c r="P9" s="353"/>
      <c r="Q9" s="353"/>
      <c r="R9" s="353"/>
      <c r="S9" s="353"/>
      <c r="T9" s="353"/>
      <c r="U9" s="353"/>
      <c r="V9" s="353"/>
      <c r="W9" s="354"/>
    </row>
    <row r="10" spans="2:26" ht="15" customHeight="1" thickTop="1">
      <c r="B10" s="399"/>
      <c r="C10" s="400"/>
      <c r="D10" s="362" t="s">
        <v>19</v>
      </c>
      <c r="E10" s="362"/>
      <c r="F10" s="350" t="s">
        <v>20</v>
      </c>
      <c r="G10" s="350"/>
      <c r="H10" s="350"/>
      <c r="I10" s="350"/>
      <c r="J10" s="350"/>
      <c r="K10" s="60"/>
      <c r="L10" s="350" t="s">
        <v>21</v>
      </c>
      <c r="M10" s="350"/>
      <c r="N10" s="350"/>
      <c r="O10" s="372"/>
      <c r="P10" s="373"/>
      <c r="Q10" s="366" t="s">
        <v>22</v>
      </c>
      <c r="R10" s="367"/>
      <c r="S10" s="367"/>
      <c r="T10" s="367"/>
      <c r="U10" s="368"/>
      <c r="V10" s="355"/>
      <c r="W10" s="356"/>
    </row>
    <row r="11" spans="2:26" ht="15" customHeight="1">
      <c r="B11" s="399"/>
      <c r="C11" s="400"/>
      <c r="D11" s="363"/>
      <c r="E11" s="363"/>
      <c r="F11" s="351" t="s">
        <v>23</v>
      </c>
      <c r="G11" s="351"/>
      <c r="H11" s="351"/>
      <c r="I11" s="351"/>
      <c r="J11" s="351"/>
      <c r="K11" s="60"/>
      <c r="L11" s="351" t="s">
        <v>24</v>
      </c>
      <c r="M11" s="351"/>
      <c r="N11" s="351"/>
      <c r="O11" s="408"/>
      <c r="P11" s="409"/>
      <c r="Q11" s="369" t="s">
        <v>25</v>
      </c>
      <c r="R11" s="370"/>
      <c r="S11" s="370"/>
      <c r="T11" s="370"/>
      <c r="U11" s="371"/>
      <c r="V11" s="410"/>
      <c r="W11" s="411"/>
    </row>
    <row r="12" spans="2:26" ht="15" customHeight="1">
      <c r="B12" s="399"/>
      <c r="C12" s="400"/>
      <c r="D12" s="363"/>
      <c r="E12" s="363"/>
      <c r="F12" s="351" t="s">
        <v>26</v>
      </c>
      <c r="G12" s="351"/>
      <c r="H12" s="351"/>
      <c r="I12" s="351"/>
      <c r="J12" s="351"/>
      <c r="K12" s="60" t="s">
        <v>4</v>
      </c>
      <c r="L12" s="342" t="s">
        <v>27</v>
      </c>
      <c r="M12" s="342"/>
      <c r="N12" s="342"/>
      <c r="O12" s="408"/>
      <c r="P12" s="409"/>
      <c r="Q12" s="369" t="s">
        <v>28</v>
      </c>
      <c r="R12" s="370"/>
      <c r="S12" s="370"/>
      <c r="T12" s="370"/>
      <c r="U12" s="371"/>
      <c r="V12" s="410"/>
      <c r="W12" s="411"/>
    </row>
    <row r="13" spans="2:26" ht="15" customHeight="1" thickBot="1">
      <c r="B13" s="399"/>
      <c r="C13" s="400"/>
      <c r="D13" s="363"/>
      <c r="E13" s="363"/>
      <c r="F13" s="351" t="s">
        <v>29</v>
      </c>
      <c r="G13" s="351"/>
      <c r="H13" s="351"/>
      <c r="I13" s="351"/>
      <c r="J13" s="351"/>
      <c r="K13" s="60"/>
      <c r="L13" s="350" t="s">
        <v>30</v>
      </c>
      <c r="M13" s="350"/>
      <c r="N13" s="350"/>
      <c r="O13" s="357"/>
      <c r="P13" s="358"/>
      <c r="Q13" s="359" t="s">
        <v>31</v>
      </c>
      <c r="R13" s="360"/>
      <c r="S13" s="360"/>
      <c r="T13" s="360"/>
      <c r="U13" s="361"/>
      <c r="V13" s="364"/>
      <c r="W13" s="365"/>
    </row>
    <row r="14" spans="2:26" ht="15" customHeight="1">
      <c r="B14" s="399"/>
      <c r="C14" s="400"/>
      <c r="D14" s="342" t="s">
        <v>32</v>
      </c>
      <c r="E14" s="342"/>
      <c r="F14" s="342"/>
      <c r="G14" s="342" t="s">
        <v>33</v>
      </c>
      <c r="H14" s="342"/>
      <c r="I14" s="342"/>
      <c r="J14" s="76" t="str">
        <f>IF(査読ｼｰﾄ!J37=0,"（転記）",査読ｼｰﾄ!J37)</f>
        <v>（転記）</v>
      </c>
      <c r="K14" s="342" t="s">
        <v>34</v>
      </c>
      <c r="L14" s="392"/>
      <c r="M14" s="392"/>
      <c r="N14" s="66"/>
      <c r="O14" s="407"/>
      <c r="P14" s="393"/>
      <c r="Q14" s="393"/>
      <c r="R14" s="393"/>
      <c r="S14" s="393"/>
      <c r="T14" s="393"/>
      <c r="U14" s="393"/>
      <c r="V14" s="393"/>
      <c r="W14" s="393"/>
    </row>
    <row r="15" spans="2:26" ht="15" customHeight="1" thickBot="1">
      <c r="B15" s="401"/>
      <c r="C15" s="402"/>
      <c r="D15" s="315" t="s">
        <v>27</v>
      </c>
      <c r="E15" s="315"/>
      <c r="F15" s="315"/>
      <c r="G15" s="315" t="s">
        <v>35</v>
      </c>
      <c r="H15" s="315"/>
      <c r="I15" s="315"/>
      <c r="J15" s="77" t="str">
        <f>IF(査読ｼｰﾄ!J38=0,"（転記）",査読ｼｰﾄ!J38)</f>
        <v>（転記）</v>
      </c>
      <c r="K15" s="315" t="s">
        <v>36</v>
      </c>
      <c r="L15" s="315"/>
      <c r="M15" s="315"/>
      <c r="N15" s="52"/>
      <c r="O15" s="407"/>
      <c r="P15" s="393"/>
      <c r="Q15" s="393"/>
      <c r="R15" s="393"/>
      <c r="S15" s="393"/>
      <c r="T15" s="393"/>
      <c r="U15" s="393"/>
      <c r="V15" s="393"/>
      <c r="W15" s="393"/>
      <c r="X15"/>
      <c r="Y15"/>
      <c r="Z15"/>
    </row>
    <row r="16" spans="2:26" ht="6.75" customHeight="1" thickBot="1">
      <c r="B16" s="393"/>
      <c r="C16" s="393"/>
      <c r="D16" s="393"/>
      <c r="E16" s="393"/>
      <c r="F16" s="393"/>
      <c r="G16" s="393"/>
      <c r="H16" s="393"/>
      <c r="I16" s="393"/>
      <c r="J16" s="393"/>
      <c r="K16" s="393"/>
      <c r="L16" s="393"/>
      <c r="M16" s="393"/>
      <c r="N16" s="393"/>
      <c r="O16" s="393"/>
      <c r="P16" s="393"/>
      <c r="Q16" s="393"/>
      <c r="R16" s="393"/>
      <c r="S16" s="393"/>
      <c r="T16" s="393"/>
      <c r="U16" s="393"/>
    </row>
    <row r="17" spans="2:23" ht="15" customHeight="1" thickBot="1">
      <c r="B17" s="91"/>
      <c r="C17" s="83"/>
      <c r="D17" s="98"/>
      <c r="E17" s="384" t="s">
        <v>37</v>
      </c>
      <c r="F17" s="346" t="s">
        <v>38</v>
      </c>
      <c r="G17" s="347"/>
      <c r="H17" s="394" t="s">
        <v>39</v>
      </c>
      <c r="I17" s="395"/>
      <c r="J17" s="395"/>
      <c r="K17" s="395"/>
      <c r="L17" s="395"/>
      <c r="M17" s="395"/>
      <c r="N17" s="396"/>
      <c r="O17" s="110">
        <f>査読ｼｰﾄ!N12</f>
        <v>0</v>
      </c>
      <c r="P17" s="93" t="s">
        <v>40</v>
      </c>
      <c r="Q17" s="9"/>
      <c r="R17" s="267" t="s">
        <v>41</v>
      </c>
      <c r="S17" s="151" t="s">
        <v>42</v>
      </c>
      <c r="T17" s="378" t="s">
        <v>43</v>
      </c>
      <c r="U17" s="379"/>
      <c r="V17" s="374" t="s">
        <v>44</v>
      </c>
      <c r="W17" s="375"/>
    </row>
    <row r="18" spans="2:23" ht="15" customHeight="1" thickTop="1">
      <c r="B18" s="92"/>
      <c r="D18" s="99"/>
      <c r="E18" s="385"/>
      <c r="F18" s="348"/>
      <c r="G18" s="349"/>
      <c r="H18" s="343" t="s">
        <v>45</v>
      </c>
      <c r="I18" s="344"/>
      <c r="J18" s="344"/>
      <c r="K18" s="344"/>
      <c r="L18" s="344"/>
      <c r="M18" s="344"/>
      <c r="N18" s="345"/>
      <c r="O18" s="53">
        <f>査読ｼｰﾄ!Q12</f>
        <v>0</v>
      </c>
      <c r="P18" s="38" t="s">
        <v>40</v>
      </c>
      <c r="Q18" s="9"/>
      <c r="R18" s="269"/>
      <c r="S18" s="146" t="s">
        <v>46</v>
      </c>
      <c r="T18" s="380"/>
      <c r="U18" s="381"/>
      <c r="V18" s="382"/>
      <c r="W18" s="383"/>
    </row>
    <row r="19" spans="2:23" ht="15" customHeight="1">
      <c r="B19" s="92"/>
      <c r="D19" s="100"/>
      <c r="E19" s="386"/>
      <c r="F19" s="348"/>
      <c r="G19" s="349"/>
      <c r="H19" s="387" t="s">
        <v>47</v>
      </c>
      <c r="I19" s="388"/>
      <c r="J19" s="388"/>
      <c r="K19" s="388"/>
      <c r="L19" s="388"/>
      <c r="M19" s="388"/>
      <c r="N19" s="389"/>
      <c r="O19" s="53">
        <f>査読ｼｰﾄ!T12</f>
        <v>0</v>
      </c>
      <c r="P19" s="94" t="s">
        <v>40</v>
      </c>
      <c r="Q19" s="9"/>
      <c r="R19" s="269"/>
      <c r="S19" s="147" t="s">
        <v>48</v>
      </c>
      <c r="T19" s="418"/>
      <c r="U19" s="419"/>
      <c r="V19" s="376"/>
      <c r="W19" s="377"/>
    </row>
    <row r="20" spans="2:23" ht="15" customHeight="1">
      <c r="B20" s="472" t="s">
        <v>49</v>
      </c>
      <c r="C20" s="473"/>
      <c r="D20" s="412" t="s">
        <v>50</v>
      </c>
      <c r="E20" s="390" t="s">
        <v>51</v>
      </c>
      <c r="F20" s="425" t="s">
        <v>52</v>
      </c>
      <c r="G20" s="426"/>
      <c r="H20" s="423" t="s">
        <v>53</v>
      </c>
      <c r="I20" s="423"/>
      <c r="J20" s="423"/>
      <c r="K20" s="423"/>
      <c r="L20" s="423"/>
      <c r="M20" s="423"/>
      <c r="N20" s="423"/>
      <c r="O20" s="53">
        <f>査読ｼｰﾄ!W12</f>
        <v>0</v>
      </c>
      <c r="P20" s="38" t="s">
        <v>40</v>
      </c>
      <c r="Q20" s="156"/>
      <c r="R20" s="269"/>
      <c r="S20" s="147" t="s">
        <v>54</v>
      </c>
      <c r="T20" s="418"/>
      <c r="U20" s="419"/>
      <c r="V20" s="376"/>
      <c r="W20" s="377"/>
    </row>
    <row r="21" spans="2:23" ht="15" customHeight="1">
      <c r="B21" s="474"/>
      <c r="C21" s="475"/>
      <c r="D21" s="413"/>
      <c r="E21" s="391"/>
      <c r="F21" s="425"/>
      <c r="G21" s="426"/>
      <c r="H21" s="423" t="s">
        <v>55</v>
      </c>
      <c r="I21" s="423"/>
      <c r="J21" s="423"/>
      <c r="K21" s="423"/>
      <c r="L21" s="423"/>
      <c r="M21" s="423"/>
      <c r="N21" s="423"/>
      <c r="O21" s="53">
        <f>査読ｼｰﾄ!Z12</f>
        <v>0</v>
      </c>
      <c r="P21" s="38" t="s">
        <v>56</v>
      </c>
      <c r="Q21" s="156"/>
      <c r="R21" s="269"/>
      <c r="S21" s="147" t="s">
        <v>57</v>
      </c>
      <c r="T21" s="418"/>
      <c r="U21" s="419"/>
      <c r="V21" s="376"/>
      <c r="W21" s="377"/>
    </row>
    <row r="22" spans="2:23" ht="15" customHeight="1">
      <c r="B22" s="474"/>
      <c r="C22" s="475"/>
      <c r="D22" s="413"/>
      <c r="E22" s="391"/>
      <c r="F22" s="425"/>
      <c r="G22" s="426"/>
      <c r="H22" s="343" t="s">
        <v>58</v>
      </c>
      <c r="I22" s="344"/>
      <c r="J22" s="344"/>
      <c r="K22" s="344"/>
      <c r="L22" s="344"/>
      <c r="M22" s="344"/>
      <c r="N22" s="345"/>
      <c r="O22" s="53">
        <f>査読ｼｰﾄ!AC12</f>
        <v>0</v>
      </c>
      <c r="P22" s="38" t="s">
        <v>56</v>
      </c>
      <c r="Q22" s="156"/>
      <c r="R22" s="269"/>
      <c r="S22" s="147" t="s">
        <v>59</v>
      </c>
      <c r="T22" s="418"/>
      <c r="U22" s="419"/>
      <c r="V22" s="376"/>
      <c r="W22" s="377"/>
    </row>
    <row r="23" spans="2:23" ht="15" customHeight="1">
      <c r="B23" s="474"/>
      <c r="C23" s="475"/>
      <c r="D23" s="413"/>
      <c r="E23" s="391"/>
      <c r="F23" s="425"/>
      <c r="G23" s="426"/>
      <c r="H23" s="423" t="s">
        <v>60</v>
      </c>
      <c r="I23" s="423"/>
      <c r="J23" s="423"/>
      <c r="K23" s="423"/>
      <c r="L23" s="423"/>
      <c r="M23" s="423"/>
      <c r="N23" s="423"/>
      <c r="O23" s="53">
        <f>査読ｼｰﾄ!AF12</f>
        <v>0</v>
      </c>
      <c r="P23" s="38" t="s">
        <v>56</v>
      </c>
      <c r="Q23" s="156"/>
      <c r="R23" s="269"/>
      <c r="S23" s="147" t="s">
        <v>61</v>
      </c>
      <c r="T23" s="418"/>
      <c r="U23" s="419"/>
      <c r="V23" s="376"/>
      <c r="W23" s="377"/>
    </row>
    <row r="24" spans="2:23" ht="15" customHeight="1">
      <c r="B24" s="474"/>
      <c r="C24" s="475"/>
      <c r="D24" s="413"/>
      <c r="E24" s="390" t="s">
        <v>62</v>
      </c>
      <c r="F24" s="425" t="s">
        <v>63</v>
      </c>
      <c r="G24" s="426"/>
      <c r="H24" s="423" t="s">
        <v>64</v>
      </c>
      <c r="I24" s="423"/>
      <c r="J24" s="423"/>
      <c r="K24" s="423"/>
      <c r="L24" s="423"/>
      <c r="M24" s="423"/>
      <c r="N24" s="424"/>
      <c r="O24" s="53">
        <f>査読ｼｰﾄ!AI12</f>
        <v>0</v>
      </c>
      <c r="P24" s="38" t="s">
        <v>56</v>
      </c>
      <c r="Q24" s="156"/>
      <c r="R24" s="269"/>
      <c r="S24" s="147" t="s">
        <v>65</v>
      </c>
      <c r="T24" s="418"/>
      <c r="U24" s="419"/>
      <c r="V24" s="376"/>
      <c r="W24" s="377"/>
    </row>
    <row r="25" spans="2:23" ht="15" customHeight="1">
      <c r="B25" s="474"/>
      <c r="C25" s="475"/>
      <c r="D25" s="413"/>
      <c r="E25" s="391"/>
      <c r="F25" s="425"/>
      <c r="G25" s="426"/>
      <c r="H25" s="423" t="s">
        <v>66</v>
      </c>
      <c r="I25" s="423"/>
      <c r="J25" s="423"/>
      <c r="K25" s="423"/>
      <c r="L25" s="423"/>
      <c r="M25" s="423"/>
      <c r="N25" s="424"/>
      <c r="O25" s="53">
        <f>査読ｼｰﾄ!AL12</f>
        <v>0</v>
      </c>
      <c r="P25" s="38" t="s">
        <v>56</v>
      </c>
      <c r="Q25" s="156"/>
      <c r="R25" s="269"/>
      <c r="S25" s="150" t="s">
        <v>67</v>
      </c>
      <c r="T25" s="416"/>
      <c r="U25" s="417"/>
      <c r="V25" s="376"/>
      <c r="W25" s="377"/>
    </row>
    <row r="26" spans="2:23" ht="15" customHeight="1">
      <c r="B26" s="474"/>
      <c r="C26" s="475"/>
      <c r="D26" s="413"/>
      <c r="E26" s="391"/>
      <c r="F26" s="425"/>
      <c r="G26" s="426"/>
      <c r="H26" s="423" t="s">
        <v>68</v>
      </c>
      <c r="I26" s="423"/>
      <c r="J26" s="423"/>
      <c r="K26" s="423"/>
      <c r="L26" s="423"/>
      <c r="M26" s="423"/>
      <c r="N26" s="424"/>
      <c r="O26" s="53">
        <f>査読ｼｰﾄ!AO12</f>
        <v>0</v>
      </c>
      <c r="P26" s="38" t="s">
        <v>56</v>
      </c>
      <c r="Q26" s="156"/>
      <c r="R26" s="269"/>
      <c r="S26" s="150" t="s">
        <v>30</v>
      </c>
      <c r="T26" s="416"/>
      <c r="U26" s="417"/>
      <c r="V26" s="376"/>
      <c r="W26" s="377"/>
    </row>
    <row r="27" spans="2:23" ht="15" customHeight="1">
      <c r="B27" s="474"/>
      <c r="C27" s="475"/>
      <c r="D27" s="413"/>
      <c r="E27" s="391"/>
      <c r="F27" s="425"/>
      <c r="G27" s="426"/>
      <c r="H27" s="423" t="s">
        <v>69</v>
      </c>
      <c r="I27" s="423"/>
      <c r="J27" s="423"/>
      <c r="K27" s="423"/>
      <c r="L27" s="423"/>
      <c r="M27" s="423"/>
      <c r="N27" s="424"/>
      <c r="O27" s="53">
        <f>査読ｼｰﾄ!AR12</f>
        <v>0</v>
      </c>
      <c r="P27" s="38" t="s">
        <v>56</v>
      </c>
      <c r="Q27" s="156"/>
      <c r="R27" s="269"/>
      <c r="S27" s="148"/>
      <c r="T27" s="416"/>
      <c r="U27" s="417"/>
      <c r="V27" s="376"/>
      <c r="W27" s="377"/>
    </row>
    <row r="28" spans="2:23" ht="15" customHeight="1" thickBot="1">
      <c r="B28" s="474"/>
      <c r="C28" s="475"/>
      <c r="D28" s="413"/>
      <c r="E28" s="390" t="s">
        <v>70</v>
      </c>
      <c r="F28" s="478" t="s">
        <v>71</v>
      </c>
      <c r="G28" s="479"/>
      <c r="H28" s="423" t="s">
        <v>72</v>
      </c>
      <c r="I28" s="423"/>
      <c r="J28" s="423"/>
      <c r="K28" s="423"/>
      <c r="L28" s="423"/>
      <c r="M28" s="423"/>
      <c r="N28" s="424"/>
      <c r="O28" s="53">
        <f>査読ｼｰﾄ!AU12</f>
        <v>0</v>
      </c>
      <c r="P28" s="38" t="s">
        <v>56</v>
      </c>
      <c r="Q28" s="156"/>
      <c r="R28" s="271"/>
      <c r="S28" s="427" t="s">
        <v>73</v>
      </c>
      <c r="T28" s="428"/>
      <c r="U28" s="429"/>
      <c r="V28" s="442">
        <f>SUM(V18:W27)</f>
        <v>0</v>
      </c>
      <c r="W28" s="443"/>
    </row>
    <row r="29" spans="2:23" ht="15" customHeight="1" thickBot="1">
      <c r="B29" s="474"/>
      <c r="C29" s="475"/>
      <c r="D29" s="413"/>
      <c r="E29" s="391"/>
      <c r="F29" s="478"/>
      <c r="G29" s="479"/>
      <c r="H29" s="423" t="s">
        <v>74</v>
      </c>
      <c r="I29" s="423"/>
      <c r="J29" s="423"/>
      <c r="K29" s="423"/>
      <c r="L29" s="423"/>
      <c r="M29" s="423"/>
      <c r="N29" s="424"/>
      <c r="O29" s="53">
        <f>査読ｼｰﾄ!AX12</f>
        <v>0</v>
      </c>
      <c r="P29" s="38" t="s">
        <v>56</v>
      </c>
      <c r="Q29" s="157"/>
    </row>
    <row r="30" spans="2:23" ht="15" customHeight="1" thickBot="1">
      <c r="B30" s="474"/>
      <c r="C30" s="475"/>
      <c r="D30" s="413"/>
      <c r="E30" s="391"/>
      <c r="F30" s="478"/>
      <c r="G30" s="479"/>
      <c r="H30" s="423" t="s">
        <v>75</v>
      </c>
      <c r="I30" s="423"/>
      <c r="J30" s="423"/>
      <c r="K30" s="423"/>
      <c r="L30" s="423"/>
      <c r="M30" s="423"/>
      <c r="N30" s="424"/>
      <c r="O30" s="53">
        <f>査読ｼｰﾄ!BA12</f>
        <v>0</v>
      </c>
      <c r="P30" s="38" t="s">
        <v>56</v>
      </c>
      <c r="Q30" s="157"/>
      <c r="R30" s="437" t="s">
        <v>76</v>
      </c>
      <c r="S30" s="158" t="s">
        <v>77</v>
      </c>
      <c r="T30" s="374" t="s">
        <v>78</v>
      </c>
      <c r="U30" s="374"/>
      <c r="V30" s="374" t="s">
        <v>79</v>
      </c>
      <c r="W30" s="375"/>
    </row>
    <row r="31" spans="2:23" ht="15" customHeight="1" thickTop="1">
      <c r="B31" s="474"/>
      <c r="C31" s="475"/>
      <c r="D31" s="413"/>
      <c r="E31" s="391"/>
      <c r="F31" s="478"/>
      <c r="G31" s="479"/>
      <c r="H31" s="423" t="s">
        <v>80</v>
      </c>
      <c r="I31" s="423"/>
      <c r="J31" s="423"/>
      <c r="K31" s="423"/>
      <c r="L31" s="423"/>
      <c r="M31" s="423"/>
      <c r="N31" s="424"/>
      <c r="O31" s="53">
        <f>査読ｼｰﾄ!BD12</f>
        <v>0</v>
      </c>
      <c r="P31" s="38" t="s">
        <v>56</v>
      </c>
      <c r="Q31" s="157"/>
      <c r="R31" s="438"/>
      <c r="S31" s="448" t="s">
        <v>81</v>
      </c>
      <c r="T31" s="449"/>
      <c r="U31" s="449"/>
      <c r="V31" s="487">
        <f>IF(J14="（転記）",0,J45/J14)</f>
        <v>0</v>
      </c>
      <c r="W31" s="488"/>
    </row>
    <row r="32" spans="2:23" ht="15" customHeight="1">
      <c r="B32" s="474"/>
      <c r="C32" s="475"/>
      <c r="D32" s="413"/>
      <c r="E32" s="390" t="s">
        <v>82</v>
      </c>
      <c r="F32" s="478" t="s">
        <v>83</v>
      </c>
      <c r="G32" s="479"/>
      <c r="H32" s="423" t="s">
        <v>84</v>
      </c>
      <c r="I32" s="423"/>
      <c r="J32" s="423"/>
      <c r="K32" s="423"/>
      <c r="L32" s="423"/>
      <c r="M32" s="423"/>
      <c r="N32" s="424"/>
      <c r="O32" s="53">
        <f>査読ｼｰﾄ!BG12</f>
        <v>0</v>
      </c>
      <c r="P32" s="38" t="s">
        <v>56</v>
      </c>
      <c r="Q32" s="9"/>
      <c r="R32" s="438"/>
      <c r="S32" s="433"/>
      <c r="T32" s="432"/>
      <c r="U32" s="432"/>
      <c r="V32" s="485"/>
      <c r="W32" s="486"/>
    </row>
    <row r="33" spans="2:31" ht="15" customHeight="1">
      <c r="B33" s="474"/>
      <c r="C33" s="475"/>
      <c r="D33" s="413"/>
      <c r="E33" s="390"/>
      <c r="F33" s="478"/>
      <c r="G33" s="479"/>
      <c r="H33" s="423" t="s">
        <v>85</v>
      </c>
      <c r="I33" s="423"/>
      <c r="J33" s="423"/>
      <c r="K33" s="423"/>
      <c r="L33" s="423"/>
      <c r="M33" s="423"/>
      <c r="N33" s="424"/>
      <c r="O33" s="53">
        <f>査読ｼｰﾄ!BJ12</f>
        <v>0</v>
      </c>
      <c r="P33" s="38" t="s">
        <v>56</v>
      </c>
      <c r="Q33" s="9"/>
      <c r="R33" s="438"/>
      <c r="S33" s="433" t="s">
        <v>86</v>
      </c>
      <c r="T33" s="432"/>
      <c r="U33" s="432"/>
      <c r="V33" s="483">
        <f>IF(J14="（転記）",0,N45/J14)</f>
        <v>0</v>
      </c>
      <c r="W33" s="484"/>
    </row>
    <row r="34" spans="2:31" ht="15" customHeight="1">
      <c r="B34" s="474"/>
      <c r="C34" s="475"/>
      <c r="D34" s="413"/>
      <c r="E34" s="390"/>
      <c r="F34" s="478"/>
      <c r="G34" s="479"/>
      <c r="H34" s="423" t="s">
        <v>87</v>
      </c>
      <c r="I34" s="423"/>
      <c r="J34" s="423"/>
      <c r="K34" s="423"/>
      <c r="L34" s="423"/>
      <c r="M34" s="423"/>
      <c r="N34" s="424"/>
      <c r="O34" s="53">
        <f>査読ｼｰﾄ!BP12</f>
        <v>0</v>
      </c>
      <c r="P34" s="38" t="s">
        <v>56</v>
      </c>
      <c r="Q34" s="9"/>
      <c r="R34" s="438"/>
      <c r="S34" s="433"/>
      <c r="T34" s="432"/>
      <c r="U34" s="432"/>
      <c r="V34" s="485"/>
      <c r="W34" s="486"/>
      <c r="X34" s="37"/>
    </row>
    <row r="35" spans="2:31" ht="15" customHeight="1">
      <c r="B35" s="474"/>
      <c r="C35" s="475"/>
      <c r="D35" s="413"/>
      <c r="E35" s="390" t="s">
        <v>88</v>
      </c>
      <c r="F35" s="478" t="s">
        <v>89</v>
      </c>
      <c r="G35" s="479"/>
      <c r="H35" s="423" t="s">
        <v>90</v>
      </c>
      <c r="I35" s="423"/>
      <c r="J35" s="423"/>
      <c r="K35" s="423"/>
      <c r="L35" s="423"/>
      <c r="M35" s="423"/>
      <c r="N35" s="424"/>
      <c r="O35" s="53">
        <f>査読ｼｰﾄ!BS12</f>
        <v>0</v>
      </c>
      <c r="P35" s="38" t="s">
        <v>56</v>
      </c>
      <c r="Q35" s="9"/>
      <c r="R35" s="438"/>
      <c r="S35" s="450" t="s">
        <v>91</v>
      </c>
      <c r="T35" s="432"/>
      <c r="U35" s="432"/>
      <c r="V35" s="483">
        <f>IF(J15="（転記）",0,J45/J15)</f>
        <v>0</v>
      </c>
      <c r="W35" s="484"/>
    </row>
    <row r="36" spans="2:31" ht="15" customHeight="1">
      <c r="B36" s="474"/>
      <c r="C36" s="475"/>
      <c r="D36" s="413"/>
      <c r="E36" s="390"/>
      <c r="F36" s="478"/>
      <c r="G36" s="479"/>
      <c r="H36" s="423" t="s">
        <v>92</v>
      </c>
      <c r="I36" s="423"/>
      <c r="J36" s="423"/>
      <c r="K36" s="423"/>
      <c r="L36" s="423"/>
      <c r="M36" s="423"/>
      <c r="N36" s="424"/>
      <c r="O36" s="53">
        <f>査読ｼｰﾄ!BV12</f>
        <v>0</v>
      </c>
      <c r="P36" s="38" t="s">
        <v>56</v>
      </c>
      <c r="Q36" s="9"/>
      <c r="R36" s="438"/>
      <c r="S36" s="450"/>
      <c r="T36" s="432"/>
      <c r="U36" s="432"/>
      <c r="V36" s="485"/>
      <c r="W36" s="486"/>
    </row>
    <row r="37" spans="2:31" ht="15" customHeight="1">
      <c r="B37" s="474"/>
      <c r="C37" s="475"/>
      <c r="D37" s="413"/>
      <c r="E37" s="390" t="s">
        <v>93</v>
      </c>
      <c r="F37" s="478" t="s">
        <v>94</v>
      </c>
      <c r="G37" s="479"/>
      <c r="H37" s="423" t="s">
        <v>95</v>
      </c>
      <c r="I37" s="423"/>
      <c r="J37" s="423"/>
      <c r="K37" s="423"/>
      <c r="L37" s="423"/>
      <c r="M37" s="423"/>
      <c r="N37" s="424"/>
      <c r="O37" s="53">
        <f>査読ｼｰﾄ!CE12</f>
        <v>0</v>
      </c>
      <c r="P37" s="38" t="s">
        <v>56</v>
      </c>
      <c r="Q37" s="9"/>
      <c r="R37" s="438"/>
      <c r="S37" s="434" t="s">
        <v>96</v>
      </c>
      <c r="T37" s="432"/>
      <c r="U37" s="432"/>
      <c r="V37" s="444">
        <f>IF(J15="（転記）",0,N45/J15)</f>
        <v>0</v>
      </c>
      <c r="W37" s="445"/>
    </row>
    <row r="38" spans="2:31" ht="15" customHeight="1">
      <c r="B38" s="474"/>
      <c r="C38" s="475"/>
      <c r="D38" s="413"/>
      <c r="E38" s="390"/>
      <c r="F38" s="478"/>
      <c r="G38" s="479"/>
      <c r="H38" s="423" t="s">
        <v>97</v>
      </c>
      <c r="I38" s="423"/>
      <c r="J38" s="423"/>
      <c r="K38" s="423"/>
      <c r="L38" s="423"/>
      <c r="M38" s="423"/>
      <c r="N38" s="424"/>
      <c r="O38" s="53">
        <f>査読ｼｰﾄ!CH12</f>
        <v>0</v>
      </c>
      <c r="P38" s="38" t="s">
        <v>56</v>
      </c>
      <c r="Q38" s="9"/>
      <c r="R38" s="438"/>
      <c r="S38" s="434"/>
      <c r="T38" s="432"/>
      <c r="U38" s="432"/>
      <c r="V38" s="444"/>
      <c r="W38" s="445"/>
    </row>
    <row r="39" spans="2:31" ht="15" customHeight="1">
      <c r="B39" s="474"/>
      <c r="C39" s="475"/>
      <c r="D39" s="413"/>
      <c r="E39" s="390"/>
      <c r="F39" s="478"/>
      <c r="G39" s="479"/>
      <c r="H39" s="351" t="s">
        <v>98</v>
      </c>
      <c r="I39" s="351"/>
      <c r="J39" s="351"/>
      <c r="K39" s="351"/>
      <c r="L39" s="351"/>
      <c r="M39" s="351"/>
      <c r="N39" s="343"/>
      <c r="O39" s="53">
        <f>査読ｼｰﾄ!CK12</f>
        <v>0</v>
      </c>
      <c r="P39" s="38" t="s">
        <v>56</v>
      </c>
      <c r="Q39" s="9"/>
      <c r="R39" s="438"/>
      <c r="S39" s="434" t="s">
        <v>99</v>
      </c>
      <c r="T39" s="432"/>
      <c r="U39" s="432"/>
      <c r="V39" s="444">
        <f>IF(J14="（転記）",0,O46/J14)</f>
        <v>0</v>
      </c>
      <c r="W39" s="445"/>
    </row>
    <row r="40" spans="2:31" ht="15" customHeight="1">
      <c r="B40" s="474"/>
      <c r="C40" s="475"/>
      <c r="D40" s="413"/>
      <c r="E40" s="390"/>
      <c r="F40" s="478"/>
      <c r="G40" s="479"/>
      <c r="H40" s="351" t="s">
        <v>100</v>
      </c>
      <c r="I40" s="351"/>
      <c r="J40" s="351"/>
      <c r="K40" s="351"/>
      <c r="L40" s="351"/>
      <c r="M40" s="351"/>
      <c r="N40" s="343"/>
      <c r="O40" s="53">
        <f>査読ｼｰﾄ!CN12</f>
        <v>0</v>
      </c>
      <c r="P40" s="38" t="s">
        <v>56</v>
      </c>
      <c r="R40" s="438"/>
      <c r="S40" s="434"/>
      <c r="T40" s="432"/>
      <c r="U40" s="432"/>
      <c r="V40" s="444"/>
      <c r="W40" s="445"/>
      <c r="Z40" s="11"/>
      <c r="AA40" s="11"/>
      <c r="AB40" s="11"/>
      <c r="AC40" s="11"/>
      <c r="AD40" s="11"/>
      <c r="AE40" s="11"/>
    </row>
    <row r="41" spans="2:31" ht="15" customHeight="1">
      <c r="B41" s="474"/>
      <c r="C41" s="475"/>
      <c r="D41" s="413"/>
      <c r="E41" s="390"/>
      <c r="F41" s="478"/>
      <c r="G41" s="479"/>
      <c r="H41" s="351" t="s">
        <v>101</v>
      </c>
      <c r="I41" s="351"/>
      <c r="J41" s="351"/>
      <c r="K41" s="351"/>
      <c r="L41" s="351"/>
      <c r="M41" s="351"/>
      <c r="N41" s="343"/>
      <c r="O41" s="53">
        <f>査読ｼｰﾄ!CQ12</f>
        <v>0</v>
      </c>
      <c r="P41" s="38" t="s">
        <v>56</v>
      </c>
      <c r="R41" s="438"/>
      <c r="S41" s="434" t="s">
        <v>102</v>
      </c>
      <c r="T41" s="432"/>
      <c r="U41" s="432"/>
      <c r="V41" s="444">
        <f>IF(J15="（転記）",0,O46/J15)</f>
        <v>0</v>
      </c>
      <c r="W41" s="445"/>
      <c r="Z41" s="11"/>
      <c r="AA41" s="11"/>
      <c r="AB41" s="11"/>
      <c r="AC41" s="11"/>
      <c r="AD41" s="11"/>
      <c r="AE41" s="11"/>
    </row>
    <row r="42" spans="2:31" ht="15" customHeight="1" thickBot="1">
      <c r="B42" s="474"/>
      <c r="C42" s="475"/>
      <c r="D42" s="414"/>
      <c r="E42" s="420" t="s">
        <v>103</v>
      </c>
      <c r="F42" s="454" t="s">
        <v>104</v>
      </c>
      <c r="G42" s="455"/>
      <c r="H42" s="343" t="s">
        <v>105</v>
      </c>
      <c r="I42" s="265"/>
      <c r="J42" s="265"/>
      <c r="K42" s="265"/>
      <c r="L42" s="265"/>
      <c r="M42" s="265"/>
      <c r="N42" s="468"/>
      <c r="O42" s="53">
        <f>査読ｼｰﾄ!CT12</f>
        <v>0</v>
      </c>
      <c r="P42" s="94" t="s">
        <v>40</v>
      </c>
      <c r="R42" s="439"/>
      <c r="S42" s="435"/>
      <c r="T42" s="436"/>
      <c r="U42" s="436"/>
      <c r="V42" s="446"/>
      <c r="W42" s="447"/>
      <c r="Z42" s="11"/>
      <c r="AA42" s="11"/>
      <c r="AB42" s="11"/>
      <c r="AC42" s="11"/>
      <c r="AD42" s="11"/>
      <c r="AE42" s="11"/>
    </row>
    <row r="43" spans="2:31" ht="15" customHeight="1">
      <c r="B43" s="474"/>
      <c r="C43" s="475"/>
      <c r="D43" s="414"/>
      <c r="E43" s="421"/>
      <c r="F43" s="348"/>
      <c r="G43" s="349"/>
      <c r="H43" s="343" t="s">
        <v>106</v>
      </c>
      <c r="I43" s="265"/>
      <c r="J43" s="265"/>
      <c r="K43" s="265"/>
      <c r="L43" s="265"/>
      <c r="M43" s="265"/>
      <c r="N43" s="468"/>
      <c r="O43" s="53">
        <f>査読ｼｰﾄ!CW12</f>
        <v>0</v>
      </c>
      <c r="P43" s="94" t="s">
        <v>40</v>
      </c>
      <c r="R43" s="95"/>
      <c r="S43" s="96"/>
      <c r="T43" s="101"/>
      <c r="U43" s="101"/>
      <c r="V43" s="97"/>
      <c r="W43" s="97"/>
      <c r="Z43" s="11"/>
      <c r="AA43" s="11"/>
      <c r="AB43" s="11"/>
      <c r="AC43" s="11"/>
      <c r="AD43" s="11"/>
      <c r="AE43" s="11"/>
    </row>
    <row r="44" spans="2:31" ht="15" customHeight="1">
      <c r="B44" s="474"/>
      <c r="C44" s="475"/>
      <c r="D44" s="414"/>
      <c r="E44" s="422"/>
      <c r="F44" s="456"/>
      <c r="G44" s="457"/>
      <c r="H44" s="343" t="s">
        <v>107</v>
      </c>
      <c r="I44" s="265"/>
      <c r="J44" s="265"/>
      <c r="K44" s="265"/>
      <c r="L44" s="265"/>
      <c r="M44" s="265"/>
      <c r="N44" s="468"/>
      <c r="O44" s="53">
        <f>査読ｼｰﾄ!CZ12</f>
        <v>0</v>
      </c>
      <c r="P44" s="94" t="s">
        <v>40</v>
      </c>
      <c r="R44" s="95"/>
      <c r="S44" s="96"/>
      <c r="T44" s="101"/>
      <c r="U44" s="101"/>
      <c r="V44" s="97"/>
      <c r="W44" s="97"/>
      <c r="Z44" s="11"/>
      <c r="AA44" s="11"/>
      <c r="AB44" s="11"/>
      <c r="AC44" s="11"/>
      <c r="AD44" s="11"/>
      <c r="AE44" s="11"/>
    </row>
    <row r="45" spans="2:31" ht="15" customHeight="1" thickBot="1">
      <c r="B45" s="474"/>
      <c r="C45" s="475"/>
      <c r="D45" s="415"/>
      <c r="E45" s="33"/>
      <c r="F45" s="34"/>
      <c r="G45" s="34"/>
      <c r="H45" s="458" t="s">
        <v>108</v>
      </c>
      <c r="I45" s="459"/>
      <c r="J45" s="54">
        <f>査読ｼｰﾄ!L12</f>
        <v>0</v>
      </c>
      <c r="K45" s="480" t="s">
        <v>109</v>
      </c>
      <c r="L45" s="481"/>
      <c r="M45" s="482"/>
      <c r="N45" s="54">
        <f>査読ｼｰﾄ!L12-(査読ｼｰﾄ!BS12+査読ｼｰﾄ!BV12)</f>
        <v>0</v>
      </c>
      <c r="O45" s="69" t="s">
        <v>110</v>
      </c>
      <c r="P45" s="70"/>
      <c r="Q45" s="47" t="s">
        <v>111</v>
      </c>
      <c r="X45" s="11"/>
      <c r="Y45" s="11"/>
      <c r="Z45" s="11"/>
      <c r="AA45" s="11"/>
      <c r="AB45" s="11"/>
      <c r="AC45" s="11"/>
    </row>
    <row r="46" spans="2:31" ht="15" customHeight="1" thickTop="1" thickBot="1">
      <c r="B46" s="476"/>
      <c r="C46" s="477"/>
      <c r="D46" s="460" t="s">
        <v>112</v>
      </c>
      <c r="E46" s="461"/>
      <c r="F46" s="461"/>
      <c r="G46" s="461"/>
      <c r="H46" s="461"/>
      <c r="I46" s="461"/>
      <c r="J46" s="461"/>
      <c r="K46" s="461"/>
      <c r="L46" s="461"/>
      <c r="M46" s="462"/>
      <c r="N46" s="463"/>
      <c r="O46" s="67" t="str">
        <f>IF(査読ｼｰﾄ!D41=0,"（転記）",査読ｼｰﾄ!D41)</f>
        <v>（転記）</v>
      </c>
      <c r="P46" s="68" t="s">
        <v>113</v>
      </c>
      <c r="Z46" s="11"/>
      <c r="AA46" s="11"/>
      <c r="AB46" s="11"/>
      <c r="AC46" s="11"/>
      <c r="AD46" s="11"/>
      <c r="AE46" s="11"/>
    </row>
    <row r="47" spans="2:31" ht="6.75" customHeight="1" thickBot="1">
      <c r="Z47" s="11"/>
      <c r="AA47" s="11"/>
      <c r="AB47" s="11"/>
      <c r="AC47" s="11"/>
      <c r="AD47" s="11"/>
      <c r="AE47" s="11"/>
    </row>
    <row r="48" spans="2:31" ht="21.75" customHeight="1" thickBot="1">
      <c r="B48" s="464" t="s">
        <v>114</v>
      </c>
      <c r="C48" s="465"/>
      <c r="D48" s="465"/>
      <c r="E48" s="465"/>
      <c r="F48" s="16" t="s">
        <v>115</v>
      </c>
      <c r="G48" s="440" t="s">
        <v>116</v>
      </c>
      <c r="H48" s="452"/>
      <c r="I48" s="451"/>
      <c r="J48" s="440" t="s">
        <v>117</v>
      </c>
      <c r="K48" s="451"/>
      <c r="L48" s="440" t="s">
        <v>118</v>
      </c>
      <c r="M48" s="452"/>
      <c r="N48" s="341"/>
      <c r="O48" s="440" t="s">
        <v>119</v>
      </c>
      <c r="P48" s="453"/>
      <c r="Q48" s="430" t="s">
        <v>120</v>
      </c>
      <c r="R48" s="431"/>
      <c r="S48" s="440" t="s">
        <v>121</v>
      </c>
      <c r="T48" s="340"/>
      <c r="U48" s="340"/>
      <c r="V48" s="340"/>
      <c r="W48" s="441"/>
      <c r="Z48" s="11"/>
      <c r="AA48" s="11"/>
      <c r="AB48" s="11"/>
      <c r="AC48" s="11"/>
      <c r="AD48" s="11"/>
      <c r="AE48" s="11"/>
    </row>
    <row r="49" spans="2:31" ht="16.5" customHeight="1" thickTop="1">
      <c r="B49" s="407"/>
      <c r="C49" s="393"/>
      <c r="D49" s="393"/>
      <c r="E49" s="393"/>
      <c r="F49" s="17">
        <v>1</v>
      </c>
      <c r="G49" s="57" t="str">
        <f>IF(査読ｼｰﾄ!V17=" ","（転記）",査読ｼｰﾄ!V17)</f>
        <v>（転記）</v>
      </c>
      <c r="H49" s="471" t="s">
        <v>122</v>
      </c>
      <c r="I49" s="471"/>
      <c r="J49" s="247"/>
      <c r="K49" s="248"/>
      <c r="L49" s="255"/>
      <c r="M49" s="256"/>
      <c r="N49" s="257"/>
      <c r="O49" s="55">
        <f>査読ｼｰﾄ!X17</f>
        <v>0</v>
      </c>
      <c r="P49" s="39" t="s">
        <v>56</v>
      </c>
      <c r="Q49" s="253"/>
      <c r="R49" s="254"/>
      <c r="S49" s="249"/>
      <c r="T49" s="250"/>
      <c r="U49" s="250"/>
      <c r="V49" s="251"/>
      <c r="W49" s="252"/>
      <c r="Z49" s="11"/>
      <c r="AA49" s="11"/>
      <c r="AB49" s="11"/>
      <c r="AC49" s="11"/>
      <c r="AD49" s="11"/>
      <c r="AE49" s="11"/>
    </row>
    <row r="50" spans="2:31" ht="16.5" customHeight="1">
      <c r="B50" s="407"/>
      <c r="C50" s="393"/>
      <c r="D50" s="393"/>
      <c r="E50" s="393"/>
      <c r="F50" s="18">
        <v>2</v>
      </c>
      <c r="G50" s="58" t="str">
        <f>IF(査読ｼｰﾄ!V19=" ","（転記）",査読ｼｰﾄ!V19)</f>
        <v>（転記）</v>
      </c>
      <c r="H50" s="243" t="s">
        <v>122</v>
      </c>
      <c r="I50" s="244"/>
      <c r="J50" s="245"/>
      <c r="K50" s="246"/>
      <c r="L50" s="260"/>
      <c r="M50" s="261"/>
      <c r="N50" s="262"/>
      <c r="O50" s="53">
        <f>査読ｼｰﾄ!X19</f>
        <v>0</v>
      </c>
      <c r="P50" s="40" t="s">
        <v>56</v>
      </c>
      <c r="Q50" s="258"/>
      <c r="R50" s="259"/>
      <c r="S50" s="263"/>
      <c r="T50" s="264"/>
      <c r="U50" s="264"/>
      <c r="V50" s="265"/>
      <c r="W50" s="266"/>
      <c r="Z50" s="11"/>
      <c r="AA50" s="11"/>
      <c r="AB50" s="11"/>
      <c r="AC50" s="11"/>
      <c r="AD50" s="11"/>
      <c r="AE50" s="11"/>
    </row>
    <row r="51" spans="2:31" ht="16.5" customHeight="1">
      <c r="B51" s="407"/>
      <c r="C51" s="393"/>
      <c r="D51" s="393"/>
      <c r="E51" s="393"/>
      <c r="F51" s="18">
        <v>3</v>
      </c>
      <c r="G51" s="58" t="str">
        <f>IF(査読ｼｰﾄ!V21=" ","（転記）",査読ｼｰﾄ!V21)</f>
        <v>（転記）</v>
      </c>
      <c r="H51" s="243" t="s">
        <v>122</v>
      </c>
      <c r="I51" s="244"/>
      <c r="J51" s="245"/>
      <c r="K51" s="246"/>
      <c r="L51" s="260"/>
      <c r="M51" s="261"/>
      <c r="N51" s="262"/>
      <c r="O51" s="53">
        <f>査読ｼｰﾄ!X21</f>
        <v>0</v>
      </c>
      <c r="P51" s="40" t="s">
        <v>56</v>
      </c>
      <c r="Q51" s="258"/>
      <c r="R51" s="259"/>
      <c r="S51" s="263"/>
      <c r="T51" s="264"/>
      <c r="U51" s="264"/>
      <c r="V51" s="265"/>
      <c r="W51" s="266"/>
      <c r="Z51" s="11"/>
      <c r="AA51" s="11"/>
      <c r="AB51" s="11"/>
      <c r="AC51" s="11"/>
      <c r="AD51" s="11"/>
      <c r="AE51" s="11"/>
    </row>
    <row r="52" spans="2:31" ht="16.5" customHeight="1">
      <c r="B52" s="407"/>
      <c r="C52" s="393"/>
      <c r="D52" s="393"/>
      <c r="E52" s="393"/>
      <c r="F52" s="18">
        <v>4</v>
      </c>
      <c r="G52" s="58" t="str">
        <f>IF(査読ｼｰﾄ!V23=" ","（転記）",査読ｼｰﾄ!V23)</f>
        <v>（転記）</v>
      </c>
      <c r="H52" s="243" t="s">
        <v>122</v>
      </c>
      <c r="I52" s="244"/>
      <c r="J52" s="245"/>
      <c r="K52" s="246"/>
      <c r="L52" s="260"/>
      <c r="M52" s="261"/>
      <c r="N52" s="262"/>
      <c r="O52" s="53">
        <f>査読ｼｰﾄ!X23</f>
        <v>0</v>
      </c>
      <c r="P52" s="40" t="s">
        <v>56</v>
      </c>
      <c r="Q52" s="258"/>
      <c r="R52" s="259"/>
      <c r="S52" s="263"/>
      <c r="T52" s="264"/>
      <c r="U52" s="264"/>
      <c r="V52" s="265"/>
      <c r="W52" s="266"/>
      <c r="Z52" s="11"/>
      <c r="AA52" s="11"/>
      <c r="AB52" s="11"/>
      <c r="AC52" s="11"/>
      <c r="AD52" s="11"/>
      <c r="AE52" s="11"/>
    </row>
    <row r="53" spans="2:31" ht="16.5" customHeight="1" thickBot="1">
      <c r="B53" s="466"/>
      <c r="C53" s="467"/>
      <c r="D53" s="467"/>
      <c r="E53" s="467"/>
      <c r="F53" s="19">
        <v>5</v>
      </c>
      <c r="G53" s="59" t="str">
        <f>IF(査読ｼｰﾄ!V25=" ","（転記）",査読ｼｰﾄ!V25)</f>
        <v>（転記）</v>
      </c>
      <c r="H53" s="290" t="s">
        <v>122</v>
      </c>
      <c r="I53" s="291"/>
      <c r="J53" s="469"/>
      <c r="K53" s="470"/>
      <c r="L53" s="287"/>
      <c r="M53" s="288"/>
      <c r="N53" s="289"/>
      <c r="O53" s="56">
        <f>査読ｼｰﾄ!X25</f>
        <v>0</v>
      </c>
      <c r="P53" s="41" t="s">
        <v>56</v>
      </c>
      <c r="Q53" s="285"/>
      <c r="R53" s="286"/>
      <c r="S53" s="281"/>
      <c r="T53" s="282"/>
      <c r="U53" s="282"/>
      <c r="V53" s="283"/>
      <c r="W53" s="284"/>
      <c r="Z53" s="11"/>
      <c r="AA53" s="11"/>
      <c r="AB53" s="11"/>
      <c r="AC53" s="11"/>
      <c r="AD53" s="11"/>
      <c r="AE53" s="11"/>
    </row>
    <row r="54" spans="2:31" ht="6.75" customHeight="1" thickBot="1">
      <c r="C54" s="14"/>
      <c r="G54" s="23"/>
      <c r="H54" s="24"/>
      <c r="I54" s="25"/>
      <c r="J54" s="26"/>
      <c r="K54" s="27"/>
      <c r="L54" s="28"/>
      <c r="M54" s="28"/>
      <c r="N54" s="29"/>
      <c r="O54" s="30"/>
      <c r="P54" s="30"/>
      <c r="Q54" s="30"/>
      <c r="R54" s="31"/>
      <c r="S54" s="15"/>
      <c r="T54" s="15"/>
      <c r="U54" s="15"/>
    </row>
    <row r="55" spans="2:31" ht="18" customHeight="1">
      <c r="B55" s="267" t="s">
        <v>123</v>
      </c>
      <c r="C55" s="268"/>
      <c r="D55" s="273" t="s">
        <v>124</v>
      </c>
      <c r="E55" s="274"/>
      <c r="F55" s="292" t="s">
        <v>125</v>
      </c>
      <c r="G55" s="293"/>
      <c r="H55" s="293"/>
      <c r="I55" s="293"/>
      <c r="J55" s="293"/>
      <c r="K55" s="293"/>
      <c r="L55" s="293"/>
      <c r="M55" s="293"/>
      <c r="N55" s="293"/>
      <c r="O55" s="293"/>
      <c r="P55" s="293"/>
      <c r="Q55" s="293"/>
      <c r="R55" s="293"/>
      <c r="S55" s="293"/>
      <c r="T55" s="293"/>
      <c r="U55" s="298" t="s">
        <v>126</v>
      </c>
      <c r="V55" s="299"/>
      <c r="W55" s="300"/>
    </row>
    <row r="56" spans="2:31" ht="18" customHeight="1">
      <c r="B56" s="269"/>
      <c r="C56" s="270"/>
      <c r="D56" s="275"/>
      <c r="E56" s="276"/>
      <c r="F56" s="294"/>
      <c r="G56" s="295"/>
      <c r="H56" s="295"/>
      <c r="I56" s="295"/>
      <c r="J56" s="295"/>
      <c r="K56" s="295"/>
      <c r="L56" s="295"/>
      <c r="M56" s="295"/>
      <c r="N56" s="295"/>
      <c r="O56" s="295"/>
      <c r="P56" s="295"/>
      <c r="Q56" s="295"/>
      <c r="R56" s="295"/>
      <c r="S56" s="295"/>
      <c r="T56" s="295"/>
      <c r="U56" s="301"/>
      <c r="V56" s="302"/>
      <c r="W56" s="303"/>
    </row>
    <row r="57" spans="2:31" ht="18" customHeight="1">
      <c r="B57" s="269"/>
      <c r="C57" s="270"/>
      <c r="D57" s="277"/>
      <c r="E57" s="278"/>
      <c r="F57" s="294"/>
      <c r="G57" s="295"/>
      <c r="H57" s="295"/>
      <c r="I57" s="295"/>
      <c r="J57" s="295"/>
      <c r="K57" s="295"/>
      <c r="L57" s="295"/>
      <c r="M57" s="295"/>
      <c r="N57" s="295"/>
      <c r="O57" s="295"/>
      <c r="P57" s="295"/>
      <c r="Q57" s="295"/>
      <c r="R57" s="295"/>
      <c r="S57" s="295"/>
      <c r="T57" s="295"/>
      <c r="U57" s="304"/>
      <c r="V57" s="305"/>
      <c r="W57" s="306"/>
    </row>
    <row r="58" spans="2:31" ht="18" customHeight="1" thickBot="1">
      <c r="B58" s="271"/>
      <c r="C58" s="272"/>
      <c r="D58" s="279"/>
      <c r="E58" s="280"/>
      <c r="F58" s="296"/>
      <c r="G58" s="297"/>
      <c r="H58" s="297"/>
      <c r="I58" s="297"/>
      <c r="J58" s="297"/>
      <c r="K58" s="297"/>
      <c r="L58" s="297"/>
      <c r="M58" s="297"/>
      <c r="N58" s="297"/>
      <c r="O58" s="297"/>
      <c r="P58" s="297"/>
      <c r="Q58" s="297"/>
      <c r="R58" s="297"/>
      <c r="S58" s="297"/>
      <c r="T58" s="297"/>
      <c r="U58" s="307"/>
      <c r="V58" s="308"/>
      <c r="W58" s="309"/>
    </row>
    <row r="59" spans="2:31" s="113" customFormat="1" ht="18" customHeight="1" thickBot="1">
      <c r="D59" s="114" t="s">
        <v>127</v>
      </c>
      <c r="O59" s="115"/>
      <c r="P59" s="115"/>
      <c r="Q59" s="115"/>
      <c r="U59" s="116"/>
      <c r="V59" s="116"/>
      <c r="W59" s="116"/>
    </row>
    <row r="60" spans="2:31" ht="13.5">
      <c r="B60" s="85" t="s">
        <v>128</v>
      </c>
      <c r="C60" s="83"/>
      <c r="D60" s="83"/>
      <c r="E60" s="83"/>
      <c r="F60" s="83"/>
      <c r="G60" s="83"/>
      <c r="H60" s="83"/>
      <c r="I60" s="83"/>
      <c r="J60" s="83"/>
      <c r="K60" s="83"/>
      <c r="L60" s="83"/>
      <c r="M60" s="83"/>
      <c r="N60" s="83"/>
      <c r="O60" s="86"/>
      <c r="P60" s="86"/>
      <c r="Q60" s="86"/>
      <c r="R60" s="83"/>
      <c r="S60" s="83"/>
      <c r="T60" s="83"/>
      <c r="U60" s="103"/>
      <c r="V60" s="103"/>
      <c r="W60" s="104"/>
    </row>
    <row r="61" spans="2:31" ht="15.75" customHeight="1" thickBot="1">
      <c r="B61" s="87"/>
      <c r="C61" s="14"/>
      <c r="D61" s="88" t="s">
        <v>129</v>
      </c>
      <c r="E61" s="89" t="s">
        <v>130</v>
      </c>
      <c r="F61" s="14"/>
      <c r="G61" s="14"/>
      <c r="H61" s="14"/>
      <c r="I61" s="82" t="s">
        <v>129</v>
      </c>
      <c r="J61" s="89" t="s">
        <v>131</v>
      </c>
      <c r="K61" s="14"/>
      <c r="L61" s="14"/>
      <c r="M61" s="82" t="s">
        <v>132</v>
      </c>
      <c r="N61" s="89" t="s">
        <v>133</v>
      </c>
      <c r="O61" s="90"/>
      <c r="P61" s="90"/>
      <c r="Q61" s="90"/>
      <c r="R61" s="14"/>
      <c r="S61" s="14"/>
      <c r="T61" s="14"/>
      <c r="U61" s="105"/>
      <c r="V61" s="105"/>
      <c r="W61" s="106"/>
    </row>
  </sheetData>
  <mergeCells count="182">
    <mergeCell ref="K45:M45"/>
    <mergeCell ref="V20:W20"/>
    <mergeCell ref="H20:N20"/>
    <mergeCell ref="T33:U34"/>
    <mergeCell ref="F37:G41"/>
    <mergeCell ref="H25:N25"/>
    <mergeCell ref="F32:G34"/>
    <mergeCell ref="F28:G31"/>
    <mergeCell ref="V33:W34"/>
    <mergeCell ref="V35:W36"/>
    <mergeCell ref="T22:U22"/>
    <mergeCell ref="H23:N23"/>
    <mergeCell ref="H22:N22"/>
    <mergeCell ref="T24:U24"/>
    <mergeCell ref="H43:N43"/>
    <mergeCell ref="T35:U36"/>
    <mergeCell ref="H42:N42"/>
    <mergeCell ref="H40:N40"/>
    <mergeCell ref="S39:S40"/>
    <mergeCell ref="H24:N24"/>
    <mergeCell ref="V26:W26"/>
    <mergeCell ref="V37:W38"/>
    <mergeCell ref="V31:W32"/>
    <mergeCell ref="V39:W40"/>
    <mergeCell ref="J48:K48"/>
    <mergeCell ref="H41:N41"/>
    <mergeCell ref="L48:N48"/>
    <mergeCell ref="O48:P48"/>
    <mergeCell ref="G48:I48"/>
    <mergeCell ref="F42:G44"/>
    <mergeCell ref="H45:I45"/>
    <mergeCell ref="D46:N46"/>
    <mergeCell ref="B48:E53"/>
    <mergeCell ref="H44:N44"/>
    <mergeCell ref="J53:K53"/>
    <mergeCell ref="H49:I49"/>
    <mergeCell ref="E37:E41"/>
    <mergeCell ref="B20:C46"/>
    <mergeCell ref="F35:G36"/>
    <mergeCell ref="H30:N30"/>
    <mergeCell ref="F24:G27"/>
    <mergeCell ref="H33:N33"/>
    <mergeCell ref="H28:N28"/>
    <mergeCell ref="H29:N29"/>
    <mergeCell ref="H35:N35"/>
    <mergeCell ref="H39:N39"/>
    <mergeCell ref="H37:N37"/>
    <mergeCell ref="H32:N32"/>
    <mergeCell ref="Q48:R48"/>
    <mergeCell ref="T39:U40"/>
    <mergeCell ref="T37:U38"/>
    <mergeCell ref="S33:S34"/>
    <mergeCell ref="T23:U23"/>
    <mergeCell ref="S41:S42"/>
    <mergeCell ref="T41:U42"/>
    <mergeCell ref="R30:R42"/>
    <mergeCell ref="V27:W27"/>
    <mergeCell ref="S48:W48"/>
    <mergeCell ref="V30:W30"/>
    <mergeCell ref="V28:W28"/>
    <mergeCell ref="V41:W42"/>
    <mergeCell ref="V24:W24"/>
    <mergeCell ref="T25:U25"/>
    <mergeCell ref="V25:W25"/>
    <mergeCell ref="R17:R28"/>
    <mergeCell ref="T21:U21"/>
    <mergeCell ref="V23:W23"/>
    <mergeCell ref="S31:S32"/>
    <mergeCell ref="T31:U32"/>
    <mergeCell ref="V21:W21"/>
    <mergeCell ref="S37:S38"/>
    <mergeCell ref="S35:S36"/>
    <mergeCell ref="T19:U19"/>
    <mergeCell ref="E32:E34"/>
    <mergeCell ref="E42:E44"/>
    <mergeCell ref="E28:E31"/>
    <mergeCell ref="H36:N36"/>
    <mergeCell ref="H31:N31"/>
    <mergeCell ref="H27:N27"/>
    <mergeCell ref="E24:E27"/>
    <mergeCell ref="E35:E36"/>
    <mergeCell ref="F20:G23"/>
    <mergeCell ref="H21:N21"/>
    <mergeCell ref="S28:U28"/>
    <mergeCell ref="T26:U26"/>
    <mergeCell ref="T30:U30"/>
    <mergeCell ref="H26:N26"/>
    <mergeCell ref="H38:N38"/>
    <mergeCell ref="H34:N34"/>
    <mergeCell ref="T20:U20"/>
    <mergeCell ref="V22:W22"/>
    <mergeCell ref="T17:U17"/>
    <mergeCell ref="T18:U18"/>
    <mergeCell ref="Q12:U12"/>
    <mergeCell ref="V18:W18"/>
    <mergeCell ref="E17:E19"/>
    <mergeCell ref="H19:N19"/>
    <mergeCell ref="E20:E23"/>
    <mergeCell ref="K14:M14"/>
    <mergeCell ref="B16:U16"/>
    <mergeCell ref="H17:N17"/>
    <mergeCell ref="B9:C15"/>
    <mergeCell ref="H9:J9"/>
    <mergeCell ref="F12:J12"/>
    <mergeCell ref="L12:N12"/>
    <mergeCell ref="D9:G9"/>
    <mergeCell ref="V19:W19"/>
    <mergeCell ref="O14:W15"/>
    <mergeCell ref="O11:P11"/>
    <mergeCell ref="V11:W11"/>
    <mergeCell ref="O12:P12"/>
    <mergeCell ref="V12:W12"/>
    <mergeCell ref="D20:D45"/>
    <mergeCell ref="T27:U27"/>
    <mergeCell ref="K9:M9"/>
    <mergeCell ref="G14:I14"/>
    <mergeCell ref="H18:N18"/>
    <mergeCell ref="F17:G19"/>
    <mergeCell ref="G15:I15"/>
    <mergeCell ref="D15:F15"/>
    <mergeCell ref="L13:N13"/>
    <mergeCell ref="F13:J13"/>
    <mergeCell ref="F11:J11"/>
    <mergeCell ref="N9:W9"/>
    <mergeCell ref="V10:W10"/>
    <mergeCell ref="O13:P13"/>
    <mergeCell ref="Q13:U13"/>
    <mergeCell ref="D10:E13"/>
    <mergeCell ref="F10:J10"/>
    <mergeCell ref="D14:F14"/>
    <mergeCell ref="V13:W13"/>
    <mergeCell ref="K15:M15"/>
    <mergeCell ref="Q10:U10"/>
    <mergeCell ref="L10:N10"/>
    <mergeCell ref="L11:N11"/>
    <mergeCell ref="Q11:U11"/>
    <mergeCell ref="O10:P10"/>
    <mergeCell ref="V17:W17"/>
    <mergeCell ref="F2:K3"/>
    <mergeCell ref="T2:W2"/>
    <mergeCell ref="B7:E7"/>
    <mergeCell ref="B6:E6"/>
    <mergeCell ref="J6:K6"/>
    <mergeCell ref="J7:K7"/>
    <mergeCell ref="F6:H6"/>
    <mergeCell ref="F7:I7"/>
    <mergeCell ref="K4:M4"/>
    <mergeCell ref="L7:W7"/>
    <mergeCell ref="C4:F4"/>
    <mergeCell ref="H4:I4"/>
    <mergeCell ref="M6:N6"/>
    <mergeCell ref="U6:V6"/>
    <mergeCell ref="O6:S6"/>
    <mergeCell ref="N4:W4"/>
    <mergeCell ref="B55:C58"/>
    <mergeCell ref="D55:E58"/>
    <mergeCell ref="S52:W52"/>
    <mergeCell ref="S53:W53"/>
    <mergeCell ref="Q52:R52"/>
    <mergeCell ref="Q53:R53"/>
    <mergeCell ref="H52:I52"/>
    <mergeCell ref="L53:N53"/>
    <mergeCell ref="H53:I53"/>
    <mergeCell ref="J52:K52"/>
    <mergeCell ref="F55:T58"/>
    <mergeCell ref="U55:W55"/>
    <mergeCell ref="U56:W58"/>
    <mergeCell ref="L52:N52"/>
    <mergeCell ref="H50:I50"/>
    <mergeCell ref="H51:I51"/>
    <mergeCell ref="J51:K51"/>
    <mergeCell ref="J49:K49"/>
    <mergeCell ref="J50:K50"/>
    <mergeCell ref="S49:W49"/>
    <mergeCell ref="Q49:R49"/>
    <mergeCell ref="L49:N49"/>
    <mergeCell ref="Q51:R51"/>
    <mergeCell ref="L50:N50"/>
    <mergeCell ref="L51:N51"/>
    <mergeCell ref="S51:W51"/>
    <mergeCell ref="Q50:R50"/>
    <mergeCell ref="S50:W50"/>
  </mergeCells>
  <phoneticPr fontId="2"/>
  <dataValidations count="2">
    <dataValidation type="list" allowBlank="1" showInputMessage="1" showErrorMessage="1" sqref="K10:K13 O10:P13 V10:W12 V13:W13 G4 J4" xr:uid="{00000000-0002-0000-0000-000000000000}">
      <formula1>"○"</formula1>
    </dataValidation>
    <dataValidation type="list" allowBlank="1" showInputMessage="1" showErrorMessage="1" sqref="D61 I61 M61" xr:uid="{00000000-0002-0000-0000-000001000000}">
      <formula1>"□, ■"</formula1>
    </dataValidation>
  </dataValidations>
  <pageMargins left="0.78740157480314965" right="0.19685039370078741" top="0.53" bottom="0.41" header="0.28999999999999998" footer="0.19"/>
  <pageSetup paperSize="9" scale="94" orientation="portrait" horizontalDpi="4294967293" verticalDpi="1200" r:id="rId1"/>
  <headerFooter alignWithMargins="0">
    <oddHeader>&amp;R&amp;"ＭＳ Ｐ明朝,標準"8201 様式10 B</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V177"/>
  <sheetViews>
    <sheetView showGridLines="0" view="pageBreakPreview" topLeftCell="A31" zoomScaleNormal="100" zoomScaleSheetLayoutView="100" workbookViewId="0">
      <selection activeCell="F45" sqref="F45"/>
    </sheetView>
  </sheetViews>
  <sheetFormatPr defaultRowHeight="13.5"/>
  <cols>
    <col min="1" max="1" width="4.375" style="5" customWidth="1"/>
    <col min="2" max="2" width="5.5" customWidth="1"/>
    <col min="3" max="3" width="31.375" customWidth="1"/>
    <col min="4" max="4" width="7.625" style="5" customWidth="1"/>
    <col min="5" max="5" width="7" style="5" customWidth="1"/>
    <col min="6" max="6" width="23.375" customWidth="1"/>
    <col min="7" max="7" width="7.125" style="5" customWidth="1"/>
    <col min="8" max="8" width="6.25" style="5" customWidth="1"/>
    <col min="9" max="9" width="6.75" style="5" customWidth="1"/>
    <col min="10" max="10" width="7" style="5" customWidth="1"/>
    <col min="11" max="11" width="6" style="5" customWidth="1"/>
    <col min="12" max="12" width="9.25" style="5" customWidth="1"/>
    <col min="13" max="13" width="8" style="5" customWidth="1"/>
    <col min="14" max="14" width="12.75" style="5" customWidth="1"/>
    <col min="15" max="15" width="9.25" style="5" customWidth="1"/>
    <col min="16" max="16" width="8" style="5" customWidth="1"/>
    <col min="17" max="17" width="12.75" style="5" customWidth="1"/>
    <col min="18" max="18" width="9.25" style="5" customWidth="1"/>
    <col min="19" max="19" width="8" style="5" customWidth="1"/>
    <col min="20" max="20" width="12.75" style="5" customWidth="1"/>
  </cols>
  <sheetData>
    <row r="1" spans="1:104" ht="11.25" hidden="1" customHeight="1">
      <c r="A1"/>
      <c r="D1"/>
      <c r="E1"/>
      <c r="G1"/>
      <c r="H1"/>
      <c r="I1"/>
      <c r="J1"/>
      <c r="K1" s="44"/>
      <c r="L1" s="2" t="s">
        <v>134</v>
      </c>
      <c r="M1"/>
      <c r="N1"/>
      <c r="O1" s="2"/>
      <c r="P1"/>
      <c r="Q1"/>
      <c r="R1" s="2"/>
      <c r="S1"/>
      <c r="T1"/>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row>
    <row r="2" spans="1:104" ht="11.25" hidden="1" customHeight="1">
      <c r="A2"/>
      <c r="D2"/>
      <c r="E2"/>
      <c r="G2"/>
      <c r="H2"/>
      <c r="I2"/>
      <c r="J2"/>
      <c r="K2" s="44"/>
      <c r="L2"/>
      <c r="M2"/>
      <c r="N2"/>
      <c r="O2"/>
      <c r="P2"/>
      <c r="Q2"/>
      <c r="R2"/>
      <c r="S2"/>
      <c r="T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row>
    <row r="3" spans="1:104" ht="11.25" hidden="1" customHeight="1">
      <c r="A3"/>
      <c r="D3"/>
      <c r="E3"/>
      <c r="G3"/>
      <c r="H3"/>
      <c r="I3"/>
      <c r="J3"/>
      <c r="K3" s="44"/>
      <c r="L3" s="1" t="s">
        <v>50</v>
      </c>
      <c r="M3" s="3"/>
      <c r="N3" s="3" t="s">
        <v>135</v>
      </c>
      <c r="O3" s="1" t="s">
        <v>50</v>
      </c>
      <c r="P3" s="3"/>
      <c r="Q3" s="3" t="s">
        <v>135</v>
      </c>
      <c r="R3" s="1" t="s">
        <v>50</v>
      </c>
      <c r="S3" s="3"/>
      <c r="T3" s="3" t="s">
        <v>135</v>
      </c>
      <c r="U3" s="1" t="s">
        <v>50</v>
      </c>
      <c r="V3" s="3"/>
      <c r="W3" s="3" t="s">
        <v>135</v>
      </c>
      <c r="X3" s="1" t="s">
        <v>50</v>
      </c>
      <c r="Y3" s="3"/>
      <c r="Z3" s="3" t="s">
        <v>135</v>
      </c>
      <c r="AA3" s="1" t="s">
        <v>50</v>
      </c>
      <c r="AB3" s="3"/>
      <c r="AC3" s="3" t="s">
        <v>135</v>
      </c>
      <c r="AD3" s="1" t="s">
        <v>50</v>
      </c>
      <c r="AE3" s="3"/>
      <c r="AF3" s="3" t="s">
        <v>135</v>
      </c>
      <c r="AG3" s="1" t="s">
        <v>50</v>
      </c>
      <c r="AH3" s="3"/>
      <c r="AI3" s="3" t="s">
        <v>135</v>
      </c>
      <c r="AJ3" s="1" t="s">
        <v>50</v>
      </c>
      <c r="AK3" s="3"/>
      <c r="AL3" s="3" t="s">
        <v>135</v>
      </c>
      <c r="AM3" s="1" t="s">
        <v>50</v>
      </c>
      <c r="AN3" s="3"/>
      <c r="AO3" s="3" t="s">
        <v>135</v>
      </c>
      <c r="AP3" s="1" t="s">
        <v>50</v>
      </c>
      <c r="AQ3" s="3"/>
      <c r="AR3" s="3" t="s">
        <v>135</v>
      </c>
      <c r="AS3" s="1" t="s">
        <v>50</v>
      </c>
      <c r="AT3" s="3"/>
      <c r="AU3" s="3" t="s">
        <v>135</v>
      </c>
      <c r="AV3" s="1" t="s">
        <v>50</v>
      </c>
      <c r="AW3" s="3"/>
      <c r="AX3" s="3" t="s">
        <v>135</v>
      </c>
      <c r="AY3" s="1" t="s">
        <v>50</v>
      </c>
      <c r="AZ3" s="3"/>
      <c r="BA3" s="3" t="s">
        <v>135</v>
      </c>
      <c r="BB3" s="1" t="s">
        <v>50</v>
      </c>
      <c r="BC3" s="3"/>
      <c r="BD3" s="3" t="s">
        <v>135</v>
      </c>
      <c r="BE3" s="1" t="s">
        <v>50</v>
      </c>
      <c r="BF3" s="3"/>
      <c r="BG3" s="3" t="s">
        <v>135</v>
      </c>
      <c r="BH3" s="1" t="s">
        <v>50</v>
      </c>
      <c r="BI3" s="3"/>
      <c r="BJ3" s="3" t="s">
        <v>135</v>
      </c>
      <c r="BK3" s="1" t="s">
        <v>50</v>
      </c>
      <c r="BL3" s="3"/>
      <c r="BM3" s="3" t="s">
        <v>135</v>
      </c>
      <c r="BN3" s="1" t="s">
        <v>50</v>
      </c>
      <c r="BO3" s="3"/>
      <c r="BP3" s="3" t="s">
        <v>135</v>
      </c>
      <c r="BQ3" s="1" t="s">
        <v>50</v>
      </c>
      <c r="BR3" s="3"/>
      <c r="BS3" s="3" t="s">
        <v>135</v>
      </c>
      <c r="BT3" s="1" t="s">
        <v>50</v>
      </c>
      <c r="BU3" s="3"/>
      <c r="BV3" s="3" t="s">
        <v>135</v>
      </c>
      <c r="BW3" s="1" t="s">
        <v>50</v>
      </c>
      <c r="BX3" s="3"/>
      <c r="BY3" s="3" t="s">
        <v>135</v>
      </c>
      <c r="BZ3" s="1" t="s">
        <v>50</v>
      </c>
      <c r="CA3" s="3"/>
      <c r="CB3" s="3" t="s">
        <v>135</v>
      </c>
      <c r="CC3" s="1" t="s">
        <v>50</v>
      </c>
      <c r="CD3" s="3"/>
      <c r="CE3" s="3" t="s">
        <v>135</v>
      </c>
      <c r="CF3" s="1" t="s">
        <v>50</v>
      </c>
      <c r="CG3" s="3"/>
      <c r="CH3" s="3" t="s">
        <v>135</v>
      </c>
      <c r="CI3" s="1" t="s">
        <v>50</v>
      </c>
      <c r="CJ3" s="3"/>
      <c r="CK3" s="3" t="s">
        <v>135</v>
      </c>
      <c r="CL3" s="1" t="s">
        <v>50</v>
      </c>
      <c r="CM3" s="3"/>
      <c r="CN3" s="3" t="s">
        <v>135</v>
      </c>
      <c r="CO3" s="1" t="s">
        <v>50</v>
      </c>
      <c r="CP3" s="3"/>
      <c r="CQ3" s="3" t="s">
        <v>135</v>
      </c>
      <c r="CR3" s="1" t="s">
        <v>50</v>
      </c>
      <c r="CS3" s="3"/>
      <c r="CT3" s="3" t="s">
        <v>135</v>
      </c>
      <c r="CU3" s="1" t="s">
        <v>50</v>
      </c>
      <c r="CV3" s="3"/>
      <c r="CW3" s="3" t="s">
        <v>135</v>
      </c>
      <c r="CX3" s="1" t="s">
        <v>50</v>
      </c>
      <c r="CY3" s="3"/>
      <c r="CZ3" s="3" t="s">
        <v>135</v>
      </c>
    </row>
    <row r="4" spans="1:104" ht="11.25" hidden="1" customHeight="1">
      <c r="A4"/>
      <c r="D4"/>
      <c r="E4"/>
      <c r="G4"/>
      <c r="H4"/>
      <c r="I4"/>
      <c r="J4"/>
      <c r="K4" s="44"/>
      <c r="L4" s="2" t="s">
        <v>136</v>
      </c>
      <c r="M4" s="2"/>
      <c r="N4" s="2">
        <f>IF(ISNUMBER(DCOUNTA(査読範囲,L3,L3:L4)), DCOUNTA(査読範囲,L3,L3:L4), 0)</f>
        <v>0</v>
      </c>
      <c r="O4" s="2" t="s">
        <v>137</v>
      </c>
      <c r="P4" s="2"/>
      <c r="Q4" s="2">
        <f>IF(ISNUMBER(DCOUNTA(査読範囲,O3,O3:O4)), DCOUNTA(査読範囲,O3,O3:O4), 0)</f>
        <v>0</v>
      </c>
      <c r="R4" s="2" t="s">
        <v>138</v>
      </c>
      <c r="S4" s="2"/>
      <c r="T4" s="2">
        <f>IF(ISNUMBER(DCOUNTA(査読範囲,R3,R3:R4)), DCOUNTA(査読範囲,R3,R3:R4), 0)</f>
        <v>0</v>
      </c>
      <c r="U4" s="2" t="s">
        <v>139</v>
      </c>
      <c r="V4" s="2"/>
      <c r="W4" s="2">
        <f>IF(ISNUMBER(DCOUNTA(査読範囲,U3,U3:U4)), DCOUNTA(査読範囲,U3,U3:U4), 0)</f>
        <v>0</v>
      </c>
      <c r="X4" s="2" t="s">
        <v>140</v>
      </c>
      <c r="Y4" s="2"/>
      <c r="Z4" s="2">
        <f>IF(ISNUMBER(DCOUNTA(査読範囲,X3,X3:X4)), DCOUNTA(査読範囲,X3,X3:X4), 0)</f>
        <v>0</v>
      </c>
      <c r="AA4" s="2" t="s">
        <v>141</v>
      </c>
      <c r="AB4" s="2"/>
      <c r="AC4" s="2">
        <f>IF(ISNUMBER(DCOUNTA(査読範囲,AA3,AA3:AA4)), DCOUNTA(査読範囲,AA3,AA3:AA4), 0)</f>
        <v>0</v>
      </c>
      <c r="AD4" s="2" t="s">
        <v>142</v>
      </c>
      <c r="AE4" s="2"/>
      <c r="AF4" s="2">
        <f>IF(ISNUMBER(DCOUNTA(査読範囲,AD3,AD3:AD4)), DCOUNTA(査読範囲,AD3,AD3:AD4), 0)</f>
        <v>0</v>
      </c>
      <c r="AG4" s="2" t="s">
        <v>143</v>
      </c>
      <c r="AH4" s="2"/>
      <c r="AI4" s="2">
        <f>IF(ISNUMBER(DCOUNTA(査読範囲,AG3,AG3:AG4)), DCOUNTA(査読範囲,AG3,AG3:AG4), 0)</f>
        <v>0</v>
      </c>
      <c r="AJ4" s="2" t="s">
        <v>144</v>
      </c>
      <c r="AK4" s="2"/>
      <c r="AL4" s="2">
        <f>IF(ISNUMBER(DCOUNTA(査読範囲,AJ3,AJ3:AJ4)), DCOUNTA(査読範囲,AJ3,AJ3:AJ4), 0)</f>
        <v>0</v>
      </c>
      <c r="AM4" s="2" t="s">
        <v>145</v>
      </c>
      <c r="AN4" s="2"/>
      <c r="AO4" s="2">
        <f>IF(ISNUMBER(DCOUNTA(査読範囲,AM3,AM3:AM4)), DCOUNTA(査読範囲,AM3,AM3:AM4), 0)</f>
        <v>0</v>
      </c>
      <c r="AP4" s="2" t="s">
        <v>146</v>
      </c>
      <c r="AQ4" s="2"/>
      <c r="AR4" s="2">
        <f>IF(ISNUMBER(DCOUNTA(査読範囲,AP3,AP3:AP4)), DCOUNTA(査読範囲,AP3,AP3:AP4), 0)</f>
        <v>0</v>
      </c>
      <c r="AS4" s="2" t="s">
        <v>147</v>
      </c>
      <c r="AT4" s="2"/>
      <c r="AU4" s="2">
        <f>IF(ISNUMBER(DCOUNTA(査読範囲,AS3,AS3:AS4)), DCOUNTA(査読範囲,AS3,AS3:AS4), 0)</f>
        <v>0</v>
      </c>
      <c r="AV4" s="2" t="s">
        <v>148</v>
      </c>
      <c r="AW4" s="2"/>
      <c r="AX4" s="2">
        <f>IF(ISNUMBER(DCOUNTA(査読範囲,AV3,AV3:AV4)), DCOUNTA(査読範囲,AV3,AV3:AV4), 0)</f>
        <v>0</v>
      </c>
      <c r="AY4" s="2" t="s">
        <v>149</v>
      </c>
      <c r="AZ4" s="2"/>
      <c r="BA4" s="2">
        <f>IF(ISNUMBER(DCOUNTA(査読範囲,AY3,AY3:AY4)), DCOUNTA(査読範囲,AY3,AY3:AY4), 0)</f>
        <v>0</v>
      </c>
      <c r="BB4" s="2" t="s">
        <v>150</v>
      </c>
      <c r="BC4" s="2"/>
      <c r="BD4" s="2">
        <f>IF(ISNUMBER(DCOUNTA(査読範囲,BB3,BB3:BB4)), DCOUNTA(査読範囲,BB3,BB3:BB4), 0)</f>
        <v>0</v>
      </c>
      <c r="BE4" s="2" t="s">
        <v>151</v>
      </c>
      <c r="BF4" s="2"/>
      <c r="BG4" s="2">
        <f>IF(ISNUMBER(DCOUNTA(査読範囲,BE3,BE3:BE4)), DCOUNTA(査読範囲,BE3,BE3:BE4), 0)</f>
        <v>0</v>
      </c>
      <c r="BH4" s="2" t="s">
        <v>152</v>
      </c>
      <c r="BI4" s="2"/>
      <c r="BJ4" s="2">
        <f>IF(ISNUMBER(DCOUNTA(査読範囲,BH3,BH3:BH4)), DCOUNTA(査読範囲,BH3,BH3:BH4), 0)</f>
        <v>0</v>
      </c>
      <c r="BK4" s="2" t="s">
        <v>153</v>
      </c>
      <c r="BL4" s="2"/>
      <c r="BM4" s="2">
        <f>IF(ISNUMBER(DCOUNTA(査読範囲,BK3,BK3:BK4)), DCOUNTA(査読範囲,BK3,BK3:BK4), 0)</f>
        <v>0</v>
      </c>
      <c r="BN4" s="2" t="s">
        <v>154</v>
      </c>
      <c r="BO4" s="2"/>
      <c r="BP4" s="2">
        <f>IF(ISNUMBER(DCOUNTA(査読範囲,BN3,BN3:BN4)), DCOUNTA(査読範囲,BN3,BN3:BN4), 0)</f>
        <v>0</v>
      </c>
      <c r="BQ4" s="2" t="s">
        <v>155</v>
      </c>
      <c r="BR4" s="2"/>
      <c r="BS4" s="2">
        <f>IF(ISNUMBER(DCOUNTA(査読範囲,BQ3,BQ3:BQ4)), DCOUNTA(査読範囲,BQ3,BQ3:BQ4), 0)</f>
        <v>0</v>
      </c>
      <c r="BT4" s="2" t="s">
        <v>156</v>
      </c>
      <c r="BU4" s="2"/>
      <c r="BV4" s="2">
        <f>IF(ISNUMBER(DCOUNTA(査読範囲,BT3,BT3:BT4)), DCOUNTA(査読範囲,BT3,BT3:BT4), 0)</f>
        <v>0</v>
      </c>
      <c r="BW4" s="2" t="s">
        <v>157</v>
      </c>
      <c r="BX4" s="2"/>
      <c r="BY4" s="2">
        <f>IF(ISNUMBER(DCOUNTA(査読範囲,BW3,BW3:BW4)), DCOUNTA(査読範囲,BW3,BW3:BW4), 0)</f>
        <v>0</v>
      </c>
      <c r="BZ4" s="2" t="s">
        <v>158</v>
      </c>
      <c r="CA4" s="2"/>
      <c r="CB4" s="2">
        <f>IF(ISNUMBER(DCOUNTA(査読範囲,BZ3,BZ3:BZ4)), DCOUNTA(査読範囲,BZ3,BZ3:BZ4), 0)</f>
        <v>0</v>
      </c>
      <c r="CC4" s="2" t="s">
        <v>159</v>
      </c>
      <c r="CD4" s="2"/>
      <c r="CE4" s="2">
        <f>IF(ISNUMBER(DCOUNTA(査読範囲,CC3,CC3:CC4)), DCOUNTA(査読範囲,CC3,CC3:CC4), 0)</f>
        <v>0</v>
      </c>
      <c r="CF4" s="2" t="s">
        <v>160</v>
      </c>
      <c r="CG4" s="2"/>
      <c r="CH4" s="2">
        <f>IF(ISNUMBER(DCOUNTA(査読範囲,CF3,CF3:CF4)), DCOUNTA(査読範囲,CF3,CF3:CF4), 0)</f>
        <v>0</v>
      </c>
      <c r="CI4" s="2" t="s">
        <v>161</v>
      </c>
      <c r="CJ4" s="2"/>
      <c r="CK4" s="2">
        <f>IF(ISNUMBER(DCOUNTA(査読範囲,CI3,CI3:CI4)), DCOUNTA(査読範囲,CI3,CI3:CI4), 0)</f>
        <v>0</v>
      </c>
      <c r="CL4" s="2" t="s">
        <v>162</v>
      </c>
      <c r="CM4" s="2"/>
      <c r="CN4" s="2">
        <f>IF(ISNUMBER(DCOUNTA(査読範囲,CL3,CL3:CL4)), DCOUNTA(査読範囲,CL3,CL3:CL4), 0)</f>
        <v>0</v>
      </c>
      <c r="CO4" s="2" t="s">
        <v>163</v>
      </c>
      <c r="CP4" s="2"/>
      <c r="CQ4" s="2">
        <f>IF(ISNUMBER(DCOUNTA(査読範囲,CO3,CO3:CO4)), DCOUNTA(査読範囲,CO3,CO3:CO4), 0)</f>
        <v>0</v>
      </c>
      <c r="CR4" s="2" t="s">
        <v>164</v>
      </c>
      <c r="CS4" s="2"/>
      <c r="CT4" s="2">
        <f>IF(ISNUMBER(DCOUNTA(査読範囲,CR3,CR3:CR4)), DCOUNTA(査読範囲,CR3,CR3:CR4), 0)</f>
        <v>0</v>
      </c>
      <c r="CU4" s="2" t="s">
        <v>165</v>
      </c>
      <c r="CV4" s="2"/>
      <c r="CW4" s="2">
        <f>IF(ISNUMBER(DCOUNTA(査読範囲,CU3,CU3:CU4)), DCOUNTA(査読範囲,CU3,CU3:CU4), 0)</f>
        <v>0</v>
      </c>
      <c r="CX4" s="2" t="s">
        <v>166</v>
      </c>
      <c r="CY4" s="2"/>
      <c r="CZ4" s="2">
        <f>IF(ISNUMBER(DCOUNTA(査読範囲,CX3,CX3:CX4)), DCOUNTA(査読範囲,CX3,CX3:CX4), 0)</f>
        <v>0</v>
      </c>
    </row>
    <row r="5" spans="1:104" ht="11.25" hidden="1" customHeight="1">
      <c r="A5"/>
      <c r="D5"/>
      <c r="E5"/>
      <c r="G5"/>
      <c r="H5"/>
      <c r="I5"/>
      <c r="J5"/>
      <c r="K5" s="44"/>
      <c r="L5" s="1" t="s">
        <v>50</v>
      </c>
      <c r="M5" s="3"/>
      <c r="N5" s="3" t="s">
        <v>135</v>
      </c>
      <c r="O5" s="1" t="s">
        <v>50</v>
      </c>
      <c r="P5" s="3"/>
      <c r="Q5" s="3" t="s">
        <v>135</v>
      </c>
      <c r="R5" s="1" t="s">
        <v>50</v>
      </c>
      <c r="S5" s="3"/>
      <c r="T5" s="3" t="s">
        <v>135</v>
      </c>
      <c r="U5" s="1" t="s">
        <v>50</v>
      </c>
      <c r="V5" s="3"/>
      <c r="W5" s="3" t="s">
        <v>135</v>
      </c>
      <c r="X5" s="1" t="s">
        <v>50</v>
      </c>
      <c r="Y5" s="3"/>
      <c r="Z5" s="3" t="s">
        <v>135</v>
      </c>
      <c r="AA5" s="1" t="s">
        <v>50</v>
      </c>
      <c r="AB5" s="3"/>
      <c r="AC5" s="3" t="s">
        <v>135</v>
      </c>
      <c r="AD5" s="1" t="s">
        <v>50</v>
      </c>
      <c r="AE5" s="3"/>
      <c r="AF5" s="3" t="s">
        <v>135</v>
      </c>
      <c r="AG5" s="1" t="s">
        <v>50</v>
      </c>
      <c r="AH5" s="3"/>
      <c r="AI5" s="3" t="s">
        <v>135</v>
      </c>
      <c r="AJ5" s="1" t="s">
        <v>50</v>
      </c>
      <c r="AK5" s="3"/>
      <c r="AL5" s="3" t="s">
        <v>135</v>
      </c>
      <c r="AM5" s="1" t="s">
        <v>50</v>
      </c>
      <c r="AN5" s="3"/>
      <c r="AO5" s="3" t="s">
        <v>135</v>
      </c>
      <c r="AP5" s="1" t="s">
        <v>50</v>
      </c>
      <c r="AQ5" s="3"/>
      <c r="AR5" s="3" t="s">
        <v>135</v>
      </c>
      <c r="AS5" s="1" t="s">
        <v>50</v>
      </c>
      <c r="AT5" s="3"/>
      <c r="AU5" s="3" t="s">
        <v>135</v>
      </c>
      <c r="AV5" s="1" t="s">
        <v>50</v>
      </c>
      <c r="AW5" s="3"/>
      <c r="AX5" s="3" t="s">
        <v>135</v>
      </c>
      <c r="AY5" s="1" t="s">
        <v>50</v>
      </c>
      <c r="AZ5" s="3"/>
      <c r="BA5" s="3" t="s">
        <v>135</v>
      </c>
      <c r="BB5" s="1" t="s">
        <v>50</v>
      </c>
      <c r="BC5" s="3"/>
      <c r="BD5" s="3" t="s">
        <v>135</v>
      </c>
      <c r="BE5" s="1" t="s">
        <v>50</v>
      </c>
      <c r="BF5" s="3"/>
      <c r="BG5" s="3" t="s">
        <v>135</v>
      </c>
      <c r="BH5" s="1" t="s">
        <v>50</v>
      </c>
      <c r="BI5" s="3"/>
      <c r="BJ5" s="3" t="s">
        <v>135</v>
      </c>
      <c r="BK5" s="1" t="s">
        <v>50</v>
      </c>
      <c r="BL5" s="3"/>
      <c r="BM5" s="3" t="s">
        <v>135</v>
      </c>
      <c r="BN5" s="1" t="s">
        <v>50</v>
      </c>
      <c r="BO5" s="3"/>
      <c r="BP5" s="3" t="s">
        <v>135</v>
      </c>
      <c r="BQ5" s="1" t="s">
        <v>50</v>
      </c>
      <c r="BR5" s="3"/>
      <c r="BS5" s="3" t="s">
        <v>135</v>
      </c>
      <c r="BT5" s="1" t="s">
        <v>50</v>
      </c>
      <c r="BU5" s="3"/>
      <c r="BV5" s="3" t="s">
        <v>135</v>
      </c>
      <c r="BW5" s="1" t="s">
        <v>50</v>
      </c>
      <c r="BX5" s="3"/>
      <c r="BY5" s="3" t="s">
        <v>135</v>
      </c>
      <c r="BZ5" s="1" t="s">
        <v>50</v>
      </c>
      <c r="CA5" s="3"/>
      <c r="CB5" s="3" t="s">
        <v>135</v>
      </c>
      <c r="CC5" s="1" t="s">
        <v>50</v>
      </c>
      <c r="CD5" s="3"/>
      <c r="CE5" s="3" t="s">
        <v>135</v>
      </c>
      <c r="CF5" s="1" t="s">
        <v>50</v>
      </c>
      <c r="CG5" s="3"/>
      <c r="CH5" s="3" t="s">
        <v>135</v>
      </c>
      <c r="CI5" s="1" t="s">
        <v>50</v>
      </c>
      <c r="CJ5" s="3"/>
      <c r="CK5" s="3" t="s">
        <v>135</v>
      </c>
      <c r="CL5" s="1" t="s">
        <v>50</v>
      </c>
      <c r="CM5" s="3"/>
      <c r="CN5" s="3" t="s">
        <v>135</v>
      </c>
      <c r="CO5" s="1" t="s">
        <v>50</v>
      </c>
      <c r="CP5" s="3"/>
      <c r="CQ5" s="3" t="s">
        <v>135</v>
      </c>
      <c r="CR5" s="1" t="s">
        <v>50</v>
      </c>
      <c r="CS5" s="3"/>
      <c r="CT5" s="3" t="s">
        <v>135</v>
      </c>
      <c r="CU5" s="1" t="s">
        <v>50</v>
      </c>
      <c r="CV5" s="3"/>
      <c r="CW5" s="3" t="s">
        <v>135</v>
      </c>
      <c r="CX5" s="1" t="s">
        <v>50</v>
      </c>
      <c r="CY5" s="3"/>
      <c r="CZ5" s="3" t="s">
        <v>135</v>
      </c>
    </row>
    <row r="6" spans="1:104" ht="11.25" hidden="1" customHeight="1">
      <c r="A6"/>
      <c r="D6"/>
      <c r="E6"/>
      <c r="G6"/>
      <c r="H6"/>
      <c r="I6"/>
      <c r="J6"/>
      <c r="K6" s="44"/>
      <c r="L6" s="2" t="s">
        <v>167</v>
      </c>
      <c r="M6" s="2"/>
      <c r="N6" s="2">
        <f>IF(ISNUMBER(DCOUNTA(査読範囲,L5,L5:L6)), DCOUNTA(査読範囲,L5,L5:L6), 0)</f>
        <v>0</v>
      </c>
      <c r="O6" s="2" t="s">
        <v>168</v>
      </c>
      <c r="P6" s="2"/>
      <c r="Q6" s="2">
        <f>IF(ISNUMBER(DCOUNTA(査読範囲,O5,O5:O6)), DCOUNTA(査読範囲,O5,O5:O6), 0)</f>
        <v>0</v>
      </c>
      <c r="R6" s="2" t="s">
        <v>169</v>
      </c>
      <c r="S6" s="2"/>
      <c r="T6" s="2">
        <f>IF(ISNUMBER(DCOUNTA(査読範囲,R5,R5:R6)), DCOUNTA(査読範囲,R5,R5:R6), 0)</f>
        <v>0</v>
      </c>
      <c r="U6" s="2" t="s">
        <v>170</v>
      </c>
      <c r="V6" s="2"/>
      <c r="W6" s="2">
        <f>IF(ISNUMBER(DCOUNTA(査読範囲,U5,U5:U6)), DCOUNTA(査読範囲,U5,U5:U6), 0)</f>
        <v>0</v>
      </c>
      <c r="X6" s="2" t="s">
        <v>171</v>
      </c>
      <c r="Y6" s="2"/>
      <c r="Z6" s="2">
        <f>IF(ISNUMBER(DCOUNTA(査読範囲,X5,X5:X6)), DCOUNTA(査読範囲,X5,X5:X6), 0)</f>
        <v>0</v>
      </c>
      <c r="AA6" s="2" t="s">
        <v>172</v>
      </c>
      <c r="AB6" s="2"/>
      <c r="AC6" s="2">
        <f>IF(ISNUMBER(DCOUNTA(査読範囲,AA5,AA5:AA6)), DCOUNTA(査読範囲,AA5,AA5:AA6), 0)</f>
        <v>0</v>
      </c>
      <c r="AD6" s="2" t="s">
        <v>173</v>
      </c>
      <c r="AE6" s="2"/>
      <c r="AF6" s="2">
        <f>IF(ISNUMBER(DCOUNTA(査読範囲,AD5,AD5:AD6)), DCOUNTA(査読範囲,AD5,AD5:AD6), 0)</f>
        <v>0</v>
      </c>
      <c r="AG6" s="2" t="s">
        <v>174</v>
      </c>
      <c r="AH6" s="2"/>
      <c r="AI6" s="2">
        <f>IF(ISNUMBER(DCOUNTA(査読範囲,AG5,AG5:AG6)), DCOUNTA(査読範囲,AG5,AG5:AG6), 0)</f>
        <v>0</v>
      </c>
      <c r="AJ6" s="2" t="s">
        <v>175</v>
      </c>
      <c r="AK6" s="2"/>
      <c r="AL6" s="2">
        <f>IF(ISNUMBER(DCOUNTA(査読範囲,AJ5,AJ5:AJ6)), DCOUNTA(査読範囲,AJ5,AJ5:AJ6), 0)</f>
        <v>0</v>
      </c>
      <c r="AM6" s="2" t="s">
        <v>176</v>
      </c>
      <c r="AN6" s="2"/>
      <c r="AO6" s="2">
        <f>IF(ISNUMBER(DCOUNTA(査読範囲,AM5,AM5:AM6)), DCOUNTA(査読範囲,AM5,AM5:AM6), 0)</f>
        <v>0</v>
      </c>
      <c r="AP6" s="2" t="s">
        <v>177</v>
      </c>
      <c r="AQ6" s="2"/>
      <c r="AR6" s="2">
        <f>IF(ISNUMBER(DCOUNTA(査読範囲,AP5,AP5:AP6)), DCOUNTA(査読範囲,AP5,AP5:AP6), 0)</f>
        <v>0</v>
      </c>
      <c r="AS6" s="2" t="s">
        <v>178</v>
      </c>
      <c r="AT6" s="2"/>
      <c r="AU6" s="2">
        <f>IF(ISNUMBER(DCOUNTA(査読範囲,AS5,AS5:AS6)), DCOUNTA(査読範囲,AS5,AS5:AS6), 0)</f>
        <v>0</v>
      </c>
      <c r="AV6" s="2" t="s">
        <v>179</v>
      </c>
      <c r="AW6" s="2"/>
      <c r="AX6" s="2">
        <f>IF(ISNUMBER(DCOUNTA(査読範囲,AV5,AV5:AV6)), DCOUNTA(査読範囲,AV5,AV5:AV6), 0)</f>
        <v>0</v>
      </c>
      <c r="AY6" s="2" t="s">
        <v>180</v>
      </c>
      <c r="AZ6" s="2"/>
      <c r="BA6" s="2">
        <f>IF(ISNUMBER(DCOUNTA(査読範囲,AY5,AY5:AY6)), DCOUNTA(査読範囲,AY5,AY5:AY6), 0)</f>
        <v>0</v>
      </c>
      <c r="BB6" s="2" t="s">
        <v>181</v>
      </c>
      <c r="BC6" s="2"/>
      <c r="BD6" s="2">
        <f>IF(ISNUMBER(DCOUNTA(査読範囲,BB5,BB5:BB6)), DCOUNTA(査読範囲,BB5,BB5:BB6), 0)</f>
        <v>0</v>
      </c>
      <c r="BE6" s="2" t="s">
        <v>182</v>
      </c>
      <c r="BF6" s="2"/>
      <c r="BG6" s="2">
        <f>IF(ISNUMBER(DCOUNTA(査読範囲,BE5,BE5:BE6)), DCOUNTA(査読範囲,BE5,BE5:BE6), 0)</f>
        <v>0</v>
      </c>
      <c r="BH6" s="2" t="s">
        <v>183</v>
      </c>
      <c r="BI6" s="2"/>
      <c r="BJ6" s="2">
        <f>IF(ISNUMBER(DCOUNTA(査読範囲,BH5,BH5:BH6)), DCOUNTA(査読範囲,BH5,BH5:BH6), 0)</f>
        <v>0</v>
      </c>
      <c r="BK6" s="2" t="s">
        <v>184</v>
      </c>
      <c r="BL6" s="2"/>
      <c r="BM6" s="2">
        <f>IF(ISNUMBER(DCOUNTA(査読範囲,BK5,BK5:BK6)), DCOUNTA(査読範囲,BK5,BK5:BK6), 0)</f>
        <v>0</v>
      </c>
      <c r="BN6" s="2" t="s">
        <v>185</v>
      </c>
      <c r="BO6" s="2"/>
      <c r="BP6" s="2">
        <f>IF(ISNUMBER(DCOUNTA(査読範囲,BN5,BN5:BN6)), DCOUNTA(査読範囲,BN5,BN5:BN6), 0)</f>
        <v>0</v>
      </c>
      <c r="BQ6" s="2" t="s">
        <v>186</v>
      </c>
      <c r="BR6" s="2"/>
      <c r="BS6" s="2">
        <f>IF(ISNUMBER(DCOUNTA(査読範囲,BQ5,BQ5:BQ6)), DCOUNTA(査読範囲,BQ5,BQ5:BQ6), 0)</f>
        <v>0</v>
      </c>
      <c r="BT6" s="2" t="s">
        <v>187</v>
      </c>
      <c r="BU6" s="2"/>
      <c r="BV6" s="2">
        <f>IF(ISNUMBER(DCOUNTA(査読範囲,BT5,BT5:BT6)), DCOUNTA(査読範囲,BT5,BT5:BT6), 0)</f>
        <v>0</v>
      </c>
      <c r="BW6" s="2" t="s">
        <v>188</v>
      </c>
      <c r="BX6" s="2"/>
      <c r="BY6" s="2">
        <f>IF(ISNUMBER(DCOUNTA(査読範囲,BW5,BW5:BW6)), DCOUNTA(査読範囲,BW5,BW5:BW6), 0)</f>
        <v>0</v>
      </c>
      <c r="BZ6" s="2" t="s">
        <v>189</v>
      </c>
      <c r="CA6" s="2"/>
      <c r="CB6" s="2">
        <f>IF(ISNUMBER(DCOUNTA(査読範囲,BZ5,BZ5:BZ6)), DCOUNTA(査読範囲,BZ5,BZ5:BZ6), 0)</f>
        <v>0</v>
      </c>
      <c r="CC6" s="2" t="s">
        <v>190</v>
      </c>
      <c r="CD6" s="2"/>
      <c r="CE6" s="2">
        <f>IF(ISNUMBER(DCOUNTA(査読範囲,CC5,CC5:CC6)), DCOUNTA(査読範囲,CC5,CC5:CC6), 0)</f>
        <v>0</v>
      </c>
      <c r="CF6" s="2" t="s">
        <v>191</v>
      </c>
      <c r="CG6" s="2"/>
      <c r="CH6" s="2">
        <f>IF(ISNUMBER(DCOUNTA(査読範囲,CF5,CF5:CF6)), DCOUNTA(査読範囲,CF5,CF5:CF6), 0)</f>
        <v>0</v>
      </c>
      <c r="CI6" s="2" t="s">
        <v>192</v>
      </c>
      <c r="CJ6" s="2"/>
      <c r="CK6" s="2">
        <f>IF(ISNUMBER(DCOUNTA(査読範囲,CI5,CI5:CI6)), DCOUNTA(査読範囲,CI5,CI5:CI6), 0)</f>
        <v>0</v>
      </c>
      <c r="CL6" s="2" t="s">
        <v>193</v>
      </c>
      <c r="CM6" s="2"/>
      <c r="CN6" s="2">
        <f>IF(ISNUMBER(DCOUNTA(査読範囲,CL5,CL5:CL6)), DCOUNTA(査読範囲,CL5,CL5:CL6), 0)</f>
        <v>0</v>
      </c>
      <c r="CO6" s="2" t="s">
        <v>194</v>
      </c>
      <c r="CP6" s="2"/>
      <c r="CQ6" s="2">
        <f>IF(ISNUMBER(DCOUNTA(査読範囲,CO5,CO5:CO6)), DCOUNTA(査読範囲,CO5,CO5:CO6), 0)</f>
        <v>0</v>
      </c>
      <c r="CR6" s="2" t="s">
        <v>195</v>
      </c>
      <c r="CS6" s="2"/>
      <c r="CT6" s="2">
        <f>IF(ISNUMBER(DCOUNTA(査読範囲,CR5,CR5:CR6)), DCOUNTA(査読範囲,CR5,CR5:CR6), 0)</f>
        <v>0</v>
      </c>
      <c r="CU6" s="2" t="s">
        <v>196</v>
      </c>
      <c r="CV6" s="2"/>
      <c r="CW6" s="2">
        <f>IF(ISNUMBER(DCOUNTA(査読範囲,CU5,CU5:CU6)), DCOUNTA(査読範囲,CU5,CU5:CU6), 0)</f>
        <v>0</v>
      </c>
      <c r="CX6" s="2" t="s">
        <v>197</v>
      </c>
      <c r="CY6" s="2"/>
      <c r="CZ6" s="2">
        <f>IF(ISNUMBER(DCOUNTA(査読範囲,CX5,CX5:CX6)), DCOUNTA(査読範囲,CX5,CX5:CX6), 0)</f>
        <v>0</v>
      </c>
    </row>
    <row r="7" spans="1:104" ht="11.25" hidden="1" customHeight="1">
      <c r="A7"/>
      <c r="D7"/>
      <c r="E7"/>
      <c r="G7"/>
      <c r="H7"/>
      <c r="I7"/>
      <c r="J7"/>
      <c r="K7" s="44"/>
      <c r="L7" s="1" t="s">
        <v>50</v>
      </c>
      <c r="M7" s="3"/>
      <c r="N7" s="3" t="s">
        <v>135</v>
      </c>
      <c r="O7" s="1" t="s">
        <v>50</v>
      </c>
      <c r="P7" s="3"/>
      <c r="Q7" s="3" t="s">
        <v>135</v>
      </c>
      <c r="R7" s="1" t="s">
        <v>50</v>
      </c>
      <c r="S7" s="3"/>
      <c r="T7" s="3" t="s">
        <v>135</v>
      </c>
      <c r="U7" s="1" t="s">
        <v>50</v>
      </c>
      <c r="V7" s="3"/>
      <c r="W7" s="3" t="s">
        <v>135</v>
      </c>
      <c r="X7" s="1" t="s">
        <v>50</v>
      </c>
      <c r="Y7" s="3"/>
      <c r="Z7" s="3" t="s">
        <v>135</v>
      </c>
      <c r="AA7" s="1" t="s">
        <v>50</v>
      </c>
      <c r="AB7" s="3"/>
      <c r="AC7" s="3" t="s">
        <v>135</v>
      </c>
      <c r="AD7" s="1" t="s">
        <v>50</v>
      </c>
      <c r="AE7" s="3"/>
      <c r="AF7" s="3" t="s">
        <v>135</v>
      </c>
      <c r="AG7" s="1" t="s">
        <v>50</v>
      </c>
      <c r="AH7" s="3"/>
      <c r="AI7" s="3" t="s">
        <v>135</v>
      </c>
      <c r="AJ7" s="1" t="s">
        <v>50</v>
      </c>
      <c r="AK7" s="3"/>
      <c r="AL7" s="3" t="s">
        <v>135</v>
      </c>
      <c r="AM7" s="1" t="s">
        <v>50</v>
      </c>
      <c r="AN7" s="3"/>
      <c r="AO7" s="3" t="s">
        <v>135</v>
      </c>
      <c r="AP7" s="1" t="s">
        <v>50</v>
      </c>
      <c r="AQ7" s="3"/>
      <c r="AR7" s="3" t="s">
        <v>135</v>
      </c>
      <c r="AS7" s="1" t="s">
        <v>50</v>
      </c>
      <c r="AT7" s="3"/>
      <c r="AU7" s="3" t="s">
        <v>135</v>
      </c>
      <c r="AV7" s="1" t="s">
        <v>50</v>
      </c>
      <c r="AW7" s="3"/>
      <c r="AX7" s="3" t="s">
        <v>135</v>
      </c>
      <c r="AY7" s="1" t="s">
        <v>50</v>
      </c>
      <c r="AZ7" s="3"/>
      <c r="BA7" s="3" t="s">
        <v>135</v>
      </c>
      <c r="BB7" s="1" t="s">
        <v>50</v>
      </c>
      <c r="BC7" s="3"/>
      <c r="BD7" s="3" t="s">
        <v>135</v>
      </c>
      <c r="BE7" s="1" t="s">
        <v>50</v>
      </c>
      <c r="BF7" s="3"/>
      <c r="BG7" s="3" t="s">
        <v>135</v>
      </c>
      <c r="BH7" s="1" t="s">
        <v>50</v>
      </c>
      <c r="BI7" s="3"/>
      <c r="BJ7" s="3" t="s">
        <v>135</v>
      </c>
      <c r="BK7" s="1" t="s">
        <v>50</v>
      </c>
      <c r="BL7" s="3"/>
      <c r="BM7" s="3" t="s">
        <v>135</v>
      </c>
      <c r="BN7" s="1" t="s">
        <v>50</v>
      </c>
      <c r="BO7" s="3"/>
      <c r="BP7" s="3" t="s">
        <v>135</v>
      </c>
      <c r="BQ7" s="1" t="s">
        <v>50</v>
      </c>
      <c r="BR7" s="3"/>
      <c r="BS7" s="3" t="s">
        <v>135</v>
      </c>
      <c r="BT7" s="1" t="s">
        <v>50</v>
      </c>
      <c r="BU7" s="3"/>
      <c r="BV7" s="3" t="s">
        <v>135</v>
      </c>
      <c r="BW7" s="1" t="s">
        <v>50</v>
      </c>
      <c r="BX7" s="3"/>
      <c r="BY7" s="3" t="s">
        <v>135</v>
      </c>
      <c r="BZ7" s="1" t="s">
        <v>50</v>
      </c>
      <c r="CA7" s="3"/>
      <c r="CB7" s="3" t="s">
        <v>135</v>
      </c>
      <c r="CC7" s="1" t="s">
        <v>50</v>
      </c>
      <c r="CD7" s="3"/>
      <c r="CE7" s="3" t="s">
        <v>135</v>
      </c>
      <c r="CF7" s="1" t="s">
        <v>50</v>
      </c>
      <c r="CG7" s="3"/>
      <c r="CH7" s="3" t="s">
        <v>135</v>
      </c>
      <c r="CI7" s="1" t="s">
        <v>50</v>
      </c>
      <c r="CJ7" s="3"/>
      <c r="CK7" s="3" t="s">
        <v>135</v>
      </c>
      <c r="CL7" s="1" t="s">
        <v>50</v>
      </c>
      <c r="CM7" s="3"/>
      <c r="CN7" s="3" t="s">
        <v>135</v>
      </c>
      <c r="CO7" s="1" t="s">
        <v>50</v>
      </c>
      <c r="CP7" s="3"/>
      <c r="CQ7" s="3" t="s">
        <v>135</v>
      </c>
      <c r="CR7" s="1" t="s">
        <v>50</v>
      </c>
      <c r="CS7" s="3"/>
      <c r="CT7" s="3" t="s">
        <v>135</v>
      </c>
      <c r="CU7" s="1" t="s">
        <v>50</v>
      </c>
      <c r="CV7" s="3"/>
      <c r="CW7" s="3" t="s">
        <v>135</v>
      </c>
      <c r="CX7" s="1" t="s">
        <v>50</v>
      </c>
      <c r="CY7" s="3"/>
      <c r="CZ7" s="3" t="s">
        <v>135</v>
      </c>
    </row>
    <row r="8" spans="1:104" ht="11.25" hidden="1" customHeight="1">
      <c r="A8"/>
      <c r="D8"/>
      <c r="E8"/>
      <c r="G8"/>
      <c r="H8"/>
      <c r="I8"/>
      <c r="J8"/>
      <c r="K8" s="44"/>
      <c r="L8" s="2" t="s">
        <v>198</v>
      </c>
      <c r="M8" s="2"/>
      <c r="N8" s="2">
        <f>IF(ISNUMBER(DCOUNTA(査読範囲,L7,L7:L8)), DCOUNTA(査読範囲,L7,L7:L8), 0)</f>
        <v>0</v>
      </c>
      <c r="O8" s="2" t="s">
        <v>198</v>
      </c>
      <c r="P8" s="2"/>
      <c r="Q8" s="2">
        <f>IF(ISNUMBER(DCOUNTA(査読範囲,O7,O7:O8)), DCOUNTA(査読範囲,O7,O7:O8), 0)</f>
        <v>0</v>
      </c>
      <c r="R8" s="2" t="s">
        <v>199</v>
      </c>
      <c r="S8" s="2"/>
      <c r="T8" s="2">
        <f>IF(ISNUMBER(DCOUNTA(査読範囲,R7,R7:R8)), DCOUNTA(査読範囲,R7,R7:R8), 0)</f>
        <v>0</v>
      </c>
      <c r="U8" s="2" t="s">
        <v>200</v>
      </c>
      <c r="V8" s="2"/>
      <c r="W8" s="2">
        <f>IF(ISNUMBER(DCOUNTA(査読範囲,U7,U7:U8)), DCOUNTA(査読範囲,U7,U7:U8), 0)</f>
        <v>0</v>
      </c>
      <c r="X8" s="2" t="s">
        <v>201</v>
      </c>
      <c r="Y8" s="2"/>
      <c r="Z8" s="2">
        <f>IF(ISNUMBER(DCOUNTA(査読範囲,X7,X7:X8)), DCOUNTA(査読範囲,X7,X7:X8), 0)</f>
        <v>0</v>
      </c>
      <c r="AA8" s="2" t="s">
        <v>202</v>
      </c>
      <c r="AB8" s="2"/>
      <c r="AC8" s="2">
        <f>IF(ISNUMBER(DCOUNTA(査読範囲,AA7,AA7:AA8)), DCOUNTA(査読範囲,AA7,AA7:AA8), 0)</f>
        <v>0</v>
      </c>
      <c r="AD8" s="2" t="s">
        <v>203</v>
      </c>
      <c r="AE8" s="2"/>
      <c r="AF8" s="2">
        <f>IF(ISNUMBER(DCOUNTA(査読範囲,AD7,AD7:AD8)), DCOUNTA(査読範囲,AD7,AD7:AD8), 0)</f>
        <v>0</v>
      </c>
      <c r="AG8" s="2" t="s">
        <v>204</v>
      </c>
      <c r="AH8" s="2"/>
      <c r="AI8" s="2">
        <f>IF(ISNUMBER(DCOUNTA(査読範囲,AG7,AG7:AG8)), DCOUNTA(査読範囲,AG7,AG7:AG8), 0)</f>
        <v>0</v>
      </c>
      <c r="AJ8" s="2" t="s">
        <v>205</v>
      </c>
      <c r="AK8" s="2"/>
      <c r="AL8" s="2">
        <f>IF(ISNUMBER(DCOUNTA(査読範囲,AJ7,AJ7:AJ8)), DCOUNTA(査読範囲,AJ7,AJ7:AJ8), 0)</f>
        <v>0</v>
      </c>
      <c r="AM8" s="2" t="s">
        <v>206</v>
      </c>
      <c r="AN8" s="2"/>
      <c r="AO8" s="2">
        <f>IF(ISNUMBER(DCOUNTA(査読範囲,AM7,AM7:AM8)), DCOUNTA(査読範囲,AM7,AM7:AM8), 0)</f>
        <v>0</v>
      </c>
      <c r="AP8" s="2" t="s">
        <v>207</v>
      </c>
      <c r="AQ8" s="2"/>
      <c r="AR8" s="2">
        <f>IF(ISNUMBER(DCOUNTA(査読範囲,AP7,AP7:AP8)), DCOUNTA(査読範囲,AP7,AP7:AP8), 0)</f>
        <v>0</v>
      </c>
      <c r="AS8" s="2" t="s">
        <v>208</v>
      </c>
      <c r="AT8" s="2"/>
      <c r="AU8" s="2">
        <f>IF(ISNUMBER(DCOUNTA(査読範囲,AS7,AS7:AS8)), DCOUNTA(査読範囲,AS7,AS7:AS8), 0)</f>
        <v>0</v>
      </c>
      <c r="AV8" s="2" t="s">
        <v>209</v>
      </c>
      <c r="AW8" s="2"/>
      <c r="AX8" s="2">
        <f>IF(ISNUMBER(DCOUNTA(査読範囲,AV7,AV7:AV8)), DCOUNTA(査読範囲,AV7,AV7:AV8), 0)</f>
        <v>0</v>
      </c>
      <c r="AY8" s="2" t="s">
        <v>210</v>
      </c>
      <c r="AZ8" s="2"/>
      <c r="BA8" s="2">
        <f>IF(ISNUMBER(DCOUNTA(査読範囲,AY7,AY7:AY8)), DCOUNTA(査読範囲,AY7,AY7:AY8), 0)</f>
        <v>0</v>
      </c>
      <c r="BB8" s="2" t="s">
        <v>211</v>
      </c>
      <c r="BC8" s="2"/>
      <c r="BD8" s="2">
        <f>IF(ISNUMBER(DCOUNTA(査読範囲,BB7,BB7:BB8)), DCOUNTA(査読範囲,BB7,BB7:BB8), 0)</f>
        <v>0</v>
      </c>
      <c r="BE8" s="2" t="s">
        <v>212</v>
      </c>
      <c r="BF8" s="2"/>
      <c r="BG8" s="2">
        <f>IF(ISNUMBER(DCOUNTA(査読範囲,BE7,BE7:BE8)), DCOUNTA(査読範囲,BE7,BE7:BE8), 0)</f>
        <v>0</v>
      </c>
      <c r="BH8" s="2" t="s">
        <v>213</v>
      </c>
      <c r="BI8" s="2"/>
      <c r="BJ8" s="2">
        <f>IF(ISNUMBER(DCOUNTA(査読範囲,BH7,BH7:BH8)), DCOUNTA(査読範囲,BH7,BH7:BH8), 0)</f>
        <v>0</v>
      </c>
      <c r="BK8" s="2" t="s">
        <v>214</v>
      </c>
      <c r="BL8" s="2"/>
      <c r="BM8" s="2">
        <f>IF(ISNUMBER(DCOUNTA(査読範囲,BK7,BK7:BK8)), DCOUNTA(査読範囲,BK7,BK7:BK8), 0)</f>
        <v>0</v>
      </c>
      <c r="BN8" s="2" t="s">
        <v>215</v>
      </c>
      <c r="BO8" s="2"/>
      <c r="BP8" s="2">
        <f>IF(ISNUMBER(DCOUNTA(査読範囲,BN7,BN7:BN8)), DCOUNTA(査読範囲,BN7,BN7:BN8), 0)</f>
        <v>0</v>
      </c>
      <c r="BQ8" s="2" t="s">
        <v>216</v>
      </c>
      <c r="BR8" s="2"/>
      <c r="BS8" s="2">
        <f>IF(ISNUMBER(DCOUNTA(査読範囲,BQ7,BQ7:BQ8)), DCOUNTA(査読範囲,BQ7,BQ7:BQ8), 0)</f>
        <v>0</v>
      </c>
      <c r="BT8" s="2" t="s">
        <v>217</v>
      </c>
      <c r="BU8" s="2"/>
      <c r="BV8" s="2">
        <f>IF(ISNUMBER(DCOUNTA(査読範囲,BT7,BT7:BT8)), DCOUNTA(査読範囲,BT7,BT7:BT8), 0)</f>
        <v>0</v>
      </c>
      <c r="BW8" s="2" t="s">
        <v>218</v>
      </c>
      <c r="BX8" s="2"/>
      <c r="BY8" s="2">
        <f>IF(ISNUMBER(DCOUNTA(査読範囲,BW7,BW7:BW8)), DCOUNTA(査読範囲,BW7,BW7:BW8), 0)</f>
        <v>0</v>
      </c>
      <c r="BZ8" s="2" t="s">
        <v>219</v>
      </c>
      <c r="CA8" s="2"/>
      <c r="CB8" s="2">
        <f>IF(ISNUMBER(DCOUNTA(査読範囲,BZ7,BZ7:BZ8)), DCOUNTA(査読範囲,BZ7,BZ7:BZ8), 0)</f>
        <v>0</v>
      </c>
      <c r="CC8" s="2" t="s">
        <v>220</v>
      </c>
      <c r="CD8" s="2"/>
      <c r="CE8" s="2">
        <f>IF(ISNUMBER(DCOUNTA(査読範囲,CC7,CC7:CC8)), DCOUNTA(査読範囲,CC7,CC7:CC8), 0)</f>
        <v>0</v>
      </c>
      <c r="CF8" s="2" t="s">
        <v>221</v>
      </c>
      <c r="CG8" s="2"/>
      <c r="CH8" s="2">
        <f>IF(ISNUMBER(DCOUNTA(査読範囲,CF7,CF7:CF8)), DCOUNTA(査読範囲,CF7,CF7:CF8), 0)</f>
        <v>0</v>
      </c>
      <c r="CI8" s="2" t="s">
        <v>222</v>
      </c>
      <c r="CJ8" s="2"/>
      <c r="CK8" s="2">
        <f>IF(ISNUMBER(DCOUNTA(査読範囲,CI7,CI7:CI8)), DCOUNTA(査読範囲,CI7,CI7:CI8), 0)</f>
        <v>0</v>
      </c>
      <c r="CL8" s="2" t="s">
        <v>223</v>
      </c>
      <c r="CM8" s="2"/>
      <c r="CN8" s="2">
        <f>IF(ISNUMBER(DCOUNTA(査読範囲,CL7,CL7:CL8)), DCOUNTA(査読範囲,CL7,CL7:CL8), 0)</f>
        <v>0</v>
      </c>
      <c r="CO8" s="2" t="s">
        <v>224</v>
      </c>
      <c r="CP8" s="2"/>
      <c r="CQ8" s="2">
        <f>IF(ISNUMBER(DCOUNTA(査読範囲,CO7,CO7:CO8)), DCOUNTA(査読範囲,CO7,CO7:CO8), 0)</f>
        <v>0</v>
      </c>
      <c r="CR8" s="2" t="s">
        <v>225</v>
      </c>
      <c r="CS8" s="2"/>
      <c r="CT8" s="2">
        <f>IF(ISNUMBER(DCOUNTA(査読範囲,CR7,CR7:CR8)), DCOUNTA(査読範囲,CR7,CR7:CR8), 0)</f>
        <v>0</v>
      </c>
      <c r="CU8" s="2" t="s">
        <v>226</v>
      </c>
      <c r="CV8" s="2"/>
      <c r="CW8" s="2">
        <f>IF(ISNUMBER(DCOUNTA(査読範囲,CU7,CU7:CU8)), DCOUNTA(査読範囲,CU7,CU7:CU8), 0)</f>
        <v>0</v>
      </c>
      <c r="CX8" s="2" t="s">
        <v>227</v>
      </c>
      <c r="CY8" s="2"/>
      <c r="CZ8" s="2">
        <f>IF(ISNUMBER(DCOUNTA(査読範囲,CX7,CX7:CX8)), DCOUNTA(査読範囲,CX7,CX7:CX8), 0)</f>
        <v>0</v>
      </c>
    </row>
    <row r="9" spans="1:104" ht="11.25" hidden="1" customHeight="1">
      <c r="A9"/>
      <c r="D9"/>
      <c r="E9"/>
      <c r="G9"/>
      <c r="H9"/>
      <c r="I9"/>
      <c r="J9"/>
      <c r="K9" s="44"/>
      <c r="L9" s="1" t="s">
        <v>50</v>
      </c>
      <c r="M9" s="3"/>
      <c r="N9" s="3" t="s">
        <v>135</v>
      </c>
      <c r="O9" s="1" t="s">
        <v>50</v>
      </c>
      <c r="P9" s="3"/>
      <c r="Q9" s="3" t="s">
        <v>135</v>
      </c>
      <c r="R9" s="1" t="s">
        <v>50</v>
      </c>
      <c r="S9" s="3"/>
      <c r="T9" s="3" t="s">
        <v>135</v>
      </c>
      <c r="U9" s="1" t="s">
        <v>50</v>
      </c>
      <c r="V9" s="3"/>
      <c r="W9" s="3" t="s">
        <v>135</v>
      </c>
      <c r="X9" s="1" t="s">
        <v>50</v>
      </c>
      <c r="Y9" s="3"/>
      <c r="Z9" s="3" t="s">
        <v>135</v>
      </c>
      <c r="AA9" s="1" t="s">
        <v>50</v>
      </c>
      <c r="AB9" s="3"/>
      <c r="AC9" s="3" t="s">
        <v>135</v>
      </c>
      <c r="AD9" s="1" t="s">
        <v>50</v>
      </c>
      <c r="AE9" s="3"/>
      <c r="AF9" s="3" t="s">
        <v>135</v>
      </c>
      <c r="AG9" s="1" t="s">
        <v>50</v>
      </c>
      <c r="AH9" s="3"/>
      <c r="AI9" s="3" t="s">
        <v>135</v>
      </c>
      <c r="AJ9" s="1" t="s">
        <v>50</v>
      </c>
      <c r="AK9" s="3"/>
      <c r="AL9" s="3" t="s">
        <v>135</v>
      </c>
      <c r="AM9" s="1" t="s">
        <v>50</v>
      </c>
      <c r="AN9" s="3"/>
      <c r="AO9" s="3" t="s">
        <v>135</v>
      </c>
      <c r="AP9" s="1" t="s">
        <v>50</v>
      </c>
      <c r="AQ9" s="3"/>
      <c r="AR9" s="3" t="s">
        <v>135</v>
      </c>
      <c r="AS9" s="1" t="s">
        <v>50</v>
      </c>
      <c r="AT9" s="3"/>
      <c r="AU9" s="3" t="s">
        <v>135</v>
      </c>
      <c r="AV9" s="1" t="s">
        <v>50</v>
      </c>
      <c r="AW9" s="3"/>
      <c r="AX9" s="3" t="s">
        <v>135</v>
      </c>
      <c r="AY9" s="1" t="s">
        <v>50</v>
      </c>
      <c r="AZ9" s="3"/>
      <c r="BA9" s="3" t="s">
        <v>135</v>
      </c>
      <c r="BB9" s="1" t="s">
        <v>50</v>
      </c>
      <c r="BC9" s="3"/>
      <c r="BD9" s="3" t="s">
        <v>135</v>
      </c>
      <c r="BE9" s="1" t="s">
        <v>50</v>
      </c>
      <c r="BF9" s="3"/>
      <c r="BG9" s="3" t="s">
        <v>135</v>
      </c>
      <c r="BH9" s="1" t="s">
        <v>50</v>
      </c>
      <c r="BI9" s="3"/>
      <c r="BJ9" s="3" t="s">
        <v>135</v>
      </c>
      <c r="BK9" s="1" t="s">
        <v>50</v>
      </c>
      <c r="BL9" s="3"/>
      <c r="BM9" s="3" t="s">
        <v>135</v>
      </c>
      <c r="BN9" s="1" t="s">
        <v>50</v>
      </c>
      <c r="BO9" s="3"/>
      <c r="BP9" s="3" t="s">
        <v>135</v>
      </c>
      <c r="BQ9" s="1" t="s">
        <v>50</v>
      </c>
      <c r="BR9" s="3"/>
      <c r="BS9" s="3" t="s">
        <v>135</v>
      </c>
      <c r="BT9" s="1" t="s">
        <v>50</v>
      </c>
      <c r="BU9" s="3"/>
      <c r="BV9" s="3" t="s">
        <v>135</v>
      </c>
      <c r="BW9" s="1" t="s">
        <v>50</v>
      </c>
      <c r="BX9" s="3"/>
      <c r="BY9" s="3" t="s">
        <v>135</v>
      </c>
      <c r="BZ9" s="1" t="s">
        <v>50</v>
      </c>
      <c r="CA9" s="3"/>
      <c r="CB9" s="3" t="s">
        <v>135</v>
      </c>
      <c r="CC9" s="1" t="s">
        <v>50</v>
      </c>
      <c r="CD9" s="3"/>
      <c r="CE9" s="3" t="s">
        <v>135</v>
      </c>
      <c r="CF9" s="1" t="s">
        <v>50</v>
      </c>
      <c r="CG9" s="3"/>
      <c r="CH9" s="3" t="s">
        <v>135</v>
      </c>
      <c r="CI9" s="1" t="s">
        <v>50</v>
      </c>
      <c r="CJ9" s="3"/>
      <c r="CK9" s="3" t="s">
        <v>135</v>
      </c>
      <c r="CL9" s="1" t="s">
        <v>50</v>
      </c>
      <c r="CM9" s="3"/>
      <c r="CN9" s="3" t="s">
        <v>135</v>
      </c>
      <c r="CO9" s="1" t="s">
        <v>50</v>
      </c>
      <c r="CP9" s="3"/>
      <c r="CQ9" s="3" t="s">
        <v>135</v>
      </c>
      <c r="CR9" s="1" t="s">
        <v>50</v>
      </c>
      <c r="CS9" s="3"/>
      <c r="CT9" s="3" t="s">
        <v>135</v>
      </c>
      <c r="CU9" s="1" t="s">
        <v>50</v>
      </c>
      <c r="CV9" s="3"/>
      <c r="CW9" s="3" t="s">
        <v>135</v>
      </c>
      <c r="CX9" s="1" t="s">
        <v>50</v>
      </c>
      <c r="CY9" s="3"/>
      <c r="CZ9" s="3" t="s">
        <v>135</v>
      </c>
    </row>
    <row r="10" spans="1:104" ht="11.25" hidden="1" customHeight="1">
      <c r="A10"/>
      <c r="D10"/>
      <c r="E10"/>
      <c r="G10"/>
      <c r="H10"/>
      <c r="I10"/>
      <c r="J10"/>
      <c r="K10" s="44"/>
      <c r="L10" s="2" t="s">
        <v>228</v>
      </c>
      <c r="M10" s="2"/>
      <c r="N10" s="123"/>
      <c r="O10" s="2" t="s">
        <v>229</v>
      </c>
      <c r="P10" s="2"/>
      <c r="Q10" s="123"/>
      <c r="R10" s="2" t="s">
        <v>230</v>
      </c>
      <c r="S10" s="2"/>
      <c r="T10" s="123"/>
      <c r="U10" s="2" t="s">
        <v>231</v>
      </c>
      <c r="V10" s="2"/>
      <c r="W10" s="2">
        <f>IF(ISNUMBER(DCOUNTA(査読範囲,U9,U9:U10)), DCOUNTA(査読範囲,U9,U9:U10), 0)</f>
        <v>0</v>
      </c>
      <c r="X10" s="2" t="s">
        <v>232</v>
      </c>
      <c r="Y10" s="2"/>
      <c r="Z10" s="2">
        <f>IF(ISNUMBER(DCOUNTA(査読範囲,X9,X9:X10)), DCOUNTA(査読範囲,X9,X9:X10), 0)</f>
        <v>0</v>
      </c>
      <c r="AA10" s="2" t="s">
        <v>233</v>
      </c>
      <c r="AB10" s="2"/>
      <c r="AC10" s="2">
        <f>IF(ISNUMBER(DCOUNTA(査読範囲,AA9,AA9:AA10)), DCOUNTA(査読範囲,AA9,AA9:AA10), 0)</f>
        <v>0</v>
      </c>
      <c r="AD10" s="2" t="s">
        <v>234</v>
      </c>
      <c r="AE10" s="2"/>
      <c r="AF10" s="2">
        <f>IF(ISNUMBER(DCOUNTA(査読範囲,AD9,AD9:AD10)), DCOUNTA(査読範囲,AD9,AD9:AD10), 0)</f>
        <v>0</v>
      </c>
      <c r="AG10" s="2" t="s">
        <v>235</v>
      </c>
      <c r="AH10" s="2"/>
      <c r="AI10" s="2">
        <f>IF(ISNUMBER(DCOUNTA(査読範囲,AG9,AG9:AG10)), DCOUNTA(査読範囲,AG9,AG9:AG10), 0)</f>
        <v>0</v>
      </c>
      <c r="AJ10" s="2" t="s">
        <v>236</v>
      </c>
      <c r="AK10" s="2"/>
      <c r="AL10" s="2">
        <f>IF(ISNUMBER(DCOUNTA(査読範囲,AJ9,AJ9:AJ10)), DCOUNTA(査読範囲,AJ9,AJ9:AJ10), 0)</f>
        <v>0</v>
      </c>
      <c r="AM10" s="2" t="s">
        <v>237</v>
      </c>
      <c r="AN10" s="2"/>
      <c r="AO10" s="2">
        <f>IF(ISNUMBER(DCOUNTA(査読範囲,AM9,AM9:AM10)), DCOUNTA(査読範囲,AM9,AM9:AM10), 0)</f>
        <v>0</v>
      </c>
      <c r="AP10" s="2" t="s">
        <v>238</v>
      </c>
      <c r="AQ10" s="2"/>
      <c r="AR10" s="2">
        <f>IF(ISNUMBER(DCOUNTA(査読範囲,AP9,AP9:AP10)), DCOUNTA(査読範囲,AP9,AP9:AP10), 0)</f>
        <v>0</v>
      </c>
      <c r="AS10" s="2" t="s">
        <v>239</v>
      </c>
      <c r="AT10" s="2"/>
      <c r="AU10" s="2">
        <f>IF(ISNUMBER(DCOUNTA(査読範囲,AS9,AS9:AS10)), DCOUNTA(査読範囲,AS9,AS9:AS10), 0)</f>
        <v>0</v>
      </c>
      <c r="AV10" s="2" t="s">
        <v>240</v>
      </c>
      <c r="AW10" s="2"/>
      <c r="AX10" s="2">
        <f>IF(ISNUMBER(DCOUNTA(査読範囲,AV9,AV9:AV10)), DCOUNTA(査読範囲,AV9,AV9:AV10), 0)</f>
        <v>0</v>
      </c>
      <c r="AY10" s="2" t="s">
        <v>241</v>
      </c>
      <c r="AZ10" s="2"/>
      <c r="BA10" s="2">
        <f>IF(ISNUMBER(DCOUNTA(査読範囲,AY9,AY9:AY10)), DCOUNTA(査読範囲,AY9,AY9:AY10), 0)</f>
        <v>0</v>
      </c>
      <c r="BB10" s="2" t="s">
        <v>242</v>
      </c>
      <c r="BC10" s="2"/>
      <c r="BD10" s="2">
        <f>IF(ISNUMBER(DCOUNTA(査読範囲,BB9,BB9:BB10)), DCOUNTA(査読範囲,BB9,BB9:BB10), 0)</f>
        <v>0</v>
      </c>
      <c r="BE10" s="2" t="s">
        <v>243</v>
      </c>
      <c r="BF10" s="2"/>
      <c r="BG10" s="2">
        <f>IF(ISNUMBER(DCOUNTA(査読範囲,BE9,BE9:BE10)), DCOUNTA(査読範囲,BE9,BE9:BE10), 0)</f>
        <v>0</v>
      </c>
      <c r="BH10" s="2" t="s">
        <v>244</v>
      </c>
      <c r="BI10" s="2"/>
      <c r="BJ10" s="2">
        <f>IF(ISNUMBER(DCOUNTA(査読範囲,BH9,BH9:BH10)), DCOUNTA(査読範囲,BH9,BH9:BH10), 0)</f>
        <v>0</v>
      </c>
      <c r="BK10" s="2" t="s">
        <v>245</v>
      </c>
      <c r="BL10" s="2"/>
      <c r="BM10" s="2">
        <f>IF(ISNUMBER(DCOUNTA(査読範囲,BK9,BK9:BK10)), DCOUNTA(査読範囲,BK9,BK9:BK10), 0)</f>
        <v>0</v>
      </c>
      <c r="BN10" s="2" t="s">
        <v>246</v>
      </c>
      <c r="BO10" s="2"/>
      <c r="BP10" s="2">
        <f>IF(ISNUMBER(DCOUNTA(査読範囲,BN9,BN9:BN10)), DCOUNTA(査読範囲,BN9,BN9:BN10), 0)</f>
        <v>0</v>
      </c>
      <c r="BQ10" s="2" t="s">
        <v>247</v>
      </c>
      <c r="BR10" s="2"/>
      <c r="BS10" s="2">
        <f>IF(ISNUMBER(DCOUNTA(査読範囲,BQ9,BQ9:BQ10)), DCOUNTA(査読範囲,BQ9,BQ9:BQ10), 0)</f>
        <v>0</v>
      </c>
      <c r="BT10" s="2" t="s">
        <v>248</v>
      </c>
      <c r="BU10" s="2"/>
      <c r="BV10" s="48">
        <f>IF(ISNUMBER(DCOUNTA(査読範囲,BT9,BT9:BT10)), DCOUNTA(査読範囲,BT9,BT9:BT10), 0)</f>
        <v>0</v>
      </c>
      <c r="BW10" s="2" t="s">
        <v>249</v>
      </c>
      <c r="BX10" s="2"/>
      <c r="BY10" s="48">
        <f>IF(ISNUMBER(DCOUNTA(査読範囲,BW9,BW9:BW10)), DCOUNTA(査読範囲,BW9,BW9:BW10), 0)</f>
        <v>0</v>
      </c>
      <c r="BZ10" s="2" t="s">
        <v>250</v>
      </c>
      <c r="CA10" s="2"/>
      <c r="CB10" s="2">
        <f>IF(ISNUMBER(DCOUNTA(査読範囲,BZ9,BZ9:BZ10)), DCOUNTA(査読範囲,BZ9,BZ9:BZ10), 0)</f>
        <v>0</v>
      </c>
      <c r="CC10" s="2" t="s">
        <v>251</v>
      </c>
      <c r="CD10" s="2"/>
      <c r="CE10" s="2">
        <f>IF(ISNUMBER(DCOUNTA(査読範囲,CC9,CC9:CC10)), DCOUNTA(査読範囲,CC9,CC9:CC10), 0)</f>
        <v>0</v>
      </c>
      <c r="CF10" s="2" t="s">
        <v>252</v>
      </c>
      <c r="CG10" s="2"/>
      <c r="CH10" s="48">
        <f>IF(ISNUMBER(DCOUNTA(査読範囲,CF9,CF9:CF10)), DCOUNTA(査読範囲,CF9,CF9:CF10), 0)</f>
        <v>0</v>
      </c>
      <c r="CI10" s="2" t="s">
        <v>253</v>
      </c>
      <c r="CJ10" s="2"/>
      <c r="CK10" s="48">
        <f>IF(ISNUMBER(DCOUNTA(査読範囲,CI9,CI9:CI10)), DCOUNTA(査読範囲,CI9,CI9:CI10), 0)</f>
        <v>0</v>
      </c>
      <c r="CL10" s="2" t="s">
        <v>254</v>
      </c>
      <c r="CM10" s="2"/>
      <c r="CN10" s="2">
        <f>IF(ISNUMBER(DCOUNTA(査読範囲,CL9,CL9:CL10)), DCOUNTA(査読範囲,CL9,CL9:CL10), 0)</f>
        <v>0</v>
      </c>
      <c r="CO10" s="2" t="s">
        <v>255</v>
      </c>
      <c r="CP10" s="2"/>
      <c r="CQ10" s="2">
        <f>IF(ISNUMBER(DCOUNTA(査読範囲,CO9,CO9:CO10)), DCOUNTA(査読範囲,CO9,CO9:CO10), 0)</f>
        <v>0</v>
      </c>
      <c r="CR10" s="2" t="s">
        <v>256</v>
      </c>
      <c r="CS10" s="2"/>
      <c r="CT10" s="2">
        <f>IF(ISNUMBER(DCOUNTA(査読範囲,CR9,CR9:CR10)), DCOUNTA(査読範囲,CR9,CR9:CR10), 0)</f>
        <v>0</v>
      </c>
      <c r="CU10" s="2" t="s">
        <v>257</v>
      </c>
      <c r="CV10" s="2"/>
      <c r="CW10" s="48">
        <f>IF(ISNUMBER(DCOUNTA(査読範囲,CU9,CU9:CU10)), DCOUNTA(査読範囲,CU9,CU9:CU10), 0)</f>
        <v>0</v>
      </c>
      <c r="CX10" s="2" t="s">
        <v>258</v>
      </c>
      <c r="CY10" s="2"/>
      <c r="CZ10" s="2">
        <f>IF(ISNUMBER(DCOUNTA(査読範囲,CX9,CX9:CX10)), DCOUNTA(査読範囲,CX9,CX9:CX10), 0)</f>
        <v>0</v>
      </c>
    </row>
    <row r="11" spans="1:104" ht="11.25" hidden="1" customHeight="1">
      <c r="A11"/>
      <c r="D11"/>
      <c r="E11"/>
      <c r="G11"/>
      <c r="H11"/>
      <c r="I11"/>
      <c r="J11"/>
      <c r="K11" s="44"/>
      <c r="L11" s="2" t="s">
        <v>259</v>
      </c>
      <c r="M11" s="2"/>
      <c r="N11" s="3" t="s">
        <v>260</v>
      </c>
      <c r="O11" s="2"/>
      <c r="P11" s="2"/>
      <c r="Q11" s="3" t="s">
        <v>261</v>
      </c>
      <c r="R11" s="2"/>
      <c r="S11" s="2"/>
      <c r="T11" s="3" t="s">
        <v>262</v>
      </c>
      <c r="U11" s="2"/>
      <c r="V11" s="2"/>
      <c r="W11" s="3" t="s">
        <v>263</v>
      </c>
      <c r="X11" s="2"/>
      <c r="Y11" s="2"/>
      <c r="Z11" s="3" t="s">
        <v>264</v>
      </c>
      <c r="AA11" s="2"/>
      <c r="AB11" s="2"/>
      <c r="AC11" s="3" t="s">
        <v>265</v>
      </c>
      <c r="AD11" s="2"/>
      <c r="AE11" s="2"/>
      <c r="AF11" s="3" t="s">
        <v>266</v>
      </c>
      <c r="AG11" s="2" t="s">
        <v>259</v>
      </c>
      <c r="AH11" s="2"/>
      <c r="AI11" s="3" t="s">
        <v>267</v>
      </c>
      <c r="AJ11" s="2"/>
      <c r="AK11" s="2"/>
      <c r="AL11" s="3" t="s">
        <v>268</v>
      </c>
      <c r="AM11" s="2"/>
      <c r="AN11" s="2"/>
      <c r="AO11" s="3" t="s">
        <v>269</v>
      </c>
      <c r="AP11" s="2"/>
      <c r="AQ11" s="2"/>
      <c r="AR11" s="3" t="s">
        <v>270</v>
      </c>
      <c r="AS11" s="2"/>
      <c r="AT11" s="2"/>
      <c r="AU11" s="3" t="s">
        <v>271</v>
      </c>
      <c r="AV11" s="2"/>
      <c r="AW11" s="2"/>
      <c r="AX11" s="3" t="s">
        <v>272</v>
      </c>
      <c r="AY11" s="2"/>
      <c r="AZ11" s="2"/>
      <c r="BA11" s="3" t="s">
        <v>273</v>
      </c>
      <c r="BB11" s="2"/>
      <c r="BC11" s="2"/>
      <c r="BD11" s="3" t="s">
        <v>274</v>
      </c>
      <c r="BE11" s="2"/>
      <c r="BF11" s="2"/>
      <c r="BG11" s="3" t="s">
        <v>275</v>
      </c>
      <c r="BH11" s="2"/>
      <c r="BI11" s="2"/>
      <c r="BJ11" s="3" t="s">
        <v>276</v>
      </c>
      <c r="BK11" s="2"/>
      <c r="BL11" s="2"/>
      <c r="BM11" s="3" t="s">
        <v>277</v>
      </c>
      <c r="BN11" s="2"/>
      <c r="BO11" s="2"/>
      <c r="BP11" s="3" t="s">
        <v>278</v>
      </c>
      <c r="BQ11" s="2"/>
      <c r="BR11" s="2"/>
      <c r="BS11" s="3" t="s">
        <v>279</v>
      </c>
      <c r="BT11" s="2"/>
      <c r="BU11" s="2"/>
      <c r="BV11" s="3" t="s">
        <v>280</v>
      </c>
      <c r="BW11" s="2"/>
      <c r="BX11" s="2"/>
      <c r="BY11" s="3" t="s">
        <v>281</v>
      </c>
      <c r="BZ11" s="2"/>
      <c r="CA11" s="2"/>
      <c r="CB11" s="3" t="s">
        <v>282</v>
      </c>
      <c r="CC11" s="2"/>
      <c r="CD11" s="2"/>
      <c r="CE11" s="3" t="s">
        <v>283</v>
      </c>
      <c r="CF11" s="2"/>
      <c r="CG11" s="2"/>
      <c r="CH11" s="3" t="s">
        <v>284</v>
      </c>
      <c r="CI11" s="2"/>
      <c r="CJ11" s="2"/>
      <c r="CK11" s="3" t="s">
        <v>285</v>
      </c>
      <c r="CL11" s="2"/>
      <c r="CM11" s="2"/>
      <c r="CN11" s="3" t="s">
        <v>286</v>
      </c>
      <c r="CO11" s="2"/>
      <c r="CP11" s="2"/>
      <c r="CQ11" s="3" t="s">
        <v>287</v>
      </c>
      <c r="CR11" s="2"/>
      <c r="CS11" s="2"/>
      <c r="CT11" s="3" t="s">
        <v>288</v>
      </c>
      <c r="CU11" s="2"/>
      <c r="CV11" s="2"/>
      <c r="CW11" s="3" t="s">
        <v>289</v>
      </c>
      <c r="CX11" s="2"/>
      <c r="CY11" s="2"/>
      <c r="CZ11" s="3" t="s">
        <v>290</v>
      </c>
    </row>
    <row r="12" spans="1:104" ht="11.25" hidden="1" customHeight="1">
      <c r="A12"/>
      <c r="D12"/>
      <c r="E12"/>
      <c r="G12"/>
      <c r="H12"/>
      <c r="I12"/>
      <c r="J12"/>
      <c r="K12" s="44"/>
      <c r="L12" s="2">
        <f>SUM(N12:CZ12)</f>
        <v>0</v>
      </c>
      <c r="M12" s="2"/>
      <c r="N12" s="2">
        <f>SUBTOTAL(9,N4:N10)</f>
        <v>0</v>
      </c>
      <c r="O12" s="2"/>
      <c r="P12" s="2"/>
      <c r="Q12" s="2">
        <f>SUBTOTAL(9,Q4:Q10)</f>
        <v>0</v>
      </c>
      <c r="R12" s="2"/>
      <c r="S12" s="2"/>
      <c r="T12" s="2">
        <f>SUBTOTAL(9,T4:T10)</f>
        <v>0</v>
      </c>
      <c r="U12" s="2"/>
      <c r="V12" s="2"/>
      <c r="W12" s="2">
        <f>SUBTOTAL(9,W4:W10)</f>
        <v>0</v>
      </c>
      <c r="X12" s="2"/>
      <c r="Y12" s="2"/>
      <c r="Z12" s="2">
        <f>SUBTOTAL(9,Z4:Z10)</f>
        <v>0</v>
      </c>
      <c r="AA12" s="2"/>
      <c r="AB12" s="2"/>
      <c r="AC12" s="2">
        <f>SUBTOTAL(9,AC4:AC10)</f>
        <v>0</v>
      </c>
      <c r="AD12" s="2"/>
      <c r="AE12" s="2"/>
      <c r="AF12" s="2">
        <f>SUBTOTAL(9,AF4:AF10)</f>
        <v>0</v>
      </c>
      <c r="AG12" s="2"/>
      <c r="AH12" s="2"/>
      <c r="AI12" s="2">
        <f>SUBTOTAL(9,AI4:AI10)</f>
        <v>0</v>
      </c>
      <c r="AJ12" s="2"/>
      <c r="AK12" s="2"/>
      <c r="AL12" s="2">
        <f>SUBTOTAL(9,AL4:AL10)</f>
        <v>0</v>
      </c>
      <c r="AM12" s="2"/>
      <c r="AN12" s="2"/>
      <c r="AO12" s="2">
        <f>SUBTOTAL(9,AO4:AO10)</f>
        <v>0</v>
      </c>
      <c r="AP12" s="2"/>
      <c r="AQ12" s="2"/>
      <c r="AR12" s="2">
        <f>SUBTOTAL(9,AR4:AR10)</f>
        <v>0</v>
      </c>
      <c r="AS12" s="2"/>
      <c r="AT12" s="2"/>
      <c r="AU12" s="2">
        <f>SUBTOTAL(9,AU4:AU10)</f>
        <v>0</v>
      </c>
      <c r="AV12" s="2"/>
      <c r="AW12" s="2"/>
      <c r="AX12" s="2">
        <f>SUBTOTAL(9,AX4:AX10)</f>
        <v>0</v>
      </c>
      <c r="AY12" s="2"/>
      <c r="AZ12" s="2"/>
      <c r="BA12" s="2">
        <f>SUBTOTAL(9,BA4:BA10)</f>
        <v>0</v>
      </c>
      <c r="BB12" s="2"/>
      <c r="BC12" s="2"/>
      <c r="BD12" s="2">
        <f>SUBTOTAL(9,BD4:BD10)</f>
        <v>0</v>
      </c>
      <c r="BE12" s="2"/>
      <c r="BF12" s="2"/>
      <c r="BG12" s="2">
        <f>SUBTOTAL(9,BG4:BG10)</f>
        <v>0</v>
      </c>
      <c r="BH12" s="2"/>
      <c r="BI12" s="2"/>
      <c r="BJ12" s="2">
        <f>SUBTOTAL(9,BJ4:BJ10)</f>
        <v>0</v>
      </c>
      <c r="BK12" s="2"/>
      <c r="BL12" s="2"/>
      <c r="BM12" s="2" t="s">
        <v>291</v>
      </c>
      <c r="BN12" s="2"/>
      <c r="BO12" s="2"/>
      <c r="BP12" s="2">
        <f>SUBTOTAL(9,BP4:BP10)</f>
        <v>0</v>
      </c>
      <c r="BQ12" s="2"/>
      <c r="BR12" s="2"/>
      <c r="BS12" s="2">
        <f>SUBTOTAL(9,BS4:BS10)</f>
        <v>0</v>
      </c>
      <c r="BT12" s="2"/>
      <c r="BU12" s="2"/>
      <c r="BV12" s="2">
        <f>SUBTOTAL(9,BV4:BV10)</f>
        <v>0</v>
      </c>
      <c r="BW12" s="2"/>
      <c r="BX12" s="2"/>
      <c r="BY12" s="2" t="s">
        <v>291</v>
      </c>
      <c r="BZ12" s="2"/>
      <c r="CA12" s="2"/>
      <c r="CB12" s="2" t="s">
        <v>291</v>
      </c>
      <c r="CC12" s="2"/>
      <c r="CD12" s="2"/>
      <c r="CE12" s="2">
        <f>SUBTOTAL(9,CE4:CE10)</f>
        <v>0</v>
      </c>
      <c r="CF12" s="2"/>
      <c r="CG12" s="2"/>
      <c r="CH12" s="2">
        <f>SUBTOTAL(9,CH4:CH10)</f>
        <v>0</v>
      </c>
      <c r="CI12" s="2"/>
      <c r="CJ12" s="2"/>
      <c r="CK12" s="2">
        <f>SUBTOTAL(9,CK4:CK10)</f>
        <v>0</v>
      </c>
      <c r="CL12" s="2"/>
      <c r="CM12" s="2"/>
      <c r="CN12" s="2">
        <f>SUBTOTAL(9,CN4:CN10)</f>
        <v>0</v>
      </c>
      <c r="CO12" s="2"/>
      <c r="CP12" s="2"/>
      <c r="CQ12" s="2">
        <f>SUBTOTAL(9,CQ4:CQ10)</f>
        <v>0</v>
      </c>
      <c r="CR12" s="2"/>
      <c r="CS12" s="2"/>
      <c r="CT12" s="2">
        <f>SUBTOTAL(9,CT4:CT10)</f>
        <v>0</v>
      </c>
      <c r="CU12" s="2"/>
      <c r="CV12" s="2"/>
      <c r="CW12" s="2">
        <f>SUBTOTAL(9,CW4:CW10)</f>
        <v>0</v>
      </c>
      <c r="CX12" s="2"/>
      <c r="CY12" s="2"/>
      <c r="CZ12" s="2">
        <f>SUBTOTAL(9,CZ4:CZ10)</f>
        <v>0</v>
      </c>
    </row>
    <row r="13" spans="1:104" ht="11.25" hidden="1" customHeight="1">
      <c r="A13"/>
      <c r="D13"/>
      <c r="E13"/>
      <c r="G13"/>
      <c r="H13"/>
      <c r="I13"/>
      <c r="J13"/>
      <c r="K13" s="44"/>
      <c r="L13"/>
      <c r="M13"/>
      <c r="N13"/>
      <c r="O13"/>
      <c r="P13"/>
      <c r="Q13"/>
      <c r="R13"/>
      <c r="S13"/>
      <c r="T13"/>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c r="CS13" s="2"/>
      <c r="CT13" s="2"/>
      <c r="CU13" s="2"/>
      <c r="CV13" s="2"/>
      <c r="CW13" s="2"/>
      <c r="CX13" s="2"/>
      <c r="CY13" s="2"/>
      <c r="CZ13" s="2"/>
    </row>
    <row r="14" spans="1:104" ht="11.25" hidden="1" customHeight="1">
      <c r="A14"/>
      <c r="D14"/>
      <c r="E14"/>
      <c r="G14"/>
      <c r="H14"/>
      <c r="I14"/>
      <c r="J14"/>
      <c r="K14" s="44"/>
      <c r="L14"/>
      <c r="M14"/>
      <c r="N14"/>
      <c r="O14"/>
      <c r="P14"/>
      <c r="Q14"/>
      <c r="R14"/>
      <c r="S14"/>
      <c r="T14"/>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c r="CY14" s="2"/>
      <c r="CZ14" s="2"/>
    </row>
    <row r="15" spans="1:104" ht="11.25" hidden="1" customHeight="1">
      <c r="A15"/>
      <c r="D15"/>
      <c r="E15"/>
      <c r="G15"/>
      <c r="H15"/>
      <c r="I15"/>
      <c r="J15"/>
      <c r="K15" s="44"/>
      <c r="L15"/>
      <c r="M15"/>
      <c r="N15"/>
      <c r="O15"/>
      <c r="P15"/>
      <c r="Q15"/>
      <c r="R15"/>
      <c r="S15"/>
      <c r="T15"/>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c r="CY15" s="2"/>
      <c r="CZ15" s="2"/>
    </row>
    <row r="16" spans="1:104" ht="11.25" hidden="1" customHeight="1">
      <c r="A16"/>
      <c r="D16"/>
      <c r="E16"/>
      <c r="G16"/>
      <c r="H16"/>
      <c r="I16"/>
      <c r="J16"/>
      <c r="K16" s="44"/>
      <c r="L16"/>
      <c r="M16"/>
      <c r="N16"/>
      <c r="O16"/>
      <c r="P16"/>
      <c r="Q16"/>
      <c r="R16"/>
      <c r="S16"/>
      <c r="T16"/>
      <c r="U16" s="3" t="s">
        <v>115</v>
      </c>
      <c r="V16" s="3" t="s">
        <v>292</v>
      </c>
      <c r="W16" s="1" t="s">
        <v>50</v>
      </c>
      <c r="X16" s="3" t="s">
        <v>293</v>
      </c>
      <c r="Y16" s="3" t="s">
        <v>294</v>
      </c>
      <c r="Z16" s="3" t="s">
        <v>295</v>
      </c>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c r="CY16" s="2"/>
      <c r="CZ16" s="2"/>
    </row>
    <row r="17" spans="1:104" ht="11.25" hidden="1" customHeight="1">
      <c r="A17"/>
      <c r="D17"/>
      <c r="E17"/>
      <c r="G17"/>
      <c r="H17"/>
      <c r="I17"/>
      <c r="J17"/>
      <c r="K17" s="44"/>
      <c r="L17"/>
      <c r="M17"/>
      <c r="N17"/>
      <c r="O17"/>
      <c r="P17"/>
      <c r="Q17"/>
      <c r="R17"/>
      <c r="S17"/>
      <c r="T17"/>
      <c r="U17" s="2">
        <v>1</v>
      </c>
      <c r="V17" s="8" t="str">
        <f>IF(ISNUMBER(SMALL(記入日範囲,1)), SMALL(記入日範囲,1), " ")</f>
        <v xml:space="preserve"> </v>
      </c>
      <c r="W17" s="2"/>
      <c r="X17" s="2">
        <f>IF(ISNUMBER(DCOUNTA(査読範囲,W16,V16:V17)), DCOUNTA(査読範囲,W16,V16:V17), 0)</f>
        <v>0</v>
      </c>
      <c r="Y17" s="2">
        <f>IF(ISNUMBER(DCOUNTA(査読範囲,V16,V16:V17)), DCOUNTA(査読範囲,V16,V16:V17), 0)</f>
        <v>0</v>
      </c>
      <c r="Z17" s="2">
        <f>Y17</f>
        <v>0</v>
      </c>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c r="CY17" s="2"/>
      <c r="CZ17" s="2"/>
    </row>
    <row r="18" spans="1:104" ht="11.25" hidden="1" customHeight="1">
      <c r="A18"/>
      <c r="D18"/>
      <c r="E18"/>
      <c r="G18"/>
      <c r="H18"/>
      <c r="I18"/>
      <c r="J18"/>
      <c r="K18" s="44"/>
      <c r="L18"/>
      <c r="M18"/>
      <c r="N18"/>
      <c r="O18"/>
      <c r="P18"/>
      <c r="Q18"/>
      <c r="R18"/>
      <c r="S18"/>
      <c r="T18"/>
      <c r="U18" s="2"/>
      <c r="V18" s="3" t="s">
        <v>292</v>
      </c>
      <c r="W18" s="1" t="s">
        <v>50</v>
      </c>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c r="CZ18" s="2"/>
    </row>
    <row r="19" spans="1:104" ht="11.25" hidden="1" customHeight="1">
      <c r="A19"/>
      <c r="D19"/>
      <c r="E19"/>
      <c r="G19"/>
      <c r="H19"/>
      <c r="I19"/>
      <c r="J19"/>
      <c r="K19" s="44"/>
      <c r="L19"/>
      <c r="M19"/>
      <c r="N19"/>
      <c r="O19"/>
      <c r="P19"/>
      <c r="Q19"/>
      <c r="R19"/>
      <c r="S19"/>
      <c r="T19"/>
      <c r="U19" s="2">
        <v>2</v>
      </c>
      <c r="V19" s="8" t="str">
        <f>IF(ISNUMBER(SMALL(記入日範囲,Z17+1)), SMALL(記入日範囲,Z17+1), " ")</f>
        <v xml:space="preserve"> </v>
      </c>
      <c r="W19" s="2"/>
      <c r="X19" s="2">
        <f>IF(ISNUMBER(DCOUNTA(査読範囲,W18,V18:V19)), DCOUNTA(査読範囲,W18,V18:V19), 0)</f>
        <v>0</v>
      </c>
      <c r="Y19" s="2">
        <f>IF(ISNUMBER(DCOUNTA(査読範囲,V18,V18:V19)), DCOUNTA(査読範囲,V18,V18:V19), 0)</f>
        <v>0</v>
      </c>
      <c r="Z19" s="2">
        <f>Z17+Y19</f>
        <v>0</v>
      </c>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c r="CY19" s="2"/>
      <c r="CZ19" s="2"/>
    </row>
    <row r="20" spans="1:104" ht="11.25" hidden="1" customHeight="1">
      <c r="A20"/>
      <c r="D20"/>
      <c r="E20"/>
      <c r="G20"/>
      <c r="H20"/>
      <c r="I20"/>
      <c r="J20"/>
      <c r="K20" s="44"/>
      <c r="L20"/>
      <c r="M20"/>
      <c r="N20"/>
      <c r="O20"/>
      <c r="P20"/>
      <c r="Q20"/>
      <c r="R20"/>
      <c r="S20"/>
      <c r="T20"/>
      <c r="U20" s="2"/>
      <c r="V20" s="3" t="s">
        <v>292</v>
      </c>
      <c r="W20" s="1" t="s">
        <v>50</v>
      </c>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c r="CX20" s="2"/>
      <c r="CY20" s="2"/>
      <c r="CZ20" s="2"/>
    </row>
    <row r="21" spans="1:104" ht="11.25" hidden="1" customHeight="1">
      <c r="A21"/>
      <c r="D21"/>
      <c r="E21"/>
      <c r="G21"/>
      <c r="H21"/>
      <c r="I21"/>
      <c r="J21"/>
      <c r="K21" s="44"/>
      <c r="L21"/>
      <c r="M21"/>
      <c r="N21"/>
      <c r="O21"/>
      <c r="P21"/>
      <c r="Q21"/>
      <c r="R21"/>
      <c r="S21"/>
      <c r="T21"/>
      <c r="U21" s="2">
        <v>3</v>
      </c>
      <c r="V21" s="8" t="str">
        <f>IF(ISNUMBER(SMALL(記入日範囲,Z19+1)), SMALL(記入日範囲,Z19+1), " ")</f>
        <v xml:space="preserve"> </v>
      </c>
      <c r="W21" s="2"/>
      <c r="X21" s="2">
        <f>IF(ISNUMBER(DCOUNTA(査読範囲,W20,V20:V21)), DCOUNTA(査読範囲,W20,V20:V21), 0)</f>
        <v>0</v>
      </c>
      <c r="Y21" s="2">
        <f>IF(ISNUMBER(DCOUNTA(査読範囲,V20,V20:V21)), DCOUNTA(査読範囲,V20,V20:V21), 0)</f>
        <v>0</v>
      </c>
      <c r="Z21" s="2">
        <f>Z19+Y21</f>
        <v>0</v>
      </c>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c r="CY21" s="2"/>
      <c r="CZ21" s="2"/>
    </row>
    <row r="22" spans="1:104" ht="11.25" hidden="1" customHeight="1">
      <c r="A22"/>
      <c r="D22"/>
      <c r="E22"/>
      <c r="G22"/>
      <c r="H22"/>
      <c r="I22"/>
      <c r="J22"/>
      <c r="K22" s="44"/>
      <c r="L22"/>
      <c r="M22"/>
      <c r="N22"/>
      <c r="O22"/>
      <c r="P22"/>
      <c r="Q22"/>
      <c r="R22"/>
      <c r="S22"/>
      <c r="T22"/>
      <c r="U22" s="2"/>
      <c r="V22" s="3" t="s">
        <v>292</v>
      </c>
      <c r="W22" s="1" t="s">
        <v>50</v>
      </c>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c r="CY22" s="2"/>
      <c r="CZ22" s="2"/>
    </row>
    <row r="23" spans="1:104" ht="11.25" hidden="1" customHeight="1">
      <c r="A23"/>
      <c r="D23"/>
      <c r="E23"/>
      <c r="G23"/>
      <c r="H23"/>
      <c r="I23"/>
      <c r="J23"/>
      <c r="K23" s="44"/>
      <c r="L23"/>
      <c r="M23"/>
      <c r="N23"/>
      <c r="O23"/>
      <c r="P23"/>
      <c r="Q23"/>
      <c r="R23"/>
      <c r="S23"/>
      <c r="T23"/>
      <c r="U23" s="2">
        <v>4</v>
      </c>
      <c r="V23" s="8" t="str">
        <f>IF(ISNUMBER(SMALL(記入日範囲,Z21+1)), SMALL(記入日範囲,Z21+1), " ")</f>
        <v xml:space="preserve"> </v>
      </c>
      <c r="W23" s="2"/>
      <c r="X23" s="2">
        <f>IF(ISNUMBER(DCOUNTA(査読範囲,W22,V22:V23)), DCOUNTA(査読範囲,W22,V22:V23), 0)</f>
        <v>0</v>
      </c>
      <c r="Y23" s="2">
        <f>IF(ISNUMBER(DCOUNTA(査読範囲,V22,V22:V23)), DCOUNTA(査読範囲,V22,V22:V23), 0)</f>
        <v>0</v>
      </c>
      <c r="Z23" s="2">
        <f>Z21+Y23</f>
        <v>0</v>
      </c>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c r="CX23" s="2"/>
      <c r="CY23" s="2"/>
      <c r="CZ23" s="2"/>
    </row>
    <row r="24" spans="1:104" ht="11.25" hidden="1" customHeight="1">
      <c r="A24"/>
      <c r="D24"/>
      <c r="E24"/>
      <c r="G24"/>
      <c r="H24"/>
      <c r="I24"/>
      <c r="J24"/>
      <c r="K24" s="44"/>
      <c r="L24"/>
      <c r="M24"/>
      <c r="N24"/>
      <c r="O24"/>
      <c r="P24"/>
      <c r="Q24"/>
      <c r="R24"/>
      <c r="S24"/>
      <c r="T24"/>
      <c r="U24" s="2"/>
      <c r="V24" s="3" t="s">
        <v>292</v>
      </c>
      <c r="W24" s="1" t="s">
        <v>50</v>
      </c>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c r="CY24" s="2"/>
      <c r="CZ24" s="2"/>
    </row>
    <row r="25" spans="1:104" ht="11.25" hidden="1" customHeight="1">
      <c r="A25"/>
      <c r="C25" s="71"/>
      <c r="D25" s="71"/>
      <c r="E25" s="71"/>
      <c r="F25" s="71"/>
      <c r="G25" s="71"/>
      <c r="H25" s="71"/>
      <c r="I25" s="71"/>
      <c r="J25" s="71"/>
      <c r="K25" s="72"/>
      <c r="L25" s="71"/>
      <c r="M25" s="71"/>
      <c r="N25" s="71"/>
      <c r="O25" s="71"/>
      <c r="P25" s="71"/>
      <c r="Q25" s="71"/>
      <c r="R25" s="71"/>
      <c r="S25" s="71"/>
      <c r="T25" s="71"/>
      <c r="U25" s="2">
        <v>5</v>
      </c>
      <c r="V25" s="8" t="str">
        <f>IF(ISNUMBER(SMALL(記入日範囲,Z23+1)), SMALL(記入日範囲,Z23+1), " ")</f>
        <v xml:space="preserve"> </v>
      </c>
      <c r="W25" s="2"/>
      <c r="X25" s="2">
        <f>IF(ISNUMBER(DCOUNTA(査読範囲,W24,V24:V25)), DCOUNTA(査読範囲,W24,V24:V25), 0)</f>
        <v>0</v>
      </c>
      <c r="Y25" s="2">
        <f>IF(ISNUMBER(DCOUNTA(査読範囲,V24,V24:V25)), DCOUNTA(査読範囲,V24,V24:V25), 0)</f>
        <v>0</v>
      </c>
      <c r="Z25" s="2">
        <f>Z23+Y25</f>
        <v>0</v>
      </c>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c r="CY25" s="2"/>
      <c r="CZ25" s="2"/>
    </row>
    <row r="26" spans="1:104" ht="11.25" hidden="1" customHeight="1">
      <c r="A26"/>
      <c r="C26" s="74" t="s">
        <v>296</v>
      </c>
      <c r="D26"/>
      <c r="E26"/>
      <c r="G26"/>
      <c r="H26"/>
      <c r="I26"/>
      <c r="J26"/>
      <c r="K26" s="44"/>
      <c r="L26"/>
      <c r="M26"/>
      <c r="N26"/>
      <c r="O26"/>
      <c r="P26"/>
      <c r="Q26"/>
      <c r="R26"/>
      <c r="S26"/>
      <c r="T26"/>
      <c r="U26" s="2"/>
      <c r="V26" s="3" t="s">
        <v>292</v>
      </c>
      <c r="W26" s="1" t="s">
        <v>50</v>
      </c>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c r="CY26" s="2"/>
      <c r="CZ26" s="2"/>
    </row>
    <row r="27" spans="1:104" ht="11.25" hidden="1" customHeight="1">
      <c r="A27"/>
      <c r="C27" s="73" t="s">
        <v>297</v>
      </c>
      <c r="D27"/>
      <c r="E27"/>
      <c r="G27"/>
      <c r="H27"/>
      <c r="I27"/>
      <c r="J27"/>
      <c r="K27" s="44"/>
      <c r="L27"/>
      <c r="M27"/>
      <c r="N27"/>
      <c r="O27"/>
      <c r="P27"/>
      <c r="Q27"/>
      <c r="R27"/>
      <c r="S27"/>
      <c r="T27"/>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c r="CY27" s="2"/>
      <c r="CZ27" s="2"/>
    </row>
    <row r="28" spans="1:104" ht="11.25" hidden="1" customHeight="1">
      <c r="A28"/>
      <c r="D28"/>
      <c r="E28"/>
      <c r="G28"/>
      <c r="H28"/>
      <c r="I28"/>
      <c r="J28"/>
      <c r="K28" s="44"/>
      <c r="L28"/>
      <c r="M28"/>
      <c r="N28"/>
      <c r="O28"/>
      <c r="P28"/>
      <c r="Q28"/>
      <c r="R28"/>
      <c r="S28"/>
      <c r="T28"/>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c r="CY28" s="2"/>
      <c r="CZ28" s="2"/>
    </row>
    <row r="29" spans="1:104" ht="11.25" hidden="1" customHeight="1">
      <c r="A29"/>
      <c r="D29"/>
      <c r="E29"/>
      <c r="G29"/>
      <c r="H29"/>
      <c r="I29"/>
      <c r="J29"/>
      <c r="K29" s="44"/>
      <c r="L29"/>
      <c r="M29"/>
      <c r="N29"/>
      <c r="O29"/>
      <c r="P29"/>
      <c r="Q29"/>
      <c r="R29"/>
      <c r="S29"/>
      <c r="T29"/>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c r="CY29" s="2"/>
      <c r="CZ29" s="2"/>
    </row>
    <row r="30" spans="1:104" ht="11.25" hidden="1" customHeight="1" thickBot="1">
      <c r="A30" s="43"/>
      <c r="B30" s="43"/>
      <c r="C30" s="43"/>
      <c r="D30" s="43"/>
      <c r="E30" s="43"/>
      <c r="F30" s="43"/>
      <c r="G30" s="43"/>
      <c r="H30" s="43"/>
      <c r="I30" s="43"/>
      <c r="J30" s="43"/>
      <c r="K30" s="45"/>
      <c r="L30" s="43"/>
      <c r="M30" s="43"/>
      <c r="N30" s="43"/>
      <c r="O30" s="43"/>
      <c r="P30" s="43"/>
      <c r="Q30" s="43"/>
      <c r="R30" s="43"/>
      <c r="S30" s="43"/>
      <c r="T30" s="43"/>
      <c r="U30" s="42"/>
      <c r="V30" s="43"/>
      <c r="W30" s="43"/>
      <c r="X30" s="42"/>
      <c r="Y30" s="43"/>
      <c r="Z30" s="42"/>
      <c r="AA30" s="42"/>
      <c r="AB30" s="42"/>
      <c r="AC30" s="42"/>
    </row>
    <row r="31" spans="1:104" ht="18" customHeight="1">
      <c r="A31"/>
      <c r="C31" s="117"/>
      <c r="D31" s="118" t="s">
        <v>298</v>
      </c>
      <c r="E31" s="118"/>
      <c r="F31" s="117"/>
      <c r="G31" s="119"/>
      <c r="H31" s="119"/>
    </row>
    <row r="32" spans="1:104" ht="6.75" customHeight="1" thickBot="1">
      <c r="C32" s="502"/>
      <c r="D32" s="503"/>
      <c r="E32" s="503"/>
      <c r="F32" s="503"/>
      <c r="G32" s="503"/>
      <c r="H32" s="119"/>
    </row>
    <row r="33" spans="1:24" ht="15.75" customHeight="1">
      <c r="A33" s="65" t="s">
        <v>299</v>
      </c>
      <c r="D33"/>
      <c r="E33"/>
      <c r="G33"/>
      <c r="H33"/>
      <c r="I33"/>
      <c r="J33" s="512" t="s">
        <v>300</v>
      </c>
      <c r="K33" s="513"/>
      <c r="L33" s="107"/>
      <c r="M33" s="107"/>
      <c r="N33" s="107"/>
      <c r="O33" s="107"/>
      <c r="P33" s="107"/>
      <c r="Q33" s="107"/>
      <c r="R33" s="107"/>
      <c r="S33" s="107"/>
      <c r="T33" s="107"/>
    </row>
    <row r="34" spans="1:24" ht="15" customHeight="1">
      <c r="A34" s="497"/>
      <c r="B34" s="511"/>
      <c r="C34" s="61" t="s">
        <v>301</v>
      </c>
      <c r="D34" s="49"/>
      <c r="E34" s="49"/>
      <c r="F34" s="2"/>
      <c r="G34" s="49"/>
      <c r="H34" s="49"/>
      <c r="I34" s="49"/>
      <c r="J34" s="505"/>
      <c r="K34" s="506"/>
      <c r="L34" s="63"/>
      <c r="M34" s="63"/>
      <c r="N34" s="63"/>
      <c r="O34" s="63"/>
      <c r="P34" s="63"/>
      <c r="Q34" s="63"/>
      <c r="R34" s="63"/>
      <c r="S34" s="63"/>
      <c r="T34" s="63"/>
    </row>
    <row r="35" spans="1:24" ht="14.25" customHeight="1" thickBot="1">
      <c r="A35" s="497"/>
      <c r="B35" s="498"/>
      <c r="C35" s="61" t="s">
        <v>302</v>
      </c>
      <c r="D35" s="49"/>
      <c r="E35" s="49"/>
      <c r="F35" s="12"/>
      <c r="G35" s="12"/>
      <c r="H35" s="12"/>
      <c r="I35" s="12"/>
      <c r="J35" s="507"/>
      <c r="K35" s="508"/>
      <c r="L35" s="108"/>
      <c r="M35" s="108"/>
      <c r="N35" s="108"/>
      <c r="O35" s="108"/>
      <c r="P35" s="108"/>
      <c r="Q35" s="108"/>
      <c r="R35" s="108"/>
      <c r="S35" s="108"/>
      <c r="T35" s="108"/>
    </row>
    <row r="36" spans="1:24" ht="10.5" customHeight="1">
      <c r="A36" s="13"/>
      <c r="B36" s="13"/>
      <c r="C36" s="61"/>
      <c r="D36" s="49"/>
      <c r="E36" s="49"/>
      <c r="F36" s="2"/>
      <c r="G36" s="49"/>
      <c r="H36" s="49"/>
      <c r="I36" s="49"/>
      <c r="J36" s="49"/>
      <c r="K36" s="49"/>
      <c r="L36" s="49"/>
      <c r="M36" s="49"/>
      <c r="N36" s="49"/>
      <c r="O36" s="49"/>
      <c r="P36" s="49"/>
      <c r="Q36" s="49"/>
      <c r="R36" s="49"/>
      <c r="S36" s="49"/>
      <c r="T36" s="49"/>
    </row>
    <row r="37" spans="1:24" ht="18" customHeight="1">
      <c r="A37" s="494" t="s">
        <v>303</v>
      </c>
      <c r="B37" s="251"/>
      <c r="C37" s="499"/>
      <c r="D37" s="499"/>
      <c r="E37" s="499"/>
      <c r="F37" s="499"/>
      <c r="G37" s="491" t="s">
        <v>304</v>
      </c>
      <c r="H37" s="491"/>
      <c r="I37" s="492"/>
      <c r="J37" s="509">
        <v>5</v>
      </c>
      <c r="K37" s="510"/>
      <c r="L37" s="120"/>
      <c r="M37" s="120"/>
      <c r="N37" s="120"/>
      <c r="O37" s="120"/>
      <c r="P37" s="120"/>
      <c r="Q37" s="120"/>
      <c r="R37" s="120"/>
      <c r="S37" s="120"/>
      <c r="T37" s="120"/>
    </row>
    <row r="38" spans="1:24" ht="23.25" customHeight="1" thickBot="1">
      <c r="A38" s="495" t="s">
        <v>305</v>
      </c>
      <c r="B38" s="496"/>
      <c r="C38" s="504" t="s">
        <v>306</v>
      </c>
      <c r="D38" s="504"/>
      <c r="E38" s="504"/>
      <c r="F38" s="504"/>
      <c r="G38" s="493"/>
      <c r="H38" s="493"/>
      <c r="I38" s="492"/>
      <c r="J38" s="500"/>
      <c r="K38" s="501"/>
      <c r="L38" s="121"/>
      <c r="M38" s="121"/>
      <c r="N38" s="121"/>
      <c r="O38" s="121"/>
      <c r="P38" s="121"/>
      <c r="Q38" s="121"/>
      <c r="R38" s="121"/>
      <c r="S38" s="121"/>
      <c r="T38" s="121"/>
    </row>
    <row r="39" spans="1:24" ht="11.25" customHeight="1">
      <c r="A39" s="62"/>
      <c r="D39"/>
      <c r="E39"/>
      <c r="J39" s="63"/>
      <c r="K39" s="63"/>
      <c r="L39" s="63"/>
      <c r="M39" s="63"/>
      <c r="N39" s="63"/>
      <c r="O39" s="63"/>
      <c r="P39" s="63"/>
      <c r="Q39" s="63"/>
      <c r="R39" s="63"/>
      <c r="S39" s="63"/>
      <c r="T39" s="63"/>
    </row>
    <row r="40" spans="1:24" ht="13.5" customHeight="1">
      <c r="A40" s="62"/>
      <c r="C40" s="78"/>
      <c r="D40" s="79"/>
      <c r="E40" s="79"/>
      <c r="F40" s="80"/>
      <c r="G40" s="81"/>
      <c r="H40" s="81"/>
      <c r="I40" s="50" t="s">
        <v>307</v>
      </c>
      <c r="J40" s="489" t="e">
        <f>IF(J37&lt;&gt;0,DCOUNTA(査読範囲,C43,C26:C27)/J37,IF(J38&lt;&gt;0,DCOUNTA(査読範囲,C43,C26:C27)/J38,0))</f>
        <v>#NAME?</v>
      </c>
      <c r="K40" s="490"/>
      <c r="L40" s="109"/>
      <c r="M40" s="109"/>
      <c r="N40" s="109"/>
      <c r="O40" s="109"/>
      <c r="P40" s="109"/>
      <c r="Q40" s="109"/>
      <c r="R40" s="109"/>
      <c r="S40" s="109"/>
      <c r="T40" s="109"/>
    </row>
    <row r="41" spans="1:24" ht="16.5" customHeight="1">
      <c r="A41" s="62"/>
      <c r="C41" s="50" t="s">
        <v>120</v>
      </c>
      <c r="D41" s="75">
        <v>1.5</v>
      </c>
      <c r="E41" s="124"/>
      <c r="F41" s="65" t="s">
        <v>308</v>
      </c>
      <c r="G41"/>
      <c r="H41"/>
      <c r="I41"/>
      <c r="J41"/>
      <c r="K41"/>
      <c r="L41"/>
      <c r="M41"/>
      <c r="N41"/>
      <c r="O41"/>
      <c r="P41"/>
      <c r="Q41"/>
      <c r="R41"/>
      <c r="S41"/>
      <c r="T41"/>
    </row>
    <row r="42" spans="1:24" ht="6" customHeight="1">
      <c r="F42" t="s">
        <v>309</v>
      </c>
    </row>
    <row r="43" spans="1:24" ht="20.25" customHeight="1">
      <c r="A43" s="122" t="s">
        <v>310</v>
      </c>
      <c r="B43" s="145" t="s">
        <v>311</v>
      </c>
      <c r="C43" s="122" t="s">
        <v>312</v>
      </c>
      <c r="D43" s="122" t="s">
        <v>292</v>
      </c>
      <c r="E43" s="125" t="s">
        <v>313</v>
      </c>
      <c r="F43" s="122" t="s">
        <v>314</v>
      </c>
      <c r="G43" s="122" t="s">
        <v>315</v>
      </c>
      <c r="H43" s="125" t="s">
        <v>316</v>
      </c>
      <c r="I43" s="122" t="s">
        <v>50</v>
      </c>
      <c r="J43" s="122" t="s">
        <v>317</v>
      </c>
      <c r="K43" s="122" t="s">
        <v>318</v>
      </c>
      <c r="L43" s="49"/>
      <c r="M43" s="49"/>
      <c r="N43" s="49"/>
      <c r="O43" s="49"/>
      <c r="P43" s="49"/>
      <c r="Q43" s="49"/>
      <c r="R43" s="49"/>
      <c r="S43" s="49"/>
      <c r="T43" s="49"/>
    </row>
    <row r="44" spans="1:24" s="79" customFormat="1" ht="28.5" customHeight="1">
      <c r="A44" s="128">
        <v>1</v>
      </c>
      <c r="B44" s="160"/>
      <c r="C44" s="154"/>
      <c r="D44" s="134"/>
      <c r="E44" s="126"/>
      <c r="F44" s="155"/>
      <c r="G44" s="139"/>
      <c r="H44" s="130"/>
      <c r="I44" s="131"/>
      <c r="J44" s="142"/>
      <c r="K44" s="129"/>
      <c r="L44" s="132"/>
      <c r="M44" s="132"/>
      <c r="N44" s="132"/>
      <c r="O44" s="132"/>
      <c r="P44" s="132"/>
      <c r="Q44" s="132"/>
      <c r="R44" s="132"/>
      <c r="S44" s="132"/>
      <c r="T44" s="132"/>
    </row>
    <row r="45" spans="1:24" s="79" customFormat="1" ht="28.5" customHeight="1">
      <c r="A45" s="128">
        <f>A44+1</f>
        <v>2</v>
      </c>
      <c r="B45" s="161"/>
      <c r="C45" s="154"/>
      <c r="D45" s="134"/>
      <c r="E45" s="126"/>
      <c r="F45" s="155"/>
      <c r="G45" s="139"/>
      <c r="H45" s="127"/>
      <c r="I45" s="131"/>
      <c r="J45" s="142"/>
      <c r="K45" s="129"/>
      <c r="L45" s="132"/>
      <c r="M45" s="132"/>
      <c r="N45" s="132"/>
      <c r="O45" s="132"/>
      <c r="P45" s="132"/>
      <c r="Q45" s="132"/>
      <c r="R45" s="132"/>
      <c r="S45" s="132"/>
      <c r="T45" s="132"/>
      <c r="V45" s="133"/>
    </row>
    <row r="46" spans="1:24" s="79" customFormat="1" ht="28.5" customHeight="1">
      <c r="A46" s="128">
        <f>A45+1</f>
        <v>3</v>
      </c>
      <c r="B46" s="161"/>
      <c r="C46" s="154"/>
      <c r="D46" s="134"/>
      <c r="E46" s="126"/>
      <c r="F46" s="155"/>
      <c r="G46" s="139"/>
      <c r="H46" s="130"/>
      <c r="I46" s="131"/>
      <c r="J46" s="142"/>
      <c r="K46" s="129"/>
      <c r="L46" s="132"/>
      <c r="M46" s="132"/>
      <c r="N46" s="132"/>
      <c r="O46" s="132"/>
      <c r="P46" s="132"/>
      <c r="Q46" s="132"/>
      <c r="R46" s="132"/>
      <c r="S46" s="132"/>
      <c r="T46" s="132"/>
      <c r="V46" s="133"/>
      <c r="W46" s="133"/>
      <c r="X46" s="133"/>
    </row>
    <row r="47" spans="1:24" s="79" customFormat="1" ht="28.5" customHeight="1">
      <c r="A47" s="128">
        <f t="shared" ref="A47:A57" si="0">A46+1</f>
        <v>4</v>
      </c>
      <c r="B47" s="160"/>
      <c r="C47" s="154"/>
      <c r="D47" s="134"/>
      <c r="E47" s="126"/>
      <c r="F47" s="155"/>
      <c r="G47" s="139"/>
      <c r="H47" s="130"/>
      <c r="I47" s="131"/>
      <c r="J47" s="142"/>
      <c r="K47" s="129"/>
      <c r="L47" s="132"/>
      <c r="M47" s="132"/>
      <c r="N47" s="132"/>
      <c r="O47" s="132"/>
      <c r="P47" s="132"/>
      <c r="Q47" s="132"/>
      <c r="R47" s="132"/>
      <c r="S47" s="132"/>
      <c r="T47" s="132"/>
      <c r="V47" s="133"/>
      <c r="W47" s="133"/>
      <c r="X47" s="133"/>
    </row>
    <row r="48" spans="1:24" s="79" customFormat="1" ht="28.5" customHeight="1">
      <c r="A48" s="128">
        <f t="shared" si="0"/>
        <v>5</v>
      </c>
      <c r="B48" s="161"/>
      <c r="C48" s="154"/>
      <c r="D48" s="134"/>
      <c r="E48" s="126"/>
      <c r="F48" s="155"/>
      <c r="G48" s="139"/>
      <c r="H48" s="127"/>
      <c r="I48" s="131"/>
      <c r="J48" s="142"/>
      <c r="K48" s="129"/>
      <c r="L48" s="132"/>
      <c r="M48" s="132"/>
      <c r="N48" s="132"/>
      <c r="O48" s="132"/>
      <c r="P48" s="132"/>
      <c r="Q48" s="132"/>
      <c r="R48" s="132"/>
      <c r="S48" s="132"/>
      <c r="T48" s="132"/>
      <c r="V48" s="133"/>
      <c r="W48" s="133"/>
      <c r="X48" s="133"/>
    </row>
    <row r="49" spans="1:24" s="79" customFormat="1" ht="30" customHeight="1">
      <c r="A49" s="128">
        <f t="shared" si="0"/>
        <v>6</v>
      </c>
      <c r="B49" s="160"/>
      <c r="C49" s="154"/>
      <c r="D49" s="135"/>
      <c r="E49" s="126"/>
      <c r="F49" s="155"/>
      <c r="G49" s="139"/>
      <c r="H49" s="127"/>
      <c r="I49" s="131"/>
      <c r="J49" s="142"/>
      <c r="K49" s="129"/>
      <c r="L49" s="132"/>
      <c r="M49" s="132"/>
      <c r="N49" s="132"/>
      <c r="O49" s="132"/>
      <c r="P49" s="132"/>
      <c r="Q49" s="132"/>
      <c r="R49" s="132"/>
      <c r="S49" s="132"/>
      <c r="T49" s="132"/>
      <c r="V49" s="133"/>
      <c r="W49" s="133"/>
      <c r="X49" s="133"/>
    </row>
    <row r="50" spans="1:24" s="79" customFormat="1" ht="30" customHeight="1">
      <c r="A50" s="128">
        <f t="shared" si="0"/>
        <v>7</v>
      </c>
      <c r="B50" s="160"/>
      <c r="C50" s="154"/>
      <c r="D50" s="135"/>
      <c r="E50" s="126"/>
      <c r="F50" s="155"/>
      <c r="G50" s="139"/>
      <c r="H50" s="127"/>
      <c r="I50" s="131"/>
      <c r="J50" s="142"/>
      <c r="K50" s="129"/>
      <c r="L50" s="132"/>
      <c r="M50" s="132"/>
      <c r="N50" s="132"/>
      <c r="O50" s="132"/>
      <c r="P50" s="132"/>
      <c r="Q50" s="132"/>
      <c r="R50" s="132"/>
      <c r="S50" s="132"/>
      <c r="T50" s="132"/>
    </row>
    <row r="51" spans="1:24" s="79" customFormat="1" ht="30" customHeight="1">
      <c r="A51" s="128">
        <f t="shared" si="0"/>
        <v>8</v>
      </c>
      <c r="B51" s="160"/>
      <c r="C51" s="154"/>
      <c r="D51" s="135"/>
      <c r="E51" s="126"/>
      <c r="F51" s="155"/>
      <c r="G51" s="139"/>
      <c r="H51" s="127"/>
      <c r="I51" s="131"/>
      <c r="J51" s="142"/>
      <c r="K51" s="129"/>
      <c r="L51" s="132"/>
      <c r="M51" s="132"/>
      <c r="N51" s="132"/>
      <c r="O51" s="132"/>
      <c r="P51" s="132"/>
      <c r="Q51" s="132"/>
      <c r="R51" s="132"/>
      <c r="S51" s="132"/>
      <c r="T51" s="132"/>
    </row>
    <row r="52" spans="1:24" s="79" customFormat="1" ht="30" customHeight="1">
      <c r="A52" s="128">
        <f t="shared" si="0"/>
        <v>9</v>
      </c>
      <c r="B52" s="160"/>
      <c r="C52" s="154"/>
      <c r="D52" s="135"/>
      <c r="E52" s="126"/>
      <c r="F52" s="155"/>
      <c r="G52" s="139"/>
      <c r="H52" s="159"/>
      <c r="I52" s="131"/>
      <c r="J52" s="142"/>
      <c r="K52" s="129"/>
      <c r="L52" s="132"/>
      <c r="M52" s="132"/>
      <c r="N52" s="132"/>
      <c r="O52" s="132"/>
      <c r="P52" s="132"/>
      <c r="Q52" s="132"/>
      <c r="R52" s="132"/>
      <c r="S52" s="132"/>
      <c r="T52" s="132"/>
    </row>
    <row r="53" spans="1:24" s="79" customFormat="1" ht="30" customHeight="1">
      <c r="A53" s="128">
        <f t="shared" si="0"/>
        <v>10</v>
      </c>
      <c r="B53" s="160"/>
      <c r="C53" s="154"/>
      <c r="D53" s="135"/>
      <c r="E53" s="126"/>
      <c r="F53" s="155"/>
      <c r="G53" s="139"/>
      <c r="H53" s="159"/>
      <c r="I53" s="131"/>
      <c r="J53" s="142"/>
      <c r="K53" s="129"/>
      <c r="L53" s="132"/>
      <c r="M53" s="132"/>
      <c r="N53" s="132"/>
      <c r="O53" s="132"/>
      <c r="P53" s="132"/>
      <c r="Q53" s="132"/>
      <c r="R53" s="132"/>
      <c r="S53" s="132"/>
      <c r="T53" s="132"/>
    </row>
    <row r="54" spans="1:24" s="79" customFormat="1" ht="30" customHeight="1">
      <c r="A54" s="128">
        <f t="shared" si="0"/>
        <v>11</v>
      </c>
      <c r="B54" s="160"/>
      <c r="C54" s="154"/>
      <c r="D54" s="135"/>
      <c r="E54" s="126"/>
      <c r="F54" s="155"/>
      <c r="G54" s="139"/>
      <c r="H54" s="127"/>
      <c r="I54" s="131"/>
      <c r="J54" s="142"/>
      <c r="K54" s="129"/>
      <c r="L54" s="132"/>
      <c r="M54" s="132"/>
      <c r="N54" s="132"/>
      <c r="O54" s="132"/>
      <c r="P54" s="132"/>
      <c r="Q54" s="132"/>
      <c r="R54" s="132"/>
      <c r="S54" s="132"/>
      <c r="T54" s="132"/>
    </row>
    <row r="55" spans="1:24" s="79" customFormat="1" ht="30" customHeight="1">
      <c r="A55" s="128">
        <f t="shared" si="0"/>
        <v>12</v>
      </c>
      <c r="B55" s="160"/>
      <c r="C55" s="154"/>
      <c r="D55" s="135"/>
      <c r="E55" s="126"/>
      <c r="F55" s="155"/>
      <c r="G55" s="139"/>
      <c r="H55" s="127"/>
      <c r="I55" s="131"/>
      <c r="J55" s="142"/>
      <c r="K55" s="129"/>
      <c r="L55" s="132"/>
      <c r="M55" s="132"/>
      <c r="N55" s="132"/>
      <c r="O55" s="132"/>
      <c r="P55" s="132"/>
      <c r="Q55" s="132"/>
      <c r="R55" s="132"/>
      <c r="S55" s="132"/>
      <c r="T55" s="132"/>
    </row>
    <row r="56" spans="1:24" s="79" customFormat="1" ht="30" customHeight="1">
      <c r="A56" s="128">
        <f t="shared" si="0"/>
        <v>13</v>
      </c>
      <c r="B56" s="160"/>
      <c r="C56" s="154"/>
      <c r="D56" s="135"/>
      <c r="E56" s="126"/>
      <c r="F56" s="155"/>
      <c r="G56" s="139"/>
      <c r="H56" s="127"/>
      <c r="I56" s="131"/>
      <c r="J56" s="142"/>
      <c r="K56" s="129"/>
      <c r="L56" s="132"/>
      <c r="M56" s="132"/>
      <c r="N56" s="132"/>
      <c r="O56" s="132"/>
      <c r="P56" s="132"/>
      <c r="Q56" s="132"/>
      <c r="R56" s="132"/>
      <c r="S56" s="132"/>
      <c r="T56" s="132"/>
    </row>
    <row r="57" spans="1:24" s="79" customFormat="1" ht="30" customHeight="1">
      <c r="A57" s="128">
        <f t="shared" si="0"/>
        <v>14</v>
      </c>
      <c r="B57" s="160"/>
      <c r="C57" s="154"/>
      <c r="D57" s="135"/>
      <c r="E57" s="126"/>
      <c r="F57" s="155"/>
      <c r="G57" s="139"/>
      <c r="H57" s="127"/>
      <c r="I57" s="131"/>
      <c r="J57" s="142"/>
      <c r="K57" s="129"/>
      <c r="L57" s="132"/>
      <c r="M57" s="132"/>
      <c r="N57" s="132"/>
      <c r="O57" s="132"/>
      <c r="P57" s="132"/>
      <c r="Q57" s="132"/>
      <c r="R57" s="132"/>
      <c r="S57" s="132"/>
      <c r="T57" s="132"/>
    </row>
    <row r="58" spans="1:24" s="79" customFormat="1" ht="30" customHeight="1">
      <c r="A58" s="128">
        <f t="shared" ref="A58:A63" si="1">A57+1</f>
        <v>15</v>
      </c>
      <c r="B58" s="160"/>
      <c r="C58" s="154"/>
      <c r="D58" s="135"/>
      <c r="E58" s="126"/>
      <c r="F58" s="155"/>
      <c r="G58" s="139"/>
      <c r="H58" s="127"/>
      <c r="I58" s="131"/>
      <c r="J58" s="142"/>
      <c r="K58" s="129"/>
      <c r="L58" s="132"/>
      <c r="M58" s="132"/>
      <c r="N58" s="132"/>
      <c r="O58" s="132"/>
      <c r="P58" s="132"/>
      <c r="Q58" s="132"/>
      <c r="R58" s="132"/>
      <c r="S58" s="132"/>
      <c r="T58" s="132"/>
    </row>
    <row r="59" spans="1:24" s="79" customFormat="1" ht="30" customHeight="1">
      <c r="A59" s="128">
        <f t="shared" si="1"/>
        <v>16</v>
      </c>
      <c r="B59" s="160"/>
      <c r="C59" s="154"/>
      <c r="D59" s="135"/>
      <c r="E59" s="126"/>
      <c r="F59" s="155"/>
      <c r="G59" s="139"/>
      <c r="H59" s="159"/>
      <c r="I59" s="131"/>
      <c r="J59" s="142"/>
      <c r="K59" s="129"/>
      <c r="L59" s="132"/>
      <c r="M59" s="132"/>
      <c r="N59" s="132"/>
      <c r="O59" s="132"/>
      <c r="P59" s="132"/>
      <c r="Q59" s="132"/>
      <c r="R59" s="132"/>
      <c r="S59" s="132"/>
      <c r="T59" s="132"/>
    </row>
    <row r="60" spans="1:24" s="79" customFormat="1" ht="30" customHeight="1">
      <c r="A60" s="128">
        <f t="shared" si="1"/>
        <v>17</v>
      </c>
      <c r="B60" s="160"/>
      <c r="C60" s="154"/>
      <c r="D60" s="135"/>
      <c r="E60" s="126"/>
      <c r="F60" s="155"/>
      <c r="G60" s="139"/>
      <c r="H60" s="159"/>
      <c r="I60" s="131"/>
      <c r="J60" s="142"/>
      <c r="K60" s="129"/>
      <c r="L60" s="132"/>
      <c r="M60" s="132"/>
      <c r="N60" s="132"/>
      <c r="O60" s="132"/>
      <c r="P60" s="132"/>
      <c r="Q60" s="132"/>
      <c r="R60" s="132"/>
      <c r="S60" s="132"/>
      <c r="T60" s="132"/>
    </row>
    <row r="61" spans="1:24" s="79" customFormat="1" ht="30" customHeight="1">
      <c r="A61" s="128">
        <f t="shared" si="1"/>
        <v>18</v>
      </c>
      <c r="B61" s="160"/>
      <c r="C61" s="154"/>
      <c r="D61" s="135"/>
      <c r="E61" s="126"/>
      <c r="F61" s="155"/>
      <c r="G61" s="139"/>
      <c r="H61" s="127"/>
      <c r="I61" s="131"/>
      <c r="J61" s="142"/>
      <c r="K61" s="129"/>
      <c r="L61" s="132"/>
      <c r="M61" s="132"/>
      <c r="N61" s="132"/>
      <c r="O61" s="132"/>
      <c r="P61" s="132"/>
      <c r="Q61" s="132"/>
      <c r="R61" s="132"/>
      <c r="S61" s="132"/>
      <c r="T61" s="132"/>
    </row>
    <row r="62" spans="1:24" s="79" customFormat="1" ht="30" customHeight="1">
      <c r="A62" s="128">
        <f t="shared" si="1"/>
        <v>19</v>
      </c>
      <c r="B62" s="160"/>
      <c r="C62" s="154"/>
      <c r="D62" s="135"/>
      <c r="E62" s="126"/>
      <c r="F62" s="155"/>
      <c r="G62" s="139"/>
      <c r="H62" s="127"/>
      <c r="I62" s="131"/>
      <c r="J62" s="142"/>
      <c r="K62" s="129"/>
      <c r="L62" s="132"/>
      <c r="M62" s="132"/>
      <c r="N62" s="132"/>
      <c r="O62" s="132"/>
      <c r="P62" s="132"/>
      <c r="Q62" s="132"/>
      <c r="R62" s="132"/>
      <c r="S62" s="132"/>
      <c r="T62" s="132"/>
    </row>
    <row r="63" spans="1:24" s="79" customFormat="1" ht="30" customHeight="1">
      <c r="A63" s="128">
        <f t="shared" si="1"/>
        <v>20</v>
      </c>
      <c r="B63" s="160"/>
      <c r="C63" s="154"/>
      <c r="D63" s="135"/>
      <c r="E63" s="126"/>
      <c r="F63" s="155"/>
      <c r="G63" s="139"/>
      <c r="H63" s="127"/>
      <c r="I63" s="131"/>
      <c r="J63" s="142"/>
      <c r="K63" s="129"/>
      <c r="L63" s="132"/>
      <c r="M63" s="132"/>
      <c r="N63" s="132"/>
      <c r="O63" s="132"/>
      <c r="P63" s="132"/>
      <c r="Q63" s="132"/>
      <c r="R63" s="132"/>
      <c r="S63" s="132"/>
      <c r="T63" s="132"/>
    </row>
    <row r="64" spans="1:24" s="13" customFormat="1">
      <c r="A64" s="6" t="s">
        <v>319</v>
      </c>
      <c r="B64" s="12"/>
      <c r="C64" s="12"/>
      <c r="D64" s="136"/>
      <c r="E64" s="12"/>
      <c r="F64" s="12"/>
      <c r="G64" s="136"/>
      <c r="H64" s="12"/>
      <c r="I64" s="12"/>
      <c r="J64" s="136"/>
      <c r="K64" s="12"/>
      <c r="L64" s="12"/>
      <c r="M64" s="12"/>
      <c r="N64" s="12"/>
      <c r="O64" s="12"/>
      <c r="P64" s="12"/>
      <c r="Q64" s="12"/>
      <c r="R64" s="12"/>
      <c r="S64" s="12"/>
      <c r="T64" s="12"/>
    </row>
    <row r="65" spans="1:256" s="13" customFormat="1">
      <c r="B65" s="12"/>
      <c r="C65" s="12"/>
      <c r="D65" s="137"/>
      <c r="F65" s="12"/>
      <c r="G65" s="136"/>
      <c r="H65" s="12"/>
      <c r="I65" s="12"/>
      <c r="J65" s="136"/>
      <c r="K65" s="12"/>
      <c r="L65" s="12"/>
      <c r="M65" s="12"/>
      <c r="N65" s="12"/>
      <c r="O65" s="12"/>
      <c r="P65" s="12"/>
      <c r="Q65" s="12"/>
      <c r="R65" s="12"/>
      <c r="S65" s="12"/>
      <c r="T65" s="12"/>
    </row>
    <row r="66" spans="1:256">
      <c r="B66" s="12"/>
      <c r="C66" s="12"/>
      <c r="D66" s="138"/>
      <c r="F66" s="12"/>
      <c r="G66" s="136"/>
      <c r="H66" s="12"/>
      <c r="I66" s="12"/>
      <c r="J66" s="143"/>
      <c r="K66" s="6"/>
      <c r="L66" s="6"/>
      <c r="M66" s="6"/>
      <c r="N66" s="6"/>
      <c r="O66" s="6"/>
      <c r="P66" s="6"/>
      <c r="Q66" s="6"/>
      <c r="R66" s="6"/>
      <c r="S66" s="6"/>
      <c r="T66" s="6"/>
    </row>
    <row r="67" spans="1:256">
      <c r="B67" s="12"/>
      <c r="C67" s="21"/>
      <c r="D67" s="138"/>
      <c r="F67" s="12"/>
      <c r="G67" s="136"/>
      <c r="H67" s="12"/>
      <c r="I67" s="6"/>
      <c r="J67" s="143"/>
      <c r="K67" s="6"/>
      <c r="L67" s="6"/>
      <c r="M67" s="6"/>
      <c r="N67" s="6"/>
      <c r="O67" s="6"/>
      <c r="P67" s="6"/>
      <c r="Q67" s="6"/>
      <c r="R67" s="6"/>
      <c r="S67" s="6"/>
      <c r="T67" s="6"/>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c r="BE67" s="7"/>
      <c r="BF67" s="7"/>
      <c r="BG67" s="7"/>
      <c r="BH67" s="7"/>
      <c r="BI67" s="7"/>
      <c r="BJ67" s="7"/>
      <c r="BK67" s="7"/>
      <c r="BL67" s="7"/>
      <c r="BM67" s="7"/>
      <c r="BN67" s="7"/>
      <c r="BO67" s="7"/>
      <c r="BP67" s="7"/>
      <c r="BQ67" s="7"/>
      <c r="BR67" s="7"/>
      <c r="BS67" s="7"/>
      <c r="BT67" s="7"/>
      <c r="BU67" s="7"/>
      <c r="BV67" s="7"/>
      <c r="BW67" s="7"/>
      <c r="BX67" s="7"/>
      <c r="BY67" s="7"/>
      <c r="BZ67" s="7"/>
      <c r="CA67" s="7"/>
      <c r="CB67" s="7"/>
      <c r="CC67" s="7"/>
      <c r="CD67" s="7"/>
      <c r="CE67" s="7"/>
      <c r="CF67" s="7"/>
      <c r="CG67" s="7"/>
      <c r="CH67" s="7"/>
      <c r="CI67" s="7"/>
      <c r="CJ67" s="7"/>
      <c r="CK67" s="7"/>
      <c r="CL67" s="7"/>
      <c r="CM67" s="7"/>
      <c r="CN67" s="7"/>
      <c r="CO67" s="7"/>
      <c r="CP67" s="7"/>
      <c r="CQ67" s="7"/>
      <c r="CR67" s="7"/>
      <c r="CS67" s="7"/>
      <c r="CT67" s="7"/>
      <c r="CU67" s="7"/>
      <c r="CV67" s="7"/>
      <c r="CW67" s="7"/>
      <c r="CX67" s="7"/>
      <c r="CY67" s="7"/>
      <c r="CZ67" s="7"/>
      <c r="DA67" s="7"/>
      <c r="DB67" s="7"/>
      <c r="DC67" s="7"/>
      <c r="DD67" s="7"/>
      <c r="DE67" s="7"/>
      <c r="DF67" s="7"/>
      <c r="DG67" s="7"/>
      <c r="DH67" s="7"/>
      <c r="DI67" s="7"/>
      <c r="DJ67" s="7"/>
      <c r="DK67" s="7"/>
      <c r="DL67" s="7"/>
      <c r="DM67" s="7"/>
      <c r="DN67" s="7"/>
      <c r="DO67" s="7"/>
      <c r="DP67" s="7"/>
      <c r="DQ67" s="7"/>
      <c r="DR67" s="7"/>
      <c r="DS67" s="7"/>
      <c r="DT67" s="7"/>
      <c r="DU67" s="7"/>
      <c r="DV67" s="7"/>
      <c r="DW67" s="7"/>
      <c r="DX67" s="7"/>
      <c r="DY67" s="7"/>
      <c r="DZ67" s="7"/>
      <c r="EA67" s="7"/>
      <c r="EB67" s="7"/>
      <c r="EC67" s="7"/>
      <c r="ED67" s="7"/>
      <c r="EE67" s="7"/>
      <c r="EF67" s="7"/>
      <c r="EG67" s="7"/>
      <c r="EH67" s="7"/>
      <c r="EI67" s="7"/>
      <c r="EJ67" s="7"/>
      <c r="EK67" s="7"/>
      <c r="EL67" s="7"/>
      <c r="EM67" s="7"/>
      <c r="EN67" s="7"/>
      <c r="EO67" s="7"/>
      <c r="EP67" s="7"/>
      <c r="EQ67" s="7"/>
      <c r="ER67" s="7"/>
      <c r="ES67" s="7"/>
      <c r="ET67" s="7"/>
      <c r="EU67" s="7"/>
      <c r="EV67" s="7"/>
      <c r="EW67" s="7"/>
      <c r="EX67" s="7"/>
      <c r="EY67" s="7"/>
      <c r="EZ67" s="7"/>
      <c r="FA67" s="7"/>
      <c r="FB67" s="7"/>
      <c r="FC67" s="7"/>
      <c r="FD67" s="7"/>
      <c r="FE67" s="7"/>
      <c r="FF67" s="7"/>
      <c r="FG67" s="7"/>
      <c r="FH67" s="7"/>
      <c r="FI67" s="7"/>
      <c r="FJ67" s="7"/>
      <c r="FK67" s="7"/>
      <c r="FL67" s="7"/>
      <c r="FM67" s="7"/>
      <c r="FN67" s="7"/>
      <c r="FO67" s="7"/>
      <c r="FP67" s="7"/>
      <c r="FQ67" s="7"/>
      <c r="FR67" s="7"/>
      <c r="FS67" s="7"/>
      <c r="FT67" s="7"/>
      <c r="FU67" s="7"/>
      <c r="FV67" s="7"/>
      <c r="FW67" s="7"/>
      <c r="FX67" s="7"/>
      <c r="FY67" s="7"/>
      <c r="FZ67" s="7"/>
      <c r="GA67" s="7"/>
      <c r="GB67" s="7"/>
      <c r="GC67" s="7"/>
      <c r="GD67" s="7"/>
      <c r="GE67" s="7"/>
      <c r="GF67" s="7"/>
      <c r="GG67" s="7"/>
      <c r="GH67" s="7"/>
      <c r="GI67" s="7"/>
      <c r="GJ67" s="7"/>
      <c r="GK67" s="7"/>
      <c r="GL67" s="7"/>
      <c r="GM67" s="7"/>
      <c r="GN67" s="7"/>
      <c r="GO67" s="7"/>
      <c r="GP67" s="7"/>
      <c r="GQ67" s="7"/>
      <c r="GR67" s="7"/>
      <c r="GS67" s="7"/>
      <c r="GT67" s="7"/>
      <c r="GU67" s="7"/>
      <c r="GV67" s="7"/>
      <c r="GW67" s="7"/>
      <c r="GX67" s="7"/>
      <c r="GY67" s="7"/>
      <c r="GZ67" s="7"/>
      <c r="HA67" s="7"/>
      <c r="HB67" s="7"/>
      <c r="HC67" s="7"/>
      <c r="HD67" s="7"/>
      <c r="HE67" s="7"/>
      <c r="HF67" s="7"/>
      <c r="HG67" s="7"/>
      <c r="HH67" s="7"/>
      <c r="HI67" s="7"/>
      <c r="HJ67" s="7"/>
      <c r="HK67" s="7"/>
      <c r="HL67" s="7"/>
      <c r="HM67" s="7"/>
      <c r="HN67" s="7"/>
      <c r="HO67" s="7"/>
      <c r="HP67" s="7"/>
      <c r="HQ67" s="7"/>
      <c r="HR67" s="7"/>
      <c r="HS67" s="7"/>
      <c r="HT67" s="7"/>
      <c r="HU67" s="7"/>
      <c r="HV67" s="7"/>
      <c r="HW67" s="7"/>
      <c r="HX67" s="7"/>
      <c r="HY67" s="7"/>
      <c r="HZ67" s="7"/>
      <c r="IA67" s="7"/>
      <c r="IB67" s="7"/>
      <c r="IC67" s="7"/>
      <c r="ID67" s="7"/>
      <c r="IE67" s="7"/>
      <c r="IF67" s="7"/>
      <c r="IG67" s="7"/>
      <c r="IH67" s="7"/>
      <c r="II67" s="7"/>
      <c r="IJ67" s="7"/>
      <c r="IK67" s="7"/>
      <c r="IL67" s="7"/>
      <c r="IM67" s="7"/>
      <c r="IN67" s="7"/>
      <c r="IO67" s="7"/>
      <c r="IP67" s="7"/>
      <c r="IQ67" s="7"/>
      <c r="IR67" s="7"/>
      <c r="IS67" s="7"/>
      <c r="IT67" s="7"/>
      <c r="IU67" s="7"/>
      <c r="IV67" s="7"/>
    </row>
    <row r="68" spans="1:256">
      <c r="B68" s="12"/>
      <c r="C68" s="21"/>
      <c r="D68" s="138"/>
      <c r="F68" s="12"/>
      <c r="G68" s="140"/>
      <c r="H68" s="21"/>
      <c r="I68" s="4"/>
      <c r="J68" s="144"/>
      <c r="K68" s="4"/>
      <c r="L68" s="4"/>
      <c r="M68" s="4"/>
      <c r="N68" s="4"/>
      <c r="O68" s="4"/>
      <c r="P68" s="4"/>
      <c r="Q68" s="4"/>
      <c r="R68" s="4"/>
      <c r="S68" s="4"/>
      <c r="T68" s="4"/>
    </row>
    <row r="69" spans="1:256">
      <c r="B69" s="12"/>
      <c r="C69" s="21"/>
      <c r="D69" s="138"/>
      <c r="F69" s="12"/>
      <c r="G69" s="140"/>
      <c r="H69" s="21"/>
      <c r="I69" s="4"/>
      <c r="J69" s="144"/>
      <c r="K69" s="4"/>
      <c r="L69" s="4"/>
      <c r="M69" s="4"/>
      <c r="N69" s="4"/>
      <c r="O69" s="4"/>
      <c r="P69" s="4"/>
      <c r="Q69" s="4"/>
      <c r="R69" s="4"/>
      <c r="S69" s="4"/>
      <c r="T69" s="4"/>
    </row>
    <row r="70" spans="1:256">
      <c r="A70" s="12"/>
      <c r="B70" s="12"/>
      <c r="C70" s="21"/>
      <c r="D70" s="138"/>
      <c r="F70" s="21"/>
      <c r="G70" s="140"/>
      <c r="H70" s="21"/>
      <c r="I70" s="4"/>
      <c r="J70" s="144"/>
      <c r="K70" s="4"/>
      <c r="L70" s="4"/>
      <c r="M70" s="4"/>
      <c r="N70" s="4"/>
      <c r="O70" s="4"/>
      <c r="P70" s="4"/>
      <c r="Q70" s="4"/>
      <c r="R70" s="4"/>
      <c r="S70" s="4"/>
      <c r="T70" s="4"/>
    </row>
    <row r="71" spans="1:256">
      <c r="A71" s="12"/>
      <c r="B71" s="21"/>
      <c r="C71" s="21"/>
      <c r="D71" s="138"/>
      <c r="F71" s="21"/>
      <c r="G71" s="140"/>
      <c r="H71" s="21"/>
      <c r="I71" s="4"/>
      <c r="J71" s="144"/>
      <c r="K71" s="4"/>
      <c r="L71" s="4"/>
      <c r="M71" s="4"/>
      <c r="N71" s="4"/>
      <c r="O71" s="4"/>
      <c r="P71" s="4"/>
      <c r="Q71" s="4"/>
      <c r="R71" s="4"/>
      <c r="S71" s="4"/>
      <c r="T71" s="4"/>
    </row>
    <row r="72" spans="1:256">
      <c r="D72" s="138"/>
      <c r="G72" s="141"/>
      <c r="H72"/>
      <c r="J72" s="138"/>
    </row>
    <row r="73" spans="1:256">
      <c r="D73" s="138"/>
      <c r="G73" s="141"/>
      <c r="H73"/>
      <c r="J73" s="138"/>
    </row>
    <row r="74" spans="1:256">
      <c r="D74" s="138"/>
      <c r="G74" s="138"/>
      <c r="J74" s="138"/>
    </row>
    <row r="75" spans="1:256">
      <c r="D75" s="138"/>
      <c r="G75" s="138"/>
      <c r="J75" s="138"/>
    </row>
    <row r="76" spans="1:256">
      <c r="A76" s="46" t="s">
        <v>320</v>
      </c>
      <c r="D76" s="138"/>
      <c r="G76" s="138"/>
      <c r="J76" s="138"/>
    </row>
    <row r="77" spans="1:256">
      <c r="A77" s="46" t="s">
        <v>321</v>
      </c>
      <c r="D77" s="138"/>
      <c r="G77" s="138"/>
      <c r="J77" s="138"/>
    </row>
    <row r="78" spans="1:256">
      <c r="A78" s="46" t="s">
        <v>322</v>
      </c>
      <c r="D78" s="138"/>
      <c r="G78" s="138"/>
      <c r="J78" s="138"/>
    </row>
    <row r="79" spans="1:256">
      <c r="A79" s="46"/>
      <c r="D79" s="138"/>
      <c r="G79" s="138"/>
      <c r="J79" s="138"/>
    </row>
    <row r="80" spans="1:256">
      <c r="D80" s="138"/>
      <c r="G80" s="138"/>
      <c r="J80" s="138"/>
    </row>
    <row r="81" spans="4:10">
      <c r="D81" s="138"/>
      <c r="G81" s="138"/>
      <c r="J81" s="138"/>
    </row>
    <row r="82" spans="4:10">
      <c r="D82" s="138"/>
      <c r="G82" s="138"/>
      <c r="J82" s="138"/>
    </row>
    <row r="83" spans="4:10">
      <c r="D83" s="138"/>
      <c r="G83" s="138"/>
      <c r="J83" s="138"/>
    </row>
    <row r="84" spans="4:10">
      <c r="D84" s="138"/>
      <c r="G84" s="138"/>
      <c r="J84" s="138"/>
    </row>
    <row r="85" spans="4:10">
      <c r="D85" s="51"/>
      <c r="G85" s="138"/>
      <c r="J85" s="138"/>
    </row>
    <row r="86" spans="4:10">
      <c r="D86" s="51"/>
      <c r="G86" s="138"/>
      <c r="J86" s="138"/>
    </row>
    <row r="87" spans="4:10">
      <c r="D87" s="51"/>
      <c r="G87" s="138"/>
      <c r="J87" s="138"/>
    </row>
    <row r="88" spans="4:10">
      <c r="D88" s="51"/>
      <c r="G88" s="138"/>
      <c r="J88" s="138"/>
    </row>
    <row r="89" spans="4:10">
      <c r="D89" s="51"/>
      <c r="G89" s="138"/>
      <c r="J89" s="138"/>
    </row>
    <row r="90" spans="4:10">
      <c r="D90" s="51"/>
      <c r="G90" s="138"/>
      <c r="J90" s="63"/>
    </row>
    <row r="91" spans="4:10">
      <c r="D91" s="51"/>
      <c r="G91" s="138"/>
      <c r="J91" s="63"/>
    </row>
    <row r="92" spans="4:10">
      <c r="D92" s="51"/>
      <c r="G92" s="138"/>
      <c r="J92" s="63"/>
    </row>
    <row r="93" spans="4:10">
      <c r="D93" s="51"/>
      <c r="G93" s="138"/>
      <c r="J93" s="63"/>
    </row>
    <row r="94" spans="4:10">
      <c r="D94" s="51"/>
      <c r="G94" s="138"/>
      <c r="J94" s="63"/>
    </row>
    <row r="95" spans="4:10">
      <c r="D95" s="51"/>
      <c r="G95" s="138"/>
      <c r="J95" s="63"/>
    </row>
    <row r="96" spans="4:10">
      <c r="D96" s="51"/>
      <c r="G96" s="138"/>
      <c r="J96" s="63"/>
    </row>
    <row r="97" spans="4:10">
      <c r="D97" s="51"/>
      <c r="G97" s="138"/>
      <c r="J97" s="63"/>
    </row>
    <row r="98" spans="4:10">
      <c r="D98" s="51"/>
      <c r="G98" s="138"/>
      <c r="J98" s="63"/>
    </row>
    <row r="99" spans="4:10">
      <c r="D99" s="51"/>
      <c r="G99" s="138"/>
      <c r="J99" s="63"/>
    </row>
    <row r="100" spans="4:10">
      <c r="D100" s="51"/>
      <c r="G100" s="138"/>
      <c r="J100" s="63"/>
    </row>
    <row r="101" spans="4:10">
      <c r="D101" s="51"/>
      <c r="G101" s="138"/>
      <c r="J101" s="63"/>
    </row>
    <row r="102" spans="4:10">
      <c r="D102" s="51"/>
      <c r="G102" s="138"/>
      <c r="J102" s="63"/>
    </row>
    <row r="103" spans="4:10">
      <c r="D103" s="51"/>
      <c r="G103" s="138"/>
      <c r="J103" s="63"/>
    </row>
    <row r="104" spans="4:10">
      <c r="D104" s="51"/>
      <c r="G104" s="138"/>
      <c r="J104" s="63"/>
    </row>
    <row r="105" spans="4:10">
      <c r="D105" s="51"/>
      <c r="G105" s="51"/>
      <c r="J105" s="63"/>
    </row>
    <row r="106" spans="4:10">
      <c r="D106" s="51"/>
      <c r="G106" s="51"/>
      <c r="J106" s="63"/>
    </row>
    <row r="107" spans="4:10">
      <c r="D107" s="51"/>
      <c r="G107" s="51"/>
      <c r="J107" s="63"/>
    </row>
    <row r="108" spans="4:10">
      <c r="D108" s="51"/>
      <c r="G108" s="51"/>
      <c r="J108" s="63"/>
    </row>
    <row r="109" spans="4:10">
      <c r="D109" s="51"/>
      <c r="G109" s="51"/>
      <c r="J109" s="63"/>
    </row>
    <row r="110" spans="4:10">
      <c r="D110" s="51"/>
      <c r="G110" s="51"/>
      <c r="J110" s="63"/>
    </row>
    <row r="111" spans="4:10">
      <c r="D111" s="51"/>
      <c r="G111" s="51"/>
      <c r="J111" s="63"/>
    </row>
    <row r="112" spans="4:10">
      <c r="D112" s="51"/>
      <c r="G112" s="51"/>
      <c r="J112" s="63"/>
    </row>
    <row r="113" spans="4:10">
      <c r="D113" s="51"/>
      <c r="G113" s="51"/>
      <c r="J113" s="63"/>
    </row>
    <row r="114" spans="4:10">
      <c r="D114" s="51"/>
      <c r="G114" s="51"/>
      <c r="J114" s="63"/>
    </row>
    <row r="115" spans="4:10">
      <c r="D115" s="51"/>
      <c r="G115" s="51"/>
      <c r="J115" s="63"/>
    </row>
    <row r="116" spans="4:10">
      <c r="D116" s="51"/>
      <c r="G116" s="51"/>
    </row>
    <row r="117" spans="4:10">
      <c r="D117" s="51"/>
      <c r="G117" s="51"/>
    </row>
    <row r="118" spans="4:10">
      <c r="D118" s="51"/>
      <c r="G118" s="51"/>
    </row>
    <row r="119" spans="4:10">
      <c r="D119" s="51"/>
      <c r="G119" s="51"/>
    </row>
    <row r="120" spans="4:10">
      <c r="D120" s="51"/>
      <c r="G120" s="51"/>
    </row>
    <row r="121" spans="4:10">
      <c r="D121" s="51"/>
      <c r="G121" s="51"/>
    </row>
    <row r="122" spans="4:10">
      <c r="D122" s="51"/>
      <c r="G122" s="51"/>
    </row>
    <row r="123" spans="4:10">
      <c r="D123" s="51"/>
      <c r="G123" s="51"/>
    </row>
    <row r="124" spans="4:10">
      <c r="D124" s="51"/>
      <c r="G124" s="51"/>
    </row>
    <row r="125" spans="4:10">
      <c r="D125" s="51"/>
    </row>
    <row r="126" spans="4:10">
      <c r="D126" s="51"/>
    </row>
    <row r="127" spans="4:10">
      <c r="D127" s="51"/>
    </row>
    <row r="128" spans="4:10">
      <c r="D128" s="51"/>
    </row>
    <row r="129" spans="4:4">
      <c r="D129" s="51"/>
    </row>
    <row r="130" spans="4:4">
      <c r="D130" s="51"/>
    </row>
    <row r="131" spans="4:4">
      <c r="D131" s="51"/>
    </row>
    <row r="132" spans="4:4">
      <c r="D132" s="51"/>
    </row>
    <row r="133" spans="4:4">
      <c r="D133" s="51"/>
    </row>
    <row r="134" spans="4:4">
      <c r="D134" s="51"/>
    </row>
    <row r="135" spans="4:4">
      <c r="D135" s="51"/>
    </row>
    <row r="136" spans="4:4">
      <c r="D136" s="51"/>
    </row>
    <row r="137" spans="4:4">
      <c r="D137" s="51"/>
    </row>
    <row r="138" spans="4:4">
      <c r="D138" s="51"/>
    </row>
    <row r="139" spans="4:4">
      <c r="D139" s="51"/>
    </row>
    <row r="140" spans="4:4">
      <c r="D140" s="51"/>
    </row>
    <row r="141" spans="4:4">
      <c r="D141" s="51"/>
    </row>
    <row r="142" spans="4:4">
      <c r="D142" s="51"/>
    </row>
    <row r="143" spans="4:4">
      <c r="D143" s="51"/>
    </row>
    <row r="144" spans="4:4">
      <c r="D144" s="51"/>
    </row>
    <row r="145" spans="4:4">
      <c r="D145" s="51"/>
    </row>
    <row r="146" spans="4:4">
      <c r="D146" s="51"/>
    </row>
    <row r="147" spans="4:4">
      <c r="D147" s="51"/>
    </row>
    <row r="148" spans="4:4">
      <c r="D148" s="51"/>
    </row>
    <row r="149" spans="4:4">
      <c r="D149" s="51"/>
    </row>
    <row r="150" spans="4:4">
      <c r="D150" s="51"/>
    </row>
    <row r="151" spans="4:4">
      <c r="D151" s="51"/>
    </row>
    <row r="152" spans="4:4">
      <c r="D152" s="51"/>
    </row>
    <row r="153" spans="4:4">
      <c r="D153" s="51"/>
    </row>
    <row r="154" spans="4:4">
      <c r="D154" s="51"/>
    </row>
    <row r="155" spans="4:4">
      <c r="D155" s="51"/>
    </row>
    <row r="156" spans="4:4">
      <c r="D156" s="51"/>
    </row>
    <row r="157" spans="4:4">
      <c r="D157" s="51"/>
    </row>
    <row r="158" spans="4:4">
      <c r="D158" s="51"/>
    </row>
    <row r="159" spans="4:4">
      <c r="D159" s="51"/>
    </row>
    <row r="160" spans="4:4">
      <c r="D160" s="51"/>
    </row>
    <row r="161" spans="4:4">
      <c r="D161" s="51"/>
    </row>
    <row r="162" spans="4:4">
      <c r="D162" s="51"/>
    </row>
    <row r="163" spans="4:4">
      <c r="D163" s="51"/>
    </row>
    <row r="164" spans="4:4">
      <c r="D164" s="51"/>
    </row>
    <row r="165" spans="4:4">
      <c r="D165" s="51"/>
    </row>
    <row r="166" spans="4:4">
      <c r="D166" s="51"/>
    </row>
    <row r="167" spans="4:4">
      <c r="D167" s="51"/>
    </row>
    <row r="168" spans="4:4">
      <c r="D168" s="51"/>
    </row>
    <row r="169" spans="4:4">
      <c r="D169" s="51"/>
    </row>
    <row r="170" spans="4:4">
      <c r="D170" s="51"/>
    </row>
    <row r="171" spans="4:4">
      <c r="D171" s="51"/>
    </row>
    <row r="172" spans="4:4">
      <c r="D172" s="51"/>
    </row>
    <row r="173" spans="4:4">
      <c r="D173" s="51"/>
    </row>
    <row r="174" spans="4:4">
      <c r="D174" s="51"/>
    </row>
    <row r="175" spans="4:4">
      <c r="D175" s="51"/>
    </row>
    <row r="176" spans="4:4">
      <c r="D176" s="51"/>
    </row>
    <row r="177" spans="4:4">
      <c r="D177" s="51"/>
    </row>
  </sheetData>
  <mergeCells count="13">
    <mergeCell ref="C32:G32"/>
    <mergeCell ref="C38:F38"/>
    <mergeCell ref="J34:K35"/>
    <mergeCell ref="J37:K37"/>
    <mergeCell ref="A34:B34"/>
    <mergeCell ref="J33:K33"/>
    <mergeCell ref="J40:K40"/>
    <mergeCell ref="G37:I38"/>
    <mergeCell ref="A37:B37"/>
    <mergeCell ref="A38:B38"/>
    <mergeCell ref="A35:B35"/>
    <mergeCell ref="C37:F37"/>
    <mergeCell ref="J38:K38"/>
  </mergeCells>
  <phoneticPr fontId="2"/>
  <pageMargins left="0.64" right="0.2" top="0.78740157480314965" bottom="0.39370078740157483" header="0.51181102362204722" footer="0.21"/>
  <pageSetup paperSize="9" scale="47" fitToHeight="0" orientation="portrait" horizontalDpi="4294967293" verticalDpi="1200" r:id="rId1"/>
  <headerFooter alignWithMargins="0">
    <oddHeader>&amp;R&amp;"ＭＳ Ｐ明朝,標準"8201 様式11</oddHeader>
    <oddFooter>&amp;C&amp;P / &amp;N ページ</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pageSetUpPr fitToPage="1"/>
  </sheetPr>
  <dimension ref="A1:IV177"/>
  <sheetViews>
    <sheetView showGridLines="0" tabSelected="1" view="pageBreakPreview" topLeftCell="A38" zoomScale="130" zoomScaleNormal="100" zoomScaleSheetLayoutView="130" workbookViewId="0">
      <selection activeCell="F48" sqref="F48"/>
    </sheetView>
  </sheetViews>
  <sheetFormatPr defaultRowHeight="13.5"/>
  <cols>
    <col min="1" max="1" width="4.375" style="5" customWidth="1"/>
    <col min="2" max="2" width="5.5" customWidth="1"/>
    <col min="3" max="3" width="31.375" customWidth="1"/>
    <col min="4" max="4" width="7.625" style="5" customWidth="1"/>
    <col min="5" max="5" width="7" style="5" customWidth="1"/>
    <col min="6" max="6" width="23.375" customWidth="1"/>
    <col min="7" max="7" width="7.125" style="5" customWidth="1"/>
    <col min="8" max="8" width="6.25" style="5" customWidth="1"/>
    <col min="9" max="9" width="6.75" style="5" customWidth="1"/>
    <col min="10" max="10" width="7" style="5" customWidth="1"/>
    <col min="11" max="11" width="6" style="5" customWidth="1"/>
    <col min="12" max="12" width="9.25" style="5" customWidth="1"/>
    <col min="13" max="13" width="8" style="5" customWidth="1"/>
    <col min="14" max="14" width="12.75" style="5" customWidth="1"/>
    <col min="15" max="15" width="9.25" style="5" customWidth="1"/>
    <col min="16" max="16" width="8" style="5" customWidth="1"/>
    <col min="17" max="17" width="12.75" style="5" customWidth="1"/>
    <col min="18" max="18" width="9.25" style="5" customWidth="1"/>
    <col min="19" max="19" width="8" style="5" customWidth="1"/>
    <col min="20" max="20" width="12.75" style="5" customWidth="1"/>
  </cols>
  <sheetData>
    <row r="1" spans="1:104" ht="11.25" hidden="1" customHeight="1">
      <c r="A1"/>
      <c r="D1"/>
      <c r="E1"/>
      <c r="G1"/>
      <c r="H1"/>
      <c r="I1"/>
      <c r="J1"/>
      <c r="K1" s="44"/>
      <c r="L1" s="2" t="s">
        <v>134</v>
      </c>
      <c r="M1"/>
      <c r="N1"/>
      <c r="O1" s="2"/>
      <c r="P1"/>
      <c r="Q1"/>
      <c r="R1" s="2"/>
      <c r="S1"/>
      <c r="T1"/>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row>
    <row r="2" spans="1:104" ht="11.25" hidden="1" customHeight="1">
      <c r="A2"/>
      <c r="D2"/>
      <c r="E2"/>
      <c r="G2"/>
      <c r="H2"/>
      <c r="I2"/>
      <c r="J2"/>
      <c r="K2" s="44"/>
      <c r="L2"/>
      <c r="M2"/>
      <c r="N2"/>
      <c r="O2"/>
      <c r="P2"/>
      <c r="Q2"/>
      <c r="R2"/>
      <c r="S2"/>
      <c r="T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row>
    <row r="3" spans="1:104" ht="11.25" hidden="1" customHeight="1">
      <c r="A3"/>
      <c r="D3"/>
      <c r="E3"/>
      <c r="G3"/>
      <c r="H3"/>
      <c r="I3"/>
      <c r="J3"/>
      <c r="K3" s="44"/>
      <c r="L3" s="1" t="s">
        <v>50</v>
      </c>
      <c r="M3" s="3"/>
      <c r="N3" s="3" t="s">
        <v>135</v>
      </c>
      <c r="O3" s="1" t="s">
        <v>50</v>
      </c>
      <c r="P3" s="3"/>
      <c r="Q3" s="3" t="s">
        <v>135</v>
      </c>
      <c r="R3" s="1" t="s">
        <v>50</v>
      </c>
      <c r="S3" s="3"/>
      <c r="T3" s="3" t="s">
        <v>135</v>
      </c>
      <c r="U3" s="1" t="s">
        <v>50</v>
      </c>
      <c r="V3" s="3"/>
      <c r="W3" s="3" t="s">
        <v>135</v>
      </c>
      <c r="X3" s="1" t="s">
        <v>50</v>
      </c>
      <c r="Y3" s="3"/>
      <c r="Z3" s="3" t="s">
        <v>135</v>
      </c>
      <c r="AA3" s="1" t="s">
        <v>50</v>
      </c>
      <c r="AB3" s="3"/>
      <c r="AC3" s="3" t="s">
        <v>135</v>
      </c>
      <c r="AD3" s="1" t="s">
        <v>50</v>
      </c>
      <c r="AE3" s="3"/>
      <c r="AF3" s="3" t="s">
        <v>135</v>
      </c>
      <c r="AG3" s="1" t="s">
        <v>50</v>
      </c>
      <c r="AH3" s="3"/>
      <c r="AI3" s="3" t="s">
        <v>135</v>
      </c>
      <c r="AJ3" s="1" t="s">
        <v>50</v>
      </c>
      <c r="AK3" s="3"/>
      <c r="AL3" s="3" t="s">
        <v>135</v>
      </c>
      <c r="AM3" s="1" t="s">
        <v>50</v>
      </c>
      <c r="AN3" s="3"/>
      <c r="AO3" s="3" t="s">
        <v>135</v>
      </c>
      <c r="AP3" s="1" t="s">
        <v>50</v>
      </c>
      <c r="AQ3" s="3"/>
      <c r="AR3" s="3" t="s">
        <v>135</v>
      </c>
      <c r="AS3" s="1" t="s">
        <v>50</v>
      </c>
      <c r="AT3" s="3"/>
      <c r="AU3" s="3" t="s">
        <v>135</v>
      </c>
      <c r="AV3" s="1" t="s">
        <v>50</v>
      </c>
      <c r="AW3" s="3"/>
      <c r="AX3" s="3" t="s">
        <v>135</v>
      </c>
      <c r="AY3" s="1" t="s">
        <v>50</v>
      </c>
      <c r="AZ3" s="3"/>
      <c r="BA3" s="3" t="s">
        <v>135</v>
      </c>
      <c r="BB3" s="1" t="s">
        <v>50</v>
      </c>
      <c r="BC3" s="3"/>
      <c r="BD3" s="3" t="s">
        <v>135</v>
      </c>
      <c r="BE3" s="1" t="s">
        <v>50</v>
      </c>
      <c r="BF3" s="3"/>
      <c r="BG3" s="3" t="s">
        <v>135</v>
      </c>
      <c r="BH3" s="1" t="s">
        <v>50</v>
      </c>
      <c r="BI3" s="3"/>
      <c r="BJ3" s="3" t="s">
        <v>135</v>
      </c>
      <c r="BK3" s="1" t="s">
        <v>50</v>
      </c>
      <c r="BL3" s="3"/>
      <c r="BM3" s="3" t="s">
        <v>135</v>
      </c>
      <c r="BN3" s="1" t="s">
        <v>50</v>
      </c>
      <c r="BO3" s="3"/>
      <c r="BP3" s="3" t="s">
        <v>135</v>
      </c>
      <c r="BQ3" s="1" t="s">
        <v>50</v>
      </c>
      <c r="BR3" s="3"/>
      <c r="BS3" s="3" t="s">
        <v>135</v>
      </c>
      <c r="BT3" s="1" t="s">
        <v>50</v>
      </c>
      <c r="BU3" s="3"/>
      <c r="BV3" s="3" t="s">
        <v>135</v>
      </c>
      <c r="BW3" s="1" t="s">
        <v>50</v>
      </c>
      <c r="BX3" s="3"/>
      <c r="BY3" s="3" t="s">
        <v>135</v>
      </c>
      <c r="BZ3" s="1" t="s">
        <v>50</v>
      </c>
      <c r="CA3" s="3"/>
      <c r="CB3" s="3" t="s">
        <v>135</v>
      </c>
      <c r="CC3" s="1" t="s">
        <v>50</v>
      </c>
      <c r="CD3" s="3"/>
      <c r="CE3" s="3" t="s">
        <v>135</v>
      </c>
      <c r="CF3" s="1" t="s">
        <v>50</v>
      </c>
      <c r="CG3" s="3"/>
      <c r="CH3" s="3" t="s">
        <v>135</v>
      </c>
      <c r="CI3" s="1" t="s">
        <v>50</v>
      </c>
      <c r="CJ3" s="3"/>
      <c r="CK3" s="3" t="s">
        <v>135</v>
      </c>
      <c r="CL3" s="1" t="s">
        <v>50</v>
      </c>
      <c r="CM3" s="3"/>
      <c r="CN3" s="3" t="s">
        <v>135</v>
      </c>
      <c r="CO3" s="1" t="s">
        <v>50</v>
      </c>
      <c r="CP3" s="3"/>
      <c r="CQ3" s="3" t="s">
        <v>135</v>
      </c>
      <c r="CR3" s="1" t="s">
        <v>50</v>
      </c>
      <c r="CS3" s="3"/>
      <c r="CT3" s="3" t="s">
        <v>135</v>
      </c>
      <c r="CU3" s="1" t="s">
        <v>50</v>
      </c>
      <c r="CV3" s="3"/>
      <c r="CW3" s="3" t="s">
        <v>135</v>
      </c>
      <c r="CX3" s="1" t="s">
        <v>50</v>
      </c>
      <c r="CY3" s="3"/>
      <c r="CZ3" s="3" t="s">
        <v>135</v>
      </c>
    </row>
    <row r="4" spans="1:104" ht="11.25" hidden="1" customHeight="1">
      <c r="A4"/>
      <c r="D4"/>
      <c r="E4"/>
      <c r="G4"/>
      <c r="H4"/>
      <c r="I4"/>
      <c r="J4"/>
      <c r="K4" s="44"/>
      <c r="L4" s="2" t="s">
        <v>136</v>
      </c>
      <c r="M4" s="2"/>
      <c r="N4" s="2">
        <f>IF(ISNUMBER(DCOUNTA(査読範囲,L3,L3:L4)), DCOUNTA(査読範囲,L3,L3:L4), 0)</f>
        <v>0</v>
      </c>
      <c r="O4" s="2" t="s">
        <v>137</v>
      </c>
      <c r="P4" s="2"/>
      <c r="Q4" s="2">
        <f>IF(ISNUMBER(DCOUNTA(査読範囲,O3,O3:O4)), DCOUNTA(査読範囲,O3,O3:O4), 0)</f>
        <v>0</v>
      </c>
      <c r="R4" s="2" t="s">
        <v>138</v>
      </c>
      <c r="S4" s="2"/>
      <c r="T4" s="2">
        <f>IF(ISNUMBER(DCOUNTA(査読範囲,R3,R3:R4)), DCOUNTA(査読範囲,R3,R3:R4), 0)</f>
        <v>0</v>
      </c>
      <c r="U4" s="2" t="s">
        <v>139</v>
      </c>
      <c r="V4" s="2"/>
      <c r="W4" s="2">
        <f>IF(ISNUMBER(DCOUNTA(査読範囲,U3,U3:U4)), DCOUNTA(査読範囲,U3,U3:U4), 0)</f>
        <v>0</v>
      </c>
      <c r="X4" s="2" t="s">
        <v>140</v>
      </c>
      <c r="Y4" s="2"/>
      <c r="Z4" s="2">
        <f>IF(ISNUMBER(DCOUNTA(査読範囲,X3,X3:X4)), DCOUNTA(査読範囲,X3,X3:X4), 0)</f>
        <v>0</v>
      </c>
      <c r="AA4" s="2" t="s">
        <v>141</v>
      </c>
      <c r="AB4" s="2"/>
      <c r="AC4" s="2">
        <f>IF(ISNUMBER(DCOUNTA(査読範囲,AA3,AA3:AA4)), DCOUNTA(査読範囲,AA3,AA3:AA4), 0)</f>
        <v>0</v>
      </c>
      <c r="AD4" s="2" t="s">
        <v>142</v>
      </c>
      <c r="AE4" s="2"/>
      <c r="AF4" s="2">
        <f>IF(ISNUMBER(DCOUNTA(査読範囲,AD3,AD3:AD4)), DCOUNTA(査読範囲,AD3,AD3:AD4), 0)</f>
        <v>0</v>
      </c>
      <c r="AG4" s="2" t="s">
        <v>143</v>
      </c>
      <c r="AH4" s="2"/>
      <c r="AI4" s="2">
        <f>IF(ISNUMBER(DCOUNTA(査読範囲,AG3,AG3:AG4)), DCOUNTA(査読範囲,AG3,AG3:AG4), 0)</f>
        <v>0</v>
      </c>
      <c r="AJ4" s="2" t="s">
        <v>144</v>
      </c>
      <c r="AK4" s="2"/>
      <c r="AL4" s="2">
        <f>IF(ISNUMBER(DCOUNTA(査読範囲,AJ3,AJ3:AJ4)), DCOUNTA(査読範囲,AJ3,AJ3:AJ4), 0)</f>
        <v>0</v>
      </c>
      <c r="AM4" s="2" t="s">
        <v>145</v>
      </c>
      <c r="AN4" s="2"/>
      <c r="AO4" s="2">
        <f>IF(ISNUMBER(DCOUNTA(査読範囲,AM3,AM3:AM4)), DCOUNTA(査読範囲,AM3,AM3:AM4), 0)</f>
        <v>0</v>
      </c>
      <c r="AP4" s="2" t="s">
        <v>146</v>
      </c>
      <c r="AQ4" s="2"/>
      <c r="AR4" s="2">
        <f>IF(ISNUMBER(DCOUNTA(査読範囲,AP3,AP3:AP4)), DCOUNTA(査読範囲,AP3,AP3:AP4), 0)</f>
        <v>0</v>
      </c>
      <c r="AS4" s="2" t="s">
        <v>147</v>
      </c>
      <c r="AT4" s="2"/>
      <c r="AU4" s="2">
        <f>IF(ISNUMBER(DCOUNTA(査読範囲,AS3,AS3:AS4)), DCOUNTA(査読範囲,AS3,AS3:AS4), 0)</f>
        <v>0</v>
      </c>
      <c r="AV4" s="2" t="s">
        <v>148</v>
      </c>
      <c r="AW4" s="2"/>
      <c r="AX4" s="2">
        <f>IF(ISNUMBER(DCOUNTA(査読範囲,AV3,AV3:AV4)), DCOUNTA(査読範囲,AV3,AV3:AV4), 0)</f>
        <v>0</v>
      </c>
      <c r="AY4" s="2" t="s">
        <v>149</v>
      </c>
      <c r="AZ4" s="2"/>
      <c r="BA4" s="2">
        <f>IF(ISNUMBER(DCOUNTA(査読範囲,AY3,AY3:AY4)), DCOUNTA(査読範囲,AY3,AY3:AY4), 0)</f>
        <v>0</v>
      </c>
      <c r="BB4" s="2" t="s">
        <v>150</v>
      </c>
      <c r="BC4" s="2"/>
      <c r="BD4" s="2">
        <f>IF(ISNUMBER(DCOUNTA(査読範囲,BB3,BB3:BB4)), DCOUNTA(査読範囲,BB3,BB3:BB4), 0)</f>
        <v>0</v>
      </c>
      <c r="BE4" s="2" t="s">
        <v>151</v>
      </c>
      <c r="BF4" s="2"/>
      <c r="BG4" s="2">
        <f>IF(ISNUMBER(DCOUNTA(査読範囲,BE3,BE3:BE4)), DCOUNTA(査読範囲,BE3,BE3:BE4), 0)</f>
        <v>0</v>
      </c>
      <c r="BH4" s="2" t="s">
        <v>152</v>
      </c>
      <c r="BI4" s="2"/>
      <c r="BJ4" s="2">
        <f>IF(ISNUMBER(DCOUNTA(査読範囲,BH3,BH3:BH4)), DCOUNTA(査読範囲,BH3,BH3:BH4), 0)</f>
        <v>0</v>
      </c>
      <c r="BK4" s="2" t="s">
        <v>153</v>
      </c>
      <c r="BL4" s="2"/>
      <c r="BM4" s="2">
        <f>IF(ISNUMBER(DCOUNTA(査読範囲,BK3,BK3:BK4)), DCOUNTA(査読範囲,BK3,BK3:BK4), 0)</f>
        <v>0</v>
      </c>
      <c r="BN4" s="2" t="s">
        <v>154</v>
      </c>
      <c r="BO4" s="2"/>
      <c r="BP4" s="2">
        <f>IF(ISNUMBER(DCOUNTA(査読範囲,BN3,BN3:BN4)), DCOUNTA(査読範囲,BN3,BN3:BN4), 0)</f>
        <v>0</v>
      </c>
      <c r="BQ4" s="2" t="s">
        <v>155</v>
      </c>
      <c r="BR4" s="2"/>
      <c r="BS4" s="2">
        <f>IF(ISNUMBER(DCOUNTA(査読範囲,BQ3,BQ3:BQ4)), DCOUNTA(査読範囲,BQ3,BQ3:BQ4), 0)</f>
        <v>0</v>
      </c>
      <c r="BT4" s="2" t="s">
        <v>156</v>
      </c>
      <c r="BU4" s="2"/>
      <c r="BV4" s="2">
        <f>IF(ISNUMBER(DCOUNTA(査読範囲,BT3,BT3:BT4)), DCOUNTA(査読範囲,BT3,BT3:BT4), 0)</f>
        <v>0</v>
      </c>
      <c r="BW4" s="2" t="s">
        <v>157</v>
      </c>
      <c r="BX4" s="2"/>
      <c r="BY4" s="2">
        <f>IF(ISNUMBER(DCOUNTA(査読範囲,BW3,BW3:BW4)), DCOUNTA(査読範囲,BW3,BW3:BW4), 0)</f>
        <v>0</v>
      </c>
      <c r="BZ4" s="2" t="s">
        <v>158</v>
      </c>
      <c r="CA4" s="2"/>
      <c r="CB4" s="2">
        <f>IF(ISNUMBER(DCOUNTA(査読範囲,BZ3,BZ3:BZ4)), DCOUNTA(査読範囲,BZ3,BZ3:BZ4), 0)</f>
        <v>0</v>
      </c>
      <c r="CC4" s="2" t="s">
        <v>159</v>
      </c>
      <c r="CD4" s="2"/>
      <c r="CE4" s="2">
        <f>IF(ISNUMBER(DCOUNTA(査読範囲,CC3,CC3:CC4)), DCOUNTA(査読範囲,CC3,CC3:CC4), 0)</f>
        <v>0</v>
      </c>
      <c r="CF4" s="2" t="s">
        <v>160</v>
      </c>
      <c r="CG4" s="2"/>
      <c r="CH4" s="2">
        <f>IF(ISNUMBER(DCOUNTA(査読範囲,CF3,CF3:CF4)), DCOUNTA(査読範囲,CF3,CF3:CF4), 0)</f>
        <v>0</v>
      </c>
      <c r="CI4" s="2" t="s">
        <v>161</v>
      </c>
      <c r="CJ4" s="2"/>
      <c r="CK4" s="2">
        <f>IF(ISNUMBER(DCOUNTA(査読範囲,CI3,CI3:CI4)), DCOUNTA(査読範囲,CI3,CI3:CI4), 0)</f>
        <v>0</v>
      </c>
      <c r="CL4" s="2" t="s">
        <v>162</v>
      </c>
      <c r="CM4" s="2"/>
      <c r="CN4" s="2">
        <f>IF(ISNUMBER(DCOUNTA(査読範囲,CL3,CL3:CL4)), DCOUNTA(査読範囲,CL3,CL3:CL4), 0)</f>
        <v>0</v>
      </c>
      <c r="CO4" s="2" t="s">
        <v>163</v>
      </c>
      <c r="CP4" s="2"/>
      <c r="CQ4" s="2">
        <f>IF(ISNUMBER(DCOUNTA(査読範囲,CO3,CO3:CO4)), DCOUNTA(査読範囲,CO3,CO3:CO4), 0)</f>
        <v>0</v>
      </c>
      <c r="CR4" s="2" t="s">
        <v>164</v>
      </c>
      <c r="CS4" s="2"/>
      <c r="CT4" s="2">
        <f>IF(ISNUMBER(DCOUNTA(査読範囲,CR3,CR3:CR4)), DCOUNTA(査読範囲,CR3,CR3:CR4), 0)</f>
        <v>0</v>
      </c>
      <c r="CU4" s="2" t="s">
        <v>165</v>
      </c>
      <c r="CV4" s="2"/>
      <c r="CW4" s="2">
        <f>IF(ISNUMBER(DCOUNTA(査読範囲,CU3,CU3:CU4)), DCOUNTA(査読範囲,CU3,CU3:CU4), 0)</f>
        <v>0</v>
      </c>
      <c r="CX4" s="2" t="s">
        <v>166</v>
      </c>
      <c r="CY4" s="2"/>
      <c r="CZ4" s="2">
        <f>IF(ISNUMBER(DCOUNTA(査読範囲,CX3,CX3:CX4)), DCOUNTA(査読範囲,CX3,CX3:CX4), 0)</f>
        <v>0</v>
      </c>
    </row>
    <row r="5" spans="1:104" ht="11.25" hidden="1" customHeight="1">
      <c r="A5"/>
      <c r="D5"/>
      <c r="E5"/>
      <c r="G5"/>
      <c r="H5"/>
      <c r="I5"/>
      <c r="J5"/>
      <c r="K5" s="44"/>
      <c r="L5" s="1" t="s">
        <v>50</v>
      </c>
      <c r="M5" s="3"/>
      <c r="N5" s="3" t="s">
        <v>135</v>
      </c>
      <c r="O5" s="1" t="s">
        <v>50</v>
      </c>
      <c r="P5" s="3"/>
      <c r="Q5" s="3" t="s">
        <v>135</v>
      </c>
      <c r="R5" s="1" t="s">
        <v>50</v>
      </c>
      <c r="S5" s="3"/>
      <c r="T5" s="3" t="s">
        <v>135</v>
      </c>
      <c r="U5" s="1" t="s">
        <v>50</v>
      </c>
      <c r="V5" s="3"/>
      <c r="W5" s="3" t="s">
        <v>135</v>
      </c>
      <c r="X5" s="1" t="s">
        <v>50</v>
      </c>
      <c r="Y5" s="3"/>
      <c r="Z5" s="3" t="s">
        <v>135</v>
      </c>
      <c r="AA5" s="1" t="s">
        <v>50</v>
      </c>
      <c r="AB5" s="3"/>
      <c r="AC5" s="3" t="s">
        <v>135</v>
      </c>
      <c r="AD5" s="1" t="s">
        <v>50</v>
      </c>
      <c r="AE5" s="3"/>
      <c r="AF5" s="3" t="s">
        <v>135</v>
      </c>
      <c r="AG5" s="1" t="s">
        <v>50</v>
      </c>
      <c r="AH5" s="3"/>
      <c r="AI5" s="3" t="s">
        <v>135</v>
      </c>
      <c r="AJ5" s="1" t="s">
        <v>50</v>
      </c>
      <c r="AK5" s="3"/>
      <c r="AL5" s="3" t="s">
        <v>135</v>
      </c>
      <c r="AM5" s="1" t="s">
        <v>50</v>
      </c>
      <c r="AN5" s="3"/>
      <c r="AO5" s="3" t="s">
        <v>135</v>
      </c>
      <c r="AP5" s="1" t="s">
        <v>50</v>
      </c>
      <c r="AQ5" s="3"/>
      <c r="AR5" s="3" t="s">
        <v>135</v>
      </c>
      <c r="AS5" s="1" t="s">
        <v>50</v>
      </c>
      <c r="AT5" s="3"/>
      <c r="AU5" s="3" t="s">
        <v>135</v>
      </c>
      <c r="AV5" s="1" t="s">
        <v>50</v>
      </c>
      <c r="AW5" s="3"/>
      <c r="AX5" s="3" t="s">
        <v>135</v>
      </c>
      <c r="AY5" s="1" t="s">
        <v>50</v>
      </c>
      <c r="AZ5" s="3"/>
      <c r="BA5" s="3" t="s">
        <v>135</v>
      </c>
      <c r="BB5" s="1" t="s">
        <v>50</v>
      </c>
      <c r="BC5" s="3"/>
      <c r="BD5" s="3" t="s">
        <v>135</v>
      </c>
      <c r="BE5" s="1" t="s">
        <v>50</v>
      </c>
      <c r="BF5" s="3"/>
      <c r="BG5" s="3" t="s">
        <v>135</v>
      </c>
      <c r="BH5" s="1" t="s">
        <v>50</v>
      </c>
      <c r="BI5" s="3"/>
      <c r="BJ5" s="3" t="s">
        <v>135</v>
      </c>
      <c r="BK5" s="1" t="s">
        <v>50</v>
      </c>
      <c r="BL5" s="3"/>
      <c r="BM5" s="3" t="s">
        <v>135</v>
      </c>
      <c r="BN5" s="1" t="s">
        <v>50</v>
      </c>
      <c r="BO5" s="3"/>
      <c r="BP5" s="3" t="s">
        <v>135</v>
      </c>
      <c r="BQ5" s="1" t="s">
        <v>50</v>
      </c>
      <c r="BR5" s="3"/>
      <c r="BS5" s="3" t="s">
        <v>135</v>
      </c>
      <c r="BT5" s="1" t="s">
        <v>50</v>
      </c>
      <c r="BU5" s="3"/>
      <c r="BV5" s="3" t="s">
        <v>135</v>
      </c>
      <c r="BW5" s="1" t="s">
        <v>50</v>
      </c>
      <c r="BX5" s="3"/>
      <c r="BY5" s="3" t="s">
        <v>135</v>
      </c>
      <c r="BZ5" s="1" t="s">
        <v>50</v>
      </c>
      <c r="CA5" s="3"/>
      <c r="CB5" s="3" t="s">
        <v>135</v>
      </c>
      <c r="CC5" s="1" t="s">
        <v>50</v>
      </c>
      <c r="CD5" s="3"/>
      <c r="CE5" s="3" t="s">
        <v>135</v>
      </c>
      <c r="CF5" s="1" t="s">
        <v>50</v>
      </c>
      <c r="CG5" s="3"/>
      <c r="CH5" s="3" t="s">
        <v>135</v>
      </c>
      <c r="CI5" s="1" t="s">
        <v>50</v>
      </c>
      <c r="CJ5" s="3"/>
      <c r="CK5" s="3" t="s">
        <v>135</v>
      </c>
      <c r="CL5" s="1" t="s">
        <v>50</v>
      </c>
      <c r="CM5" s="3"/>
      <c r="CN5" s="3" t="s">
        <v>135</v>
      </c>
      <c r="CO5" s="1" t="s">
        <v>50</v>
      </c>
      <c r="CP5" s="3"/>
      <c r="CQ5" s="3" t="s">
        <v>135</v>
      </c>
      <c r="CR5" s="1" t="s">
        <v>50</v>
      </c>
      <c r="CS5" s="3"/>
      <c r="CT5" s="3" t="s">
        <v>135</v>
      </c>
      <c r="CU5" s="1" t="s">
        <v>50</v>
      </c>
      <c r="CV5" s="3"/>
      <c r="CW5" s="3" t="s">
        <v>135</v>
      </c>
      <c r="CX5" s="1" t="s">
        <v>50</v>
      </c>
      <c r="CY5" s="3"/>
      <c r="CZ5" s="3" t="s">
        <v>135</v>
      </c>
    </row>
    <row r="6" spans="1:104" ht="11.25" hidden="1" customHeight="1">
      <c r="A6"/>
      <c r="D6"/>
      <c r="E6"/>
      <c r="G6"/>
      <c r="H6"/>
      <c r="I6"/>
      <c r="J6"/>
      <c r="K6" s="44"/>
      <c r="L6" s="2" t="s">
        <v>167</v>
      </c>
      <c r="M6" s="2"/>
      <c r="N6" s="2">
        <f>IF(ISNUMBER(DCOUNTA(査読範囲,L5,L5:L6)), DCOUNTA(査読範囲,L5,L5:L6), 0)</f>
        <v>0</v>
      </c>
      <c r="O6" s="2" t="s">
        <v>168</v>
      </c>
      <c r="P6" s="2"/>
      <c r="Q6" s="2">
        <f>IF(ISNUMBER(DCOUNTA(査読範囲,O5,O5:O6)), DCOUNTA(査読範囲,O5,O5:O6), 0)</f>
        <v>0</v>
      </c>
      <c r="R6" s="2" t="s">
        <v>169</v>
      </c>
      <c r="S6" s="2"/>
      <c r="T6" s="2">
        <f>IF(ISNUMBER(DCOUNTA(査読範囲,R5,R5:R6)), DCOUNTA(査読範囲,R5,R5:R6), 0)</f>
        <v>0</v>
      </c>
      <c r="U6" s="2" t="s">
        <v>170</v>
      </c>
      <c r="V6" s="2"/>
      <c r="W6" s="2">
        <f>IF(ISNUMBER(DCOUNTA(査読範囲,U5,U5:U6)), DCOUNTA(査読範囲,U5,U5:U6), 0)</f>
        <v>0</v>
      </c>
      <c r="X6" s="2" t="s">
        <v>171</v>
      </c>
      <c r="Y6" s="2"/>
      <c r="Z6" s="2">
        <f>IF(ISNUMBER(DCOUNTA(査読範囲,X5,X5:X6)), DCOUNTA(査読範囲,X5,X5:X6), 0)</f>
        <v>0</v>
      </c>
      <c r="AA6" s="2" t="s">
        <v>172</v>
      </c>
      <c r="AB6" s="2"/>
      <c r="AC6" s="2">
        <f>IF(ISNUMBER(DCOUNTA(査読範囲,AA5,AA5:AA6)), DCOUNTA(査読範囲,AA5,AA5:AA6), 0)</f>
        <v>0</v>
      </c>
      <c r="AD6" s="2" t="s">
        <v>173</v>
      </c>
      <c r="AE6" s="2"/>
      <c r="AF6" s="2">
        <f>IF(ISNUMBER(DCOUNTA(査読範囲,AD5,AD5:AD6)), DCOUNTA(査読範囲,AD5,AD5:AD6), 0)</f>
        <v>0</v>
      </c>
      <c r="AG6" s="2" t="s">
        <v>174</v>
      </c>
      <c r="AH6" s="2"/>
      <c r="AI6" s="2">
        <f>IF(ISNUMBER(DCOUNTA(査読範囲,AG5,AG5:AG6)), DCOUNTA(査読範囲,AG5,AG5:AG6), 0)</f>
        <v>0</v>
      </c>
      <c r="AJ6" s="2" t="s">
        <v>175</v>
      </c>
      <c r="AK6" s="2"/>
      <c r="AL6" s="2">
        <f>IF(ISNUMBER(DCOUNTA(査読範囲,AJ5,AJ5:AJ6)), DCOUNTA(査読範囲,AJ5,AJ5:AJ6), 0)</f>
        <v>0</v>
      </c>
      <c r="AM6" s="2" t="s">
        <v>176</v>
      </c>
      <c r="AN6" s="2"/>
      <c r="AO6" s="2">
        <f>IF(ISNUMBER(DCOUNTA(査読範囲,AM5,AM5:AM6)), DCOUNTA(査読範囲,AM5,AM5:AM6), 0)</f>
        <v>0</v>
      </c>
      <c r="AP6" s="2" t="s">
        <v>177</v>
      </c>
      <c r="AQ6" s="2"/>
      <c r="AR6" s="2">
        <f>IF(ISNUMBER(DCOUNTA(査読範囲,AP5,AP5:AP6)), DCOUNTA(査読範囲,AP5,AP5:AP6), 0)</f>
        <v>0</v>
      </c>
      <c r="AS6" s="2" t="s">
        <v>178</v>
      </c>
      <c r="AT6" s="2"/>
      <c r="AU6" s="2">
        <f>IF(ISNUMBER(DCOUNTA(査読範囲,AS5,AS5:AS6)), DCOUNTA(査読範囲,AS5,AS5:AS6), 0)</f>
        <v>0</v>
      </c>
      <c r="AV6" s="2" t="s">
        <v>179</v>
      </c>
      <c r="AW6" s="2"/>
      <c r="AX6" s="2">
        <f>IF(ISNUMBER(DCOUNTA(査読範囲,AV5,AV5:AV6)), DCOUNTA(査読範囲,AV5,AV5:AV6), 0)</f>
        <v>0</v>
      </c>
      <c r="AY6" s="2" t="s">
        <v>180</v>
      </c>
      <c r="AZ6" s="2"/>
      <c r="BA6" s="2">
        <f>IF(ISNUMBER(DCOUNTA(査読範囲,AY5,AY5:AY6)), DCOUNTA(査読範囲,AY5,AY5:AY6), 0)</f>
        <v>0</v>
      </c>
      <c r="BB6" s="2" t="s">
        <v>181</v>
      </c>
      <c r="BC6" s="2"/>
      <c r="BD6" s="2">
        <f>IF(ISNUMBER(DCOUNTA(査読範囲,BB5,BB5:BB6)), DCOUNTA(査読範囲,BB5,BB5:BB6), 0)</f>
        <v>0</v>
      </c>
      <c r="BE6" s="2" t="s">
        <v>182</v>
      </c>
      <c r="BF6" s="2"/>
      <c r="BG6" s="2">
        <f>IF(ISNUMBER(DCOUNTA(査読範囲,BE5,BE5:BE6)), DCOUNTA(査読範囲,BE5,BE5:BE6), 0)</f>
        <v>0</v>
      </c>
      <c r="BH6" s="2" t="s">
        <v>183</v>
      </c>
      <c r="BI6" s="2"/>
      <c r="BJ6" s="2">
        <f>IF(ISNUMBER(DCOUNTA(査読範囲,BH5,BH5:BH6)), DCOUNTA(査読範囲,BH5,BH5:BH6), 0)</f>
        <v>0</v>
      </c>
      <c r="BK6" s="2" t="s">
        <v>184</v>
      </c>
      <c r="BL6" s="2"/>
      <c r="BM6" s="2">
        <f>IF(ISNUMBER(DCOUNTA(査読範囲,BK5,BK5:BK6)), DCOUNTA(査読範囲,BK5,BK5:BK6), 0)</f>
        <v>0</v>
      </c>
      <c r="BN6" s="2" t="s">
        <v>185</v>
      </c>
      <c r="BO6" s="2"/>
      <c r="BP6" s="2">
        <f>IF(ISNUMBER(DCOUNTA(査読範囲,BN5,BN5:BN6)), DCOUNTA(査読範囲,BN5,BN5:BN6), 0)</f>
        <v>0</v>
      </c>
      <c r="BQ6" s="2" t="s">
        <v>186</v>
      </c>
      <c r="BR6" s="2"/>
      <c r="BS6" s="2">
        <f>IF(ISNUMBER(DCOUNTA(査読範囲,BQ5,BQ5:BQ6)), DCOUNTA(査読範囲,BQ5,BQ5:BQ6), 0)</f>
        <v>0</v>
      </c>
      <c r="BT6" s="2" t="s">
        <v>187</v>
      </c>
      <c r="BU6" s="2"/>
      <c r="BV6" s="2">
        <f>IF(ISNUMBER(DCOUNTA(査読範囲,BT5,BT5:BT6)), DCOUNTA(査読範囲,BT5,BT5:BT6), 0)</f>
        <v>0</v>
      </c>
      <c r="BW6" s="2" t="s">
        <v>188</v>
      </c>
      <c r="BX6" s="2"/>
      <c r="BY6" s="2">
        <f>IF(ISNUMBER(DCOUNTA(査読範囲,BW5,BW5:BW6)), DCOUNTA(査読範囲,BW5,BW5:BW6), 0)</f>
        <v>0</v>
      </c>
      <c r="BZ6" s="2" t="s">
        <v>189</v>
      </c>
      <c r="CA6" s="2"/>
      <c r="CB6" s="2">
        <f>IF(ISNUMBER(DCOUNTA(査読範囲,BZ5,BZ5:BZ6)), DCOUNTA(査読範囲,BZ5,BZ5:BZ6), 0)</f>
        <v>0</v>
      </c>
      <c r="CC6" s="2" t="s">
        <v>190</v>
      </c>
      <c r="CD6" s="2"/>
      <c r="CE6" s="2">
        <f>IF(ISNUMBER(DCOUNTA(査読範囲,CC5,CC5:CC6)), DCOUNTA(査読範囲,CC5,CC5:CC6), 0)</f>
        <v>0</v>
      </c>
      <c r="CF6" s="2" t="s">
        <v>191</v>
      </c>
      <c r="CG6" s="2"/>
      <c r="CH6" s="2">
        <f>IF(ISNUMBER(DCOUNTA(査読範囲,CF5,CF5:CF6)), DCOUNTA(査読範囲,CF5,CF5:CF6), 0)</f>
        <v>0</v>
      </c>
      <c r="CI6" s="2" t="s">
        <v>192</v>
      </c>
      <c r="CJ6" s="2"/>
      <c r="CK6" s="2">
        <f>IF(ISNUMBER(DCOUNTA(査読範囲,CI5,CI5:CI6)), DCOUNTA(査読範囲,CI5,CI5:CI6), 0)</f>
        <v>0</v>
      </c>
      <c r="CL6" s="2" t="s">
        <v>193</v>
      </c>
      <c r="CM6" s="2"/>
      <c r="CN6" s="2">
        <f>IF(ISNUMBER(DCOUNTA(査読範囲,CL5,CL5:CL6)), DCOUNTA(査読範囲,CL5,CL5:CL6), 0)</f>
        <v>0</v>
      </c>
      <c r="CO6" s="2" t="s">
        <v>194</v>
      </c>
      <c r="CP6" s="2"/>
      <c r="CQ6" s="2">
        <f>IF(ISNUMBER(DCOUNTA(査読範囲,CO5,CO5:CO6)), DCOUNTA(査読範囲,CO5,CO5:CO6), 0)</f>
        <v>0</v>
      </c>
      <c r="CR6" s="2" t="s">
        <v>195</v>
      </c>
      <c r="CS6" s="2"/>
      <c r="CT6" s="2">
        <f>IF(ISNUMBER(DCOUNTA(査読範囲,CR5,CR5:CR6)), DCOUNTA(査読範囲,CR5,CR5:CR6), 0)</f>
        <v>0</v>
      </c>
      <c r="CU6" s="2" t="s">
        <v>196</v>
      </c>
      <c r="CV6" s="2"/>
      <c r="CW6" s="2">
        <f>IF(ISNUMBER(DCOUNTA(査読範囲,CU5,CU5:CU6)), DCOUNTA(査読範囲,CU5,CU5:CU6), 0)</f>
        <v>0</v>
      </c>
      <c r="CX6" s="2" t="s">
        <v>197</v>
      </c>
      <c r="CY6" s="2"/>
      <c r="CZ6" s="2">
        <f>IF(ISNUMBER(DCOUNTA(査読範囲,CX5,CX5:CX6)), DCOUNTA(査読範囲,CX5,CX5:CX6), 0)</f>
        <v>0</v>
      </c>
    </row>
    <row r="7" spans="1:104" ht="11.25" hidden="1" customHeight="1">
      <c r="A7"/>
      <c r="D7"/>
      <c r="E7"/>
      <c r="G7"/>
      <c r="H7"/>
      <c r="I7"/>
      <c r="J7"/>
      <c r="K7" s="44"/>
      <c r="L7" s="1" t="s">
        <v>50</v>
      </c>
      <c r="M7" s="3"/>
      <c r="N7" s="3" t="s">
        <v>135</v>
      </c>
      <c r="O7" s="1" t="s">
        <v>50</v>
      </c>
      <c r="P7" s="3"/>
      <c r="Q7" s="3" t="s">
        <v>135</v>
      </c>
      <c r="R7" s="1" t="s">
        <v>50</v>
      </c>
      <c r="S7" s="3"/>
      <c r="T7" s="3" t="s">
        <v>135</v>
      </c>
      <c r="U7" s="1" t="s">
        <v>50</v>
      </c>
      <c r="V7" s="3"/>
      <c r="W7" s="3" t="s">
        <v>135</v>
      </c>
      <c r="X7" s="1" t="s">
        <v>50</v>
      </c>
      <c r="Y7" s="3"/>
      <c r="Z7" s="3" t="s">
        <v>135</v>
      </c>
      <c r="AA7" s="1" t="s">
        <v>50</v>
      </c>
      <c r="AB7" s="3"/>
      <c r="AC7" s="3" t="s">
        <v>135</v>
      </c>
      <c r="AD7" s="1" t="s">
        <v>50</v>
      </c>
      <c r="AE7" s="3"/>
      <c r="AF7" s="3" t="s">
        <v>135</v>
      </c>
      <c r="AG7" s="1" t="s">
        <v>50</v>
      </c>
      <c r="AH7" s="3"/>
      <c r="AI7" s="3" t="s">
        <v>135</v>
      </c>
      <c r="AJ7" s="1" t="s">
        <v>50</v>
      </c>
      <c r="AK7" s="3"/>
      <c r="AL7" s="3" t="s">
        <v>135</v>
      </c>
      <c r="AM7" s="1" t="s">
        <v>50</v>
      </c>
      <c r="AN7" s="3"/>
      <c r="AO7" s="3" t="s">
        <v>135</v>
      </c>
      <c r="AP7" s="1" t="s">
        <v>50</v>
      </c>
      <c r="AQ7" s="3"/>
      <c r="AR7" s="3" t="s">
        <v>135</v>
      </c>
      <c r="AS7" s="1" t="s">
        <v>50</v>
      </c>
      <c r="AT7" s="3"/>
      <c r="AU7" s="3" t="s">
        <v>135</v>
      </c>
      <c r="AV7" s="1" t="s">
        <v>50</v>
      </c>
      <c r="AW7" s="3"/>
      <c r="AX7" s="3" t="s">
        <v>135</v>
      </c>
      <c r="AY7" s="1" t="s">
        <v>50</v>
      </c>
      <c r="AZ7" s="3"/>
      <c r="BA7" s="3" t="s">
        <v>135</v>
      </c>
      <c r="BB7" s="1" t="s">
        <v>50</v>
      </c>
      <c r="BC7" s="3"/>
      <c r="BD7" s="3" t="s">
        <v>135</v>
      </c>
      <c r="BE7" s="1" t="s">
        <v>50</v>
      </c>
      <c r="BF7" s="3"/>
      <c r="BG7" s="3" t="s">
        <v>135</v>
      </c>
      <c r="BH7" s="1" t="s">
        <v>50</v>
      </c>
      <c r="BI7" s="3"/>
      <c r="BJ7" s="3" t="s">
        <v>135</v>
      </c>
      <c r="BK7" s="1" t="s">
        <v>50</v>
      </c>
      <c r="BL7" s="3"/>
      <c r="BM7" s="3" t="s">
        <v>135</v>
      </c>
      <c r="BN7" s="1" t="s">
        <v>50</v>
      </c>
      <c r="BO7" s="3"/>
      <c r="BP7" s="3" t="s">
        <v>135</v>
      </c>
      <c r="BQ7" s="1" t="s">
        <v>50</v>
      </c>
      <c r="BR7" s="3"/>
      <c r="BS7" s="3" t="s">
        <v>135</v>
      </c>
      <c r="BT7" s="1" t="s">
        <v>50</v>
      </c>
      <c r="BU7" s="3"/>
      <c r="BV7" s="3" t="s">
        <v>135</v>
      </c>
      <c r="BW7" s="1" t="s">
        <v>50</v>
      </c>
      <c r="BX7" s="3"/>
      <c r="BY7" s="3" t="s">
        <v>135</v>
      </c>
      <c r="BZ7" s="1" t="s">
        <v>50</v>
      </c>
      <c r="CA7" s="3"/>
      <c r="CB7" s="3" t="s">
        <v>135</v>
      </c>
      <c r="CC7" s="1" t="s">
        <v>50</v>
      </c>
      <c r="CD7" s="3"/>
      <c r="CE7" s="3" t="s">
        <v>135</v>
      </c>
      <c r="CF7" s="1" t="s">
        <v>50</v>
      </c>
      <c r="CG7" s="3"/>
      <c r="CH7" s="3" t="s">
        <v>135</v>
      </c>
      <c r="CI7" s="1" t="s">
        <v>50</v>
      </c>
      <c r="CJ7" s="3"/>
      <c r="CK7" s="3" t="s">
        <v>135</v>
      </c>
      <c r="CL7" s="1" t="s">
        <v>50</v>
      </c>
      <c r="CM7" s="3"/>
      <c r="CN7" s="3" t="s">
        <v>135</v>
      </c>
      <c r="CO7" s="1" t="s">
        <v>50</v>
      </c>
      <c r="CP7" s="3"/>
      <c r="CQ7" s="3" t="s">
        <v>135</v>
      </c>
      <c r="CR7" s="1" t="s">
        <v>50</v>
      </c>
      <c r="CS7" s="3"/>
      <c r="CT7" s="3" t="s">
        <v>135</v>
      </c>
      <c r="CU7" s="1" t="s">
        <v>50</v>
      </c>
      <c r="CV7" s="3"/>
      <c r="CW7" s="3" t="s">
        <v>135</v>
      </c>
      <c r="CX7" s="1" t="s">
        <v>50</v>
      </c>
      <c r="CY7" s="3"/>
      <c r="CZ7" s="3" t="s">
        <v>135</v>
      </c>
    </row>
    <row r="8" spans="1:104" ht="11.25" hidden="1" customHeight="1">
      <c r="A8"/>
      <c r="D8"/>
      <c r="E8"/>
      <c r="G8"/>
      <c r="H8"/>
      <c r="I8"/>
      <c r="J8"/>
      <c r="K8" s="44"/>
      <c r="L8" s="2" t="s">
        <v>198</v>
      </c>
      <c r="M8" s="2"/>
      <c r="N8" s="2">
        <f>IF(ISNUMBER(DCOUNTA(査読範囲,L7,L7:L8)), DCOUNTA(査読範囲,L7,L7:L8), 0)</f>
        <v>0</v>
      </c>
      <c r="O8" s="2" t="s">
        <v>198</v>
      </c>
      <c r="P8" s="2"/>
      <c r="Q8" s="2">
        <f>IF(ISNUMBER(DCOUNTA(査読範囲,O7,O7:O8)), DCOUNTA(査読範囲,O7,O7:O8), 0)</f>
        <v>0</v>
      </c>
      <c r="R8" s="2" t="s">
        <v>199</v>
      </c>
      <c r="S8" s="2"/>
      <c r="T8" s="2">
        <f>IF(ISNUMBER(DCOUNTA(査読範囲,R7,R7:R8)), DCOUNTA(査読範囲,R7,R7:R8), 0)</f>
        <v>0</v>
      </c>
      <c r="U8" s="2" t="s">
        <v>200</v>
      </c>
      <c r="V8" s="2"/>
      <c r="W8" s="2">
        <f>IF(ISNUMBER(DCOUNTA(査読範囲,U7,U7:U8)), DCOUNTA(査読範囲,U7,U7:U8), 0)</f>
        <v>0</v>
      </c>
      <c r="X8" s="2" t="s">
        <v>201</v>
      </c>
      <c r="Y8" s="2"/>
      <c r="Z8" s="2">
        <f>IF(ISNUMBER(DCOUNTA(査読範囲,X7,X7:X8)), DCOUNTA(査読範囲,X7,X7:X8), 0)</f>
        <v>0</v>
      </c>
      <c r="AA8" s="2" t="s">
        <v>202</v>
      </c>
      <c r="AB8" s="2"/>
      <c r="AC8" s="2">
        <f>IF(ISNUMBER(DCOUNTA(査読範囲,AA7,AA7:AA8)), DCOUNTA(査読範囲,AA7,AA7:AA8), 0)</f>
        <v>0</v>
      </c>
      <c r="AD8" s="2" t="s">
        <v>203</v>
      </c>
      <c r="AE8" s="2"/>
      <c r="AF8" s="2">
        <f>IF(ISNUMBER(DCOUNTA(査読範囲,AD7,AD7:AD8)), DCOUNTA(査読範囲,AD7,AD7:AD8), 0)</f>
        <v>0</v>
      </c>
      <c r="AG8" s="2" t="s">
        <v>204</v>
      </c>
      <c r="AH8" s="2"/>
      <c r="AI8" s="2">
        <f>IF(ISNUMBER(DCOUNTA(査読範囲,AG7,AG7:AG8)), DCOUNTA(査読範囲,AG7,AG7:AG8), 0)</f>
        <v>0</v>
      </c>
      <c r="AJ8" s="2" t="s">
        <v>205</v>
      </c>
      <c r="AK8" s="2"/>
      <c r="AL8" s="2">
        <f>IF(ISNUMBER(DCOUNTA(査読範囲,AJ7,AJ7:AJ8)), DCOUNTA(査読範囲,AJ7,AJ7:AJ8), 0)</f>
        <v>0</v>
      </c>
      <c r="AM8" s="2" t="s">
        <v>206</v>
      </c>
      <c r="AN8" s="2"/>
      <c r="AO8" s="2">
        <f>IF(ISNUMBER(DCOUNTA(査読範囲,AM7,AM7:AM8)), DCOUNTA(査読範囲,AM7,AM7:AM8), 0)</f>
        <v>0</v>
      </c>
      <c r="AP8" s="2" t="s">
        <v>207</v>
      </c>
      <c r="AQ8" s="2"/>
      <c r="AR8" s="2">
        <f>IF(ISNUMBER(DCOUNTA(査読範囲,AP7,AP7:AP8)), DCOUNTA(査読範囲,AP7,AP7:AP8), 0)</f>
        <v>0</v>
      </c>
      <c r="AS8" s="2" t="s">
        <v>208</v>
      </c>
      <c r="AT8" s="2"/>
      <c r="AU8" s="2">
        <f>IF(ISNUMBER(DCOUNTA(査読範囲,AS7,AS7:AS8)), DCOUNTA(査読範囲,AS7,AS7:AS8), 0)</f>
        <v>0</v>
      </c>
      <c r="AV8" s="2" t="s">
        <v>209</v>
      </c>
      <c r="AW8" s="2"/>
      <c r="AX8" s="2">
        <f>IF(ISNUMBER(DCOUNTA(査読範囲,AV7,AV7:AV8)), DCOUNTA(査読範囲,AV7,AV7:AV8), 0)</f>
        <v>0</v>
      </c>
      <c r="AY8" s="2" t="s">
        <v>210</v>
      </c>
      <c r="AZ8" s="2"/>
      <c r="BA8" s="2">
        <f>IF(ISNUMBER(DCOUNTA(査読範囲,AY7,AY7:AY8)), DCOUNTA(査読範囲,AY7,AY7:AY8), 0)</f>
        <v>0</v>
      </c>
      <c r="BB8" s="2" t="s">
        <v>211</v>
      </c>
      <c r="BC8" s="2"/>
      <c r="BD8" s="2">
        <f>IF(ISNUMBER(DCOUNTA(査読範囲,BB7,BB7:BB8)), DCOUNTA(査読範囲,BB7,BB7:BB8), 0)</f>
        <v>0</v>
      </c>
      <c r="BE8" s="2" t="s">
        <v>212</v>
      </c>
      <c r="BF8" s="2"/>
      <c r="BG8" s="2">
        <f>IF(ISNUMBER(DCOUNTA(査読範囲,BE7,BE7:BE8)), DCOUNTA(査読範囲,BE7,BE7:BE8), 0)</f>
        <v>0</v>
      </c>
      <c r="BH8" s="2" t="s">
        <v>213</v>
      </c>
      <c r="BI8" s="2"/>
      <c r="BJ8" s="2">
        <f>IF(ISNUMBER(DCOUNTA(査読範囲,BH7,BH7:BH8)), DCOUNTA(査読範囲,BH7,BH7:BH8), 0)</f>
        <v>0</v>
      </c>
      <c r="BK8" s="2" t="s">
        <v>214</v>
      </c>
      <c r="BL8" s="2"/>
      <c r="BM8" s="2">
        <f>IF(ISNUMBER(DCOUNTA(査読範囲,BK7,BK7:BK8)), DCOUNTA(査読範囲,BK7,BK7:BK8), 0)</f>
        <v>0</v>
      </c>
      <c r="BN8" s="2" t="s">
        <v>215</v>
      </c>
      <c r="BO8" s="2"/>
      <c r="BP8" s="2">
        <f>IF(ISNUMBER(DCOUNTA(査読範囲,BN7,BN7:BN8)), DCOUNTA(査読範囲,BN7,BN7:BN8), 0)</f>
        <v>0</v>
      </c>
      <c r="BQ8" s="2" t="s">
        <v>216</v>
      </c>
      <c r="BR8" s="2"/>
      <c r="BS8" s="2">
        <f>IF(ISNUMBER(DCOUNTA(査読範囲,BQ7,BQ7:BQ8)), DCOUNTA(査読範囲,BQ7,BQ7:BQ8), 0)</f>
        <v>0</v>
      </c>
      <c r="BT8" s="2" t="s">
        <v>217</v>
      </c>
      <c r="BU8" s="2"/>
      <c r="BV8" s="2">
        <f>IF(ISNUMBER(DCOUNTA(査読範囲,BT7,BT7:BT8)), DCOUNTA(査読範囲,BT7,BT7:BT8), 0)</f>
        <v>0</v>
      </c>
      <c r="BW8" s="2" t="s">
        <v>218</v>
      </c>
      <c r="BX8" s="2"/>
      <c r="BY8" s="2">
        <f>IF(ISNUMBER(DCOUNTA(査読範囲,BW7,BW7:BW8)), DCOUNTA(査読範囲,BW7,BW7:BW8), 0)</f>
        <v>0</v>
      </c>
      <c r="BZ8" s="2" t="s">
        <v>219</v>
      </c>
      <c r="CA8" s="2"/>
      <c r="CB8" s="2">
        <f>IF(ISNUMBER(DCOUNTA(査読範囲,BZ7,BZ7:BZ8)), DCOUNTA(査読範囲,BZ7,BZ7:BZ8), 0)</f>
        <v>0</v>
      </c>
      <c r="CC8" s="2" t="s">
        <v>220</v>
      </c>
      <c r="CD8" s="2"/>
      <c r="CE8" s="2">
        <f>IF(ISNUMBER(DCOUNTA(査読範囲,CC7,CC7:CC8)), DCOUNTA(査読範囲,CC7,CC7:CC8), 0)</f>
        <v>0</v>
      </c>
      <c r="CF8" s="2" t="s">
        <v>221</v>
      </c>
      <c r="CG8" s="2"/>
      <c r="CH8" s="2">
        <f>IF(ISNUMBER(DCOUNTA(査読範囲,CF7,CF7:CF8)), DCOUNTA(査読範囲,CF7,CF7:CF8), 0)</f>
        <v>0</v>
      </c>
      <c r="CI8" s="2" t="s">
        <v>222</v>
      </c>
      <c r="CJ8" s="2"/>
      <c r="CK8" s="2">
        <f>IF(ISNUMBER(DCOUNTA(査読範囲,CI7,CI7:CI8)), DCOUNTA(査読範囲,CI7,CI7:CI8), 0)</f>
        <v>0</v>
      </c>
      <c r="CL8" s="2" t="s">
        <v>223</v>
      </c>
      <c r="CM8" s="2"/>
      <c r="CN8" s="2">
        <f>IF(ISNUMBER(DCOUNTA(査読範囲,CL7,CL7:CL8)), DCOUNTA(査読範囲,CL7,CL7:CL8), 0)</f>
        <v>0</v>
      </c>
      <c r="CO8" s="2" t="s">
        <v>224</v>
      </c>
      <c r="CP8" s="2"/>
      <c r="CQ8" s="2">
        <f>IF(ISNUMBER(DCOUNTA(査読範囲,CO7,CO7:CO8)), DCOUNTA(査読範囲,CO7,CO7:CO8), 0)</f>
        <v>0</v>
      </c>
      <c r="CR8" s="2" t="s">
        <v>225</v>
      </c>
      <c r="CS8" s="2"/>
      <c r="CT8" s="2">
        <f>IF(ISNUMBER(DCOUNTA(査読範囲,CR7,CR7:CR8)), DCOUNTA(査読範囲,CR7,CR7:CR8), 0)</f>
        <v>0</v>
      </c>
      <c r="CU8" s="2" t="s">
        <v>226</v>
      </c>
      <c r="CV8" s="2"/>
      <c r="CW8" s="2">
        <f>IF(ISNUMBER(DCOUNTA(査読範囲,CU7,CU7:CU8)), DCOUNTA(査読範囲,CU7,CU7:CU8), 0)</f>
        <v>0</v>
      </c>
      <c r="CX8" s="2" t="s">
        <v>227</v>
      </c>
      <c r="CY8" s="2"/>
      <c r="CZ8" s="2">
        <f>IF(ISNUMBER(DCOUNTA(査読範囲,CX7,CX7:CX8)), DCOUNTA(査読範囲,CX7,CX7:CX8), 0)</f>
        <v>0</v>
      </c>
    </row>
    <row r="9" spans="1:104" ht="11.25" hidden="1" customHeight="1">
      <c r="A9"/>
      <c r="D9"/>
      <c r="E9"/>
      <c r="G9"/>
      <c r="H9"/>
      <c r="I9"/>
      <c r="J9"/>
      <c r="K9" s="44"/>
      <c r="L9" s="1" t="s">
        <v>50</v>
      </c>
      <c r="M9" s="3"/>
      <c r="N9" s="3" t="s">
        <v>135</v>
      </c>
      <c r="O9" s="1" t="s">
        <v>50</v>
      </c>
      <c r="P9" s="3"/>
      <c r="Q9" s="3" t="s">
        <v>135</v>
      </c>
      <c r="R9" s="1" t="s">
        <v>50</v>
      </c>
      <c r="S9" s="3"/>
      <c r="T9" s="3" t="s">
        <v>135</v>
      </c>
      <c r="U9" s="1" t="s">
        <v>50</v>
      </c>
      <c r="V9" s="3"/>
      <c r="W9" s="3" t="s">
        <v>135</v>
      </c>
      <c r="X9" s="1" t="s">
        <v>50</v>
      </c>
      <c r="Y9" s="3"/>
      <c r="Z9" s="3" t="s">
        <v>135</v>
      </c>
      <c r="AA9" s="1" t="s">
        <v>50</v>
      </c>
      <c r="AB9" s="3"/>
      <c r="AC9" s="3" t="s">
        <v>135</v>
      </c>
      <c r="AD9" s="1" t="s">
        <v>50</v>
      </c>
      <c r="AE9" s="3"/>
      <c r="AF9" s="3" t="s">
        <v>135</v>
      </c>
      <c r="AG9" s="1" t="s">
        <v>50</v>
      </c>
      <c r="AH9" s="3"/>
      <c r="AI9" s="3" t="s">
        <v>135</v>
      </c>
      <c r="AJ9" s="1" t="s">
        <v>50</v>
      </c>
      <c r="AK9" s="3"/>
      <c r="AL9" s="3" t="s">
        <v>135</v>
      </c>
      <c r="AM9" s="1" t="s">
        <v>50</v>
      </c>
      <c r="AN9" s="3"/>
      <c r="AO9" s="3" t="s">
        <v>135</v>
      </c>
      <c r="AP9" s="1" t="s">
        <v>50</v>
      </c>
      <c r="AQ9" s="3"/>
      <c r="AR9" s="3" t="s">
        <v>135</v>
      </c>
      <c r="AS9" s="1" t="s">
        <v>50</v>
      </c>
      <c r="AT9" s="3"/>
      <c r="AU9" s="3" t="s">
        <v>135</v>
      </c>
      <c r="AV9" s="1" t="s">
        <v>50</v>
      </c>
      <c r="AW9" s="3"/>
      <c r="AX9" s="3" t="s">
        <v>135</v>
      </c>
      <c r="AY9" s="1" t="s">
        <v>50</v>
      </c>
      <c r="AZ9" s="3"/>
      <c r="BA9" s="3" t="s">
        <v>135</v>
      </c>
      <c r="BB9" s="1" t="s">
        <v>50</v>
      </c>
      <c r="BC9" s="3"/>
      <c r="BD9" s="3" t="s">
        <v>135</v>
      </c>
      <c r="BE9" s="1" t="s">
        <v>50</v>
      </c>
      <c r="BF9" s="3"/>
      <c r="BG9" s="3" t="s">
        <v>135</v>
      </c>
      <c r="BH9" s="1" t="s">
        <v>50</v>
      </c>
      <c r="BI9" s="3"/>
      <c r="BJ9" s="3" t="s">
        <v>135</v>
      </c>
      <c r="BK9" s="1" t="s">
        <v>50</v>
      </c>
      <c r="BL9" s="3"/>
      <c r="BM9" s="3" t="s">
        <v>135</v>
      </c>
      <c r="BN9" s="1" t="s">
        <v>50</v>
      </c>
      <c r="BO9" s="3"/>
      <c r="BP9" s="3" t="s">
        <v>135</v>
      </c>
      <c r="BQ9" s="1" t="s">
        <v>50</v>
      </c>
      <c r="BR9" s="3"/>
      <c r="BS9" s="3" t="s">
        <v>135</v>
      </c>
      <c r="BT9" s="1" t="s">
        <v>50</v>
      </c>
      <c r="BU9" s="3"/>
      <c r="BV9" s="3" t="s">
        <v>135</v>
      </c>
      <c r="BW9" s="1" t="s">
        <v>50</v>
      </c>
      <c r="BX9" s="3"/>
      <c r="BY9" s="3" t="s">
        <v>135</v>
      </c>
      <c r="BZ9" s="1" t="s">
        <v>50</v>
      </c>
      <c r="CA9" s="3"/>
      <c r="CB9" s="3" t="s">
        <v>135</v>
      </c>
      <c r="CC9" s="1" t="s">
        <v>50</v>
      </c>
      <c r="CD9" s="3"/>
      <c r="CE9" s="3" t="s">
        <v>135</v>
      </c>
      <c r="CF9" s="1" t="s">
        <v>50</v>
      </c>
      <c r="CG9" s="3"/>
      <c r="CH9" s="3" t="s">
        <v>135</v>
      </c>
      <c r="CI9" s="1" t="s">
        <v>50</v>
      </c>
      <c r="CJ9" s="3"/>
      <c r="CK9" s="3" t="s">
        <v>135</v>
      </c>
      <c r="CL9" s="1" t="s">
        <v>50</v>
      </c>
      <c r="CM9" s="3"/>
      <c r="CN9" s="3" t="s">
        <v>135</v>
      </c>
      <c r="CO9" s="1" t="s">
        <v>50</v>
      </c>
      <c r="CP9" s="3"/>
      <c r="CQ9" s="3" t="s">
        <v>135</v>
      </c>
      <c r="CR9" s="1" t="s">
        <v>50</v>
      </c>
      <c r="CS9" s="3"/>
      <c r="CT9" s="3" t="s">
        <v>135</v>
      </c>
      <c r="CU9" s="1" t="s">
        <v>50</v>
      </c>
      <c r="CV9" s="3"/>
      <c r="CW9" s="3" t="s">
        <v>135</v>
      </c>
      <c r="CX9" s="1" t="s">
        <v>50</v>
      </c>
      <c r="CY9" s="3"/>
      <c r="CZ9" s="3" t="s">
        <v>135</v>
      </c>
    </row>
    <row r="10" spans="1:104" ht="11.25" hidden="1" customHeight="1">
      <c r="A10"/>
      <c r="D10"/>
      <c r="E10"/>
      <c r="G10"/>
      <c r="H10"/>
      <c r="I10"/>
      <c r="J10"/>
      <c r="K10" s="44"/>
      <c r="L10" s="2" t="s">
        <v>228</v>
      </c>
      <c r="M10" s="2"/>
      <c r="N10" s="123"/>
      <c r="O10" s="2" t="s">
        <v>229</v>
      </c>
      <c r="P10" s="2"/>
      <c r="Q10" s="123"/>
      <c r="R10" s="2" t="s">
        <v>230</v>
      </c>
      <c r="S10" s="2"/>
      <c r="T10" s="123"/>
      <c r="U10" s="2" t="s">
        <v>231</v>
      </c>
      <c r="V10" s="2"/>
      <c r="W10" s="2">
        <f>IF(ISNUMBER(DCOUNTA(査読範囲,U9,U9:U10)), DCOUNTA(査読範囲,U9,U9:U10), 0)</f>
        <v>0</v>
      </c>
      <c r="X10" s="2" t="s">
        <v>232</v>
      </c>
      <c r="Y10" s="2"/>
      <c r="Z10" s="2">
        <f>IF(ISNUMBER(DCOUNTA(査読範囲,X9,X9:X10)), DCOUNTA(査読範囲,X9,X9:X10), 0)</f>
        <v>0</v>
      </c>
      <c r="AA10" s="2" t="s">
        <v>233</v>
      </c>
      <c r="AB10" s="2"/>
      <c r="AC10" s="2">
        <f>IF(ISNUMBER(DCOUNTA(査読範囲,AA9,AA9:AA10)), DCOUNTA(査読範囲,AA9,AA9:AA10), 0)</f>
        <v>0</v>
      </c>
      <c r="AD10" s="2" t="s">
        <v>234</v>
      </c>
      <c r="AE10" s="2"/>
      <c r="AF10" s="2">
        <f>IF(ISNUMBER(DCOUNTA(査読範囲,AD9,AD9:AD10)), DCOUNTA(査読範囲,AD9,AD9:AD10), 0)</f>
        <v>0</v>
      </c>
      <c r="AG10" s="2" t="s">
        <v>235</v>
      </c>
      <c r="AH10" s="2"/>
      <c r="AI10" s="2">
        <f>IF(ISNUMBER(DCOUNTA(査読範囲,AG9,AG9:AG10)), DCOUNTA(査読範囲,AG9,AG9:AG10), 0)</f>
        <v>0</v>
      </c>
      <c r="AJ10" s="2" t="s">
        <v>236</v>
      </c>
      <c r="AK10" s="2"/>
      <c r="AL10" s="2">
        <f>IF(ISNUMBER(DCOUNTA(査読範囲,AJ9,AJ9:AJ10)), DCOUNTA(査読範囲,AJ9,AJ9:AJ10), 0)</f>
        <v>0</v>
      </c>
      <c r="AM10" s="2" t="s">
        <v>237</v>
      </c>
      <c r="AN10" s="2"/>
      <c r="AO10" s="2">
        <f>IF(ISNUMBER(DCOUNTA(査読範囲,AM9,AM9:AM10)), DCOUNTA(査読範囲,AM9,AM9:AM10), 0)</f>
        <v>0</v>
      </c>
      <c r="AP10" s="2" t="s">
        <v>238</v>
      </c>
      <c r="AQ10" s="2"/>
      <c r="AR10" s="2">
        <f>IF(ISNUMBER(DCOUNTA(査読範囲,AP9,AP9:AP10)), DCOUNTA(査読範囲,AP9,AP9:AP10), 0)</f>
        <v>0</v>
      </c>
      <c r="AS10" s="2" t="s">
        <v>239</v>
      </c>
      <c r="AT10" s="2"/>
      <c r="AU10" s="2">
        <f>IF(ISNUMBER(DCOUNTA(査読範囲,AS9,AS9:AS10)), DCOUNTA(査読範囲,AS9,AS9:AS10), 0)</f>
        <v>0</v>
      </c>
      <c r="AV10" s="2" t="s">
        <v>240</v>
      </c>
      <c r="AW10" s="2"/>
      <c r="AX10" s="2">
        <f>IF(ISNUMBER(DCOUNTA(査読範囲,AV9,AV9:AV10)), DCOUNTA(査読範囲,AV9,AV9:AV10), 0)</f>
        <v>0</v>
      </c>
      <c r="AY10" s="2" t="s">
        <v>241</v>
      </c>
      <c r="AZ10" s="2"/>
      <c r="BA10" s="2">
        <f>IF(ISNUMBER(DCOUNTA(査読範囲,AY9,AY9:AY10)), DCOUNTA(査読範囲,AY9,AY9:AY10), 0)</f>
        <v>0</v>
      </c>
      <c r="BB10" s="2" t="s">
        <v>242</v>
      </c>
      <c r="BC10" s="2"/>
      <c r="BD10" s="2">
        <f>IF(ISNUMBER(DCOUNTA(査読範囲,BB9,BB9:BB10)), DCOUNTA(査読範囲,BB9,BB9:BB10), 0)</f>
        <v>0</v>
      </c>
      <c r="BE10" s="2" t="s">
        <v>243</v>
      </c>
      <c r="BF10" s="2"/>
      <c r="BG10" s="2">
        <f>IF(ISNUMBER(DCOUNTA(査読範囲,BE9,BE9:BE10)), DCOUNTA(査読範囲,BE9,BE9:BE10), 0)</f>
        <v>0</v>
      </c>
      <c r="BH10" s="2" t="s">
        <v>244</v>
      </c>
      <c r="BI10" s="2"/>
      <c r="BJ10" s="2">
        <f>IF(ISNUMBER(DCOUNTA(査読範囲,BH9,BH9:BH10)), DCOUNTA(査読範囲,BH9,BH9:BH10), 0)</f>
        <v>0</v>
      </c>
      <c r="BK10" s="2" t="s">
        <v>245</v>
      </c>
      <c r="BL10" s="2"/>
      <c r="BM10" s="2">
        <f>IF(ISNUMBER(DCOUNTA(査読範囲,BK9,BK9:BK10)), DCOUNTA(査読範囲,BK9,BK9:BK10), 0)</f>
        <v>0</v>
      </c>
      <c r="BN10" s="2" t="s">
        <v>246</v>
      </c>
      <c r="BO10" s="2"/>
      <c r="BP10" s="2">
        <f>IF(ISNUMBER(DCOUNTA(査読範囲,BN9,BN9:BN10)), DCOUNTA(査読範囲,BN9,BN9:BN10), 0)</f>
        <v>0</v>
      </c>
      <c r="BQ10" s="2" t="s">
        <v>247</v>
      </c>
      <c r="BR10" s="2"/>
      <c r="BS10" s="2">
        <f>IF(ISNUMBER(DCOUNTA(査読範囲,BQ9,BQ9:BQ10)), DCOUNTA(査読範囲,BQ9,BQ9:BQ10), 0)</f>
        <v>0</v>
      </c>
      <c r="BT10" s="2" t="s">
        <v>248</v>
      </c>
      <c r="BU10" s="2"/>
      <c r="BV10" s="48">
        <f>IF(ISNUMBER(DCOUNTA(査読範囲,BT9,BT9:BT10)), DCOUNTA(査読範囲,BT9,BT9:BT10), 0)</f>
        <v>0</v>
      </c>
      <c r="BW10" s="2" t="s">
        <v>249</v>
      </c>
      <c r="BX10" s="2"/>
      <c r="BY10" s="48">
        <f>IF(ISNUMBER(DCOUNTA(査読範囲,BW9,BW9:BW10)), DCOUNTA(査読範囲,BW9,BW9:BW10), 0)</f>
        <v>0</v>
      </c>
      <c r="BZ10" s="2" t="s">
        <v>250</v>
      </c>
      <c r="CA10" s="2"/>
      <c r="CB10" s="2">
        <f>IF(ISNUMBER(DCOUNTA(査読範囲,BZ9,BZ9:BZ10)), DCOUNTA(査読範囲,BZ9,BZ9:BZ10), 0)</f>
        <v>0</v>
      </c>
      <c r="CC10" s="2" t="s">
        <v>251</v>
      </c>
      <c r="CD10" s="2"/>
      <c r="CE10" s="2">
        <f>IF(ISNUMBER(DCOUNTA(査読範囲,CC9,CC9:CC10)), DCOUNTA(査読範囲,CC9,CC9:CC10), 0)</f>
        <v>0</v>
      </c>
      <c r="CF10" s="2" t="s">
        <v>252</v>
      </c>
      <c r="CG10" s="2"/>
      <c r="CH10" s="48">
        <f>IF(ISNUMBER(DCOUNTA(査読範囲,CF9,CF9:CF10)), DCOUNTA(査読範囲,CF9,CF9:CF10), 0)</f>
        <v>0</v>
      </c>
      <c r="CI10" s="2" t="s">
        <v>253</v>
      </c>
      <c r="CJ10" s="2"/>
      <c r="CK10" s="48">
        <f>IF(ISNUMBER(DCOUNTA(査読範囲,CI9,CI9:CI10)), DCOUNTA(査読範囲,CI9,CI9:CI10), 0)</f>
        <v>0</v>
      </c>
      <c r="CL10" s="2" t="s">
        <v>254</v>
      </c>
      <c r="CM10" s="2"/>
      <c r="CN10" s="2">
        <f>IF(ISNUMBER(DCOUNTA(査読範囲,CL9,CL9:CL10)), DCOUNTA(査読範囲,CL9,CL9:CL10), 0)</f>
        <v>0</v>
      </c>
      <c r="CO10" s="2" t="s">
        <v>255</v>
      </c>
      <c r="CP10" s="2"/>
      <c r="CQ10" s="2">
        <f>IF(ISNUMBER(DCOUNTA(査読範囲,CO9,CO9:CO10)), DCOUNTA(査読範囲,CO9,CO9:CO10), 0)</f>
        <v>0</v>
      </c>
      <c r="CR10" s="2" t="s">
        <v>256</v>
      </c>
      <c r="CS10" s="2"/>
      <c r="CT10" s="2">
        <f>IF(ISNUMBER(DCOUNTA(査読範囲,CR9,CR9:CR10)), DCOUNTA(査読範囲,CR9,CR9:CR10), 0)</f>
        <v>0</v>
      </c>
      <c r="CU10" s="2" t="s">
        <v>257</v>
      </c>
      <c r="CV10" s="2"/>
      <c r="CW10" s="48">
        <f>IF(ISNUMBER(DCOUNTA(査読範囲,CU9,CU9:CU10)), DCOUNTA(査読範囲,CU9,CU9:CU10), 0)</f>
        <v>0</v>
      </c>
      <c r="CX10" s="2" t="s">
        <v>258</v>
      </c>
      <c r="CY10" s="2"/>
      <c r="CZ10" s="2">
        <f>IF(ISNUMBER(DCOUNTA(査読範囲,CX9,CX9:CX10)), DCOUNTA(査読範囲,CX9,CX9:CX10), 0)</f>
        <v>0</v>
      </c>
    </row>
    <row r="11" spans="1:104" ht="11.25" hidden="1" customHeight="1">
      <c r="A11"/>
      <c r="D11"/>
      <c r="E11"/>
      <c r="G11"/>
      <c r="H11"/>
      <c r="I11"/>
      <c r="J11"/>
      <c r="K11" s="44"/>
      <c r="L11" s="2" t="s">
        <v>259</v>
      </c>
      <c r="M11" s="2"/>
      <c r="N11" s="3" t="s">
        <v>260</v>
      </c>
      <c r="O11" s="2"/>
      <c r="P11" s="2"/>
      <c r="Q11" s="3" t="s">
        <v>261</v>
      </c>
      <c r="R11" s="2"/>
      <c r="S11" s="2"/>
      <c r="T11" s="3" t="s">
        <v>262</v>
      </c>
      <c r="U11" s="2"/>
      <c r="V11" s="2"/>
      <c r="W11" s="3" t="s">
        <v>263</v>
      </c>
      <c r="X11" s="2"/>
      <c r="Y11" s="2"/>
      <c r="Z11" s="3" t="s">
        <v>264</v>
      </c>
      <c r="AA11" s="2"/>
      <c r="AB11" s="2"/>
      <c r="AC11" s="3" t="s">
        <v>265</v>
      </c>
      <c r="AD11" s="2"/>
      <c r="AE11" s="2"/>
      <c r="AF11" s="3" t="s">
        <v>266</v>
      </c>
      <c r="AG11" s="2" t="s">
        <v>259</v>
      </c>
      <c r="AH11" s="2"/>
      <c r="AI11" s="3" t="s">
        <v>267</v>
      </c>
      <c r="AJ11" s="2"/>
      <c r="AK11" s="2"/>
      <c r="AL11" s="3" t="s">
        <v>268</v>
      </c>
      <c r="AM11" s="2"/>
      <c r="AN11" s="2"/>
      <c r="AO11" s="3" t="s">
        <v>269</v>
      </c>
      <c r="AP11" s="2"/>
      <c r="AQ11" s="2"/>
      <c r="AR11" s="3" t="s">
        <v>270</v>
      </c>
      <c r="AS11" s="2"/>
      <c r="AT11" s="2"/>
      <c r="AU11" s="3" t="s">
        <v>271</v>
      </c>
      <c r="AV11" s="2"/>
      <c r="AW11" s="2"/>
      <c r="AX11" s="3" t="s">
        <v>272</v>
      </c>
      <c r="AY11" s="2"/>
      <c r="AZ11" s="2"/>
      <c r="BA11" s="3" t="s">
        <v>273</v>
      </c>
      <c r="BB11" s="2"/>
      <c r="BC11" s="2"/>
      <c r="BD11" s="3" t="s">
        <v>274</v>
      </c>
      <c r="BE11" s="2"/>
      <c r="BF11" s="2"/>
      <c r="BG11" s="3" t="s">
        <v>275</v>
      </c>
      <c r="BH11" s="2"/>
      <c r="BI11" s="2"/>
      <c r="BJ11" s="3" t="s">
        <v>276</v>
      </c>
      <c r="BK11" s="2"/>
      <c r="BL11" s="2"/>
      <c r="BM11" s="3" t="s">
        <v>277</v>
      </c>
      <c r="BN11" s="2"/>
      <c r="BO11" s="2"/>
      <c r="BP11" s="3" t="s">
        <v>278</v>
      </c>
      <c r="BQ11" s="2"/>
      <c r="BR11" s="2"/>
      <c r="BS11" s="3" t="s">
        <v>279</v>
      </c>
      <c r="BT11" s="2"/>
      <c r="BU11" s="2"/>
      <c r="BV11" s="3" t="s">
        <v>280</v>
      </c>
      <c r="BW11" s="2"/>
      <c r="BX11" s="2"/>
      <c r="BY11" s="3" t="s">
        <v>281</v>
      </c>
      <c r="BZ11" s="2"/>
      <c r="CA11" s="2"/>
      <c r="CB11" s="3" t="s">
        <v>282</v>
      </c>
      <c r="CC11" s="2"/>
      <c r="CD11" s="2"/>
      <c r="CE11" s="3" t="s">
        <v>283</v>
      </c>
      <c r="CF11" s="2"/>
      <c r="CG11" s="2"/>
      <c r="CH11" s="3" t="s">
        <v>284</v>
      </c>
      <c r="CI11" s="2"/>
      <c r="CJ11" s="2"/>
      <c r="CK11" s="3" t="s">
        <v>285</v>
      </c>
      <c r="CL11" s="2"/>
      <c r="CM11" s="2"/>
      <c r="CN11" s="3" t="s">
        <v>286</v>
      </c>
      <c r="CO11" s="2"/>
      <c r="CP11" s="2"/>
      <c r="CQ11" s="3" t="s">
        <v>287</v>
      </c>
      <c r="CR11" s="2"/>
      <c r="CS11" s="2"/>
      <c r="CT11" s="3" t="s">
        <v>288</v>
      </c>
      <c r="CU11" s="2"/>
      <c r="CV11" s="2"/>
      <c r="CW11" s="3" t="s">
        <v>289</v>
      </c>
      <c r="CX11" s="2"/>
      <c r="CY11" s="2"/>
      <c r="CZ11" s="3" t="s">
        <v>290</v>
      </c>
    </row>
    <row r="12" spans="1:104" ht="11.25" hidden="1" customHeight="1">
      <c r="A12"/>
      <c r="D12"/>
      <c r="E12"/>
      <c r="G12"/>
      <c r="H12"/>
      <c r="I12"/>
      <c r="J12"/>
      <c r="K12" s="44"/>
      <c r="L12" s="2">
        <f>SUM(N12:CZ12)</f>
        <v>0</v>
      </c>
      <c r="M12" s="2"/>
      <c r="N12" s="2">
        <f>SUBTOTAL(9,N4:N10)</f>
        <v>0</v>
      </c>
      <c r="O12" s="2"/>
      <c r="P12" s="2"/>
      <c r="Q12" s="2">
        <f>SUBTOTAL(9,Q4:Q10)</f>
        <v>0</v>
      </c>
      <c r="R12" s="2"/>
      <c r="S12" s="2"/>
      <c r="T12" s="2">
        <f>SUBTOTAL(9,T4:T10)</f>
        <v>0</v>
      </c>
      <c r="U12" s="2"/>
      <c r="V12" s="2"/>
      <c r="W12" s="2">
        <f>SUBTOTAL(9,W4:W10)</f>
        <v>0</v>
      </c>
      <c r="X12" s="2"/>
      <c r="Y12" s="2"/>
      <c r="Z12" s="2">
        <f>SUBTOTAL(9,Z4:Z10)</f>
        <v>0</v>
      </c>
      <c r="AA12" s="2"/>
      <c r="AB12" s="2"/>
      <c r="AC12" s="2">
        <f>SUBTOTAL(9,AC4:AC10)</f>
        <v>0</v>
      </c>
      <c r="AD12" s="2"/>
      <c r="AE12" s="2"/>
      <c r="AF12" s="2">
        <f>SUBTOTAL(9,AF4:AF10)</f>
        <v>0</v>
      </c>
      <c r="AG12" s="2"/>
      <c r="AH12" s="2"/>
      <c r="AI12" s="2">
        <f>SUBTOTAL(9,AI4:AI10)</f>
        <v>0</v>
      </c>
      <c r="AJ12" s="2"/>
      <c r="AK12" s="2"/>
      <c r="AL12" s="2">
        <f>SUBTOTAL(9,AL4:AL10)</f>
        <v>0</v>
      </c>
      <c r="AM12" s="2"/>
      <c r="AN12" s="2"/>
      <c r="AO12" s="2">
        <f>SUBTOTAL(9,AO4:AO10)</f>
        <v>0</v>
      </c>
      <c r="AP12" s="2"/>
      <c r="AQ12" s="2"/>
      <c r="AR12" s="2">
        <f>SUBTOTAL(9,AR4:AR10)</f>
        <v>0</v>
      </c>
      <c r="AS12" s="2"/>
      <c r="AT12" s="2"/>
      <c r="AU12" s="2">
        <f>SUBTOTAL(9,AU4:AU10)</f>
        <v>0</v>
      </c>
      <c r="AV12" s="2"/>
      <c r="AW12" s="2"/>
      <c r="AX12" s="2">
        <f>SUBTOTAL(9,AX4:AX10)</f>
        <v>0</v>
      </c>
      <c r="AY12" s="2"/>
      <c r="AZ12" s="2"/>
      <c r="BA12" s="2">
        <f>SUBTOTAL(9,BA4:BA10)</f>
        <v>0</v>
      </c>
      <c r="BB12" s="2"/>
      <c r="BC12" s="2"/>
      <c r="BD12" s="2">
        <f>SUBTOTAL(9,BD4:BD10)</f>
        <v>0</v>
      </c>
      <c r="BE12" s="2"/>
      <c r="BF12" s="2"/>
      <c r="BG12" s="2">
        <f>SUBTOTAL(9,BG4:BG10)</f>
        <v>0</v>
      </c>
      <c r="BH12" s="2"/>
      <c r="BI12" s="2"/>
      <c r="BJ12" s="2">
        <f>SUBTOTAL(9,BJ4:BJ10)</f>
        <v>0</v>
      </c>
      <c r="BK12" s="2"/>
      <c r="BL12" s="2"/>
      <c r="BM12" s="2" t="s">
        <v>291</v>
      </c>
      <c r="BN12" s="2"/>
      <c r="BO12" s="2"/>
      <c r="BP12" s="2">
        <f>SUBTOTAL(9,BP4:BP10)</f>
        <v>0</v>
      </c>
      <c r="BQ12" s="2"/>
      <c r="BR12" s="2"/>
      <c r="BS12" s="2">
        <f>SUBTOTAL(9,BS4:BS10)</f>
        <v>0</v>
      </c>
      <c r="BT12" s="2"/>
      <c r="BU12" s="2"/>
      <c r="BV12" s="2">
        <f>SUBTOTAL(9,BV4:BV10)</f>
        <v>0</v>
      </c>
      <c r="BW12" s="2"/>
      <c r="BX12" s="2"/>
      <c r="BY12" s="2" t="s">
        <v>291</v>
      </c>
      <c r="BZ12" s="2"/>
      <c r="CA12" s="2"/>
      <c r="CB12" s="2" t="s">
        <v>291</v>
      </c>
      <c r="CC12" s="2"/>
      <c r="CD12" s="2"/>
      <c r="CE12" s="2">
        <f>SUBTOTAL(9,CE4:CE10)</f>
        <v>0</v>
      </c>
      <c r="CF12" s="2"/>
      <c r="CG12" s="2"/>
      <c r="CH12" s="2">
        <f>SUBTOTAL(9,CH4:CH10)</f>
        <v>0</v>
      </c>
      <c r="CI12" s="2"/>
      <c r="CJ12" s="2"/>
      <c r="CK12" s="2">
        <f>SUBTOTAL(9,CK4:CK10)</f>
        <v>0</v>
      </c>
      <c r="CL12" s="2"/>
      <c r="CM12" s="2"/>
      <c r="CN12" s="2">
        <f>SUBTOTAL(9,CN4:CN10)</f>
        <v>0</v>
      </c>
      <c r="CO12" s="2"/>
      <c r="CP12" s="2"/>
      <c r="CQ12" s="2">
        <f>SUBTOTAL(9,CQ4:CQ10)</f>
        <v>0</v>
      </c>
      <c r="CR12" s="2"/>
      <c r="CS12" s="2"/>
      <c r="CT12" s="2">
        <f>SUBTOTAL(9,CT4:CT10)</f>
        <v>0</v>
      </c>
      <c r="CU12" s="2"/>
      <c r="CV12" s="2"/>
      <c r="CW12" s="2">
        <f>SUBTOTAL(9,CW4:CW10)</f>
        <v>0</v>
      </c>
      <c r="CX12" s="2"/>
      <c r="CY12" s="2"/>
      <c r="CZ12" s="2">
        <f>SUBTOTAL(9,CZ4:CZ10)</f>
        <v>0</v>
      </c>
    </row>
    <row r="13" spans="1:104" ht="11.25" hidden="1" customHeight="1">
      <c r="A13"/>
      <c r="D13"/>
      <c r="E13"/>
      <c r="G13"/>
      <c r="H13"/>
      <c r="I13"/>
      <c r="J13"/>
      <c r="K13" s="44"/>
      <c r="L13"/>
      <c r="M13"/>
      <c r="N13"/>
      <c r="O13"/>
      <c r="P13"/>
      <c r="Q13"/>
      <c r="R13"/>
      <c r="S13"/>
      <c r="T13"/>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c r="CS13" s="2"/>
      <c r="CT13" s="2"/>
      <c r="CU13" s="2"/>
      <c r="CV13" s="2"/>
      <c r="CW13" s="2"/>
      <c r="CX13" s="2"/>
      <c r="CY13" s="2"/>
      <c r="CZ13" s="2"/>
    </row>
    <row r="14" spans="1:104" ht="11.25" hidden="1" customHeight="1">
      <c r="A14"/>
      <c r="D14"/>
      <c r="E14"/>
      <c r="G14"/>
      <c r="H14"/>
      <c r="I14"/>
      <c r="J14"/>
      <c r="K14" s="44"/>
      <c r="L14"/>
      <c r="M14"/>
      <c r="N14"/>
      <c r="O14"/>
      <c r="P14"/>
      <c r="Q14"/>
      <c r="R14"/>
      <c r="S14"/>
      <c r="T14"/>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c r="CY14" s="2"/>
      <c r="CZ14" s="2"/>
    </row>
    <row r="15" spans="1:104" ht="11.25" hidden="1" customHeight="1">
      <c r="A15"/>
      <c r="D15"/>
      <c r="E15"/>
      <c r="G15"/>
      <c r="H15"/>
      <c r="I15"/>
      <c r="J15"/>
      <c r="K15" s="44"/>
      <c r="L15"/>
      <c r="M15"/>
      <c r="N15"/>
      <c r="O15"/>
      <c r="P15"/>
      <c r="Q15"/>
      <c r="R15"/>
      <c r="S15"/>
      <c r="T15"/>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c r="CY15" s="2"/>
      <c r="CZ15" s="2"/>
    </row>
    <row r="16" spans="1:104" ht="11.25" hidden="1" customHeight="1">
      <c r="A16"/>
      <c r="D16"/>
      <c r="E16"/>
      <c r="G16"/>
      <c r="H16"/>
      <c r="I16"/>
      <c r="J16"/>
      <c r="K16" s="44"/>
      <c r="L16"/>
      <c r="M16"/>
      <c r="N16"/>
      <c r="O16"/>
      <c r="P16"/>
      <c r="Q16"/>
      <c r="R16"/>
      <c r="S16"/>
      <c r="T16"/>
      <c r="U16" s="3" t="s">
        <v>115</v>
      </c>
      <c r="V16" s="3" t="s">
        <v>292</v>
      </c>
      <c r="W16" s="1" t="s">
        <v>50</v>
      </c>
      <c r="X16" s="3" t="s">
        <v>293</v>
      </c>
      <c r="Y16" s="3" t="s">
        <v>294</v>
      </c>
      <c r="Z16" s="3" t="s">
        <v>295</v>
      </c>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c r="CY16" s="2"/>
      <c r="CZ16" s="2"/>
    </row>
    <row r="17" spans="1:104" ht="11.25" hidden="1" customHeight="1">
      <c r="A17"/>
      <c r="D17"/>
      <c r="E17"/>
      <c r="G17"/>
      <c r="H17"/>
      <c r="I17"/>
      <c r="J17"/>
      <c r="K17" s="44"/>
      <c r="L17"/>
      <c r="M17"/>
      <c r="N17"/>
      <c r="O17"/>
      <c r="P17"/>
      <c r="Q17"/>
      <c r="R17"/>
      <c r="S17"/>
      <c r="T17"/>
      <c r="U17" s="2">
        <v>1</v>
      </c>
      <c r="V17" s="8" t="str">
        <f>IF(ISNUMBER(SMALL(記入日範囲,1)), SMALL(記入日範囲,1), " ")</f>
        <v xml:space="preserve"> </v>
      </c>
      <c r="W17" s="2"/>
      <c r="X17" s="2">
        <f>IF(ISNUMBER(DCOUNTA(査読範囲,W16,V16:V17)), DCOUNTA(査読範囲,W16,V16:V17), 0)</f>
        <v>0</v>
      </c>
      <c r="Y17" s="2">
        <f>IF(ISNUMBER(DCOUNTA(査読範囲,V16,V16:V17)), DCOUNTA(査読範囲,V16,V16:V17), 0)</f>
        <v>0</v>
      </c>
      <c r="Z17" s="2">
        <f>Y17</f>
        <v>0</v>
      </c>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c r="CY17" s="2"/>
      <c r="CZ17" s="2"/>
    </row>
    <row r="18" spans="1:104" ht="11.25" hidden="1" customHeight="1">
      <c r="A18"/>
      <c r="D18"/>
      <c r="E18"/>
      <c r="G18"/>
      <c r="H18"/>
      <c r="I18"/>
      <c r="J18"/>
      <c r="K18" s="44"/>
      <c r="L18"/>
      <c r="M18"/>
      <c r="N18"/>
      <c r="O18"/>
      <c r="P18"/>
      <c r="Q18"/>
      <c r="R18"/>
      <c r="S18"/>
      <c r="T18"/>
      <c r="U18" s="2"/>
      <c r="V18" s="3" t="s">
        <v>292</v>
      </c>
      <c r="W18" s="1" t="s">
        <v>50</v>
      </c>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c r="CZ18" s="2"/>
    </row>
    <row r="19" spans="1:104" ht="11.25" hidden="1" customHeight="1">
      <c r="A19"/>
      <c r="D19"/>
      <c r="E19"/>
      <c r="G19"/>
      <c r="H19"/>
      <c r="I19"/>
      <c r="J19"/>
      <c r="K19" s="44"/>
      <c r="L19"/>
      <c r="M19"/>
      <c r="N19"/>
      <c r="O19"/>
      <c r="P19"/>
      <c r="Q19"/>
      <c r="R19"/>
      <c r="S19"/>
      <c r="T19"/>
      <c r="U19" s="2">
        <v>2</v>
      </c>
      <c r="V19" s="8" t="str">
        <f>IF(ISNUMBER(SMALL(記入日範囲,Z17+1)), SMALL(記入日範囲,Z17+1), " ")</f>
        <v xml:space="preserve"> </v>
      </c>
      <c r="W19" s="2"/>
      <c r="X19" s="2">
        <f>IF(ISNUMBER(DCOUNTA(査読範囲,W18,V18:V19)), DCOUNTA(査読範囲,W18,V18:V19), 0)</f>
        <v>0</v>
      </c>
      <c r="Y19" s="2">
        <f>IF(ISNUMBER(DCOUNTA(査読範囲,V18,V18:V19)), DCOUNTA(査読範囲,V18,V18:V19), 0)</f>
        <v>0</v>
      </c>
      <c r="Z19" s="2">
        <f>Z17+Y19</f>
        <v>0</v>
      </c>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c r="CY19" s="2"/>
      <c r="CZ19" s="2"/>
    </row>
    <row r="20" spans="1:104" ht="11.25" hidden="1" customHeight="1">
      <c r="A20"/>
      <c r="D20"/>
      <c r="E20"/>
      <c r="G20"/>
      <c r="H20"/>
      <c r="I20"/>
      <c r="J20"/>
      <c r="K20" s="44"/>
      <c r="L20"/>
      <c r="M20"/>
      <c r="N20"/>
      <c r="O20"/>
      <c r="P20"/>
      <c r="Q20"/>
      <c r="R20"/>
      <c r="S20"/>
      <c r="T20"/>
      <c r="U20" s="2"/>
      <c r="V20" s="3" t="s">
        <v>292</v>
      </c>
      <c r="W20" s="1" t="s">
        <v>50</v>
      </c>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c r="CX20" s="2"/>
      <c r="CY20" s="2"/>
      <c r="CZ20" s="2"/>
    </row>
    <row r="21" spans="1:104" ht="11.25" hidden="1" customHeight="1">
      <c r="A21"/>
      <c r="D21"/>
      <c r="E21"/>
      <c r="G21"/>
      <c r="H21"/>
      <c r="I21"/>
      <c r="J21"/>
      <c r="K21" s="44"/>
      <c r="L21"/>
      <c r="M21"/>
      <c r="N21"/>
      <c r="O21"/>
      <c r="P21"/>
      <c r="Q21"/>
      <c r="R21"/>
      <c r="S21"/>
      <c r="T21"/>
      <c r="U21" s="2">
        <v>3</v>
      </c>
      <c r="V21" s="8" t="str">
        <f>IF(ISNUMBER(SMALL(記入日範囲,Z19+1)), SMALL(記入日範囲,Z19+1), " ")</f>
        <v xml:space="preserve"> </v>
      </c>
      <c r="W21" s="2"/>
      <c r="X21" s="2">
        <f>IF(ISNUMBER(DCOUNTA(査読範囲,W20,V20:V21)), DCOUNTA(査読範囲,W20,V20:V21), 0)</f>
        <v>0</v>
      </c>
      <c r="Y21" s="2">
        <f>IF(ISNUMBER(DCOUNTA(査読範囲,V20,V20:V21)), DCOUNTA(査読範囲,V20,V20:V21), 0)</f>
        <v>0</v>
      </c>
      <c r="Z21" s="2">
        <f>Z19+Y21</f>
        <v>0</v>
      </c>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c r="CY21" s="2"/>
      <c r="CZ21" s="2"/>
    </row>
    <row r="22" spans="1:104" ht="11.25" hidden="1" customHeight="1">
      <c r="A22"/>
      <c r="D22"/>
      <c r="E22"/>
      <c r="G22"/>
      <c r="H22"/>
      <c r="I22"/>
      <c r="J22"/>
      <c r="K22" s="44"/>
      <c r="L22"/>
      <c r="M22"/>
      <c r="N22"/>
      <c r="O22"/>
      <c r="P22"/>
      <c r="Q22"/>
      <c r="R22"/>
      <c r="S22"/>
      <c r="T22"/>
      <c r="U22" s="2"/>
      <c r="V22" s="3" t="s">
        <v>292</v>
      </c>
      <c r="W22" s="1" t="s">
        <v>50</v>
      </c>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c r="CY22" s="2"/>
      <c r="CZ22" s="2"/>
    </row>
    <row r="23" spans="1:104" ht="11.25" hidden="1" customHeight="1">
      <c r="A23"/>
      <c r="D23"/>
      <c r="E23"/>
      <c r="G23"/>
      <c r="H23"/>
      <c r="I23"/>
      <c r="J23"/>
      <c r="K23" s="44"/>
      <c r="L23"/>
      <c r="M23"/>
      <c r="N23"/>
      <c r="O23"/>
      <c r="P23"/>
      <c r="Q23"/>
      <c r="R23"/>
      <c r="S23"/>
      <c r="T23"/>
      <c r="U23" s="2">
        <v>4</v>
      </c>
      <c r="V23" s="8" t="str">
        <f>IF(ISNUMBER(SMALL(記入日範囲,Z21+1)), SMALL(記入日範囲,Z21+1), " ")</f>
        <v xml:space="preserve"> </v>
      </c>
      <c r="W23" s="2"/>
      <c r="X23" s="2">
        <f>IF(ISNUMBER(DCOUNTA(査読範囲,W22,V22:V23)), DCOUNTA(査読範囲,W22,V22:V23), 0)</f>
        <v>0</v>
      </c>
      <c r="Y23" s="2">
        <f>IF(ISNUMBER(DCOUNTA(査読範囲,V22,V22:V23)), DCOUNTA(査読範囲,V22,V22:V23), 0)</f>
        <v>0</v>
      </c>
      <c r="Z23" s="2">
        <f>Z21+Y23</f>
        <v>0</v>
      </c>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c r="CX23" s="2"/>
      <c r="CY23" s="2"/>
      <c r="CZ23" s="2"/>
    </row>
    <row r="24" spans="1:104" ht="11.25" hidden="1" customHeight="1">
      <c r="A24"/>
      <c r="D24"/>
      <c r="E24"/>
      <c r="G24"/>
      <c r="H24"/>
      <c r="I24"/>
      <c r="J24"/>
      <c r="K24" s="44"/>
      <c r="L24"/>
      <c r="M24"/>
      <c r="N24"/>
      <c r="O24"/>
      <c r="P24"/>
      <c r="Q24"/>
      <c r="R24"/>
      <c r="S24"/>
      <c r="T24"/>
      <c r="U24" s="2"/>
      <c r="V24" s="3" t="s">
        <v>292</v>
      </c>
      <c r="W24" s="1" t="s">
        <v>50</v>
      </c>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c r="CY24" s="2"/>
      <c r="CZ24" s="2"/>
    </row>
    <row r="25" spans="1:104" ht="11.25" hidden="1" customHeight="1">
      <c r="A25"/>
      <c r="C25" s="71"/>
      <c r="D25" s="71"/>
      <c r="E25" s="71"/>
      <c r="F25" s="71"/>
      <c r="G25" s="71"/>
      <c r="H25" s="71"/>
      <c r="I25" s="71"/>
      <c r="J25" s="71"/>
      <c r="K25" s="72"/>
      <c r="L25" s="71"/>
      <c r="M25" s="71"/>
      <c r="N25" s="71"/>
      <c r="O25" s="71"/>
      <c r="P25" s="71"/>
      <c r="Q25" s="71"/>
      <c r="R25" s="71"/>
      <c r="S25" s="71"/>
      <c r="T25" s="71"/>
      <c r="U25" s="2">
        <v>5</v>
      </c>
      <c r="V25" s="8" t="str">
        <f>IF(ISNUMBER(SMALL(記入日範囲,Z23+1)), SMALL(記入日範囲,Z23+1), " ")</f>
        <v xml:space="preserve"> </v>
      </c>
      <c r="W25" s="2"/>
      <c r="X25" s="2">
        <f>IF(ISNUMBER(DCOUNTA(査読範囲,W24,V24:V25)), DCOUNTA(査読範囲,W24,V24:V25), 0)</f>
        <v>0</v>
      </c>
      <c r="Y25" s="2">
        <f>IF(ISNUMBER(DCOUNTA(査読範囲,V24,V24:V25)), DCOUNTA(査読範囲,V24,V24:V25), 0)</f>
        <v>0</v>
      </c>
      <c r="Z25" s="2">
        <f>Z23+Y25</f>
        <v>0</v>
      </c>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c r="CY25" s="2"/>
      <c r="CZ25" s="2"/>
    </row>
    <row r="26" spans="1:104" ht="11.25" hidden="1" customHeight="1">
      <c r="A26"/>
      <c r="C26" s="74" t="s">
        <v>296</v>
      </c>
      <c r="D26"/>
      <c r="E26"/>
      <c r="G26"/>
      <c r="H26"/>
      <c r="I26"/>
      <c r="J26"/>
      <c r="K26" s="44"/>
      <c r="L26"/>
      <c r="M26"/>
      <c r="N26"/>
      <c r="O26"/>
      <c r="P26"/>
      <c r="Q26"/>
      <c r="R26"/>
      <c r="S26"/>
      <c r="T26"/>
      <c r="U26" s="2"/>
      <c r="V26" s="3" t="s">
        <v>292</v>
      </c>
      <c r="W26" s="1" t="s">
        <v>50</v>
      </c>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c r="CY26" s="2"/>
      <c r="CZ26" s="2"/>
    </row>
    <row r="27" spans="1:104" ht="11.25" hidden="1" customHeight="1">
      <c r="A27"/>
      <c r="C27" s="73" t="s">
        <v>297</v>
      </c>
      <c r="D27"/>
      <c r="E27"/>
      <c r="G27"/>
      <c r="H27"/>
      <c r="I27"/>
      <c r="J27"/>
      <c r="K27" s="44"/>
      <c r="L27"/>
      <c r="M27"/>
      <c r="N27"/>
      <c r="O27"/>
      <c r="P27"/>
      <c r="Q27"/>
      <c r="R27"/>
      <c r="S27"/>
      <c r="T27"/>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c r="CY27" s="2"/>
      <c r="CZ27" s="2"/>
    </row>
    <row r="28" spans="1:104" ht="11.25" hidden="1" customHeight="1">
      <c r="A28"/>
      <c r="D28"/>
      <c r="E28"/>
      <c r="G28"/>
      <c r="H28"/>
      <c r="I28"/>
      <c r="J28"/>
      <c r="K28" s="44"/>
      <c r="L28"/>
      <c r="M28"/>
      <c r="N28"/>
      <c r="O28"/>
      <c r="P28"/>
      <c r="Q28"/>
      <c r="R28"/>
      <c r="S28"/>
      <c r="T28"/>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c r="CY28" s="2"/>
      <c r="CZ28" s="2"/>
    </row>
    <row r="29" spans="1:104" ht="11.25" hidden="1" customHeight="1">
      <c r="A29"/>
      <c r="D29"/>
      <c r="E29"/>
      <c r="G29"/>
      <c r="H29"/>
      <c r="I29"/>
      <c r="J29"/>
      <c r="K29" s="44"/>
      <c r="L29"/>
      <c r="M29"/>
      <c r="N29"/>
      <c r="O29"/>
      <c r="P29"/>
      <c r="Q29"/>
      <c r="R29"/>
      <c r="S29"/>
      <c r="T29"/>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c r="CY29" s="2"/>
      <c r="CZ29" s="2"/>
    </row>
    <row r="30" spans="1:104" ht="11.25" hidden="1" customHeight="1" thickBot="1">
      <c r="A30" s="43"/>
      <c r="B30" s="43"/>
      <c r="C30" s="43"/>
      <c r="D30" s="43"/>
      <c r="E30" s="43"/>
      <c r="F30" s="43"/>
      <c r="G30" s="43"/>
      <c r="H30" s="43"/>
      <c r="I30" s="43"/>
      <c r="J30" s="43"/>
      <c r="K30" s="45"/>
      <c r="L30" s="43"/>
      <c r="M30" s="43"/>
      <c r="N30" s="43"/>
      <c r="O30" s="43"/>
      <c r="P30" s="43"/>
      <c r="Q30" s="43"/>
      <c r="R30" s="43"/>
      <c r="S30" s="43"/>
      <c r="T30" s="43"/>
      <c r="U30" s="42"/>
      <c r="V30" s="43"/>
      <c r="W30" s="43"/>
      <c r="X30" s="42"/>
      <c r="Y30" s="43"/>
      <c r="Z30" s="42"/>
      <c r="AA30" s="42"/>
      <c r="AB30" s="42"/>
      <c r="AC30" s="42"/>
    </row>
    <row r="31" spans="1:104" ht="18" customHeight="1">
      <c r="A31"/>
      <c r="C31" s="117"/>
      <c r="D31" s="118" t="s">
        <v>298</v>
      </c>
      <c r="E31" s="118"/>
      <c r="F31" s="117"/>
      <c r="G31" s="119"/>
      <c r="H31" s="119"/>
    </row>
    <row r="32" spans="1:104" ht="6.75" customHeight="1" thickBot="1">
      <c r="C32" s="502"/>
      <c r="D32" s="503"/>
      <c r="E32" s="503"/>
      <c r="F32" s="503"/>
      <c r="G32" s="503"/>
      <c r="H32" s="119"/>
    </row>
    <row r="33" spans="1:24" ht="15.75" customHeight="1">
      <c r="A33" s="65" t="s">
        <v>299</v>
      </c>
      <c r="D33"/>
      <c r="E33"/>
      <c r="G33"/>
      <c r="H33"/>
      <c r="I33"/>
      <c r="J33" s="512" t="s">
        <v>300</v>
      </c>
      <c r="K33" s="513"/>
      <c r="L33" s="107"/>
      <c r="M33" s="107"/>
      <c r="N33" s="107"/>
      <c r="O33" s="107"/>
      <c r="P33" s="107"/>
      <c r="Q33" s="107"/>
      <c r="R33" s="107"/>
      <c r="S33" s="107"/>
      <c r="T33" s="107"/>
    </row>
    <row r="34" spans="1:24" ht="15" customHeight="1">
      <c r="A34" s="497"/>
      <c r="B34" s="511"/>
      <c r="C34" s="61" t="s">
        <v>301</v>
      </c>
      <c r="D34" s="49"/>
      <c r="E34" s="49"/>
      <c r="F34" s="2"/>
      <c r="G34" s="49"/>
      <c r="H34" s="49"/>
      <c r="I34" s="49"/>
      <c r="J34" s="505"/>
      <c r="K34" s="506"/>
      <c r="L34" s="63"/>
      <c r="M34" s="63"/>
      <c r="N34" s="63"/>
      <c r="O34" s="63"/>
      <c r="P34" s="63"/>
      <c r="Q34" s="63"/>
      <c r="R34" s="63"/>
      <c r="S34" s="63"/>
      <c r="T34" s="63"/>
    </row>
    <row r="35" spans="1:24" ht="14.25" customHeight="1" thickBot="1">
      <c r="A35" s="497"/>
      <c r="B35" s="498"/>
      <c r="C35" s="61" t="s">
        <v>302</v>
      </c>
      <c r="D35" s="49"/>
      <c r="E35" s="49"/>
      <c r="F35" s="12"/>
      <c r="G35" s="12"/>
      <c r="H35" s="12"/>
      <c r="I35" s="12"/>
      <c r="J35" s="507"/>
      <c r="K35" s="508"/>
      <c r="L35" s="108"/>
      <c r="M35" s="108"/>
      <c r="N35" s="108"/>
      <c r="O35" s="108"/>
      <c r="P35" s="108"/>
      <c r="Q35" s="108"/>
      <c r="R35" s="108"/>
      <c r="S35" s="108"/>
      <c r="T35" s="108"/>
    </row>
    <row r="36" spans="1:24" ht="10.5" customHeight="1">
      <c r="A36" s="13"/>
      <c r="B36" s="13"/>
      <c r="C36" s="61"/>
      <c r="D36" s="49"/>
      <c r="E36" s="49"/>
      <c r="F36" s="2"/>
      <c r="G36" s="49"/>
      <c r="H36" s="49"/>
      <c r="I36" s="49"/>
      <c r="J36" s="49"/>
      <c r="K36" s="49"/>
      <c r="L36" s="49"/>
      <c r="M36" s="49"/>
      <c r="N36" s="49"/>
      <c r="O36" s="49"/>
      <c r="P36" s="49"/>
      <c r="Q36" s="49"/>
      <c r="R36" s="49"/>
      <c r="S36" s="49"/>
      <c r="T36" s="49"/>
    </row>
    <row r="37" spans="1:24" ht="18" customHeight="1">
      <c r="A37" s="494" t="s">
        <v>303</v>
      </c>
      <c r="B37" s="251"/>
      <c r="C37" s="499"/>
      <c r="D37" s="499"/>
      <c r="E37" s="499"/>
      <c r="F37" s="499"/>
      <c r="G37" s="491" t="s">
        <v>304</v>
      </c>
      <c r="H37" s="491"/>
      <c r="I37" s="492"/>
      <c r="J37" s="509"/>
      <c r="K37" s="510"/>
      <c r="L37" s="120"/>
      <c r="M37" s="120"/>
      <c r="N37" s="120"/>
      <c r="O37" s="120"/>
      <c r="P37" s="120"/>
      <c r="Q37" s="120"/>
      <c r="R37" s="120"/>
      <c r="S37" s="120"/>
      <c r="T37" s="120"/>
    </row>
    <row r="38" spans="1:24" ht="23.25" customHeight="1" thickBot="1">
      <c r="A38" s="515" t="s">
        <v>305</v>
      </c>
      <c r="B38" s="516"/>
      <c r="C38" s="514" t="s">
        <v>323</v>
      </c>
      <c r="D38" s="504"/>
      <c r="E38" s="504"/>
      <c r="F38" s="504"/>
      <c r="G38" s="493"/>
      <c r="H38" s="493"/>
      <c r="I38" s="492"/>
      <c r="J38" s="500"/>
      <c r="K38" s="501"/>
      <c r="L38" s="121"/>
      <c r="M38" s="121"/>
      <c r="N38" s="121"/>
      <c r="O38" s="121"/>
      <c r="P38" s="121"/>
      <c r="Q38" s="121"/>
      <c r="R38" s="121"/>
      <c r="S38" s="121"/>
      <c r="T38" s="121"/>
    </row>
    <row r="39" spans="1:24" ht="11.25" customHeight="1">
      <c r="A39" s="62"/>
      <c r="D39"/>
      <c r="E39"/>
      <c r="J39" s="63"/>
      <c r="K39" s="63"/>
      <c r="L39" s="63"/>
      <c r="M39" s="63"/>
      <c r="N39" s="63"/>
      <c r="O39" s="63"/>
      <c r="P39" s="63"/>
      <c r="Q39" s="63"/>
      <c r="R39" s="63"/>
      <c r="S39" s="63"/>
      <c r="T39" s="63"/>
    </row>
    <row r="40" spans="1:24" ht="13.5" customHeight="1">
      <c r="A40" s="62"/>
      <c r="C40" s="78"/>
      <c r="D40" s="79"/>
      <c r="E40" s="79"/>
      <c r="F40" s="80"/>
      <c r="G40" s="81"/>
      <c r="H40" s="81"/>
      <c r="I40" s="50" t="s">
        <v>307</v>
      </c>
      <c r="J40" s="489">
        <f>IF(J37&lt;&gt;0,DCOUNTA(査読範囲,C43,C26:C27)/J37,IF(J38&lt;&gt;0,DCOUNTA(査読範囲,C43,C26:C27)/J38,0))</f>
        <v>0</v>
      </c>
      <c r="K40" s="490"/>
      <c r="L40" s="109"/>
      <c r="M40" s="109"/>
      <c r="N40" s="109"/>
      <c r="O40" s="109"/>
      <c r="P40" s="109"/>
      <c r="Q40" s="109"/>
      <c r="R40" s="109"/>
      <c r="S40" s="109"/>
      <c r="T40" s="109"/>
    </row>
    <row r="41" spans="1:24" ht="16.5" customHeight="1">
      <c r="A41" s="62"/>
      <c r="C41" s="50" t="s">
        <v>120</v>
      </c>
      <c r="D41" s="75"/>
      <c r="E41" s="124"/>
      <c r="F41" s="65" t="s">
        <v>308</v>
      </c>
      <c r="G41"/>
      <c r="H41"/>
      <c r="I41"/>
      <c r="J41"/>
      <c r="K41"/>
      <c r="L41"/>
      <c r="M41"/>
      <c r="N41"/>
      <c r="O41"/>
      <c r="P41"/>
      <c r="Q41"/>
      <c r="R41"/>
      <c r="S41"/>
      <c r="T41"/>
    </row>
    <row r="42" spans="1:24" ht="6" customHeight="1">
      <c r="F42" t="s">
        <v>309</v>
      </c>
    </row>
    <row r="43" spans="1:24" ht="20.25" customHeight="1">
      <c r="A43" s="122" t="s">
        <v>310</v>
      </c>
      <c r="B43" s="145" t="s">
        <v>311</v>
      </c>
      <c r="C43" s="122" t="s">
        <v>312</v>
      </c>
      <c r="D43" s="122" t="s">
        <v>292</v>
      </c>
      <c r="E43" s="125" t="s">
        <v>313</v>
      </c>
      <c r="F43" s="122" t="s">
        <v>314</v>
      </c>
      <c r="G43" s="122" t="s">
        <v>315</v>
      </c>
      <c r="H43" s="125" t="s">
        <v>316</v>
      </c>
      <c r="I43" s="122" t="s">
        <v>50</v>
      </c>
      <c r="J43" s="122" t="s">
        <v>317</v>
      </c>
      <c r="K43" s="122" t="s">
        <v>318</v>
      </c>
      <c r="L43" s="49"/>
      <c r="M43" s="49"/>
      <c r="N43" s="49"/>
      <c r="O43" s="49"/>
      <c r="P43" s="49"/>
      <c r="Q43" s="49"/>
      <c r="R43" s="49"/>
      <c r="S43" s="49"/>
      <c r="T43" s="49"/>
    </row>
    <row r="44" spans="1:24" s="79" customFormat="1">
      <c r="A44" s="128">
        <v>1</v>
      </c>
      <c r="B44" s="160"/>
      <c r="C44" s="154" t="s">
        <v>324</v>
      </c>
      <c r="D44" s="134">
        <v>44986</v>
      </c>
      <c r="E44" s="126" t="s">
        <v>325</v>
      </c>
      <c r="F44" s="155" t="s">
        <v>326</v>
      </c>
      <c r="G44" s="139">
        <v>44986</v>
      </c>
      <c r="H44" s="130" t="s">
        <v>327</v>
      </c>
      <c r="I44" s="131" t="s">
        <v>328</v>
      </c>
      <c r="J44" s="142"/>
      <c r="K44" s="129" t="s">
        <v>325</v>
      </c>
      <c r="L44" s="132"/>
      <c r="M44" s="132"/>
      <c r="N44" s="132"/>
      <c r="O44" s="132"/>
      <c r="P44" s="132"/>
      <c r="Q44" s="132"/>
      <c r="R44" s="132"/>
      <c r="S44" s="132"/>
      <c r="T44" s="132"/>
    </row>
    <row r="45" spans="1:24" s="79" customFormat="1" ht="24">
      <c r="A45" s="128">
        <f t="shared" ref="A45:A63" si="0">A44+1</f>
        <v>2</v>
      </c>
      <c r="B45" s="161"/>
      <c r="C45" s="154" t="s">
        <v>457</v>
      </c>
      <c r="D45" s="134">
        <v>44993</v>
      </c>
      <c r="E45" s="126" t="s">
        <v>329</v>
      </c>
      <c r="F45" s="155" t="s">
        <v>458</v>
      </c>
      <c r="G45" s="139">
        <v>45027</v>
      </c>
      <c r="H45" s="127" t="s">
        <v>325</v>
      </c>
      <c r="I45" s="131"/>
      <c r="J45" s="142"/>
      <c r="K45" s="129"/>
      <c r="L45" s="132"/>
      <c r="M45" s="132"/>
      <c r="N45" s="132"/>
      <c r="O45" s="132"/>
      <c r="P45" s="132"/>
      <c r="Q45" s="132"/>
      <c r="R45" s="132"/>
      <c r="S45" s="132"/>
      <c r="T45" s="132"/>
      <c r="V45" s="133"/>
    </row>
    <row r="46" spans="1:24" s="79" customFormat="1" ht="24">
      <c r="A46" s="128">
        <f t="shared" si="0"/>
        <v>3</v>
      </c>
      <c r="B46" s="161"/>
      <c r="C46" s="154" t="s">
        <v>453</v>
      </c>
      <c r="D46" s="134">
        <v>44993</v>
      </c>
      <c r="E46" s="126" t="s">
        <v>329</v>
      </c>
      <c r="F46" s="155" t="s">
        <v>460</v>
      </c>
      <c r="G46" s="139">
        <v>45027</v>
      </c>
      <c r="H46" s="130" t="s">
        <v>461</v>
      </c>
      <c r="I46" s="131"/>
      <c r="J46" s="142"/>
      <c r="K46" s="129"/>
      <c r="L46" s="132"/>
      <c r="M46" s="132"/>
      <c r="N46" s="132"/>
      <c r="O46" s="132"/>
      <c r="P46" s="132"/>
      <c r="Q46" s="132"/>
      <c r="R46" s="132"/>
      <c r="S46" s="132"/>
      <c r="T46" s="132"/>
      <c r="V46" s="133"/>
      <c r="W46" s="133"/>
      <c r="X46" s="133"/>
    </row>
    <row r="47" spans="1:24" s="79" customFormat="1" ht="24">
      <c r="A47" s="128">
        <f t="shared" si="0"/>
        <v>4</v>
      </c>
      <c r="B47" s="160"/>
      <c r="C47" s="154" t="s">
        <v>459</v>
      </c>
      <c r="D47" s="134">
        <v>44993</v>
      </c>
      <c r="E47" s="126" t="s">
        <v>329</v>
      </c>
      <c r="F47" s="155" t="s">
        <v>326</v>
      </c>
      <c r="G47" s="139">
        <v>45027</v>
      </c>
      <c r="H47" s="127" t="s">
        <v>325</v>
      </c>
      <c r="I47" s="131"/>
      <c r="J47" s="142"/>
      <c r="K47" s="129"/>
      <c r="L47" s="132"/>
      <c r="M47" s="132"/>
      <c r="N47" s="132"/>
      <c r="O47" s="132"/>
      <c r="P47" s="132"/>
      <c r="Q47" s="132"/>
      <c r="R47" s="132"/>
      <c r="S47" s="132"/>
      <c r="T47" s="132"/>
      <c r="V47" s="133"/>
      <c r="W47" s="133"/>
      <c r="X47" s="133"/>
    </row>
    <row r="48" spans="1:24" s="79" customFormat="1" ht="96">
      <c r="A48" s="128">
        <f t="shared" si="0"/>
        <v>5</v>
      </c>
      <c r="B48" s="161"/>
      <c r="C48" s="154" t="s">
        <v>454</v>
      </c>
      <c r="D48" s="134">
        <v>44994</v>
      </c>
      <c r="E48" s="126" t="s">
        <v>455</v>
      </c>
      <c r="F48" s="155" t="s">
        <v>462</v>
      </c>
      <c r="G48" s="139">
        <v>45029</v>
      </c>
      <c r="H48" s="130" t="s">
        <v>461</v>
      </c>
      <c r="I48" s="131"/>
      <c r="J48" s="142"/>
      <c r="K48" s="129"/>
      <c r="L48" s="132"/>
      <c r="M48" s="132"/>
      <c r="N48" s="132"/>
      <c r="O48" s="132"/>
      <c r="P48" s="132"/>
      <c r="Q48" s="132"/>
      <c r="R48" s="132"/>
      <c r="S48" s="132"/>
      <c r="T48" s="132"/>
      <c r="V48" s="133"/>
      <c r="W48" s="133"/>
      <c r="X48" s="133"/>
    </row>
    <row r="49" spans="1:24" s="79" customFormat="1" ht="48">
      <c r="A49" s="128">
        <f t="shared" si="0"/>
        <v>6</v>
      </c>
      <c r="B49" s="160"/>
      <c r="C49" s="154" t="s">
        <v>456</v>
      </c>
      <c r="D49" s="134">
        <v>44994</v>
      </c>
      <c r="E49" s="126" t="s">
        <v>455</v>
      </c>
      <c r="F49" s="155" t="s">
        <v>463</v>
      </c>
      <c r="G49" s="139">
        <v>45029</v>
      </c>
      <c r="H49" s="130" t="s">
        <v>461</v>
      </c>
      <c r="I49" s="131"/>
      <c r="J49" s="142"/>
      <c r="K49" s="129"/>
      <c r="L49" s="132"/>
      <c r="M49" s="132"/>
      <c r="N49" s="132"/>
      <c r="O49" s="132"/>
      <c r="P49" s="132"/>
      <c r="Q49" s="132"/>
      <c r="R49" s="132"/>
      <c r="S49" s="132"/>
      <c r="T49" s="132"/>
      <c r="V49" s="133"/>
      <c r="W49" s="133"/>
      <c r="X49" s="133"/>
    </row>
    <row r="50" spans="1:24" s="79" customFormat="1">
      <c r="A50" s="128">
        <f t="shared" si="0"/>
        <v>7</v>
      </c>
      <c r="B50" s="160"/>
      <c r="C50" s="154"/>
      <c r="D50" s="135"/>
      <c r="E50" s="126"/>
      <c r="F50" s="155"/>
      <c r="G50" s="139"/>
      <c r="H50" s="127"/>
      <c r="I50" s="131"/>
      <c r="J50" s="142"/>
      <c r="K50" s="129"/>
      <c r="L50" s="132"/>
      <c r="M50" s="132"/>
      <c r="N50" s="132"/>
      <c r="O50" s="132"/>
      <c r="P50" s="132"/>
      <c r="Q50" s="132"/>
      <c r="R50" s="132"/>
      <c r="S50" s="132"/>
      <c r="T50" s="132"/>
    </row>
    <row r="51" spans="1:24" s="79" customFormat="1">
      <c r="A51" s="128">
        <f t="shared" si="0"/>
        <v>8</v>
      </c>
      <c r="B51" s="160"/>
      <c r="C51" s="154"/>
      <c r="D51" s="135"/>
      <c r="E51" s="126"/>
      <c r="F51" s="155"/>
      <c r="G51" s="139"/>
      <c r="H51" s="127"/>
      <c r="I51" s="131"/>
      <c r="J51" s="142"/>
      <c r="K51" s="129"/>
      <c r="L51" s="132"/>
      <c r="M51" s="132"/>
      <c r="N51" s="132"/>
      <c r="O51" s="132"/>
      <c r="P51" s="132"/>
      <c r="Q51" s="132"/>
      <c r="R51" s="132"/>
      <c r="S51" s="132"/>
      <c r="T51" s="132"/>
    </row>
    <row r="52" spans="1:24" s="79" customFormat="1">
      <c r="A52" s="128">
        <f t="shared" si="0"/>
        <v>9</v>
      </c>
      <c r="B52" s="160"/>
      <c r="C52" s="154"/>
      <c r="D52" s="135"/>
      <c r="E52" s="126"/>
      <c r="F52" s="155"/>
      <c r="G52" s="139"/>
      <c r="H52" s="159"/>
      <c r="I52" s="131"/>
      <c r="J52" s="142"/>
      <c r="K52" s="129"/>
      <c r="L52" s="132"/>
      <c r="M52" s="132"/>
      <c r="N52" s="132"/>
      <c r="O52" s="132"/>
      <c r="P52" s="132"/>
      <c r="Q52" s="132"/>
      <c r="R52" s="132"/>
      <c r="S52" s="132"/>
      <c r="T52" s="132"/>
    </row>
    <row r="53" spans="1:24" s="79" customFormat="1">
      <c r="A53" s="128">
        <f t="shared" si="0"/>
        <v>10</v>
      </c>
      <c r="B53" s="160"/>
      <c r="C53" s="154"/>
      <c r="D53" s="135"/>
      <c r="E53" s="126"/>
      <c r="F53" s="155"/>
      <c r="G53" s="139"/>
      <c r="H53" s="159"/>
      <c r="I53" s="131"/>
      <c r="J53" s="142"/>
      <c r="K53" s="129"/>
      <c r="L53" s="132"/>
      <c r="M53" s="132"/>
      <c r="N53" s="132"/>
      <c r="O53" s="132"/>
      <c r="P53" s="132"/>
      <c r="Q53" s="132"/>
      <c r="R53" s="132"/>
      <c r="S53" s="132"/>
      <c r="T53" s="132"/>
    </row>
    <row r="54" spans="1:24" s="79" customFormat="1">
      <c r="A54" s="128">
        <f t="shared" si="0"/>
        <v>11</v>
      </c>
      <c r="B54" s="160"/>
      <c r="C54" s="154"/>
      <c r="D54" s="135"/>
      <c r="E54" s="126"/>
      <c r="F54" s="155"/>
      <c r="G54" s="139"/>
      <c r="H54" s="127"/>
      <c r="I54" s="131"/>
      <c r="J54" s="142"/>
      <c r="K54" s="129"/>
      <c r="L54" s="132"/>
      <c r="M54" s="132"/>
      <c r="N54" s="132"/>
      <c r="O54" s="132"/>
      <c r="P54" s="132"/>
      <c r="Q54" s="132"/>
      <c r="R54" s="132"/>
      <c r="S54" s="132"/>
      <c r="T54" s="132"/>
    </row>
    <row r="55" spans="1:24" s="79" customFormat="1">
      <c r="A55" s="128">
        <f t="shared" si="0"/>
        <v>12</v>
      </c>
      <c r="B55" s="160"/>
      <c r="C55" s="154"/>
      <c r="D55" s="135"/>
      <c r="E55" s="126"/>
      <c r="F55" s="155"/>
      <c r="G55" s="139"/>
      <c r="H55" s="127"/>
      <c r="I55" s="131"/>
      <c r="J55" s="142"/>
      <c r="K55" s="129"/>
      <c r="L55" s="132"/>
      <c r="M55" s="132"/>
      <c r="N55" s="132"/>
      <c r="O55" s="132"/>
      <c r="P55" s="132"/>
      <c r="Q55" s="132"/>
      <c r="R55" s="132"/>
      <c r="S55" s="132"/>
      <c r="T55" s="132"/>
    </row>
    <row r="56" spans="1:24" s="79" customFormat="1">
      <c r="A56" s="128">
        <f t="shared" si="0"/>
        <v>13</v>
      </c>
      <c r="B56" s="160"/>
      <c r="C56" s="154"/>
      <c r="D56" s="135"/>
      <c r="E56" s="126"/>
      <c r="F56" s="155"/>
      <c r="G56" s="139"/>
      <c r="H56" s="127"/>
      <c r="I56" s="131"/>
      <c r="J56" s="142"/>
      <c r="K56" s="129"/>
      <c r="L56" s="132"/>
      <c r="M56" s="132"/>
      <c r="N56" s="132"/>
      <c r="O56" s="132"/>
      <c r="P56" s="132"/>
      <c r="Q56" s="132"/>
      <c r="R56" s="132"/>
      <c r="S56" s="132"/>
      <c r="T56" s="132"/>
    </row>
    <row r="57" spans="1:24" s="79" customFormat="1">
      <c r="A57" s="128">
        <f t="shared" si="0"/>
        <v>14</v>
      </c>
      <c r="B57" s="160"/>
      <c r="C57" s="154"/>
      <c r="D57" s="135"/>
      <c r="E57" s="126"/>
      <c r="F57" s="155"/>
      <c r="G57" s="139"/>
      <c r="H57" s="127"/>
      <c r="I57" s="131"/>
      <c r="J57" s="142"/>
      <c r="K57" s="129"/>
      <c r="L57" s="132"/>
      <c r="M57" s="132"/>
      <c r="N57" s="132"/>
      <c r="O57" s="132"/>
      <c r="P57" s="132"/>
      <c r="Q57" s="132"/>
      <c r="R57" s="132"/>
      <c r="S57" s="132"/>
      <c r="T57" s="132"/>
    </row>
    <row r="58" spans="1:24" s="79" customFormat="1">
      <c r="A58" s="128">
        <f t="shared" si="0"/>
        <v>15</v>
      </c>
      <c r="B58" s="160"/>
      <c r="C58" s="154"/>
      <c r="D58" s="135"/>
      <c r="E58" s="126"/>
      <c r="F58" s="155"/>
      <c r="G58" s="139"/>
      <c r="H58" s="127"/>
      <c r="I58" s="131"/>
      <c r="J58" s="142"/>
      <c r="K58" s="129"/>
      <c r="L58" s="132"/>
      <c r="M58" s="132"/>
      <c r="N58" s="132"/>
      <c r="O58" s="132"/>
      <c r="P58" s="132"/>
      <c r="Q58" s="132"/>
      <c r="R58" s="132"/>
      <c r="S58" s="132"/>
      <c r="T58" s="132"/>
    </row>
    <row r="59" spans="1:24" s="79" customFormat="1">
      <c r="A59" s="128">
        <f t="shared" si="0"/>
        <v>16</v>
      </c>
      <c r="B59" s="160"/>
      <c r="C59" s="154"/>
      <c r="D59" s="135"/>
      <c r="E59" s="126"/>
      <c r="F59" s="155"/>
      <c r="G59" s="139"/>
      <c r="H59" s="159"/>
      <c r="I59" s="131"/>
      <c r="J59" s="142"/>
      <c r="K59" s="129"/>
      <c r="L59" s="132"/>
      <c r="M59" s="132"/>
      <c r="N59" s="132"/>
      <c r="O59" s="132"/>
      <c r="P59" s="132"/>
      <c r="Q59" s="132"/>
      <c r="R59" s="132"/>
      <c r="S59" s="132"/>
      <c r="T59" s="132"/>
    </row>
    <row r="60" spans="1:24" s="79" customFormat="1">
      <c r="A60" s="128">
        <f t="shared" si="0"/>
        <v>17</v>
      </c>
      <c r="B60" s="160"/>
      <c r="C60" s="154"/>
      <c r="D60" s="135"/>
      <c r="E60" s="126"/>
      <c r="F60" s="155"/>
      <c r="G60" s="139"/>
      <c r="H60" s="159"/>
      <c r="I60" s="131"/>
      <c r="J60" s="142"/>
      <c r="K60" s="129"/>
      <c r="L60" s="132"/>
      <c r="M60" s="132"/>
      <c r="N60" s="132"/>
      <c r="O60" s="132"/>
      <c r="P60" s="132"/>
      <c r="Q60" s="132"/>
      <c r="R60" s="132"/>
      <c r="S60" s="132"/>
      <c r="T60" s="132"/>
    </row>
    <row r="61" spans="1:24" s="79" customFormat="1">
      <c r="A61" s="128">
        <f t="shared" si="0"/>
        <v>18</v>
      </c>
      <c r="B61" s="160"/>
      <c r="C61" s="154"/>
      <c r="D61" s="135"/>
      <c r="E61" s="126"/>
      <c r="F61" s="155"/>
      <c r="G61" s="139"/>
      <c r="H61" s="127"/>
      <c r="I61" s="131"/>
      <c r="J61" s="142"/>
      <c r="K61" s="129"/>
      <c r="L61" s="132"/>
      <c r="M61" s="132"/>
      <c r="N61" s="132"/>
      <c r="O61" s="132"/>
      <c r="P61" s="132"/>
      <c r="Q61" s="132"/>
      <c r="R61" s="132"/>
      <c r="S61" s="132"/>
      <c r="T61" s="132"/>
    </row>
    <row r="62" spans="1:24" s="79" customFormat="1">
      <c r="A62" s="128">
        <f t="shared" si="0"/>
        <v>19</v>
      </c>
      <c r="B62" s="160"/>
      <c r="C62" s="154"/>
      <c r="D62" s="135"/>
      <c r="E62" s="126"/>
      <c r="F62" s="155"/>
      <c r="G62" s="139"/>
      <c r="H62" s="127"/>
      <c r="I62" s="131"/>
      <c r="J62" s="142"/>
      <c r="K62" s="129"/>
      <c r="L62" s="132"/>
      <c r="M62" s="132"/>
      <c r="N62" s="132"/>
      <c r="O62" s="132"/>
      <c r="P62" s="132"/>
      <c r="Q62" s="132"/>
      <c r="R62" s="132"/>
      <c r="S62" s="132"/>
      <c r="T62" s="132"/>
    </row>
    <row r="63" spans="1:24" s="79" customFormat="1">
      <c r="A63" s="128">
        <f t="shared" si="0"/>
        <v>20</v>
      </c>
      <c r="B63" s="160"/>
      <c r="C63" s="154"/>
      <c r="D63" s="135"/>
      <c r="E63" s="126"/>
      <c r="F63" s="155"/>
      <c r="G63" s="139"/>
      <c r="H63" s="127"/>
      <c r="I63" s="131"/>
      <c r="J63" s="142"/>
      <c r="K63" s="129"/>
      <c r="L63" s="132"/>
      <c r="M63" s="132"/>
      <c r="N63" s="132"/>
      <c r="O63" s="132"/>
      <c r="P63" s="132"/>
      <c r="Q63" s="132"/>
      <c r="R63" s="132"/>
      <c r="S63" s="132"/>
      <c r="T63" s="132"/>
    </row>
    <row r="64" spans="1:24" s="13" customFormat="1">
      <c r="A64" s="6" t="s">
        <v>319</v>
      </c>
      <c r="B64" s="12"/>
      <c r="C64" s="12"/>
      <c r="D64" s="136"/>
      <c r="E64" s="12"/>
      <c r="F64" s="12"/>
      <c r="G64" s="136"/>
      <c r="H64" s="12"/>
      <c r="I64" s="12"/>
      <c r="J64" s="136"/>
      <c r="K64" s="12"/>
      <c r="L64" s="12"/>
      <c r="M64" s="12"/>
      <c r="N64" s="12"/>
      <c r="O64" s="12"/>
      <c r="P64" s="12"/>
      <c r="Q64" s="12"/>
      <c r="R64" s="12"/>
      <c r="S64" s="12"/>
      <c r="T64" s="12"/>
    </row>
    <row r="65" spans="1:256" s="13" customFormat="1">
      <c r="B65" s="12"/>
      <c r="C65" s="12"/>
      <c r="D65" s="137"/>
      <c r="F65" s="12"/>
      <c r="G65" s="136"/>
      <c r="H65" s="12"/>
      <c r="I65" s="12"/>
      <c r="J65" s="136"/>
      <c r="K65" s="12"/>
      <c r="L65" s="12"/>
      <c r="M65" s="12"/>
      <c r="N65" s="12"/>
      <c r="O65" s="12"/>
      <c r="P65" s="12"/>
      <c r="Q65" s="12"/>
      <c r="R65" s="12"/>
      <c r="S65" s="12"/>
      <c r="T65" s="12"/>
    </row>
    <row r="66" spans="1:256">
      <c r="B66" s="12"/>
      <c r="C66" s="12"/>
      <c r="D66" s="138"/>
      <c r="F66" s="12"/>
      <c r="G66" s="136"/>
      <c r="H66" s="12"/>
      <c r="I66" s="12"/>
      <c r="J66" s="143"/>
      <c r="K66" s="6"/>
      <c r="L66" s="6"/>
      <c r="M66" s="6"/>
      <c r="N66" s="6"/>
      <c r="O66" s="6"/>
      <c r="P66" s="6"/>
      <c r="Q66" s="6"/>
      <c r="R66" s="6"/>
      <c r="S66" s="6"/>
      <c r="T66" s="6"/>
    </row>
    <row r="67" spans="1:256">
      <c r="B67" s="12"/>
      <c r="C67" s="21"/>
      <c r="D67" s="138"/>
      <c r="F67" s="12"/>
      <c r="G67" s="136"/>
      <c r="H67" s="12"/>
      <c r="I67" s="6"/>
      <c r="J67" s="143"/>
      <c r="K67" s="6"/>
      <c r="L67" s="6"/>
      <c r="M67" s="6"/>
      <c r="N67" s="6"/>
      <c r="O67" s="6"/>
      <c r="P67" s="6"/>
      <c r="Q67" s="6"/>
      <c r="R67" s="6"/>
      <c r="S67" s="6"/>
      <c r="T67" s="6"/>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c r="BE67" s="7"/>
      <c r="BF67" s="7"/>
      <c r="BG67" s="7"/>
      <c r="BH67" s="7"/>
      <c r="BI67" s="7"/>
      <c r="BJ67" s="7"/>
      <c r="BK67" s="7"/>
      <c r="BL67" s="7"/>
      <c r="BM67" s="7"/>
      <c r="BN67" s="7"/>
      <c r="BO67" s="7"/>
      <c r="BP67" s="7"/>
      <c r="BQ67" s="7"/>
      <c r="BR67" s="7"/>
      <c r="BS67" s="7"/>
      <c r="BT67" s="7"/>
      <c r="BU67" s="7"/>
      <c r="BV67" s="7"/>
      <c r="BW67" s="7"/>
      <c r="BX67" s="7"/>
      <c r="BY67" s="7"/>
      <c r="BZ67" s="7"/>
      <c r="CA67" s="7"/>
      <c r="CB67" s="7"/>
      <c r="CC67" s="7"/>
      <c r="CD67" s="7"/>
      <c r="CE67" s="7"/>
      <c r="CF67" s="7"/>
      <c r="CG67" s="7"/>
      <c r="CH67" s="7"/>
      <c r="CI67" s="7"/>
      <c r="CJ67" s="7"/>
      <c r="CK67" s="7"/>
      <c r="CL67" s="7"/>
      <c r="CM67" s="7"/>
      <c r="CN67" s="7"/>
      <c r="CO67" s="7"/>
      <c r="CP67" s="7"/>
      <c r="CQ67" s="7"/>
      <c r="CR67" s="7"/>
      <c r="CS67" s="7"/>
      <c r="CT67" s="7"/>
      <c r="CU67" s="7"/>
      <c r="CV67" s="7"/>
      <c r="CW67" s="7"/>
      <c r="CX67" s="7"/>
      <c r="CY67" s="7"/>
      <c r="CZ67" s="7"/>
      <c r="DA67" s="7"/>
      <c r="DB67" s="7"/>
      <c r="DC67" s="7"/>
      <c r="DD67" s="7"/>
      <c r="DE67" s="7"/>
      <c r="DF67" s="7"/>
      <c r="DG67" s="7"/>
      <c r="DH67" s="7"/>
      <c r="DI67" s="7"/>
      <c r="DJ67" s="7"/>
      <c r="DK67" s="7"/>
      <c r="DL67" s="7"/>
      <c r="DM67" s="7"/>
      <c r="DN67" s="7"/>
      <c r="DO67" s="7"/>
      <c r="DP67" s="7"/>
      <c r="DQ67" s="7"/>
      <c r="DR67" s="7"/>
      <c r="DS67" s="7"/>
      <c r="DT67" s="7"/>
      <c r="DU67" s="7"/>
      <c r="DV67" s="7"/>
      <c r="DW67" s="7"/>
      <c r="DX67" s="7"/>
      <c r="DY67" s="7"/>
      <c r="DZ67" s="7"/>
      <c r="EA67" s="7"/>
      <c r="EB67" s="7"/>
      <c r="EC67" s="7"/>
      <c r="ED67" s="7"/>
      <c r="EE67" s="7"/>
      <c r="EF67" s="7"/>
      <c r="EG67" s="7"/>
      <c r="EH67" s="7"/>
      <c r="EI67" s="7"/>
      <c r="EJ67" s="7"/>
      <c r="EK67" s="7"/>
      <c r="EL67" s="7"/>
      <c r="EM67" s="7"/>
      <c r="EN67" s="7"/>
      <c r="EO67" s="7"/>
      <c r="EP67" s="7"/>
      <c r="EQ67" s="7"/>
      <c r="ER67" s="7"/>
      <c r="ES67" s="7"/>
      <c r="ET67" s="7"/>
      <c r="EU67" s="7"/>
      <c r="EV67" s="7"/>
      <c r="EW67" s="7"/>
      <c r="EX67" s="7"/>
      <c r="EY67" s="7"/>
      <c r="EZ67" s="7"/>
      <c r="FA67" s="7"/>
      <c r="FB67" s="7"/>
      <c r="FC67" s="7"/>
      <c r="FD67" s="7"/>
      <c r="FE67" s="7"/>
      <c r="FF67" s="7"/>
      <c r="FG67" s="7"/>
      <c r="FH67" s="7"/>
      <c r="FI67" s="7"/>
      <c r="FJ67" s="7"/>
      <c r="FK67" s="7"/>
      <c r="FL67" s="7"/>
      <c r="FM67" s="7"/>
      <c r="FN67" s="7"/>
      <c r="FO67" s="7"/>
      <c r="FP67" s="7"/>
      <c r="FQ67" s="7"/>
      <c r="FR67" s="7"/>
      <c r="FS67" s="7"/>
      <c r="FT67" s="7"/>
      <c r="FU67" s="7"/>
      <c r="FV67" s="7"/>
      <c r="FW67" s="7"/>
      <c r="FX67" s="7"/>
      <c r="FY67" s="7"/>
      <c r="FZ67" s="7"/>
      <c r="GA67" s="7"/>
      <c r="GB67" s="7"/>
      <c r="GC67" s="7"/>
      <c r="GD67" s="7"/>
      <c r="GE67" s="7"/>
      <c r="GF67" s="7"/>
      <c r="GG67" s="7"/>
      <c r="GH67" s="7"/>
      <c r="GI67" s="7"/>
      <c r="GJ67" s="7"/>
      <c r="GK67" s="7"/>
      <c r="GL67" s="7"/>
      <c r="GM67" s="7"/>
      <c r="GN67" s="7"/>
      <c r="GO67" s="7"/>
      <c r="GP67" s="7"/>
      <c r="GQ67" s="7"/>
      <c r="GR67" s="7"/>
      <c r="GS67" s="7"/>
      <c r="GT67" s="7"/>
      <c r="GU67" s="7"/>
      <c r="GV67" s="7"/>
      <c r="GW67" s="7"/>
      <c r="GX67" s="7"/>
      <c r="GY67" s="7"/>
      <c r="GZ67" s="7"/>
      <c r="HA67" s="7"/>
      <c r="HB67" s="7"/>
      <c r="HC67" s="7"/>
      <c r="HD67" s="7"/>
      <c r="HE67" s="7"/>
      <c r="HF67" s="7"/>
      <c r="HG67" s="7"/>
      <c r="HH67" s="7"/>
      <c r="HI67" s="7"/>
      <c r="HJ67" s="7"/>
      <c r="HK67" s="7"/>
      <c r="HL67" s="7"/>
      <c r="HM67" s="7"/>
      <c r="HN67" s="7"/>
      <c r="HO67" s="7"/>
      <c r="HP67" s="7"/>
      <c r="HQ67" s="7"/>
      <c r="HR67" s="7"/>
      <c r="HS67" s="7"/>
      <c r="HT67" s="7"/>
      <c r="HU67" s="7"/>
      <c r="HV67" s="7"/>
      <c r="HW67" s="7"/>
      <c r="HX67" s="7"/>
      <c r="HY67" s="7"/>
      <c r="HZ67" s="7"/>
      <c r="IA67" s="7"/>
      <c r="IB67" s="7"/>
      <c r="IC67" s="7"/>
      <c r="ID67" s="7"/>
      <c r="IE67" s="7"/>
      <c r="IF67" s="7"/>
      <c r="IG67" s="7"/>
      <c r="IH67" s="7"/>
      <c r="II67" s="7"/>
      <c r="IJ67" s="7"/>
      <c r="IK67" s="7"/>
      <c r="IL67" s="7"/>
      <c r="IM67" s="7"/>
      <c r="IN67" s="7"/>
      <c r="IO67" s="7"/>
      <c r="IP67" s="7"/>
      <c r="IQ67" s="7"/>
      <c r="IR67" s="7"/>
      <c r="IS67" s="7"/>
      <c r="IT67" s="7"/>
      <c r="IU67" s="7"/>
      <c r="IV67" s="7"/>
    </row>
    <row r="68" spans="1:256">
      <c r="B68" s="12"/>
      <c r="C68" s="21"/>
      <c r="D68" s="138"/>
      <c r="F68" s="12"/>
      <c r="G68" s="140"/>
      <c r="H68" s="21"/>
      <c r="I68" s="4"/>
      <c r="J68" s="144"/>
      <c r="K68" s="4"/>
      <c r="L68" s="4"/>
      <c r="M68" s="4"/>
      <c r="N68" s="4"/>
      <c r="O68" s="4"/>
      <c r="P68" s="4"/>
      <c r="Q68" s="4"/>
      <c r="R68" s="4"/>
      <c r="S68" s="4"/>
      <c r="T68" s="4"/>
    </row>
    <row r="69" spans="1:256">
      <c r="B69" s="12"/>
      <c r="C69" s="21"/>
      <c r="D69" s="138"/>
      <c r="F69" s="12"/>
      <c r="G69" s="140"/>
      <c r="H69" s="21"/>
      <c r="I69" s="4"/>
      <c r="J69" s="144"/>
      <c r="K69" s="4"/>
      <c r="L69" s="4"/>
      <c r="M69" s="4"/>
      <c r="N69" s="4"/>
      <c r="O69" s="4"/>
      <c r="P69" s="4"/>
      <c r="Q69" s="4"/>
      <c r="R69" s="4"/>
      <c r="S69" s="4"/>
      <c r="T69" s="4"/>
    </row>
    <row r="70" spans="1:256">
      <c r="A70" s="12"/>
      <c r="B70" s="12"/>
      <c r="C70" s="21"/>
      <c r="D70" s="138"/>
      <c r="F70" s="21"/>
      <c r="G70" s="140"/>
      <c r="H70" s="21"/>
      <c r="I70" s="4"/>
      <c r="J70" s="144"/>
      <c r="K70" s="4"/>
      <c r="L70" s="4"/>
      <c r="M70" s="4"/>
      <c r="N70" s="4"/>
      <c r="O70" s="4"/>
      <c r="P70" s="4"/>
      <c r="Q70" s="4"/>
      <c r="R70" s="4"/>
      <c r="S70" s="4"/>
      <c r="T70" s="4"/>
    </row>
    <row r="71" spans="1:256">
      <c r="A71" s="12"/>
      <c r="B71" s="21"/>
      <c r="C71" s="21"/>
      <c r="D71" s="138"/>
      <c r="F71" s="21"/>
      <c r="G71" s="140"/>
      <c r="H71" s="21"/>
      <c r="I71" s="4"/>
      <c r="J71" s="144"/>
      <c r="K71" s="4"/>
      <c r="L71" s="4"/>
      <c r="M71" s="4"/>
      <c r="N71" s="4"/>
      <c r="O71" s="4"/>
      <c r="P71" s="4"/>
      <c r="Q71" s="4"/>
      <c r="R71" s="4"/>
      <c r="S71" s="4"/>
      <c r="T71" s="4"/>
    </row>
    <row r="72" spans="1:256">
      <c r="D72" s="138"/>
      <c r="G72" s="141"/>
      <c r="H72"/>
      <c r="J72" s="138"/>
    </row>
    <row r="73" spans="1:256">
      <c r="D73" s="138"/>
      <c r="G73" s="141"/>
      <c r="H73"/>
      <c r="J73" s="138"/>
    </row>
    <row r="74" spans="1:256">
      <c r="D74" s="138"/>
      <c r="G74" s="138"/>
      <c r="J74" s="138"/>
    </row>
    <row r="75" spans="1:256">
      <c r="D75" s="138"/>
      <c r="G75" s="138"/>
      <c r="J75" s="138"/>
    </row>
    <row r="76" spans="1:256">
      <c r="A76" s="46" t="s">
        <v>320</v>
      </c>
      <c r="D76" s="138"/>
      <c r="G76" s="138"/>
      <c r="J76" s="138"/>
    </row>
    <row r="77" spans="1:256">
      <c r="A77" s="46" t="s">
        <v>321</v>
      </c>
      <c r="D77" s="138"/>
      <c r="G77" s="138"/>
      <c r="J77" s="138"/>
    </row>
    <row r="78" spans="1:256">
      <c r="A78" s="46" t="s">
        <v>322</v>
      </c>
      <c r="D78" s="138"/>
      <c r="G78" s="138"/>
      <c r="J78" s="138"/>
    </row>
    <row r="79" spans="1:256">
      <c r="A79" s="46"/>
      <c r="D79" s="138"/>
      <c r="G79" s="138"/>
      <c r="J79" s="138"/>
    </row>
    <row r="80" spans="1:256">
      <c r="D80" s="138"/>
      <c r="G80" s="138"/>
      <c r="J80" s="138"/>
    </row>
    <row r="81" spans="4:10">
      <c r="D81" s="138"/>
      <c r="G81" s="138"/>
      <c r="J81" s="138"/>
    </row>
    <row r="82" spans="4:10">
      <c r="D82" s="138"/>
      <c r="G82" s="138"/>
      <c r="J82" s="138"/>
    </row>
    <row r="83" spans="4:10">
      <c r="D83" s="138"/>
      <c r="G83" s="138"/>
      <c r="J83" s="138"/>
    </row>
    <row r="84" spans="4:10">
      <c r="D84" s="138"/>
      <c r="G84" s="138"/>
      <c r="J84" s="138"/>
    </row>
    <row r="85" spans="4:10">
      <c r="D85" s="51"/>
      <c r="G85" s="138"/>
      <c r="J85" s="138"/>
    </row>
    <row r="86" spans="4:10">
      <c r="D86" s="51"/>
      <c r="G86" s="138"/>
      <c r="J86" s="138"/>
    </row>
    <row r="87" spans="4:10">
      <c r="D87" s="51"/>
      <c r="G87" s="138"/>
      <c r="J87" s="138"/>
    </row>
    <row r="88" spans="4:10">
      <c r="D88" s="51"/>
      <c r="G88" s="138"/>
      <c r="J88" s="138"/>
    </row>
    <row r="89" spans="4:10">
      <c r="D89" s="51"/>
      <c r="G89" s="138"/>
      <c r="J89" s="138"/>
    </row>
    <row r="90" spans="4:10">
      <c r="D90" s="51"/>
      <c r="G90" s="138"/>
      <c r="J90" s="63"/>
    </row>
    <row r="91" spans="4:10">
      <c r="D91" s="51"/>
      <c r="G91" s="138"/>
      <c r="J91" s="63"/>
    </row>
    <row r="92" spans="4:10">
      <c r="D92" s="51"/>
      <c r="G92" s="138"/>
      <c r="J92" s="63"/>
    </row>
    <row r="93" spans="4:10">
      <c r="D93" s="51"/>
      <c r="G93" s="138"/>
      <c r="J93" s="63"/>
    </row>
    <row r="94" spans="4:10">
      <c r="D94" s="51"/>
      <c r="G94" s="138"/>
      <c r="J94" s="63"/>
    </row>
    <row r="95" spans="4:10">
      <c r="D95" s="51"/>
      <c r="G95" s="138"/>
      <c r="J95" s="63"/>
    </row>
    <row r="96" spans="4:10">
      <c r="D96" s="51"/>
      <c r="G96" s="138"/>
      <c r="J96" s="63"/>
    </row>
    <row r="97" spans="4:10">
      <c r="D97" s="51"/>
      <c r="G97" s="138"/>
      <c r="J97" s="63"/>
    </row>
    <row r="98" spans="4:10">
      <c r="D98" s="51"/>
      <c r="G98" s="138"/>
      <c r="J98" s="63"/>
    </row>
    <row r="99" spans="4:10">
      <c r="D99" s="51"/>
      <c r="G99" s="138"/>
      <c r="J99" s="63"/>
    </row>
    <row r="100" spans="4:10">
      <c r="D100" s="51"/>
      <c r="G100" s="138"/>
      <c r="J100" s="63"/>
    </row>
    <row r="101" spans="4:10">
      <c r="D101" s="51"/>
      <c r="G101" s="138"/>
      <c r="J101" s="63"/>
    </row>
    <row r="102" spans="4:10">
      <c r="D102" s="51"/>
      <c r="G102" s="138"/>
      <c r="J102" s="63"/>
    </row>
    <row r="103" spans="4:10">
      <c r="D103" s="51"/>
      <c r="G103" s="138"/>
      <c r="J103" s="63"/>
    </row>
    <row r="104" spans="4:10">
      <c r="D104" s="51"/>
      <c r="G104" s="138"/>
      <c r="J104" s="63"/>
    </row>
    <row r="105" spans="4:10">
      <c r="D105" s="51"/>
      <c r="G105" s="51"/>
      <c r="J105" s="63"/>
    </row>
    <row r="106" spans="4:10">
      <c r="D106" s="51"/>
      <c r="G106" s="51"/>
      <c r="J106" s="63"/>
    </row>
    <row r="107" spans="4:10">
      <c r="D107" s="51"/>
      <c r="G107" s="51"/>
      <c r="J107" s="63"/>
    </row>
    <row r="108" spans="4:10">
      <c r="D108" s="51"/>
      <c r="G108" s="51"/>
      <c r="J108" s="63"/>
    </row>
    <row r="109" spans="4:10">
      <c r="D109" s="51"/>
      <c r="G109" s="51"/>
      <c r="J109" s="63"/>
    </row>
    <row r="110" spans="4:10">
      <c r="D110" s="51"/>
      <c r="G110" s="51"/>
      <c r="J110" s="63"/>
    </row>
    <row r="111" spans="4:10">
      <c r="D111" s="51"/>
      <c r="G111" s="51"/>
      <c r="J111" s="63"/>
    </row>
    <row r="112" spans="4:10">
      <c r="D112" s="51"/>
      <c r="G112" s="51"/>
      <c r="J112" s="63"/>
    </row>
    <row r="113" spans="4:10">
      <c r="D113" s="51"/>
      <c r="G113" s="51"/>
      <c r="J113" s="63"/>
    </row>
    <row r="114" spans="4:10">
      <c r="D114" s="51"/>
      <c r="G114" s="51"/>
      <c r="J114" s="63"/>
    </row>
    <row r="115" spans="4:10">
      <c r="D115" s="51"/>
      <c r="G115" s="51"/>
      <c r="J115" s="63"/>
    </row>
    <row r="116" spans="4:10">
      <c r="D116" s="51"/>
      <c r="G116" s="51"/>
    </row>
    <row r="117" spans="4:10">
      <c r="D117" s="51"/>
      <c r="G117" s="51"/>
    </row>
    <row r="118" spans="4:10">
      <c r="D118" s="51"/>
      <c r="G118" s="51"/>
    </row>
    <row r="119" spans="4:10">
      <c r="D119" s="51"/>
      <c r="G119" s="51"/>
    </row>
    <row r="120" spans="4:10">
      <c r="D120" s="51"/>
      <c r="G120" s="51"/>
    </row>
    <row r="121" spans="4:10">
      <c r="D121" s="51"/>
      <c r="G121" s="51"/>
    </row>
    <row r="122" spans="4:10">
      <c r="D122" s="51"/>
      <c r="G122" s="51"/>
    </row>
    <row r="123" spans="4:10">
      <c r="D123" s="51"/>
      <c r="G123" s="51"/>
    </row>
    <row r="124" spans="4:10">
      <c r="D124" s="51"/>
      <c r="G124" s="51"/>
    </row>
    <row r="125" spans="4:10">
      <c r="D125" s="51"/>
    </row>
    <row r="126" spans="4:10">
      <c r="D126" s="51"/>
    </row>
    <row r="127" spans="4:10">
      <c r="D127" s="51"/>
    </row>
    <row r="128" spans="4:10">
      <c r="D128" s="51"/>
    </row>
    <row r="129" spans="4:4">
      <c r="D129" s="51"/>
    </row>
    <row r="130" spans="4:4">
      <c r="D130" s="51"/>
    </row>
    <row r="131" spans="4:4">
      <c r="D131" s="51"/>
    </row>
    <row r="132" spans="4:4">
      <c r="D132" s="51"/>
    </row>
    <row r="133" spans="4:4">
      <c r="D133" s="51"/>
    </row>
    <row r="134" spans="4:4">
      <c r="D134" s="51"/>
    </row>
    <row r="135" spans="4:4">
      <c r="D135" s="51"/>
    </row>
    <row r="136" spans="4:4">
      <c r="D136" s="51"/>
    </row>
    <row r="137" spans="4:4">
      <c r="D137" s="51"/>
    </row>
    <row r="138" spans="4:4">
      <c r="D138" s="51"/>
    </row>
    <row r="139" spans="4:4">
      <c r="D139" s="51"/>
    </row>
    <row r="140" spans="4:4">
      <c r="D140" s="51"/>
    </row>
    <row r="141" spans="4:4">
      <c r="D141" s="51"/>
    </row>
    <row r="142" spans="4:4">
      <c r="D142" s="51"/>
    </row>
    <row r="143" spans="4:4">
      <c r="D143" s="51"/>
    </row>
    <row r="144" spans="4:4">
      <c r="D144" s="51"/>
    </row>
    <row r="145" spans="4:4">
      <c r="D145" s="51"/>
    </row>
    <row r="146" spans="4:4">
      <c r="D146" s="51"/>
    </row>
    <row r="147" spans="4:4">
      <c r="D147" s="51"/>
    </row>
    <row r="148" spans="4:4">
      <c r="D148" s="51"/>
    </row>
    <row r="149" spans="4:4">
      <c r="D149" s="51"/>
    </row>
    <row r="150" spans="4:4">
      <c r="D150" s="51"/>
    </row>
    <row r="151" spans="4:4">
      <c r="D151" s="51"/>
    </row>
    <row r="152" spans="4:4">
      <c r="D152" s="51"/>
    </row>
    <row r="153" spans="4:4">
      <c r="D153" s="51"/>
    </row>
    <row r="154" spans="4:4">
      <c r="D154" s="51"/>
    </row>
    <row r="155" spans="4:4">
      <c r="D155" s="51"/>
    </row>
    <row r="156" spans="4:4">
      <c r="D156" s="51"/>
    </row>
    <row r="157" spans="4:4">
      <c r="D157" s="51"/>
    </row>
    <row r="158" spans="4:4">
      <c r="D158" s="51"/>
    </row>
    <row r="159" spans="4:4">
      <c r="D159" s="51"/>
    </row>
    <row r="160" spans="4:4">
      <c r="D160" s="51"/>
    </row>
    <row r="161" spans="4:4">
      <c r="D161" s="51"/>
    </row>
    <row r="162" spans="4:4">
      <c r="D162" s="51"/>
    </row>
    <row r="163" spans="4:4">
      <c r="D163" s="51"/>
    </row>
    <row r="164" spans="4:4">
      <c r="D164" s="51"/>
    </row>
    <row r="165" spans="4:4">
      <c r="D165" s="51"/>
    </row>
    <row r="166" spans="4:4">
      <c r="D166" s="51"/>
    </row>
    <row r="167" spans="4:4">
      <c r="D167" s="51"/>
    </row>
    <row r="168" spans="4:4">
      <c r="D168" s="51"/>
    </row>
    <row r="169" spans="4:4">
      <c r="D169" s="51"/>
    </row>
    <row r="170" spans="4:4">
      <c r="D170" s="51"/>
    </row>
    <row r="171" spans="4:4">
      <c r="D171" s="51"/>
    </row>
    <row r="172" spans="4:4">
      <c r="D172" s="51"/>
    </row>
    <row r="173" spans="4:4">
      <c r="D173" s="51"/>
    </row>
    <row r="174" spans="4:4">
      <c r="D174" s="51"/>
    </row>
    <row r="175" spans="4:4">
      <c r="D175" s="51"/>
    </row>
    <row r="176" spans="4:4">
      <c r="D176" s="51"/>
    </row>
    <row r="177" spans="4:4">
      <c r="D177" s="51"/>
    </row>
  </sheetData>
  <mergeCells count="13">
    <mergeCell ref="J40:K40"/>
    <mergeCell ref="G37:I38"/>
    <mergeCell ref="A37:B37"/>
    <mergeCell ref="A38:B38"/>
    <mergeCell ref="A35:B35"/>
    <mergeCell ref="C37:F37"/>
    <mergeCell ref="J38:K38"/>
    <mergeCell ref="C32:G32"/>
    <mergeCell ref="C38:F38"/>
    <mergeCell ref="J34:K35"/>
    <mergeCell ref="J37:K37"/>
    <mergeCell ref="A34:B34"/>
    <mergeCell ref="J33:K33"/>
  </mergeCells>
  <phoneticPr fontId="2"/>
  <pageMargins left="0.64" right="0.2" top="0.78740157480314965" bottom="0.39370078740157483" header="0.51181102362204722" footer="0.21"/>
  <pageSetup paperSize="9" scale="47" fitToHeight="0" orientation="portrait" horizontalDpi="4294967293" verticalDpi="1200" r:id="rId1"/>
  <headerFooter alignWithMargins="0">
    <oddHeader>&amp;R&amp;"ＭＳ Ｐ明朝,標準"8201 様式11</oddHeader>
    <oddFooter>&amp;C&amp;P / &amp;N ページ</oddFooter>
  </headerFooter>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pageSetUpPr fitToPage="1"/>
  </sheetPr>
  <dimension ref="A1:J114"/>
  <sheetViews>
    <sheetView showGridLines="0" view="pageBreakPreview" zoomScale="90" zoomScaleNormal="90" zoomScaleSheetLayoutView="90" workbookViewId="0">
      <pane ySplit="8" topLeftCell="A9" activePane="bottomLeft" state="frozen"/>
      <selection pane="bottomLeft"/>
    </sheetView>
  </sheetViews>
  <sheetFormatPr defaultColWidth="8" defaultRowHeight="12"/>
  <cols>
    <col min="1" max="1" width="16.875" style="162" bestFit="1" customWidth="1"/>
    <col min="2" max="2" width="4.375" style="162" bestFit="1" customWidth="1"/>
    <col min="3" max="3" width="82.25" style="163" bestFit="1" customWidth="1"/>
    <col min="4" max="4" width="10.875" style="162" bestFit="1" customWidth="1"/>
    <col min="5" max="9" width="2.75" style="162" customWidth="1"/>
    <col min="10" max="10" width="8" style="165"/>
    <col min="11" max="16384" width="8" style="162"/>
  </cols>
  <sheetData>
    <row r="1" spans="1:9">
      <c r="D1" s="164" t="s">
        <v>330</v>
      </c>
      <c r="E1" s="518">
        <v>44986</v>
      </c>
      <c r="F1" s="518"/>
      <c r="G1" s="518"/>
      <c r="H1" s="518"/>
      <c r="I1" s="518"/>
    </row>
    <row r="2" spans="1:9">
      <c r="D2" s="164" t="s">
        <v>331</v>
      </c>
      <c r="E2" s="518" t="s">
        <v>332</v>
      </c>
      <c r="F2" s="518"/>
      <c r="G2" s="518"/>
      <c r="H2" s="518"/>
      <c r="I2" s="518"/>
    </row>
    <row r="3" spans="1:9" ht="14.25">
      <c r="A3" s="520" t="s">
        <v>333</v>
      </c>
      <c r="B3" s="520"/>
      <c r="C3" s="520"/>
      <c r="D3" s="520"/>
      <c r="E3" s="520"/>
    </row>
    <row r="5" spans="1:9">
      <c r="A5" s="519" t="s">
        <v>334</v>
      </c>
      <c r="B5" s="519"/>
      <c r="C5" s="213" t="str">
        <f>査読ｼｰﾄ!C38</f>
        <v>単体試験要領書_MSBBRA030_【帳票】アドオン(御見積書).xlsx</v>
      </c>
      <c r="D5" s="164" t="s">
        <v>335</v>
      </c>
      <c r="E5" s="517" t="s">
        <v>336</v>
      </c>
      <c r="F5" s="517"/>
      <c r="G5" s="517"/>
      <c r="H5" s="517"/>
      <c r="I5" s="517"/>
    </row>
    <row r="6" spans="1:9" ht="12.75" thickBot="1"/>
    <row r="7" spans="1:9" ht="73.5">
      <c r="A7" s="166" t="s">
        <v>337</v>
      </c>
      <c r="B7" s="167" t="s">
        <v>338</v>
      </c>
      <c r="C7" s="168" t="s">
        <v>339</v>
      </c>
      <c r="D7" s="168" t="s">
        <v>340</v>
      </c>
      <c r="E7" s="169" t="s">
        <v>341</v>
      </c>
      <c r="F7" s="169" t="s">
        <v>342</v>
      </c>
      <c r="G7" s="169" t="s">
        <v>343</v>
      </c>
      <c r="H7" s="169" t="s">
        <v>344</v>
      </c>
      <c r="I7" s="170" t="s">
        <v>345</v>
      </c>
    </row>
    <row r="8" spans="1:9" ht="3" customHeight="1">
      <c r="A8" s="171"/>
      <c r="B8" s="172"/>
      <c r="C8" s="173"/>
      <c r="D8" s="173"/>
      <c r="E8" s="174"/>
      <c r="F8" s="174"/>
      <c r="G8" s="174"/>
      <c r="H8" s="174"/>
      <c r="I8" s="175"/>
    </row>
    <row r="9" spans="1:9" ht="24">
      <c r="A9" s="176" t="s">
        <v>346</v>
      </c>
      <c r="B9" s="177">
        <v>1</v>
      </c>
      <c r="C9" s="178" t="s">
        <v>347</v>
      </c>
      <c r="D9" s="179" t="s">
        <v>348</v>
      </c>
      <c r="E9" s="236" t="s">
        <v>349</v>
      </c>
      <c r="F9" s="179" t="s">
        <v>349</v>
      </c>
      <c r="G9" s="214" t="s">
        <v>349</v>
      </c>
      <c r="H9" s="214" t="s">
        <v>349</v>
      </c>
      <c r="I9" s="215" t="s">
        <v>349</v>
      </c>
    </row>
    <row r="10" spans="1:9" ht="36">
      <c r="A10" s="180"/>
      <c r="B10" s="181">
        <v>2</v>
      </c>
      <c r="C10" s="182" t="s">
        <v>350</v>
      </c>
      <c r="D10" s="183" t="s">
        <v>348</v>
      </c>
      <c r="E10" s="237" t="s">
        <v>349</v>
      </c>
      <c r="F10" s="183" t="s">
        <v>349</v>
      </c>
      <c r="G10" s="216" t="s">
        <v>349</v>
      </c>
      <c r="H10" s="216" t="s">
        <v>349</v>
      </c>
      <c r="I10" s="217" t="s">
        <v>349</v>
      </c>
    </row>
    <row r="11" spans="1:9" ht="24">
      <c r="A11" s="180"/>
      <c r="B11" s="184">
        <v>3</v>
      </c>
      <c r="C11" s="185" t="s">
        <v>351</v>
      </c>
      <c r="D11" s="186" t="s">
        <v>348</v>
      </c>
      <c r="E11" s="238" t="s">
        <v>349</v>
      </c>
      <c r="F11" s="186" t="s">
        <v>349</v>
      </c>
      <c r="G11" s="218" t="s">
        <v>349</v>
      </c>
      <c r="H11" s="218" t="s">
        <v>349</v>
      </c>
      <c r="I11" s="219" t="s">
        <v>349</v>
      </c>
    </row>
    <row r="12" spans="1:9" ht="48">
      <c r="A12" s="180"/>
      <c r="B12" s="184">
        <v>4</v>
      </c>
      <c r="C12" s="185" t="s">
        <v>352</v>
      </c>
      <c r="D12" s="186" t="s">
        <v>348</v>
      </c>
      <c r="E12" s="238" t="s">
        <v>349</v>
      </c>
      <c r="F12" s="186" t="s">
        <v>349</v>
      </c>
      <c r="G12" s="218" t="s">
        <v>349</v>
      </c>
      <c r="H12" s="218" t="s">
        <v>349</v>
      </c>
      <c r="I12" s="219" t="s">
        <v>349</v>
      </c>
    </row>
    <row r="13" spans="1:9" ht="24">
      <c r="A13" s="180"/>
      <c r="B13" s="181">
        <v>5</v>
      </c>
      <c r="C13" s="182" t="s">
        <v>353</v>
      </c>
      <c r="D13" s="183" t="s">
        <v>348</v>
      </c>
      <c r="E13" s="238" t="s">
        <v>349</v>
      </c>
      <c r="F13" s="186" t="s">
        <v>349</v>
      </c>
      <c r="G13" s="218" t="s">
        <v>349</v>
      </c>
      <c r="H13" s="218" t="s">
        <v>349</v>
      </c>
      <c r="I13" s="219" t="s">
        <v>349</v>
      </c>
    </row>
    <row r="14" spans="1:9" ht="168">
      <c r="A14" s="180"/>
      <c r="B14" s="181">
        <v>6</v>
      </c>
      <c r="C14" s="211" t="s">
        <v>354</v>
      </c>
      <c r="D14" s="212" t="s">
        <v>348</v>
      </c>
      <c r="E14" s="239" t="s">
        <v>349</v>
      </c>
      <c r="F14" s="212" t="s">
        <v>349</v>
      </c>
      <c r="G14" s="220" t="s">
        <v>349</v>
      </c>
      <c r="H14" s="220" t="s">
        <v>349</v>
      </c>
      <c r="I14" s="221" t="s">
        <v>349</v>
      </c>
    </row>
    <row r="15" spans="1:9">
      <c r="A15" s="187"/>
      <c r="B15" s="188"/>
      <c r="C15" s="189"/>
      <c r="D15" s="241"/>
      <c r="E15" s="240"/>
      <c r="F15" s="204"/>
      <c r="G15" s="222"/>
      <c r="H15" s="222"/>
      <c r="I15" s="223"/>
    </row>
    <row r="16" spans="1:9" ht="84">
      <c r="A16" s="176" t="s">
        <v>355</v>
      </c>
      <c r="B16" s="177">
        <v>1</v>
      </c>
      <c r="C16" s="178" t="s">
        <v>356</v>
      </c>
      <c r="D16" s="179"/>
      <c r="E16" s="214" t="s">
        <v>357</v>
      </c>
      <c r="F16" s="179"/>
      <c r="G16" s="214"/>
      <c r="H16" s="214"/>
      <c r="I16" s="215"/>
    </row>
    <row r="17" spans="1:9" ht="24">
      <c r="A17" s="180"/>
      <c r="B17" s="181">
        <v>2</v>
      </c>
      <c r="C17" s="182" t="s">
        <v>358</v>
      </c>
      <c r="D17" s="183"/>
      <c r="E17" s="216" t="s">
        <v>357</v>
      </c>
      <c r="F17" s="183"/>
      <c r="G17" s="216"/>
      <c r="H17" s="216"/>
      <c r="I17" s="217"/>
    </row>
    <row r="18" spans="1:9" ht="24">
      <c r="A18" s="180"/>
      <c r="B18" s="181">
        <v>3</v>
      </c>
      <c r="C18" s="182" t="s">
        <v>359</v>
      </c>
      <c r="D18" s="183"/>
      <c r="E18" s="216" t="s">
        <v>357</v>
      </c>
      <c r="F18" s="183"/>
      <c r="G18" s="216"/>
      <c r="H18" s="216"/>
      <c r="I18" s="217"/>
    </row>
    <row r="19" spans="1:9" ht="24">
      <c r="A19" s="180"/>
      <c r="B19" s="181">
        <v>4</v>
      </c>
      <c r="C19" s="182" t="s">
        <v>360</v>
      </c>
      <c r="D19" s="183"/>
      <c r="E19" s="216" t="s">
        <v>357</v>
      </c>
      <c r="F19" s="183"/>
      <c r="G19" s="216"/>
      <c r="H19" s="216"/>
      <c r="I19" s="217"/>
    </row>
    <row r="20" spans="1:9" ht="24">
      <c r="A20" s="180"/>
      <c r="B20" s="181">
        <v>5</v>
      </c>
      <c r="C20" s="182" t="s">
        <v>361</v>
      </c>
      <c r="D20" s="183"/>
      <c r="E20" s="216" t="s">
        <v>349</v>
      </c>
      <c r="F20" s="183"/>
      <c r="G20" s="216"/>
      <c r="H20" s="216"/>
      <c r="I20" s="217"/>
    </row>
    <row r="21" spans="1:9" ht="24">
      <c r="A21" s="180"/>
      <c r="B21" s="181">
        <v>6</v>
      </c>
      <c r="C21" s="182" t="s">
        <v>362</v>
      </c>
      <c r="D21" s="183"/>
      <c r="E21" s="216" t="s">
        <v>349</v>
      </c>
      <c r="F21" s="183"/>
      <c r="G21" s="216"/>
      <c r="H21" s="216"/>
      <c r="I21" s="217"/>
    </row>
    <row r="22" spans="1:9" ht="24">
      <c r="A22" s="180"/>
      <c r="B22" s="181">
        <v>7</v>
      </c>
      <c r="C22" s="182" t="s">
        <v>363</v>
      </c>
      <c r="D22" s="183"/>
      <c r="E22" s="216" t="s">
        <v>349</v>
      </c>
      <c r="F22" s="183"/>
      <c r="G22" s="216"/>
      <c r="H22" s="216"/>
      <c r="I22" s="217"/>
    </row>
    <row r="23" spans="1:9" ht="24">
      <c r="A23" s="180"/>
      <c r="B23" s="181">
        <v>8</v>
      </c>
      <c r="C23" s="182" t="s">
        <v>364</v>
      </c>
      <c r="D23" s="183"/>
      <c r="E23" s="216" t="s">
        <v>349</v>
      </c>
      <c r="F23" s="183"/>
      <c r="G23" s="216"/>
      <c r="H23" s="216"/>
      <c r="I23" s="217"/>
    </row>
    <row r="24" spans="1:9" ht="36">
      <c r="A24" s="180"/>
      <c r="B24" s="181">
        <v>9</v>
      </c>
      <c r="C24" s="182" t="s">
        <v>365</v>
      </c>
      <c r="D24" s="183"/>
      <c r="E24" s="216" t="s">
        <v>349</v>
      </c>
      <c r="F24" s="183"/>
      <c r="G24" s="216"/>
      <c r="H24" s="216"/>
      <c r="I24" s="217"/>
    </row>
    <row r="25" spans="1:9" ht="36">
      <c r="A25" s="180"/>
      <c r="B25" s="184">
        <v>10</v>
      </c>
      <c r="C25" s="185" t="s">
        <v>366</v>
      </c>
      <c r="D25" s="186"/>
      <c r="E25" s="218" t="s">
        <v>349</v>
      </c>
      <c r="F25" s="186"/>
      <c r="G25" s="218"/>
      <c r="H25" s="218"/>
      <c r="I25" s="219"/>
    </row>
    <row r="26" spans="1:9">
      <c r="A26" s="187"/>
      <c r="B26" s="190"/>
      <c r="C26" s="191"/>
      <c r="D26" s="192"/>
      <c r="E26" s="224"/>
      <c r="F26" s="192"/>
      <c r="G26" s="224"/>
      <c r="H26" s="224"/>
      <c r="I26" s="225"/>
    </row>
    <row r="27" spans="1:9" ht="60">
      <c r="A27" s="176" t="s">
        <v>367</v>
      </c>
      <c r="B27" s="177">
        <v>1</v>
      </c>
      <c r="C27" s="178" t="s">
        <v>368</v>
      </c>
      <c r="D27" s="179"/>
      <c r="E27" s="214" t="s">
        <v>349</v>
      </c>
      <c r="F27" s="179"/>
      <c r="G27" s="214"/>
      <c r="H27" s="214"/>
      <c r="I27" s="215"/>
    </row>
    <row r="28" spans="1:9" ht="60">
      <c r="A28" s="180"/>
      <c r="B28" s="181">
        <v>2</v>
      </c>
      <c r="C28" s="182" t="s">
        <v>369</v>
      </c>
      <c r="D28" s="183"/>
      <c r="E28" s="216" t="s">
        <v>349</v>
      </c>
      <c r="F28" s="183"/>
      <c r="G28" s="216"/>
      <c r="H28" s="216"/>
      <c r="I28" s="217"/>
    </row>
    <row r="29" spans="1:9" ht="72">
      <c r="A29" s="180"/>
      <c r="B29" s="184">
        <v>3</v>
      </c>
      <c r="C29" s="185" t="s">
        <v>370</v>
      </c>
      <c r="D29" s="186"/>
      <c r="E29" s="218" t="s">
        <v>349</v>
      </c>
      <c r="F29" s="186"/>
      <c r="G29" s="218"/>
      <c r="H29" s="218"/>
      <c r="I29" s="219"/>
    </row>
    <row r="30" spans="1:9">
      <c r="A30" s="187"/>
      <c r="B30" s="190"/>
      <c r="C30" s="191"/>
      <c r="D30" s="192"/>
      <c r="E30" s="224"/>
      <c r="F30" s="192"/>
      <c r="G30" s="224"/>
      <c r="H30" s="224"/>
      <c r="I30" s="225"/>
    </row>
    <row r="31" spans="1:9" ht="36">
      <c r="A31" s="176" t="s">
        <v>371</v>
      </c>
      <c r="B31" s="177">
        <v>1</v>
      </c>
      <c r="C31" s="178" t="s">
        <v>372</v>
      </c>
      <c r="D31" s="179"/>
      <c r="E31" s="214" t="s">
        <v>349</v>
      </c>
      <c r="F31" s="179"/>
      <c r="G31" s="214"/>
      <c r="H31" s="214"/>
      <c r="I31" s="215"/>
    </row>
    <row r="32" spans="1:9" ht="36">
      <c r="A32" s="180"/>
      <c r="B32" s="181">
        <v>2</v>
      </c>
      <c r="C32" s="182" t="s">
        <v>373</v>
      </c>
      <c r="D32" s="183"/>
      <c r="E32" s="216" t="s">
        <v>349</v>
      </c>
      <c r="F32" s="183"/>
      <c r="G32" s="216"/>
      <c r="H32" s="216"/>
      <c r="I32" s="217"/>
    </row>
    <row r="33" spans="1:9" ht="36">
      <c r="A33" s="180"/>
      <c r="B33" s="181">
        <v>3</v>
      </c>
      <c r="C33" s="182" t="s">
        <v>374</v>
      </c>
      <c r="D33" s="183"/>
      <c r="E33" s="216" t="s">
        <v>349</v>
      </c>
      <c r="F33" s="183"/>
      <c r="G33" s="216"/>
      <c r="H33" s="216"/>
      <c r="I33" s="217"/>
    </row>
    <row r="34" spans="1:9" ht="36">
      <c r="A34" s="180"/>
      <c r="B34" s="181">
        <v>4</v>
      </c>
      <c r="C34" s="182" t="s">
        <v>375</v>
      </c>
      <c r="D34" s="183"/>
      <c r="E34" s="216" t="s">
        <v>349</v>
      </c>
      <c r="F34" s="183"/>
      <c r="G34" s="216"/>
      <c r="H34" s="216"/>
      <c r="I34" s="217"/>
    </row>
    <row r="35" spans="1:9" ht="36">
      <c r="A35" s="180"/>
      <c r="B35" s="181">
        <v>5</v>
      </c>
      <c r="C35" s="182" t="s">
        <v>376</v>
      </c>
      <c r="D35" s="183"/>
      <c r="E35" s="216" t="s">
        <v>349</v>
      </c>
      <c r="F35" s="183"/>
      <c r="G35" s="216"/>
      <c r="H35" s="216"/>
      <c r="I35" s="217"/>
    </row>
    <row r="36" spans="1:9" ht="36">
      <c r="A36" s="180"/>
      <c r="B36" s="181">
        <v>6</v>
      </c>
      <c r="C36" s="182" t="s">
        <v>377</v>
      </c>
      <c r="D36" s="183"/>
      <c r="E36" s="216" t="s">
        <v>349</v>
      </c>
      <c r="F36" s="183"/>
      <c r="G36" s="216"/>
      <c r="H36" s="216"/>
      <c r="I36" s="217"/>
    </row>
    <row r="37" spans="1:9" ht="36">
      <c r="A37" s="180"/>
      <c r="B37" s="181">
        <v>7</v>
      </c>
      <c r="C37" s="182" t="s">
        <v>378</v>
      </c>
      <c r="D37" s="183"/>
      <c r="E37" s="216" t="s">
        <v>349</v>
      </c>
      <c r="F37" s="183"/>
      <c r="G37" s="216"/>
      <c r="H37" s="216"/>
      <c r="I37" s="217"/>
    </row>
    <row r="38" spans="1:9" ht="36">
      <c r="A38" s="180"/>
      <c r="B38" s="181">
        <v>8</v>
      </c>
      <c r="C38" s="182" t="s">
        <v>379</v>
      </c>
      <c r="D38" s="183"/>
      <c r="E38" s="216" t="s">
        <v>349</v>
      </c>
      <c r="F38" s="183"/>
      <c r="G38" s="216"/>
      <c r="H38" s="216"/>
      <c r="I38" s="217"/>
    </row>
    <row r="39" spans="1:9" ht="36">
      <c r="A39" s="180"/>
      <c r="B39" s="181">
        <v>9</v>
      </c>
      <c r="C39" s="182" t="s">
        <v>380</v>
      </c>
      <c r="D39" s="183"/>
      <c r="E39" s="216" t="s">
        <v>349</v>
      </c>
      <c r="F39" s="183"/>
      <c r="G39" s="216"/>
      <c r="H39" s="216"/>
      <c r="I39" s="217"/>
    </row>
    <row r="40" spans="1:9" ht="48">
      <c r="A40" s="180"/>
      <c r="B40" s="181">
        <v>10</v>
      </c>
      <c r="C40" s="182" t="s">
        <v>381</v>
      </c>
      <c r="D40" s="183"/>
      <c r="E40" s="216" t="s">
        <v>349</v>
      </c>
      <c r="F40" s="183"/>
      <c r="G40" s="216"/>
      <c r="H40" s="216"/>
      <c r="I40" s="217"/>
    </row>
    <row r="41" spans="1:9" ht="72">
      <c r="A41" s="180"/>
      <c r="B41" s="181">
        <v>11</v>
      </c>
      <c r="C41" s="182" t="s">
        <v>382</v>
      </c>
      <c r="D41" s="183"/>
      <c r="E41" s="216" t="s">
        <v>349</v>
      </c>
      <c r="F41" s="183"/>
      <c r="G41" s="216"/>
      <c r="H41" s="216"/>
      <c r="I41" s="217"/>
    </row>
    <row r="42" spans="1:9" ht="36">
      <c r="A42" s="180"/>
      <c r="B42" s="181">
        <v>12</v>
      </c>
      <c r="C42" s="182" t="s">
        <v>383</v>
      </c>
      <c r="D42" s="183"/>
      <c r="E42" s="216" t="s">
        <v>349</v>
      </c>
      <c r="F42" s="183"/>
      <c r="G42" s="216"/>
      <c r="H42" s="216"/>
      <c r="I42" s="217"/>
    </row>
    <row r="43" spans="1:9" ht="36">
      <c r="A43" s="180"/>
      <c r="B43" s="181">
        <v>13</v>
      </c>
      <c r="C43" s="182" t="s">
        <v>384</v>
      </c>
      <c r="D43" s="183"/>
      <c r="E43" s="216" t="s">
        <v>349</v>
      </c>
      <c r="F43" s="183"/>
      <c r="G43" s="216"/>
      <c r="H43" s="216"/>
      <c r="I43" s="217"/>
    </row>
    <row r="44" spans="1:9" ht="24">
      <c r="A44" s="180"/>
      <c r="B44" s="184">
        <v>14</v>
      </c>
      <c r="C44" s="185" t="s">
        <v>385</v>
      </c>
      <c r="D44" s="186"/>
      <c r="E44" s="218" t="s">
        <v>349</v>
      </c>
      <c r="F44" s="186"/>
      <c r="G44" s="218"/>
      <c r="H44" s="218"/>
      <c r="I44" s="219"/>
    </row>
    <row r="45" spans="1:9">
      <c r="A45" s="187"/>
      <c r="B45" s="184"/>
      <c r="C45" s="191"/>
      <c r="D45" s="192"/>
      <c r="E45" s="224"/>
      <c r="F45" s="192"/>
      <c r="G45" s="224"/>
      <c r="H45" s="224"/>
      <c r="I45" s="225"/>
    </row>
    <row r="46" spans="1:9" ht="36">
      <c r="A46" s="193" t="s">
        <v>386</v>
      </c>
      <c r="B46" s="194"/>
      <c r="C46" s="178" t="s">
        <v>387</v>
      </c>
      <c r="D46" s="195"/>
      <c r="E46" s="226"/>
      <c r="F46" s="195"/>
      <c r="G46" s="226"/>
      <c r="H46" s="226"/>
      <c r="I46" s="227"/>
    </row>
    <row r="47" spans="1:9">
      <c r="A47" s="196"/>
      <c r="B47" s="181">
        <v>1</v>
      </c>
      <c r="C47" s="182" t="s">
        <v>388</v>
      </c>
      <c r="D47" s="183"/>
      <c r="E47" s="216" t="s">
        <v>357</v>
      </c>
      <c r="F47" s="183"/>
      <c r="G47" s="216"/>
      <c r="H47" s="216"/>
      <c r="I47" s="217"/>
    </row>
    <row r="48" spans="1:9">
      <c r="A48" s="196"/>
      <c r="B48" s="181">
        <v>2</v>
      </c>
      <c r="C48" s="182" t="s">
        <v>389</v>
      </c>
      <c r="D48" s="183"/>
      <c r="E48" s="216" t="s">
        <v>357</v>
      </c>
      <c r="F48" s="183"/>
      <c r="G48" s="216"/>
      <c r="H48" s="216"/>
      <c r="I48" s="217"/>
    </row>
    <row r="49" spans="1:9">
      <c r="A49" s="196"/>
      <c r="B49" s="181">
        <v>3</v>
      </c>
      <c r="C49" s="182" t="s">
        <v>390</v>
      </c>
      <c r="D49" s="183"/>
      <c r="E49" s="216" t="s">
        <v>357</v>
      </c>
      <c r="F49" s="183"/>
      <c r="G49" s="216"/>
      <c r="H49" s="216"/>
      <c r="I49" s="217"/>
    </row>
    <row r="50" spans="1:9">
      <c r="A50" s="196"/>
      <c r="B50" s="181">
        <v>4</v>
      </c>
      <c r="C50" s="182" t="s">
        <v>391</v>
      </c>
      <c r="D50" s="183"/>
      <c r="E50" s="216" t="s">
        <v>357</v>
      </c>
      <c r="F50" s="183"/>
      <c r="G50" s="216"/>
      <c r="H50" s="216"/>
      <c r="I50" s="217"/>
    </row>
    <row r="51" spans="1:9" ht="24">
      <c r="A51" s="196"/>
      <c r="B51" s="181">
        <v>5</v>
      </c>
      <c r="C51" s="182" t="s">
        <v>392</v>
      </c>
      <c r="D51" s="183"/>
      <c r="E51" s="216" t="s">
        <v>357</v>
      </c>
      <c r="F51" s="183"/>
      <c r="G51" s="216"/>
      <c r="H51" s="216"/>
      <c r="I51" s="217"/>
    </row>
    <row r="52" spans="1:9">
      <c r="A52" s="196"/>
      <c r="B52" s="181">
        <v>6</v>
      </c>
      <c r="C52" s="182" t="s">
        <v>393</v>
      </c>
      <c r="D52" s="183"/>
      <c r="E52" s="216" t="s">
        <v>357</v>
      </c>
      <c r="F52" s="183"/>
      <c r="G52" s="216"/>
      <c r="H52" s="216"/>
      <c r="I52" s="217"/>
    </row>
    <row r="53" spans="1:9" ht="24">
      <c r="A53" s="196"/>
      <c r="B53" s="181">
        <v>7</v>
      </c>
      <c r="C53" s="182" t="s">
        <v>394</v>
      </c>
      <c r="D53" s="183"/>
      <c r="E53" s="216" t="s">
        <v>357</v>
      </c>
      <c r="F53" s="183"/>
      <c r="G53" s="216"/>
      <c r="H53" s="216"/>
      <c r="I53" s="217"/>
    </row>
    <row r="54" spans="1:9">
      <c r="A54" s="196"/>
      <c r="B54" s="181">
        <v>8</v>
      </c>
      <c r="C54" s="182" t="s">
        <v>395</v>
      </c>
      <c r="D54" s="183"/>
      <c r="E54" s="216" t="s">
        <v>357</v>
      </c>
      <c r="F54" s="183"/>
      <c r="G54" s="216"/>
      <c r="H54" s="216"/>
      <c r="I54" s="217"/>
    </row>
    <row r="55" spans="1:9" ht="24">
      <c r="A55" s="196"/>
      <c r="B55" s="184">
        <v>9</v>
      </c>
      <c r="C55" s="185" t="s">
        <v>396</v>
      </c>
      <c r="D55" s="186"/>
      <c r="E55" s="218" t="s">
        <v>357</v>
      </c>
      <c r="F55" s="186"/>
      <c r="G55" s="218"/>
      <c r="H55" s="218"/>
      <c r="I55" s="219"/>
    </row>
    <row r="56" spans="1:9" ht="36">
      <c r="A56" s="196"/>
      <c r="B56" s="181">
        <v>10</v>
      </c>
      <c r="C56" s="182" t="s">
        <v>397</v>
      </c>
      <c r="D56" s="183"/>
      <c r="E56" s="216" t="s">
        <v>357</v>
      </c>
      <c r="F56" s="183"/>
      <c r="G56" s="216"/>
      <c r="H56" s="216"/>
      <c r="I56" s="217"/>
    </row>
    <row r="57" spans="1:9" ht="24">
      <c r="A57" s="196"/>
      <c r="B57" s="194"/>
      <c r="C57" s="182" t="s">
        <v>398</v>
      </c>
      <c r="D57" s="197"/>
      <c r="E57" s="228"/>
      <c r="F57" s="197"/>
      <c r="G57" s="228"/>
      <c r="H57" s="228"/>
      <c r="I57" s="229"/>
    </row>
    <row r="58" spans="1:9">
      <c r="A58" s="196"/>
      <c r="B58" s="181">
        <v>11</v>
      </c>
      <c r="C58" s="198" t="s">
        <v>399</v>
      </c>
      <c r="D58" s="183"/>
      <c r="E58" s="216" t="s">
        <v>357</v>
      </c>
      <c r="F58" s="183"/>
      <c r="G58" s="216"/>
      <c r="H58" s="216"/>
      <c r="I58" s="217"/>
    </row>
    <row r="59" spans="1:9">
      <c r="A59" s="196"/>
      <c r="B59" s="181">
        <v>12</v>
      </c>
      <c r="C59" s="198" t="s">
        <v>400</v>
      </c>
      <c r="D59" s="183"/>
      <c r="E59" s="216" t="s">
        <v>357</v>
      </c>
      <c r="F59" s="183"/>
      <c r="G59" s="216"/>
      <c r="H59" s="216"/>
      <c r="I59" s="217"/>
    </row>
    <row r="60" spans="1:9" ht="24">
      <c r="A60" s="196"/>
      <c r="B60" s="181">
        <v>13</v>
      </c>
      <c r="C60" s="182" t="s">
        <v>401</v>
      </c>
      <c r="D60" s="183"/>
      <c r="E60" s="216" t="s">
        <v>357</v>
      </c>
      <c r="F60" s="183"/>
      <c r="G60" s="216"/>
      <c r="H60" s="216"/>
      <c r="I60" s="217"/>
    </row>
    <row r="61" spans="1:9" ht="36">
      <c r="A61" s="196"/>
      <c r="B61" s="194"/>
      <c r="C61" s="182" t="s">
        <v>402</v>
      </c>
      <c r="D61" s="197"/>
      <c r="E61" s="228"/>
      <c r="F61" s="197"/>
      <c r="G61" s="228"/>
      <c r="H61" s="228"/>
      <c r="I61" s="229"/>
    </row>
    <row r="62" spans="1:9">
      <c r="A62" s="196"/>
      <c r="B62" s="181">
        <v>14</v>
      </c>
      <c r="C62" s="182" t="s">
        <v>403</v>
      </c>
      <c r="D62" s="183"/>
      <c r="E62" s="216" t="s">
        <v>357</v>
      </c>
      <c r="F62" s="183"/>
      <c r="G62" s="216"/>
      <c r="H62" s="216"/>
      <c r="I62" s="217"/>
    </row>
    <row r="63" spans="1:9">
      <c r="A63" s="196"/>
      <c r="B63" s="181">
        <v>15</v>
      </c>
      <c r="C63" s="182" t="s">
        <v>404</v>
      </c>
      <c r="D63" s="183"/>
      <c r="E63" s="216" t="s">
        <v>357</v>
      </c>
      <c r="F63" s="183"/>
      <c r="G63" s="216"/>
      <c r="H63" s="216"/>
      <c r="I63" s="217"/>
    </row>
    <row r="64" spans="1:9">
      <c r="A64" s="196"/>
      <c r="B64" s="181">
        <v>16</v>
      </c>
      <c r="C64" s="182" t="s">
        <v>405</v>
      </c>
      <c r="D64" s="183"/>
      <c r="E64" s="216" t="s">
        <v>357</v>
      </c>
      <c r="F64" s="183"/>
      <c r="G64" s="216"/>
      <c r="H64" s="216"/>
      <c r="I64" s="217"/>
    </row>
    <row r="65" spans="1:9">
      <c r="A65" s="196"/>
      <c r="B65" s="181">
        <v>17</v>
      </c>
      <c r="C65" s="182" t="s">
        <v>406</v>
      </c>
      <c r="D65" s="183"/>
      <c r="E65" s="216" t="s">
        <v>357</v>
      </c>
      <c r="F65" s="183"/>
      <c r="G65" s="216"/>
      <c r="H65" s="216"/>
      <c r="I65" s="217"/>
    </row>
    <row r="66" spans="1:9" ht="24">
      <c r="A66" s="196"/>
      <c r="B66" s="181">
        <v>18</v>
      </c>
      <c r="C66" s="182" t="s">
        <v>392</v>
      </c>
      <c r="D66" s="183"/>
      <c r="E66" s="216" t="s">
        <v>357</v>
      </c>
      <c r="F66" s="183"/>
      <c r="G66" s="216"/>
      <c r="H66" s="216"/>
      <c r="I66" s="217"/>
    </row>
    <row r="67" spans="1:9">
      <c r="A67" s="196"/>
      <c r="B67" s="181">
        <v>19</v>
      </c>
      <c r="C67" s="182" t="s">
        <v>393</v>
      </c>
      <c r="D67" s="183"/>
      <c r="E67" s="216" t="s">
        <v>357</v>
      </c>
      <c r="F67" s="183"/>
      <c r="G67" s="216"/>
      <c r="H67" s="216"/>
      <c r="I67" s="217"/>
    </row>
    <row r="68" spans="1:9">
      <c r="A68" s="196"/>
      <c r="B68" s="181">
        <v>20</v>
      </c>
      <c r="C68" s="182" t="s">
        <v>407</v>
      </c>
      <c r="D68" s="183"/>
      <c r="E68" s="216" t="s">
        <v>357</v>
      </c>
      <c r="F68" s="183"/>
      <c r="G68" s="216"/>
      <c r="H68" s="216"/>
      <c r="I68" s="217"/>
    </row>
    <row r="69" spans="1:9">
      <c r="A69" s="196"/>
      <c r="B69" s="181">
        <v>21</v>
      </c>
      <c r="C69" s="182" t="s">
        <v>408</v>
      </c>
      <c r="D69" s="183"/>
      <c r="E69" s="216" t="s">
        <v>357</v>
      </c>
      <c r="F69" s="183"/>
      <c r="G69" s="216"/>
      <c r="H69" s="216"/>
      <c r="I69" s="217"/>
    </row>
    <row r="70" spans="1:9">
      <c r="A70" s="196"/>
      <c r="B70" s="181">
        <v>22</v>
      </c>
      <c r="C70" s="182" t="s">
        <v>409</v>
      </c>
      <c r="D70" s="183"/>
      <c r="E70" s="216" t="s">
        <v>357</v>
      </c>
      <c r="F70" s="183"/>
      <c r="G70" s="216"/>
      <c r="H70" s="216"/>
      <c r="I70" s="217"/>
    </row>
    <row r="71" spans="1:9" ht="36">
      <c r="A71" s="196"/>
      <c r="B71" s="194"/>
      <c r="C71" s="182" t="s">
        <v>410</v>
      </c>
      <c r="D71" s="197"/>
      <c r="E71" s="228"/>
      <c r="F71" s="197"/>
      <c r="G71" s="228"/>
      <c r="H71" s="228"/>
      <c r="I71" s="229"/>
    </row>
    <row r="72" spans="1:9">
      <c r="A72" s="196"/>
      <c r="B72" s="181">
        <v>18</v>
      </c>
      <c r="C72" s="182" t="s">
        <v>411</v>
      </c>
      <c r="D72" s="183"/>
      <c r="E72" s="216" t="s">
        <v>357</v>
      </c>
      <c r="F72" s="183"/>
      <c r="G72" s="216"/>
      <c r="H72" s="216"/>
      <c r="I72" s="217"/>
    </row>
    <row r="73" spans="1:9">
      <c r="A73" s="196"/>
      <c r="B73" s="181">
        <v>19</v>
      </c>
      <c r="C73" s="182" t="s">
        <v>412</v>
      </c>
      <c r="D73" s="183"/>
      <c r="E73" s="216" t="s">
        <v>357</v>
      </c>
      <c r="F73" s="183"/>
      <c r="G73" s="216"/>
      <c r="H73" s="216"/>
      <c r="I73" s="217"/>
    </row>
    <row r="74" spans="1:9">
      <c r="A74" s="196"/>
      <c r="B74" s="181">
        <v>20</v>
      </c>
      <c r="C74" s="182" t="s">
        <v>413</v>
      </c>
      <c r="D74" s="183"/>
      <c r="E74" s="216" t="s">
        <v>357</v>
      </c>
      <c r="F74" s="183"/>
      <c r="G74" s="216"/>
      <c r="H74" s="216"/>
      <c r="I74" s="217"/>
    </row>
    <row r="75" spans="1:9">
      <c r="A75" s="196"/>
      <c r="B75" s="181">
        <v>21</v>
      </c>
      <c r="C75" s="182" t="s">
        <v>414</v>
      </c>
      <c r="D75" s="183"/>
      <c r="E75" s="216" t="s">
        <v>357</v>
      </c>
      <c r="F75" s="183"/>
      <c r="G75" s="216"/>
      <c r="H75" s="216"/>
      <c r="I75" s="217"/>
    </row>
    <row r="76" spans="1:9" ht="36">
      <c r="A76" s="196"/>
      <c r="B76" s="181">
        <v>22</v>
      </c>
      <c r="C76" s="182" t="s">
        <v>415</v>
      </c>
      <c r="D76" s="183"/>
      <c r="E76" s="216" t="s">
        <v>357</v>
      </c>
      <c r="F76" s="183"/>
      <c r="G76" s="216"/>
      <c r="H76" s="216"/>
      <c r="I76" s="217"/>
    </row>
    <row r="77" spans="1:9" ht="24">
      <c r="A77" s="180"/>
      <c r="B77" s="194"/>
      <c r="C77" s="185" t="s">
        <v>416</v>
      </c>
      <c r="D77" s="197"/>
      <c r="E77" s="228"/>
      <c r="F77" s="197"/>
      <c r="G77" s="228"/>
      <c r="H77" s="228"/>
      <c r="I77" s="229"/>
    </row>
    <row r="78" spans="1:9">
      <c r="A78" s="180"/>
      <c r="B78" s="184">
        <v>23</v>
      </c>
      <c r="C78" s="185" t="s">
        <v>417</v>
      </c>
      <c r="D78" s="186"/>
      <c r="E78" s="218" t="s">
        <v>357</v>
      </c>
      <c r="F78" s="186"/>
      <c r="G78" s="218"/>
      <c r="H78" s="218"/>
      <c r="I78" s="219"/>
    </row>
    <row r="79" spans="1:9">
      <c r="A79" s="180"/>
      <c r="B79" s="184">
        <v>24</v>
      </c>
      <c r="C79" s="185" t="s">
        <v>418</v>
      </c>
      <c r="D79" s="186"/>
      <c r="E79" s="218" t="s">
        <v>357</v>
      </c>
      <c r="F79" s="186"/>
      <c r="G79" s="218"/>
      <c r="H79" s="218"/>
      <c r="I79" s="219"/>
    </row>
    <row r="80" spans="1:9" ht="24">
      <c r="A80" s="180"/>
      <c r="B80" s="184">
        <v>25</v>
      </c>
      <c r="C80" s="185" t="s">
        <v>419</v>
      </c>
      <c r="D80" s="186"/>
      <c r="E80" s="218" t="s">
        <v>349</v>
      </c>
      <c r="F80" s="186"/>
      <c r="G80" s="218"/>
      <c r="H80" s="218"/>
      <c r="I80" s="219"/>
    </row>
    <row r="81" spans="1:9">
      <c r="A81" s="187"/>
      <c r="B81" s="190"/>
      <c r="C81" s="191"/>
      <c r="D81" s="192"/>
      <c r="E81" s="224"/>
      <c r="F81" s="192"/>
      <c r="G81" s="224"/>
      <c r="H81" s="224"/>
      <c r="I81" s="225"/>
    </row>
    <row r="82" spans="1:9" ht="36">
      <c r="A82" s="193" t="s">
        <v>420</v>
      </c>
      <c r="B82" s="177">
        <v>1</v>
      </c>
      <c r="C82" s="178" t="s">
        <v>421</v>
      </c>
      <c r="D82" s="179" t="s">
        <v>348</v>
      </c>
      <c r="E82" s="214"/>
      <c r="F82" s="199" t="s">
        <v>349</v>
      </c>
      <c r="G82" s="230" t="s">
        <v>349</v>
      </c>
      <c r="H82" s="214" t="s">
        <v>349</v>
      </c>
      <c r="I82" s="215" t="s">
        <v>349</v>
      </c>
    </row>
    <row r="83" spans="1:9" ht="48">
      <c r="A83" s="180"/>
      <c r="B83" s="181">
        <v>2</v>
      </c>
      <c r="C83" s="182" t="s">
        <v>422</v>
      </c>
      <c r="D83" s="183" t="s">
        <v>348</v>
      </c>
      <c r="E83" s="216"/>
      <c r="F83" s="183" t="s">
        <v>349</v>
      </c>
      <c r="G83" s="216" t="s">
        <v>349</v>
      </c>
      <c r="H83" s="216" t="s">
        <v>349</v>
      </c>
      <c r="I83" s="217" t="s">
        <v>349</v>
      </c>
    </row>
    <row r="84" spans="1:9" ht="24">
      <c r="A84" s="180"/>
      <c r="B84" s="181">
        <v>3</v>
      </c>
      <c r="C84" s="182" t="s">
        <v>423</v>
      </c>
      <c r="D84" s="183" t="s">
        <v>348</v>
      </c>
      <c r="E84" s="216"/>
      <c r="F84" s="183" t="s">
        <v>349</v>
      </c>
      <c r="G84" s="216" t="s">
        <v>349</v>
      </c>
      <c r="H84" s="216" t="s">
        <v>349</v>
      </c>
      <c r="I84" s="217" t="s">
        <v>349</v>
      </c>
    </row>
    <row r="85" spans="1:9" ht="24">
      <c r="A85" s="180"/>
      <c r="B85" s="184">
        <v>4</v>
      </c>
      <c r="C85" s="185" t="s">
        <v>424</v>
      </c>
      <c r="D85" s="186" t="s">
        <v>348</v>
      </c>
      <c r="E85" s="218"/>
      <c r="F85" s="186" t="s">
        <v>349</v>
      </c>
      <c r="G85" s="218" t="s">
        <v>349</v>
      </c>
      <c r="H85" s="218" t="s">
        <v>349</v>
      </c>
      <c r="I85" s="219" t="s">
        <v>349</v>
      </c>
    </row>
    <row r="86" spans="1:9">
      <c r="A86" s="187"/>
      <c r="B86" s="190"/>
      <c r="C86" s="191"/>
      <c r="D86" s="192"/>
      <c r="E86" s="224"/>
      <c r="F86" s="192"/>
      <c r="G86" s="224"/>
      <c r="H86" s="224"/>
      <c r="I86" s="225"/>
    </row>
    <row r="87" spans="1:9" ht="36">
      <c r="A87" s="196" t="s">
        <v>425</v>
      </c>
      <c r="B87" s="200">
        <v>1</v>
      </c>
      <c r="C87" s="201" t="s">
        <v>426</v>
      </c>
      <c r="D87" s="242" t="s">
        <v>348</v>
      </c>
      <c r="E87" s="231"/>
      <c r="F87" s="179" t="s">
        <v>349</v>
      </c>
      <c r="G87" s="214" t="s">
        <v>349</v>
      </c>
      <c r="H87" s="231" t="s">
        <v>349</v>
      </c>
      <c r="I87" s="232" t="s">
        <v>349</v>
      </c>
    </row>
    <row r="88" spans="1:9" ht="48">
      <c r="A88" s="180"/>
      <c r="B88" s="181">
        <v>2</v>
      </c>
      <c r="C88" s="182" t="s">
        <v>427</v>
      </c>
      <c r="D88" s="183" t="s">
        <v>348</v>
      </c>
      <c r="E88" s="216"/>
      <c r="F88" s="183" t="s">
        <v>349</v>
      </c>
      <c r="G88" s="216" t="s">
        <v>349</v>
      </c>
      <c r="H88" s="216" t="s">
        <v>349</v>
      </c>
      <c r="I88" s="217" t="s">
        <v>349</v>
      </c>
    </row>
    <row r="89" spans="1:9" ht="24">
      <c r="A89" s="180"/>
      <c r="B89" s="181">
        <v>3</v>
      </c>
      <c r="C89" s="182" t="s">
        <v>428</v>
      </c>
      <c r="D89" s="183" t="s">
        <v>348</v>
      </c>
      <c r="E89" s="216"/>
      <c r="F89" s="183" t="s">
        <v>349</v>
      </c>
      <c r="G89" s="216" t="s">
        <v>349</v>
      </c>
      <c r="H89" s="216" t="s">
        <v>349</v>
      </c>
      <c r="I89" s="217" t="s">
        <v>349</v>
      </c>
    </row>
    <row r="90" spans="1:9" ht="24">
      <c r="A90" s="180"/>
      <c r="B90" s="181">
        <v>4</v>
      </c>
      <c r="C90" s="182" t="s">
        <v>429</v>
      </c>
      <c r="D90" s="183" t="s">
        <v>348</v>
      </c>
      <c r="E90" s="216"/>
      <c r="F90" s="183" t="s">
        <v>349</v>
      </c>
      <c r="G90" s="216" t="s">
        <v>349</v>
      </c>
      <c r="H90" s="216" t="s">
        <v>349</v>
      </c>
      <c r="I90" s="217" t="s">
        <v>349</v>
      </c>
    </row>
    <row r="91" spans="1:9" ht="24">
      <c r="A91" s="180"/>
      <c r="B91" s="181">
        <v>5</v>
      </c>
      <c r="C91" s="182" t="s">
        <v>430</v>
      </c>
      <c r="D91" s="183" t="s">
        <v>348</v>
      </c>
      <c r="E91" s="216"/>
      <c r="F91" s="183" t="s">
        <v>349</v>
      </c>
      <c r="G91" s="216" t="s">
        <v>349</v>
      </c>
      <c r="H91" s="216" t="s">
        <v>349</v>
      </c>
      <c r="I91" s="217" t="s">
        <v>349</v>
      </c>
    </row>
    <row r="92" spans="1:9" ht="24">
      <c r="A92" s="180"/>
      <c r="B92" s="181">
        <v>6</v>
      </c>
      <c r="C92" s="182" t="s">
        <v>431</v>
      </c>
      <c r="D92" s="183" t="s">
        <v>348</v>
      </c>
      <c r="E92" s="216"/>
      <c r="F92" s="183" t="s">
        <v>349</v>
      </c>
      <c r="G92" s="216" t="s">
        <v>349</v>
      </c>
      <c r="H92" s="216" t="s">
        <v>349</v>
      </c>
      <c r="I92" s="217" t="s">
        <v>349</v>
      </c>
    </row>
    <row r="93" spans="1:9" ht="24">
      <c r="A93" s="180"/>
      <c r="B93" s="181">
        <v>7</v>
      </c>
      <c r="C93" s="182" t="s">
        <v>432</v>
      </c>
      <c r="D93" s="183" t="s">
        <v>348</v>
      </c>
      <c r="E93" s="216"/>
      <c r="F93" s="183" t="s">
        <v>349</v>
      </c>
      <c r="G93" s="216" t="s">
        <v>349</v>
      </c>
      <c r="H93" s="216" t="s">
        <v>349</v>
      </c>
      <c r="I93" s="217" t="s">
        <v>349</v>
      </c>
    </row>
    <row r="94" spans="1:9" ht="24">
      <c r="A94" s="180"/>
      <c r="B94" s="181">
        <v>8</v>
      </c>
      <c r="C94" s="182" t="s">
        <v>433</v>
      </c>
      <c r="D94" s="183" t="s">
        <v>348</v>
      </c>
      <c r="E94" s="216"/>
      <c r="F94" s="183" t="s">
        <v>349</v>
      </c>
      <c r="G94" s="216" t="s">
        <v>349</v>
      </c>
      <c r="H94" s="216" t="s">
        <v>349</v>
      </c>
      <c r="I94" s="217" t="s">
        <v>349</v>
      </c>
    </row>
    <row r="95" spans="1:9">
      <c r="A95" s="187"/>
      <c r="B95" s="190"/>
      <c r="C95" s="191"/>
      <c r="D95" s="192"/>
      <c r="E95" s="224"/>
      <c r="F95" s="192"/>
      <c r="G95" s="224"/>
      <c r="H95" s="224"/>
      <c r="I95" s="225"/>
    </row>
    <row r="96" spans="1:9" ht="84">
      <c r="A96" s="193" t="s">
        <v>434</v>
      </c>
      <c r="B96" s="177">
        <v>1</v>
      </c>
      <c r="C96" s="178" t="s">
        <v>435</v>
      </c>
      <c r="D96" s="179" t="s">
        <v>348</v>
      </c>
      <c r="E96" s="214"/>
      <c r="F96" s="179" t="s">
        <v>349</v>
      </c>
      <c r="G96" s="214" t="s">
        <v>349</v>
      </c>
      <c r="H96" s="214"/>
      <c r="I96" s="215"/>
    </row>
    <row r="97" spans="1:9" ht="36">
      <c r="A97" s="180"/>
      <c r="B97" s="181">
        <v>2</v>
      </c>
      <c r="C97" s="182" t="s">
        <v>436</v>
      </c>
      <c r="D97" s="183" t="s">
        <v>348</v>
      </c>
      <c r="E97" s="216"/>
      <c r="F97" s="183" t="s">
        <v>349</v>
      </c>
      <c r="G97" s="216" t="s">
        <v>349</v>
      </c>
      <c r="H97" s="216"/>
      <c r="I97" s="217"/>
    </row>
    <row r="98" spans="1:9" ht="60">
      <c r="A98" s="180"/>
      <c r="B98" s="181">
        <v>3</v>
      </c>
      <c r="C98" s="182" t="s">
        <v>437</v>
      </c>
      <c r="D98" s="183" t="s">
        <v>348</v>
      </c>
      <c r="E98" s="216"/>
      <c r="F98" s="183" t="s">
        <v>349</v>
      </c>
      <c r="G98" s="216" t="s">
        <v>349</v>
      </c>
      <c r="H98" s="216"/>
      <c r="I98" s="217"/>
    </row>
    <row r="99" spans="1:9" ht="60">
      <c r="A99" s="180"/>
      <c r="B99" s="181">
        <v>4</v>
      </c>
      <c r="C99" s="182" t="s">
        <v>438</v>
      </c>
      <c r="D99" s="183" t="s">
        <v>348</v>
      </c>
      <c r="E99" s="216"/>
      <c r="F99" s="183" t="s">
        <v>349</v>
      </c>
      <c r="G99" s="216" t="s">
        <v>349</v>
      </c>
      <c r="H99" s="216"/>
      <c r="I99" s="217"/>
    </row>
    <row r="100" spans="1:9" ht="24">
      <c r="A100" s="180"/>
      <c r="B100" s="184">
        <v>5</v>
      </c>
      <c r="C100" s="185" t="s">
        <v>439</v>
      </c>
      <c r="D100" s="186" t="s">
        <v>348</v>
      </c>
      <c r="E100" s="218"/>
      <c r="F100" s="186" t="s">
        <v>349</v>
      </c>
      <c r="G100" s="218" t="s">
        <v>349</v>
      </c>
      <c r="H100" s="218"/>
      <c r="I100" s="219"/>
    </row>
    <row r="101" spans="1:9">
      <c r="A101" s="187"/>
      <c r="B101" s="190"/>
      <c r="C101" s="191"/>
      <c r="D101" s="192"/>
      <c r="E101" s="224"/>
      <c r="F101" s="192"/>
      <c r="G101" s="224"/>
      <c r="H101" s="224"/>
      <c r="I101" s="225"/>
    </row>
    <row r="102" spans="1:9" ht="36">
      <c r="A102" s="176" t="s">
        <v>440</v>
      </c>
      <c r="B102" s="177">
        <v>1</v>
      </c>
      <c r="C102" s="178" t="s">
        <v>441</v>
      </c>
      <c r="D102" s="179" t="s">
        <v>348</v>
      </c>
      <c r="E102" s="214" t="s">
        <v>349</v>
      </c>
      <c r="F102" s="179" t="s">
        <v>349</v>
      </c>
      <c r="G102" s="214" t="s">
        <v>349</v>
      </c>
      <c r="H102" s="214" t="s">
        <v>349</v>
      </c>
      <c r="I102" s="215" t="s">
        <v>349</v>
      </c>
    </row>
    <row r="103" spans="1:9" ht="60">
      <c r="A103" s="180"/>
      <c r="B103" s="181">
        <v>2</v>
      </c>
      <c r="C103" s="182" t="s">
        <v>442</v>
      </c>
      <c r="D103" s="183" t="s">
        <v>348</v>
      </c>
      <c r="E103" s="216" t="s">
        <v>349</v>
      </c>
      <c r="F103" s="183" t="s">
        <v>349</v>
      </c>
      <c r="G103" s="216" t="s">
        <v>349</v>
      </c>
      <c r="H103" s="216" t="s">
        <v>349</v>
      </c>
      <c r="I103" s="217" t="s">
        <v>349</v>
      </c>
    </row>
    <row r="104" spans="1:9" ht="36">
      <c r="A104" s="180"/>
      <c r="B104" s="184">
        <v>3</v>
      </c>
      <c r="C104" s="185" t="s">
        <v>443</v>
      </c>
      <c r="D104" s="186" t="s">
        <v>348</v>
      </c>
      <c r="E104" s="218" t="s">
        <v>349</v>
      </c>
      <c r="F104" s="186" t="s">
        <v>349</v>
      </c>
      <c r="G104" s="218" t="s">
        <v>349</v>
      </c>
      <c r="H104" s="218" t="s">
        <v>349</v>
      </c>
      <c r="I104" s="219" t="s">
        <v>349</v>
      </c>
    </row>
    <row r="105" spans="1:9" ht="36">
      <c r="A105" s="180"/>
      <c r="B105" s="184">
        <v>4</v>
      </c>
      <c r="C105" s="185" t="s">
        <v>444</v>
      </c>
      <c r="D105" s="186" t="s">
        <v>348</v>
      </c>
      <c r="E105" s="218" t="s">
        <v>349</v>
      </c>
      <c r="F105" s="186" t="s">
        <v>349</v>
      </c>
      <c r="G105" s="218" t="s">
        <v>349</v>
      </c>
      <c r="H105" s="218" t="s">
        <v>349</v>
      </c>
      <c r="I105" s="219" t="s">
        <v>349</v>
      </c>
    </row>
    <row r="106" spans="1:9">
      <c r="A106" s="187"/>
      <c r="B106" s="190"/>
      <c r="C106" s="191"/>
      <c r="D106" s="192"/>
      <c r="E106" s="224"/>
      <c r="F106" s="192"/>
      <c r="G106" s="224"/>
      <c r="H106" s="224"/>
      <c r="I106" s="225"/>
    </row>
    <row r="107" spans="1:9" ht="48">
      <c r="A107" s="180" t="s">
        <v>445</v>
      </c>
      <c r="B107" s="202">
        <v>1</v>
      </c>
      <c r="C107" s="203" t="s">
        <v>446</v>
      </c>
      <c r="D107" s="204" t="s">
        <v>348</v>
      </c>
      <c r="E107" s="222" t="s">
        <v>349</v>
      </c>
      <c r="F107" s="204" t="s">
        <v>349</v>
      </c>
      <c r="G107" s="222" t="s">
        <v>349</v>
      </c>
      <c r="H107" s="222" t="s">
        <v>349</v>
      </c>
      <c r="I107" s="223" t="s">
        <v>349</v>
      </c>
    </row>
    <row r="108" spans="1:9">
      <c r="A108" s="187"/>
      <c r="B108" s="190"/>
      <c r="C108" s="191"/>
      <c r="D108" s="192"/>
      <c r="E108" s="224"/>
      <c r="F108" s="192"/>
      <c r="G108" s="224"/>
      <c r="H108" s="224"/>
      <c r="I108" s="225"/>
    </row>
    <row r="109" spans="1:9" ht="24">
      <c r="A109" s="176" t="s">
        <v>447</v>
      </c>
      <c r="B109" s="205">
        <v>1</v>
      </c>
      <c r="C109" s="206" t="s">
        <v>448</v>
      </c>
      <c r="D109" s="199" t="s">
        <v>348</v>
      </c>
      <c r="E109" s="230" t="s">
        <v>349</v>
      </c>
      <c r="F109" s="199" t="s">
        <v>349</v>
      </c>
      <c r="G109" s="230" t="s">
        <v>349</v>
      </c>
      <c r="H109" s="230" t="s">
        <v>349</v>
      </c>
      <c r="I109" s="233" t="s">
        <v>349</v>
      </c>
    </row>
    <row r="110" spans="1:9">
      <c r="A110" s="187"/>
      <c r="B110" s="190"/>
      <c r="C110" s="191"/>
      <c r="D110" s="192"/>
      <c r="E110" s="224"/>
      <c r="F110" s="192"/>
      <c r="G110" s="224"/>
      <c r="H110" s="224"/>
      <c r="I110" s="225"/>
    </row>
    <row r="111" spans="1:9" ht="24">
      <c r="A111" s="176" t="s">
        <v>449</v>
      </c>
      <c r="B111" s="205">
        <v>1</v>
      </c>
      <c r="C111" s="206" t="s">
        <v>450</v>
      </c>
      <c r="D111" s="199" t="s">
        <v>348</v>
      </c>
      <c r="E111" s="230" t="s">
        <v>349</v>
      </c>
      <c r="F111" s="199" t="s">
        <v>349</v>
      </c>
      <c r="G111" s="230" t="s">
        <v>349</v>
      </c>
      <c r="H111" s="230" t="s">
        <v>349</v>
      </c>
      <c r="I111" s="233" t="s">
        <v>349</v>
      </c>
    </row>
    <row r="112" spans="1:9">
      <c r="A112" s="187"/>
      <c r="B112" s="190"/>
      <c r="C112" s="191"/>
      <c r="D112" s="192"/>
      <c r="E112" s="224"/>
      <c r="F112" s="192"/>
      <c r="G112" s="224"/>
      <c r="H112" s="224"/>
      <c r="I112" s="225"/>
    </row>
    <row r="113" spans="1:9" ht="24">
      <c r="A113" s="176" t="s">
        <v>451</v>
      </c>
      <c r="B113" s="205">
        <v>1</v>
      </c>
      <c r="C113" s="206" t="s">
        <v>452</v>
      </c>
      <c r="D113" s="199" t="s">
        <v>348</v>
      </c>
      <c r="E113" s="230" t="s">
        <v>349</v>
      </c>
      <c r="F113" s="199" t="s">
        <v>349</v>
      </c>
      <c r="G113" s="230" t="s">
        <v>349</v>
      </c>
      <c r="H113" s="230" t="s">
        <v>349</v>
      </c>
      <c r="I113" s="233" t="s">
        <v>349</v>
      </c>
    </row>
    <row r="114" spans="1:9" ht="12.75" thickBot="1">
      <c r="A114" s="207"/>
      <c r="B114" s="208"/>
      <c r="C114" s="209"/>
      <c r="D114" s="210"/>
      <c r="E114" s="234"/>
      <c r="F114" s="210"/>
      <c r="G114" s="234"/>
      <c r="H114" s="234"/>
      <c r="I114" s="235"/>
    </row>
  </sheetData>
  <mergeCells count="5">
    <mergeCell ref="E5:I5"/>
    <mergeCell ref="E1:I1"/>
    <mergeCell ref="E2:I2"/>
    <mergeCell ref="A5:B5"/>
    <mergeCell ref="A3:E3"/>
  </mergeCells>
  <phoneticPr fontId="95"/>
  <dataValidations count="1">
    <dataValidation type="list" allowBlank="1" showInputMessage="1" showErrorMessage="1" sqref="E5:I5" xr:uid="{00000000-0002-0000-0300-000000000000}">
      <formula1>"画面,帳票(紙),帳票(Ex),バッチ,ＩＦ"</formula1>
    </dataValidation>
  </dataValidations>
  <pageMargins left="0.39370078740157483" right="0.39370078740157483" top="0.59055118110236227" bottom="0.35433070866141736" header="0.43307086614173229" footer="0.19685039370078741"/>
  <pageSetup paperSize="9" scale="75" fitToHeight="0" orientation="portrait" verticalDpi="300" r:id="rId1"/>
  <headerFooter alignWithMargins="0">
    <oddFooter>&amp;L&amp;A&amp;C&amp;P / &amp;N&amp;R(C) 2012 Mitsubishi Electric Information Systems Corp.</oddFooter>
  </headerFooter>
  <rowBreaks count="1" manualBreakCount="1">
    <brk id="81" max="16383"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A9DDBD72CCDCB042BDF63871C064BF58" ma:contentTypeVersion="16" ma:contentTypeDescription="新しいドキュメントを作成します。" ma:contentTypeScope="" ma:versionID="55ecae9a3613a801fef51e36178657f4">
  <xsd:schema xmlns:xsd="http://www.w3.org/2001/XMLSchema" xmlns:xs="http://www.w3.org/2001/XMLSchema" xmlns:p="http://schemas.microsoft.com/office/2006/metadata/properties" xmlns:ns2="276bdb53-d102-4a67-8437-273e78fbb7dc" xmlns:ns3="761a324b-5d78-44cf-b9f7-03e8b2a8fda7" targetNamespace="http://schemas.microsoft.com/office/2006/metadata/properties" ma:root="true" ma:fieldsID="26567e7d53ebc34937c31979a3ce91ce" ns2:_="" ns3:_="">
    <xsd:import namespace="276bdb53-d102-4a67-8437-273e78fbb7dc"/>
    <xsd:import namespace="761a324b-5d78-44cf-b9f7-03e8b2a8fda7"/>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2:SharedWithUsers" minOccurs="0"/>
                <xsd:element ref="ns2:SharedWithDetail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lcf76f155ced4ddcb4097134ff3c332f" minOccurs="0"/>
                <xsd:element ref="ns2:TaxCatchAll"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6bdb53-d102-4a67-8437-273e78fbb7dc" elementFormDefault="qualified">
    <xsd:import namespace="http://schemas.microsoft.com/office/2006/documentManagement/types"/>
    <xsd:import namespace="http://schemas.microsoft.com/office/infopath/2007/PartnerControls"/>
    <xsd:element name="_dlc_DocId" ma:index="8" nillable="true" ma:displayName="ドキュメント ID 値" ma:description="このアイテムに割り当てられているドキュメント ID の値です。" ma:indexed="true" ma:internalName="_dlc_DocId" ma:readOnly="true">
      <xsd:simpleType>
        <xsd:restriction base="dms:Text"/>
      </xsd:simpleType>
    </xsd:element>
    <xsd:element name="_dlc_DocIdUrl" ma:index="9" nillable="true" ma:displayName="ドキュメントID:" ma:description="このドキュメントへの常時接続リンクです。"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ID を保持" ma:description="追加時に ID を保持します。" ma:hidden="true" ma:internalName="_dlc_DocIdPersistId" ma:readOnly="true">
      <xsd:simpleType>
        <xsd:restriction base="dms:Boolean"/>
      </xsd:simpleType>
    </xsd:element>
    <xsd:element name="SharedWithUsers" ma:index="13"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共有相手の詳細情報" ma:internalName="SharedWithDetails" ma:readOnly="true">
      <xsd:simpleType>
        <xsd:restriction base="dms:Note">
          <xsd:maxLength value="255"/>
        </xsd:restriction>
      </xsd:simpleType>
    </xsd:element>
    <xsd:element name="TaxCatchAll" ma:index="22" nillable="true" ma:displayName="Taxonomy Catch All Column" ma:hidden="true" ma:list="{895f5552-8c0b-4e11-8abb-5e4d6c753bad}" ma:internalName="TaxCatchAll" ma:showField="CatchAllData" ma:web="276bdb53-d102-4a67-8437-273e78fbb7d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61a324b-5d78-44cf-b9f7-03e8b2a8fda7"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画像タグ" ma:readOnly="false" ma:fieldId="{5cf76f15-5ced-4ddc-b409-7134ff3c332f}" ma:taxonomyMulti="true" ma:sspId="9e8076fe-bb0c-488f-ac76-058e9f0b257c"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dlc_DocId xmlns="276bdb53-d102-4a67-8437-273e78fbb7dc">EVCTUWYQZQYC-538864054-28964</_dlc_DocId>
    <TaxCatchAll xmlns="276bdb53-d102-4a67-8437-273e78fbb7dc" xsi:nil="true"/>
    <lcf76f155ced4ddcb4097134ff3c332f xmlns="761a324b-5d78-44cf-b9f7-03e8b2a8fda7">
      <Terms xmlns="http://schemas.microsoft.com/office/infopath/2007/PartnerControls"/>
    </lcf76f155ced4ddcb4097134ff3c332f>
    <_dlc_DocIdUrl xmlns="276bdb53-d102-4a67-8437-273e78fbb7dc">
      <Url>https://mitsubishielectricgroup.sharepoint.com/sites/009989/_layouts/15/DocIdRedir.aspx?ID=EVCTUWYQZQYC-538864054-28964</Url>
      <Description>EVCTUWYQZQYC-538864054-28964</Description>
    </_dlc_DocIdUrl>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BCA95426-DE18-408B-96F5-5BB3D29AFEE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76bdb53-d102-4a67-8437-273e78fbb7dc"/>
    <ds:schemaRef ds:uri="761a324b-5d78-44cf-b9f7-03e8b2a8fda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1F0EE61-B195-4CB1-87A3-4E5E2F9B4720}">
  <ds:schemaRefs>
    <ds:schemaRef ds:uri="http://purl.org/dc/elements/1.1/"/>
    <ds:schemaRef ds:uri="http://schemas.microsoft.com/office/2006/metadata/properties"/>
    <ds:schemaRef ds:uri="http://schemas.microsoft.com/office/infopath/2007/PartnerControls"/>
    <ds:schemaRef ds:uri="http://purl.org/dc/terms/"/>
    <ds:schemaRef ds:uri="276bdb53-d102-4a67-8437-273e78fbb7dc"/>
    <ds:schemaRef ds:uri="http://www.w3.org/XML/1998/namespace"/>
    <ds:schemaRef ds:uri="761a324b-5d78-44cf-b9f7-03e8b2a8fda7"/>
    <ds:schemaRef ds:uri="http://schemas.microsoft.com/office/2006/documentManagement/types"/>
    <ds:schemaRef ds:uri="http://schemas.openxmlformats.org/package/2006/metadata/core-properties"/>
    <ds:schemaRef ds:uri="http://purl.org/dc/dcmitype/"/>
  </ds:schemaRefs>
</ds:datastoreItem>
</file>

<file path=customXml/itemProps3.xml><?xml version="1.0" encoding="utf-8"?>
<ds:datastoreItem xmlns:ds="http://schemas.openxmlformats.org/officeDocument/2006/customXml" ds:itemID="{FA3665D7-A8D5-475E-997B-92106B9D6514}">
  <ds:schemaRefs>
    <ds:schemaRef ds:uri="http://schemas.microsoft.com/sharepoint/v3/contenttype/forms"/>
  </ds:schemaRefs>
</ds:datastoreItem>
</file>

<file path=customXml/itemProps4.xml><?xml version="1.0" encoding="utf-8"?>
<ds:datastoreItem xmlns:ds="http://schemas.openxmlformats.org/officeDocument/2006/customXml" ds:itemID="{A07D3A11-2CC9-48E9-921F-721AF3C039BB}">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1</vt:i4>
      </vt:variant>
    </vt:vector>
  </HeadingPairs>
  <TitlesOfParts>
    <vt:vector size="5" baseType="lpstr">
      <vt:lpstr>ﾚﾋﾞｭｰ評価ｼｰﾄ</vt:lpstr>
      <vt:lpstr>査読ｼｰﾄ記入要領</vt:lpstr>
      <vt:lpstr>査読ｼｰﾄ</vt:lpstr>
      <vt:lpstr>単体テスト要領書レビューチェックリスト</vt:lpstr>
      <vt:lpstr>単体テスト要領書レビューチェックリスト!Print_Area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2002-04-16T00:52:35Z</dcterms:created>
  <dcterms:modified xsi:type="dcterms:W3CDTF">2023-04-14T00:40:03Z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
    <vt:lpwstr>ドキュメント</vt:lpwstr>
  </property>
  <property fmtid="{D5CDD505-2E9C-101B-9397-08002B2CF9AE}" pid="3" name="ContentTypeId">
    <vt:lpwstr>0x010100A9DDBD72CCDCB042BDF63871C064BF58</vt:lpwstr>
  </property>
  <property fmtid="{D5CDD505-2E9C-101B-9397-08002B2CF9AE}" pid="4" name="_dlc_DocIdItemGuid">
    <vt:lpwstr>68a6e121-d2f2-4306-944f-ac4cfb4ccc66</vt:lpwstr>
  </property>
  <property fmtid="{D5CDD505-2E9C-101B-9397-08002B2CF9AE}" pid="5" name="MediaServiceImageTags">
    <vt:lpwstr/>
  </property>
</Properties>
</file>