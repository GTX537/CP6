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20" tabRatio="589" firstSheet="2" activeTab="2"/>
  </bookViews>
  <sheets>
    <sheet name="ﾚﾋﾞｭｰ評価ｼｰﾄ" sheetId="7" r:id="rId1"/>
    <sheet name="査読ｼｰﾄ記入要領" sheetId="2" r:id="rId2"/>
    <sheet name="査読ｼｰﾄ" sheetId="8" r:id="rId3"/>
    <sheet name="単体テスト要領書レビューチェックリスト" sheetId="11" r:id="rId4"/>
  </sheets>
  <definedNames>
    <definedName name="_xlnm.Print_Area" localSheetId="3">単体テスト要領書レビューチェックリスト!$A$1:$I$114</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s>
  <calcPr calcId="144525" calcMode="manual"/>
</workbook>
</file>

<file path=xl/comments1.xml><?xml version="1.0" encoding="utf-8"?>
<comments xmlns="http://schemas.openxmlformats.org/spreadsheetml/2006/main">
  <authors>
    <author>作成者</author>
  </authors>
  <commentList>
    <comment ref="C5" authorId="0">
      <text>
        <r>
          <rPr>
            <b/>
            <sz val="9"/>
            <rFont val="MS PGothic"/>
            <charset val="128"/>
          </rPr>
          <t>【機能ＩＤ】_【機能名】
※査読シートと同じにする</t>
        </r>
      </text>
    </comment>
    <comment ref="D7" authorId="0">
      <text>
        <r>
          <rPr>
            <b/>
            <sz val="9"/>
            <rFont val="MS PGothic"/>
            <charset val="128"/>
          </rPr>
          <t>チェック結果を記載する。
機能区分が「－」の場合は、結果を「－」とする。</t>
        </r>
      </text>
    </comment>
  </commentList>
</comments>
</file>

<file path=xl/sharedStrings.xml><?xml version="1.0" encoding="utf-8"?>
<sst xmlns="http://schemas.openxmlformats.org/spreadsheetml/2006/main" count="1478" uniqueCount="448">
  <si>
    <t>レビュー評価シート</t>
  </si>
  <si>
    <t>作　成　日　</t>
  </si>
  <si>
    <t>※本評価シートは作業成果物に添付して，登録すること。</t>
  </si>
  <si>
    <t>ﾚﾋﾞｭｰ形式：
（○を記入）</t>
  </si>
  <si>
    <t>○</t>
  </si>
  <si>
    <t>ピアレビュー</t>
  </si>
  <si>
    <t>公式レビュー</t>
  </si>
  <si>
    <t>（注1）　　　　　：ピア/公式ﾚﾋﾞｭｰを行うドキュメントの場合の必須記入項目
（注2）　　　　　：計算式セル（入力不要）　　　　　　</t>
  </si>
  <si>
    <t>担当 部課名</t>
  </si>
  <si>
    <t>部</t>
  </si>
  <si>
    <t>課</t>
  </si>
  <si>
    <t>作成者</t>
  </si>
  <si>
    <t>PID</t>
  </si>
  <si>
    <t>ー</t>
  </si>
  <si>
    <t>PJ件名</t>
  </si>
  <si>
    <t>株式会社クラウン・パッケージ新基幹システム導入</t>
  </si>
  <si>
    <t>レビュー対象</t>
  </si>
  <si>
    <t>ﾄﾞｷｭﾒﾝﾄ番号/ﾌﾟﾛｸﾞﾗﾑ番号</t>
  </si>
  <si>
    <t>ﾄﾞｷｭﾒﾝﾄ名/ﾌﾟﾛｸﾞﾗﾑ名</t>
  </si>
  <si>
    <t>種類(該当に○)</t>
  </si>
  <si>
    <t>要件定義書</t>
  </si>
  <si>
    <t>試験要領書</t>
  </si>
  <si>
    <t>プロジェクト実行計画書</t>
  </si>
  <si>
    <t>基本設計書（外部仕様書）</t>
  </si>
  <si>
    <t>試験成績書</t>
  </si>
  <si>
    <t>プロジェクト完了報告書</t>
  </si>
  <si>
    <t>詳細設計書（内部仕様書）</t>
  </si>
  <si>
    <t>ソースプログラムリスト</t>
  </si>
  <si>
    <t>結合テスト計画書</t>
  </si>
  <si>
    <t>プログラム仕様書</t>
  </si>
  <si>
    <t>その他</t>
  </si>
  <si>
    <t>システムテスト計画書</t>
  </si>
  <si>
    <t>ドキュメント</t>
  </si>
  <si>
    <t>ページ数(頁)</t>
  </si>
  <si>
    <t>作成工数（Hr）</t>
  </si>
  <si>
    <t>ライン数（KL）</t>
  </si>
  <si>
    <t>ﾓｼﾞｭｰﾙ数(個)</t>
  </si>
  <si>
    <t>(D)</t>
  </si>
  <si>
    <t>計画段階での誤り</t>
  </si>
  <si>
    <t>D1：計画内容の抜け</t>
  </si>
  <si>
    <t>件</t>
  </si>
  <si>
    <t>体制</t>
  </si>
  <si>
    <t>区分</t>
  </si>
  <si>
    <t>名前</t>
  </si>
  <si>
    <t>人数</t>
  </si>
  <si>
    <t>D2：計画内容の誤り，不整合，記述不足</t>
  </si>
  <si>
    <t>当該仕様担当者</t>
  </si>
  <si>
    <t>DZ：その他</t>
  </si>
  <si>
    <t>上位仕様担当者</t>
  </si>
  <si>
    <t>レビュー結果</t>
  </si>
  <si>
    <t>誤り分類</t>
  </si>
  <si>
    <t>(0)</t>
  </si>
  <si>
    <t>要件定義段階での誤り</t>
  </si>
  <si>
    <t>0A:要件の抜け及び解釈誤り</t>
  </si>
  <si>
    <t>下位仕様担当者</t>
  </si>
  <si>
    <t>0B:要件定義の誤り</t>
  </si>
  <si>
    <t>営業担当者</t>
  </si>
  <si>
    <t>0C:システム化対象範囲外とのインターフェースの誤り</t>
  </si>
  <si>
    <t>ＰＪ外有識者（QA)</t>
  </si>
  <si>
    <t>0Z:その他</t>
  </si>
  <si>
    <t>製外</t>
  </si>
  <si>
    <t>(1)</t>
  </si>
  <si>
    <t>基本設計（外部設計）段階での誤り</t>
  </si>
  <si>
    <t>1A:外部仕様の抜け及び要件定義の解釈誤り</t>
  </si>
  <si>
    <t>PL</t>
  </si>
  <si>
    <t>1B:外部仕様の誤り</t>
  </si>
  <si>
    <t>QR</t>
  </si>
  <si>
    <t>1C:機能間インターフェース仕様の誤り</t>
  </si>
  <si>
    <t>1Z:その他</t>
  </si>
  <si>
    <t>(2)</t>
  </si>
  <si>
    <t>詳細設計/プログラム設計(内部設計)段階での誤り</t>
  </si>
  <si>
    <t>2A:内部設計漏れ及び外部仕様の解釈誤り</t>
  </si>
  <si>
    <t>合　計　（人）</t>
  </si>
  <si>
    <t>2B:内部設計の誤り</t>
  </si>
  <si>
    <t>2C:モジュール間インターフェース仕様の誤り</t>
  </si>
  <si>
    <t>品質目標</t>
  </si>
  <si>
    <t>基準</t>
  </si>
  <si>
    <t>計画</t>
  </si>
  <si>
    <t>実績</t>
  </si>
  <si>
    <t>2Z:その他</t>
  </si>
  <si>
    <t>ドキュメントレビュー
指摘率(件/頁)</t>
  </si>
  <si>
    <t>(3)</t>
  </si>
  <si>
    <t>コーディング段階での誤り</t>
  </si>
  <si>
    <t>3A:設計どおりのコーディングがされていない</t>
  </si>
  <si>
    <t>3B:不注意なコーディング・ミス</t>
  </si>
  <si>
    <t>ドキュメントレビュー
誤り指摘率(件/頁)</t>
  </si>
  <si>
    <t>3Z:その他</t>
  </si>
  <si>
    <t>(4)</t>
  </si>
  <si>
    <t>4A:お客様からの仕様変更</t>
  </si>
  <si>
    <t>コードレビュー
指摘率(件/KL)</t>
  </si>
  <si>
    <t>4B:表現不備(誤字/脱字など)</t>
  </si>
  <si>
    <t>(5)</t>
  </si>
  <si>
    <t>試験段階での誤り</t>
  </si>
  <si>
    <t>5A:仕様の解釈誤り</t>
  </si>
  <si>
    <t>コードレビュー
誤り指摘率(件/KL)</t>
  </si>
  <si>
    <t>5B:試験仕様の誤り</t>
  </si>
  <si>
    <t>5C:試験プログラム/データの誤り</t>
  </si>
  <si>
    <t>ドキュメントレビュー
密度(Ｈｒ/頁)</t>
  </si>
  <si>
    <t>5D:試験項目抜け</t>
  </si>
  <si>
    <t>5Z:その他</t>
  </si>
  <si>
    <t>コードレビュー
密度(Ｈｒ/KL)</t>
  </si>
  <si>
    <t>(6)</t>
  </si>
  <si>
    <t>プロ完段階での誤り</t>
  </si>
  <si>
    <t>6A：報告内容の抜け</t>
  </si>
  <si>
    <t>6B：報告内容の誤り，不整合，記述不足</t>
  </si>
  <si>
    <t>6Z：その他</t>
  </si>
  <si>
    <t>総指摘件数</t>
  </si>
  <si>
    <t>件　　（内 誤り件数</t>
  </si>
  <si>
    <t>件）</t>
  </si>
  <si>
    <t>(注)誤り件数＝総指摘件数－その他(4A・4B)件数</t>
  </si>
  <si>
    <t>総レビュー工数（Hr）</t>
  </si>
  <si>
    <t>Hr</t>
  </si>
  <si>
    <t>レビュー履歴</t>
  </si>
  <si>
    <t>回数</t>
  </si>
  <si>
    <t>レビュー日時</t>
  </si>
  <si>
    <t>完成度(%)</t>
  </si>
  <si>
    <t>実施確認者名</t>
  </si>
  <si>
    <t>指摘件数</t>
  </si>
  <si>
    <t>ﾚﾋﾞｭｰ工数(Hr)</t>
  </si>
  <si>
    <t>備　考</t>
  </si>
  <si>
    <t>～</t>
  </si>
  <si>
    <t>評価</t>
  </si>
  <si>
    <t>審査
責任者
欄</t>
  </si>
  <si>
    <t>[ガイド] 誤り分類の傾向，レビュー工数，参加者，対象ページ数などの相関から，レビューの妥当性を判断する。</t>
  </si>
  <si>
    <t>審査責任者</t>
  </si>
  <si>
    <t>審査責任者は実施計画で計画する。（所属部門長，PM，PL，QRなど。　ピアレビュー時は作成担当者で可。）</t>
  </si>
  <si>
    <t>添付資料</t>
  </si>
  <si>
    <t>■</t>
  </si>
  <si>
    <t>レビューチェックリスト</t>
  </si>
  <si>
    <t>査読シート</t>
  </si>
  <si>
    <t>□</t>
  </si>
  <si>
    <t>その他（　　　　　　　　　　　　　　　　　　　　　　　）</t>
  </si>
  <si>
    <t>＜査読シートの誤り分類の集計＞</t>
  </si>
  <si>
    <t>件数</t>
  </si>
  <si>
    <t>Ｄ１</t>
  </si>
  <si>
    <t>Ｄ２</t>
  </si>
  <si>
    <t>ＤＺ</t>
  </si>
  <si>
    <t>０Ａ</t>
  </si>
  <si>
    <t>０Ｂ</t>
  </si>
  <si>
    <t>０Ｃ</t>
  </si>
  <si>
    <t>０Ｚ</t>
  </si>
  <si>
    <t>１Ａ</t>
  </si>
  <si>
    <t>１Ｂ</t>
  </si>
  <si>
    <t>１Ｃ</t>
  </si>
  <si>
    <t>１Ｚ</t>
  </si>
  <si>
    <t>２Ａ</t>
  </si>
  <si>
    <t>２Ｂ</t>
  </si>
  <si>
    <t>２Ｃ</t>
  </si>
  <si>
    <t>２Ｚ</t>
  </si>
  <si>
    <t>３Ａ</t>
  </si>
  <si>
    <t>３Ｂ</t>
  </si>
  <si>
    <t>３Ｃ</t>
  </si>
  <si>
    <t>３Ｚ</t>
  </si>
  <si>
    <t>４Ａ</t>
  </si>
  <si>
    <t>４Ｂ</t>
  </si>
  <si>
    <t>４Ｃ</t>
  </si>
  <si>
    <t>４Ｚ</t>
  </si>
  <si>
    <t>５Ａ</t>
  </si>
  <si>
    <t>５Ｂ</t>
  </si>
  <si>
    <t>５Ｃ</t>
  </si>
  <si>
    <t>５Ｄ</t>
  </si>
  <si>
    <t>５Ｚ</t>
  </si>
  <si>
    <t>６Ａ</t>
  </si>
  <si>
    <t>６Ｂ</t>
  </si>
  <si>
    <t>６Ｚ</t>
  </si>
  <si>
    <t>D1</t>
  </si>
  <si>
    <t>D2</t>
  </si>
  <si>
    <t>DZ</t>
  </si>
  <si>
    <t>0A</t>
  </si>
  <si>
    <t>0B</t>
  </si>
  <si>
    <t>0C</t>
  </si>
  <si>
    <t>0Z</t>
  </si>
  <si>
    <t>1A</t>
  </si>
  <si>
    <t>1B</t>
  </si>
  <si>
    <t>1C</t>
  </si>
  <si>
    <t>1Z</t>
  </si>
  <si>
    <t>2A</t>
  </si>
  <si>
    <t>2B</t>
  </si>
  <si>
    <t>2C</t>
  </si>
  <si>
    <t>2Z</t>
  </si>
  <si>
    <t>3A</t>
  </si>
  <si>
    <t>3B</t>
  </si>
  <si>
    <t>3C</t>
  </si>
  <si>
    <t>3Z</t>
  </si>
  <si>
    <t>4A</t>
  </si>
  <si>
    <t>4B</t>
  </si>
  <si>
    <t>4C</t>
  </si>
  <si>
    <t>4Z</t>
  </si>
  <si>
    <t>5A</t>
  </si>
  <si>
    <t>5B</t>
  </si>
  <si>
    <t>5C</t>
  </si>
  <si>
    <t>5D</t>
  </si>
  <si>
    <t>5Z</t>
  </si>
  <si>
    <t>6A</t>
  </si>
  <si>
    <t>6B</t>
  </si>
  <si>
    <t>6Z</t>
  </si>
  <si>
    <t>Ｄ1</t>
  </si>
  <si>
    <t>ＤZ</t>
  </si>
  <si>
    <t>０A</t>
  </si>
  <si>
    <t>０B</t>
  </si>
  <si>
    <t>０C</t>
  </si>
  <si>
    <t>０Z</t>
  </si>
  <si>
    <t>１A</t>
  </si>
  <si>
    <t>１B</t>
  </si>
  <si>
    <t>１C</t>
  </si>
  <si>
    <t>１Z</t>
  </si>
  <si>
    <t>２A</t>
  </si>
  <si>
    <t>２B</t>
  </si>
  <si>
    <t>２C</t>
  </si>
  <si>
    <t>２Z</t>
  </si>
  <si>
    <t>３A</t>
  </si>
  <si>
    <t>３B</t>
  </si>
  <si>
    <t>３C</t>
  </si>
  <si>
    <t>３Z</t>
  </si>
  <si>
    <t>４A</t>
  </si>
  <si>
    <t>４B</t>
  </si>
  <si>
    <t>４C</t>
  </si>
  <si>
    <t>４Z</t>
  </si>
  <si>
    <t>５A</t>
  </si>
  <si>
    <t>５B</t>
  </si>
  <si>
    <t>５C</t>
  </si>
  <si>
    <t>５D</t>
  </si>
  <si>
    <t>５Z</t>
  </si>
  <si>
    <t>６A</t>
  </si>
  <si>
    <t>６B</t>
  </si>
  <si>
    <t>６Z</t>
  </si>
  <si>
    <t>d1</t>
  </si>
  <si>
    <t>d2</t>
  </si>
  <si>
    <t>dz</t>
  </si>
  <si>
    <t>0ａ</t>
  </si>
  <si>
    <t>0ｂ</t>
  </si>
  <si>
    <t>0ｃ</t>
  </si>
  <si>
    <t>0ｚ</t>
  </si>
  <si>
    <t>1ａ</t>
  </si>
  <si>
    <t>1ｂ</t>
  </si>
  <si>
    <t>1ｃ</t>
  </si>
  <si>
    <t>1ｚ</t>
  </si>
  <si>
    <t>2ａ</t>
  </si>
  <si>
    <t>2ｂ</t>
  </si>
  <si>
    <t>2ｃ</t>
  </si>
  <si>
    <t>2ｚ</t>
  </si>
  <si>
    <t>3ａ</t>
  </si>
  <si>
    <t>3ｂ</t>
  </si>
  <si>
    <t>3ｃ</t>
  </si>
  <si>
    <t>3ｚ</t>
  </si>
  <si>
    <t>4ａ</t>
  </si>
  <si>
    <t>4ｂ</t>
  </si>
  <si>
    <t>4ｃ</t>
  </si>
  <si>
    <t>4ｚ</t>
  </si>
  <si>
    <t>5ａ</t>
  </si>
  <si>
    <t>5ｂ</t>
  </si>
  <si>
    <t>5ｃ</t>
  </si>
  <si>
    <t>5Ｄ</t>
  </si>
  <si>
    <t>5ｚ</t>
  </si>
  <si>
    <t>6ａ</t>
  </si>
  <si>
    <t>6ｂ</t>
  </si>
  <si>
    <t>6ｚ</t>
  </si>
  <si>
    <t>合計</t>
  </si>
  <si>
    <t>”D1”合計</t>
  </si>
  <si>
    <t>”D2”合計</t>
  </si>
  <si>
    <t>”DZ”合計</t>
  </si>
  <si>
    <t>”0A”合計</t>
  </si>
  <si>
    <t>”0B”合計</t>
  </si>
  <si>
    <t>”0C”合計</t>
  </si>
  <si>
    <t>”0Z”合計</t>
  </si>
  <si>
    <t>”1A”合計</t>
  </si>
  <si>
    <t>”1B”合計</t>
  </si>
  <si>
    <t>”1C”合計</t>
  </si>
  <si>
    <t>”1Z”合計</t>
  </si>
  <si>
    <t>”2A”合計</t>
  </si>
  <si>
    <t>”2B”合計</t>
  </si>
  <si>
    <t>”2C”合計</t>
  </si>
  <si>
    <t>”2Z”合計</t>
  </si>
  <si>
    <t>”3A”合計</t>
  </si>
  <si>
    <t>”3B”合計</t>
  </si>
  <si>
    <t>”3C”合計</t>
  </si>
  <si>
    <t>”3Z”合計</t>
  </si>
  <si>
    <t>”4A”合計</t>
  </si>
  <si>
    <t>”4B”合計</t>
  </si>
  <si>
    <t>”4C”合計</t>
  </si>
  <si>
    <t>”4Z”合計</t>
  </si>
  <si>
    <t>”5A”合計</t>
  </si>
  <si>
    <t>”5B”合計</t>
  </si>
  <si>
    <t>”5C”合計</t>
  </si>
  <si>
    <t>”5D”合計</t>
  </si>
  <si>
    <t>”5Z”合計</t>
  </si>
  <si>
    <t>”6A”合計</t>
  </si>
  <si>
    <t>”6B”合計</t>
  </si>
  <si>
    <t>”6Z”合計</t>
  </si>
  <si>
    <t>未使用</t>
  </si>
  <si>
    <t>記入日</t>
  </si>
  <si>
    <t>コメント数</t>
  </si>
  <si>
    <t>日付記入数</t>
  </si>
  <si>
    <t>日付累計</t>
  </si>
  <si>
    <t>査読コメント</t>
  </si>
  <si>
    <t>&lt;&gt;""</t>
  </si>
  <si>
    <t>査　読　シ ー ト</t>
  </si>
  <si>
    <t>　＜必須記入項目＞以下の区分毎に，色分けされた必須項目を記入する。（注）赤字セルは，計算式（入力不要）</t>
  </si>
  <si>
    <t>回答期限</t>
  </si>
  <si>
    <t>：レビューア</t>
  </si>
  <si>
    <t>：回答者　（インスペクション／公式レビュー対象ドキュメントの場合は，緑色セルも記入する）　　　　</t>
  </si>
  <si>
    <t>ﾄﾞｷｭﾒﾝﾄ番号：</t>
  </si>
  <si>
    <t>ページ数(頁) 
or
ライン数（KL)</t>
  </si>
  <si>
    <t>ﾄﾞｷｭﾒﾝﾄ名／
ﾌﾟﾛｸﾞﾗﾑ名　　：</t>
  </si>
  <si>
    <t>システムフロー_S100_01f_レビューシート.xls</t>
  </si>
  <si>
    <t>ﾚﾋﾞｭｰ指摘率（件/頁）orｺｰﾄﾞﾚﾋﾞｭｰ指摘率（件/KL）</t>
  </si>
  <si>
    <t>（複数ﾒﾝﾊﾞによるﾚﾋﾞｭｰの場合，工数加算する）</t>
  </si>
  <si>
    <t>　</t>
  </si>
  <si>
    <t>No.</t>
  </si>
  <si>
    <t>ページ</t>
  </si>
  <si>
    <t>記入者</t>
  </si>
  <si>
    <t>回　　答</t>
  </si>
  <si>
    <t>回答日</t>
  </si>
  <si>
    <t>回答者</t>
  </si>
  <si>
    <t>処置期限</t>
  </si>
  <si>
    <t>確認</t>
  </si>
  <si>
    <t>誤り分類コード(誤り分類の欄に下記コード 0A～DZを記入)</t>
  </si>
  <si>
    <t>(注1)査読ｼｰﾄとﾚﾋﾞｭｰ評価ｼｰﾄは，対象とするﾄﾞｷｭﾒﾝﾄ／ﾌﾟﾛｸﾞﾗﾑ単位にファイルコピーして，使用して下さい。</t>
  </si>
  <si>
    <t>　　　（各ｼｰﾄを同一ﾌｧｲﾙ内にｺﾋﾟｰして使用すると，ｺﾋﾟｰしたﾚﾋﾞｭｰ評価ｼｰﾄ内での計算式参照箇所が対応しなくなります。）</t>
  </si>
  <si>
    <t>(注2)行数を増やす場合は，行単位で挿入＆書式コピーして下さい。</t>
  </si>
  <si>
    <t>単体試験要領書_MSBBPA020_【画面】Web見積計算書一覧照会.xlsx</t>
  </si>
  <si>
    <t>ケース112、113
重複ケースと思う。</t>
  </si>
  <si>
    <t>TBK徐</t>
  </si>
  <si>
    <t>削除しました。</t>
  </si>
  <si>
    <t>TBK高</t>
  </si>
  <si>
    <t>一覧項目に関しては
Web見積計算書一覧照会の設計書での指摘と重なりますが、下記はもとに戻して欲しいです。
寸法_㎡単価
寸法_金額
スリッター_㎡単価
スリッター_金額</t>
  </si>
  <si>
    <t>MDSOL
野村</t>
  </si>
  <si>
    <t>修正しました。</t>
  </si>
  <si>
    <t>NO94：帳票出力確認
所定フォルダへのCSV出力までは確認ください。
帳票出力まで一連処理は結合で問題ありません。</t>
  </si>
  <si>
    <t>誤字
設定さてれいる値→設定されている値</t>
  </si>
  <si>
    <t>MDSOL
石田</t>
  </si>
  <si>
    <t>実施日：</t>
  </si>
  <si>
    <t>実施者：</t>
  </si>
  <si>
    <t>単体テスト要領書チェックリスト（Ｒｅｖ１．０）</t>
  </si>
  <si>
    <t>ドキュメント番号：</t>
  </si>
  <si>
    <t>機能区分：</t>
  </si>
  <si>
    <t>画面</t>
  </si>
  <si>
    <t>チェック項目</t>
  </si>
  <si>
    <t>チェック内容</t>
  </si>
  <si>
    <t>結果
(○／×／－)</t>
  </si>
  <si>
    <t>帳票（紙）</t>
  </si>
  <si>
    <t>帳票（Ex）</t>
  </si>
  <si>
    <t>バッチ</t>
  </si>
  <si>
    <t>Ｉ／Ｆ</t>
  </si>
  <si>
    <t>０．全体</t>
  </si>
  <si>
    <t xml:space="preserve">全ページがレビュー済みであるか。
</t>
  </si>
  <si>
    <t>〇</t>
  </si>
  <si>
    <t>●</t>
  </si>
  <si>
    <t>語句が統一されていることを確認したか。（業務用語はお客様と認識を合わせておく）
　例）納品先と納入先 ⇒ 納品先、仕入先⇒発注先 等
※業務用語集はドキュメント・リンク集から参照のこと</t>
  </si>
  <si>
    <t xml:space="preserve">仕様書を印刷した際に、各ページにヘッダが存在すること。
</t>
  </si>
  <si>
    <t>試験実施の要否が正しく記載されていること
なお「×」のものについては理由が明記されていること
※試験ができない項目に「○」がついていないか
※試験を実施すべき項目に「×」がついていないか</t>
  </si>
  <si>
    <t>誰でも試験を実施できる内容になっているか。
必要に応じて「試験データシート」または「試験シート」にInput/Outputが明記されているか</t>
  </si>
  <si>
    <t>テスト方法、期待される結果が曖昧な表現となっていないこと
例1　
　　正しく処理されること　×
　　ログファイルに以下が出力されること　〇
　　処理件数：0件
　　戻り値：0　←期待される結果として、具体的な値、事象を記載すること
例2
　　詳細設計通りであること　×
　　別紙：詳細設計書.DB項目転送シートの編集内容通りに値が設定されていること　〇
　　←詳細設計書.DB項目転送シートのINS02の表を別紙に添付する。
　　　単体試験成績書で結果のエビデンスと表横にOK、NGを記載していただくイメージ
　　</t>
  </si>
  <si>
    <t>１．画面全体</t>
  </si>
  <si>
    <t>＜全体＞
レイアウトが設計書の画面イメージと一致していることを確認する。
タブがある場合は、全てのタブについて確認する。
遷移元からの指定やパラメータなどの処理条件でレイアウトが異なる場合、全ての条件で確認する。
・項目やボタンの配置
・画面サイズ
・一覧枠の項目並び順</t>
  </si>
  <si>
    <t>＜名称＞
トップバーに画面名称が正しく表示されていることを確認する。</t>
  </si>
  <si>
    <t>＜各項目タイトル＞
各項目のタイトル（ラベル）が設計書と一致していることを確認する。</t>
  </si>
  <si>
    <t>＜ボタンのタイトル＞
各ボタンのタイトル（ラベル）が設計書と一致していることを確認する。</t>
  </si>
  <si>
    <t>＜一覧枠のサイズ＞
一覧枠のサイズが設計書と一致していることを確認する。</t>
  </si>
  <si>
    <t>＜一覧枠のタイトル＞
一覧枠のタイトルが設計書と一致していることを確認する。</t>
  </si>
  <si>
    <t>＜入力枠＞
入力項目の桁・型・種類（入力補助/コンボボックス）が設計書と一致していることを確認する。</t>
  </si>
  <si>
    <t>＜入力枠　一覧＞
入力項目の桁・型・種類（入力補助/コンボボックス）が設計書と一致していることを確認する。</t>
  </si>
  <si>
    <t>＜最大化・最小化＞
画面の最大化、最小化、ドラッグによるサイズ変更が可能であること（設計書に記載がなければフレームワークの標準仕様とする）を確認する。</t>
  </si>
  <si>
    <t>＜「×」ボタン動作＞
「×」ボタン押下時に画面が終了することを確認する。
・更新中の項目があれば確認ダイアログを表示する。</t>
  </si>
  <si>
    <t>２．画面初期動作</t>
  </si>
  <si>
    <t>＜初期表示時の項目制御＞
画面起動時に項目毎に必要に応じて「入力可」「入力不可」の制御が行われていることを確認する。
・遷移元の指定やパラメータなどの処理条件によって制御が異なる場合、全ての条件で確認する。
※各フィールドやボタンについて
　項目シートに直接記載するかデータシートまたはマトリックスシートに記載しているか</t>
  </si>
  <si>
    <t>＜初期表示時のボタン制御＞
画面起動時にボタン毎に必要に応じて「押下可」「押下不可」の制御が行われていることを確認する。
・遷移元の指定やパラメータなどの処理条件によって制御が異なる場合、全ての条件で確認する。
※各ボタンについて
　項目シートに直接記載するかデータシートまたはマトリックスシートに記載しているか</t>
  </si>
  <si>
    <t>＜初期値の設定＞
画面起動時の入力項目に設定されている値が設計書と一致していることを確認する。
・初期値が設定されていない項目は、設定されていないことを確認する。
・遷移元の指定やパラメータなどの処理条件によって初期値が異なる場合、全ての条件で確認する。
※各フィールドおよび値について
　項目シートに直接記載するかデータシートまたはマトリックスシートに記載しているか</t>
  </si>
  <si>
    <t>３．画面基本動作</t>
  </si>
  <si>
    <t>＜Tabキー移動＞
TabキーまたはEnterキーでの移動が設計書と一致していることを確認する。
（画面項目定義の項目順に準拠していること）</t>
  </si>
  <si>
    <t>＜ファンクションキー(F1)の押下＞
ファンクションキー押下時の動作が標準仕様、または設計書と一致していることを確認する。
・検索ボタン</t>
  </si>
  <si>
    <t>＜ファンクションキー(F2)の押下＞
ファンクションキー押下時の動作が標準仕様、または設計書と一致していることを確認する。
・入力補助画面起動</t>
  </si>
  <si>
    <t>＜ファンクションキー(F5)の押下＞
ファンクションキー押下時の動作が標準仕様、または設計書と一致していることを確認する。
・行追加ボタン</t>
  </si>
  <si>
    <t>＜ファンクションキー(F6)の押下＞
ファンクションキー押下時の動作が標準仕様、または設計書と一致していることを確認する。
・行削除ボタン</t>
  </si>
  <si>
    <t>＜ファンクションキー(F7)の押下＞
ファンクションキー押下時の動作が標準仕様、または設計書と一致していることを確認する。
・テーブルクリアボタン</t>
  </si>
  <si>
    <t>＜ファンクションキー(F9)の押下＞
ファンクションキー押下時の動作が標準仕様、または設計書と一致していることを確認する。
・登録ボタン</t>
  </si>
  <si>
    <t>＜ファンクションキー(F12)の押下＞
ファンクションキー押下時の動作が標準仕様、または設計書と一致していることを確認する。
・削除ボタン</t>
  </si>
  <si>
    <t>＜ファンクションキー(F17)の押下＞
ファンクションキー押下時の動作が標準仕様、または設計書と一致していることを確認する。
・行コピーボタン</t>
  </si>
  <si>
    <t>＜入力補助の動作＞
全項目の入力補助について、起動と値の受渡しが設計書と一致していることを確認する。
・マスタから値を取得する場合は、マスタを準備する。
・遷移元の指定やパラメータなどの処理条件によってリストが異なる場合、全ての条件で確認する。</t>
  </si>
  <si>
    <t>＜コンボボックスの動作＞
全項目のコンボボックスについて、起動と値の受渡しが設計書と一致していることを確認する。
※システム仕様書の「項目説明」に記載のあるもの全てが対象
・マスタから値を取得する場合は、マスタを準備する。
・遷移元の指定やパラメータなどの処理条件によってリストが異なる場合、全ての条件で確認する。
　Ex.倉庫CDに所属する場所CDの入力が可能（所属しない場合には入力不可）</t>
  </si>
  <si>
    <t>＜入力項目の値の制限＞
各項目に対して、形式（日付、数値）、桁数、右詰、左詰、及びIME制御（全半角）が設計書と一致していることを確認する。</t>
  </si>
  <si>
    <t>＜数値の有効桁数（表示形式）＞
全数値項目に対して、は小数点以下の桁数、端数の扱い（四捨五入、切り上げ、切り捨て）が設計書と一致していることを確認する。</t>
  </si>
  <si>
    <t>＜日付の表示形式＞
全日付項目に対して、は表示形式（YMD形式など）が設計書と一致していることを確認する。</t>
  </si>
  <si>
    <t>４．画面イベント</t>
  </si>
  <si>
    <t>＜検索ボタン＞
検索ボタンによって発生するイベントが設計書と一致していることを確認する。
以下の試験項目は必ず含めること。</t>
  </si>
  <si>
    <t>・対象０件の場合の検索結果を確認する。</t>
  </si>
  <si>
    <t>・対象１件の場合の、登録処理の検索結果を確認する。</t>
  </si>
  <si>
    <t>・対象複数件（５件以上）の場合の、登録処理の検索結果を確認する。</t>
  </si>
  <si>
    <t>・合計値項目など導出値が正しく登録されているか検索結果を確認する。</t>
  </si>
  <si>
    <t>・入力項目の境界値（上限範囲内・範囲外、下限範囲内・範囲外）が正しく動作しているかを確認する。</t>
  </si>
  <si>
    <t>・入力チェック処理（必須、重複、整合など）が全てのケースで正しく動作しているかを確認する。</t>
  </si>
  <si>
    <t>・パラメータや処理モードなどの条件によって登録処理が異なる場合、全ての条件で出力結果を確認する。</t>
  </si>
  <si>
    <t>・登録処理において、新規と更新のケースで各々確認する。</t>
  </si>
  <si>
    <t>・登録処理において、新規と更新が同時に処理可能な場合、新規と更新の処理を織り交ぜた出力結果を確認する。</t>
  </si>
  <si>
    <t>＜行追加ボタン＞
行追加ボタンによって発生するイベントが設計書と一致していることを確認する。
・空行が追加されていることを確認する。</t>
  </si>
  <si>
    <t>＜行削除ボタン＞
行削除ボタンによって発生するイベントが設計書と一致していることを確認する。</t>
  </si>
  <si>
    <t>・削除処理の対象行が空行の場合は削除されることを確認する。</t>
  </si>
  <si>
    <t>・削除処理の対象行が空行以外の場合は、行ステータスが「D：削除」になることを確認する。</t>
  </si>
  <si>
    <t>＜テーブルクリアボタン＞
テーブルクリアボタンによって発生するイベントが設計書と一致していることを確認する。</t>
  </si>
  <si>
    <t>＜登録ボタン＞
登録ボタンによって発生するイベントが設計書と一致していることを確認する。
以下の試験項目は必ず含めること。</t>
  </si>
  <si>
    <t>・対象０件の場合の結果を確認する。</t>
  </si>
  <si>
    <t>・対象１件の場合、登録処理を確認する。</t>
  </si>
  <si>
    <t>・対象複数件（５件以上）の場合、登録処理を確認する。</t>
  </si>
  <si>
    <t>・合計値項目など導出値が正しく登録されているかを確認する。</t>
  </si>
  <si>
    <t>・パラメータや処理モードなどの条件によって登録処理が異なる場合、全ての条件で確認する。</t>
  </si>
  <si>
    <t>・登録処理において、新規と更新を各々確認する。</t>
  </si>
  <si>
    <t>・登録処理において、新規と更新が同時に処理可能な場合、新規と更新を織り交ぜて確認する。</t>
  </si>
  <si>
    <t>＜削除ボタン＞
削除ボタンによって発生するイベントが設計書と一致していることを確認する。
以下の試験項目は必ず含めること。</t>
  </si>
  <si>
    <t>・対象１件の場合、削除処理を確認する。</t>
  </si>
  <si>
    <t>・対象複数件（５件以上）の場合、削除処理を確認する。</t>
  </si>
  <si>
    <t>・削除処理において、新規と更新と削除が同時に処理可能な場合、すべてを織り交ぜて確認する。</t>
  </si>
  <si>
    <t>＜行コピーボタン＞
行コピーボタンによって発生するイベントが設計書と一致していることを確認する。
・コピーの対象項目に値が引き継がれていることを確認する。</t>
  </si>
  <si>
    <t>＜その他イベントボタン＞
その他のイベントボタンによって発生するイベントの処理が設計書と一致していることを確認する。</t>
  </si>
  <si>
    <t>・正常系の処理は、標準仕様にて動作が保証されている場合、試験項目は不要とする。</t>
  </si>
  <si>
    <t>・異常系の処理は、標準仕様にて動作が保証されている場合、試験項目として確認する。</t>
  </si>
  <si>
    <t>＜標準のボタンの動作＞
標準のボタンに関する試験項目が記載されているか（クリックしてもアベンドしないこと）。</t>
  </si>
  <si>
    <t>５．ファイル入力
　（Excel、テキスト)</t>
  </si>
  <si>
    <t>＜Excel・ファイル　フォーマット確認＞
指定フォーマット/指定外フォーマットを入力した場合の結果を確認する。</t>
  </si>
  <si>
    <t>＜Excel・ファイル　項目確認＞
Excel・ファイルに対応した項目に値が設定されることを確認する。
・各項目が正しく値が反映されていること。
　（数値項目の前ゼロや小数点、日付形式など）</t>
  </si>
  <si>
    <t>＜Excel・ファイル　件数確認＞
対象１件、５件以上の２パターンの結果を確認する。</t>
  </si>
  <si>
    <t>＜Excel・ファイル　対象ゼロ件確認＞
対象０件の結果を確認する。</t>
  </si>
  <si>
    <t>６．ファイル出力
　（Excel帳票含む）</t>
  </si>
  <si>
    <t>＜Excel・ファイル　フォーマット確認＞
出力対象データが指定したフォーマットで正しく出力されていることを確認する。</t>
  </si>
  <si>
    <t>＜Excel・ファイル　ファイル名確認＞
ファイル名、フォルダ構成を確認する。
・新規の場合
・出力先に同一ファイル名で存在する場合</t>
  </si>
  <si>
    <t>＜Excel・ファイル　文字コード確認＞
文字コード、改行コードを確認する。</t>
  </si>
  <si>
    <t>＜Excel・ファイル　対象件数の確認＞
対象１件、５件以上の２パターンの結果を確認する。</t>
  </si>
  <si>
    <t>＜Excel・ファイル　出力項目確認＞
Excel・ファイルに対応した項目に値が設定されることを確認する（固定値を含める）。</t>
  </si>
  <si>
    <t>＜Excel・ファイル　限界値確認＞
各項目の値を限界値に設定した場合の結果を確認する。</t>
  </si>
  <si>
    <t>＜Excel・ファイル　ソート順・改ページ＞
複数ページを印字し、項目のはみ出しや、ソート順や改ページが正しいことを確認する。</t>
  </si>
  <si>
    <t>７．帳票</t>
  </si>
  <si>
    <t>＜レイアウト＞
レイアウトが設計書の画面イメージと一致していることを確認する。
・用紙サイズ
・印字文字列
・フォント・サイズ
・罫線の位置、線種、幅
・ページ数、総ページ数、バーコードなど</t>
  </si>
  <si>
    <t>＜表示形式＞
各項目の表示形式（日付、数値カンマ、マイナス）が設計書と一致していることを確認する。
・各項目をコード定義に従って、最大の値を準備して試験を行うこと。</t>
  </si>
  <si>
    <t>＜複数行印字＞
対象データが複数行になる場合、設計書と一致していることを確認する。
・改行、改ページの位置
・印字順（ソート順）
・合計値項目など導出値が正しく表示されているかを確認する。</t>
  </si>
  <si>
    <t xml:space="preserve">＜DB更新＞
印刷処理を行った後、出力済フラグなどの更新処理が設計書の画面イメージと一致していることを確認する。
・DB更新ができること
</t>
  </si>
  <si>
    <t>＜対象データなし＞
印刷対象がゼロ件の場合の動作が設計書の画面イメージと一致していることを確認する。</t>
  </si>
  <si>
    <t>８．DB</t>
  </si>
  <si>
    <t>＜更新＞
入力された内容でテーブルが設計書通りに更新できること。
・登録対象のテーブルと項目の試験項目に抜けがないことをマトリクス表を用いて確認する。</t>
  </si>
  <si>
    <t xml:space="preserve">＜削除＞
削除した内容でテーブルが設計書通りに削除できること。
・削除（論理or物理）対象のテーブルと項目の試験項目に抜けがないことをマトリクス表を用いて確認する。
</t>
  </si>
  <si>
    <t>＜追加＞
入力された内容でテーブルが設計書通りに追加できること。
・登録対象のテーブルと項目の試験項目に抜けがないことをマトリクス表を用いて確認する。</t>
  </si>
  <si>
    <t>＜参照＞
適用開始/終了日付けを持ったマスタを参照する場合に、これらの日付けを意識した試験項目が挙げられていること。</t>
  </si>
  <si>
    <t>９．性能</t>
  </si>
  <si>
    <t>＜SQLトレース＞
SQLの実行計画を確認して、非効率なSQLがないこと。
・全表走査（FullScan）に対する評価
・SELECT文の発行回数（無駄に多いと問題あり）に対する評価</t>
  </si>
  <si>
    <t>２１．マトリックス</t>
  </si>
  <si>
    <t xml:space="preserve">試験項目番号が正しく記載（表示）されていること。
</t>
  </si>
  <si>
    <t>３１．試験データシート</t>
  </si>
  <si>
    <t xml:space="preserve">試験項目番号が正しく記載されていること。
</t>
  </si>
  <si>
    <t>８１．不具合対応</t>
  </si>
  <si>
    <t>不具合対応の試験項目が挙げられていること。
※故障対応のみ</t>
  </si>
</sst>
</file>

<file path=xl/styles.xml><?xml version="1.0" encoding="utf-8"?>
<styleSheet xmlns="http://schemas.openxmlformats.org/spreadsheetml/2006/main">
  <numFmts count="2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Red]\-#,##0\ "/>
    <numFmt numFmtId="177" formatCode="&quot;$&quot;#,##0;\-&quot;$&quot;#,##0"/>
    <numFmt numFmtId="178" formatCode="#,##0.00&quot;｣&quot;_);[Red]\(#,##0.00&quot;｣&quot;\)"/>
    <numFmt numFmtId="179" formatCode="0.0_ "/>
    <numFmt numFmtId="180" formatCode="_(&quot;$&quot;* #,##0_);_(&quot;$&quot;* \(#,##0\);_(&quot;$&quot;* &quot;-&quot;_);_(@_)"/>
    <numFmt numFmtId="181" formatCode="#,##0;\-#,##0;&quot;-&quot;"/>
    <numFmt numFmtId="182" formatCode="_-* #,##0.0_-;\-* #,##0.0_-;_-* &quot;-&quot;??_-;_-@_-"/>
    <numFmt numFmtId="183" formatCode="0.0"/>
    <numFmt numFmtId="184" formatCode="_(&quot;$&quot;* #,##0.00_);_(&quot;$&quot;* \(#,##0.00\);_(&quot;$&quot;* &quot;-&quot;??_);_(@_)"/>
    <numFmt numFmtId="185" formatCode="0.0%"/>
    <numFmt numFmtId="186" formatCode="#,##0.0"/>
    <numFmt numFmtId="187" formatCode="m/d"/>
    <numFmt numFmtId="188" formatCode="&quot;$&quot;#,##0.00_);[Red]\(&quot;$&quot;#,##0.00\)"/>
    <numFmt numFmtId="189" formatCode="#,##0.00&quot;｣&quot;_);\(#,##0.00&quot;｣&quot;\)"/>
    <numFmt numFmtId="190" formatCode="\¥#,##0.\-;\¥\-#,##0.\-"/>
    <numFmt numFmtId="191" formatCode="0.00&quot;  &quot;"/>
    <numFmt numFmtId="192" formatCode="0_ "/>
    <numFmt numFmtId="193" formatCode="0.00_);[Red]\(0.00\)"/>
    <numFmt numFmtId="194" formatCode="0.00_ "/>
  </numFmts>
  <fonts count="117">
    <font>
      <sz val="11"/>
      <name val="ＭＳ Ｐゴシック"/>
      <charset val="128"/>
    </font>
    <font>
      <sz val="10"/>
      <name val="ＭＳ Ｐゴシック"/>
      <charset val="128"/>
    </font>
    <font>
      <u/>
      <sz val="12"/>
      <name val="ＭＳ Ｐゴシック"/>
      <charset val="128"/>
    </font>
    <font>
      <sz val="10"/>
      <name val="ＭＳ ゴシック"/>
      <charset val="128"/>
    </font>
    <font>
      <sz val="10"/>
      <color theme="1"/>
      <name val="ＭＳ ゴシック"/>
      <charset val="128"/>
    </font>
    <font>
      <sz val="11"/>
      <color indexed="10"/>
      <name val="ＭＳ Ｐゴシック"/>
      <charset val="128"/>
    </font>
    <font>
      <b/>
      <u/>
      <sz val="16"/>
      <name val="ＭＳ Ｐゴシック"/>
      <charset val="128"/>
    </font>
    <font>
      <sz val="16"/>
      <name val="ＭＳ Ｐゴシック"/>
      <charset val="128"/>
    </font>
    <font>
      <sz val="9"/>
      <name val="ＭＳ Ｐゴシック"/>
      <charset val="128"/>
    </font>
    <font>
      <sz val="8"/>
      <name val="ＭＳ Ｐゴシック"/>
      <charset val="128"/>
    </font>
    <font>
      <sz val="10"/>
      <color indexed="61"/>
      <name val="ＭＳ Ｐゴシック"/>
      <charset val="128"/>
    </font>
    <font>
      <sz val="9"/>
      <name val="ＭＳ Ｐ明朝"/>
      <charset val="128"/>
    </font>
    <font>
      <b/>
      <u/>
      <sz val="18"/>
      <name val="ＭＳ Ｐ明朝"/>
      <charset val="128"/>
    </font>
    <font>
      <b/>
      <sz val="12"/>
      <name val="ＭＳ Ｐ明朝"/>
      <charset val="128"/>
    </font>
    <font>
      <b/>
      <sz val="10"/>
      <name val="ＭＳ Ｐ明朝"/>
      <charset val="128"/>
    </font>
    <font>
      <b/>
      <sz val="11"/>
      <name val="ＭＳ Ｐ明朝"/>
      <charset val="128"/>
    </font>
    <font>
      <sz val="11"/>
      <name val="ＭＳ Ｐ明朝"/>
      <charset val="128"/>
    </font>
    <font>
      <sz val="9"/>
      <color indexed="10"/>
      <name val="ＭＳ Ｐ明朝"/>
      <charset val="128"/>
    </font>
    <font>
      <u/>
      <sz val="10.5"/>
      <name val="ＭＳ Ｐ明朝"/>
      <charset val="128"/>
    </font>
    <font>
      <sz val="10"/>
      <color indexed="10"/>
      <name val="ＭＳ Ｐ明朝"/>
      <charset val="128"/>
    </font>
    <font>
      <sz val="7"/>
      <name val="ＭＳ Ｐ明朝"/>
      <charset val="128"/>
    </font>
    <font>
      <sz val="10"/>
      <name val="ＭＳ Ｐ明朝"/>
      <charset val="128"/>
    </font>
    <font>
      <sz val="8"/>
      <name val="ＭＳ Ｐ明朝"/>
      <charset val="128"/>
    </font>
    <font>
      <sz val="11"/>
      <color theme="1"/>
      <name val="宋体"/>
      <charset val="134"/>
      <scheme val="minor"/>
    </font>
    <font>
      <sz val="11"/>
      <color theme="1"/>
      <name val="宋体"/>
      <charset val="0"/>
      <scheme val="minor"/>
    </font>
    <font>
      <b/>
      <sz val="11"/>
      <color indexed="18"/>
      <name val="Arial Narrow"/>
      <charset val="134"/>
    </font>
    <font>
      <sz val="11"/>
      <color rgb="FF3F3F76"/>
      <name val="宋体"/>
      <charset val="0"/>
      <scheme val="minor"/>
    </font>
    <font>
      <i/>
      <sz val="11"/>
      <color indexed="23"/>
      <name val="ＭＳ Ｐゴシック"/>
      <charset val="128"/>
    </font>
    <font>
      <sz val="8"/>
      <name val="Times New Roman"/>
      <charset val="134"/>
    </font>
    <font>
      <u/>
      <sz val="8"/>
      <color indexed="12"/>
      <name val="Times New Roman"/>
      <charset val="134"/>
    </font>
    <font>
      <sz val="10"/>
      <name val="Arial"/>
      <charset val="134"/>
    </font>
    <font>
      <sz val="11"/>
      <color indexed="9"/>
      <name val="ＭＳ Ｐゴシック"/>
      <charset val="128"/>
    </font>
    <font>
      <sz val="11"/>
      <color rgb="FF9C0006"/>
      <name val="宋体"/>
      <charset val="0"/>
      <scheme val="minor"/>
    </font>
    <font>
      <sz val="11"/>
      <color indexed="8"/>
      <name val="ＭＳ Ｐゴシック"/>
      <charset val="128"/>
    </font>
    <font>
      <sz val="11"/>
      <color theme="0"/>
      <name val="宋体"/>
      <charset val="0"/>
      <scheme val="minor"/>
    </font>
    <font>
      <u/>
      <sz val="11"/>
      <color rgb="FF0000FF"/>
      <name val="宋体"/>
      <charset val="0"/>
      <scheme val="minor"/>
    </font>
    <font>
      <u/>
      <sz val="11"/>
      <color rgb="FF800080"/>
      <name val="宋体"/>
      <charset val="0"/>
      <scheme val="minor"/>
    </font>
    <font>
      <sz val="9"/>
      <name val="Times New Roman"/>
      <charset val="134"/>
    </font>
    <font>
      <sz val="10"/>
      <color indexed="16"/>
      <name val="MS Serif"/>
      <charset val="134"/>
    </font>
    <font>
      <b/>
      <sz val="11"/>
      <color theme="3"/>
      <name val="宋体"/>
      <charset val="134"/>
      <scheme val="minor"/>
    </font>
    <font>
      <sz val="11"/>
      <color rgb="FFFF0000"/>
      <name val="宋体"/>
      <charset val="0"/>
      <scheme val="minor"/>
    </font>
    <font>
      <sz val="10"/>
      <color indexed="8"/>
      <name val="Arial"/>
      <charset val="134"/>
    </font>
    <font>
      <b/>
      <sz val="18"/>
      <color theme="3"/>
      <name val="宋体"/>
      <charset val="134"/>
      <scheme val="minor"/>
    </font>
    <font>
      <i/>
      <sz val="11"/>
      <color rgb="FF7F7F7F"/>
      <name val="宋体"/>
      <charset val="0"/>
      <scheme val="minor"/>
    </font>
    <font>
      <sz val="11"/>
      <color indexed="19"/>
      <name val="ＭＳ Ｐゴシック"/>
      <charset val="128"/>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b/>
      <sz val="11"/>
      <color indexed="63"/>
      <name val="ＭＳ Ｐゴシック"/>
      <charset val="128"/>
    </font>
    <font>
      <b/>
      <sz val="8"/>
      <name val="MS Sans Serif"/>
      <charset val="134"/>
    </font>
    <font>
      <sz val="11"/>
      <color rgb="FFFA7D00"/>
      <name val="宋体"/>
      <charset val="0"/>
      <scheme val="minor"/>
    </font>
    <font>
      <sz val="10"/>
      <color indexed="12"/>
      <name val="Arial"/>
      <charset val="134"/>
    </font>
    <font>
      <b/>
      <sz val="11"/>
      <color theme="1"/>
      <name val="宋体"/>
      <charset val="0"/>
      <scheme val="minor"/>
    </font>
    <font>
      <sz val="11"/>
      <color rgb="FF006100"/>
      <name val="宋体"/>
      <charset val="0"/>
      <scheme val="minor"/>
    </font>
    <font>
      <sz val="11"/>
      <color rgb="FF9C6500"/>
      <name val="宋体"/>
      <charset val="0"/>
      <scheme val="minor"/>
    </font>
    <font>
      <sz val="10"/>
      <color indexed="14"/>
      <name val="Arial"/>
      <charset val="134"/>
    </font>
    <font>
      <sz val="10"/>
      <name val="Tms Rmn"/>
      <charset val="134"/>
    </font>
    <font>
      <sz val="12"/>
      <color indexed="18"/>
      <name val="MS Sans Serif"/>
      <charset val="134"/>
    </font>
    <font>
      <sz val="10"/>
      <name val="MS Sans Serif"/>
      <charset val="134"/>
    </font>
    <font>
      <b/>
      <sz val="11"/>
      <color indexed="9"/>
      <name val="Arial"/>
      <charset val="134"/>
    </font>
    <font>
      <sz val="12"/>
      <color indexed="9"/>
      <name val="MS Sans Serif"/>
      <charset val="134"/>
    </font>
    <font>
      <sz val="11"/>
      <name val="ＭＳ ゴシック"/>
      <charset val="128"/>
    </font>
    <font>
      <sz val="8"/>
      <name val="Arial"/>
      <charset val="134"/>
    </font>
    <font>
      <sz val="12"/>
      <name val="Osaka"/>
      <charset val="128"/>
    </font>
    <font>
      <sz val="11"/>
      <name val="ＭＳ 明朝"/>
      <charset val="128"/>
    </font>
    <font>
      <sz val="8"/>
      <name val="MS Sans Serif"/>
      <charset val="134"/>
    </font>
    <font>
      <sz val="8"/>
      <name val="Wingdings"/>
      <charset val="2"/>
    </font>
    <font>
      <sz val="10"/>
      <color indexed="9"/>
      <name val="Arial"/>
      <charset val="134"/>
    </font>
    <font>
      <sz val="11"/>
      <color indexed="56"/>
      <name val="Arial"/>
      <charset val="134"/>
    </font>
    <font>
      <b/>
      <sz val="11"/>
      <color indexed="18"/>
      <name val="Arial"/>
      <charset val="134"/>
    </font>
    <font>
      <sz val="10"/>
      <name val="Helv"/>
      <charset val="134"/>
    </font>
    <font>
      <sz val="12"/>
      <name val="ＭＳ Ｐゴシック"/>
      <charset val="128"/>
    </font>
    <font>
      <sz val="12"/>
      <name val="ＭＳ ゴシック"/>
      <charset val="128"/>
    </font>
    <font>
      <sz val="10"/>
      <name val="MS Serif"/>
      <charset val="134"/>
    </font>
    <font>
      <b/>
      <sz val="13"/>
      <color indexed="62"/>
      <name val="ＭＳ Ｐゴシック"/>
      <charset val="128"/>
    </font>
    <font>
      <sz val="11"/>
      <color indexed="9"/>
      <name val="Arial"/>
      <charset val="134"/>
    </font>
    <font>
      <b/>
      <sz val="12"/>
      <name val="Helv"/>
      <charset val="134"/>
    </font>
    <font>
      <i/>
      <sz val="11"/>
      <color indexed="56"/>
      <name val="Arial"/>
      <charset val="134"/>
    </font>
    <font>
      <b/>
      <i/>
      <sz val="11"/>
      <color indexed="18"/>
      <name val="Arial"/>
      <charset val="134"/>
    </font>
    <font>
      <b/>
      <sz val="11"/>
      <color indexed="62"/>
      <name val="ＭＳ Ｐゴシック"/>
      <charset val="128"/>
    </font>
    <font>
      <u/>
      <sz val="10"/>
      <color indexed="36"/>
      <name val="Arial"/>
      <charset val="134"/>
    </font>
    <font>
      <b/>
      <sz val="12"/>
      <name val="Arial"/>
      <charset val="134"/>
    </font>
    <font>
      <b/>
      <sz val="11"/>
      <color indexed="9"/>
      <name val="Arial Narrow"/>
      <charset val="134"/>
    </font>
    <font>
      <sz val="11"/>
      <name val="Arial"/>
      <charset val="134"/>
    </font>
    <font>
      <b/>
      <sz val="18"/>
      <color indexed="62"/>
      <name val="ＭＳ Ｐゴシック"/>
      <charset val="128"/>
    </font>
    <font>
      <b/>
      <sz val="15"/>
      <color indexed="62"/>
      <name val="ＭＳ Ｐゴシック"/>
      <charset val="128"/>
    </font>
    <font>
      <sz val="18"/>
      <color indexed="18"/>
      <name val="Arial"/>
      <charset val="134"/>
    </font>
    <font>
      <sz val="10"/>
      <color indexed="10"/>
      <name val="Arial"/>
      <charset val="134"/>
    </font>
    <font>
      <sz val="11"/>
      <color indexed="20"/>
      <name val="ＭＳ Ｐゴシック"/>
      <charset val="128"/>
    </font>
    <font>
      <b/>
      <sz val="10"/>
      <name val="MS Sans Serif"/>
      <charset val="134"/>
    </font>
    <font>
      <sz val="8"/>
      <color indexed="16"/>
      <name val="Century Schoolbook"/>
      <charset val="134"/>
    </font>
    <font>
      <sz val="8"/>
      <name val="Helv"/>
      <charset val="134"/>
    </font>
    <font>
      <sz val="11"/>
      <color indexed="18"/>
      <name val="Arial"/>
      <charset val="134"/>
    </font>
    <font>
      <sz val="11"/>
      <color indexed="62"/>
      <name val="ＭＳ Ｐゴシック"/>
      <charset val="128"/>
    </font>
    <font>
      <b/>
      <sz val="11"/>
      <color indexed="9"/>
      <name val="ＭＳ Ｐゴシック"/>
      <charset val="128"/>
    </font>
    <font>
      <sz val="10"/>
      <color indexed="56"/>
      <name val="Arial"/>
      <charset val="134"/>
    </font>
    <font>
      <sz val="10"/>
      <color indexed="18"/>
      <name val="Arial"/>
      <charset val="134"/>
    </font>
    <font>
      <sz val="12"/>
      <color indexed="56"/>
      <name val="Arial"/>
      <charset val="134"/>
    </font>
    <font>
      <i/>
      <sz val="12"/>
      <color indexed="56"/>
      <name val="Arial"/>
      <charset val="134"/>
    </font>
    <font>
      <b/>
      <sz val="11"/>
      <color indexed="56"/>
      <name val="Arial"/>
      <charset val="134"/>
    </font>
    <font>
      <b/>
      <i/>
      <sz val="11"/>
      <color indexed="56"/>
      <name val="Arial"/>
      <charset val="134"/>
    </font>
    <font>
      <sz val="11"/>
      <color indexed="10"/>
      <name val="Arial"/>
      <charset val="134"/>
    </font>
    <font>
      <b/>
      <i/>
      <sz val="10"/>
      <name val="Times New Roman"/>
      <charset val="134"/>
    </font>
    <font>
      <sz val="10"/>
      <name val="Times New Roman"/>
      <charset val="134"/>
    </font>
    <font>
      <b/>
      <sz val="11"/>
      <name val="Helv"/>
      <charset val="134"/>
    </font>
    <font>
      <sz val="11"/>
      <color indexed="17"/>
      <name val="ＭＳ Ｐゴシック"/>
      <charset val="128"/>
    </font>
    <font>
      <b/>
      <sz val="8"/>
      <color indexed="8"/>
      <name val="Helv"/>
      <charset val="134"/>
    </font>
    <font>
      <sz val="11"/>
      <name val="・団"/>
      <charset val="128"/>
    </font>
    <font>
      <b/>
      <sz val="9"/>
      <name val="Times New Roman"/>
      <charset val="134"/>
    </font>
    <font>
      <sz val="22"/>
      <name val="ＭＳ 明朝"/>
      <charset val="128"/>
    </font>
    <font>
      <b/>
      <sz val="11"/>
      <color indexed="8"/>
      <name val="ＭＳ Ｐゴシック"/>
      <charset val="128"/>
    </font>
    <font>
      <sz val="11"/>
      <name val="明朝"/>
      <charset val="128"/>
    </font>
    <font>
      <b/>
      <sz val="11"/>
      <color indexed="10"/>
      <name val="ＭＳ Ｐゴシック"/>
      <charset val="128"/>
    </font>
    <font>
      <sz val="10"/>
      <name val="ＭＳ 明朝"/>
      <charset val="128"/>
    </font>
    <font>
      <b/>
      <sz val="9"/>
      <name val="MS PGothic"/>
      <charset val="128"/>
    </font>
  </fonts>
  <fills count="59">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tint="-0.149998474074526"/>
        <bgColor indexed="64"/>
      </patternFill>
    </fill>
    <fill>
      <patternFill patternType="solid">
        <fgColor indexed="41"/>
        <bgColor indexed="64"/>
      </patternFill>
    </fill>
    <fill>
      <patternFill patternType="solid">
        <fgColor indexed="26"/>
        <bgColor indexed="64"/>
      </patternFill>
    </fill>
    <fill>
      <patternFill patternType="solid">
        <fgColor indexed="47"/>
        <bgColor indexed="64"/>
      </patternFill>
    </fill>
    <fill>
      <patternFill patternType="solid">
        <fgColor indexed="65"/>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indexed="49"/>
        <bgColor indexed="64"/>
      </patternFill>
    </fill>
    <fill>
      <patternFill patternType="solid">
        <fgColor rgb="FFFFC7CE"/>
        <bgColor indexed="64"/>
      </patternFill>
    </fill>
    <fill>
      <patternFill patternType="solid">
        <fgColor indexed="27"/>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indexed="2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indexed="51"/>
        <bgColor indexed="64"/>
      </patternFill>
    </fill>
    <fill>
      <patternFill patternType="solid">
        <fgColor rgb="FFA5A5A5"/>
        <bgColor indexed="64"/>
      </patternFill>
    </fill>
    <fill>
      <patternFill patternType="solid">
        <fgColor indexed="9"/>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10"/>
        <bgColor indexed="64"/>
      </patternFill>
    </fill>
    <fill>
      <patternFill patternType="solid">
        <fgColor indexed="54"/>
        <bgColor indexed="64"/>
      </patternFill>
    </fill>
    <fill>
      <patternFill patternType="solid">
        <fgColor indexed="44"/>
        <bgColor indexed="64"/>
      </patternFill>
    </fill>
    <fill>
      <patternFill patternType="solid">
        <fgColor indexed="56"/>
        <bgColor indexed="64"/>
      </patternFill>
    </fill>
    <fill>
      <patternFill patternType="gray125"/>
    </fill>
    <fill>
      <patternFill patternType="solid">
        <fgColor indexed="45"/>
        <bgColor indexed="64"/>
      </patternFill>
    </fill>
    <fill>
      <patternFill patternType="solid">
        <fgColor indexed="53"/>
        <bgColor indexed="64"/>
      </patternFill>
    </fill>
    <fill>
      <patternFill patternType="solid">
        <fgColor indexed="21"/>
        <bgColor indexed="64"/>
      </patternFill>
    </fill>
    <fill>
      <patternFill patternType="solid">
        <fgColor indexed="22"/>
        <bgColor indexed="64"/>
      </patternFill>
    </fill>
    <fill>
      <patternFill patternType="solid">
        <fgColor indexed="46"/>
        <bgColor indexed="64"/>
      </patternFill>
    </fill>
    <fill>
      <patternFill patternType="mediumGray">
        <fgColor indexed="22"/>
      </patternFill>
    </fill>
    <fill>
      <patternFill patternType="darkVertical"/>
    </fill>
    <fill>
      <patternFill patternType="lightUp">
        <fgColor indexed="54"/>
        <bgColor indexed="41"/>
      </patternFill>
    </fill>
    <fill>
      <patternFill patternType="solid">
        <fgColor indexed="55"/>
        <bgColor indexed="64"/>
      </patternFill>
    </fill>
  </fills>
  <borders count="11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style="hair">
        <color auto="1"/>
      </bottom>
      <diagonal/>
    </border>
    <border>
      <left style="medium">
        <color auto="1"/>
      </left>
      <right style="thin">
        <color auto="1"/>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hair">
        <color auto="1"/>
      </top>
      <bottom style="thin">
        <color auto="1"/>
      </bottom>
      <diagonal/>
    </border>
    <border diagonalUp="1">
      <left style="thin">
        <color auto="1"/>
      </left>
      <right style="thin">
        <color auto="1"/>
      </right>
      <top style="hair">
        <color auto="1"/>
      </top>
      <bottom style="hair">
        <color auto="1"/>
      </bottom>
      <diagonal style="thin">
        <color auto="1"/>
      </diagonal>
    </border>
    <border diagonalUp="1">
      <left style="thin">
        <color auto="1"/>
      </left>
      <right style="thin">
        <color auto="1"/>
      </right>
      <top style="thin">
        <color auto="1"/>
      </top>
      <bottom style="hair">
        <color auto="1"/>
      </bottom>
      <diagonal style="thin">
        <color auto="1"/>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hair">
        <color auto="1"/>
      </bottom>
      <diagonal/>
    </border>
    <border>
      <left style="thin">
        <color auto="1"/>
      </left>
      <right style="medium">
        <color auto="1"/>
      </right>
      <top style="hair">
        <color auto="1"/>
      </top>
      <bottom style="hair">
        <color auto="1"/>
      </bottom>
      <diagonal/>
    </border>
    <border>
      <left style="thin">
        <color auto="1"/>
      </left>
      <right style="medium">
        <color auto="1"/>
      </right>
      <top style="hair">
        <color auto="1"/>
      </top>
      <bottom/>
      <diagonal/>
    </border>
    <border>
      <left style="thin">
        <color auto="1"/>
      </left>
      <right style="medium">
        <color auto="1"/>
      </right>
      <top/>
      <bottom/>
      <diagonal/>
    </border>
    <border>
      <left style="thin">
        <color auto="1"/>
      </left>
      <right style="medium">
        <color auto="1"/>
      </right>
      <top style="hair">
        <color auto="1"/>
      </top>
      <bottom style="thin">
        <color auto="1"/>
      </bottom>
      <diagonal/>
    </border>
    <border diagonalUp="1">
      <left style="thin">
        <color auto="1"/>
      </left>
      <right style="medium">
        <color auto="1"/>
      </right>
      <top style="thin">
        <color auto="1"/>
      </top>
      <bottom style="hair">
        <color auto="1"/>
      </bottom>
      <diagonal style="thin">
        <color auto="1"/>
      </diagonal>
    </border>
    <border diagonalUp="1">
      <left style="thin">
        <color auto="1"/>
      </left>
      <right style="medium">
        <color auto="1"/>
      </right>
      <top style="hair">
        <color auto="1"/>
      </top>
      <bottom style="hair">
        <color auto="1"/>
      </bottom>
      <diagonal style="thin">
        <color auto="1"/>
      </diagonal>
    </border>
    <border>
      <left style="thin">
        <color auto="1"/>
      </left>
      <right style="thin">
        <color auto="1"/>
      </right>
      <top style="thin">
        <color auto="1"/>
      </top>
      <bottom/>
      <diagonal/>
    </border>
    <border>
      <left style="thin">
        <color auto="1"/>
      </left>
      <right style="thin">
        <color auto="1"/>
      </right>
      <top/>
      <bottom style="hair">
        <color auto="1"/>
      </bottom>
      <diagonal/>
    </border>
    <border>
      <left style="medium">
        <color auto="1"/>
      </left>
      <right style="thin">
        <color auto="1"/>
      </right>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bottom style="hair">
        <color auto="1"/>
      </bottom>
      <diagonal/>
    </border>
    <border>
      <left style="thin">
        <color auto="1"/>
      </left>
      <right style="medium">
        <color auto="1"/>
      </right>
      <top style="thin">
        <color auto="1"/>
      </top>
      <bottom/>
      <diagonal/>
    </border>
    <border>
      <left style="thin">
        <color auto="1"/>
      </left>
      <right style="medium">
        <color auto="1"/>
      </right>
      <top style="hair">
        <color auto="1"/>
      </top>
      <bottom style="medium">
        <color auto="1"/>
      </bottom>
      <diagonal/>
    </border>
    <border>
      <left/>
      <right/>
      <top/>
      <bottom style="double">
        <color auto="1"/>
      </bottom>
      <diagonal/>
    </border>
    <border>
      <left/>
      <right/>
      <top/>
      <bottom style="thin">
        <color auto="1"/>
      </bottom>
      <diagonal/>
    </border>
    <border>
      <left/>
      <right/>
      <top style="thin">
        <color auto="1"/>
      </top>
      <bottom style="medium">
        <color auto="1"/>
      </bottom>
      <diagonal/>
    </border>
    <border>
      <left/>
      <right/>
      <top/>
      <bottom style="medium">
        <color auto="1"/>
      </bottom>
      <diagonal/>
    </border>
    <border>
      <left/>
      <right style="thin">
        <color auto="1"/>
      </right>
      <top/>
      <bottom/>
      <diagonal/>
    </border>
    <border>
      <left/>
      <right style="thin">
        <color auto="1"/>
      </right>
      <top/>
      <bottom style="double">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thin">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top style="medium">
        <color auto="1"/>
      </top>
      <bottom style="double">
        <color auto="1"/>
      </bottom>
      <diagonal/>
    </border>
    <border>
      <left/>
      <right/>
      <top style="medium">
        <color auto="1"/>
      </top>
      <bottom style="double">
        <color auto="1"/>
      </bottom>
      <diagonal/>
    </border>
    <border>
      <left/>
      <right style="thin">
        <color auto="1"/>
      </right>
      <top style="medium">
        <color auto="1"/>
      </top>
      <bottom style="double">
        <color auto="1"/>
      </bottom>
      <diagonal/>
    </border>
    <border>
      <left style="medium">
        <color auto="1"/>
      </left>
      <right/>
      <top style="medium">
        <color auto="1"/>
      </top>
      <bottom/>
      <diagonal/>
    </border>
    <border>
      <left/>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medium">
        <color auto="1"/>
      </left>
      <right/>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thin">
        <color auto="1"/>
      </left>
      <right/>
      <top style="double">
        <color auto="1"/>
      </top>
      <bottom style="medium">
        <color auto="1"/>
      </bottom>
      <diagonal/>
    </border>
    <border>
      <left/>
      <right/>
      <top style="double">
        <color auto="1"/>
      </top>
      <bottom style="medium">
        <color auto="1"/>
      </bottom>
      <diagonal/>
    </border>
    <border>
      <left style="thin">
        <color auto="1"/>
      </left>
      <right style="thin">
        <color auto="1"/>
      </right>
      <top style="medium">
        <color auto="1"/>
      </top>
      <bottom style="double">
        <color auto="1"/>
      </bottom>
      <diagonal/>
    </border>
    <border>
      <left style="thin">
        <color auto="1"/>
      </left>
      <right/>
      <top/>
      <bottom style="medium">
        <color auto="1"/>
      </bottom>
      <diagonal/>
    </border>
    <border>
      <left/>
      <right style="thin">
        <color auto="1"/>
      </right>
      <top/>
      <bottom style="medium">
        <color auto="1"/>
      </bottom>
      <diagonal/>
    </border>
    <border>
      <left style="thin">
        <color auto="1"/>
      </left>
      <right style="hair">
        <color auto="1"/>
      </right>
      <top style="thin">
        <color auto="1"/>
      </top>
      <bottom style="thin">
        <color auto="1"/>
      </bottom>
      <diagonal/>
    </border>
    <border>
      <left/>
      <right/>
      <top style="thin">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thin">
        <color auto="1"/>
      </top>
      <bottom style="medium">
        <color auto="1"/>
      </bottom>
      <diagonal/>
    </border>
    <border>
      <left/>
      <right style="medium">
        <color auto="1"/>
      </right>
      <top style="medium">
        <color auto="1"/>
      </top>
      <bottom style="double">
        <color auto="1"/>
      </bottom>
      <diagonal/>
    </border>
    <border>
      <left/>
      <right style="thin">
        <color auto="1"/>
      </right>
      <top style="double">
        <color auto="1"/>
      </top>
      <bottom style="thin">
        <color auto="1"/>
      </bottom>
      <diagonal/>
    </border>
    <border>
      <left/>
      <right style="medium">
        <color auto="1"/>
      </right>
      <top style="double">
        <color auto="1"/>
      </top>
      <bottom style="thin">
        <color auto="1"/>
      </bottom>
      <diagonal/>
    </border>
    <border>
      <left style="thin">
        <color auto="1"/>
      </left>
      <right style="medium">
        <color auto="1"/>
      </right>
      <top style="medium">
        <color auto="1"/>
      </top>
      <bottom style="double">
        <color auto="1"/>
      </bottom>
      <diagonal/>
    </border>
    <border>
      <left style="thin">
        <color auto="1"/>
      </left>
      <right style="medium">
        <color auto="1"/>
      </right>
      <top/>
      <bottom style="thin">
        <color auto="1"/>
      </bottom>
      <diagonal/>
    </border>
    <border>
      <left style="medium">
        <color auto="1"/>
      </left>
      <right style="medium">
        <color auto="1"/>
      </right>
      <top/>
      <bottom/>
      <diagonal/>
    </border>
    <border>
      <left style="medium">
        <color auto="1"/>
      </left>
      <right style="thin">
        <color auto="1"/>
      </right>
      <top style="medium">
        <color auto="1"/>
      </top>
      <bottom/>
      <diagonal/>
    </border>
    <border>
      <left style="thin">
        <color auto="1"/>
      </left>
      <right/>
      <top style="double">
        <color auto="1"/>
      </top>
      <bottom/>
      <diagonal/>
    </border>
    <border>
      <left/>
      <right style="medium">
        <color auto="1"/>
      </right>
      <top style="double">
        <color auto="1"/>
      </top>
      <bottom/>
      <diagonal/>
    </border>
    <border>
      <left/>
      <right style="medium">
        <color auto="1"/>
      </right>
      <top/>
      <bottom style="thin">
        <color auto="1"/>
      </bottom>
      <diagonal/>
    </border>
    <border>
      <left/>
      <right style="medium">
        <color auto="1"/>
      </right>
      <top/>
      <bottom/>
      <diagonal/>
    </border>
    <border>
      <left/>
      <right style="medium">
        <color auto="1"/>
      </right>
      <top style="medium">
        <color auto="1"/>
      </top>
      <bottom/>
      <diagonal/>
    </border>
    <border>
      <left/>
      <right/>
      <top/>
      <bottom style="thick">
        <color indexed="4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indexed="63"/>
      </left>
      <right style="thin">
        <color indexed="63"/>
      </right>
      <top style="thin">
        <color indexed="63"/>
      </top>
      <bottom style="thin">
        <color indexed="63"/>
      </bottom>
      <diagonal/>
    </border>
    <border>
      <left/>
      <right/>
      <top/>
      <bottom style="double">
        <color rgb="FFFF8001"/>
      </bottom>
      <diagonal/>
    </border>
    <border>
      <left/>
      <right/>
      <top style="thin">
        <color theme="4"/>
      </top>
      <bottom style="double">
        <color theme="4"/>
      </bottom>
      <diagonal/>
    </border>
    <border>
      <left/>
      <right/>
      <top/>
      <bottom style="thick">
        <color indexed="27"/>
      </bottom>
      <diagonal/>
    </border>
    <border>
      <left/>
      <right/>
      <top/>
      <bottom style="thick">
        <color indexed="56"/>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10"/>
      </bottom>
      <diagonal/>
    </border>
    <border>
      <left/>
      <right/>
      <top style="thin">
        <color indexed="56"/>
      </top>
      <bottom style="double">
        <color indexed="56"/>
      </bottom>
      <diagonal/>
    </border>
    <border>
      <left/>
      <right/>
      <top/>
      <bottom style="hair">
        <color auto="1"/>
      </bottom>
      <diagonal/>
    </border>
    <border>
      <left/>
      <right/>
      <top/>
      <bottom style="medium">
        <color indexed="27"/>
      </bottom>
      <diagonal/>
    </border>
  </borders>
  <cellStyleXfs count="328">
    <xf numFmtId="0" fontId="0" fillId="0" borderId="0"/>
    <xf numFmtId="42" fontId="23" fillId="0" borderId="0" applyFont="0" applyFill="0" applyBorder="0" applyAlignment="0" applyProtection="0">
      <alignment vertical="center"/>
    </xf>
    <xf numFmtId="0" fontId="24" fillId="9" borderId="0" applyNumberFormat="0" applyBorder="0" applyAlignment="0" applyProtection="0">
      <alignment vertical="center"/>
    </xf>
    <xf numFmtId="4" fontId="25" fillId="5" borderId="99" applyNumberFormat="0" applyProtection="0">
      <alignment horizontal="left" vertical="center"/>
    </xf>
    <xf numFmtId="0" fontId="26" fillId="10" borderId="100" applyNumberFormat="0" applyAlignment="0" applyProtection="0">
      <alignment vertical="center"/>
    </xf>
    <xf numFmtId="0" fontId="27" fillId="0" borderId="0" applyNumberFormat="0" applyFill="0" applyBorder="0" applyAlignment="0" applyProtection="0">
      <alignment vertical="center"/>
    </xf>
    <xf numFmtId="44" fontId="23" fillId="0" borderId="0" applyFont="0" applyFill="0" applyBorder="0" applyAlignment="0" applyProtection="0">
      <alignment vertical="center"/>
    </xf>
    <xf numFmtId="0" fontId="28" fillId="0" borderId="0">
      <alignment horizontal="center" wrapText="1"/>
      <protection locked="0"/>
    </xf>
    <xf numFmtId="0" fontId="29" fillId="0" borderId="0" applyNumberFormat="0" applyFill="0" applyBorder="0" applyAlignment="0" applyProtection="0">
      <alignment vertical="top"/>
      <protection locked="0"/>
    </xf>
    <xf numFmtId="41" fontId="23" fillId="0" borderId="0" applyFont="0" applyFill="0" applyBorder="0" applyAlignment="0" applyProtection="0">
      <alignment vertical="center"/>
    </xf>
    <xf numFmtId="0" fontId="30" fillId="0" borderId="0" applyFill="0" applyBorder="0" applyAlignment="0"/>
    <xf numFmtId="0" fontId="24"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43" fontId="23" fillId="0" borderId="0" applyFont="0" applyFill="0" applyBorder="0" applyAlignment="0" applyProtection="0">
      <alignment vertical="center"/>
    </xf>
    <xf numFmtId="0" fontId="34" fillId="15" borderId="0" applyNumberFormat="0" applyBorder="0" applyAlignment="0" applyProtection="0">
      <alignment vertical="center"/>
    </xf>
    <xf numFmtId="0" fontId="35" fillId="0" borderId="0" applyNumberFormat="0" applyFill="0" applyBorder="0" applyAlignment="0" applyProtection="0">
      <alignment vertical="center"/>
    </xf>
    <xf numFmtId="0" fontId="0" fillId="0" borderId="0"/>
    <xf numFmtId="9" fontId="23" fillId="0" borderId="0" applyFont="0" applyFill="0" applyBorder="0" applyAlignment="0" applyProtection="0">
      <alignment vertical="center"/>
    </xf>
    <xf numFmtId="0" fontId="36" fillId="0" borderId="0" applyNumberFormat="0" applyFill="0" applyBorder="0" applyAlignment="0" applyProtection="0">
      <alignment vertical="center"/>
    </xf>
    <xf numFmtId="0" fontId="37" fillId="0" borderId="0">
      <alignment horizontal="left"/>
    </xf>
    <xf numFmtId="0" fontId="23" fillId="16" borderId="101" applyNumberFormat="0" applyFont="0" applyAlignment="0" applyProtection="0">
      <alignment vertical="center"/>
    </xf>
    <xf numFmtId="0" fontId="0" fillId="0" borderId="0"/>
    <xf numFmtId="0" fontId="30" fillId="0" borderId="0" applyFill="0" applyBorder="0" applyAlignment="0"/>
    <xf numFmtId="0" fontId="38" fillId="0" borderId="0" applyNumberFormat="0" applyAlignment="0">
      <alignment horizontal="left"/>
    </xf>
    <xf numFmtId="0" fontId="34" fillId="17" borderId="0" applyNumberFormat="0" applyBorder="0" applyAlignment="0" applyProtection="0">
      <alignment vertical="center"/>
    </xf>
    <xf numFmtId="0" fontId="39" fillId="0" borderId="0" applyNumberFormat="0" applyFill="0" applyBorder="0" applyAlignment="0" applyProtection="0">
      <alignment vertical="center"/>
    </xf>
    <xf numFmtId="0" fontId="31" fillId="18" borderId="0" applyNumberFormat="0" applyBorder="0" applyAlignment="0" applyProtection="0">
      <alignment vertical="center"/>
    </xf>
    <xf numFmtId="0" fontId="40" fillId="0" borderId="0" applyNumberFormat="0" applyFill="0" applyBorder="0" applyAlignment="0" applyProtection="0">
      <alignment vertical="center"/>
    </xf>
    <xf numFmtId="0" fontId="41" fillId="0" borderId="0" applyFill="0" applyBorder="0" applyAlignment="0"/>
    <xf numFmtId="0" fontId="33" fillId="2"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2" borderId="0" applyNumberFormat="0" applyBorder="0" applyAlignment="0" applyProtection="0">
      <alignment vertical="center"/>
    </xf>
    <xf numFmtId="0" fontId="45" fillId="0" borderId="102" applyNumberFormat="0" applyFill="0" applyAlignment="0" applyProtection="0">
      <alignment vertical="center"/>
    </xf>
    <xf numFmtId="0" fontId="44" fillId="2" borderId="0" applyNumberFormat="0" applyBorder="0" applyAlignment="0" applyProtection="0">
      <alignment vertical="center"/>
    </xf>
    <xf numFmtId="0" fontId="46" fillId="0" borderId="102" applyNumberFormat="0" applyFill="0" applyAlignment="0" applyProtection="0">
      <alignment vertical="center"/>
    </xf>
    <xf numFmtId="0" fontId="34" fillId="19" borderId="0" applyNumberFormat="0" applyBorder="0" applyAlignment="0" applyProtection="0">
      <alignment vertical="center"/>
    </xf>
    <xf numFmtId="0" fontId="44" fillId="2" borderId="0" applyNumberFormat="0" applyBorder="0" applyAlignment="0" applyProtection="0">
      <alignment vertical="center"/>
    </xf>
    <xf numFmtId="0" fontId="39" fillId="0" borderId="103" applyNumberFormat="0" applyFill="0" applyAlignment="0" applyProtection="0">
      <alignment vertical="center"/>
    </xf>
    <xf numFmtId="0" fontId="34" fillId="20" borderId="0" applyNumberFormat="0" applyBorder="0" applyAlignment="0" applyProtection="0">
      <alignment vertical="center"/>
    </xf>
    <xf numFmtId="0" fontId="47" fillId="21" borderId="104" applyNumberFormat="0" applyAlignment="0" applyProtection="0">
      <alignment vertical="center"/>
    </xf>
    <xf numFmtId="0" fontId="31" fillId="22" borderId="0" applyNumberFormat="0" applyBorder="0" applyAlignment="0" applyProtection="0">
      <alignment vertical="center"/>
    </xf>
    <xf numFmtId="0" fontId="48" fillId="21" borderId="100" applyNumberFormat="0" applyAlignment="0" applyProtection="0">
      <alignment vertical="center"/>
    </xf>
    <xf numFmtId="0" fontId="49" fillId="23" borderId="105" applyNumberFormat="0" applyAlignment="0" applyProtection="0">
      <alignment vertical="center"/>
    </xf>
    <xf numFmtId="0" fontId="50" fillId="24" borderId="106" applyNumberFormat="0" applyAlignment="0" applyProtection="0">
      <alignment vertical="center"/>
    </xf>
    <xf numFmtId="0" fontId="30" fillId="0" borderId="0" applyFill="0" applyBorder="0" applyAlignment="0"/>
    <xf numFmtId="0" fontId="33" fillId="6" borderId="0" applyNumberFormat="0" applyBorder="0" applyAlignment="0" applyProtection="0">
      <alignment vertical="center"/>
    </xf>
    <xf numFmtId="0" fontId="24" fillId="25" borderId="0" applyNumberFormat="0" applyBorder="0" applyAlignment="0" applyProtection="0">
      <alignment vertical="center"/>
    </xf>
    <xf numFmtId="0" fontId="34" fillId="26" borderId="0" applyNumberFormat="0" applyBorder="0" applyAlignment="0" applyProtection="0">
      <alignment vertical="center"/>
    </xf>
    <xf numFmtId="0" fontId="51" fillId="0" borderId="35">
      <alignment horizontal="center"/>
    </xf>
    <xf numFmtId="0" fontId="52" fillId="0" borderId="107" applyNumberFormat="0" applyFill="0" applyAlignment="0" applyProtection="0">
      <alignment vertical="center"/>
    </xf>
    <xf numFmtId="0" fontId="53" fillId="0" borderId="0" applyFill="0" applyBorder="0" applyAlignment="0"/>
    <xf numFmtId="0" fontId="54" fillId="0" borderId="108" applyNumberFormat="0" applyFill="0" applyAlignment="0" applyProtection="0">
      <alignment vertical="center"/>
    </xf>
    <xf numFmtId="0" fontId="55" fillId="27" borderId="0" applyNumberFormat="0" applyBorder="0" applyAlignment="0" applyProtection="0">
      <alignment vertical="center"/>
    </xf>
    <xf numFmtId="0" fontId="56" fillId="28" borderId="0" applyNumberFormat="0" applyBorder="0" applyAlignment="0" applyProtection="0">
      <alignment vertical="center"/>
    </xf>
    <xf numFmtId="0" fontId="33" fillId="6" borderId="0" applyNumberFormat="0" applyBorder="0" applyAlignment="0" applyProtection="0">
      <alignment vertical="center"/>
    </xf>
    <xf numFmtId="0" fontId="24" fillId="29" borderId="0" applyNumberFormat="0" applyBorder="0" applyAlignment="0" applyProtection="0">
      <alignment vertical="center"/>
    </xf>
    <xf numFmtId="0" fontId="34" fillId="30" borderId="0" applyNumberFormat="0" applyBorder="0" applyAlignment="0" applyProtection="0">
      <alignment vertical="center"/>
    </xf>
    <xf numFmtId="0" fontId="0" fillId="0" borderId="0"/>
    <xf numFmtId="0" fontId="0" fillId="0" borderId="0"/>
    <xf numFmtId="0" fontId="57" fillId="0" borderId="0" applyFill="0" applyBorder="0" applyAlignment="0"/>
    <xf numFmtId="0" fontId="33" fillId="7"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0" fillId="0" borderId="0"/>
    <xf numFmtId="0" fontId="33" fillId="7"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50" fillId="24" borderId="106" applyNumberFormat="0" applyAlignment="0" applyProtection="0">
      <alignment vertical="center"/>
    </xf>
    <xf numFmtId="177" fontId="58" fillId="0" borderId="0"/>
    <xf numFmtId="0" fontId="0" fillId="0" borderId="0"/>
    <xf numFmtId="0" fontId="34" fillId="35" borderId="0" applyNumberFormat="0" applyBorder="0" applyAlignment="0" applyProtection="0">
      <alignment vertical="center"/>
    </xf>
    <xf numFmtId="4" fontId="25" fillId="5" borderId="99">
      <alignment horizontal="left" vertical="center"/>
    </xf>
    <xf numFmtId="4" fontId="59" fillId="2" borderId="99" applyNumberFormat="0" applyProtection="0">
      <alignment horizontal="left" vertical="center"/>
    </xf>
    <xf numFmtId="0" fontId="60" fillId="0" borderId="0" applyNumberFormat="0" applyFont="0" applyFill="0" applyBorder="0" applyAlignment="0" applyProtection="0">
      <alignment horizontal="left"/>
    </xf>
    <xf numFmtId="0" fontId="34" fillId="36" borderId="0" applyNumberFormat="0" applyBorder="0" applyAlignment="0" applyProtection="0">
      <alignment vertical="center"/>
    </xf>
    <xf numFmtId="0" fontId="33" fillId="6" borderId="0" applyNumberFormat="0" applyBorder="0" applyAlignment="0" applyProtection="0">
      <alignment vertical="center"/>
    </xf>
    <xf numFmtId="0" fontId="24" fillId="37" borderId="0" applyNumberFormat="0" applyBorder="0" applyAlignment="0" applyProtection="0">
      <alignment vertical="center"/>
    </xf>
    <xf numFmtId="0" fontId="0" fillId="0" borderId="0"/>
    <xf numFmtId="0" fontId="24" fillId="38" borderId="0" applyNumberFormat="0" applyBorder="0" applyAlignment="0" applyProtection="0">
      <alignment vertical="center"/>
    </xf>
    <xf numFmtId="0" fontId="34" fillId="39" borderId="0" applyNumberFormat="0" applyBorder="0" applyAlignment="0" applyProtection="0">
      <alignment vertical="center"/>
    </xf>
    <xf numFmtId="9" fontId="0" fillId="0" borderId="0" applyFont="0" applyFill="0" applyBorder="0" applyAlignment="0" applyProtection="0"/>
    <xf numFmtId="0" fontId="24" fillId="40" borderId="0" applyNumberFormat="0" applyBorder="0" applyAlignment="0" applyProtection="0">
      <alignment vertical="center"/>
    </xf>
    <xf numFmtId="0" fontId="34" fillId="41" borderId="0" applyNumberFormat="0" applyBorder="0" applyAlignment="0" applyProtection="0">
      <alignment vertical="center"/>
    </xf>
    <xf numFmtId="0" fontId="0" fillId="0" borderId="0"/>
    <xf numFmtId="0" fontId="34" fillId="42" borderId="0" applyNumberFormat="0" applyBorder="0" applyAlignment="0" applyProtection="0">
      <alignment vertical="center"/>
    </xf>
    <xf numFmtId="0" fontId="0" fillId="0" borderId="0"/>
    <xf numFmtId="0" fontId="24" fillId="43" borderId="0" applyNumberFormat="0" applyBorder="0" applyAlignment="0" applyProtection="0">
      <alignment vertical="center"/>
    </xf>
    <xf numFmtId="0" fontId="0" fillId="0" borderId="0"/>
    <xf numFmtId="0" fontId="34" fillId="44" borderId="0" applyNumberFormat="0" applyBorder="0" applyAlignment="0" applyProtection="0">
      <alignment vertical="center"/>
    </xf>
    <xf numFmtId="0" fontId="0" fillId="0" borderId="0"/>
    <xf numFmtId="0" fontId="0" fillId="0" borderId="0"/>
    <xf numFmtId="0" fontId="0" fillId="0" borderId="0"/>
    <xf numFmtId="0" fontId="0" fillId="0" borderId="0"/>
    <xf numFmtId="4" fontId="61" fillId="45" borderId="99" applyNumberFormat="0" applyProtection="0">
      <alignment vertical="center"/>
    </xf>
    <xf numFmtId="0" fontId="0" fillId="0" borderId="0"/>
    <xf numFmtId="0" fontId="0" fillId="0" borderId="0"/>
    <xf numFmtId="0" fontId="0" fillId="0" borderId="0"/>
    <xf numFmtId="4" fontId="62" fillId="46" borderId="99">
      <alignment horizontal="left" vertical="center"/>
    </xf>
    <xf numFmtId="178" fontId="63" fillId="0" borderId="0" applyFont="0" applyFill="0" applyBorder="0" applyAlignment="0" applyProtection="0"/>
    <xf numFmtId="0" fontId="33" fillId="47" borderId="0" applyNumberFormat="0" applyBorder="0" applyAlignment="0" applyProtection="0">
      <alignment vertical="center"/>
    </xf>
    <xf numFmtId="0" fontId="64" fillId="0" borderId="0" applyNumberFormat="0" applyFill="0" applyBorder="0" applyAlignment="0" applyProtection="0"/>
    <xf numFmtId="0" fontId="65" fillId="0" borderId="0"/>
    <xf numFmtId="0" fontId="31" fillId="48" borderId="0" applyNumberFormat="0" applyBorder="0" applyAlignment="0" applyProtection="0">
      <alignment vertical="center"/>
    </xf>
    <xf numFmtId="0" fontId="66" fillId="0" borderId="0"/>
    <xf numFmtId="0" fontId="66" fillId="0" borderId="0"/>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67" fillId="0" borderId="0" applyNumberFormat="0" applyFill="0" applyBorder="0" applyAlignment="0">
      <alignment horizont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6" borderId="0" applyNumberFormat="0" applyBorder="0" applyAlignment="0" applyProtection="0">
      <alignment vertical="center"/>
    </xf>
    <xf numFmtId="15" fontId="0" fillId="0" borderId="0" applyFont="0" applyFill="0" applyBorder="0" applyAlignment="0" applyProtection="0"/>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7"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68" fillId="49" borderId="75" applyNumberFormat="0" applyFont="0" applyAlignment="0">
      <alignment horizontal="center"/>
    </xf>
    <xf numFmtId="4" fontId="69" fillId="46" borderId="99" applyNumberFormat="0" applyProtection="0">
      <alignment horizontal="lef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2" borderId="0" applyNumberFormat="0" applyBorder="0" applyAlignment="0" applyProtection="0">
      <alignment vertical="center"/>
    </xf>
    <xf numFmtId="4" fontId="70" fillId="24" borderId="99">
      <alignment vertical="center"/>
    </xf>
    <xf numFmtId="4" fontId="71" fillId="2" borderId="99" applyNumberFormat="0" applyProtection="0">
      <alignment vertical="center"/>
    </xf>
    <xf numFmtId="0" fontId="33" fillId="2" borderId="0" applyNumberFormat="0" applyBorder="0" applyAlignment="0" applyProtection="0">
      <alignment vertical="center"/>
    </xf>
    <xf numFmtId="0" fontId="33" fillId="50" borderId="0" applyNumberFormat="0" applyBorder="0" applyAlignment="0" applyProtection="0">
      <alignment vertical="center"/>
    </xf>
    <xf numFmtId="0" fontId="33" fillId="50" borderId="0" applyNumberFormat="0" applyBorder="0" applyAlignment="0" applyProtection="0">
      <alignment vertical="center"/>
    </xf>
    <xf numFmtId="0" fontId="33" fillId="50"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51" borderId="0" applyNumberFormat="0" applyBorder="0" applyAlignment="0" applyProtection="0">
      <alignment vertical="center"/>
    </xf>
    <xf numFmtId="0" fontId="72" fillId="0" borderId="0"/>
    <xf numFmtId="0" fontId="31" fillId="51" borderId="0" applyNumberFormat="0" applyBorder="0" applyAlignment="0" applyProtection="0">
      <alignment vertical="center"/>
    </xf>
    <xf numFmtId="0" fontId="1" fillId="0" borderId="0">
      <alignment wrapText="1"/>
    </xf>
    <xf numFmtId="0" fontId="31" fillId="51" borderId="0" applyNumberFormat="0" applyBorder="0" applyAlignment="0" applyProtection="0">
      <alignment vertical="center"/>
    </xf>
    <xf numFmtId="4" fontId="25" fillId="5" borderId="99">
      <alignment horizontal="lef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50" borderId="0" applyNumberFormat="0" applyBorder="0" applyAlignment="0" applyProtection="0">
      <alignment vertical="center"/>
    </xf>
    <xf numFmtId="0" fontId="31" fillId="50" borderId="0" applyNumberFormat="0" applyBorder="0" applyAlignment="0" applyProtection="0">
      <alignment vertical="center"/>
    </xf>
    <xf numFmtId="0" fontId="31" fillId="50"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0" fillId="0" borderId="0" applyFill="0" applyBorder="0" applyAlignment="0"/>
    <xf numFmtId="0" fontId="31" fillId="14" borderId="0" applyNumberFormat="0" applyBorder="0" applyAlignment="0" applyProtection="0">
      <alignment vertical="center"/>
    </xf>
    <xf numFmtId="0" fontId="31" fillId="18" borderId="0" applyNumberFormat="0" applyBorder="0" applyAlignment="0" applyProtection="0">
      <alignment vertical="center"/>
    </xf>
    <xf numFmtId="0" fontId="0" fillId="24" borderId="0">
      <alignment horizontal="left" vertical="top"/>
    </xf>
    <xf numFmtId="0" fontId="31" fillId="18" borderId="0" applyNumberFormat="0" applyBorder="0" applyAlignment="0" applyProtection="0">
      <alignment vertical="center"/>
    </xf>
    <xf numFmtId="181" fontId="41" fillId="0" borderId="0" applyFill="0" applyBorder="0" applyAlignment="0"/>
    <xf numFmtId="0" fontId="41" fillId="0" borderId="0" applyFill="0" applyBorder="0" applyAlignment="0"/>
    <xf numFmtId="0" fontId="30" fillId="0" borderId="0" applyFill="0" applyBorder="0" applyAlignment="0"/>
    <xf numFmtId="0" fontId="30" fillId="0" borderId="0" applyFill="0" applyBorder="0" applyAlignment="0"/>
    <xf numFmtId="0" fontId="73" fillId="0" borderId="0"/>
    <xf numFmtId="0" fontId="41" fillId="0" borderId="0" applyFill="0" applyBorder="0" applyAlignment="0"/>
    <xf numFmtId="41" fontId="0" fillId="0" borderId="0" applyFont="0" applyFill="0" applyBorder="0" applyAlignment="0" applyProtection="0"/>
    <xf numFmtId="0" fontId="30" fillId="0" borderId="0" applyFont="0" applyFill="0" applyBorder="0" applyAlignment="0" applyProtection="0"/>
    <xf numFmtId="43" fontId="0" fillId="0" borderId="0" applyFont="0" applyFill="0" applyBorder="0" applyAlignment="0" applyProtection="0"/>
    <xf numFmtId="14" fontId="41" fillId="0" borderId="0" applyFill="0" applyBorder="0" applyAlignment="0"/>
    <xf numFmtId="0" fontId="74" fillId="0" borderId="0" applyNumberFormat="0" applyFont="0" applyBorder="0" applyAlignment="0" applyProtection="0"/>
    <xf numFmtId="0" fontId="75" fillId="0" borderId="0" applyNumberFormat="0" applyAlignment="0">
      <alignment horizontal="left"/>
    </xf>
    <xf numFmtId="180" fontId="0" fillId="0" borderId="0" applyFont="0" applyFill="0" applyBorder="0" applyAlignment="0" applyProtection="0"/>
    <xf numFmtId="0" fontId="30" fillId="0" borderId="0" applyFont="0" applyFill="0" applyBorder="0" applyAlignment="0" applyProtection="0"/>
    <xf numFmtId="0" fontId="76" fillId="0" borderId="109" applyNumberFormat="0" applyFill="0" applyAlignment="0" applyProtection="0">
      <alignment vertical="center"/>
    </xf>
    <xf numFmtId="4" fontId="77" fillId="52" borderId="99" applyNumberFormat="0" applyProtection="0">
      <alignment vertical="center"/>
    </xf>
    <xf numFmtId="184" fontId="0" fillId="0" borderId="0" applyFont="0" applyFill="0" applyBorder="0" applyAlignment="0" applyProtection="0"/>
    <xf numFmtId="0" fontId="78" fillId="0" borderId="56" applyNumberFormat="0" applyBorder="0">
      <alignment horizontal="centerContinuous"/>
    </xf>
    <xf numFmtId="0" fontId="31" fillId="48" borderId="0" applyNumberFormat="0" applyBorder="0" applyAlignment="0" applyProtection="0">
      <alignment vertical="center"/>
    </xf>
    <xf numFmtId="4" fontId="79" fillId="24" borderId="99" applyNumberFormat="0" applyProtection="0">
      <alignment vertical="center"/>
    </xf>
    <xf numFmtId="4" fontId="80" fillId="2" borderId="99" applyNumberFormat="0" applyProtection="0">
      <alignment vertical="center"/>
    </xf>
    <xf numFmtId="0" fontId="53" fillId="0" borderId="0" applyFill="0" applyBorder="0" applyAlignment="0"/>
    <xf numFmtId="0" fontId="81" fillId="0" borderId="0" applyNumberFormat="0" applyFill="0" applyBorder="0" applyAlignment="0" applyProtection="0">
      <alignment vertical="center"/>
    </xf>
    <xf numFmtId="0" fontId="53" fillId="0" borderId="0" applyFill="0" applyBorder="0" applyAlignment="0"/>
    <xf numFmtId="0" fontId="31" fillId="51" borderId="0" applyNumberFormat="0" applyBorder="0" applyAlignment="0" applyProtection="0">
      <alignment vertical="center"/>
    </xf>
    <xf numFmtId="0" fontId="30" fillId="0" borderId="0" applyFill="0" applyBorder="0" applyAlignment="0"/>
    <xf numFmtId="0" fontId="53" fillId="0" borderId="0" applyFill="0" applyBorder="0" applyAlignment="0"/>
    <xf numFmtId="0" fontId="0" fillId="0" borderId="0"/>
    <xf numFmtId="0" fontId="82" fillId="0" borderId="0" applyNumberFormat="0" applyFill="0" applyBorder="0" applyAlignment="0" applyProtection="0">
      <alignment vertical="top"/>
      <protection locked="0"/>
    </xf>
    <xf numFmtId="38" fontId="0" fillId="53" borderId="0" applyNumberFormat="0" applyBorder="0" applyAlignment="0" applyProtection="0"/>
    <xf numFmtId="0" fontId="3" fillId="0" borderId="0" applyBorder="0" applyAlignment="0"/>
    <xf numFmtId="0" fontId="83" fillId="0" borderId="84" applyNumberFormat="0" applyAlignment="0" applyProtection="0">
      <alignment horizontal="left" vertical="center"/>
    </xf>
    <xf numFmtId="0" fontId="83" fillId="0" borderId="75">
      <alignment horizontal="left" vertical="center"/>
    </xf>
    <xf numFmtId="4" fontId="84" fillId="46" borderId="99">
      <alignment horizontal="left" vertical="center"/>
    </xf>
    <xf numFmtId="4" fontId="85" fillId="53" borderId="99" applyNumberFormat="0" applyProtection="0">
      <alignment vertical="center"/>
    </xf>
    <xf numFmtId="0" fontId="51" fillId="0" borderId="0">
      <alignment horizontal="center"/>
    </xf>
    <xf numFmtId="10" fontId="0" fillId="6" borderId="4" applyNumberFormat="0" applyBorder="0" applyAlignment="0" applyProtection="0"/>
    <xf numFmtId="0" fontId="86" fillId="0" borderId="0" applyNumberFormat="0" applyFill="0" applyBorder="0" applyAlignment="0" applyProtection="0">
      <alignment vertical="center"/>
    </xf>
    <xf numFmtId="0" fontId="57" fillId="0" borderId="0" applyFill="0" applyBorder="0" applyAlignment="0"/>
    <xf numFmtId="0" fontId="57" fillId="0" borderId="0" applyFill="0" applyBorder="0" applyAlignment="0"/>
    <xf numFmtId="0" fontId="57" fillId="0" borderId="0" applyFill="0" applyBorder="0" applyAlignment="0"/>
    <xf numFmtId="186" fontId="0" fillId="0" borderId="0" applyFont="0" applyFill="0" applyBorder="0" applyAlignment="0" applyProtection="0"/>
    <xf numFmtId="0" fontId="87" fillId="0" borderId="110" applyNumberFormat="0" applyFill="0" applyAlignment="0" applyProtection="0">
      <alignment vertical="center"/>
    </xf>
    <xf numFmtId="4" fontId="72" fillId="0" borderId="0" applyFont="0" applyFill="0" applyBorder="0" applyAlignment="0" applyProtection="0"/>
    <xf numFmtId="4" fontId="88" fillId="47" borderId="99" applyNumberFormat="0" applyProtection="0">
      <alignment horizontal="left"/>
    </xf>
    <xf numFmtId="178" fontId="0" fillId="0" borderId="0" applyFont="0" applyFill="0" applyBorder="0" applyAlignment="0" applyProtection="0"/>
    <xf numFmtId="178" fontId="63" fillId="0" borderId="0" applyFont="0" applyFill="0" applyBorder="0" applyAlignment="0" applyProtection="0"/>
    <xf numFmtId="180" fontId="30" fillId="0" borderId="0" applyFont="0" applyFill="0" applyBorder="0" applyAlignment="0" applyProtection="0"/>
    <xf numFmtId="188" fontId="72" fillId="0" borderId="0" applyFont="0" applyFill="0" applyBorder="0" applyAlignment="0" applyProtection="0"/>
    <xf numFmtId="189" fontId="63" fillId="0" borderId="0" applyFont="0" applyFill="0" applyBorder="0" applyAlignment="0" applyProtection="0"/>
    <xf numFmtId="2" fontId="37" fillId="24" borderId="0"/>
    <xf numFmtId="191" fontId="0" fillId="0" borderId="0"/>
    <xf numFmtId="0" fontId="0" fillId="0" borderId="0"/>
    <xf numFmtId="0" fontId="60" fillId="0" borderId="0"/>
    <xf numFmtId="3" fontId="0" fillId="0" borderId="0" applyFont="0" applyFill="0" applyBorder="0" applyAlignment="0" applyProtection="0"/>
    <xf numFmtId="14" fontId="28" fillId="0" borderId="0">
      <alignment horizontal="center" wrapText="1"/>
      <protection locked="0"/>
    </xf>
    <xf numFmtId="0" fontId="30" fillId="0" borderId="0" applyFont="0" applyFill="0" applyBorder="0" applyAlignment="0" applyProtection="0"/>
    <xf numFmtId="182" fontId="30" fillId="0" borderId="0" applyFont="0" applyFill="0" applyBorder="0" applyAlignment="0" applyProtection="0"/>
    <xf numFmtId="0" fontId="0" fillId="6" borderId="111" applyNumberFormat="0" applyFont="0" applyAlignment="0" applyProtection="0">
      <alignment vertical="center"/>
    </xf>
    <xf numFmtId="10" fontId="0" fillId="0" borderId="0" applyFont="0" applyFill="0" applyBorder="0" applyAlignment="0" applyProtection="0"/>
    <xf numFmtId="0" fontId="30" fillId="0" borderId="0" applyFont="0" applyFill="0" applyBorder="0" applyAlignment="0" applyProtection="0"/>
    <xf numFmtId="0" fontId="89" fillId="0" borderId="0" applyFill="0" applyBorder="0" applyAlignment="0"/>
    <xf numFmtId="0" fontId="90" fillId="54" borderId="0" applyNumberFormat="0" applyBorder="0" applyAlignment="0" applyProtection="0">
      <alignment vertical="center"/>
    </xf>
    <xf numFmtId="0" fontId="89" fillId="0" borderId="0" applyFill="0" applyBorder="0" applyAlignment="0"/>
    <xf numFmtId="0" fontId="89" fillId="0" borderId="0" applyFill="0" applyBorder="0" applyAlignment="0"/>
    <xf numFmtId="0" fontId="86" fillId="0" borderId="0" applyNumberFormat="0" applyFill="0" applyBorder="0" applyAlignment="0" applyProtection="0">
      <alignment vertical="center"/>
    </xf>
    <xf numFmtId="0" fontId="89" fillId="0" borderId="0" applyFill="0" applyBorder="0" applyAlignment="0"/>
    <xf numFmtId="0" fontId="8" fillId="0" borderId="0"/>
    <xf numFmtId="4" fontId="37" fillId="0" borderId="0">
      <alignment horizontal="right"/>
    </xf>
    <xf numFmtId="4" fontId="0" fillId="0" borderId="0" applyFont="0" applyFill="0" applyBorder="0" applyAlignment="0" applyProtection="0"/>
    <xf numFmtId="0" fontId="91" fillId="0" borderId="35">
      <alignment horizontal="center"/>
    </xf>
    <xf numFmtId="0" fontId="0" fillId="55" borderId="0" applyNumberFormat="0" applyFont="0" applyBorder="0" applyAlignment="0" applyProtection="0"/>
    <xf numFmtId="0" fontId="68" fillId="56" borderId="0" applyNumberFormat="0" applyFont="0" applyBorder="0" applyAlignment="0">
      <alignment horizontal="center"/>
    </xf>
    <xf numFmtId="4" fontId="92" fillId="0" borderId="0">
      <alignment horizontal="right"/>
    </xf>
    <xf numFmtId="30" fontId="93" fillId="0" borderId="0" applyNumberFormat="0" applyFill="0" applyBorder="0" applyAlignment="0" applyProtection="0">
      <alignment horizontal="left"/>
    </xf>
    <xf numFmtId="4" fontId="77" fillId="45" borderId="99" applyNumberFormat="0" applyProtection="0">
      <alignment vertical="center"/>
    </xf>
    <xf numFmtId="4" fontId="25" fillId="57" borderId="99">
      <alignment horizontal="left" vertical="center"/>
    </xf>
    <xf numFmtId="4" fontId="94" fillId="47" borderId="99" applyNumberFormat="0" applyProtection="0">
      <alignment vertical="center"/>
    </xf>
    <xf numFmtId="0" fontId="95" fillId="2" borderId="112" applyNumberFormat="0" applyAlignment="0" applyProtection="0">
      <alignment vertical="center"/>
    </xf>
    <xf numFmtId="0" fontId="96" fillId="58" borderId="113" applyNumberFormat="0" applyAlignment="0" applyProtection="0">
      <alignment vertical="center"/>
    </xf>
    <xf numFmtId="4" fontId="97" fillId="24" borderId="99" applyNumberFormat="0" applyProtection="0">
      <alignment horizontal="left" vertical="center"/>
    </xf>
    <xf numFmtId="4" fontId="98" fillId="5" borderId="99" applyNumberFormat="0" applyProtection="0">
      <alignment horizontal="left" vertical="center"/>
    </xf>
    <xf numFmtId="4" fontId="99" fillId="24" borderId="99" applyNumberFormat="0" applyProtection="0">
      <alignment vertical="center"/>
    </xf>
    <xf numFmtId="0" fontId="31" fillId="46" borderId="0" applyNumberFormat="0" applyBorder="0" applyAlignment="0" applyProtection="0">
      <alignment vertical="center"/>
    </xf>
    <xf numFmtId="4" fontId="100" fillId="24" borderId="99" applyNumberFormat="0" applyProtection="0">
      <alignment vertical="center"/>
    </xf>
    <xf numFmtId="4" fontId="101" fillId="24" borderId="99" applyNumberFormat="0" applyProtection="0">
      <alignment vertical="center"/>
    </xf>
    <xf numFmtId="4" fontId="102" fillId="24" borderId="99" applyNumberFormat="0" applyProtection="0">
      <alignment vertical="center"/>
    </xf>
    <xf numFmtId="0" fontId="5" fillId="0" borderId="114" applyNumberFormat="0" applyFill="0" applyAlignment="0" applyProtection="0">
      <alignment vertical="center"/>
    </xf>
    <xf numFmtId="4" fontId="25" fillId="6" borderId="99" applyNumberFormat="0" applyProtection="0">
      <alignment horizontal="left" vertical="center"/>
    </xf>
    <xf numFmtId="0" fontId="31" fillId="22" borderId="0" applyNumberFormat="0" applyBorder="0" applyAlignment="0" applyProtection="0">
      <alignment vertical="center"/>
    </xf>
    <xf numFmtId="4" fontId="103" fillId="24" borderId="99" applyNumberFormat="0" applyProtection="0">
      <alignment vertical="center"/>
    </xf>
    <xf numFmtId="0" fontId="104" fillId="0" borderId="0">
      <alignment horizontal="left"/>
    </xf>
    <xf numFmtId="0" fontId="0" fillId="0" borderId="0">
      <alignment vertical="center"/>
    </xf>
    <xf numFmtId="1" fontId="105" fillId="0" borderId="0" applyBorder="0">
      <alignment horizontal="left" vertical="top" wrapText="1"/>
    </xf>
    <xf numFmtId="0" fontId="106" fillId="0" borderId="0"/>
    <xf numFmtId="0" fontId="107" fillId="14" borderId="0" applyNumberFormat="0" applyBorder="0" applyAlignment="0" applyProtection="0">
      <alignment vertical="center"/>
    </xf>
    <xf numFmtId="40" fontId="108" fillId="0" borderId="0" applyBorder="0">
      <alignment horizontal="right"/>
    </xf>
    <xf numFmtId="49" fontId="41" fillId="0" borderId="0" applyFill="0" applyBorder="0" applyAlignment="0"/>
    <xf numFmtId="0" fontId="5" fillId="0" borderId="0" applyNumberFormat="0" applyFill="0" applyBorder="0" applyAlignment="0" applyProtection="0">
      <alignment vertical="center"/>
    </xf>
    <xf numFmtId="0" fontId="30" fillId="0" borderId="0" applyFill="0" applyBorder="0" applyAlignment="0"/>
    <xf numFmtId="0" fontId="5" fillId="0" borderId="0" applyNumberFormat="0" applyFill="0" applyBorder="0" applyAlignment="0" applyProtection="0">
      <alignment vertical="center"/>
    </xf>
    <xf numFmtId="0" fontId="30" fillId="0" borderId="0" applyFill="0" applyBorder="0" applyAlignment="0"/>
    <xf numFmtId="38" fontId="109" fillId="0" borderId="0" applyFont="0" applyFill="0" applyBorder="0" applyAlignment="0" applyProtection="0"/>
    <xf numFmtId="0" fontId="110" fillId="0" borderId="0">
      <alignment horizontal="center"/>
    </xf>
    <xf numFmtId="0" fontId="31" fillId="48" borderId="0" applyNumberFormat="0" applyBorder="0" applyAlignment="0" applyProtection="0">
      <alignment vertical="center"/>
    </xf>
    <xf numFmtId="0" fontId="31" fillId="51" borderId="0" applyNumberFormat="0" applyBorder="0" applyAlignment="0" applyProtection="0">
      <alignment vertical="center"/>
    </xf>
    <xf numFmtId="0" fontId="31" fillId="51" borderId="0" applyNumberFormat="0" applyBorder="0" applyAlignment="0" applyProtection="0">
      <alignment vertical="center"/>
    </xf>
    <xf numFmtId="0" fontId="31" fillId="22"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12" borderId="0" applyNumberFormat="0" applyBorder="0" applyAlignment="0" applyProtection="0">
      <alignment vertical="center"/>
    </xf>
    <xf numFmtId="0" fontId="31" fillId="12" borderId="0" applyNumberFormat="0" applyBorder="0" applyAlignment="0" applyProtection="0">
      <alignment vertical="center"/>
    </xf>
    <xf numFmtId="0" fontId="31" fillId="45" borderId="0" applyNumberFormat="0" applyBorder="0" applyAlignment="0" applyProtection="0">
      <alignment vertical="center"/>
    </xf>
    <xf numFmtId="0" fontId="31" fillId="45" borderId="0" applyNumberFormat="0" applyBorder="0" applyAlignment="0" applyProtection="0">
      <alignment vertical="center"/>
    </xf>
    <xf numFmtId="0" fontId="31" fillId="45" borderId="0" applyNumberFormat="0" applyBorder="0" applyAlignment="0" applyProtection="0">
      <alignment vertical="center"/>
    </xf>
    <xf numFmtId="0" fontId="111" fillId="0" borderId="0">
      <alignment vertical="center"/>
    </xf>
    <xf numFmtId="0" fontId="86" fillId="0" borderId="0" applyNumberFormat="0" applyFill="0" applyBorder="0" applyAlignment="0" applyProtection="0">
      <alignment vertical="center"/>
    </xf>
    <xf numFmtId="0" fontId="95" fillId="2" borderId="112" applyNumberFormat="0" applyAlignment="0" applyProtection="0">
      <alignment vertical="center"/>
    </xf>
    <xf numFmtId="0" fontId="96" fillId="58" borderId="113" applyNumberFormat="0" applyAlignment="0" applyProtection="0">
      <alignment vertical="center"/>
    </xf>
    <xf numFmtId="0" fontId="95" fillId="2" borderId="112" applyNumberFormat="0" applyAlignment="0" applyProtection="0">
      <alignment vertical="center"/>
    </xf>
    <xf numFmtId="0" fontId="112" fillId="0" borderId="115" applyNumberFormat="0" applyFill="0" applyAlignment="0" applyProtection="0">
      <alignment vertical="center"/>
    </xf>
    <xf numFmtId="0" fontId="96" fillId="58" borderId="113" applyNumberFormat="0" applyAlignment="0" applyProtection="0">
      <alignment vertical="center"/>
    </xf>
    <xf numFmtId="0" fontId="0" fillId="6" borderId="111" applyNumberFormat="0" applyFont="0" applyAlignment="0" applyProtection="0">
      <alignment vertical="center"/>
    </xf>
    <xf numFmtId="0" fontId="0" fillId="6" borderId="111" applyNumberFormat="0" applyFont="0" applyAlignment="0" applyProtection="0">
      <alignment vertical="center"/>
    </xf>
    <xf numFmtId="0" fontId="5" fillId="0" borderId="114" applyNumberFormat="0" applyFill="0" applyAlignment="0" applyProtection="0">
      <alignment vertical="center"/>
    </xf>
    <xf numFmtId="0" fontId="5" fillId="0" borderId="114" applyNumberFormat="0" applyFill="0" applyAlignment="0" applyProtection="0">
      <alignment vertical="center"/>
    </xf>
    <xf numFmtId="0" fontId="113" fillId="0" borderId="0"/>
    <xf numFmtId="0" fontId="114" fillId="24" borderId="112" applyNumberFormat="0" applyAlignment="0" applyProtection="0">
      <alignment vertical="center"/>
    </xf>
    <xf numFmtId="0" fontId="90" fillId="54" borderId="0" applyNumberFormat="0" applyBorder="0" applyAlignment="0" applyProtection="0">
      <alignment vertical="center"/>
    </xf>
    <xf numFmtId="0" fontId="114" fillId="24" borderId="112" applyNumberFormat="0" applyAlignment="0" applyProtection="0">
      <alignment vertical="center"/>
    </xf>
    <xf numFmtId="0" fontId="90" fillId="54" borderId="0" applyNumberFormat="0" applyBorder="0" applyAlignment="0" applyProtection="0">
      <alignment vertical="center"/>
    </xf>
    <xf numFmtId="176" fontId="1" fillId="0" borderId="0" applyBorder="0">
      <alignment horizontal="right"/>
    </xf>
    <xf numFmtId="49" fontId="0" fillId="0" borderId="0" applyFont="0"/>
    <xf numFmtId="190" fontId="0" fillId="0" borderId="116" applyNumberFormat="0" applyFont="0" applyFill="0" applyAlignment="0" applyProtection="0">
      <alignment horizontal="left"/>
    </xf>
    <xf numFmtId="0" fontId="114" fillId="24" borderId="112" applyNumberFormat="0" applyAlignment="0" applyProtection="0">
      <alignment vertical="center"/>
    </xf>
    <xf numFmtId="0" fontId="5" fillId="0" borderId="0" applyNumberFormat="0" applyFill="0" applyBorder="0" applyAlignment="0" applyProtection="0">
      <alignment vertical="center"/>
    </xf>
    <xf numFmtId="43" fontId="0" fillId="0" borderId="0" applyFont="0" applyFill="0" applyBorder="0" applyAlignment="0" applyProtection="0"/>
    <xf numFmtId="4" fontId="0" fillId="0" borderId="0" applyFont="0" applyFill="0" applyBorder="0" applyAlignment="0" applyProtection="0"/>
    <xf numFmtId="0" fontId="87" fillId="0" borderId="110" applyNumberFormat="0" applyFill="0" applyAlignment="0" applyProtection="0">
      <alignment vertical="center"/>
    </xf>
    <xf numFmtId="0" fontId="87" fillId="0" borderId="110" applyNumberFormat="0" applyFill="0" applyAlignment="0" applyProtection="0">
      <alignment vertical="center"/>
    </xf>
    <xf numFmtId="0" fontId="76" fillId="0" borderId="109" applyNumberFormat="0" applyFill="0" applyAlignment="0" applyProtection="0">
      <alignment vertical="center"/>
    </xf>
    <xf numFmtId="0" fontId="76" fillId="0" borderId="109" applyNumberFormat="0" applyFill="0" applyAlignment="0" applyProtection="0">
      <alignment vertical="center"/>
    </xf>
    <xf numFmtId="0" fontId="81" fillId="0" borderId="117" applyNumberFormat="0" applyFill="0" applyAlignment="0" applyProtection="0">
      <alignment vertical="center"/>
    </xf>
    <xf numFmtId="0" fontId="81" fillId="0" borderId="117" applyNumberFormat="0" applyFill="0" applyAlignment="0" applyProtection="0">
      <alignment vertical="center"/>
    </xf>
    <xf numFmtId="0" fontId="81" fillId="0" borderId="117" applyNumberFormat="0" applyFill="0" applyAlignment="0" applyProtection="0">
      <alignment vertical="center"/>
    </xf>
    <xf numFmtId="0" fontId="81"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63" fillId="0" borderId="0"/>
    <xf numFmtId="0" fontId="63" fillId="0" borderId="0" applyNumberFormat="0"/>
    <xf numFmtId="0" fontId="112" fillId="0" borderId="115" applyNumberFormat="0" applyFill="0" applyAlignment="0" applyProtection="0">
      <alignment vertical="center"/>
    </xf>
    <xf numFmtId="0" fontId="112" fillId="0" borderId="115" applyNumberFormat="0" applyFill="0" applyAlignment="0" applyProtection="0">
      <alignment vertical="center"/>
    </xf>
    <xf numFmtId="0" fontId="50" fillId="24" borderId="106" applyNumberFormat="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0" borderId="0">
      <alignment vertical="center"/>
    </xf>
    <xf numFmtId="0" fontId="0" fillId="0" borderId="0"/>
    <xf numFmtId="0" fontId="0" fillId="0" borderId="0"/>
    <xf numFmtId="0" fontId="33" fillId="0" borderId="0">
      <alignment vertical="center"/>
    </xf>
    <xf numFmtId="0" fontId="115" fillId="0" borderId="0">
      <alignment vertical="center" wrapText="1"/>
    </xf>
    <xf numFmtId="0" fontId="63" fillId="0" borderId="0" applyNumberFormat="0"/>
    <xf numFmtId="0" fontId="3" fillId="0" borderId="0">
      <alignment vertical="center"/>
    </xf>
    <xf numFmtId="0" fontId="63" fillId="0" borderId="0" applyNumberFormat="0"/>
    <xf numFmtId="0" fontId="107" fillId="14" borderId="0" applyNumberFormat="0" applyBorder="0" applyAlignment="0" applyProtection="0">
      <alignment vertical="center"/>
    </xf>
    <xf numFmtId="0" fontId="107" fillId="14" borderId="0" applyNumberFormat="0" applyBorder="0" applyAlignment="0" applyProtection="0">
      <alignment vertical="center"/>
    </xf>
  </cellStyleXfs>
  <cellXfs count="501">
    <xf numFmtId="0" fontId="0" fillId="0" borderId="0" xfId="0"/>
    <xf numFmtId="0" fontId="1" fillId="0" borderId="0" xfId="322" applyFont="1" applyAlignment="1">
      <alignment vertical="top"/>
    </xf>
    <xf numFmtId="0" fontId="1" fillId="0" borderId="0" xfId="322" applyFont="1" applyAlignment="1">
      <alignment vertical="top" wrapText="1"/>
    </xf>
    <xf numFmtId="49" fontId="1" fillId="0" borderId="0" xfId="322" applyNumberFormat="1" applyFont="1" applyAlignment="1">
      <alignment horizontal="left" vertical="top"/>
    </xf>
    <xf numFmtId="0" fontId="1" fillId="0" borderId="0" xfId="322" applyFont="1" applyAlignment="1">
      <alignment horizontal="right" vertical="top"/>
    </xf>
    <xf numFmtId="14" fontId="1" fillId="2" borderId="0" xfId="322" applyNumberFormat="1" applyFont="1" applyFill="1" applyAlignment="1">
      <alignment horizontal="center" vertical="top" shrinkToFit="1"/>
    </xf>
    <xf numFmtId="0" fontId="2" fillId="0" borderId="0" xfId="322" applyFont="1" applyAlignment="1">
      <alignment horizontal="center" vertical="top"/>
    </xf>
    <xf numFmtId="49" fontId="1" fillId="2" borderId="0" xfId="322" applyNumberFormat="1" applyFont="1" applyFill="1" applyAlignment="1">
      <alignment horizontal="left" vertical="top"/>
    </xf>
    <xf numFmtId="0" fontId="1" fillId="2" borderId="0" xfId="322" applyFont="1" applyFill="1" applyAlignment="1">
      <alignment horizontal="center" vertical="top"/>
    </xf>
    <xf numFmtId="0" fontId="1" fillId="3" borderId="1" xfId="322" applyFont="1" applyFill="1" applyBorder="1" applyAlignment="1">
      <alignment horizontal="center" vertical="center"/>
    </xf>
    <xf numFmtId="0" fontId="1" fillId="3" borderId="2" xfId="322" applyFont="1" applyFill="1" applyBorder="1" applyAlignment="1">
      <alignment horizontal="center" vertical="center"/>
    </xf>
    <xf numFmtId="0" fontId="1" fillId="3" borderId="2" xfId="322" applyFont="1" applyFill="1" applyBorder="1" applyAlignment="1">
      <alignment horizontal="center" vertical="center" wrapText="1"/>
    </xf>
    <xf numFmtId="0" fontId="1" fillId="3" borderId="2" xfId="322" applyFont="1" applyFill="1" applyBorder="1" applyAlignment="1">
      <alignment vertical="top" textRotation="255" shrinkToFit="1"/>
    </xf>
    <xf numFmtId="0" fontId="1" fillId="0" borderId="3" xfId="322" applyFont="1" applyBorder="1" applyAlignment="1">
      <alignment horizontal="center" vertical="center"/>
    </xf>
    <xf numFmtId="0" fontId="1" fillId="0" borderId="4" xfId="322" applyFont="1" applyBorder="1" applyAlignment="1">
      <alignment horizontal="center" vertical="center"/>
    </xf>
    <xf numFmtId="0" fontId="1" fillId="0" borderId="4" xfId="322" applyFont="1" applyBorder="1" applyAlignment="1">
      <alignment horizontal="center" vertical="center" wrapText="1"/>
    </xf>
    <xf numFmtId="0" fontId="1" fillId="0" borderId="4" xfId="322" applyFont="1" applyBorder="1" applyAlignment="1">
      <alignment vertical="top"/>
    </xf>
    <xf numFmtId="0" fontId="3" fillId="0" borderId="5" xfId="322" applyFont="1" applyBorder="1" applyAlignment="1">
      <alignment vertical="top"/>
    </xf>
    <xf numFmtId="0" fontId="3" fillId="0" borderId="6" xfId="322" applyFont="1" applyBorder="1" applyAlignment="1">
      <alignment vertical="top"/>
    </xf>
    <xf numFmtId="0" fontId="3" fillId="0" borderId="6" xfId="322" applyFont="1" applyBorder="1" applyAlignment="1">
      <alignment vertical="top" wrapText="1"/>
    </xf>
    <xf numFmtId="0" fontId="3" fillId="0" borderId="6" xfId="322" applyFont="1" applyBorder="1" applyAlignment="1">
      <alignment horizontal="center" vertical="top"/>
    </xf>
    <xf numFmtId="0" fontId="3" fillId="4" borderId="6" xfId="322" applyFont="1" applyFill="1" applyBorder="1" applyAlignment="1">
      <alignment horizontal="center" vertical="top"/>
    </xf>
    <xf numFmtId="0" fontId="3" fillId="0" borderId="7" xfId="322" applyFont="1" applyBorder="1" applyAlignment="1">
      <alignment vertical="top"/>
    </xf>
    <xf numFmtId="0" fontId="3" fillId="0" borderId="8" xfId="322" applyFont="1" applyBorder="1" applyAlignment="1">
      <alignment vertical="top"/>
    </xf>
    <xf numFmtId="0" fontId="3" fillId="0" borderId="8" xfId="322" applyFont="1" applyBorder="1" applyAlignment="1">
      <alignment vertical="top" wrapText="1"/>
    </xf>
    <xf numFmtId="0" fontId="3" fillId="0" borderId="8" xfId="322" applyFont="1" applyBorder="1" applyAlignment="1">
      <alignment horizontal="center" vertical="top"/>
    </xf>
    <xf numFmtId="0" fontId="3" fillId="4" borderId="8" xfId="322" applyFont="1" applyFill="1" applyBorder="1" applyAlignment="1">
      <alignment horizontal="center" vertical="top"/>
    </xf>
    <xf numFmtId="0" fontId="3" fillId="0" borderId="9" xfId="322" applyFont="1" applyBorder="1" applyAlignment="1">
      <alignment vertical="top"/>
    </xf>
    <xf numFmtId="0" fontId="3" fillId="0" borderId="9" xfId="322" applyFont="1" applyBorder="1" applyAlignment="1">
      <alignment vertical="top" wrapText="1"/>
    </xf>
    <xf numFmtId="0" fontId="3" fillId="0" borderId="9" xfId="322" applyFont="1" applyBorder="1" applyAlignment="1">
      <alignment horizontal="center" vertical="top"/>
    </xf>
    <xf numFmtId="0" fontId="3" fillId="4" borderId="9" xfId="322" applyFont="1" applyFill="1" applyBorder="1" applyAlignment="1">
      <alignment horizontal="center" vertical="top"/>
    </xf>
    <xf numFmtId="0" fontId="4" fillId="0" borderId="8" xfId="322" applyFont="1" applyBorder="1" applyAlignment="1">
      <alignment vertical="top" wrapText="1"/>
    </xf>
    <xf numFmtId="0" fontId="4" fillId="0" borderId="8" xfId="322" applyFont="1" applyBorder="1" applyAlignment="1">
      <alignment horizontal="center" vertical="top"/>
    </xf>
    <xf numFmtId="0" fontId="4" fillId="0" borderId="8" xfId="322" applyFont="1" applyBorder="1" applyAlignment="1">
      <alignment vertical="top"/>
    </xf>
    <xf numFmtId="0" fontId="4" fillId="4" borderId="8" xfId="322" applyFont="1" applyFill="1" applyBorder="1" applyAlignment="1">
      <alignment horizontal="center" vertical="top"/>
    </xf>
    <xf numFmtId="0" fontId="3" fillId="0" borderId="10" xfId="322" applyFont="1" applyBorder="1" applyAlignment="1">
      <alignment vertical="top"/>
    </xf>
    <xf numFmtId="0" fontId="3" fillId="0" borderId="11" xfId="322" applyFont="1" applyBorder="1" applyAlignment="1">
      <alignment vertical="top"/>
    </xf>
    <xf numFmtId="0" fontId="3" fillId="0" borderId="11" xfId="322" applyFont="1" applyBorder="1" applyAlignment="1">
      <alignment vertical="top" wrapText="1"/>
    </xf>
    <xf numFmtId="0" fontId="3" fillId="0" borderId="11" xfId="322" applyFont="1" applyBorder="1" applyAlignment="1">
      <alignment horizontal="center" vertical="top"/>
    </xf>
    <xf numFmtId="0" fontId="3" fillId="0" borderId="12" xfId="322" applyFont="1" applyBorder="1" applyAlignment="1">
      <alignment vertical="top"/>
    </xf>
    <xf numFmtId="0" fontId="3" fillId="4" borderId="12" xfId="322" applyFont="1" applyFill="1" applyBorder="1" applyAlignment="1">
      <alignment horizontal="center" vertical="top"/>
    </xf>
    <xf numFmtId="0" fontId="3" fillId="0" borderId="13" xfId="322" applyFont="1" applyBorder="1" applyAlignment="1">
      <alignment vertical="top"/>
    </xf>
    <xf numFmtId="0" fontId="3" fillId="0" borderId="13" xfId="322" applyFont="1" applyBorder="1" applyAlignment="1">
      <alignment vertical="top" wrapText="1"/>
    </xf>
    <xf numFmtId="0" fontId="3" fillId="0" borderId="13" xfId="322" applyFont="1" applyBorder="1" applyAlignment="1">
      <alignment horizontal="center" vertical="top"/>
    </xf>
    <xf numFmtId="0" fontId="3" fillId="4" borderId="13" xfId="322" applyFont="1" applyFill="1" applyBorder="1" applyAlignment="1">
      <alignment horizontal="center" vertical="top"/>
    </xf>
    <xf numFmtId="0" fontId="3" fillId="0" borderId="5" xfId="322" applyFont="1" applyBorder="1" applyAlignment="1">
      <alignment vertical="top" wrapText="1"/>
    </xf>
    <xf numFmtId="0" fontId="3" fillId="0" borderId="14" xfId="322" applyFont="1" applyBorder="1" applyAlignment="1">
      <alignment vertical="top"/>
    </xf>
    <xf numFmtId="0" fontId="3" fillId="0" borderId="15" xfId="322" applyFont="1" applyBorder="1" applyAlignment="1">
      <alignment horizontal="center" vertical="top"/>
    </xf>
    <xf numFmtId="0" fontId="3" fillId="4" borderId="15" xfId="322" applyFont="1" applyFill="1" applyBorder="1" applyAlignment="1">
      <alignment horizontal="center" vertical="top"/>
    </xf>
    <xf numFmtId="0" fontId="3" fillId="0" borderId="7" xfId="322" applyFont="1" applyBorder="1" applyAlignment="1">
      <alignment vertical="top" wrapText="1"/>
    </xf>
    <xf numFmtId="0" fontId="3" fillId="0" borderId="14" xfId="322" applyFont="1" applyBorder="1" applyAlignment="1">
      <alignment horizontal="center" vertical="top"/>
    </xf>
    <xf numFmtId="0" fontId="3" fillId="4" borderId="14" xfId="322" applyFont="1" applyFill="1" applyBorder="1" applyAlignment="1">
      <alignment horizontal="center" vertical="top"/>
    </xf>
    <xf numFmtId="0" fontId="3" fillId="0" borderId="8" xfId="322" applyFont="1" applyBorder="1" applyAlignment="1">
      <alignment horizontal="justify" vertical="center"/>
    </xf>
    <xf numFmtId="0" fontId="1" fillId="3" borderId="16" xfId="322" applyFont="1" applyFill="1" applyBorder="1" applyAlignment="1">
      <alignment vertical="top" textRotation="255" shrinkToFit="1"/>
    </xf>
    <xf numFmtId="0" fontId="1" fillId="0" borderId="17" xfId="322" applyFont="1" applyBorder="1" applyAlignment="1">
      <alignment vertical="top"/>
    </xf>
    <xf numFmtId="0" fontId="3" fillId="4" borderId="18" xfId="322" applyFont="1" applyFill="1" applyBorder="1" applyAlignment="1">
      <alignment horizontal="center" vertical="top"/>
    </xf>
    <xf numFmtId="0" fontId="3" fillId="4" borderId="19" xfId="322" applyFont="1" applyFill="1" applyBorder="1" applyAlignment="1">
      <alignment horizontal="center" vertical="top"/>
    </xf>
    <xf numFmtId="0" fontId="3" fillId="4" borderId="20" xfId="322" applyFont="1" applyFill="1" applyBorder="1" applyAlignment="1">
      <alignment horizontal="center" vertical="top"/>
    </xf>
    <xf numFmtId="0" fontId="4" fillId="4" borderId="19" xfId="322" applyFont="1" applyFill="1" applyBorder="1" applyAlignment="1">
      <alignment horizontal="center" vertical="top"/>
    </xf>
    <xf numFmtId="0" fontId="3" fillId="4" borderId="21" xfId="322" applyFont="1" applyFill="1" applyBorder="1" applyAlignment="1">
      <alignment horizontal="center" vertical="top"/>
    </xf>
    <xf numFmtId="0" fontId="3" fillId="4" borderId="22" xfId="322" applyFont="1" applyFill="1" applyBorder="1" applyAlignment="1">
      <alignment horizontal="center" vertical="top"/>
    </xf>
    <xf numFmtId="0" fontId="3" fillId="4" borderId="23" xfId="322" applyFont="1" applyFill="1" applyBorder="1" applyAlignment="1">
      <alignment horizontal="center" vertical="top"/>
    </xf>
    <xf numFmtId="0" fontId="3" fillId="4" borderId="24" xfId="322" applyFont="1" applyFill="1" applyBorder="1" applyAlignment="1">
      <alignment horizontal="center" vertical="top"/>
    </xf>
    <xf numFmtId="0" fontId="3" fillId="4" borderId="25" xfId="322" applyFont="1" applyFill="1" applyBorder="1" applyAlignment="1">
      <alignment horizontal="center" vertical="top"/>
    </xf>
    <xf numFmtId="0" fontId="3" fillId="0" borderId="26" xfId="322" applyFont="1" applyBorder="1" applyAlignment="1">
      <alignment vertical="top"/>
    </xf>
    <xf numFmtId="0" fontId="3" fillId="0" borderId="26" xfId="322" applyFont="1" applyBorder="1" applyAlignment="1">
      <alignment vertical="top" wrapText="1"/>
    </xf>
    <xf numFmtId="0" fontId="3" fillId="0" borderId="26" xfId="322" applyFont="1" applyBorder="1" applyAlignment="1">
      <alignment horizontal="center" vertical="top"/>
    </xf>
    <xf numFmtId="0" fontId="3" fillId="4" borderId="26" xfId="322" applyFont="1" applyFill="1" applyBorder="1" applyAlignment="1">
      <alignment horizontal="center" vertical="top"/>
    </xf>
    <xf numFmtId="0" fontId="3" fillId="0" borderId="12" xfId="322" applyFont="1" applyBorder="1" applyAlignment="1">
      <alignment vertical="top" wrapText="1"/>
    </xf>
    <xf numFmtId="0" fontId="3" fillId="0" borderId="12" xfId="322" applyFont="1" applyBorder="1" applyAlignment="1">
      <alignment horizontal="center" vertical="top"/>
    </xf>
    <xf numFmtId="0" fontId="3" fillId="0" borderId="25" xfId="322" applyFont="1" applyBorder="1" applyAlignment="1">
      <alignment vertical="top"/>
    </xf>
    <xf numFmtId="0" fontId="3" fillId="0" borderId="25" xfId="322" applyFont="1" applyBorder="1" applyAlignment="1">
      <alignment vertical="top" wrapText="1"/>
    </xf>
    <xf numFmtId="0" fontId="3" fillId="0" borderId="25" xfId="322" applyFont="1" applyBorder="1" applyAlignment="1">
      <alignment horizontal="center" vertical="top"/>
    </xf>
    <xf numFmtId="0" fontId="3" fillId="0" borderId="27" xfId="322" applyFont="1" applyBorder="1" applyAlignment="1">
      <alignment vertical="top"/>
    </xf>
    <xf numFmtId="0" fontId="3" fillId="0" borderId="28" xfId="322" applyFont="1" applyBorder="1" applyAlignment="1">
      <alignment vertical="top"/>
    </xf>
    <xf numFmtId="0" fontId="3" fillId="0" borderId="28" xfId="322" applyFont="1" applyBorder="1" applyAlignment="1">
      <alignment vertical="top" wrapText="1"/>
    </xf>
    <xf numFmtId="0" fontId="3" fillId="0" borderId="28" xfId="322" applyFont="1" applyBorder="1" applyAlignment="1">
      <alignment horizontal="center" vertical="top"/>
    </xf>
    <xf numFmtId="0" fontId="3" fillId="4" borderId="28" xfId="322" applyFont="1" applyFill="1" applyBorder="1" applyAlignment="1">
      <alignment horizontal="center" vertical="top"/>
    </xf>
    <xf numFmtId="0" fontId="3" fillId="4" borderId="29" xfId="322" applyFont="1" applyFill="1" applyBorder="1" applyAlignment="1">
      <alignment horizontal="center" vertical="top"/>
    </xf>
    <xf numFmtId="0" fontId="3" fillId="4" borderId="30" xfId="322" applyFont="1" applyFill="1" applyBorder="1" applyAlignment="1">
      <alignment horizontal="center" vertical="top"/>
    </xf>
    <xf numFmtId="0" fontId="3" fillId="4" borderId="31" xfId="322" applyFont="1" applyFill="1" applyBorder="1" applyAlignment="1">
      <alignment horizontal="center" vertical="top"/>
    </xf>
    <xf numFmtId="0" fontId="0" fillId="0" borderId="0" xfId="0" applyAlignment="1">
      <alignment vertical="top"/>
    </xf>
    <xf numFmtId="0" fontId="0" fillId="0" borderId="0" xfId="0" applyAlignment="1">
      <alignment vertical="center"/>
    </xf>
    <xf numFmtId="0" fontId="0" fillId="0" borderId="0" xfId="0" applyAlignment="1">
      <alignment horizontal="center" vertical="center"/>
    </xf>
    <xf numFmtId="0" fontId="5" fillId="0" borderId="0" xfId="0" applyFont="1"/>
    <xf numFmtId="0" fontId="0" fillId="0" borderId="4" xfId="0" applyBorder="1" applyAlignment="1">
      <alignment horizontal="center"/>
    </xf>
    <xf numFmtId="0" fontId="0" fillId="0" borderId="4" xfId="0" applyBorder="1"/>
    <xf numFmtId="0" fontId="0" fillId="0" borderId="32" xfId="0" applyBorder="1"/>
    <xf numFmtId="0" fontId="6" fillId="0" borderId="0" xfId="0" applyFont="1" applyAlignment="1">
      <alignment horizontal="center" vertical="center"/>
    </xf>
    <xf numFmtId="0" fontId="6" fillId="0" borderId="0" xfId="0" applyFont="1" applyAlignment="1">
      <alignment horizontal="right" vertical="center"/>
    </xf>
    <xf numFmtId="0" fontId="7" fillId="0" borderId="0" xfId="0" applyFont="1"/>
    <xf numFmtId="0" fontId="7" fillId="0" borderId="0" xfId="0" applyFont="1" applyAlignment="1"/>
    <xf numFmtId="0" fontId="1" fillId="0" borderId="0" xfId="0" applyFont="1" applyAlignment="1">
      <alignment horizontal="left" vertical="center"/>
    </xf>
    <xf numFmtId="0" fontId="1" fillId="0" borderId="0" xfId="0" applyFont="1" applyAlignment="1">
      <alignment horizontal="right" vertical="center"/>
    </xf>
    <xf numFmtId="0" fontId="0" fillId="0" borderId="0" xfId="0" applyAlignment="1">
      <alignment horizontal="right"/>
    </xf>
    <xf numFmtId="0" fontId="1" fillId="0" borderId="0" xfId="0" applyFont="1" applyAlignment="1">
      <alignment vertical="center"/>
    </xf>
    <xf numFmtId="0" fontId="1" fillId="0" borderId="0" xfId="0" applyFont="1" applyAlignment="1">
      <alignment horizontal="center" vertical="center"/>
    </xf>
    <xf numFmtId="0" fontId="1" fillId="0" borderId="0" xfId="0" applyFont="1"/>
    <xf numFmtId="0" fontId="8" fillId="0" borderId="0" xfId="0" applyFont="1" applyAlignment="1">
      <alignment vertical="center"/>
    </xf>
    <xf numFmtId="0" fontId="1" fillId="0" borderId="33" xfId="0" applyFont="1" applyBorder="1" applyAlignment="1" applyProtection="1">
      <alignment vertical="center" shrinkToFit="1"/>
      <protection hidden="1"/>
    </xf>
    <xf numFmtId="0" fontId="0" fillId="0" borderId="33" xfId="0" applyBorder="1" applyAlignment="1">
      <alignment vertical="center" shrinkToFit="1"/>
    </xf>
    <xf numFmtId="49" fontId="0" fillId="5" borderId="33" xfId="0" applyNumberFormat="1" applyFill="1" applyBorder="1" applyAlignment="1">
      <alignment vertical="center"/>
    </xf>
    <xf numFmtId="0" fontId="1" fillId="0" borderId="0" xfId="0" applyFont="1" applyAlignment="1">
      <alignment horizontal="right" vertical="center" wrapText="1"/>
    </xf>
    <xf numFmtId="0" fontId="9" fillId="0" borderId="34" xfId="0" applyFont="1" applyBorder="1" applyAlignment="1">
      <alignment wrapText="1"/>
    </xf>
    <xf numFmtId="0" fontId="9" fillId="0" borderId="34" xfId="0" applyFont="1" applyBorder="1" applyAlignment="1"/>
    <xf numFmtId="49" fontId="0" fillId="5" borderId="35" xfId="0" applyNumberFormat="1" applyFill="1" applyBorder="1" applyAlignment="1"/>
    <xf numFmtId="49" fontId="0" fillId="5" borderId="35" xfId="0" applyNumberFormat="1" applyFont="1" applyFill="1" applyBorder="1" applyAlignment="1"/>
    <xf numFmtId="0" fontId="0" fillId="0" borderId="0" xfId="0" applyAlignment="1">
      <alignment vertical="center" wrapText="1"/>
    </xf>
    <xf numFmtId="0" fontId="8" fillId="0" borderId="0" xfId="0" applyFont="1" applyAlignment="1">
      <alignment wrapText="1"/>
    </xf>
    <xf numFmtId="0" fontId="1" fillId="0" borderId="0" xfId="0" applyFont="1" applyAlignment="1">
      <alignment vertical="top"/>
    </xf>
    <xf numFmtId="0" fontId="5" fillId="0" borderId="0" xfId="0" applyFont="1" applyAlignment="1">
      <alignment vertical="top"/>
    </xf>
    <xf numFmtId="179" fontId="0" fillId="6" borderId="4" xfId="0" applyNumberFormat="1" applyFill="1" applyBorder="1" applyAlignment="1">
      <alignment horizontal="center" vertical="center"/>
    </xf>
    <xf numFmtId="179" fontId="0" fillId="6" borderId="0" xfId="0" applyNumberFormat="1" applyFill="1" applyAlignment="1">
      <alignment horizontal="center" vertical="center"/>
    </xf>
    <xf numFmtId="0" fontId="1" fillId="0" borderId="25" xfId="0" applyFont="1" applyBorder="1" applyAlignment="1">
      <alignment horizontal="center" vertical="center"/>
    </xf>
    <xf numFmtId="0" fontId="1" fillId="0" borderId="25" xfId="0" applyFont="1" applyBorder="1" applyAlignment="1">
      <alignment horizontal="center" vertical="center" shrinkToFit="1"/>
    </xf>
    <xf numFmtId="0" fontId="1" fillId="0" borderId="4" xfId="0" applyFont="1" applyBorder="1" applyAlignment="1">
      <alignment horizontal="center" vertical="center"/>
    </xf>
    <xf numFmtId="0" fontId="1" fillId="0" borderId="4" xfId="0" applyFont="1" applyBorder="1" applyAlignment="1">
      <alignment horizontal="center" vertical="top"/>
    </xf>
    <xf numFmtId="0" fontId="1" fillId="6" borderId="4" xfId="0" applyFont="1" applyFill="1" applyBorder="1" applyAlignment="1" applyProtection="1">
      <alignment horizontal="center" vertical="top" wrapText="1"/>
      <protection locked="0"/>
    </xf>
    <xf numFmtId="0" fontId="1" fillId="6" borderId="4" xfId="0" applyFont="1" applyFill="1" applyBorder="1" applyAlignment="1" applyProtection="1">
      <alignment vertical="top" wrapText="1"/>
      <protection locked="0"/>
    </xf>
    <xf numFmtId="14" fontId="1" fillId="6" borderId="4" xfId="0" applyNumberFormat="1" applyFont="1" applyFill="1" applyBorder="1" applyAlignment="1" applyProtection="1">
      <alignment horizontal="center" vertical="top" shrinkToFit="1"/>
      <protection locked="0"/>
    </xf>
    <xf numFmtId="56" fontId="1" fillId="6" borderId="4" xfId="0" applyNumberFormat="1" applyFont="1" applyFill="1" applyBorder="1" applyAlignment="1" applyProtection="1">
      <alignment horizontal="center" vertical="top" wrapText="1"/>
      <protection locked="0"/>
    </xf>
    <xf numFmtId="0" fontId="1" fillId="5" borderId="4" xfId="0" applyFont="1" applyFill="1" applyBorder="1" applyAlignment="1" applyProtection="1">
      <alignment vertical="top" wrapText="1"/>
      <protection locked="0"/>
    </xf>
    <xf numFmtId="14" fontId="1" fillId="5" borderId="4" xfId="0" applyNumberFormat="1" applyFont="1" applyFill="1" applyBorder="1" applyAlignment="1" applyProtection="1">
      <alignment horizontal="center" vertical="top" shrinkToFit="1"/>
      <protection locked="0"/>
    </xf>
    <xf numFmtId="56" fontId="1" fillId="5" borderId="4" xfId="0" applyNumberFormat="1" applyFont="1" applyFill="1" applyBorder="1" applyAlignment="1" applyProtection="1">
      <alignment horizontal="center" vertical="top"/>
      <protection locked="0"/>
    </xf>
    <xf numFmtId="0" fontId="9" fillId="6" borderId="4" xfId="0" applyFont="1" applyFill="1" applyBorder="1" applyAlignment="1" applyProtection="1">
      <alignment horizontal="center" vertical="top" wrapText="1"/>
      <protection locked="0"/>
    </xf>
    <xf numFmtId="0" fontId="1" fillId="5" borderId="4" xfId="0" applyFont="1" applyFill="1" applyBorder="1" applyAlignment="1" applyProtection="1">
      <alignment horizontal="center" vertical="top"/>
      <protection locked="0"/>
    </xf>
    <xf numFmtId="0" fontId="1" fillId="5" borderId="4" xfId="0" applyFont="1" applyFill="1" applyBorder="1" applyAlignment="1" applyProtection="1">
      <alignment horizontal="center" vertical="top" wrapText="1"/>
      <protection locked="0"/>
    </xf>
    <xf numFmtId="0" fontId="8" fillId="0" borderId="0" xfId="0" applyFont="1" applyAlignment="1">
      <alignment horizontal="left" vertical="center"/>
    </xf>
    <xf numFmtId="14" fontId="8" fillId="0" borderId="0" xfId="0" applyNumberFormat="1" applyFont="1" applyAlignment="1">
      <alignment vertical="center" shrinkToFit="1"/>
    </xf>
    <xf numFmtId="0" fontId="0" fillId="0" borderId="36" xfId="0" applyBorder="1"/>
    <xf numFmtId="0" fontId="1" fillId="0" borderId="0" xfId="0" applyFont="1" applyAlignment="1">
      <alignment horizontal="center" vertical="center" wrapText="1"/>
    </xf>
    <xf numFmtId="0" fontId="1" fillId="0" borderId="0" xfId="0" applyFont="1" applyAlignment="1">
      <alignment horizontal="center"/>
    </xf>
    <xf numFmtId="0" fontId="1" fillId="7" borderId="0" xfId="0" applyFont="1" applyFill="1"/>
    <xf numFmtId="0" fontId="5" fillId="0" borderId="36" xfId="0" applyFont="1" applyBorder="1"/>
    <xf numFmtId="0" fontId="0" fillId="0" borderId="37" xfId="0" applyBorder="1"/>
    <xf numFmtId="0" fontId="1" fillId="0" borderId="38" xfId="0" applyFont="1" applyBorder="1" applyAlignment="1">
      <alignment horizontal="center" vertical="center"/>
    </xf>
    <xf numFmtId="0" fontId="1" fillId="0" borderId="39" xfId="0" applyFont="1" applyBorder="1" applyAlignment="1">
      <alignment horizontal="center" vertical="center"/>
    </xf>
    <xf numFmtId="0" fontId="0" fillId="0" borderId="0" xfId="0" applyAlignment="1">
      <alignment horizontal="centerContinuous" vertical="center"/>
    </xf>
    <xf numFmtId="14" fontId="0" fillId="0" borderId="40" xfId="0" applyNumberFormat="1" applyBorder="1" applyAlignment="1">
      <alignment horizontal="center" vertical="center"/>
    </xf>
    <xf numFmtId="14" fontId="0" fillId="0" borderId="41" xfId="0" applyNumberFormat="1" applyBorder="1" applyAlignment="1">
      <alignment horizontal="center" vertical="center"/>
    </xf>
    <xf numFmtId="14" fontId="0" fillId="0" borderId="0" xfId="0" applyNumberFormat="1" applyAlignment="1">
      <alignment horizontal="center" vertical="center"/>
    </xf>
    <xf numFmtId="14" fontId="0" fillId="0" borderId="42" xfId="0" applyNumberFormat="1" applyBorder="1" applyAlignment="1">
      <alignment vertical="center"/>
    </xf>
    <xf numFmtId="14" fontId="0" fillId="0" borderId="43" xfId="0" applyNumberFormat="1" applyBorder="1" applyAlignment="1">
      <alignment vertical="center"/>
    </xf>
    <xf numFmtId="14" fontId="0" fillId="0" borderId="0" xfId="0" applyNumberFormat="1" applyAlignment="1">
      <alignment vertical="center"/>
    </xf>
    <xf numFmtId="0" fontId="0" fillId="0" borderId="36" xfId="0" applyBorder="1" applyAlignment="1">
      <alignment vertical="center" wrapText="1"/>
    </xf>
    <xf numFmtId="192" fontId="0" fillId="5" borderId="44" xfId="0" applyNumberFormat="1" applyFill="1" applyBorder="1" applyAlignment="1">
      <alignment horizontal="center" vertical="center"/>
    </xf>
    <xf numFmtId="192" fontId="0" fillId="5" borderId="45" xfId="0" applyNumberFormat="1" applyFill="1" applyBorder="1" applyAlignment="1">
      <alignment horizontal="center" vertical="center"/>
    </xf>
    <xf numFmtId="192" fontId="0" fillId="0" borderId="0" xfId="0" applyNumberFormat="1" applyAlignment="1">
      <alignment horizontal="center" vertical="center"/>
    </xf>
    <xf numFmtId="179" fontId="0" fillId="5" borderId="44" xfId="0" applyNumberFormat="1" applyFill="1" applyBorder="1" applyAlignment="1">
      <alignment horizontal="center" vertical="center"/>
    </xf>
    <xf numFmtId="179" fontId="0" fillId="5" borderId="45" xfId="0" applyNumberFormat="1" applyFill="1" applyBorder="1" applyAlignment="1">
      <alignment horizontal="center" vertical="center"/>
    </xf>
    <xf numFmtId="179" fontId="0" fillId="0" borderId="0" xfId="0" applyNumberFormat="1" applyAlignment="1">
      <alignment horizontal="center" vertical="center"/>
    </xf>
    <xf numFmtId="193" fontId="5" fillId="0" borderId="44" xfId="0" applyNumberFormat="1" applyFont="1" applyBorder="1" applyAlignment="1">
      <alignment horizontal="center" vertical="center"/>
    </xf>
    <xf numFmtId="193" fontId="5" fillId="0" borderId="45" xfId="0" applyNumberFormat="1" applyFont="1" applyBorder="1" applyAlignment="1">
      <alignment horizontal="center" vertical="center"/>
    </xf>
    <xf numFmtId="193" fontId="5" fillId="0" borderId="0" xfId="0" applyNumberFormat="1" applyFont="1" applyAlignment="1">
      <alignment horizontal="center" vertical="center"/>
    </xf>
    <xf numFmtId="0" fontId="1" fillId="3" borderId="4" xfId="0" applyFont="1" applyFill="1" applyBorder="1" applyAlignment="1" applyProtection="1">
      <alignment horizontal="center" vertical="top"/>
      <protection locked="0"/>
    </xf>
    <xf numFmtId="14" fontId="1" fillId="0" borderId="4" xfId="0" applyNumberFormat="1" applyFont="1" applyBorder="1" applyAlignment="1" applyProtection="1">
      <alignment horizontal="center" vertical="top" shrinkToFit="1"/>
      <protection locked="0"/>
    </xf>
    <xf numFmtId="0" fontId="1" fillId="6" borderId="4" xfId="0" applyFont="1" applyFill="1" applyBorder="1" applyAlignment="1" applyProtection="1">
      <alignment horizontal="center" vertical="top"/>
      <protection locked="0"/>
    </xf>
    <xf numFmtId="0" fontId="1" fillId="0" borderId="0" xfId="0" applyFont="1" applyAlignment="1" applyProtection="1">
      <alignment horizontal="center" vertical="top"/>
      <protection locked="0"/>
    </xf>
    <xf numFmtId="14" fontId="1" fillId="0" borderId="0" xfId="0" applyNumberFormat="1" applyFont="1"/>
    <xf numFmtId="0" fontId="0" fillId="0" borderId="32" xfId="0" applyBorder="1" applyAlignment="1">
      <alignment horizontal="center" vertical="center"/>
    </xf>
    <xf numFmtId="0" fontId="8" fillId="0" borderId="0" xfId="0" applyFont="1" applyAlignment="1">
      <alignment horizontal="left" vertical="top"/>
    </xf>
    <xf numFmtId="0" fontId="1" fillId="2" borderId="0" xfId="0" applyFont="1" applyFill="1"/>
    <xf numFmtId="14" fontId="0" fillId="0" borderId="0" xfId="0" applyNumberFormat="1" applyAlignment="1">
      <alignment vertical="center" shrinkToFit="1"/>
    </xf>
    <xf numFmtId="14" fontId="0" fillId="0" borderId="0" xfId="0" applyNumberFormat="1" applyAlignment="1">
      <alignment horizontal="center" vertical="center" shrinkToFit="1"/>
    </xf>
    <xf numFmtId="14" fontId="8" fillId="0" borderId="0" xfId="0" applyNumberFormat="1" applyFont="1" applyAlignment="1">
      <alignment shrinkToFit="1"/>
    </xf>
    <xf numFmtId="0" fontId="8" fillId="0" borderId="0" xfId="0" applyFont="1"/>
    <xf numFmtId="14" fontId="0" fillId="0" borderId="0" xfId="0" applyNumberFormat="1" applyAlignment="1">
      <alignment shrinkToFit="1"/>
    </xf>
    <xf numFmtId="0" fontId="10" fillId="0" borderId="0" xfId="0" applyFont="1" applyAlignment="1">
      <alignment horizontal="left" vertical="center"/>
    </xf>
    <xf numFmtId="0" fontId="0" fillId="0" borderId="0" xfId="0" applyAlignment="1">
      <alignment horizontal="center" vertical="center" shrinkToFit="1"/>
    </xf>
    <xf numFmtId="14" fontId="8" fillId="0" borderId="0" xfId="0" applyNumberFormat="1" applyFont="1" applyAlignment="1">
      <alignment horizontal="left" vertical="center" shrinkToFit="1"/>
    </xf>
    <xf numFmtId="0" fontId="8" fillId="0" borderId="0" xfId="0" applyFont="1" applyAlignment="1">
      <alignment horizontal="center" vertical="center"/>
    </xf>
    <xf numFmtId="14" fontId="8" fillId="0" borderId="0" xfId="0" applyNumberFormat="1" applyFont="1" applyAlignment="1">
      <alignment horizontal="center" vertical="center" shrinkToFit="1"/>
    </xf>
    <xf numFmtId="0" fontId="8" fillId="0" borderId="0" xfId="0" applyFont="1" applyAlignment="1">
      <alignment horizontal="left"/>
    </xf>
    <xf numFmtId="0" fontId="8" fillId="0" borderId="35" xfId="0" applyFont="1" applyBorder="1" applyAlignment="1">
      <alignment wrapText="1"/>
    </xf>
    <xf numFmtId="0" fontId="8" fillId="0" borderId="35" xfId="0" applyFont="1" applyBorder="1" applyAlignment="1"/>
    <xf numFmtId="0" fontId="11" fillId="0" borderId="0" xfId="0" applyFont="1" applyAlignment="1">
      <alignment vertical="top" shrinkToFit="1"/>
    </xf>
    <xf numFmtId="0" fontId="11" fillId="0" borderId="0" xfId="0" applyFont="1" applyAlignment="1">
      <alignment vertical="center" shrinkToFit="1"/>
    </xf>
    <xf numFmtId="0" fontId="11" fillId="0" borderId="0" xfId="0" applyFont="1" applyAlignment="1">
      <alignment horizontal="center" vertical="center" shrinkToFit="1"/>
    </xf>
    <xf numFmtId="0" fontId="11" fillId="0" borderId="0" xfId="0" applyFont="1" applyAlignment="1">
      <alignment horizontal="center" vertical="top"/>
    </xf>
    <xf numFmtId="0" fontId="12" fillId="0" borderId="0" xfId="0" applyFont="1" applyAlignment="1">
      <alignment horizontal="center" vertical="center"/>
    </xf>
    <xf numFmtId="0" fontId="11" fillId="0" borderId="0" xfId="0" applyFont="1" applyAlignment="1">
      <alignment vertical="center"/>
    </xf>
    <xf numFmtId="0" fontId="13" fillId="8" borderId="0" xfId="0" applyFont="1" applyFill="1" applyAlignment="1">
      <alignment horizontal="right" vertical="center" shrinkToFit="1"/>
    </xf>
    <xf numFmtId="0" fontId="14" fillId="0" borderId="0" xfId="0" applyFont="1" applyAlignment="1">
      <alignment vertical="center" wrapText="1"/>
    </xf>
    <xf numFmtId="0" fontId="14" fillId="0" borderId="36" xfId="0" applyFont="1" applyBorder="1" applyAlignment="1">
      <alignment vertical="center" wrapText="1"/>
    </xf>
    <xf numFmtId="0" fontId="15" fillId="0" borderId="44" xfId="0" applyFont="1" applyBorder="1" applyAlignment="1">
      <alignment horizontal="center" vertical="center"/>
    </xf>
    <xf numFmtId="0" fontId="16" fillId="0" borderId="46" xfId="0" applyFont="1" applyBorder="1" applyAlignment="1">
      <alignment horizontal="center" vertical="center" shrinkToFit="1"/>
    </xf>
    <xf numFmtId="0" fontId="11" fillId="0" borderId="1" xfId="0" applyFont="1" applyBorder="1" applyAlignment="1">
      <alignment horizontal="center" vertical="center" shrinkToFit="1"/>
    </xf>
    <xf numFmtId="0" fontId="11" fillId="0" borderId="2" xfId="0" applyFont="1" applyBorder="1" applyAlignment="1">
      <alignment horizontal="center" vertical="center" shrinkToFit="1"/>
    </xf>
    <xf numFmtId="0" fontId="11" fillId="0" borderId="47" xfId="0" applyFont="1" applyBorder="1" applyAlignment="1" applyProtection="1">
      <alignment horizontal="center" vertical="center" wrapText="1"/>
      <protection locked="0"/>
    </xf>
    <xf numFmtId="0" fontId="0" fillId="0" borderId="48" xfId="0" applyBorder="1" applyAlignment="1" applyProtection="1">
      <alignment horizontal="center" vertical="center" wrapText="1"/>
      <protection locked="0"/>
    </xf>
    <xf numFmtId="0" fontId="11" fillId="0" borderId="49" xfId="0" applyFont="1" applyBorder="1" applyAlignment="1">
      <alignment horizontal="center" vertical="center" shrinkToFit="1"/>
    </xf>
    <xf numFmtId="0" fontId="11" fillId="0" borderId="50" xfId="0" applyFont="1" applyBorder="1" applyAlignment="1">
      <alignment horizontal="center" vertical="center" shrinkToFit="1"/>
    </xf>
    <xf numFmtId="49" fontId="11" fillId="0" borderId="51" xfId="0" applyNumberFormat="1" applyFont="1" applyBorder="1" applyAlignment="1" applyProtection="1">
      <alignment horizontal="center" vertical="center" shrinkToFit="1"/>
      <protection locked="0"/>
    </xf>
    <xf numFmtId="49" fontId="11" fillId="0" borderId="34" xfId="0" applyNumberFormat="1" applyFont="1" applyBorder="1" applyAlignment="1" applyProtection="1">
      <alignment horizontal="center" vertical="center" shrinkToFit="1"/>
      <protection locked="0"/>
    </xf>
    <xf numFmtId="0" fontId="11" fillId="0" borderId="0" xfId="0" applyFont="1" applyAlignment="1" applyProtection="1">
      <alignment vertical="center" shrinkToFit="1"/>
      <protection locked="0"/>
    </xf>
    <xf numFmtId="0" fontId="11" fillId="0" borderId="1" xfId="0" applyFont="1" applyBorder="1" applyAlignment="1">
      <alignment vertical="center" textRotation="255" shrinkToFit="1"/>
    </xf>
    <xf numFmtId="0" fontId="11" fillId="0" borderId="2" xfId="0" applyFont="1" applyBorder="1" applyAlignment="1">
      <alignment vertical="center" textRotation="255" shrinkToFit="1"/>
    </xf>
    <xf numFmtId="0" fontId="11" fillId="0" borderId="52" xfId="0" applyFont="1" applyBorder="1" applyAlignment="1">
      <alignment horizontal="center" vertical="center" shrinkToFit="1"/>
    </xf>
    <xf numFmtId="0" fontId="11" fillId="0" borderId="53" xfId="0" applyFont="1" applyBorder="1" applyAlignment="1">
      <alignment horizontal="center" vertical="center" shrinkToFit="1"/>
    </xf>
    <xf numFmtId="0" fontId="0" fillId="0" borderId="53" xfId="0" applyBorder="1" applyAlignment="1">
      <alignment vertical="center" shrinkToFit="1"/>
    </xf>
    <xf numFmtId="0" fontId="0" fillId="0" borderId="54" xfId="0" applyBorder="1" applyAlignment="1">
      <alignment vertical="center" shrinkToFit="1"/>
    </xf>
    <xf numFmtId="0" fontId="17" fillId="0" borderId="52" xfId="0" applyFont="1" applyBorder="1" applyAlignment="1">
      <alignment horizontal="center" vertical="center" shrinkToFit="1"/>
    </xf>
    <xf numFmtId="0" fontId="11" fillId="0" borderId="3" xfId="0" applyFont="1" applyBorder="1" applyAlignment="1">
      <alignment vertical="center" textRotation="255" shrinkToFit="1"/>
    </xf>
    <xf numFmtId="0" fontId="11" fillId="0" borderId="4" xfId="0" applyFont="1" applyBorder="1" applyAlignment="1">
      <alignment vertical="center" textRotation="255" shrinkToFit="1"/>
    </xf>
    <xf numFmtId="0" fontId="11" fillId="0" borderId="11" xfId="0" applyFont="1" applyBorder="1" applyAlignment="1">
      <alignment vertical="center" wrapText="1"/>
    </xf>
    <xf numFmtId="0" fontId="11" fillId="0" borderId="11" xfId="0" applyFont="1" applyBorder="1" applyAlignment="1">
      <alignment vertical="center" shrinkToFit="1"/>
    </xf>
    <xf numFmtId="0" fontId="11" fillId="0" borderId="4" xfId="0" applyFont="1" applyBorder="1" applyAlignment="1">
      <alignment vertical="center" wrapText="1"/>
    </xf>
    <xf numFmtId="0" fontId="11" fillId="0" borderId="4" xfId="0" applyFont="1" applyBorder="1" applyAlignment="1">
      <alignment vertical="center" shrinkToFit="1"/>
    </xf>
    <xf numFmtId="0" fontId="11" fillId="0" borderId="4" xfId="0" applyFont="1" applyBorder="1" applyAlignment="1">
      <alignment horizontal="center" vertical="center" shrinkToFit="1"/>
    </xf>
    <xf numFmtId="0" fontId="11" fillId="0" borderId="49" xfId="0" applyFont="1" applyBorder="1" applyAlignment="1">
      <alignment vertical="center" textRotation="255" shrinkToFit="1"/>
    </xf>
    <xf numFmtId="0" fontId="11" fillId="0" borderId="50" xfId="0" applyFont="1" applyBorder="1" applyAlignment="1">
      <alignment vertical="center" textRotation="255" shrinkToFit="1"/>
    </xf>
    <xf numFmtId="0" fontId="11" fillId="0" borderId="55" xfId="0" applyFont="1" applyBorder="1" applyAlignment="1">
      <alignment vertical="center" shrinkToFit="1"/>
    </xf>
    <xf numFmtId="0" fontId="11" fillId="0" borderId="56" xfId="0" applyFont="1" applyBorder="1" applyAlignment="1">
      <alignment vertical="center" shrinkToFit="1"/>
    </xf>
    <xf numFmtId="0" fontId="11" fillId="0" borderId="57" xfId="0" applyFont="1" applyBorder="1" applyAlignment="1">
      <alignment vertical="center" shrinkToFit="1"/>
    </xf>
    <xf numFmtId="0" fontId="11" fillId="0" borderId="57" xfId="0" applyFont="1" applyBorder="1" applyAlignment="1">
      <alignment vertical="top" wrapText="1"/>
    </xf>
    <xf numFmtId="0" fontId="11" fillId="0" borderId="56" xfId="0" applyFont="1" applyBorder="1" applyAlignment="1">
      <alignment vertical="top" wrapText="1"/>
    </xf>
    <xf numFmtId="0" fontId="11" fillId="0" borderId="58" xfId="0" applyFont="1" applyBorder="1" applyAlignment="1">
      <alignment vertical="top" wrapText="1"/>
    </xf>
    <xf numFmtId="0" fontId="11" fillId="0" borderId="47" xfId="0" applyFont="1" applyBorder="1" applyAlignment="1">
      <alignment vertical="center" shrinkToFit="1"/>
    </xf>
    <xf numFmtId="0" fontId="11" fillId="0" borderId="59" xfId="0" applyFont="1" applyBorder="1" applyAlignment="1">
      <alignment vertical="center" shrinkToFit="1"/>
    </xf>
    <xf numFmtId="0" fontId="11" fillId="0" borderId="60" xfId="0" applyFont="1" applyBorder="1" applyAlignment="1">
      <alignment vertical="center" shrinkToFit="1"/>
    </xf>
    <xf numFmtId="0" fontId="0" fillId="0" borderId="60" xfId="0" applyBorder="1" applyAlignment="1">
      <alignment vertical="top" wrapText="1"/>
    </xf>
    <xf numFmtId="0" fontId="11" fillId="0" borderId="0" xfId="0" applyFont="1" applyAlignment="1">
      <alignment vertical="top" wrapText="1"/>
    </xf>
    <xf numFmtId="0" fontId="11" fillId="0" borderId="36" xfId="0" applyFont="1" applyBorder="1" applyAlignment="1">
      <alignment vertical="top" wrapText="1"/>
    </xf>
    <xf numFmtId="0" fontId="11" fillId="0" borderId="44" xfId="0" applyFont="1" applyBorder="1" applyAlignment="1">
      <alignment vertical="center" shrinkToFit="1"/>
    </xf>
    <xf numFmtId="0" fontId="11" fillId="0" borderId="12" xfId="0" applyFont="1" applyBorder="1" applyAlignment="1">
      <alignment vertical="center" shrinkToFit="1"/>
    </xf>
    <xf numFmtId="0" fontId="0" fillId="0" borderId="61" xfId="0" applyBorder="1" applyAlignment="1">
      <alignment vertical="top" wrapText="1"/>
    </xf>
    <xf numFmtId="0" fontId="11" fillId="0" borderId="62" xfId="0" applyFont="1" applyBorder="1" applyAlignment="1">
      <alignment vertical="center" shrinkToFit="1"/>
    </xf>
    <xf numFmtId="0" fontId="11" fillId="0" borderId="10" xfId="0" applyFont="1" applyBorder="1" applyAlignment="1">
      <alignment horizontal="center" vertical="center" textRotation="255" wrapText="1" shrinkToFit="1"/>
    </xf>
    <xf numFmtId="0" fontId="11" fillId="0" borderId="11" xfId="0" applyFont="1" applyBorder="1" applyAlignment="1">
      <alignment horizontal="center" vertical="center" textRotation="255" wrapText="1" shrinkToFit="1"/>
    </xf>
    <xf numFmtId="0" fontId="11" fillId="0" borderId="12" xfId="0" applyFont="1" applyBorder="1" applyAlignment="1">
      <alignment horizontal="center" vertical="center" textRotation="255" wrapText="1"/>
    </xf>
    <xf numFmtId="49" fontId="11" fillId="0" borderId="44" xfId="0" applyNumberFormat="1" applyFont="1" applyBorder="1" applyAlignment="1">
      <alignment horizontal="right" vertical="top" shrinkToFit="1"/>
    </xf>
    <xf numFmtId="0" fontId="11" fillId="0" borderId="45" xfId="0" applyFont="1" applyBorder="1" applyAlignment="1">
      <alignment vertical="top" wrapText="1" shrinkToFit="1"/>
    </xf>
    <xf numFmtId="0" fontId="11" fillId="0" borderId="4" xfId="0" applyFont="1" applyBorder="1" applyAlignment="1">
      <alignment vertical="top" wrapText="1" shrinkToFit="1"/>
    </xf>
    <xf numFmtId="0" fontId="11" fillId="0" borderId="4" xfId="0" applyFont="1" applyBorder="1" applyAlignment="1">
      <alignment vertical="center" wrapText="1" shrinkToFit="1"/>
    </xf>
    <xf numFmtId="0" fontId="11" fillId="0" borderId="3" xfId="0" applyFont="1" applyBorder="1" applyAlignment="1">
      <alignment horizontal="center" vertical="center" textRotation="255" wrapText="1" shrinkToFit="1"/>
    </xf>
    <xf numFmtId="0" fontId="11" fillId="0" borderId="4" xfId="0" applyFont="1" applyBorder="1" applyAlignment="1">
      <alignment horizontal="center" vertical="center" textRotation="255" wrapText="1" shrinkToFit="1"/>
    </xf>
    <xf numFmtId="0" fontId="0" fillId="0" borderId="12" xfId="0" applyBorder="1" applyAlignment="1"/>
    <xf numFmtId="49" fontId="0" fillId="0" borderId="44" xfId="0" applyNumberFormat="1" applyBorder="1" applyAlignment="1">
      <alignment shrinkToFit="1"/>
    </xf>
    <xf numFmtId="0" fontId="11" fillId="0" borderId="45" xfId="0" applyFont="1" applyBorder="1" applyAlignment="1">
      <alignment vertical="top" wrapText="1"/>
    </xf>
    <xf numFmtId="0" fontId="11" fillId="0" borderId="4" xfId="0" applyFont="1" applyBorder="1" applyAlignment="1">
      <alignment vertical="top" wrapText="1"/>
    </xf>
    <xf numFmtId="0" fontId="0" fillId="0" borderId="60" xfId="0" applyBorder="1" applyAlignment="1"/>
    <xf numFmtId="49" fontId="11" fillId="0" borderId="62" xfId="0" applyNumberFormat="1" applyFont="1" applyBorder="1" applyAlignment="1">
      <alignment horizontal="right" vertical="top" shrinkToFit="1"/>
    </xf>
    <xf numFmtId="0" fontId="11" fillId="0" borderId="63" xfId="0" applyFont="1" applyBorder="1" applyAlignment="1">
      <alignment vertical="top" wrapText="1"/>
    </xf>
    <xf numFmtId="0" fontId="11" fillId="0" borderId="64" xfId="0" applyFont="1" applyBorder="1" applyAlignment="1">
      <alignment vertical="top" wrapText="1"/>
    </xf>
    <xf numFmtId="49" fontId="11" fillId="0" borderId="60" xfId="0" applyNumberFormat="1" applyFont="1" applyBorder="1" applyAlignment="1">
      <alignment horizontal="right" vertical="top" shrinkToFit="1"/>
    </xf>
    <xf numFmtId="49" fontId="11" fillId="0" borderId="61" xfId="0" applyNumberFormat="1" applyFont="1" applyBorder="1" applyAlignment="1">
      <alignment horizontal="right" vertical="top" shrinkToFit="1"/>
    </xf>
    <xf numFmtId="0" fontId="11" fillId="0" borderId="33" xfId="0" applyFont="1" applyBorder="1" applyAlignment="1">
      <alignment vertical="top" wrapText="1"/>
    </xf>
    <xf numFmtId="0" fontId="11" fillId="0" borderId="65" xfId="0" applyFont="1" applyBorder="1" applyAlignment="1">
      <alignment vertical="top" wrapText="1"/>
    </xf>
    <xf numFmtId="0" fontId="0" fillId="0" borderId="66" xfId="0" applyBorder="1" applyAlignment="1"/>
    <xf numFmtId="0" fontId="11" fillId="0" borderId="67" xfId="0" applyFont="1" applyBorder="1" applyAlignment="1">
      <alignment horizontal="right" vertical="center" shrinkToFit="1"/>
    </xf>
    <xf numFmtId="0" fontId="11" fillId="0" borderId="68" xfId="0" applyFont="1" applyBorder="1" applyAlignment="1">
      <alignment horizontal="right" vertical="center" shrinkToFit="1"/>
    </xf>
    <xf numFmtId="0" fontId="11" fillId="0" borderId="49" xfId="0" applyFont="1" applyBorder="1" applyAlignment="1">
      <alignment horizontal="center" vertical="center" textRotation="255" wrapText="1" shrinkToFit="1"/>
    </xf>
    <xf numFmtId="0" fontId="11" fillId="0" borderId="50" xfId="0" applyFont="1" applyBorder="1" applyAlignment="1">
      <alignment horizontal="center" vertical="center" textRotation="255" wrapText="1" shrinkToFit="1"/>
    </xf>
    <xf numFmtId="0" fontId="11" fillId="0" borderId="69" xfId="0" applyFont="1" applyBorder="1" applyAlignment="1">
      <alignment horizontal="right" vertical="center" shrinkToFit="1"/>
    </xf>
    <xf numFmtId="0" fontId="11" fillId="0" borderId="70" xfId="0" applyFont="1" applyBorder="1" applyAlignment="1">
      <alignment horizontal="right" vertical="center" shrinkToFit="1"/>
    </xf>
    <xf numFmtId="0" fontId="11" fillId="0" borderId="71" xfId="0" applyFont="1" applyBorder="1" applyAlignment="1">
      <alignment horizontal="center" vertical="center" shrinkToFit="1"/>
    </xf>
    <xf numFmtId="0" fontId="11" fillId="8" borderId="52" xfId="0" applyFont="1" applyFill="1" applyBorder="1" applyAlignment="1">
      <alignment horizontal="center" vertical="center" shrinkToFit="1"/>
    </xf>
    <xf numFmtId="0" fontId="11" fillId="8" borderId="53" xfId="0" applyFont="1" applyFill="1" applyBorder="1" applyAlignment="1">
      <alignment horizontal="center" vertical="center" shrinkToFit="1"/>
    </xf>
    <xf numFmtId="0" fontId="11" fillId="0" borderId="61" xfId="0" applyFont="1" applyBorder="1" applyAlignment="1">
      <alignment horizontal="center" vertical="center" shrinkToFit="1"/>
    </xf>
    <xf numFmtId="187" fontId="17" fillId="0" borderId="11" xfId="0" applyNumberFormat="1" applyFont="1" applyBorder="1" applyAlignment="1">
      <alignment horizontal="center" vertical="center" shrinkToFit="1"/>
    </xf>
    <xf numFmtId="49" fontId="11" fillId="8" borderId="11" xfId="0" applyNumberFormat="1" applyFont="1" applyFill="1" applyBorder="1" applyAlignment="1" applyProtection="1">
      <alignment horizontal="center" vertical="center" shrinkToFit="1"/>
      <protection locked="0"/>
    </xf>
    <xf numFmtId="0" fontId="11" fillId="0" borderId="44" xfId="0" applyFont="1" applyBorder="1" applyAlignment="1">
      <alignment horizontal="center" vertical="center" shrinkToFit="1"/>
    </xf>
    <xf numFmtId="187" fontId="17" fillId="0" borderId="4" xfId="0" applyNumberFormat="1" applyFont="1" applyBorder="1" applyAlignment="1">
      <alignment horizontal="center" vertical="center" shrinkToFit="1"/>
    </xf>
    <xf numFmtId="49" fontId="11" fillId="8" borderId="4" xfId="0" applyNumberFormat="1" applyFont="1" applyFill="1" applyBorder="1" applyAlignment="1" applyProtection="1">
      <alignment horizontal="center" vertical="center" shrinkToFit="1"/>
      <protection locked="0"/>
    </xf>
    <xf numFmtId="0" fontId="0" fillId="0" borderId="42" xfId="0" applyBorder="1" applyAlignment="1">
      <alignment vertical="center" shrinkToFit="1"/>
    </xf>
    <xf numFmtId="0" fontId="0" fillId="0" borderId="35" xfId="0" applyBorder="1" applyAlignment="1">
      <alignment vertical="center" shrinkToFit="1"/>
    </xf>
    <xf numFmtId="0" fontId="11" fillId="0" borderId="51" xfId="0" applyFont="1" applyBorder="1" applyAlignment="1">
      <alignment horizontal="center" vertical="center" shrinkToFit="1"/>
    </xf>
    <xf numFmtId="187" fontId="17" fillId="0" borderId="25" xfId="0" applyNumberFormat="1" applyFont="1" applyBorder="1" applyAlignment="1">
      <alignment horizontal="center" vertical="center" shrinkToFit="1"/>
    </xf>
    <xf numFmtId="49" fontId="11" fillId="8" borderId="25" xfId="0" applyNumberFormat="1" applyFont="1" applyFill="1" applyBorder="1" applyAlignment="1" applyProtection="1">
      <alignment horizontal="center" vertical="center" shrinkToFit="1"/>
      <protection locked="0"/>
    </xf>
    <xf numFmtId="0" fontId="11" fillId="0" borderId="35" xfId="0" applyFont="1" applyBorder="1" applyAlignment="1">
      <alignment vertical="center" shrinkToFit="1"/>
    </xf>
    <xf numFmtId="187" fontId="11" fillId="0" borderId="56" xfId="0" applyNumberFormat="1" applyFont="1" applyBorder="1" applyAlignment="1" applyProtection="1">
      <alignment horizontal="center" vertical="center" shrinkToFit="1"/>
      <protection hidden="1"/>
    </xf>
    <xf numFmtId="49" fontId="11" fillId="0" borderId="56" xfId="0" applyNumberFormat="1" applyFont="1" applyBorder="1" applyAlignment="1" applyProtection="1">
      <alignment horizontal="center" vertical="center" shrinkToFit="1"/>
      <protection locked="0"/>
    </xf>
    <xf numFmtId="0" fontId="11" fillId="0" borderId="1" xfId="0" applyFont="1" applyBorder="1" applyAlignment="1">
      <alignment horizontal="center" vertical="center" textRotation="255" shrinkToFit="1"/>
    </xf>
    <xf numFmtId="0" fontId="11" fillId="0" borderId="2" xfId="0" applyFont="1" applyBorder="1" applyAlignment="1">
      <alignment horizontal="center" vertical="center" textRotation="255" shrinkToFit="1"/>
    </xf>
    <xf numFmtId="0" fontId="8" fillId="0" borderId="57" xfId="0" applyFont="1" applyBorder="1" applyAlignment="1" applyProtection="1">
      <alignment horizontal="center" vertical="center" wrapText="1" shrinkToFit="1"/>
      <protection hidden="1"/>
    </xf>
    <xf numFmtId="0" fontId="8" fillId="0" borderId="58" xfId="0" applyFont="1" applyBorder="1" applyAlignment="1">
      <alignment horizontal="center" vertical="center" wrapText="1" shrinkToFit="1"/>
    </xf>
    <xf numFmtId="0" fontId="8" fillId="3" borderId="57" xfId="0" applyFont="1" applyFill="1" applyBorder="1" applyAlignment="1">
      <alignment vertical="top" wrapText="1" shrinkToFit="1"/>
    </xf>
    <xf numFmtId="0" fontId="8" fillId="3" borderId="56" xfId="0" applyFont="1" applyFill="1" applyBorder="1" applyAlignment="1">
      <alignment vertical="top" wrapText="1" shrinkToFit="1"/>
    </xf>
    <xf numFmtId="0" fontId="11" fillId="0" borderId="3" xfId="0" applyFont="1" applyBorder="1" applyAlignment="1">
      <alignment horizontal="center" vertical="center" textRotation="255" shrinkToFit="1"/>
    </xf>
    <xf numFmtId="0" fontId="11" fillId="0" borderId="4" xfId="0" applyFont="1" applyBorder="1" applyAlignment="1">
      <alignment horizontal="center" vertical="center" textRotation="255" shrinkToFit="1"/>
    </xf>
    <xf numFmtId="0" fontId="8" fillId="0" borderId="60" xfId="0" applyFont="1" applyBorder="1" applyAlignment="1">
      <alignment horizontal="center" vertical="center" wrapText="1" shrinkToFit="1"/>
    </xf>
    <xf numFmtId="0" fontId="8" fillId="0" borderId="36" xfId="0" applyFont="1" applyBorder="1" applyAlignment="1">
      <alignment horizontal="center" vertical="center" wrapText="1" shrinkToFit="1"/>
    </xf>
    <xf numFmtId="0" fontId="8" fillId="3" borderId="60" xfId="0" applyFont="1" applyFill="1" applyBorder="1" applyAlignment="1">
      <alignment vertical="top" wrapText="1" shrinkToFit="1"/>
    </xf>
    <xf numFmtId="0" fontId="8" fillId="3" borderId="0" xfId="0" applyFont="1" applyFill="1" applyAlignment="1">
      <alignment vertical="top" wrapText="1" shrinkToFit="1"/>
    </xf>
    <xf numFmtId="0" fontId="0" fillId="0" borderId="60" xfId="0" applyBorder="1" applyAlignment="1">
      <alignment horizontal="center" vertical="center" wrapText="1" shrinkToFit="1"/>
    </xf>
    <xf numFmtId="0" fontId="0" fillId="0" borderId="36" xfId="0" applyBorder="1" applyAlignment="1">
      <alignment horizontal="center" vertical="center" wrapText="1" shrinkToFit="1"/>
    </xf>
    <xf numFmtId="0" fontId="11" fillId="0" borderId="49" xfId="0" applyFont="1" applyBorder="1" applyAlignment="1">
      <alignment horizontal="center" vertical="center" textRotation="255" shrinkToFit="1"/>
    </xf>
    <xf numFmtId="0" fontId="11" fillId="0" borderId="50" xfId="0" applyFont="1" applyBorder="1" applyAlignment="1">
      <alignment horizontal="center" vertical="center" textRotation="255" shrinkToFit="1"/>
    </xf>
    <xf numFmtId="0" fontId="0" fillId="0" borderId="72" xfId="0" applyBorder="1" applyAlignment="1">
      <alignment horizontal="center" vertical="center" wrapText="1" shrinkToFit="1"/>
    </xf>
    <xf numFmtId="0" fontId="0" fillId="0" borderId="73" xfId="0" applyBorder="1" applyAlignment="1">
      <alignment horizontal="center" vertical="center" wrapText="1" shrinkToFit="1"/>
    </xf>
    <xf numFmtId="0" fontId="8" fillId="3" borderId="72" xfId="0" applyFont="1" applyFill="1" applyBorder="1" applyAlignment="1">
      <alignment vertical="top" wrapText="1" shrinkToFit="1"/>
    </xf>
    <xf numFmtId="0" fontId="8" fillId="3" borderId="35" xfId="0" applyFont="1" applyFill="1" applyBorder="1" applyAlignment="1">
      <alignment vertical="top" wrapText="1" shrinkToFit="1"/>
    </xf>
    <xf numFmtId="0" fontId="11" fillId="0" borderId="0" xfId="0" applyFont="1" applyAlignment="1">
      <alignment vertical="top"/>
    </xf>
    <xf numFmtId="0" fontId="16" fillId="0" borderId="55" xfId="0" applyFont="1" applyBorder="1" applyAlignment="1">
      <alignment vertical="center"/>
    </xf>
    <xf numFmtId="0" fontId="11" fillId="0" borderId="42" xfId="0" applyFont="1" applyBorder="1" applyAlignment="1">
      <alignment vertical="center" shrinkToFit="1"/>
    </xf>
    <xf numFmtId="0" fontId="11" fillId="0" borderId="35" xfId="0" applyFont="1" applyBorder="1" applyAlignment="1">
      <alignment horizontal="right" vertical="center"/>
    </xf>
    <xf numFmtId="0" fontId="11" fillId="0" borderId="35" xfId="0" applyFont="1" applyBorder="1" applyAlignment="1">
      <alignment vertical="center"/>
    </xf>
    <xf numFmtId="0" fontId="12" fillId="0" borderId="0" xfId="0" applyFont="1" applyAlignment="1">
      <alignment vertical="center"/>
    </xf>
    <xf numFmtId="0" fontId="12" fillId="0" borderId="0" xfId="0" applyFont="1" applyAlignment="1">
      <alignment horizontal="center" vertical="center" shrinkToFit="1"/>
    </xf>
    <xf numFmtId="0" fontId="12" fillId="0" borderId="0" xfId="0" applyFont="1" applyAlignment="1">
      <alignment vertical="center" shrinkToFit="1"/>
    </xf>
    <xf numFmtId="0" fontId="18" fillId="0" borderId="0" xfId="0" applyFont="1" applyAlignment="1">
      <alignment vertical="center"/>
    </xf>
    <xf numFmtId="0" fontId="16" fillId="0" borderId="45" xfId="0" applyFont="1" applyBorder="1" applyAlignment="1">
      <alignment horizontal="center" vertical="center" shrinkToFit="1"/>
    </xf>
    <xf numFmtId="0" fontId="15" fillId="0" borderId="74" xfId="0" applyFont="1" applyBorder="1" applyAlignment="1">
      <alignment horizontal="center" vertical="center" shrinkToFit="1"/>
    </xf>
    <xf numFmtId="0" fontId="16" fillId="8" borderId="75" xfId="0" applyFont="1" applyFill="1" applyBorder="1" applyAlignment="1" applyProtection="1">
      <alignment horizontal="center" vertical="center"/>
      <protection hidden="1"/>
    </xf>
    <xf numFmtId="0" fontId="16" fillId="8" borderId="45" xfId="0" applyFont="1" applyFill="1" applyBorder="1" applyAlignment="1" applyProtection="1">
      <alignment horizontal="center" vertical="center"/>
      <protection hidden="1"/>
    </xf>
    <xf numFmtId="0" fontId="11" fillId="8" borderId="0" xfId="0" applyFont="1" applyFill="1" applyAlignment="1">
      <alignment vertical="center" wrapText="1"/>
    </xf>
    <xf numFmtId="0" fontId="11" fillId="8" borderId="0" xfId="0" applyFont="1" applyFill="1" applyAlignment="1">
      <alignment vertical="center"/>
    </xf>
    <xf numFmtId="0" fontId="11" fillId="0" borderId="76" xfId="0" applyFont="1" applyBorder="1" applyAlignment="1" applyProtection="1">
      <alignment horizontal="center" vertical="center" shrinkToFit="1"/>
      <protection locked="0"/>
    </xf>
    <xf numFmtId="0" fontId="11" fillId="0" borderId="47" xfId="0" applyFont="1" applyBorder="1" applyAlignment="1" applyProtection="1">
      <alignment horizontal="center" vertical="center" shrinkToFit="1"/>
      <protection locked="0"/>
    </xf>
    <xf numFmtId="0" fontId="11" fillId="0" borderId="48" xfId="0" applyFont="1" applyBorder="1" applyAlignment="1" applyProtection="1">
      <alignment horizontal="center" vertical="center" shrinkToFit="1"/>
      <protection locked="0"/>
    </xf>
    <xf numFmtId="0" fontId="11" fillId="0" borderId="2" xfId="0" applyFont="1" applyBorder="1" applyAlignment="1" applyProtection="1">
      <alignment horizontal="center" vertical="center" shrinkToFit="1"/>
      <protection locked="0"/>
    </xf>
    <xf numFmtId="49" fontId="11" fillId="0" borderId="77" xfId="0" applyNumberFormat="1" applyFont="1" applyBorder="1" applyAlignment="1" applyProtection="1">
      <alignment horizontal="center" vertical="center" shrinkToFit="1"/>
      <protection locked="0"/>
    </xf>
    <xf numFmtId="0" fontId="11" fillId="0" borderId="50" xfId="0" applyFont="1" applyBorder="1" applyAlignment="1" applyProtection="1">
      <alignment horizontal="center" vertical="center" shrinkToFit="1"/>
      <protection locked="0"/>
    </xf>
    <xf numFmtId="49" fontId="11" fillId="0" borderId="51" xfId="0" applyNumberFormat="1" applyFont="1" applyBorder="1" applyAlignment="1" applyProtection="1">
      <alignment horizontal="left" vertical="center" shrinkToFit="1"/>
      <protection locked="0"/>
    </xf>
    <xf numFmtId="49" fontId="11" fillId="0" borderId="34" xfId="0" applyNumberFormat="1" applyFont="1" applyBorder="1" applyAlignment="1" applyProtection="1">
      <alignment horizontal="left" vertical="center" shrinkToFit="1"/>
      <protection locked="0"/>
    </xf>
    <xf numFmtId="0" fontId="5" fillId="0" borderId="53" xfId="0" applyFont="1" applyBorder="1" applyAlignment="1">
      <alignment horizontal="center" vertical="center" shrinkToFit="1"/>
    </xf>
    <xf numFmtId="0" fontId="5" fillId="0" borderId="54" xfId="0" applyFont="1" applyBorder="1" applyAlignment="1">
      <alignment horizontal="center" vertical="center" shrinkToFit="1"/>
    </xf>
    <xf numFmtId="0" fontId="19" fillId="0" borderId="52" xfId="0" applyFont="1" applyBorder="1" applyAlignment="1">
      <alignment horizontal="left" vertical="center" shrinkToFit="1"/>
    </xf>
    <xf numFmtId="0" fontId="19" fillId="0" borderId="53" xfId="0" applyFont="1" applyBorder="1" applyAlignment="1">
      <alignment horizontal="left" vertical="center" shrinkToFit="1"/>
    </xf>
    <xf numFmtId="0" fontId="11" fillId="3" borderId="11" xfId="0" applyFont="1" applyFill="1" applyBorder="1" applyAlignment="1" applyProtection="1">
      <alignment horizontal="center" vertical="center" shrinkToFit="1"/>
      <protection locked="0"/>
    </xf>
    <xf numFmtId="0" fontId="11" fillId="3" borderId="78" xfId="0" applyFont="1" applyFill="1" applyBorder="1" applyAlignment="1" applyProtection="1">
      <alignment horizontal="center" vertical="center" shrinkToFit="1"/>
      <protection locked="0"/>
    </xf>
    <xf numFmtId="0" fontId="0" fillId="3" borderId="79" xfId="0" applyFill="1" applyBorder="1" applyAlignment="1" applyProtection="1">
      <alignment horizontal="center" vertical="center" shrinkToFit="1"/>
      <protection locked="0"/>
    </xf>
    <xf numFmtId="0" fontId="11" fillId="3" borderId="44" xfId="0" applyFont="1" applyFill="1" applyBorder="1" applyAlignment="1" applyProtection="1">
      <alignment horizontal="center" vertical="center" shrinkToFit="1"/>
      <protection locked="0"/>
    </xf>
    <xf numFmtId="0" fontId="0" fillId="3" borderId="75" xfId="0" applyFill="1" applyBorder="1" applyAlignment="1" applyProtection="1">
      <alignment horizontal="center" vertical="center" shrinkToFit="1"/>
      <protection locked="0"/>
    </xf>
    <xf numFmtId="0" fontId="11" fillId="3" borderId="51" xfId="0" applyFont="1" applyFill="1" applyBorder="1" applyAlignment="1" applyProtection="1">
      <alignment horizontal="center" vertical="center" shrinkToFit="1"/>
      <protection locked="0"/>
    </xf>
    <xf numFmtId="0" fontId="0" fillId="3" borderId="34" xfId="0" applyFill="1" applyBorder="1" applyAlignment="1" applyProtection="1">
      <alignment horizontal="center" vertical="center" shrinkToFit="1"/>
      <protection locked="0"/>
    </xf>
    <xf numFmtId="0" fontId="17" fillId="0" borderId="4" xfId="0" applyFont="1" applyBorder="1" applyAlignment="1">
      <alignment vertical="center" shrinkToFit="1"/>
    </xf>
    <xf numFmtId="0" fontId="11" fillId="0" borderId="11" xfId="0" applyFont="1" applyBorder="1" applyAlignment="1">
      <alignment horizontal="center" vertical="center" shrinkToFit="1"/>
    </xf>
    <xf numFmtId="183" fontId="11" fillId="0" borderId="61" xfId="0" applyNumberFormat="1" applyFont="1" applyBorder="1" applyAlignment="1" applyProtection="1">
      <alignment vertical="center" shrinkToFit="1"/>
      <protection locked="0"/>
    </xf>
    <xf numFmtId="0" fontId="17" fillId="0" borderId="50" xfId="0" applyFont="1" applyBorder="1" applyAlignment="1">
      <alignment vertical="center" shrinkToFit="1"/>
    </xf>
    <xf numFmtId="183" fontId="11" fillId="0" borderId="51" xfId="0" applyNumberFormat="1" applyFont="1" applyBorder="1" applyAlignment="1" applyProtection="1">
      <alignment vertical="center" shrinkToFit="1"/>
      <protection locked="0"/>
    </xf>
    <xf numFmtId="0" fontId="11" fillId="0" borderId="48" xfId="0" applyFont="1" applyBorder="1" applyAlignment="1">
      <alignment vertical="center" shrinkToFit="1"/>
    </xf>
    <xf numFmtId="0" fontId="11" fillId="0" borderId="76" xfId="0" applyFont="1" applyBorder="1" applyAlignment="1">
      <alignment vertical="center" shrinkToFit="1"/>
    </xf>
    <xf numFmtId="0" fontId="17" fillId="0" borderId="47" xfId="0" applyFont="1" applyBorder="1" applyAlignment="1">
      <alignment horizontal="right" vertical="center" shrinkToFit="1"/>
    </xf>
    <xf numFmtId="0" fontId="11" fillId="0" borderId="39" xfId="0" applyFont="1" applyBorder="1" applyAlignment="1">
      <alignment horizontal="right" vertical="center" shrinkToFit="1"/>
    </xf>
    <xf numFmtId="0" fontId="11" fillId="0" borderId="75" xfId="0" applyFont="1" applyBorder="1" applyAlignment="1">
      <alignment vertical="center" shrinkToFit="1"/>
    </xf>
    <xf numFmtId="0" fontId="11" fillId="0" borderId="45" xfId="0" applyFont="1" applyBorder="1" applyAlignment="1">
      <alignment vertical="center" shrinkToFit="1"/>
    </xf>
    <xf numFmtId="0" fontId="17" fillId="0" borderId="44" xfId="0" applyFont="1" applyBorder="1" applyAlignment="1">
      <alignment horizontal="right" vertical="center" shrinkToFit="1"/>
    </xf>
    <xf numFmtId="0" fontId="11" fillId="0" borderId="80" xfId="0" applyFont="1" applyBorder="1" applyAlignment="1">
      <alignment horizontal="right" vertical="center" shrinkToFit="1"/>
    </xf>
    <xf numFmtId="0" fontId="11" fillId="0" borderId="63" xfId="0" applyFont="1" applyBorder="1" applyAlignment="1">
      <alignment vertical="center" shrinkToFit="1"/>
    </xf>
    <xf numFmtId="0" fontId="11" fillId="0" borderId="64" xfId="0" applyFont="1" applyBorder="1" applyAlignment="1">
      <alignment vertical="center" shrinkToFit="1"/>
    </xf>
    <xf numFmtId="0" fontId="11" fillId="0" borderId="41" xfId="0" applyFont="1" applyBorder="1" applyAlignment="1">
      <alignment horizontal="right" vertical="center" shrinkToFit="1"/>
    </xf>
    <xf numFmtId="0" fontId="11" fillId="0" borderId="44" xfId="0" applyFont="1" applyBorder="1" applyAlignment="1">
      <alignment vertical="center" wrapText="1" shrinkToFit="1"/>
    </xf>
    <xf numFmtId="0" fontId="0" fillId="0" borderId="75" xfId="0" applyBorder="1" applyAlignment="1">
      <alignment vertical="center" shrinkToFit="1"/>
    </xf>
    <xf numFmtId="0" fontId="0" fillId="0" borderId="45" xfId="0" applyBorder="1" applyAlignment="1">
      <alignment vertical="center" shrinkToFit="1"/>
    </xf>
    <xf numFmtId="0" fontId="0" fillId="0" borderId="68" xfId="0" applyBorder="1" applyAlignment="1"/>
    <xf numFmtId="0" fontId="19" fillId="0" borderId="68" xfId="0" applyFont="1" applyBorder="1" applyAlignment="1">
      <alignment horizontal="center" vertical="center" shrinkToFit="1"/>
    </xf>
    <xf numFmtId="0" fontId="11" fillId="0" borderId="68" xfId="0" applyFont="1" applyBorder="1" applyAlignment="1" applyProtection="1">
      <alignment horizontal="left" vertical="center" shrinkToFit="1"/>
      <protection hidden="1"/>
    </xf>
    <xf numFmtId="0" fontId="0" fillId="0" borderId="68" xfId="0" applyBorder="1" applyAlignment="1">
      <alignment horizontal="left" vertical="center"/>
    </xf>
    <xf numFmtId="0" fontId="0" fillId="0" borderId="68" xfId="0" applyBorder="1" applyAlignment="1">
      <alignment vertical="center"/>
    </xf>
    <xf numFmtId="0" fontId="8" fillId="0" borderId="68" xfId="0" applyFont="1" applyBorder="1" applyAlignment="1">
      <alignment vertical="center" shrinkToFit="1"/>
    </xf>
    <xf numFmtId="0" fontId="8" fillId="0" borderId="81" xfId="0" applyFont="1" applyBorder="1" applyAlignment="1">
      <alignment vertical="center" shrinkToFit="1"/>
    </xf>
    <xf numFmtId="0" fontId="11" fillId="0" borderId="35" xfId="0" applyFont="1" applyBorder="1" applyAlignment="1">
      <alignment horizontal="right" vertical="center" shrinkToFit="1"/>
    </xf>
    <xf numFmtId="0" fontId="11" fillId="0" borderId="73" xfId="0" applyFont="1" applyBorder="1" applyAlignment="1">
      <alignment horizontal="right" vertical="center" shrinkToFit="1"/>
    </xf>
    <xf numFmtId="179" fontId="17" fillId="0" borderId="72" xfId="0" applyNumberFormat="1" applyFont="1" applyBorder="1" applyAlignment="1">
      <alignment horizontal="right" vertical="center" shrinkToFit="1"/>
    </xf>
    <xf numFmtId="179" fontId="11" fillId="0" borderId="43" xfId="0" applyNumberFormat="1" applyFont="1" applyBorder="1" applyAlignment="1">
      <alignment horizontal="right" vertical="center" shrinkToFit="1"/>
    </xf>
    <xf numFmtId="0" fontId="11" fillId="8" borderId="54" xfId="0" applyFont="1" applyFill="1" applyBorder="1" applyAlignment="1">
      <alignment horizontal="center" vertical="center" shrinkToFit="1"/>
    </xf>
    <xf numFmtId="0" fontId="0" fillId="0" borderId="54" xfId="0" applyBorder="1" applyAlignment="1">
      <alignment horizontal="center" vertical="center" shrinkToFit="1"/>
    </xf>
    <xf numFmtId="185" fontId="11" fillId="0" borderId="11" xfId="0" applyNumberFormat="1" applyFont="1" applyBorder="1" applyAlignment="1" applyProtection="1">
      <alignment horizontal="right" vertical="center" shrinkToFit="1"/>
      <protection locked="0"/>
    </xf>
    <xf numFmtId="185" fontId="16" fillId="0" borderId="11" xfId="0" applyNumberFormat="1" applyFont="1" applyBorder="1" applyAlignment="1" applyProtection="1">
      <protection locked="0"/>
    </xf>
    <xf numFmtId="49" fontId="11" fillId="0" borderId="61" xfId="0" applyNumberFormat="1" applyFont="1" applyBorder="1" applyAlignment="1" applyProtection="1">
      <alignment vertical="center" shrinkToFit="1"/>
      <protection locked="0"/>
    </xf>
    <xf numFmtId="49" fontId="11" fillId="0" borderId="33" xfId="0" applyNumberFormat="1" applyFont="1" applyBorder="1" applyAlignment="1" applyProtection="1">
      <alignment vertical="center" shrinkToFit="1"/>
      <protection locked="0"/>
    </xf>
    <xf numFmtId="0" fontId="0" fillId="0" borderId="65" xfId="0" applyBorder="1" applyAlignment="1" applyProtection="1">
      <alignment vertical="center" shrinkToFit="1"/>
      <protection locked="0"/>
    </xf>
    <xf numFmtId="0" fontId="17" fillId="0" borderId="61" xfId="0" applyFont="1" applyBorder="1" applyAlignment="1">
      <alignment horizontal="right" vertical="center" shrinkToFit="1"/>
    </xf>
    <xf numFmtId="0" fontId="11" fillId="0" borderId="65" xfId="0" applyFont="1" applyBorder="1" applyAlignment="1">
      <alignment horizontal="right" vertical="center" shrinkToFit="1"/>
    </xf>
    <xf numFmtId="49" fontId="16" fillId="8" borderId="4" xfId="0" applyNumberFormat="1" applyFont="1" applyFill="1" applyBorder="1" applyAlignment="1" applyProtection="1">
      <protection locked="0"/>
    </xf>
    <xf numFmtId="185" fontId="11" fillId="0" borderId="4" xfId="0" applyNumberFormat="1" applyFont="1" applyBorder="1" applyAlignment="1" applyProtection="1">
      <alignment horizontal="right" vertical="center" shrinkToFit="1"/>
      <protection locked="0"/>
    </xf>
    <xf numFmtId="185" fontId="16" fillId="0" borderId="4" xfId="0" applyNumberFormat="1" applyFont="1" applyBorder="1" applyAlignment="1" applyProtection="1">
      <protection locked="0"/>
    </xf>
    <xf numFmtId="49" fontId="11" fillId="0" borderId="44" xfId="0" applyNumberFormat="1" applyFont="1" applyBorder="1" applyAlignment="1" applyProtection="1">
      <alignment vertical="center" shrinkToFit="1"/>
      <protection locked="0"/>
    </xf>
    <xf numFmtId="49" fontId="11" fillId="0" borderId="75" xfId="0" applyNumberFormat="1" applyFont="1" applyBorder="1" applyAlignment="1" applyProtection="1">
      <alignment vertical="center" shrinkToFit="1"/>
      <protection locked="0"/>
    </xf>
    <xf numFmtId="0" fontId="0" fillId="0" borderId="45" xfId="0" applyBorder="1" applyAlignment="1" applyProtection="1">
      <alignment vertical="center" shrinkToFit="1"/>
      <protection locked="0"/>
    </xf>
    <xf numFmtId="0" fontId="11" fillId="0" borderId="45" xfId="0" applyFont="1" applyBorder="1" applyAlignment="1">
      <alignment horizontal="right" vertical="center" shrinkToFit="1"/>
    </xf>
    <xf numFmtId="49" fontId="16" fillId="8" borderId="25" xfId="0" applyNumberFormat="1" applyFont="1" applyFill="1" applyBorder="1" applyAlignment="1" applyProtection="1">
      <protection locked="0"/>
    </xf>
    <xf numFmtId="185" fontId="11" fillId="0" borderId="25" xfId="0" applyNumberFormat="1" applyFont="1" applyBorder="1" applyAlignment="1" applyProtection="1">
      <alignment horizontal="right" vertical="center" shrinkToFit="1"/>
      <protection locked="0"/>
    </xf>
    <xf numFmtId="185" fontId="16" fillId="0" borderId="25" xfId="0" applyNumberFormat="1" applyFont="1" applyBorder="1" applyAlignment="1" applyProtection="1">
      <protection locked="0"/>
    </xf>
    <xf numFmtId="49" fontId="11" fillId="0" borderId="51" xfId="0" applyNumberFormat="1" applyFont="1" applyBorder="1" applyAlignment="1" applyProtection="1">
      <alignment vertical="center" shrinkToFit="1"/>
      <protection locked="0"/>
    </xf>
    <xf numFmtId="49" fontId="11" fillId="0" borderId="34" xfId="0" applyNumberFormat="1" applyFont="1" applyBorder="1" applyAlignment="1" applyProtection="1">
      <alignment vertical="center" shrinkToFit="1"/>
      <protection locked="0"/>
    </xf>
    <xf numFmtId="0" fontId="0" fillId="0" borderId="77" xfId="0" applyBorder="1" applyAlignment="1" applyProtection="1">
      <alignment vertical="center" shrinkToFit="1"/>
      <protection locked="0"/>
    </xf>
    <xf numFmtId="0" fontId="17" fillId="0" borderId="51" xfId="0" applyFont="1" applyBorder="1" applyAlignment="1">
      <alignment horizontal="right" vertical="center" shrinkToFit="1"/>
    </xf>
    <xf numFmtId="0" fontId="11" fillId="0" borderId="77" xfId="0" applyFont="1" applyBorder="1" applyAlignment="1">
      <alignment horizontal="right" vertical="center" shrinkToFit="1"/>
    </xf>
    <xf numFmtId="49" fontId="16" fillId="0" borderId="56" xfId="0" applyNumberFormat="1" applyFont="1" applyBorder="1" applyProtection="1">
      <protection locked="0"/>
    </xf>
    <xf numFmtId="185" fontId="11" fillId="0" borderId="56" xfId="0" applyNumberFormat="1" applyFont="1" applyBorder="1" applyAlignment="1" applyProtection="1">
      <alignment horizontal="right" vertical="center" shrinkToFit="1"/>
      <protection locked="0"/>
    </xf>
    <xf numFmtId="185" fontId="16" fillId="0" borderId="56" xfId="0" applyNumberFormat="1" applyFont="1" applyBorder="1" applyProtection="1">
      <protection locked="0"/>
    </xf>
    <xf numFmtId="49" fontId="11" fillId="0" borderId="56" xfId="0" applyNumberFormat="1" applyFont="1" applyBorder="1" applyAlignment="1" applyProtection="1">
      <alignment vertical="center" shrinkToFit="1"/>
      <protection locked="0"/>
    </xf>
    <xf numFmtId="0" fontId="11" fillId="0" borderId="56" xfId="0" applyFont="1" applyBorder="1" applyAlignment="1" applyProtection="1">
      <alignment horizontal="right" vertical="center" shrinkToFit="1"/>
      <protection hidden="1"/>
    </xf>
    <xf numFmtId="0" fontId="11" fillId="0" borderId="56" xfId="0" applyFont="1" applyBorder="1" applyAlignment="1" applyProtection="1">
      <alignment horizontal="right" vertical="center" shrinkToFit="1"/>
      <protection locked="0"/>
    </xf>
    <xf numFmtId="0" fontId="11" fillId="0" borderId="0" xfId="0" applyFont="1" applyAlignment="1">
      <alignment horizontal="center" vertical="top" shrinkToFit="1"/>
    </xf>
    <xf numFmtId="0" fontId="11" fillId="0" borderId="56" xfId="0" applyFont="1" applyBorder="1" applyAlignment="1">
      <alignment horizontal="center" vertical="center" shrinkToFit="1"/>
    </xf>
    <xf numFmtId="0" fontId="11" fillId="0" borderId="35" xfId="0" applyFont="1" applyBorder="1" applyAlignment="1">
      <alignment horizontal="center" vertical="center" shrinkToFit="1"/>
    </xf>
    <xf numFmtId="0" fontId="1" fillId="0" borderId="82" xfId="0" applyFont="1" applyBorder="1" applyAlignment="1">
      <alignment horizontal="right" vertical="center"/>
    </xf>
    <xf numFmtId="14" fontId="0" fillId="3" borderId="83" xfId="0" applyNumberFormat="1" applyFont="1" applyFill="1" applyBorder="1" applyAlignment="1">
      <alignment horizontal="center" vertical="center"/>
    </xf>
    <xf numFmtId="14" fontId="0" fillId="3" borderId="84" xfId="0" applyNumberFormat="1" applyFont="1" applyFill="1" applyBorder="1" applyAlignment="1">
      <alignment horizontal="center" vertical="center"/>
    </xf>
    <xf numFmtId="14" fontId="0" fillId="3" borderId="85" xfId="0" applyNumberFormat="1" applyFont="1" applyFill="1" applyBorder="1" applyAlignment="1">
      <alignment horizontal="center" vertical="center"/>
    </xf>
    <xf numFmtId="0" fontId="11" fillId="0" borderId="48" xfId="0" applyFont="1" applyBorder="1" applyAlignment="1" applyProtection="1">
      <alignment horizontal="right" vertical="center" shrinkToFit="1"/>
      <protection locked="0"/>
    </xf>
    <xf numFmtId="49" fontId="11" fillId="0" borderId="48" xfId="0" applyNumberFormat="1" applyFont="1" applyBorder="1" applyAlignment="1" applyProtection="1">
      <alignment horizontal="center" vertical="center" shrinkToFit="1"/>
      <protection locked="0"/>
    </xf>
    <xf numFmtId="0" fontId="11" fillId="0" borderId="39" xfId="0" applyFont="1" applyBorder="1" applyAlignment="1" applyProtection="1">
      <alignment vertical="center" shrinkToFit="1"/>
      <protection locked="0"/>
    </xf>
    <xf numFmtId="49" fontId="11" fillId="0" borderId="86" xfId="0" applyNumberFormat="1" applyFont="1" applyBorder="1" applyAlignment="1" applyProtection="1">
      <alignment horizontal="left" vertical="center" shrinkToFit="1"/>
      <protection locked="0"/>
    </xf>
    <xf numFmtId="0" fontId="19" fillId="0" borderId="87" xfId="0" applyFont="1" applyBorder="1" applyAlignment="1">
      <alignment horizontal="left" vertical="center" shrinkToFit="1"/>
    </xf>
    <xf numFmtId="0" fontId="11" fillId="0" borderId="78" xfId="0" applyFont="1" applyBorder="1" applyAlignment="1" applyProtection="1">
      <alignment vertical="center"/>
      <protection locked="0"/>
    </xf>
    <xf numFmtId="0" fontId="0" fillId="0" borderId="79" xfId="0" applyBorder="1" applyAlignment="1">
      <alignment vertical="center"/>
    </xf>
    <xf numFmtId="0" fontId="0" fillId="0" borderId="88" xfId="0" applyBorder="1" applyAlignment="1">
      <alignment vertical="center"/>
    </xf>
    <xf numFmtId="0" fontId="11" fillId="3" borderId="78" xfId="0" applyFont="1" applyFill="1" applyBorder="1" applyAlignment="1" applyProtection="1">
      <alignment vertical="center"/>
      <protection locked="0"/>
    </xf>
    <xf numFmtId="0" fontId="0" fillId="3" borderId="89" xfId="0" applyFill="1" applyBorder="1" applyAlignment="1">
      <alignment vertical="center"/>
    </xf>
    <xf numFmtId="0" fontId="11" fillId="0" borderId="44" xfId="0" applyFont="1" applyBorder="1" applyAlignment="1" applyProtection="1">
      <alignment vertical="center"/>
      <protection locked="0"/>
    </xf>
    <xf numFmtId="0" fontId="0" fillId="0" borderId="75" xfId="0" applyBorder="1" applyAlignment="1">
      <alignment vertical="center"/>
    </xf>
    <xf numFmtId="0" fontId="0" fillId="0" borderId="45" xfId="0" applyBorder="1" applyAlignment="1">
      <alignment vertical="center"/>
    </xf>
    <xf numFmtId="0" fontId="11" fillId="3" borderId="44" xfId="0" applyFont="1" applyFill="1" applyBorder="1" applyAlignment="1" applyProtection="1">
      <alignment vertical="center"/>
      <protection locked="0"/>
    </xf>
    <xf numFmtId="0" fontId="0" fillId="3" borderId="80" xfId="0" applyFill="1" applyBorder="1" applyAlignment="1">
      <alignment vertical="center"/>
    </xf>
    <xf numFmtId="0" fontId="11" fillId="0" borderId="51" xfId="0" applyFont="1" applyBorder="1" applyAlignment="1" applyProtection="1">
      <alignment vertical="center"/>
      <protection locked="0"/>
    </xf>
    <xf numFmtId="0" fontId="0" fillId="0" borderId="34" xfId="0" applyBorder="1" applyAlignment="1">
      <alignment vertical="center"/>
    </xf>
    <xf numFmtId="0" fontId="0" fillId="0" borderId="77" xfId="0" applyBorder="1" applyAlignment="1">
      <alignment vertical="center"/>
    </xf>
    <xf numFmtId="0" fontId="11" fillId="3" borderId="51" xfId="0" applyFont="1" applyFill="1" applyBorder="1" applyAlignment="1" applyProtection="1">
      <alignment vertical="center"/>
      <protection locked="0"/>
    </xf>
    <xf numFmtId="0" fontId="0" fillId="3" borderId="86" xfId="0" applyFill="1" applyBorder="1" applyAlignment="1">
      <alignment vertical="center"/>
    </xf>
    <xf numFmtId="0" fontId="11" fillId="0" borderId="71" xfId="0" applyFont="1" applyBorder="1" applyAlignment="1">
      <alignment horizontal="center" vertical="center"/>
    </xf>
    <xf numFmtId="0" fontId="11" fillId="0" borderId="52" xfId="0" applyFont="1" applyBorder="1" applyAlignment="1">
      <alignment horizontal="center" vertical="center"/>
    </xf>
    <xf numFmtId="0" fontId="11" fillId="0" borderId="54" xfId="0" applyFont="1" applyBorder="1" applyAlignment="1">
      <alignment horizontal="center" vertical="center"/>
    </xf>
    <xf numFmtId="0" fontId="11" fillId="0" borderId="90" xfId="0" applyFont="1" applyBorder="1" applyAlignment="1">
      <alignment horizontal="center" vertical="center" shrinkToFit="1"/>
    </xf>
    <xf numFmtId="0" fontId="11" fillId="0" borderId="78" xfId="0" applyFont="1" applyBorder="1" applyAlignment="1">
      <alignment horizontal="center" vertical="center"/>
    </xf>
    <xf numFmtId="0" fontId="11" fillId="0" borderId="88" xfId="0" applyFont="1" applyBorder="1" applyAlignment="1">
      <alignment horizontal="center" vertical="center"/>
    </xf>
    <xf numFmtId="192" fontId="11" fillId="0" borderId="11" xfId="0" applyNumberFormat="1" applyFont="1" applyBorder="1" applyAlignment="1" applyProtection="1">
      <alignment horizontal="center" vertical="center" shrinkToFit="1"/>
      <protection locked="0"/>
    </xf>
    <xf numFmtId="192" fontId="11" fillId="0" borderId="91" xfId="0" applyNumberFormat="1" applyFont="1" applyBorder="1" applyAlignment="1" applyProtection="1">
      <alignment horizontal="center" vertical="center" shrinkToFit="1"/>
      <protection locked="0"/>
    </xf>
    <xf numFmtId="0" fontId="11" fillId="0" borderId="44" xfId="0" applyFont="1" applyBorder="1" applyAlignment="1">
      <alignment horizontal="center" vertical="center"/>
    </xf>
    <xf numFmtId="0" fontId="11" fillId="0" borderId="45" xfId="0" applyFont="1" applyBorder="1" applyAlignment="1">
      <alignment horizontal="center" vertical="center"/>
    </xf>
    <xf numFmtId="192" fontId="11" fillId="0" borderId="4" xfId="0" applyNumberFormat="1" applyFont="1" applyBorder="1" applyAlignment="1" applyProtection="1">
      <alignment horizontal="center" vertical="center" shrinkToFit="1"/>
      <protection locked="0"/>
    </xf>
    <xf numFmtId="192" fontId="11" fillId="0" borderId="17" xfId="0" applyNumberFormat="1" applyFont="1" applyBorder="1" applyAlignment="1" applyProtection="1">
      <alignment horizontal="center" vertical="center" shrinkToFit="1"/>
      <protection locked="0"/>
    </xf>
    <xf numFmtId="0" fontId="11" fillId="0" borderId="92" xfId="0" applyFont="1" applyBorder="1" applyAlignment="1" applyProtection="1">
      <alignment vertical="center" shrinkToFit="1"/>
      <protection hidden="1"/>
    </xf>
    <xf numFmtId="0" fontId="11" fillId="0" borderId="44" xfId="0" applyFont="1" applyBorder="1" applyAlignment="1" applyProtection="1">
      <alignment horizontal="center" vertical="center" shrinkToFit="1"/>
      <protection locked="0"/>
    </xf>
    <xf numFmtId="0" fontId="11" fillId="0" borderId="44" xfId="0" applyFont="1" applyBorder="1" applyAlignment="1" applyProtection="1">
      <alignment horizontal="center" vertical="center"/>
      <protection locked="0"/>
    </xf>
    <xf numFmtId="0" fontId="11" fillId="0" borderId="45" xfId="0" applyFont="1" applyBorder="1" applyAlignment="1" applyProtection="1">
      <alignment horizontal="center" vertical="center"/>
      <protection locked="0"/>
    </xf>
    <xf numFmtId="0" fontId="11" fillId="0" borderId="4" xfId="0" applyFont="1" applyBorder="1" applyAlignment="1" applyProtection="1">
      <alignment vertical="center" shrinkToFit="1"/>
      <protection locked="0"/>
    </xf>
    <xf numFmtId="0" fontId="11" fillId="0" borderId="34" xfId="0" applyFont="1" applyBorder="1" applyAlignment="1">
      <alignment horizontal="center" vertical="center" shrinkToFit="1"/>
    </xf>
    <xf numFmtId="0" fontId="11" fillId="0" borderId="77" xfId="0" applyFont="1" applyBorder="1" applyAlignment="1">
      <alignment horizontal="center" vertical="center" shrinkToFit="1"/>
    </xf>
    <xf numFmtId="192" fontId="17" fillId="0" borderId="72" xfId="0" applyNumberFormat="1" applyFont="1" applyBorder="1" applyAlignment="1">
      <alignment horizontal="center" vertical="center" shrinkToFit="1"/>
    </xf>
    <xf numFmtId="192" fontId="17" fillId="0" borderId="43" xfId="0" applyNumberFormat="1" applyFont="1" applyBorder="1" applyAlignment="1">
      <alignment horizontal="center" vertical="center" shrinkToFit="1"/>
    </xf>
    <xf numFmtId="0" fontId="11" fillId="0" borderId="59" xfId="0" applyFont="1" applyBorder="1" applyAlignment="1" applyProtection="1">
      <alignment vertical="center" shrinkToFit="1"/>
      <protection hidden="1"/>
    </xf>
    <xf numFmtId="0" fontId="11" fillId="0" borderId="93" xfId="0" applyFont="1" applyBorder="1" applyAlignment="1">
      <alignment horizontal="center" vertical="center" textRotation="255"/>
    </xf>
    <xf numFmtId="0" fontId="11" fillId="0" borderId="54" xfId="0" applyFont="1" applyBorder="1" applyAlignment="1">
      <alignment horizontal="center" vertical="center" shrinkToFit="1"/>
    </xf>
    <xf numFmtId="0" fontId="11" fillId="0" borderId="7" xfId="0" applyFont="1" applyBorder="1" applyAlignment="1">
      <alignment horizontal="center" vertical="center" textRotation="255"/>
    </xf>
    <xf numFmtId="0" fontId="20" fillId="0" borderId="65" xfId="0" applyFont="1" applyBorder="1" applyAlignment="1">
      <alignment vertical="center" wrapText="1"/>
    </xf>
    <xf numFmtId="194" fontId="21" fillId="3" borderId="11" xfId="0" applyNumberFormat="1" applyFont="1" applyFill="1" applyBorder="1" applyAlignment="1" applyProtection="1">
      <alignment horizontal="center" vertical="center" shrinkToFit="1"/>
      <protection locked="0"/>
    </xf>
    <xf numFmtId="194" fontId="19" fillId="0" borderId="94" xfId="0" applyNumberFormat="1" applyFont="1" applyBorder="1" applyAlignment="1">
      <alignment horizontal="center" vertical="center" wrapText="1"/>
    </xf>
    <xf numFmtId="194" fontId="19" fillId="0" borderId="95" xfId="0" applyNumberFormat="1" applyFont="1" applyBorder="1" applyAlignment="1">
      <alignment horizontal="center" vertical="center" wrapText="1"/>
    </xf>
    <xf numFmtId="0" fontId="20" fillId="0" borderId="45" xfId="0" applyFont="1" applyBorder="1" applyAlignment="1">
      <alignment vertical="center" wrapText="1"/>
    </xf>
    <xf numFmtId="194" fontId="21" fillId="3" borderId="4" xfId="0" applyNumberFormat="1" applyFont="1" applyFill="1" applyBorder="1" applyAlignment="1" applyProtection="1">
      <alignment horizontal="center" vertical="center" shrinkToFit="1"/>
      <protection locked="0"/>
    </xf>
    <xf numFmtId="194" fontId="19" fillId="0" borderId="61" xfId="0" applyNumberFormat="1" applyFont="1" applyBorder="1" applyAlignment="1">
      <alignment horizontal="center" vertical="center" wrapText="1"/>
    </xf>
    <xf numFmtId="194" fontId="19" fillId="0" borderId="96" xfId="0" applyNumberFormat="1" applyFont="1" applyBorder="1" applyAlignment="1">
      <alignment horizontal="center" vertical="center" wrapText="1"/>
    </xf>
    <xf numFmtId="194" fontId="19" fillId="0" borderId="62" xfId="0" applyNumberFormat="1" applyFont="1" applyBorder="1" applyAlignment="1">
      <alignment horizontal="center" vertical="center" wrapText="1"/>
    </xf>
    <xf numFmtId="194" fontId="19" fillId="0" borderId="41" xfId="0" applyNumberFormat="1" applyFont="1" applyBorder="1" applyAlignment="1">
      <alignment horizontal="center" vertical="center" wrapText="1"/>
    </xf>
    <xf numFmtId="194" fontId="11" fillId="0" borderId="0" xfId="0" applyNumberFormat="1" applyFont="1" applyAlignment="1">
      <alignment vertical="center" shrinkToFit="1"/>
    </xf>
    <xf numFmtId="0" fontId="20" fillId="0" borderId="45" xfId="0" applyFont="1" applyBorder="1" applyAlignment="1">
      <alignment vertical="center" wrapText="1" shrinkToFit="1"/>
    </xf>
    <xf numFmtId="0" fontId="20" fillId="0" borderId="4" xfId="0" applyFont="1" applyBorder="1" applyAlignment="1">
      <alignment vertical="center" wrapText="1" shrinkToFit="1"/>
    </xf>
    <xf numFmtId="194" fontId="19" fillId="0" borderId="44" xfId="0" applyNumberFormat="1" applyFont="1" applyBorder="1" applyAlignment="1">
      <alignment horizontal="center" vertical="center" wrapText="1"/>
    </xf>
    <xf numFmtId="194" fontId="19" fillId="0" borderId="80" xfId="0" applyNumberFormat="1" applyFont="1" applyBorder="1" applyAlignment="1">
      <alignment horizontal="center" vertical="center" wrapText="1"/>
    </xf>
    <xf numFmtId="0" fontId="11" fillId="0" borderId="27" xfId="0" applyFont="1" applyBorder="1" applyAlignment="1">
      <alignment horizontal="center" vertical="center" textRotation="255"/>
    </xf>
    <xf numFmtId="0" fontId="20" fillId="0" borderId="50" xfId="0" applyFont="1" applyBorder="1" applyAlignment="1">
      <alignment vertical="center" wrapText="1" shrinkToFit="1"/>
    </xf>
    <xf numFmtId="194" fontId="21" fillId="3" borderId="50" xfId="0" applyNumberFormat="1" applyFont="1" applyFill="1" applyBorder="1" applyAlignment="1" applyProtection="1">
      <alignment horizontal="center" vertical="center" shrinkToFit="1"/>
      <protection locked="0"/>
    </xf>
    <xf numFmtId="194" fontId="19" fillId="0" borderId="51" xfId="0" applyNumberFormat="1" applyFont="1" applyBorder="1" applyAlignment="1">
      <alignment horizontal="center" vertical="center" wrapText="1"/>
    </xf>
    <xf numFmtId="194" fontId="19" fillId="0" borderId="86" xfId="0" applyNumberFormat="1" applyFont="1" applyBorder="1" applyAlignment="1">
      <alignment horizontal="center" vertical="center" wrapText="1"/>
    </xf>
    <xf numFmtId="0" fontId="11" fillId="0" borderId="0" xfId="0" applyFont="1" applyAlignment="1">
      <alignment horizontal="center" vertical="center" textRotation="255"/>
    </xf>
    <xf numFmtId="0" fontId="20" fillId="0" borderId="0" xfId="0" applyFont="1" applyAlignment="1">
      <alignment vertical="center" wrapText="1" shrinkToFit="1"/>
    </xf>
    <xf numFmtId="194" fontId="21" fillId="0" borderId="0" xfId="0" applyNumberFormat="1" applyFont="1" applyAlignment="1" applyProtection="1">
      <alignment horizontal="center" vertical="center" shrinkToFit="1"/>
      <protection locked="0"/>
    </xf>
    <xf numFmtId="194" fontId="19" fillId="0" borderId="0" xfId="0" applyNumberFormat="1" applyFont="1" applyAlignment="1">
      <alignment horizontal="center" vertical="center" wrapText="1"/>
    </xf>
    <xf numFmtId="0" fontId="22" fillId="0" borderId="0" xfId="0" applyFont="1" applyAlignment="1">
      <alignment vertical="center"/>
    </xf>
    <xf numFmtId="0" fontId="22" fillId="8" borderId="52" xfId="0" applyFont="1" applyFill="1" applyBorder="1" applyAlignment="1">
      <alignment horizontal="center" vertical="center" wrapText="1" shrinkToFit="1"/>
    </xf>
    <xf numFmtId="0" fontId="9" fillId="0" borderId="54" xfId="0" applyFont="1" applyBorder="1" applyAlignment="1">
      <alignment horizontal="center" vertical="center" wrapText="1" shrinkToFit="1"/>
    </xf>
    <xf numFmtId="0" fontId="0" fillId="0" borderId="87" xfId="0" applyBorder="1" applyAlignment="1">
      <alignment vertical="center" shrinkToFit="1"/>
    </xf>
    <xf numFmtId="179" fontId="11" fillId="0" borderId="11" xfId="0" applyNumberFormat="1" applyFont="1" applyBorder="1" applyAlignment="1" applyProtection="1">
      <alignment horizontal="center" vertical="center" shrinkToFit="1"/>
      <protection locked="0"/>
    </xf>
    <xf numFmtId="179" fontId="0" fillId="0" borderId="11" xfId="0" applyNumberFormat="1" applyBorder="1" applyAlignment="1" applyProtection="1">
      <alignment vertical="center" shrinkToFit="1"/>
      <protection locked="0"/>
    </xf>
    <xf numFmtId="0" fontId="11" fillId="0" borderId="61" xfId="0" applyFont="1" applyBorder="1" applyAlignment="1" applyProtection="1">
      <alignment vertical="center" shrinkToFit="1"/>
      <protection locked="0"/>
    </xf>
    <xf numFmtId="0" fontId="0" fillId="0" borderId="33" xfId="0" applyBorder="1" applyAlignment="1" applyProtection="1">
      <alignment vertical="center" shrinkToFit="1"/>
      <protection locked="0"/>
    </xf>
    <xf numFmtId="0" fontId="0" fillId="0" borderId="96" xfId="0" applyBorder="1" applyAlignment="1">
      <alignment vertical="center" shrinkToFit="1"/>
    </xf>
    <xf numFmtId="179" fontId="11" fillId="0" borderId="4" xfId="0" applyNumberFormat="1" applyFont="1" applyBorder="1" applyAlignment="1" applyProtection="1">
      <alignment horizontal="center" vertical="center" shrinkToFit="1"/>
      <protection locked="0"/>
    </xf>
    <xf numFmtId="179" fontId="0" fillId="0" borderId="4" xfId="0" applyNumberFormat="1" applyBorder="1" applyAlignment="1" applyProtection="1">
      <alignment vertical="center" shrinkToFit="1"/>
      <protection locked="0"/>
    </xf>
    <xf numFmtId="0" fontId="11" fillId="0" borderId="44" xfId="0" applyFont="1" applyBorder="1" applyAlignment="1" applyProtection="1">
      <alignment vertical="center" shrinkToFit="1"/>
      <protection locked="0"/>
    </xf>
    <xf numFmtId="0" fontId="0" fillId="0" borderId="75" xfId="0" applyBorder="1" applyAlignment="1" applyProtection="1">
      <alignment vertical="center" shrinkToFit="1"/>
      <protection locked="0"/>
    </xf>
    <xf numFmtId="0" fontId="0" fillId="0" borderId="80" xfId="0" applyBorder="1" applyAlignment="1">
      <alignment vertical="center" shrinkToFit="1"/>
    </xf>
    <xf numFmtId="179" fontId="11" fillId="0" borderId="50" xfId="0" applyNumberFormat="1" applyFont="1" applyBorder="1" applyAlignment="1" applyProtection="1">
      <alignment horizontal="center" vertical="center" shrinkToFit="1"/>
      <protection locked="0"/>
    </xf>
    <xf numFmtId="179" fontId="0" fillId="0" borderId="50" xfId="0" applyNumberFormat="1" applyBorder="1" applyAlignment="1" applyProtection="1">
      <alignment vertical="center" shrinkToFit="1"/>
      <protection locked="0"/>
    </xf>
    <xf numFmtId="0" fontId="11" fillId="0" borderId="51" xfId="0" applyFont="1" applyBorder="1" applyAlignment="1" applyProtection="1">
      <alignment vertical="center" shrinkToFit="1"/>
      <protection locked="0"/>
    </xf>
    <xf numFmtId="0" fontId="0" fillId="0" borderId="34" xfId="0" applyBorder="1" applyAlignment="1" applyProtection="1">
      <alignment vertical="center" shrinkToFit="1"/>
      <protection locked="0"/>
    </xf>
    <xf numFmtId="0" fontId="0" fillId="0" borderId="34" xfId="0" applyBorder="1" applyAlignment="1">
      <alignment vertical="center" shrinkToFit="1"/>
    </xf>
    <xf numFmtId="0" fontId="0" fillId="0" borderId="86" xfId="0" applyBorder="1" applyAlignment="1">
      <alignment vertical="center" shrinkToFit="1"/>
    </xf>
    <xf numFmtId="0" fontId="11" fillId="8" borderId="56" xfId="0" applyFont="1" applyFill="1" applyBorder="1" applyAlignment="1" applyProtection="1">
      <alignment horizontal="right" vertical="center" shrinkToFit="1"/>
      <protection locked="0"/>
    </xf>
    <xf numFmtId="0" fontId="11" fillId="8" borderId="0" xfId="0" applyFont="1" applyFill="1" applyAlignment="1" applyProtection="1">
      <alignment horizontal="right" vertical="center" shrinkToFit="1"/>
      <protection locked="0"/>
    </xf>
    <xf numFmtId="0" fontId="8" fillId="3" borderId="38" xfId="0" applyFont="1" applyFill="1" applyBorder="1" applyAlignment="1">
      <alignment horizontal="center" vertical="center" wrapText="1" shrinkToFit="1"/>
    </xf>
    <xf numFmtId="0" fontId="8" fillId="3" borderId="48" xfId="0" applyFont="1" applyFill="1" applyBorder="1" applyAlignment="1">
      <alignment horizontal="center" vertical="center" wrapText="1" shrinkToFit="1"/>
    </xf>
    <xf numFmtId="0" fontId="8" fillId="3" borderId="39" xfId="0" applyFont="1" applyFill="1" applyBorder="1" applyAlignment="1">
      <alignment horizontal="center" vertical="center" wrapText="1" shrinkToFit="1"/>
    </xf>
    <xf numFmtId="0" fontId="8" fillId="3" borderId="40" xfId="0" applyFont="1" applyFill="1" applyBorder="1" applyAlignment="1">
      <alignment horizontal="center" vertical="center" wrapText="1" shrinkToFit="1"/>
    </xf>
    <xf numFmtId="0" fontId="8" fillId="3" borderId="63" xfId="0" applyFont="1" applyFill="1" applyBorder="1" applyAlignment="1">
      <alignment horizontal="center" vertical="center" wrapText="1" shrinkToFit="1"/>
    </xf>
    <xf numFmtId="0" fontId="8" fillId="3" borderId="41" xfId="0" applyFont="1" applyFill="1" applyBorder="1" applyAlignment="1">
      <alignment horizontal="center" vertical="center" wrapText="1" shrinkToFit="1"/>
    </xf>
    <xf numFmtId="0" fontId="8" fillId="3" borderId="59" xfId="0" applyFont="1" applyFill="1" applyBorder="1" applyAlignment="1">
      <alignment horizontal="center" vertical="center" wrapText="1" shrinkToFit="1"/>
    </xf>
    <xf numFmtId="0" fontId="8" fillId="3" borderId="0" xfId="0" applyFont="1" applyFill="1" applyAlignment="1">
      <alignment horizontal="center" vertical="center" wrapText="1" shrinkToFit="1"/>
    </xf>
    <xf numFmtId="0" fontId="8" fillId="3" borderId="97" xfId="0" applyFont="1" applyFill="1" applyBorder="1" applyAlignment="1">
      <alignment horizontal="center" vertical="center" wrapText="1" shrinkToFit="1"/>
    </xf>
    <xf numFmtId="0" fontId="8" fillId="3" borderId="42" xfId="0" applyFont="1" applyFill="1" applyBorder="1" applyAlignment="1">
      <alignment horizontal="center" vertical="center" wrapText="1" shrinkToFit="1"/>
    </xf>
    <xf numFmtId="0" fontId="8" fillId="3" borderId="35" xfId="0" applyFont="1" applyFill="1" applyBorder="1" applyAlignment="1">
      <alignment horizontal="center" vertical="center" wrapText="1" shrinkToFit="1"/>
    </xf>
    <xf numFmtId="0" fontId="8" fillId="3" borderId="43" xfId="0" applyFont="1" applyFill="1" applyBorder="1" applyAlignment="1">
      <alignment horizontal="center" vertical="center" wrapText="1" shrinkToFit="1"/>
    </xf>
    <xf numFmtId="0" fontId="22" fillId="0" borderId="56" xfId="0" applyFont="1" applyBorder="1" applyAlignment="1">
      <alignment vertical="top"/>
    </xf>
    <xf numFmtId="0" fontId="22" fillId="0" borderId="56" xfId="0" applyFont="1" applyBorder="1" applyAlignment="1">
      <alignment vertical="center"/>
    </xf>
    <xf numFmtId="0" fontId="22" fillId="0" borderId="98" xfId="0" applyFont="1" applyBorder="1" applyAlignment="1">
      <alignment vertical="center"/>
    </xf>
    <xf numFmtId="0" fontId="22" fillId="0" borderId="35" xfId="0" applyFont="1" applyBorder="1" applyAlignment="1">
      <alignment vertical="center"/>
    </xf>
    <xf numFmtId="0" fontId="22" fillId="0" borderId="43" xfId="0" applyFont="1" applyBorder="1" applyAlignment="1">
      <alignment vertical="center"/>
    </xf>
    <xf numFmtId="49" fontId="11" fillId="0" borderId="51" xfId="0" applyNumberFormat="1" applyFont="1" applyBorder="1" applyAlignment="1" applyProtection="1" quotePrefix="1">
      <alignment horizontal="center" vertical="center" shrinkToFit="1"/>
      <protection locked="0"/>
    </xf>
  </cellXfs>
  <cellStyles count="328">
    <cellStyle name="常规" xfId="0" builtinId="0"/>
    <cellStyle name="货币[0]" xfId="1" builtinId="7"/>
    <cellStyle name="20% - 强调文字颜色 3" xfId="2" builtinId="38"/>
    <cellStyle name="SAPBEXresItem" xfId="3"/>
    <cellStyle name="输入" xfId="4" builtinId="20"/>
    <cellStyle name="説明文 3" xfId="5"/>
    <cellStyle name="货币" xfId="6" builtinId="4"/>
    <cellStyle name="args.style" xfId="7"/>
    <cellStyle name="Hyperlink" xfId="8"/>
    <cellStyle name="千位分隔[0]" xfId="9" builtinId="6"/>
    <cellStyle name="Calc Percent (1)" xfId="10"/>
    <cellStyle name="40% - 强调文字颜色 3" xfId="11" builtinId="39"/>
    <cellStyle name="アクセント 5 2" xfId="12"/>
    <cellStyle name="差" xfId="13" builtinId="27"/>
    <cellStyle name="40% - アクセント 5 4" xfId="14"/>
    <cellStyle name="千位分隔" xfId="15" builtinId="3"/>
    <cellStyle name="60% - 强调文字颜色 3" xfId="16" builtinId="40"/>
    <cellStyle name="超链接" xfId="17" builtinId="8"/>
    <cellStyle name="_C66E-1-0004_カスタマイズ仕様書（0表紙）_(sample)画面説明書（詳細）_HEP1050_リベート約定登録v2_画面説明書（詳細）_CFP0010_支払予定登録" xfId="18"/>
    <cellStyle name="百分比" xfId="19" builtinId="5"/>
    <cellStyle name="已访问的超链接" xfId="20" builtinId="9"/>
    <cellStyle name="entry" xfId="21"/>
    <cellStyle name="注释" xfId="22" builtinId="10"/>
    <cellStyle name="_C66E-1-0004_カスタマイズ仕様書（0表紙）_(sample)画面説明書（詳細）_HEP1050_リベート約定登録v2" xfId="23"/>
    <cellStyle name="PrePop Units (1)" xfId="24"/>
    <cellStyle name="Entered" xfId="25"/>
    <cellStyle name="60% - 强调文字颜色 2" xfId="26" builtinId="36"/>
    <cellStyle name="标题 4" xfId="27" builtinId="19"/>
    <cellStyle name="60% - アクセント 6 2" xfId="28"/>
    <cellStyle name="警告文本" xfId="29" builtinId="11"/>
    <cellStyle name="Calc Units (0)" xfId="30"/>
    <cellStyle name="40% - アクセント 3 3" xfId="31"/>
    <cellStyle name="标题" xfId="32" builtinId="15"/>
    <cellStyle name="解释性文本" xfId="33" builtinId="53"/>
    <cellStyle name="どちらでもない 2" xfId="34"/>
    <cellStyle name="标题 1" xfId="35" builtinId="16"/>
    <cellStyle name="どちらでもない 3" xfId="36"/>
    <cellStyle name="标题 2" xfId="37" builtinId="17"/>
    <cellStyle name="60% - 强调文字颜色 1" xfId="38" builtinId="32"/>
    <cellStyle name="どちらでもない 4" xfId="39"/>
    <cellStyle name="标题 3" xfId="40" builtinId="18"/>
    <cellStyle name="60% - 强调文字颜色 4" xfId="41" builtinId="44"/>
    <cellStyle name="输出" xfId="42" builtinId="21"/>
    <cellStyle name="アクセント 3 2" xfId="43"/>
    <cellStyle name="计算" xfId="44" builtinId="22"/>
    <cellStyle name="检查单元格" xfId="45" builtinId="23"/>
    <cellStyle name="出力 2" xfId="46"/>
    <cellStyle name="Link Units (1)" xfId="47"/>
    <cellStyle name="40% - アクセント 6 4" xfId="48"/>
    <cellStyle name="20% - 强调文字颜色 6" xfId="49" builtinId="50"/>
    <cellStyle name="强调文字颜色 2" xfId="50" builtinId="33"/>
    <cellStyle name="HEADINGS" xfId="51"/>
    <cellStyle name="链接单元格" xfId="52" builtinId="24"/>
    <cellStyle name="Enter Units (0)" xfId="53"/>
    <cellStyle name="汇总" xfId="54" builtinId="25"/>
    <cellStyle name="好" xfId="55" builtinId="26"/>
    <cellStyle name="适中" xfId="56" builtinId="28"/>
    <cellStyle name="40% - アクセント 6 3" xfId="57"/>
    <cellStyle name="20% - 强调文字颜色 5" xfId="58" builtinId="46"/>
    <cellStyle name="强调文字颜色 1" xfId="59" builtinId="29"/>
    <cellStyle name="_C66E-1-0004_カスタマイズ仕様書（0表紙）_コ画面説明書（詳細）_CMP4201_補足情報マスタ登録_画面説明書（詳細）_CFP0010_支払予定登録" xfId="60"/>
    <cellStyle name="_C66E-1-0004_カスタマイズ仕様書（0表紙）_コ画面説明書（詳細）_CMP4201_補足情報マスタ登録_コピー画面説明書（詳細）_CFP0010_支払予定登録.xls-revHEAD.svn004.tmp" xfId="61"/>
    <cellStyle name="Link Units (0)" xfId="62"/>
    <cellStyle name="20% - アクセント 4 3" xfId="63"/>
    <cellStyle name="20% - 强调文字颜色 1" xfId="64" builtinId="30"/>
    <cellStyle name="40% - 强调文字颜色 1" xfId="65" builtinId="31"/>
    <cellStyle name="_C66E-1-0004_カスタマイズ仕様書（0表紙）_(sample)画面説明書（詳細）_HEP1050_リベート約定登録_画面説明書（詳細）_【機能ID】_【機能名】" xfId="66"/>
    <cellStyle name="20% - アクセント 4 4" xfId="67"/>
    <cellStyle name="20% - 强调文字颜色 2" xfId="68" builtinId="34"/>
    <cellStyle name="40% - 强调文字颜色 2" xfId="69" builtinId="35"/>
    <cellStyle name="出力 3" xfId="70"/>
    <cellStyle name="pricing" xfId="71"/>
    <cellStyle name="_C66E-1-0004_カスタマイズ仕様書（0表紙）_(sample)画面説明書（詳細）_HEP1050_リベート約定登録_コピー画面説明書（詳細）_CFP0010_支払予定登録.xls-revHEAD.svn004.tmp" xfId="72"/>
    <cellStyle name="强调文字颜色 3" xfId="73" builtinId="37"/>
    <cellStyle name="SAPBEXstdItem" xfId="74"/>
    <cellStyle name="SAPBEXaggItem" xfId="75"/>
    <cellStyle name="PSChar" xfId="76"/>
    <cellStyle name="强调文字颜色 4" xfId="77" builtinId="41"/>
    <cellStyle name="40% - アクセント 6 2" xfId="78"/>
    <cellStyle name="20% - 强调文字颜色 4" xfId="79" builtinId="42"/>
    <cellStyle name="_C66E-1-0004_カスタマイズ仕様書（0表紙）_(sample)画面説明書（詳細）_HEP1050_リベート約定登録" xfId="80"/>
    <cellStyle name="40% - 强调文字颜色 4" xfId="81" builtinId="43"/>
    <cellStyle name="强调文字颜色 5" xfId="82" builtinId="45"/>
    <cellStyle name="_x000c_ーセン_x000c_" xfId="83"/>
    <cellStyle name="40% - 强调文字颜色 5" xfId="84" builtinId="47"/>
    <cellStyle name="60% - 强调文字颜色 5" xfId="85" builtinId="48"/>
    <cellStyle name="_C66E-1-0004_カスタマイズ仕様書（0表紙）_(sample)画面説明書（詳細）_HEP1050_リベート約定登録v2_画面説明書（詳細）_【機能ID】_【機能名】" xfId="86"/>
    <cellStyle name="强调文字颜色 6" xfId="87" builtinId="49"/>
    <cellStyle name="_C66E-1-0004_カスタマイズ仕様書（0表紙）_コ画面説明書（詳細）_CMP4201_補足情報マスタ登録" xfId="88"/>
    <cellStyle name="40% - 强调文字颜色 6" xfId="89" builtinId="51"/>
    <cellStyle name="_C66E-1-0004_カスタマイズ仕様書（0表紙）_画面説明書（詳細）_HAP0010_月次出荷計画登録" xfId="90"/>
    <cellStyle name="60% - 强调文字颜色 6" xfId="91" builtinId="52"/>
    <cellStyle name="_C66E-1-0004_カスタマイズ仕様書（0表紙）" xfId="92"/>
    <cellStyle name="_C66E-1-0004_カスタマイズ仕様書（0表紙）_(sample)画面説明書（詳細）_HEP1050_リベート約定登録_画面説明書（詳細）_CFP0010_支払予定登録" xfId="93"/>
    <cellStyle name="_C66E-1-0004_カスタマイズ仕様書（0表紙）_(sample)画面説明書（詳細）_HEP1050_リベート約定登録v2_コピー画面説明書（詳細）_CFP0010_支払予定登録.xls-revHEAD.svn004.tmp" xfId="94"/>
    <cellStyle name="_C66E-1-0004_カスタマイズ仕様書（0表紙）_コ画面説明書（詳細）_CMP4201_補足情報マスタ登録_画面説明書（詳細）_【機能ID】_【機能名】" xfId="95"/>
    <cellStyle name="SAPBEXexcVeryBad" xfId="96"/>
    <cellStyle name="_C66E-1-0004_カスタマイズ仕様書（0表紙）_画面説明書（詳細）_HAP0010_月次出荷計画登録_コピー画面説明書（詳細）_CFP0010_支払予定登録.xls-revHEAD.svn004.tmp" xfId="97"/>
    <cellStyle name="_C66E-1-0004_カスタマイズ仕様書（0表紙）_画面説明書（詳細）_HAP0010_月次出荷計画登録_画面説明書（詳細）_【機能ID】_【機能名】" xfId="98"/>
    <cellStyle name="_C66E-1-0004_カスタマイズ仕様書（0表紙）_画面説明書（詳細）_HAP0010_月次出荷計画登録_画面説明書（詳細）_CFP0010_支払予定登録" xfId="99"/>
    <cellStyle name="SAPBEXchaText" xfId="100"/>
    <cellStyle name="Mon騁aire [0]_!!!GO" xfId="101"/>
    <cellStyle name="20% - アクセント 1 4" xfId="102"/>
    <cellStyle name="=C:\WINNT\SYSTEM32\COMMAND.COM" xfId="103"/>
    <cellStyle name="W_p2" xfId="104"/>
    <cellStyle name="アクセント 1 4" xfId="105"/>
    <cellStyle name="0301" xfId="106"/>
    <cellStyle name="0_x0014_標準_F_02?P_Dd080301" xfId="107"/>
    <cellStyle name="20% - アクセント 1 2" xfId="108"/>
    <cellStyle name="20% - アクセント 1 3" xfId="109"/>
    <cellStyle name="specstores" xfId="110"/>
    <cellStyle name="20% - アクセント 2 2" xfId="111"/>
    <cellStyle name="20% - アクセント 2 3" xfId="112"/>
    <cellStyle name="20% - アクセント 2 4" xfId="113"/>
    <cellStyle name="20% - アクセント 3 2" xfId="114"/>
    <cellStyle name="PSDate" xfId="115"/>
    <cellStyle name="20% - アクセント 3 3" xfId="116"/>
    <cellStyle name="20% - アクセント 3 4" xfId="117"/>
    <cellStyle name="20% - アクセント 4 2" xfId="118"/>
    <cellStyle name="20% - アクセント 5 2" xfId="119"/>
    <cellStyle name="20% - アクセント 5 3" xfId="120"/>
    <cellStyle name="20% - アクセント 5 4" xfId="121"/>
    <cellStyle name="20% - アクセント 6 2" xfId="122"/>
    <cellStyle name="20% - アクセント 6 3" xfId="123"/>
    <cellStyle name="20% - アクセント 6 4" xfId="124"/>
    <cellStyle name="40% - アクセント 1 2" xfId="125"/>
    <cellStyle name="40% - アクセント 1 3" xfId="126"/>
    <cellStyle name="40% - アクセント 1 4" xfId="127"/>
    <cellStyle name="SHADEDSTORES" xfId="128"/>
    <cellStyle name="SAPBEXheaderText" xfId="129"/>
    <cellStyle name="40% - アクセント 2 2" xfId="130"/>
    <cellStyle name="40% - アクセント 2 3" xfId="131"/>
    <cellStyle name="40% - アクセント 2 4" xfId="132"/>
    <cellStyle name="40% - アクセント 3 2" xfId="133"/>
    <cellStyle name="SAPBEXstdData" xfId="134"/>
    <cellStyle name="SAPBEXaggData" xfId="135"/>
    <cellStyle name="40% - アクセント 3 4" xfId="136"/>
    <cellStyle name="40% - アクセント 4 2" xfId="137"/>
    <cellStyle name="40% - アクセント 4 3" xfId="138"/>
    <cellStyle name="40% - アクセント 4 4" xfId="139"/>
    <cellStyle name="40% - アクセント 5 2" xfId="140"/>
    <cellStyle name="40% - アクセント 5 3" xfId="141"/>
    <cellStyle name="60% - アクセント 1 2" xfId="142"/>
    <cellStyle name="60% - アクセント 1 3" xfId="143"/>
    <cellStyle name="60% - アクセント 1 4" xfId="144"/>
    <cellStyle name="60% - アクセント 2 2" xfId="145"/>
    <cellStyle name="スタイル 1" xfId="146"/>
    <cellStyle name="60% - アクセント 2 3" xfId="147"/>
    <cellStyle name="u" xfId="148"/>
    <cellStyle name="60% - アクセント 2 4" xfId="149"/>
    <cellStyle name="SAPBEXfilterItem" xfId="150"/>
    <cellStyle name="60% - アクセント 3 2" xfId="151"/>
    <cellStyle name="60% - アクセント 3 3" xfId="152"/>
    <cellStyle name="60% - アクセント 3 4" xfId="153"/>
    <cellStyle name="60% - アクセント 4 2" xfId="154"/>
    <cellStyle name="60% - アクセント 4 3" xfId="155"/>
    <cellStyle name="60% - アクセント 4 4" xfId="156"/>
    <cellStyle name="60% - アクセント 5 2" xfId="157"/>
    <cellStyle name="60% - アクセント 5 3" xfId="158"/>
    <cellStyle name="Calc Units (1)" xfId="159"/>
    <cellStyle name="60% - アクセント 5 4" xfId="160"/>
    <cellStyle name="60% - アクセント 6 3" xfId="161"/>
    <cellStyle name="standard" xfId="162"/>
    <cellStyle name="60% - アクセント 6 4" xfId="163"/>
    <cellStyle name="Calc Currency (0)" xfId="164"/>
    <cellStyle name="Calc Currency (2)" xfId="165"/>
    <cellStyle name="Calc Percent (0)" xfId="166"/>
    <cellStyle name="Calc Percent (2)" xfId="167"/>
    <cellStyle name="未定義" xfId="168"/>
    <cellStyle name="Calc Units (2)" xfId="169"/>
    <cellStyle name="Comma [0]_ SG&amp;A Bridge " xfId="170"/>
    <cellStyle name="Comma [00]" xfId="171"/>
    <cellStyle name="Comma_ SG&amp;A Bridge " xfId="172"/>
    <cellStyle name="Date Short" xfId="173"/>
    <cellStyle name="COMP定番表書式" xfId="174"/>
    <cellStyle name="Copied" xfId="175"/>
    <cellStyle name="Currency [0]_ SG&amp;A Bridge " xfId="176"/>
    <cellStyle name="Currency [00]" xfId="177"/>
    <cellStyle name="見出し 2 2" xfId="178"/>
    <cellStyle name="SAPBEXexcGood" xfId="179"/>
    <cellStyle name="Currency_ SG&amp;A Bridge " xfId="180"/>
    <cellStyle name="dak" xfId="181"/>
    <cellStyle name="アクセント 1 2" xfId="182"/>
    <cellStyle name="SAPBEXstdDataEmph" xfId="183"/>
    <cellStyle name="SAPBEXaggDataEmph" xfId="184"/>
    <cellStyle name="Enter Currency (0)" xfId="185"/>
    <cellStyle name="見出し 4 4" xfId="186"/>
    <cellStyle name="Enter Currency (2)" xfId="187"/>
    <cellStyle name="アクセント 2 2" xfId="188"/>
    <cellStyle name="Enter Units (1)" xfId="189"/>
    <cellStyle name="Enter Units (2)" xfId="190"/>
    <cellStyle name="標準 7" xfId="191"/>
    <cellStyle name="Followed Hyperlink" xfId="192"/>
    <cellStyle name="Grey" xfId="193"/>
    <cellStyle name="資料２" xfId="194"/>
    <cellStyle name="Header1" xfId="195"/>
    <cellStyle name="Header2" xfId="196"/>
    <cellStyle name="SAPBEXfilterText" xfId="197"/>
    <cellStyle name="SAPBEXexcCritical" xfId="198"/>
    <cellStyle name="HEADINGSTOP" xfId="199"/>
    <cellStyle name="Input [yellow]" xfId="200"/>
    <cellStyle name="タイトル 4" xfId="201"/>
    <cellStyle name="Link Currency (0)" xfId="202"/>
    <cellStyle name="Link Currency (2)" xfId="203"/>
    <cellStyle name="Link Units (2)" xfId="204"/>
    <cellStyle name="Millares [0]_BRASIL (2)" xfId="205"/>
    <cellStyle name="見出し 1 4" xfId="206"/>
    <cellStyle name="Millares_5670-t123" xfId="207"/>
    <cellStyle name="SAPBEXtitle" xfId="208"/>
    <cellStyle name="Milliers [0]_!!!GO" xfId="209"/>
    <cellStyle name="Milliers_!!!GO" xfId="210"/>
    <cellStyle name="Moneda [0]_BRASIL (2)" xfId="211"/>
    <cellStyle name="Moneda_5670-t123" xfId="212"/>
    <cellStyle name="Mon騁aire_!!!GO" xfId="213"/>
    <cellStyle name="new" xfId="214"/>
    <cellStyle name="Normal - Style1" xfId="215"/>
    <cellStyle name="Normal_ SG&amp;A Bridge " xfId="216"/>
    <cellStyle name="Normale_LSCO0697" xfId="217"/>
    <cellStyle name="PSInt" xfId="218"/>
    <cellStyle name="per.style" xfId="219"/>
    <cellStyle name="Percent [0]" xfId="220"/>
    <cellStyle name="Percent [00]" xfId="221"/>
    <cellStyle name="メモ 4" xfId="222"/>
    <cellStyle name="Percent [2]" xfId="223"/>
    <cellStyle name="Percent_#6 Temps &amp; Contractors" xfId="224"/>
    <cellStyle name="PrePop Currency (0)" xfId="225"/>
    <cellStyle name="悪い 2" xfId="226"/>
    <cellStyle name="PrePop Currency (2)" xfId="227"/>
    <cellStyle name="PrePop Units (0)" xfId="228"/>
    <cellStyle name="タイトル 2" xfId="229"/>
    <cellStyle name="PrePop Units (2)" xfId="230"/>
    <cellStyle name="標準 4" xfId="231"/>
    <cellStyle name="price" xfId="232"/>
    <cellStyle name="PSDec" xfId="233"/>
    <cellStyle name="PSHeading" xfId="234"/>
    <cellStyle name="PSSpacer" xfId="235"/>
    <cellStyle name="regstoresfromspecstores" xfId="236"/>
    <cellStyle name="revised" xfId="237"/>
    <cellStyle name="RevList" xfId="238"/>
    <cellStyle name="SAPBEXexcBad" xfId="239"/>
    <cellStyle name="SAPBEXfilterDrill" xfId="240"/>
    <cellStyle name="SAPBEXformats" xfId="241"/>
    <cellStyle name="入力 2" xfId="242"/>
    <cellStyle name="チェック セル 2" xfId="243"/>
    <cellStyle name="SAPBEXheaderData" xfId="244"/>
    <cellStyle name="SAPBEXheaderItem" xfId="245"/>
    <cellStyle name="SAPBEXresData" xfId="246"/>
    <cellStyle name="アクセント 4 2" xfId="247"/>
    <cellStyle name="SAPBEXresDataEmph" xfId="248"/>
    <cellStyle name="SAPBEXsubData" xfId="249"/>
    <cellStyle name="SAPBEXsubDataEmph" xfId="250"/>
    <cellStyle name="リンク セル 2" xfId="251"/>
    <cellStyle name="SAPBEXsubItem" xfId="252"/>
    <cellStyle name="アクセント 3 3" xfId="253"/>
    <cellStyle name="SAPBEXundefined" xfId="254"/>
    <cellStyle name="section" xfId="255"/>
    <cellStyle name="標準 3" xfId="256"/>
    <cellStyle name="SPOl" xfId="257"/>
    <cellStyle name="subhead" xfId="258"/>
    <cellStyle name="良い 3" xfId="259"/>
    <cellStyle name="Subtotal" xfId="260"/>
    <cellStyle name="Text Indent A" xfId="261"/>
    <cellStyle name="警告文 2" xfId="262"/>
    <cellStyle name="Text Indent B" xfId="263"/>
    <cellStyle name="警告文 3" xfId="264"/>
    <cellStyle name="Text Indent C" xfId="265"/>
    <cellStyle name="桁蟻唇Ｆ_A°DAU±ATIsA" xfId="266"/>
    <cellStyle name="title" xfId="267"/>
    <cellStyle name="アクセント 1 3" xfId="268"/>
    <cellStyle name="アクセント 2 3" xfId="269"/>
    <cellStyle name="アクセント 2 4" xfId="270"/>
    <cellStyle name="アクセント 3 4" xfId="271"/>
    <cellStyle name="アクセント 4 3" xfId="272"/>
    <cellStyle name="アクセント 4 4" xfId="273"/>
    <cellStyle name="アクセント 5 3" xfId="274"/>
    <cellStyle name="アクセント 5 4" xfId="275"/>
    <cellStyle name="アクセント 6 2" xfId="276"/>
    <cellStyle name="アクセント 6 3" xfId="277"/>
    <cellStyle name="アクセント 6 4" xfId="278"/>
    <cellStyle name="センター" xfId="279"/>
    <cellStyle name="タイトル 3" xfId="280"/>
    <cellStyle name="入力 3" xfId="281"/>
    <cellStyle name="チェック セル 3" xfId="282"/>
    <cellStyle name="入力 4" xfId="283"/>
    <cellStyle name="集計 2" xfId="284"/>
    <cellStyle name="チェック セル 4" xfId="285"/>
    <cellStyle name="メモ 2" xfId="286"/>
    <cellStyle name="メモ 3" xfId="287"/>
    <cellStyle name="リンク セル 3" xfId="288"/>
    <cellStyle name="リンク セル 4" xfId="289"/>
    <cellStyle name="_x001d__x000c_K_x0014__x000d_&gt;V_x0001_&gt;_x0014_n_x001e__x0007__x0001__x0001_" xfId="290"/>
    <cellStyle name="計算 2" xfId="291"/>
    <cellStyle name="悪い 3" xfId="292"/>
    <cellStyle name="計算 3" xfId="293"/>
    <cellStyle name="悪い 4" xfId="294"/>
    <cellStyle name="価格桁区切り" xfId="295"/>
    <cellStyle name="型番" xfId="296"/>
    <cellStyle name="罫線" xfId="297"/>
    <cellStyle name="計算 4" xfId="298"/>
    <cellStyle name="警告文 4" xfId="299"/>
    <cellStyle name="桁蟻唇Ｆ [0.00]_laroux" xfId="300"/>
    <cellStyle name="桁区切り [0.00]???瑳?倨???渭湯??:l search ; *.xla; *.xlt; *.xlm; *t match these search criteria:" xfId="301"/>
    <cellStyle name="見出し 1 2" xfId="302"/>
    <cellStyle name="見出し 1 3" xfId="303"/>
    <cellStyle name="見出し 2 3" xfId="304"/>
    <cellStyle name="見出し 2 4" xfId="305"/>
    <cellStyle name="見出し 3 2" xfId="306"/>
    <cellStyle name="見出し 3 3" xfId="307"/>
    <cellStyle name="見出し 3 4" xfId="308"/>
    <cellStyle name="見出し 4 2" xfId="309"/>
    <cellStyle name="見出し 4 3" xfId="310"/>
    <cellStyle name="作業ﾌﾛｰ" xfId="311"/>
    <cellStyle name="資料" xfId="312"/>
    <cellStyle name="集計 3" xfId="313"/>
    <cellStyle name="集計 4" xfId="314"/>
    <cellStyle name="出力 4" xfId="315"/>
    <cellStyle name="説明文 2" xfId="316"/>
    <cellStyle name="説明文 4" xfId="317"/>
    <cellStyle name="標準 2" xfId="318"/>
    <cellStyle name="標準 5" xfId="319"/>
    <cellStyle name="標準 6" xfId="320"/>
    <cellStyle name="標準 8" xfId="321"/>
    <cellStyle name="標準_32_単体テスト要領書レビューチェックリスト" xfId="322"/>
    <cellStyle name="標準2" xfId="323"/>
    <cellStyle name="標準２" xfId="324"/>
    <cellStyle name="標準2_DAIICH" xfId="325"/>
    <cellStyle name="良い 2" xfId="326"/>
    <cellStyle name="良い 4" xfId="327"/>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13</xdr:col>
      <xdr:colOff>419100</xdr:colOff>
      <xdr:row>39</xdr:row>
      <xdr:rowOff>0</xdr:rowOff>
    </xdr:from>
    <xdr:to>
      <xdr:col>13</xdr:col>
      <xdr:colOff>419100</xdr:colOff>
      <xdr:row>39</xdr:row>
      <xdr:rowOff>0</xdr:rowOff>
    </xdr:to>
    <xdr:sp>
      <xdr:nvSpPr>
        <xdr:cNvPr id="7380" name="Line 2"/>
        <xdr:cNvSpPr>
          <a:spLocks noChangeShapeType="1"/>
        </xdr:cNvSpPr>
      </xdr:nvSpPr>
      <xdr:spPr>
        <a:xfrm flipH="1">
          <a:off x="4067175" y="715327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352425</xdr:colOff>
      <xdr:row>3</xdr:row>
      <xdr:rowOff>190500</xdr:rowOff>
    </xdr:from>
    <xdr:to>
      <xdr:col>14</xdr:col>
      <xdr:colOff>157257</xdr:colOff>
      <xdr:row>3</xdr:row>
      <xdr:rowOff>333375</xdr:rowOff>
    </xdr:to>
    <xdr:sp>
      <xdr:nvSpPr>
        <xdr:cNvPr id="7188" name="Rectangle 20"/>
        <xdr:cNvSpPr>
          <a:spLocks noChangeArrowheads="1"/>
        </xdr:cNvSpPr>
      </xdr:nvSpPr>
      <xdr:spPr>
        <a:xfrm>
          <a:off x="4000500" y="600075"/>
          <a:ext cx="328295" cy="142875"/>
        </a:xfrm>
        <a:prstGeom prst="rect">
          <a:avLst/>
        </a:prstGeom>
        <a:noFill/>
        <a:ln w="9525">
          <a:solidFill>
            <a:srgbClr val="000000"/>
          </a:solidFill>
          <a:miter lim="800000"/>
        </a:ln>
        <a:effec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MS PGothic" panose="020B0600070205080204" charset="-128"/>
              <a:ea typeface="MS PGothic" panose="020B0600070205080204" charset="-128"/>
            </a:rPr>
            <a:t>xxxx</a:t>
          </a:r>
          <a:endParaRPr lang="ja-JP" altLang="en-US"/>
        </a:p>
      </xdr:txBody>
    </xdr:sp>
    <xdr:clientData/>
  </xdr:twoCellAnchor>
  <xdr:twoCellAnchor>
    <xdr:from>
      <xdr:col>16</xdr:col>
      <xdr:colOff>0</xdr:colOff>
      <xdr:row>45</xdr:row>
      <xdr:rowOff>76200</xdr:rowOff>
    </xdr:from>
    <xdr:to>
      <xdr:col>17</xdr:col>
      <xdr:colOff>47625</xdr:colOff>
      <xdr:row>46</xdr:row>
      <xdr:rowOff>76200</xdr:rowOff>
    </xdr:to>
    <xdr:sp>
      <xdr:nvSpPr>
        <xdr:cNvPr id="7382" name="Freeform 21"/>
        <xdr:cNvSpPr/>
      </xdr:nvSpPr>
      <xdr:spPr>
        <a:xfrm>
          <a:off x="4781550" y="8372475"/>
          <a:ext cx="323850" cy="190500"/>
        </a:xfrm>
        <a:custGeom>
          <a:avLst/>
          <a:gdLst>
            <a:gd name="T0" fmla="*/ 0 w 38"/>
            <a:gd name="T1" fmla="*/ 2147483647 h 26"/>
            <a:gd name="T2" fmla="*/ 2147483647 w 38"/>
            <a:gd name="T3" fmla="*/ 2147483647 h 26"/>
            <a:gd name="T4" fmla="*/ 2147483647 w 38"/>
            <a:gd name="T5" fmla="*/ 2147483647 h 26"/>
            <a:gd name="T6" fmla="*/ 0 60000 65536"/>
            <a:gd name="T7" fmla="*/ 0 60000 65536"/>
            <a:gd name="T8" fmla="*/ 0 60000 65536"/>
            <a:gd name="T9" fmla="*/ 0 w 38"/>
            <a:gd name="T10" fmla="*/ 0 h 26"/>
            <a:gd name="T11" fmla="*/ 38 w 38"/>
            <a:gd name="T12" fmla="*/ 26 h 26"/>
          </a:gdLst>
          <a:ahLst/>
          <a:cxnLst>
            <a:cxn ang="T6">
              <a:pos x="T0" y="T1"/>
            </a:cxn>
            <a:cxn ang="T7">
              <a:pos x="T2" y="T3"/>
            </a:cxn>
            <a:cxn ang="T8">
              <a:pos x="T4" y="T5"/>
            </a:cxn>
          </a:cxnLst>
          <a:rect l="T9" t="T10" r="T11" b="T12"/>
          <a:pathLst>
            <a:path w="38" h="26">
              <a:moveTo>
                <a:pt x="0" y="2"/>
              </a:moveTo>
              <a:cubicBezTo>
                <a:pt x="11" y="1"/>
                <a:pt x="23" y="0"/>
                <a:pt x="29" y="4"/>
              </a:cubicBezTo>
              <a:cubicBezTo>
                <a:pt x="35" y="8"/>
                <a:pt x="36" y="17"/>
                <a:pt x="38" y="26"/>
              </a:cubicBezTo>
            </a:path>
          </a:pathLst>
        </a:custGeom>
        <a:noFill/>
        <a:ln w="9525">
          <a:solidFill>
            <a:srgbClr val="000000"/>
          </a:solidFill>
          <a:prstDash val="dash"/>
          <a:rou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352425</xdr:colOff>
      <xdr:row>3</xdr:row>
      <xdr:rowOff>9525</xdr:rowOff>
    </xdr:from>
    <xdr:to>
      <xdr:col>14</xdr:col>
      <xdr:colOff>161925</xdr:colOff>
      <xdr:row>3</xdr:row>
      <xdr:rowOff>152400</xdr:rowOff>
    </xdr:to>
    <xdr:sp>
      <xdr:nvSpPr>
        <xdr:cNvPr id="7383" name="Rectangle 22"/>
        <xdr:cNvSpPr>
          <a:spLocks noChangeArrowheads="1"/>
        </xdr:cNvSpPr>
      </xdr:nvSpPr>
      <xdr:spPr>
        <a:xfrm>
          <a:off x="4000500" y="419100"/>
          <a:ext cx="333375" cy="142875"/>
        </a:xfrm>
        <a:prstGeom prst="rect">
          <a:avLst/>
        </a:prstGeom>
        <a:solidFill>
          <a:srgbClr val="CCFFCC"/>
        </a:solidFill>
        <a:ln w="9525">
          <a:solidFill>
            <a:srgbClr val="000000"/>
          </a:solidFill>
          <a:miter lim="800000"/>
        </a:ln>
      </xdr:spPr>
    </xdr:sp>
    <xdr:clientData/>
  </xdr:twoCellAnchor>
  <xdr:twoCellAnchor>
    <xdr:from>
      <xdr:col>0</xdr:col>
      <xdr:colOff>0</xdr:colOff>
      <xdr:row>0</xdr:row>
      <xdr:rowOff>0</xdr:rowOff>
    </xdr:from>
    <xdr:to>
      <xdr:col>3</xdr:col>
      <xdr:colOff>20998</xdr:colOff>
      <xdr:row>1</xdr:row>
      <xdr:rowOff>133737</xdr:rowOff>
    </xdr:to>
    <xdr:sp>
      <xdr:nvSpPr>
        <xdr:cNvPr id="7191" name="Text Box 23"/>
        <xdr:cNvSpPr txBox="1">
          <a:spLocks noChangeArrowheads="1"/>
        </xdr:cNvSpPr>
      </xdr:nvSpPr>
      <xdr:spPr>
        <a:xfrm>
          <a:off x="0" y="0"/>
          <a:ext cx="306705" cy="161925"/>
        </a:xfrm>
        <a:prstGeom prst="rect">
          <a:avLst/>
        </a:prstGeom>
        <a:solidFill>
          <a:srgbClr val="FFFFFF"/>
        </a:solidFill>
        <a:ln w="9525">
          <a:solidFill>
            <a:srgbClr val="000000"/>
          </a:solidFill>
          <a:miter lim="800000"/>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S PGothic" panose="020B0600070205080204" charset="-128"/>
              <a:ea typeface="MS PGothic" panose="020B0600070205080204" charset="-128"/>
            </a:rPr>
            <a:t>秘</a:t>
          </a:r>
          <a:endParaRPr lang="ja-JP" altLang="en-US"/>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64</xdr:row>
      <xdr:rowOff>9525</xdr:rowOff>
    </xdr:from>
    <xdr:to>
      <xdr:col>2</xdr:col>
      <xdr:colOff>1895781</xdr:colOff>
      <xdr:row>75</xdr:row>
      <xdr:rowOff>918</xdr:rowOff>
    </xdr:to>
    <xdr:sp>
      <xdr:nvSpPr>
        <xdr:cNvPr id="2050" name="Text Box 2"/>
        <xdr:cNvSpPr txBox="1">
          <a:spLocks noChangeArrowheads="1"/>
        </xdr:cNvSpPr>
      </xdr:nvSpPr>
      <xdr:spPr>
        <a:xfrm>
          <a:off x="0" y="10106025"/>
          <a:ext cx="2647950" cy="1877060"/>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(D)計画段階での誤り　</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D1：計画内容の抜け</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D2：計画内容の誤り，不整合，記述不足</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 要件定義段階での誤り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0A:要件の抜け及び解釈誤り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0B:要件定義の誤り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0C:システム化対象範囲外とのI/Fの誤り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 システム設計(外部設計)段階での誤り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1A:外部仕様の抜け及び要件定義の解釈誤り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1B:外部仕様の誤り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1C:機能間I/F仕様の誤り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clientData/>
  </xdr:twoCellAnchor>
  <xdr:twoCellAnchor>
    <xdr:from>
      <xdr:col>2</xdr:col>
      <xdr:colOff>1945005</xdr:colOff>
      <xdr:row>64</xdr:row>
      <xdr:rowOff>28575</xdr:rowOff>
    </xdr:from>
    <xdr:to>
      <xdr:col>5</xdr:col>
      <xdr:colOff>1611661</xdr:colOff>
      <xdr:row>74</xdr:row>
      <xdr:rowOff>166716</xdr:rowOff>
    </xdr:to>
    <xdr:sp>
      <xdr:nvSpPr>
        <xdr:cNvPr id="2051" name="Text Box 3"/>
        <xdr:cNvSpPr txBox="1">
          <a:spLocks noChangeArrowheads="1"/>
        </xdr:cNvSpPr>
      </xdr:nvSpPr>
      <xdr:spPr>
        <a:xfrm>
          <a:off x="2697480" y="10125075"/>
          <a:ext cx="3171825" cy="185229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 SW設計/PRG設計(内部設計)段階での誤り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2A:内部設計漏れ及び外部仕様の解釈誤り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2B:内部設計の誤り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2C:モジュール間I/F仕様の誤り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(3) コーディング段階での誤り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3B:不注意なコーディング・ミス</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159166</xdr:rowOff>
    </xdr:to>
    <xdr:sp>
      <xdr:nvSpPr>
        <xdr:cNvPr id="2052" name="Text Box 4"/>
        <xdr:cNvSpPr txBox="1">
          <a:spLocks noChangeArrowheads="1"/>
        </xdr:cNvSpPr>
      </xdr:nvSpPr>
      <xdr:spPr>
        <a:xfrm>
          <a:off x="5911215" y="10107930"/>
          <a:ext cx="2643505" cy="1861820"/>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 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4A:お客様からの仕様変更</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4B:表現不備(誤字/脱字など)</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 試験段階での誤り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5A:仕様の解釈誤り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5B:試験仕様の誤り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5C:試験プログラム/データの誤り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5D:試験項目抜け</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(6)プロ完段階での誤り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6A：報告内容の抜け</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6B：報告内容の誤り，不整合，記述不足</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800"/>
            </a:lnSpc>
            <a:defRPr sz="1000"/>
          </a:pPr>
          <a:r>
            <a:rPr lang="ja-JP" altLang="en-US" sz="800" b="0" i="0" u="none" strike="noStrike" baseline="0">
              <a:solidFill>
                <a:srgbClr val="000000"/>
              </a:solidFill>
              <a:latin typeface="MS PGothic" panose="020B0600070205080204" charset="-128"/>
              <a:ea typeface="MS PGothic" panose="020B0600070205080204" charset="-128"/>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2727" name="Group 7"/>
        <xdr:cNvGrpSpPr/>
      </xdr:nvGrpSpPr>
      <xdr:grpSpPr>
        <a:xfrm>
          <a:off x="180975" y="11811000"/>
          <a:ext cx="8305800" cy="0"/>
          <a:chOff x="24" y="1037"/>
          <a:chExt cx="802" cy="156"/>
        </a:xfrm>
      </xdr:grpSpPr>
      <xdr:sp>
        <xdr:nvSpPr>
          <xdr:cNvPr id="2056" name="Text Box 8"/>
          <xdr:cNvSpPr txBox="1">
            <a:spLocks noChangeArrowheads="1"/>
          </xdr:cNvSpPr>
        </xdr:nvSpPr>
        <xdr:spPr>
          <a:xfrm>
            <a:off x="163448706058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 要件定義段階での誤り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0A:要件の抜け及び解釈誤り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0B:要件定義の誤り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0C:システム化対象範囲外とのI/Fの誤り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0Z:その他</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 システム設計(外部設計)段階での誤り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1A:外部仕様の抜け及び要件定義の解釈誤り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1B:外部仕様の誤り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1C:機能間I/F仕様の誤り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sp>
        <xdr:nvSpPr>
          <xdr:cNvPr id="2057" name="Text Box 9"/>
          <xdr:cNvSpPr txBox="1">
            <a:spLocks noChangeArrowheads="1"/>
          </xdr:cNvSpPr>
        </xdr:nvSpPr>
        <xdr:spPr>
          <a:xfrm>
            <a:off x="419397513375"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 SW設計/PRG設計(内部設計)段階での誤り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2A:内部設計漏れ及び外部仕様の解釈誤り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2B:内部設計の誤り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2C:モジュール間I/F仕様の誤り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2Z:その他</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 コーディング段階での誤り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3B:不注意なコーディング・ミス</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sp>
        <xdr:nvSpPr>
          <xdr:cNvPr id="2058" name="Text Box 10"/>
          <xdr:cNvSpPr txBox="1">
            <a:spLocks noChangeArrowheads="1"/>
          </xdr:cNvSpPr>
        </xdr:nvSpPr>
        <xdr:spPr>
          <a:xfrm>
            <a:off x="1714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 その他</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4A:お客様からの仕様変更</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4B:表現不備(誤字/脱字など)</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 試験段階での誤り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5A:仕様の解釈誤り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5B:試験仕様の誤り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5C:試験プログラム/データの誤り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5D:試験項目抜け</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xdr:nvSpPr>
        <xdr:cNvPr id="2728" name="Rectangle 12"/>
        <xdr:cNvSpPr>
          <a:spLocks noChangeArrowheads="1"/>
        </xdr:cNvSpPr>
      </xdr:nvSpPr>
      <xdr:spPr>
        <a:xfrm>
          <a:off x="171450" y="552450"/>
          <a:ext cx="247650" cy="142875"/>
        </a:xfrm>
        <a:prstGeom prst="rect">
          <a:avLst/>
        </a:prstGeom>
        <a:solidFill>
          <a:srgbClr val="FFFFCC"/>
        </a:solidFill>
        <a:ln w="12700">
          <a:solidFill>
            <a:srgbClr val="000000"/>
          </a:solidFill>
          <a:miter lim="800000"/>
        </a:ln>
      </xdr:spPr>
    </xdr:sp>
    <xdr:clientData/>
  </xdr:twoCellAnchor>
  <xdr:twoCellAnchor>
    <xdr:from>
      <xdr:col>0</xdr:col>
      <xdr:colOff>171450</xdr:colOff>
      <xdr:row>34</xdr:row>
      <xdr:rowOff>38100</xdr:rowOff>
    </xdr:from>
    <xdr:to>
      <xdr:col>1</xdr:col>
      <xdr:colOff>57150</xdr:colOff>
      <xdr:row>35</xdr:row>
      <xdr:rowOff>0</xdr:rowOff>
    </xdr:to>
    <xdr:sp>
      <xdr:nvSpPr>
        <xdr:cNvPr id="2729" name="Rectangle 13"/>
        <xdr:cNvSpPr>
          <a:spLocks noChangeArrowheads="1"/>
        </xdr:cNvSpPr>
      </xdr:nvSpPr>
      <xdr:spPr>
        <a:xfrm>
          <a:off x="171450" y="742950"/>
          <a:ext cx="219075" cy="142875"/>
        </a:xfrm>
        <a:prstGeom prst="rect">
          <a:avLst/>
        </a:prstGeom>
        <a:solidFill>
          <a:srgbClr val="CCFFFF"/>
        </a:solidFill>
        <a:ln w="9525">
          <a:solidFill>
            <a:srgbClr val="000000"/>
          </a:solidFill>
          <a:miter lim="800000"/>
        </a:ln>
      </xdr:spPr>
    </xdr:sp>
    <xdr:clientData/>
  </xdr:twoCellAnchor>
  <xdr:twoCellAnchor>
    <xdr:from>
      <xdr:col>1</xdr:col>
      <xdr:colOff>200025</xdr:colOff>
      <xdr:row>34</xdr:row>
      <xdr:rowOff>38100</xdr:rowOff>
    </xdr:from>
    <xdr:to>
      <xdr:col>1</xdr:col>
      <xdr:colOff>428625</xdr:colOff>
      <xdr:row>35</xdr:row>
      <xdr:rowOff>0</xdr:rowOff>
    </xdr:to>
    <xdr:sp>
      <xdr:nvSpPr>
        <xdr:cNvPr id="2730" name="Rectangle 14"/>
        <xdr:cNvSpPr>
          <a:spLocks noChangeArrowheads="1"/>
        </xdr:cNvSpPr>
      </xdr:nvSpPr>
      <xdr:spPr>
        <a:xfrm>
          <a:off x="533400" y="742950"/>
          <a:ext cx="219075" cy="142875"/>
        </a:xfrm>
        <a:prstGeom prst="rect">
          <a:avLst/>
        </a:prstGeom>
        <a:solidFill>
          <a:srgbClr val="CCFFCC"/>
        </a:solidFill>
        <a:ln w="9525">
          <a:solidFill>
            <a:srgbClr val="000000"/>
          </a:solidFill>
          <a:miter lim="800000"/>
        </a:ln>
      </xdr:spPr>
    </xdr:sp>
    <xdr:clientData/>
  </xdr:twoCellAnchor>
  <xdr:twoCellAnchor editAs="oneCell">
    <xdr:from>
      <xdr:col>1</xdr:col>
      <xdr:colOff>47625</xdr:colOff>
      <xdr:row>34</xdr:row>
      <xdr:rowOff>47625</xdr:rowOff>
    </xdr:from>
    <xdr:to>
      <xdr:col>1</xdr:col>
      <xdr:colOff>224608</xdr:colOff>
      <xdr:row>35</xdr:row>
      <xdr:rowOff>38100</xdr:rowOff>
    </xdr:to>
    <xdr:sp>
      <xdr:nvSpPr>
        <xdr:cNvPr id="2064" name="Text Box 16"/>
        <xdr:cNvSpPr txBox="1">
          <a:spLocks noChangeArrowheads="1"/>
        </xdr:cNvSpPr>
      </xdr:nvSpPr>
      <xdr:spPr>
        <a:xfrm>
          <a:off x="381000" y="752475"/>
          <a:ext cx="176530"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xdr:nvSpPr>
        <xdr:cNvPr id="2732" name="Rectangle 17"/>
        <xdr:cNvSpPr>
          <a:spLocks noChangeArrowheads="1"/>
        </xdr:cNvSpPr>
      </xdr:nvSpPr>
      <xdr:spPr>
        <a:xfrm>
          <a:off x="76200" y="323850"/>
          <a:ext cx="7115175" cy="609600"/>
        </a:xfrm>
        <a:prstGeom prst="rect">
          <a:avLst/>
        </a:prstGeom>
        <a:noFill/>
        <a:ln w="9525">
          <a:solidFill>
            <a:srgbClr val="000000"/>
          </a:solidFill>
          <a:prstDash val="dash"/>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xdr:nvSpPr>
        <xdr:cNvPr id="2733" name="Line 18"/>
        <xdr:cNvSpPr>
          <a:spLocks noChangeShapeType="1"/>
        </xdr:cNvSpPr>
      </xdr:nvSpPr>
      <xdr:spPr>
        <a:xfrm>
          <a:off x="8067675" y="1552575"/>
          <a:ext cx="0" cy="13335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xdr:nvSpPr>
        <xdr:cNvPr id="2067" name="Text Box 19"/>
        <xdr:cNvSpPr txBox="1">
          <a:spLocks noChangeArrowheads="1"/>
        </xdr:cNvSpPr>
      </xdr:nvSpPr>
      <xdr:spPr>
        <a:xfrm>
          <a:off x="0" y="0"/>
          <a:ext cx="311785" cy="152400"/>
        </a:xfrm>
        <a:prstGeom prst="rect">
          <a:avLst/>
        </a:prstGeom>
        <a:solidFill>
          <a:srgbClr val="FFFFFF"/>
        </a:solidFill>
        <a:ln w="9525">
          <a:solidFill>
            <a:srgbClr val="000000"/>
          </a:solidFill>
          <a:miter lim="800000"/>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S PGothic" panose="020B0600070205080204" charset="-128"/>
              <a:ea typeface="MS PGothic" panose="020B0600070205080204" charset="-128"/>
            </a:rPr>
            <a:t>秘</a:t>
          </a:r>
          <a:endParaRPr lang="ja-JP" altLang="en-US"/>
        </a:p>
      </xdr:txBody>
    </xdr:sp>
    <xdr:clientData/>
  </xdr:twoCellAnchor>
  <xdr:twoCellAnchor>
    <xdr:from>
      <xdr:col>7</xdr:col>
      <xdr:colOff>438150</xdr:colOff>
      <xdr:row>41</xdr:row>
      <xdr:rowOff>28575</xdr:rowOff>
    </xdr:from>
    <xdr:to>
      <xdr:col>9</xdr:col>
      <xdr:colOff>19050</xdr:colOff>
      <xdr:row>48</xdr:row>
      <xdr:rowOff>85725</xdr:rowOff>
    </xdr:to>
    <xdr:sp>
      <xdr:nvSpPr>
        <xdr:cNvPr id="2735" name="AutoShape 258"/>
        <xdr:cNvSpPr>
          <a:spLocks noChangeArrowheads="1"/>
        </xdr:cNvSpPr>
      </xdr:nvSpPr>
      <xdr:spPr>
        <a:xfrm>
          <a:off x="7019925" y="2095500"/>
          <a:ext cx="571500" cy="2200275"/>
        </a:xfrm>
        <a:prstGeom prst="roundRect">
          <a:avLst>
            <a:gd name="adj" fmla="val 16667"/>
          </a:avLst>
        </a:prstGeom>
        <a:solidFill>
          <a:srgbClr val="FF99CC">
            <a:alpha val="50195"/>
          </a:srgbClr>
        </a:solidFill>
        <a:ln w="28575">
          <a:solidFill>
            <a:srgbClr val="FF0000"/>
          </a:solidFill>
          <a:prstDash val="sysDot"/>
          <a:round/>
        </a:ln>
      </xdr:spPr>
    </xdr:sp>
    <xdr:clientData/>
  </xdr:twoCellAnchor>
  <xdr:twoCellAnchor>
    <xdr:from>
      <xdr:col>9</xdr:col>
      <xdr:colOff>466725</xdr:colOff>
      <xdr:row>41</xdr:row>
      <xdr:rowOff>9525</xdr:rowOff>
    </xdr:from>
    <xdr:to>
      <xdr:col>11</xdr:col>
      <xdr:colOff>47625</xdr:colOff>
      <xdr:row>48</xdr:row>
      <xdr:rowOff>66675</xdr:rowOff>
    </xdr:to>
    <xdr:sp>
      <xdr:nvSpPr>
        <xdr:cNvPr id="2736" name="AutoShape 259"/>
        <xdr:cNvSpPr>
          <a:spLocks noChangeArrowheads="1"/>
        </xdr:cNvSpPr>
      </xdr:nvSpPr>
      <xdr:spPr>
        <a:xfrm>
          <a:off x="8039100" y="2076450"/>
          <a:ext cx="571500" cy="2200275"/>
        </a:xfrm>
        <a:prstGeom prst="roundRect">
          <a:avLst>
            <a:gd name="adj" fmla="val 16667"/>
          </a:avLst>
        </a:prstGeom>
        <a:solidFill>
          <a:srgbClr val="FF99CC">
            <a:alpha val="50195"/>
          </a:srgbClr>
        </a:solidFill>
        <a:ln w="28575">
          <a:solidFill>
            <a:srgbClr val="FF0000"/>
          </a:solidFill>
          <a:prstDash val="sysDot"/>
          <a:round/>
        </a:ln>
      </xdr:spPr>
    </xdr:sp>
    <xdr:clientData/>
  </xdr:twoCellAnchor>
  <xdr:twoCellAnchor>
    <xdr:from>
      <xdr:col>7</xdr:col>
      <xdr:colOff>78105</xdr:colOff>
      <xdr:row>48</xdr:row>
      <xdr:rowOff>198120</xdr:rowOff>
    </xdr:from>
    <xdr:to>
      <xdr:col>8</xdr:col>
      <xdr:colOff>434138</xdr:colOff>
      <xdr:row>49</xdr:row>
      <xdr:rowOff>53340</xdr:rowOff>
    </xdr:to>
    <xdr:sp>
      <xdr:nvSpPr>
        <xdr:cNvPr id="2308" name="AutoShape 260"/>
        <xdr:cNvSpPr>
          <a:spLocks noChangeArrowheads="1"/>
        </xdr:cNvSpPr>
      </xdr:nvSpPr>
      <xdr:spPr>
        <a:xfrm>
          <a:off x="6659880" y="4408170"/>
          <a:ext cx="831850" cy="236220"/>
        </a:xfrm>
        <a:prstGeom prst="wedgeRoundRectCallout">
          <a:avLst>
            <a:gd name="adj1" fmla="val -5681"/>
            <a:gd name="adj2" fmla="val -150000"/>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MS PGothic" panose="020B0600070205080204" charset="-128"/>
              <a:ea typeface="MS PGothic" panose="020B0600070205080204" charset="-128"/>
            </a:rPr>
            <a:t>記載すること</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7</xdr:col>
      <xdr:colOff>70485</xdr:colOff>
      <xdr:row>49</xdr:row>
      <xdr:rowOff>220980</xdr:rowOff>
    </xdr:from>
    <xdr:to>
      <xdr:col>10</xdr:col>
      <xdr:colOff>123825</xdr:colOff>
      <xdr:row>51</xdr:row>
      <xdr:rowOff>0</xdr:rowOff>
    </xdr:to>
    <xdr:sp>
      <xdr:nvSpPr>
        <xdr:cNvPr id="2309" name="AutoShape 261"/>
        <xdr:cNvSpPr>
          <a:spLocks noChangeArrowheads="1"/>
        </xdr:cNvSpPr>
      </xdr:nvSpPr>
      <xdr:spPr>
        <a:xfrm>
          <a:off x="6652260" y="4812030"/>
          <a:ext cx="1577340" cy="541020"/>
        </a:xfrm>
        <a:prstGeom prst="wedgeRoundRectCallout">
          <a:avLst>
            <a:gd name="adj1" fmla="val 48194"/>
            <a:gd name="adj2" fmla="val -146491"/>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日付　</a:t>
          </a:r>
          <a:r>
            <a:rPr lang="en-US" altLang="ja-JP" sz="1000" b="0" i="0" u="none" strike="noStrike" baseline="0">
              <a:solidFill>
                <a:srgbClr val="000000"/>
              </a:solidFill>
              <a:latin typeface="MS PGothic" panose="020B0600070205080204" charset="-128"/>
              <a:ea typeface="MS PGothic" panose="020B0600070205080204" charset="-128"/>
            </a:rPr>
            <a:t>OK/NG</a:t>
          </a:r>
          <a:r>
            <a:rPr lang="ja-JP" altLang="en-US" sz="1000" b="0" i="0" u="none" strike="noStrike" baseline="0">
              <a:solidFill>
                <a:srgbClr val="000000"/>
              </a:solidFill>
              <a:latin typeface="MS PGothic" panose="020B0600070205080204" charset="-128"/>
              <a:ea typeface="MS PGothic" panose="020B0600070205080204" charset="-128"/>
            </a:rPr>
            <a:t>を記載。</a:t>
          </a:r>
          <a:endParaRPr lang="ja-JP" altLang="en-US" sz="1000" b="0" i="0" u="none" strike="noStrike" baseline="0">
            <a:solidFill>
              <a:srgbClr val="000000"/>
            </a:solidFill>
            <a:latin typeface="MS PGothic" panose="020B0600070205080204" charset="-128"/>
            <a:ea typeface="MS PGothic" panose="020B0600070205080204" charset="-128"/>
          </a:endParaRPr>
        </a:p>
        <a:p>
          <a:pPr algn="l" rtl="0">
            <a:lnSpc>
              <a:spcPts val="1200"/>
            </a:lnSpc>
            <a:defRPr sz="1000"/>
          </a:pPr>
          <a:r>
            <a:rPr lang="en-US" altLang="ja-JP" sz="1000" b="0" i="0" u="none" strike="noStrike" baseline="0">
              <a:solidFill>
                <a:srgbClr val="000000"/>
              </a:solidFill>
              <a:latin typeface="MS PGothic" panose="020B0600070205080204" charset="-128"/>
              <a:ea typeface="MS PGothic" panose="020B0600070205080204" charset="-128"/>
            </a:rPr>
            <a:t>NG</a:t>
          </a:r>
          <a:r>
            <a:rPr lang="ja-JP" altLang="en-US" sz="1000" b="0" i="0" u="none" strike="noStrike" baseline="0">
              <a:solidFill>
                <a:srgbClr val="000000"/>
              </a:solidFill>
              <a:latin typeface="MS PGothic" panose="020B0600070205080204" charset="-128"/>
              <a:ea typeface="MS PGothic" panose="020B0600070205080204" charset="-128"/>
            </a:rPr>
            <a:t>の場合は行を追加し、指摘内容を記載すること。</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9</xdr:col>
      <xdr:colOff>219075</xdr:colOff>
      <xdr:row>35</xdr:row>
      <xdr:rowOff>95250</xdr:rowOff>
    </xdr:from>
    <xdr:to>
      <xdr:col>10</xdr:col>
      <xdr:colOff>152400</xdr:colOff>
      <xdr:row>37</xdr:row>
      <xdr:rowOff>57150</xdr:rowOff>
    </xdr:to>
    <xdr:sp>
      <xdr:nvSpPr>
        <xdr:cNvPr id="2739" name="AutoShape 262"/>
        <xdr:cNvSpPr>
          <a:spLocks noChangeArrowheads="1"/>
        </xdr:cNvSpPr>
      </xdr:nvSpPr>
      <xdr:spPr>
        <a:xfrm>
          <a:off x="7791450" y="981075"/>
          <a:ext cx="466725" cy="323850"/>
        </a:xfrm>
        <a:prstGeom prst="roundRect">
          <a:avLst>
            <a:gd name="adj" fmla="val 16667"/>
          </a:avLst>
        </a:prstGeom>
        <a:solidFill>
          <a:srgbClr val="FF99CC">
            <a:alpha val="50195"/>
          </a:srgbClr>
        </a:solidFill>
        <a:ln w="28575">
          <a:solidFill>
            <a:srgbClr val="FF0000"/>
          </a:solidFill>
          <a:prstDash val="sysDot"/>
          <a:round/>
        </a:ln>
      </xdr:spPr>
    </xdr:sp>
    <xdr:clientData/>
  </xdr:twoCellAnchor>
  <xdr:twoCellAnchor>
    <xdr:from>
      <xdr:col>5</xdr:col>
      <xdr:colOff>887730</xdr:colOff>
      <xdr:row>35</xdr:row>
      <xdr:rowOff>7620</xdr:rowOff>
    </xdr:from>
    <xdr:to>
      <xdr:col>7</xdr:col>
      <xdr:colOff>139359</xdr:colOff>
      <xdr:row>37</xdr:row>
      <xdr:rowOff>190500</xdr:rowOff>
    </xdr:to>
    <xdr:sp>
      <xdr:nvSpPr>
        <xdr:cNvPr id="2311" name="AutoShape 263"/>
        <xdr:cNvSpPr>
          <a:spLocks noChangeArrowheads="1"/>
        </xdr:cNvSpPr>
      </xdr:nvSpPr>
      <xdr:spPr>
        <a:xfrm>
          <a:off x="5145405" y="893445"/>
          <a:ext cx="1575435" cy="544830"/>
        </a:xfrm>
        <a:prstGeom prst="wedgeRoundRectCallout">
          <a:avLst>
            <a:gd name="adj1" fmla="val 107227"/>
            <a:gd name="adj2" fmla="val 25440"/>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ページ数を記載。</a:t>
          </a:r>
          <a:endParaRPr lang="ja-JP" altLang="en-US" sz="1000" b="0" i="0" u="none" strike="noStrike" baseline="0">
            <a:solidFill>
              <a:srgbClr val="000000"/>
            </a:solidFill>
            <a:latin typeface="MS PGothic" panose="020B0600070205080204" charset="-128"/>
            <a:ea typeface="MS PGothic" panose="020B0600070205080204" charset="-128"/>
          </a:endParaRPr>
        </a:p>
        <a:p>
          <a:pPr algn="l"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これで指摘率、密度が算出されます。</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0</xdr:col>
      <xdr:colOff>234315</xdr:colOff>
      <xdr:row>43</xdr:row>
      <xdr:rowOff>219075</xdr:rowOff>
    </xdr:from>
    <xdr:to>
      <xdr:col>4</xdr:col>
      <xdr:colOff>64791</xdr:colOff>
      <xdr:row>47</xdr:row>
      <xdr:rowOff>333375</xdr:rowOff>
    </xdr:to>
    <xdr:sp>
      <xdr:nvSpPr>
        <xdr:cNvPr id="2312" name="AutoShape 264"/>
        <xdr:cNvSpPr>
          <a:spLocks noChangeArrowheads="1"/>
        </xdr:cNvSpPr>
      </xdr:nvSpPr>
      <xdr:spPr>
        <a:xfrm>
          <a:off x="234315" y="2619375"/>
          <a:ext cx="3554730" cy="1562100"/>
        </a:xfrm>
        <a:prstGeom prst="wedgeRoundRectCallout">
          <a:avLst>
            <a:gd name="adj1" fmla="val -27476"/>
            <a:gd name="adj2" fmla="val -132264"/>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レビュー対象のファイル名を記載</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xdr:col>
      <xdr:colOff>142875</xdr:colOff>
      <xdr:row>37</xdr:row>
      <xdr:rowOff>85725</xdr:rowOff>
    </xdr:from>
    <xdr:to>
      <xdr:col>5</xdr:col>
      <xdr:colOff>104775</xdr:colOff>
      <xdr:row>38</xdr:row>
      <xdr:rowOff>57150</xdr:rowOff>
    </xdr:to>
    <xdr:sp>
      <xdr:nvSpPr>
        <xdr:cNvPr id="2742" name="AutoShape 265"/>
        <xdr:cNvSpPr>
          <a:spLocks noChangeArrowheads="1"/>
        </xdr:cNvSpPr>
      </xdr:nvSpPr>
      <xdr:spPr>
        <a:xfrm>
          <a:off x="476250" y="1333500"/>
          <a:ext cx="3886200" cy="266700"/>
        </a:xfrm>
        <a:prstGeom prst="roundRect">
          <a:avLst>
            <a:gd name="adj" fmla="val 16667"/>
          </a:avLst>
        </a:prstGeom>
        <a:solidFill>
          <a:srgbClr val="FF99CC">
            <a:alpha val="30196"/>
          </a:srgbClr>
        </a:solidFill>
        <a:ln w="28575">
          <a:solidFill>
            <a:srgbClr val="FF0000"/>
          </a:solidFill>
          <a:prstDash val="sysDot"/>
          <a:round/>
        </a:ln>
      </xdr:spPr>
    </xdr:sp>
    <xdr:clientData/>
  </xdr:twoCellAnchor>
  <xdr:twoCellAnchor>
    <xdr:from>
      <xdr:col>2</xdr:col>
      <xdr:colOff>2352675</xdr:colOff>
      <xdr:row>39</xdr:row>
      <xdr:rowOff>114300</xdr:rowOff>
    </xdr:from>
    <xdr:to>
      <xdr:col>4</xdr:col>
      <xdr:colOff>76200</xdr:colOff>
      <xdr:row>41</xdr:row>
      <xdr:rowOff>57150</xdr:rowOff>
    </xdr:to>
    <xdr:sp>
      <xdr:nvSpPr>
        <xdr:cNvPr id="2743" name="AutoShape 266"/>
        <xdr:cNvSpPr>
          <a:spLocks noChangeArrowheads="1"/>
        </xdr:cNvSpPr>
      </xdr:nvSpPr>
      <xdr:spPr>
        <a:xfrm>
          <a:off x="3105150" y="1800225"/>
          <a:ext cx="695325" cy="323850"/>
        </a:xfrm>
        <a:prstGeom prst="roundRect">
          <a:avLst>
            <a:gd name="adj" fmla="val 16667"/>
          </a:avLst>
        </a:prstGeom>
        <a:solidFill>
          <a:srgbClr val="FF99CC">
            <a:alpha val="30196"/>
          </a:srgbClr>
        </a:solidFill>
        <a:ln w="28575">
          <a:solidFill>
            <a:srgbClr val="FF0000"/>
          </a:solidFill>
          <a:prstDash val="sysDot"/>
          <a:round/>
        </a:ln>
      </xdr:spPr>
    </xdr:sp>
    <xdr:clientData/>
  </xdr:twoCellAnchor>
  <xdr:twoCellAnchor>
    <xdr:from>
      <xdr:col>5</xdr:col>
      <xdr:colOff>45720</xdr:colOff>
      <xdr:row>42</xdr:row>
      <xdr:rowOff>99060</xdr:rowOff>
    </xdr:from>
    <xdr:to>
      <xdr:col>5</xdr:col>
      <xdr:colOff>1624748</xdr:colOff>
      <xdr:row>43</xdr:row>
      <xdr:rowOff>384810</xdr:rowOff>
    </xdr:to>
    <xdr:sp>
      <xdr:nvSpPr>
        <xdr:cNvPr id="2315" name="AutoShape 267"/>
        <xdr:cNvSpPr>
          <a:spLocks noChangeArrowheads="1"/>
        </xdr:cNvSpPr>
      </xdr:nvSpPr>
      <xdr:spPr>
        <a:xfrm>
          <a:off x="4303395" y="2242185"/>
          <a:ext cx="1578610" cy="520065"/>
        </a:xfrm>
        <a:prstGeom prst="wedgeRoundRectCallout">
          <a:avLst>
            <a:gd name="adj1" fmla="val -80120"/>
            <a:gd name="adj2" fmla="val -86843"/>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トータルの時間を記入</a:t>
          </a:r>
          <a:endParaRPr lang="ja-JP" altLang="en-US" sz="1000" b="0" i="0" u="none" strike="noStrike" baseline="0">
            <a:solidFill>
              <a:srgbClr val="000000"/>
            </a:solidFill>
            <a:latin typeface="MS PGothic" panose="020B0600070205080204" charset="-128"/>
            <a:ea typeface="MS PGothic" panose="020B0600070205080204" charset="-128"/>
          </a:endParaRPr>
        </a:p>
        <a:p>
          <a:pPr algn="l" rtl="0">
            <a:lnSpc>
              <a:spcPts val="1100"/>
            </a:lnSpc>
            <a:defRPr sz="1000"/>
          </a:pPr>
          <a:r>
            <a:rPr lang="en-US" altLang="ja-JP" sz="1000" b="0" i="0" u="none" strike="noStrike" baseline="0">
              <a:solidFill>
                <a:srgbClr val="000000"/>
              </a:solidFill>
              <a:latin typeface="MS PGothic" panose="020B0600070205080204" charset="-128"/>
              <a:ea typeface="MS PGothic" panose="020B0600070205080204" charset="-128"/>
            </a:rPr>
            <a:t>2</a:t>
          </a:r>
          <a:r>
            <a:rPr lang="ja-JP" altLang="en-US" sz="1000" b="0" i="0" u="none" strike="noStrike" baseline="0">
              <a:solidFill>
                <a:srgbClr val="000000"/>
              </a:solidFill>
              <a:latin typeface="MS PGothic" panose="020B0600070205080204" charset="-128"/>
              <a:ea typeface="MS PGothic" panose="020B0600070205080204" charset="-128"/>
            </a:rPr>
            <a:t>人で</a:t>
          </a:r>
          <a:r>
            <a:rPr lang="en-US" altLang="ja-JP" sz="1000" b="0" i="0" u="none" strike="noStrike" baseline="0">
              <a:solidFill>
                <a:srgbClr val="000000"/>
              </a:solidFill>
              <a:latin typeface="MS PGothic" panose="020B0600070205080204" charset="-128"/>
              <a:ea typeface="MS PGothic" panose="020B0600070205080204" charset="-128"/>
            </a:rPr>
            <a:t>1</a:t>
          </a:r>
          <a:r>
            <a:rPr lang="ja-JP" altLang="en-US" sz="1000" b="0" i="0" u="none" strike="noStrike" baseline="0">
              <a:solidFill>
                <a:srgbClr val="000000"/>
              </a:solidFill>
              <a:latin typeface="MS PGothic" panose="020B0600070205080204" charset="-128"/>
              <a:ea typeface="MS PGothic" panose="020B0600070205080204" charset="-128"/>
            </a:rPr>
            <a:t>時間なら</a:t>
          </a:r>
          <a:r>
            <a:rPr lang="en-US" altLang="ja-JP" sz="1000" b="0" i="0" u="none" strike="noStrike" baseline="0">
              <a:solidFill>
                <a:srgbClr val="000000"/>
              </a:solidFill>
              <a:latin typeface="MS PGothic" panose="020B0600070205080204" charset="-128"/>
              <a:ea typeface="MS PGothic" panose="020B0600070205080204" charset="-128"/>
            </a:rPr>
            <a:t>2.0</a:t>
          </a:r>
          <a:r>
            <a:rPr lang="ja-JP" altLang="en-US" sz="1000" b="0" i="0" u="none" strike="noStrike" baseline="0">
              <a:solidFill>
                <a:srgbClr val="000000"/>
              </a:solidFill>
              <a:latin typeface="MS PGothic" panose="020B0600070205080204" charset="-128"/>
              <a:ea typeface="MS PGothic" panose="020B0600070205080204" charset="-128"/>
            </a:rPr>
            <a:t>時間になります。</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64</xdr:row>
      <xdr:rowOff>9525</xdr:rowOff>
    </xdr:from>
    <xdr:to>
      <xdr:col>2</xdr:col>
      <xdr:colOff>1895781</xdr:colOff>
      <xdr:row>75</xdr:row>
      <xdr:rowOff>0</xdr:rowOff>
    </xdr:to>
    <xdr:sp>
      <xdr:nvSpPr>
        <xdr:cNvPr id="2050" name="Text Box 2"/>
        <xdr:cNvSpPr txBox="1">
          <a:spLocks noChangeArrowheads="1"/>
        </xdr:cNvSpPr>
      </xdr:nvSpPr>
      <xdr:spPr>
        <a:xfrm>
          <a:off x="0" y="8220075"/>
          <a:ext cx="2647950" cy="187642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(D)計画段階での誤り　</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D1：計画内容の抜け</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D2：計画内容の誤り，不整合，記述不足</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 要件定義段階での誤り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0A:要件の抜け及び解釈誤り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0B:要件定義の誤り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0C:システム化対象範囲外とのI/Fの誤り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 </a:t>
          </a:r>
          <a:r>
            <a:rPr lang="ja-JP" altLang="en-US" sz="800" b="0" i="0" u="none" strike="noStrike" baseline="0">
              <a:solidFill>
                <a:sysClr val="windowText" lastClr="000000"/>
              </a:solidFill>
              <a:latin typeface="MS PGothic" panose="020B0600070205080204" charset="-128"/>
              <a:ea typeface="MS PGothic" panose="020B0600070205080204" charset="-128"/>
            </a:rPr>
            <a:t>基本</a:t>
          </a:r>
          <a:r>
            <a:rPr lang="ja-JP" altLang="en-US" sz="800" b="0" i="0" u="none" strike="noStrike" baseline="0">
              <a:solidFill>
                <a:srgbClr val="000000"/>
              </a:solidFill>
              <a:latin typeface="MS PGothic" panose="020B0600070205080204" charset="-128"/>
              <a:ea typeface="MS PGothic" panose="020B0600070205080204" charset="-128"/>
            </a:rPr>
            <a:t>設計(外部設計)段階での誤り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1A:外部仕様の抜け及び要件定義の解釈誤り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1B:外部仕様の誤り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1C:機能間I/F仕様の誤り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clientData/>
  </xdr:twoCellAnchor>
  <xdr:twoCellAnchor>
    <xdr:from>
      <xdr:col>2</xdr:col>
      <xdr:colOff>1945005</xdr:colOff>
      <xdr:row>64</xdr:row>
      <xdr:rowOff>28575</xdr:rowOff>
    </xdr:from>
    <xdr:to>
      <xdr:col>5</xdr:col>
      <xdr:colOff>1611661</xdr:colOff>
      <xdr:row>75</xdr:row>
      <xdr:rowOff>0</xdr:rowOff>
    </xdr:to>
    <xdr:sp>
      <xdr:nvSpPr>
        <xdr:cNvPr id="2051" name="Text Box 3"/>
        <xdr:cNvSpPr txBox="1">
          <a:spLocks noChangeArrowheads="1"/>
        </xdr:cNvSpPr>
      </xdr:nvSpPr>
      <xdr:spPr>
        <a:xfrm>
          <a:off x="2697480" y="8239125"/>
          <a:ext cx="3171825" cy="185737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 </a:t>
          </a:r>
          <a:r>
            <a:rPr lang="ja-JP" altLang="en-US" sz="800" b="0" i="0" u="none" strike="noStrike" baseline="0">
              <a:solidFill>
                <a:sysClr val="windowText" lastClr="000000"/>
              </a:solidFill>
              <a:latin typeface="MS PGothic" panose="020B0600070205080204" charset="-128"/>
              <a:ea typeface="MS PGothic" panose="020B0600070205080204" charset="-128"/>
            </a:rPr>
            <a:t>詳細</a:t>
          </a:r>
          <a:r>
            <a:rPr lang="ja-JP" altLang="en-US" sz="800" b="0" i="0" u="none" strike="noStrike" baseline="0">
              <a:solidFill>
                <a:srgbClr val="000000"/>
              </a:solidFill>
              <a:latin typeface="MS PGothic" panose="020B0600070205080204" charset="-128"/>
              <a:ea typeface="MS PGothic" panose="020B0600070205080204" charset="-128"/>
            </a:rPr>
            <a:t>設計/PRG設計(内部設計)段階での誤り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2A:内部設計漏れ及び外部仕様の解釈誤り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2B:内部設計の誤り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2C:モジュール間I/F仕様の誤り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(3) コーディング段階での誤り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3B:不注意なコーディング・ミス</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161949</xdr:rowOff>
    </xdr:to>
    <xdr:sp>
      <xdr:nvSpPr>
        <xdr:cNvPr id="2052" name="Text Box 4"/>
        <xdr:cNvSpPr txBox="1">
          <a:spLocks noChangeArrowheads="1"/>
        </xdr:cNvSpPr>
      </xdr:nvSpPr>
      <xdr:spPr>
        <a:xfrm>
          <a:off x="5911215" y="8221980"/>
          <a:ext cx="2643505" cy="186499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 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4A:お客様からの仕様変更</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4B:表現不備(誤字/脱字など)</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 試験段階での誤り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5A:仕様の解釈誤り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5B:試験仕様の誤り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5C:試験プログラム/データの誤り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5D:試験項目抜け</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(6)プロ完段階での誤り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6A：報告内容の抜け</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6B：報告内容の誤り，不整合，記述不足</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800"/>
            </a:lnSpc>
            <a:defRPr sz="1000"/>
          </a:pPr>
          <a:r>
            <a:rPr lang="ja-JP" altLang="en-US" sz="800" b="0" i="0" u="none" strike="noStrike" baseline="0">
              <a:solidFill>
                <a:srgbClr val="000000"/>
              </a:solidFill>
              <a:latin typeface="MS PGothic" panose="020B0600070205080204" charset="-128"/>
              <a:ea typeface="MS PGothic" panose="020B0600070205080204" charset="-128"/>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18698" name="Group 7"/>
        <xdr:cNvGrpSpPr/>
      </xdr:nvGrpSpPr>
      <xdr:grpSpPr>
        <a:xfrm>
          <a:off x="180975" y="9925050"/>
          <a:ext cx="8305800" cy="0"/>
          <a:chOff x="24" y="1037"/>
          <a:chExt cx="802" cy="156"/>
        </a:xfrm>
      </xdr:grpSpPr>
      <xdr:sp>
        <xdr:nvSpPr>
          <xdr:cNvPr id="2056" name="Text Box 8"/>
          <xdr:cNvSpPr txBox="1">
            <a:spLocks noChangeArrowheads="1"/>
          </xdr:cNvSpPr>
        </xdr:nvSpPr>
        <xdr:spPr>
          <a:xfrm>
            <a:off x="163448706058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 要件定義段階での誤り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0A:要件の抜け及び解釈誤り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0B:要件定義の誤り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0C:システム化対象範囲外とのI/Fの誤り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0Z:その他</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 システム設計(外部設計)段階での誤り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1A:外部仕様の抜け及び要件定義の解釈誤り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1B:外部仕様の誤り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1C:機能間I/F仕様の誤り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sp>
        <xdr:nvSpPr>
          <xdr:cNvPr id="2057" name="Text Box 9"/>
          <xdr:cNvSpPr txBox="1">
            <a:spLocks noChangeArrowheads="1"/>
          </xdr:cNvSpPr>
        </xdr:nvSpPr>
        <xdr:spPr>
          <a:xfrm>
            <a:off x="419397513375"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 SW設計/PRG設計(内部設計)段階での誤り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2A:内部設計漏れ及び外部仕様の解釈誤り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2B:内部設計の誤り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2C:モジュール間I/F仕様の誤り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2Z:その他</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 コーディング段階での誤り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3B:不注意なコーディング・ミス</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sp>
        <xdr:nvSpPr>
          <xdr:cNvPr id="2058" name="Text Box 10"/>
          <xdr:cNvSpPr txBox="1">
            <a:spLocks noChangeArrowheads="1"/>
          </xdr:cNvSpPr>
        </xdr:nvSpPr>
        <xdr:spPr>
          <a:xfrm>
            <a:off x="1714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 その他</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4A:お客様からの仕様変更</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4B:表現不備(誤字/脱字など)</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 試験段階での誤り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5A:仕様の解釈誤り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5B:試験仕様の誤り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5C:試験プログラム/データの誤り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5D:試験項目抜け</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xdr:nvSpPr>
        <xdr:cNvPr id="18699" name="Rectangle 12"/>
        <xdr:cNvSpPr>
          <a:spLocks noChangeArrowheads="1"/>
        </xdr:cNvSpPr>
      </xdr:nvSpPr>
      <xdr:spPr>
        <a:xfrm>
          <a:off x="171450" y="552450"/>
          <a:ext cx="247650" cy="142875"/>
        </a:xfrm>
        <a:prstGeom prst="rect">
          <a:avLst/>
        </a:prstGeom>
        <a:solidFill>
          <a:srgbClr val="FFFFCC"/>
        </a:solidFill>
        <a:ln w="12700">
          <a:solidFill>
            <a:srgbClr val="000000"/>
          </a:solidFill>
          <a:miter lim="800000"/>
        </a:ln>
      </xdr:spPr>
    </xdr:sp>
    <xdr:clientData/>
  </xdr:twoCellAnchor>
  <xdr:twoCellAnchor>
    <xdr:from>
      <xdr:col>0</xdr:col>
      <xdr:colOff>171450</xdr:colOff>
      <xdr:row>34</xdr:row>
      <xdr:rowOff>38100</xdr:rowOff>
    </xdr:from>
    <xdr:to>
      <xdr:col>1</xdr:col>
      <xdr:colOff>57150</xdr:colOff>
      <xdr:row>35</xdr:row>
      <xdr:rowOff>0</xdr:rowOff>
    </xdr:to>
    <xdr:sp>
      <xdr:nvSpPr>
        <xdr:cNvPr id="18700" name="Rectangle 13"/>
        <xdr:cNvSpPr>
          <a:spLocks noChangeArrowheads="1"/>
        </xdr:cNvSpPr>
      </xdr:nvSpPr>
      <xdr:spPr>
        <a:xfrm>
          <a:off x="171450" y="742950"/>
          <a:ext cx="219075" cy="142875"/>
        </a:xfrm>
        <a:prstGeom prst="rect">
          <a:avLst/>
        </a:prstGeom>
        <a:solidFill>
          <a:srgbClr val="CCFFFF"/>
        </a:solidFill>
        <a:ln w="9525">
          <a:solidFill>
            <a:srgbClr val="000000"/>
          </a:solidFill>
          <a:miter lim="800000"/>
        </a:ln>
      </xdr:spPr>
    </xdr:sp>
    <xdr:clientData/>
  </xdr:twoCellAnchor>
  <xdr:twoCellAnchor>
    <xdr:from>
      <xdr:col>1</xdr:col>
      <xdr:colOff>200025</xdr:colOff>
      <xdr:row>34</xdr:row>
      <xdr:rowOff>38100</xdr:rowOff>
    </xdr:from>
    <xdr:to>
      <xdr:col>1</xdr:col>
      <xdr:colOff>428625</xdr:colOff>
      <xdr:row>35</xdr:row>
      <xdr:rowOff>0</xdr:rowOff>
    </xdr:to>
    <xdr:sp>
      <xdr:nvSpPr>
        <xdr:cNvPr id="18701" name="Rectangle 14"/>
        <xdr:cNvSpPr>
          <a:spLocks noChangeArrowheads="1"/>
        </xdr:cNvSpPr>
      </xdr:nvSpPr>
      <xdr:spPr>
        <a:xfrm>
          <a:off x="533400" y="742950"/>
          <a:ext cx="219075" cy="142875"/>
        </a:xfrm>
        <a:prstGeom prst="rect">
          <a:avLst/>
        </a:prstGeom>
        <a:solidFill>
          <a:srgbClr val="CCFFCC"/>
        </a:solidFill>
        <a:ln w="9525">
          <a:solidFill>
            <a:srgbClr val="000000"/>
          </a:solidFill>
          <a:miter lim="800000"/>
        </a:ln>
      </xdr:spPr>
    </xdr:sp>
    <xdr:clientData/>
  </xdr:twoCellAnchor>
  <xdr:twoCellAnchor editAs="oneCell">
    <xdr:from>
      <xdr:col>1</xdr:col>
      <xdr:colOff>47625</xdr:colOff>
      <xdr:row>34</xdr:row>
      <xdr:rowOff>47625</xdr:rowOff>
    </xdr:from>
    <xdr:to>
      <xdr:col>1</xdr:col>
      <xdr:colOff>224608</xdr:colOff>
      <xdr:row>35</xdr:row>
      <xdr:rowOff>38100</xdr:rowOff>
    </xdr:to>
    <xdr:sp>
      <xdr:nvSpPr>
        <xdr:cNvPr id="2064" name="Text Box 16"/>
        <xdr:cNvSpPr txBox="1">
          <a:spLocks noChangeArrowheads="1"/>
        </xdr:cNvSpPr>
      </xdr:nvSpPr>
      <xdr:spPr>
        <a:xfrm>
          <a:off x="381000" y="752475"/>
          <a:ext cx="176530"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xdr:nvSpPr>
        <xdr:cNvPr id="18703" name="Rectangle 17"/>
        <xdr:cNvSpPr>
          <a:spLocks noChangeArrowheads="1"/>
        </xdr:cNvSpPr>
      </xdr:nvSpPr>
      <xdr:spPr>
        <a:xfrm>
          <a:off x="76200" y="323850"/>
          <a:ext cx="7115175" cy="609600"/>
        </a:xfrm>
        <a:prstGeom prst="rect">
          <a:avLst/>
        </a:prstGeom>
        <a:noFill/>
        <a:ln w="9525">
          <a:solidFill>
            <a:srgbClr val="000000"/>
          </a:solidFill>
          <a:prstDash val="dash"/>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xdr:nvSpPr>
        <xdr:cNvPr id="18704" name="Line 18"/>
        <xdr:cNvSpPr>
          <a:spLocks noChangeShapeType="1"/>
        </xdr:cNvSpPr>
      </xdr:nvSpPr>
      <xdr:spPr>
        <a:xfrm>
          <a:off x="8067675" y="1552575"/>
          <a:ext cx="0" cy="13335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xdr:nvSpPr>
        <xdr:cNvPr id="2067" name="Text Box 19"/>
        <xdr:cNvSpPr txBox="1">
          <a:spLocks noChangeArrowheads="1"/>
        </xdr:cNvSpPr>
      </xdr:nvSpPr>
      <xdr:spPr>
        <a:xfrm>
          <a:off x="0" y="0"/>
          <a:ext cx="311785" cy="152400"/>
        </a:xfrm>
        <a:prstGeom prst="rect">
          <a:avLst/>
        </a:prstGeom>
        <a:solidFill>
          <a:srgbClr val="FFFFFF"/>
        </a:solidFill>
        <a:ln w="9525">
          <a:solidFill>
            <a:srgbClr val="000000"/>
          </a:solidFill>
          <a:miter lim="800000"/>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S PGothic" panose="020B0600070205080204" charset="-128"/>
              <a:ea typeface="MS PGothic" panose="020B0600070205080204" charset="-128"/>
            </a:rPr>
            <a:t>秘</a:t>
          </a:r>
          <a:endParaRPr lang="ja-JP" altLang="en-US"/>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9</xdr:col>
      <xdr:colOff>85725</xdr:colOff>
      <xdr:row>1</xdr:row>
      <xdr:rowOff>9525</xdr:rowOff>
    </xdr:from>
    <xdr:to>
      <xdr:col>15</xdr:col>
      <xdr:colOff>542925</xdr:colOff>
      <xdr:row>8</xdr:row>
      <xdr:rowOff>266700</xdr:rowOff>
    </xdr:to>
    <xdr:sp>
      <xdr:nvSpPr>
        <xdr:cNvPr id="21505" name="角丸四角形 1"/>
        <xdr:cNvSpPr>
          <a:spLocks noChangeArrowheads="1"/>
        </xdr:cNvSpPr>
      </xdr:nvSpPr>
      <xdr:spPr>
        <a:xfrm>
          <a:off x="9848850" y="161925"/>
          <a:ext cx="4114800" cy="2028825"/>
        </a:xfrm>
        <a:prstGeom prst="roundRect">
          <a:avLst>
            <a:gd name="adj" fmla="val 16667"/>
          </a:avLst>
        </a:prstGeom>
        <a:solidFill>
          <a:srgbClr val="FFFF66"/>
        </a:solidFill>
        <a:ln w="9525" algn="ctr">
          <a:solidFill>
            <a:srgbClr val="000000"/>
          </a:solidFill>
          <a:round/>
        </a:ln>
      </xdr:spPr>
      <xdr:txBody>
        <a:bodyPr vertOverflow="clip" wrap="square" lIns="36576" tIns="18288" rIns="0" bIns="0" anchor="t" upright="1"/>
        <a:lstStyle/>
        <a:p>
          <a:pPr algn="l" rtl="0">
            <a:defRPr sz="1000"/>
          </a:pPr>
          <a:r>
            <a:rPr lang="ja-JP" altLang="en-US" sz="1100" b="1" i="0" strike="noStrike">
              <a:solidFill>
                <a:srgbClr val="FF0000"/>
              </a:solidFill>
              <a:latin typeface="MS PGothic" panose="020B0600070205080204" charset="-128"/>
              <a:ea typeface="MS PGothic" panose="020B0600070205080204" charset="-128"/>
            </a:rPr>
            <a:t>＜記述要領＞</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１．ヘッダー情報（実施日、実施者、ドキュメント番号）を</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記入する。</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２．機能区分を選択する。</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⇒画面</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帳票</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紙</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帳票</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Ｅｘ</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バッチ</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Ｉ／Ｆ</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３．機能区分に「●」が付いているチェック項目が</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試験項目として含まれているかを確認する。</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機能区分に印がない項目は「－」とする。</a:t>
          </a:r>
          <a:endParaRPr lang="ja-JP" altLang="en-US" sz="1100" b="1" i="0" strike="noStrike">
            <a:solidFill>
              <a:srgbClr val="FF0000"/>
            </a:solidFill>
            <a:latin typeface="Calibri" panose="020F0502020204030204"/>
          </a:endParaRPr>
        </a:p>
        <a:p>
          <a:pPr algn="l" rtl="0">
            <a:defRPr sz="1000"/>
          </a:pPr>
          <a:r>
            <a:rPr lang="en-US" altLang="ja-JP" sz="1100" b="1" i="0" strike="noStrike">
              <a:solidFill>
                <a:srgbClr val="FF0000"/>
              </a:solidFill>
              <a:latin typeface="MS PGothic" panose="020B0600070205080204" charset="-128"/>
              <a:ea typeface="MS PGothic" panose="020B0600070205080204" charset="-128"/>
            </a:rPr>
            <a:t>※</a:t>
          </a:r>
          <a:r>
            <a:rPr lang="ja-JP" altLang="en-US" sz="1100" b="1" i="0" strike="noStrike">
              <a:solidFill>
                <a:srgbClr val="FF0000"/>
              </a:solidFill>
              <a:latin typeface="MS PGothic" panose="020B0600070205080204" charset="-128"/>
              <a:ea typeface="MS PGothic" panose="020B0600070205080204" charset="-128"/>
            </a:rPr>
            <a:t>このコメントは削除してから使用して下さい。</a:t>
          </a:r>
          <a:endParaRPr lang="ja-JP" altLang="en-US" sz="1100" b="1" i="0" strike="noStrike">
            <a:solidFill>
              <a:srgbClr val="FF0000"/>
            </a:solidFill>
            <a:latin typeface="MS PGothic" panose="020B0600070205080204" charset="-128"/>
            <a:ea typeface="MS PGothic" panose="020B0600070205080204"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E61"/>
  <sheetViews>
    <sheetView showGridLines="0" zoomScale="115" zoomScaleNormal="115" workbookViewId="0">
      <selection activeCell="T2" sqref="T2:W2"/>
    </sheetView>
  </sheetViews>
  <sheetFormatPr defaultColWidth="9" defaultRowHeight="11.25"/>
  <cols>
    <col min="1" max="1" width="0.75" style="176" customWidth="1"/>
    <col min="2" max="3" width="1.5" style="176" customWidth="1"/>
    <col min="4" max="4" width="3" style="176" customWidth="1"/>
    <col min="5" max="5" width="2.75" style="176" customWidth="1"/>
    <col min="6" max="6" width="4.375" style="176" customWidth="1"/>
    <col min="7" max="7" width="5" style="176" customWidth="1"/>
    <col min="8" max="8" width="6.125" style="176" customWidth="1"/>
    <col min="9" max="9" width="3.375" style="176" customWidth="1"/>
    <col min="10" max="10" width="5.875" style="176" customWidth="1"/>
    <col min="11" max="11" width="6.875" style="176" customWidth="1"/>
    <col min="12" max="13" width="3.375" style="176" customWidth="1"/>
    <col min="14" max="14" width="6.875" style="176" customWidth="1"/>
    <col min="15" max="15" width="5" style="177" customWidth="1"/>
    <col min="16" max="16" width="3" style="177" customWidth="1"/>
    <col min="17" max="17" width="3.625" style="177" customWidth="1"/>
    <col min="18" max="18" width="3.625" style="176" customWidth="1"/>
    <col min="19" max="19" width="11.625" style="176" customWidth="1"/>
    <col min="20" max="20" width="5" style="176" customWidth="1"/>
    <col min="21" max="21" width="3.375" style="176" customWidth="1"/>
    <col min="22" max="22" width="5" style="176" customWidth="1"/>
    <col min="23" max="23" width="3.375" style="176" customWidth="1"/>
    <col min="24" max="16384" width="9" style="176"/>
  </cols>
  <sheetData>
    <row r="1" ht="2.25" customHeight="1" spans="2:8">
      <c r="B1"/>
      <c r="C1"/>
      <c r="D1"/>
      <c r="E1"/>
      <c r="F1"/>
      <c r="G1"/>
      <c r="H1"/>
    </row>
    <row r="2" ht="15" customHeight="1" spans="3:23">
      <c r="C2" s="178"/>
      <c r="D2"/>
      <c r="E2"/>
      <c r="F2" s="179" t="s">
        <v>0</v>
      </c>
      <c r="G2" s="179"/>
      <c r="H2" s="179"/>
      <c r="I2" s="179"/>
      <c r="J2" s="179"/>
      <c r="K2" s="179"/>
      <c r="L2" s="297"/>
      <c r="M2" s="297"/>
      <c r="N2" s="298"/>
      <c r="O2" s="298"/>
      <c r="P2" s="299"/>
      <c r="Q2"/>
      <c r="R2"/>
      <c r="S2" s="389" t="s">
        <v>1</v>
      </c>
      <c r="T2" s="390"/>
      <c r="U2" s="391"/>
      <c r="V2" s="391"/>
      <c r="W2" s="392"/>
    </row>
    <row r="3" ht="15" customHeight="1" spans="3:19">
      <c r="C3" s="180"/>
      <c r="D3" s="180"/>
      <c r="E3" s="180"/>
      <c r="F3" s="179"/>
      <c r="G3" s="179"/>
      <c r="H3" s="179"/>
      <c r="I3" s="179"/>
      <c r="J3" s="179"/>
      <c r="K3" s="179"/>
      <c r="L3" s="297"/>
      <c r="M3" s="297"/>
      <c r="N3" s="300" t="s">
        <v>2</v>
      </c>
      <c r="O3" s="168"/>
      <c r="P3" s="298"/>
      <c r="Q3" s="299"/>
      <c r="R3"/>
      <c r="S3" s="177"/>
    </row>
    <row r="4" ht="28.5" customHeight="1" spans="2:23">
      <c r="B4" s="181"/>
      <c r="C4" s="182" t="s">
        <v>3</v>
      </c>
      <c r="D4" s="182"/>
      <c r="E4" s="182"/>
      <c r="F4" s="183"/>
      <c r="G4" s="184" t="s">
        <v>4</v>
      </c>
      <c r="H4" s="185" t="s">
        <v>5</v>
      </c>
      <c r="I4" s="301"/>
      <c r="J4" s="302"/>
      <c r="K4" s="303" t="s">
        <v>6</v>
      </c>
      <c r="L4" s="303"/>
      <c r="M4" s="304"/>
      <c r="N4" s="305" t="s">
        <v>7</v>
      </c>
      <c r="O4" s="306"/>
      <c r="P4" s="306"/>
      <c r="Q4" s="306"/>
      <c r="R4" s="306"/>
      <c r="S4" s="306"/>
      <c r="T4" s="306"/>
      <c r="U4" s="306"/>
      <c r="V4" s="306"/>
      <c r="W4" s="306"/>
    </row>
    <row r="5" ht="9" customHeight="1"/>
    <row r="6" ht="15" customHeight="1" spans="2:23">
      <c r="B6" s="186" t="s">
        <v>8</v>
      </c>
      <c r="C6" s="187"/>
      <c r="D6" s="187"/>
      <c r="E6" s="187"/>
      <c r="F6" s="188"/>
      <c r="G6" s="189"/>
      <c r="H6" s="189"/>
      <c r="I6" s="307" t="s">
        <v>9</v>
      </c>
      <c r="J6" s="308"/>
      <c r="K6" s="309"/>
      <c r="L6" s="307" t="s">
        <v>10</v>
      </c>
      <c r="M6" s="310" t="s">
        <v>11</v>
      </c>
      <c r="N6" s="310"/>
      <c r="O6" s="308"/>
      <c r="P6" s="309"/>
      <c r="Q6" s="309"/>
      <c r="R6" s="309"/>
      <c r="S6" s="309"/>
      <c r="T6" s="393"/>
      <c r="U6" s="394"/>
      <c r="V6" s="394"/>
      <c r="W6" s="395"/>
    </row>
    <row r="7" ht="15" customHeight="1" spans="2:23">
      <c r="B7" s="190" t="s">
        <v>12</v>
      </c>
      <c r="C7" s="191"/>
      <c r="D7" s="191"/>
      <c r="E7" s="191"/>
      <c r="F7" s="501" t="s">
        <v>13</v>
      </c>
      <c r="G7" s="193"/>
      <c r="H7" s="193"/>
      <c r="I7" s="311"/>
      <c r="J7" s="312" t="s">
        <v>14</v>
      </c>
      <c r="K7" s="312"/>
      <c r="L7" s="313" t="s">
        <v>15</v>
      </c>
      <c r="M7" s="314"/>
      <c r="N7" s="314"/>
      <c r="O7" s="314"/>
      <c r="P7" s="314"/>
      <c r="Q7" s="314"/>
      <c r="R7" s="314"/>
      <c r="S7" s="314"/>
      <c r="T7" s="314"/>
      <c r="U7" s="314"/>
      <c r="V7" s="314"/>
      <c r="W7" s="396"/>
    </row>
    <row r="8" ht="6.75" customHeight="1" spans="2:20">
      <c r="B8" s="177"/>
      <c r="C8" s="177"/>
      <c r="D8" s="177"/>
      <c r="E8" s="194"/>
      <c r="F8" s="194"/>
      <c r="G8" s="194"/>
      <c r="H8" s="194"/>
      <c r="I8" s="194"/>
      <c r="J8" s="177"/>
      <c r="K8" s="177"/>
      <c r="L8" s="177"/>
      <c r="M8" s="177"/>
      <c r="N8" s="177"/>
      <c r="R8" s="177"/>
      <c r="S8" s="177"/>
      <c r="T8" s="177"/>
    </row>
    <row r="9" ht="15" customHeight="1" spans="2:23">
      <c r="B9" s="195" t="s">
        <v>16</v>
      </c>
      <c r="C9" s="196"/>
      <c r="D9" s="197" t="s">
        <v>17</v>
      </c>
      <c r="E9" s="198"/>
      <c r="F9" s="199"/>
      <c r="G9" s="200"/>
      <c r="H9" s="201" t="str">
        <f>IF(査読ｼｰﾄ!C37="","（転記）",査読ｼｰﾄ!C37)</f>
        <v>（転記）</v>
      </c>
      <c r="I9" s="315"/>
      <c r="J9" s="316"/>
      <c r="K9" s="197" t="s">
        <v>18</v>
      </c>
      <c r="L9" s="199"/>
      <c r="M9" s="200"/>
      <c r="N9" s="317" t="str">
        <f>IF(査読ｼｰﾄ!C38="","（転記）",査読ｼｰﾄ!C38)</f>
        <v>単体試験要領書_MSBBPA020_【画面】Web見積計算書一覧照会.xlsx</v>
      </c>
      <c r="O9" s="318"/>
      <c r="P9" s="318"/>
      <c r="Q9" s="318"/>
      <c r="R9" s="318"/>
      <c r="S9" s="318"/>
      <c r="T9" s="318"/>
      <c r="U9" s="318"/>
      <c r="V9" s="318"/>
      <c r="W9" s="397"/>
    </row>
    <row r="10" ht="15" customHeight="1" spans="2:23">
      <c r="B10" s="202"/>
      <c r="C10" s="203"/>
      <c r="D10" s="204" t="s">
        <v>19</v>
      </c>
      <c r="E10" s="204"/>
      <c r="F10" s="205" t="s">
        <v>20</v>
      </c>
      <c r="G10" s="205"/>
      <c r="H10" s="205"/>
      <c r="I10" s="205"/>
      <c r="J10" s="205"/>
      <c r="K10" s="319"/>
      <c r="L10" s="205" t="s">
        <v>21</v>
      </c>
      <c r="M10" s="205"/>
      <c r="N10" s="205"/>
      <c r="O10" s="320"/>
      <c r="P10" s="321"/>
      <c r="Q10" s="398" t="s">
        <v>22</v>
      </c>
      <c r="R10" s="399"/>
      <c r="S10" s="399"/>
      <c r="T10" s="399"/>
      <c r="U10" s="400"/>
      <c r="V10" s="401"/>
      <c r="W10" s="402"/>
    </row>
    <row r="11" ht="15" customHeight="1" spans="2:23">
      <c r="B11" s="202"/>
      <c r="C11" s="203"/>
      <c r="D11" s="206"/>
      <c r="E11" s="206"/>
      <c r="F11" s="207" t="s">
        <v>23</v>
      </c>
      <c r="G11" s="207"/>
      <c r="H11" s="207"/>
      <c r="I11" s="207"/>
      <c r="J11" s="207"/>
      <c r="K11" s="319"/>
      <c r="L11" s="207" t="s">
        <v>24</v>
      </c>
      <c r="M11" s="207"/>
      <c r="N11" s="207"/>
      <c r="O11" s="322"/>
      <c r="P11" s="323"/>
      <c r="Q11" s="403" t="s">
        <v>25</v>
      </c>
      <c r="R11" s="404"/>
      <c r="S11" s="404"/>
      <c r="T11" s="404"/>
      <c r="U11" s="405"/>
      <c r="V11" s="406"/>
      <c r="W11" s="407"/>
    </row>
    <row r="12" ht="15" customHeight="1" spans="2:23">
      <c r="B12" s="202"/>
      <c r="C12" s="203"/>
      <c r="D12" s="206"/>
      <c r="E12" s="206"/>
      <c r="F12" s="207" t="s">
        <v>26</v>
      </c>
      <c r="G12" s="207"/>
      <c r="H12" s="207"/>
      <c r="I12" s="207"/>
      <c r="J12" s="207"/>
      <c r="K12" s="319" t="s">
        <v>4</v>
      </c>
      <c r="L12" s="208" t="s">
        <v>27</v>
      </c>
      <c r="M12" s="208"/>
      <c r="N12" s="208"/>
      <c r="O12" s="322"/>
      <c r="P12" s="323"/>
      <c r="Q12" s="403" t="s">
        <v>28</v>
      </c>
      <c r="R12" s="404"/>
      <c r="S12" s="404"/>
      <c r="T12" s="404"/>
      <c r="U12" s="405"/>
      <c r="V12" s="406"/>
      <c r="W12" s="407"/>
    </row>
    <row r="13" ht="15" customHeight="1" spans="2:23">
      <c r="B13" s="202"/>
      <c r="C13" s="203"/>
      <c r="D13" s="206"/>
      <c r="E13" s="206"/>
      <c r="F13" s="207" t="s">
        <v>29</v>
      </c>
      <c r="G13" s="207"/>
      <c r="H13" s="207"/>
      <c r="I13" s="207"/>
      <c r="J13" s="207"/>
      <c r="K13" s="319"/>
      <c r="L13" s="205" t="s">
        <v>30</v>
      </c>
      <c r="M13" s="205"/>
      <c r="N13" s="205"/>
      <c r="O13" s="324"/>
      <c r="P13" s="325"/>
      <c r="Q13" s="408" t="s">
        <v>31</v>
      </c>
      <c r="R13" s="409"/>
      <c r="S13" s="409"/>
      <c r="T13" s="409"/>
      <c r="U13" s="410"/>
      <c r="V13" s="411"/>
      <c r="W13" s="412"/>
    </row>
    <row r="14" ht="15" customHeight="1" spans="2:17">
      <c r="B14" s="202"/>
      <c r="C14" s="203"/>
      <c r="D14" s="208" t="s">
        <v>32</v>
      </c>
      <c r="E14" s="208"/>
      <c r="F14" s="208"/>
      <c r="G14" s="208" t="s">
        <v>33</v>
      </c>
      <c r="H14" s="208"/>
      <c r="I14" s="208"/>
      <c r="J14" s="326" t="str">
        <f>IF(査読ｼｰﾄ!J37=0,"（転記）",査読ｼｰﾄ!J37)</f>
        <v>（転記）</v>
      </c>
      <c r="K14" s="208" t="s">
        <v>34</v>
      </c>
      <c r="L14" s="327"/>
      <c r="M14" s="327"/>
      <c r="N14" s="328"/>
      <c r="O14" s="218"/>
      <c r="P14" s="176"/>
      <c r="Q14" s="176"/>
    </row>
    <row r="15" ht="15" customHeight="1" spans="2:26">
      <c r="B15" s="209"/>
      <c r="C15" s="210"/>
      <c r="D15" s="191" t="s">
        <v>27</v>
      </c>
      <c r="E15" s="191"/>
      <c r="F15" s="191"/>
      <c r="G15" s="191" t="s">
        <v>35</v>
      </c>
      <c r="H15" s="191"/>
      <c r="I15" s="191"/>
      <c r="J15" s="329" t="str">
        <f>IF(査読ｼｰﾄ!J38=0,"（転記）",査読ｼｰﾄ!J38)</f>
        <v>（転記）</v>
      </c>
      <c r="K15" s="191" t="s">
        <v>36</v>
      </c>
      <c r="L15" s="191"/>
      <c r="M15" s="191"/>
      <c r="N15" s="330"/>
      <c r="O15" s="218"/>
      <c r="P15" s="176"/>
      <c r="Q15" s="176"/>
      <c r="X15"/>
      <c r="Y15"/>
      <c r="Z15"/>
    </row>
    <row r="16" ht="6.75" customHeight="1" spans="15:17">
      <c r="O16" s="176"/>
      <c r="P16" s="176"/>
      <c r="Q16" s="176"/>
    </row>
    <row r="17" ht="15" customHeight="1" spans="2:23">
      <c r="B17" s="211"/>
      <c r="C17" s="212"/>
      <c r="D17" s="213"/>
      <c r="E17" s="214" t="s">
        <v>37</v>
      </c>
      <c r="F17" s="215" t="s">
        <v>38</v>
      </c>
      <c r="G17" s="216"/>
      <c r="H17" s="217" t="s">
        <v>39</v>
      </c>
      <c r="I17" s="331"/>
      <c r="J17" s="331"/>
      <c r="K17" s="331"/>
      <c r="L17" s="331"/>
      <c r="M17" s="331"/>
      <c r="N17" s="332"/>
      <c r="O17" s="333">
        <f>査読ｼｰﾄ!N12</f>
        <v>0</v>
      </c>
      <c r="P17" s="334" t="s">
        <v>40</v>
      </c>
      <c r="Q17" s="176"/>
      <c r="R17" s="272" t="s">
        <v>41</v>
      </c>
      <c r="S17" s="413" t="s">
        <v>42</v>
      </c>
      <c r="T17" s="414" t="s">
        <v>43</v>
      </c>
      <c r="U17" s="415"/>
      <c r="V17" s="255" t="s">
        <v>44</v>
      </c>
      <c r="W17" s="416"/>
    </row>
    <row r="18" ht="15" customHeight="1" spans="2:23">
      <c r="B18" s="218"/>
      <c r="D18" s="219"/>
      <c r="E18" s="220"/>
      <c r="F18" s="221"/>
      <c r="G18" s="222"/>
      <c r="H18" s="223" t="s">
        <v>45</v>
      </c>
      <c r="I18" s="335"/>
      <c r="J18" s="335"/>
      <c r="K18" s="335"/>
      <c r="L18" s="335"/>
      <c r="M18" s="335"/>
      <c r="N18" s="336"/>
      <c r="O18" s="337">
        <f>査読ｼｰﾄ!Q12</f>
        <v>0</v>
      </c>
      <c r="P18" s="338" t="s">
        <v>40</v>
      </c>
      <c r="Q18" s="176"/>
      <c r="R18" s="278"/>
      <c r="S18" s="327" t="s">
        <v>46</v>
      </c>
      <c r="T18" s="417"/>
      <c r="U18" s="418"/>
      <c r="V18" s="419"/>
      <c r="W18" s="420"/>
    </row>
    <row r="19" ht="15" customHeight="1" spans="2:23">
      <c r="B19" s="218"/>
      <c r="D19" s="224"/>
      <c r="E19" s="225"/>
      <c r="F19" s="221"/>
      <c r="G19" s="222"/>
      <c r="H19" s="226" t="s">
        <v>47</v>
      </c>
      <c r="I19" s="339"/>
      <c r="J19" s="339"/>
      <c r="K19" s="339"/>
      <c r="L19" s="339"/>
      <c r="M19" s="339"/>
      <c r="N19" s="340"/>
      <c r="O19" s="337">
        <f>査読ｼｰﾄ!T12</f>
        <v>0</v>
      </c>
      <c r="P19" s="341" t="s">
        <v>40</v>
      </c>
      <c r="Q19" s="176"/>
      <c r="R19" s="278"/>
      <c r="S19" s="208" t="s">
        <v>48</v>
      </c>
      <c r="T19" s="421"/>
      <c r="U19" s="422"/>
      <c r="V19" s="423"/>
      <c r="W19" s="424"/>
    </row>
    <row r="20" ht="15" customHeight="1" spans="2:23">
      <c r="B20" s="227" t="s">
        <v>49</v>
      </c>
      <c r="C20" s="228"/>
      <c r="D20" s="229" t="s">
        <v>50</v>
      </c>
      <c r="E20" s="230" t="s">
        <v>51</v>
      </c>
      <c r="F20" s="231" t="s">
        <v>52</v>
      </c>
      <c r="G20" s="232"/>
      <c r="H20" s="233" t="s">
        <v>53</v>
      </c>
      <c r="I20" s="233"/>
      <c r="J20" s="233"/>
      <c r="K20" s="233"/>
      <c r="L20" s="233"/>
      <c r="M20" s="233"/>
      <c r="N20" s="233"/>
      <c r="O20" s="337">
        <f>査読ｼｰﾄ!W12</f>
        <v>0</v>
      </c>
      <c r="P20" s="338" t="s">
        <v>40</v>
      </c>
      <c r="Q20" s="425"/>
      <c r="R20" s="278"/>
      <c r="S20" s="208" t="s">
        <v>54</v>
      </c>
      <c r="T20" s="421"/>
      <c r="U20" s="422"/>
      <c r="V20" s="423"/>
      <c r="W20" s="424"/>
    </row>
    <row r="21" ht="15" customHeight="1" spans="2:23">
      <c r="B21" s="234"/>
      <c r="C21" s="235"/>
      <c r="D21" s="236"/>
      <c r="E21" s="237"/>
      <c r="F21" s="231"/>
      <c r="G21" s="232"/>
      <c r="H21" s="233" t="s">
        <v>55</v>
      </c>
      <c r="I21" s="233"/>
      <c r="J21" s="233"/>
      <c r="K21" s="233"/>
      <c r="L21" s="233"/>
      <c r="M21" s="233"/>
      <c r="N21" s="233"/>
      <c r="O21" s="337">
        <f>査読ｼｰﾄ!Z12</f>
        <v>0</v>
      </c>
      <c r="P21" s="338" t="s">
        <v>40</v>
      </c>
      <c r="Q21" s="425"/>
      <c r="R21" s="278"/>
      <c r="S21" s="208" t="s">
        <v>56</v>
      </c>
      <c r="T21" s="421"/>
      <c r="U21" s="422"/>
      <c r="V21" s="423"/>
      <c r="W21" s="424"/>
    </row>
    <row r="22" ht="15" customHeight="1" spans="2:23">
      <c r="B22" s="234"/>
      <c r="C22" s="235"/>
      <c r="D22" s="236"/>
      <c r="E22" s="237"/>
      <c r="F22" s="231"/>
      <c r="G22" s="232"/>
      <c r="H22" s="223" t="s">
        <v>57</v>
      </c>
      <c r="I22" s="335"/>
      <c r="J22" s="335"/>
      <c r="K22" s="335"/>
      <c r="L22" s="335"/>
      <c r="M22" s="335"/>
      <c r="N22" s="336"/>
      <c r="O22" s="337">
        <f>査読ｼｰﾄ!AC12</f>
        <v>0</v>
      </c>
      <c r="P22" s="338" t="s">
        <v>40</v>
      </c>
      <c r="Q22" s="425"/>
      <c r="R22" s="278"/>
      <c r="S22" s="208" t="s">
        <v>58</v>
      </c>
      <c r="T22" s="421"/>
      <c r="U22" s="422"/>
      <c r="V22" s="423"/>
      <c r="W22" s="424"/>
    </row>
    <row r="23" ht="15" customHeight="1" spans="2:23">
      <c r="B23" s="234"/>
      <c r="C23" s="235"/>
      <c r="D23" s="236"/>
      <c r="E23" s="237"/>
      <c r="F23" s="231"/>
      <c r="G23" s="232"/>
      <c r="H23" s="233" t="s">
        <v>59</v>
      </c>
      <c r="I23" s="233"/>
      <c r="J23" s="233"/>
      <c r="K23" s="233"/>
      <c r="L23" s="233"/>
      <c r="M23" s="233"/>
      <c r="N23" s="233"/>
      <c r="O23" s="337">
        <f>査読ｼｰﾄ!AF12</f>
        <v>0</v>
      </c>
      <c r="P23" s="338" t="s">
        <v>40</v>
      </c>
      <c r="Q23" s="425"/>
      <c r="R23" s="278"/>
      <c r="S23" s="208" t="s">
        <v>60</v>
      </c>
      <c r="T23" s="421"/>
      <c r="U23" s="422"/>
      <c r="V23" s="423"/>
      <c r="W23" s="424"/>
    </row>
    <row r="24" ht="15" customHeight="1" spans="2:23">
      <c r="B24" s="234"/>
      <c r="C24" s="235"/>
      <c r="D24" s="236"/>
      <c r="E24" s="230" t="s">
        <v>61</v>
      </c>
      <c r="F24" s="231" t="s">
        <v>62</v>
      </c>
      <c r="G24" s="232"/>
      <c r="H24" s="233" t="s">
        <v>63</v>
      </c>
      <c r="I24" s="233"/>
      <c r="J24" s="233"/>
      <c r="K24" s="233"/>
      <c r="L24" s="233"/>
      <c r="M24" s="233"/>
      <c r="N24" s="342"/>
      <c r="O24" s="337">
        <f>査読ｼｰﾄ!AI12</f>
        <v>0</v>
      </c>
      <c r="P24" s="338" t="s">
        <v>40</v>
      </c>
      <c r="Q24" s="425"/>
      <c r="R24" s="278"/>
      <c r="S24" s="208" t="s">
        <v>64</v>
      </c>
      <c r="T24" s="421"/>
      <c r="U24" s="422"/>
      <c r="V24" s="423"/>
      <c r="W24" s="424"/>
    </row>
    <row r="25" ht="15" customHeight="1" spans="2:23">
      <c r="B25" s="234"/>
      <c r="C25" s="235"/>
      <c r="D25" s="236"/>
      <c r="E25" s="237"/>
      <c r="F25" s="231"/>
      <c r="G25" s="232"/>
      <c r="H25" s="233" t="s">
        <v>65</v>
      </c>
      <c r="I25" s="233"/>
      <c r="J25" s="233"/>
      <c r="K25" s="233"/>
      <c r="L25" s="233"/>
      <c r="M25" s="233"/>
      <c r="N25" s="342"/>
      <c r="O25" s="337">
        <f>査読ｼｰﾄ!AL12</f>
        <v>0</v>
      </c>
      <c r="P25" s="338" t="s">
        <v>40</v>
      </c>
      <c r="Q25" s="425"/>
      <c r="R25" s="278"/>
      <c r="S25" s="426" t="s">
        <v>66</v>
      </c>
      <c r="T25" s="427"/>
      <c r="U25" s="428"/>
      <c r="V25" s="423"/>
      <c r="W25" s="424"/>
    </row>
    <row r="26" ht="15" customHeight="1" spans="2:23">
      <c r="B26" s="234"/>
      <c r="C26" s="235"/>
      <c r="D26" s="236"/>
      <c r="E26" s="237"/>
      <c r="F26" s="231"/>
      <c r="G26" s="232"/>
      <c r="H26" s="233" t="s">
        <v>67</v>
      </c>
      <c r="I26" s="233"/>
      <c r="J26" s="233"/>
      <c r="K26" s="233"/>
      <c r="L26" s="233"/>
      <c r="M26" s="233"/>
      <c r="N26" s="342"/>
      <c r="O26" s="337">
        <f>査読ｼｰﾄ!AO12</f>
        <v>0</v>
      </c>
      <c r="P26" s="338" t="s">
        <v>40</v>
      </c>
      <c r="Q26" s="425"/>
      <c r="R26" s="278"/>
      <c r="S26" s="426" t="s">
        <v>30</v>
      </c>
      <c r="T26" s="427"/>
      <c r="U26" s="428"/>
      <c r="V26" s="423"/>
      <c r="W26" s="424"/>
    </row>
    <row r="27" ht="15" customHeight="1" spans="2:23">
      <c r="B27" s="234"/>
      <c r="C27" s="235"/>
      <c r="D27" s="236"/>
      <c r="E27" s="237"/>
      <c r="F27" s="231"/>
      <c r="G27" s="232"/>
      <c r="H27" s="233" t="s">
        <v>68</v>
      </c>
      <c r="I27" s="233"/>
      <c r="J27" s="233"/>
      <c r="K27" s="233"/>
      <c r="L27" s="233"/>
      <c r="M27" s="233"/>
      <c r="N27" s="342"/>
      <c r="O27" s="337">
        <f>査読ｼｰﾄ!AR12</f>
        <v>0</v>
      </c>
      <c r="P27" s="338" t="s">
        <v>40</v>
      </c>
      <c r="Q27" s="425"/>
      <c r="R27" s="278"/>
      <c r="S27" s="429"/>
      <c r="T27" s="427"/>
      <c r="U27" s="428"/>
      <c r="V27" s="423"/>
      <c r="W27" s="424"/>
    </row>
    <row r="28" ht="15" customHeight="1" spans="2:23">
      <c r="B28" s="234"/>
      <c r="C28" s="235"/>
      <c r="D28" s="236"/>
      <c r="E28" s="230" t="s">
        <v>69</v>
      </c>
      <c r="F28" s="238" t="s">
        <v>70</v>
      </c>
      <c r="G28" s="239"/>
      <c r="H28" s="233" t="s">
        <v>71</v>
      </c>
      <c r="I28" s="233"/>
      <c r="J28" s="233"/>
      <c r="K28" s="233"/>
      <c r="L28" s="233"/>
      <c r="M28" s="233"/>
      <c r="N28" s="342"/>
      <c r="O28" s="337">
        <f>査読ｼｰﾄ!AU12</f>
        <v>0</v>
      </c>
      <c r="P28" s="338" t="s">
        <v>40</v>
      </c>
      <c r="Q28" s="425"/>
      <c r="R28" s="286"/>
      <c r="S28" s="266" t="s">
        <v>72</v>
      </c>
      <c r="T28" s="430"/>
      <c r="U28" s="431"/>
      <c r="V28" s="432">
        <f>SUM(V18:W27)</f>
        <v>0</v>
      </c>
      <c r="W28" s="433"/>
    </row>
    <row r="29" ht="15" customHeight="1" spans="2:17">
      <c r="B29" s="234"/>
      <c r="C29" s="235"/>
      <c r="D29" s="236"/>
      <c r="E29" s="237"/>
      <c r="F29" s="238"/>
      <c r="G29" s="239"/>
      <c r="H29" s="233" t="s">
        <v>73</v>
      </c>
      <c r="I29" s="233"/>
      <c r="J29" s="233"/>
      <c r="K29" s="233"/>
      <c r="L29" s="233"/>
      <c r="M29" s="233"/>
      <c r="N29" s="342"/>
      <c r="O29" s="337">
        <f>査読ｼｰﾄ!AX12</f>
        <v>0</v>
      </c>
      <c r="P29" s="338" t="s">
        <v>40</v>
      </c>
      <c r="Q29" s="434"/>
    </row>
    <row r="30" ht="15" customHeight="1" spans="2:23">
      <c r="B30" s="234"/>
      <c r="C30" s="235"/>
      <c r="D30" s="236"/>
      <c r="E30" s="237"/>
      <c r="F30" s="238"/>
      <c r="G30" s="239"/>
      <c r="H30" s="233" t="s">
        <v>74</v>
      </c>
      <c r="I30" s="233"/>
      <c r="J30" s="233"/>
      <c r="K30" s="233"/>
      <c r="L30" s="233"/>
      <c r="M30" s="233"/>
      <c r="N30" s="342"/>
      <c r="O30" s="337">
        <f>査読ｼｰﾄ!BA12</f>
        <v>0</v>
      </c>
      <c r="P30" s="338" t="s">
        <v>40</v>
      </c>
      <c r="Q30" s="434"/>
      <c r="R30" s="435" t="s">
        <v>75</v>
      </c>
      <c r="S30" s="436" t="s">
        <v>76</v>
      </c>
      <c r="T30" s="255" t="s">
        <v>77</v>
      </c>
      <c r="U30" s="255"/>
      <c r="V30" s="255" t="s">
        <v>78</v>
      </c>
      <c r="W30" s="416"/>
    </row>
    <row r="31" ht="15" customHeight="1" spans="2:23">
      <c r="B31" s="234"/>
      <c r="C31" s="235"/>
      <c r="D31" s="236"/>
      <c r="E31" s="237"/>
      <c r="F31" s="238"/>
      <c r="G31" s="239"/>
      <c r="H31" s="233" t="s">
        <v>79</v>
      </c>
      <c r="I31" s="233"/>
      <c r="J31" s="233"/>
      <c r="K31" s="233"/>
      <c r="L31" s="233"/>
      <c r="M31" s="233"/>
      <c r="N31" s="342"/>
      <c r="O31" s="337">
        <f>査読ｼｰﾄ!BD12</f>
        <v>0</v>
      </c>
      <c r="P31" s="338" t="s">
        <v>40</v>
      </c>
      <c r="Q31" s="434"/>
      <c r="R31" s="437"/>
      <c r="S31" s="438" t="s">
        <v>80</v>
      </c>
      <c r="T31" s="439"/>
      <c r="U31" s="439"/>
      <c r="V31" s="440">
        <f>IF(J14="（転記）",0,J45/J14)</f>
        <v>0</v>
      </c>
      <c r="W31" s="441"/>
    </row>
    <row r="32" ht="15" customHeight="1" spans="2:23">
      <c r="B32" s="234"/>
      <c r="C32" s="235"/>
      <c r="D32" s="236"/>
      <c r="E32" s="230" t="s">
        <v>81</v>
      </c>
      <c r="F32" s="238" t="s">
        <v>82</v>
      </c>
      <c r="G32" s="239"/>
      <c r="H32" s="233" t="s">
        <v>83</v>
      </c>
      <c r="I32" s="233"/>
      <c r="J32" s="233"/>
      <c r="K32" s="233"/>
      <c r="L32" s="233"/>
      <c r="M32" s="233"/>
      <c r="N32" s="342"/>
      <c r="O32" s="337">
        <f>査読ｼｰﾄ!BG12</f>
        <v>0</v>
      </c>
      <c r="P32" s="338" t="s">
        <v>40</v>
      </c>
      <c r="Q32" s="176"/>
      <c r="R32" s="437"/>
      <c r="S32" s="442"/>
      <c r="T32" s="443"/>
      <c r="U32" s="443"/>
      <c r="V32" s="444"/>
      <c r="W32" s="445"/>
    </row>
    <row r="33" ht="15" customHeight="1" spans="2:23">
      <c r="B33" s="234"/>
      <c r="C33" s="235"/>
      <c r="D33" s="236"/>
      <c r="E33" s="230"/>
      <c r="F33" s="238"/>
      <c r="G33" s="239"/>
      <c r="H33" s="233" t="s">
        <v>84</v>
      </c>
      <c r="I33" s="233"/>
      <c r="J33" s="233"/>
      <c r="K33" s="233"/>
      <c r="L33" s="233"/>
      <c r="M33" s="233"/>
      <c r="N33" s="342"/>
      <c r="O33" s="337">
        <f>査読ｼｰﾄ!BJ12</f>
        <v>0</v>
      </c>
      <c r="P33" s="338" t="s">
        <v>40</v>
      </c>
      <c r="Q33" s="176"/>
      <c r="R33" s="437"/>
      <c r="S33" s="442" t="s">
        <v>85</v>
      </c>
      <c r="T33" s="443"/>
      <c r="U33" s="443"/>
      <c r="V33" s="446">
        <f>IF(J14="（転記）",0,N45/J14)</f>
        <v>0</v>
      </c>
      <c r="W33" s="447"/>
    </row>
    <row r="34" ht="15" customHeight="1" spans="2:24">
      <c r="B34" s="234"/>
      <c r="C34" s="235"/>
      <c r="D34" s="236"/>
      <c r="E34" s="230"/>
      <c r="F34" s="238"/>
      <c r="G34" s="239"/>
      <c r="H34" s="233" t="s">
        <v>86</v>
      </c>
      <c r="I34" s="233"/>
      <c r="J34" s="233"/>
      <c r="K34" s="233"/>
      <c r="L34" s="233"/>
      <c r="M34" s="233"/>
      <c r="N34" s="342"/>
      <c r="O34" s="337">
        <f>査読ｼｰﾄ!BP12</f>
        <v>0</v>
      </c>
      <c r="P34" s="338" t="s">
        <v>40</v>
      </c>
      <c r="Q34" s="176"/>
      <c r="R34" s="437"/>
      <c r="S34" s="442"/>
      <c r="T34" s="443"/>
      <c r="U34" s="443"/>
      <c r="V34" s="444"/>
      <c r="W34" s="445"/>
      <c r="X34" s="448"/>
    </row>
    <row r="35" ht="15" customHeight="1" spans="2:23">
      <c r="B35" s="234"/>
      <c r="C35" s="235"/>
      <c r="D35" s="236"/>
      <c r="E35" s="230" t="s">
        <v>87</v>
      </c>
      <c r="F35" s="238" t="s">
        <v>30</v>
      </c>
      <c r="G35" s="239"/>
      <c r="H35" s="233" t="s">
        <v>88</v>
      </c>
      <c r="I35" s="233"/>
      <c r="J35" s="233"/>
      <c r="K35" s="233"/>
      <c r="L35" s="233"/>
      <c r="M35" s="233"/>
      <c r="N35" s="342"/>
      <c r="O35" s="337">
        <f>査読ｼｰﾄ!BS12</f>
        <v>0</v>
      </c>
      <c r="P35" s="338" t="s">
        <v>40</v>
      </c>
      <c r="Q35" s="176"/>
      <c r="R35" s="437"/>
      <c r="S35" s="449" t="s">
        <v>89</v>
      </c>
      <c r="T35" s="443"/>
      <c r="U35" s="443"/>
      <c r="V35" s="446">
        <f>IF(J15="（転記）",0,J45/J15)</f>
        <v>0</v>
      </c>
      <c r="W35" s="447"/>
    </row>
    <row r="36" ht="15" customHeight="1" spans="2:23">
      <c r="B36" s="234"/>
      <c r="C36" s="235"/>
      <c r="D36" s="236"/>
      <c r="E36" s="230"/>
      <c r="F36" s="238"/>
      <c r="G36" s="239"/>
      <c r="H36" s="233" t="s">
        <v>90</v>
      </c>
      <c r="I36" s="233"/>
      <c r="J36" s="233"/>
      <c r="K36" s="233"/>
      <c r="L36" s="233"/>
      <c r="M36" s="233"/>
      <c r="N36" s="342"/>
      <c r="O36" s="337">
        <f>査読ｼｰﾄ!BV12</f>
        <v>0</v>
      </c>
      <c r="P36" s="338" t="s">
        <v>40</v>
      </c>
      <c r="Q36" s="176"/>
      <c r="R36" s="437"/>
      <c r="S36" s="449"/>
      <c r="T36" s="443"/>
      <c r="U36" s="443"/>
      <c r="V36" s="444"/>
      <c r="W36" s="445"/>
    </row>
    <row r="37" ht="15" customHeight="1" spans="2:23">
      <c r="B37" s="234"/>
      <c r="C37" s="235"/>
      <c r="D37" s="236"/>
      <c r="E37" s="230" t="s">
        <v>91</v>
      </c>
      <c r="F37" s="238" t="s">
        <v>92</v>
      </c>
      <c r="G37" s="239"/>
      <c r="H37" s="233" t="s">
        <v>93</v>
      </c>
      <c r="I37" s="233"/>
      <c r="J37" s="233"/>
      <c r="K37" s="233"/>
      <c r="L37" s="233"/>
      <c r="M37" s="233"/>
      <c r="N37" s="342"/>
      <c r="O37" s="337">
        <f>査読ｼｰﾄ!CE12</f>
        <v>0</v>
      </c>
      <c r="P37" s="338" t="s">
        <v>40</v>
      </c>
      <c r="Q37" s="176"/>
      <c r="R37" s="437"/>
      <c r="S37" s="450" t="s">
        <v>94</v>
      </c>
      <c r="T37" s="443"/>
      <c r="U37" s="443"/>
      <c r="V37" s="451">
        <f>IF(J15="（転記）",0,N45/J15)</f>
        <v>0</v>
      </c>
      <c r="W37" s="452"/>
    </row>
    <row r="38" ht="15" customHeight="1" spans="2:23">
      <c r="B38" s="234"/>
      <c r="C38" s="235"/>
      <c r="D38" s="236"/>
      <c r="E38" s="230"/>
      <c r="F38" s="238"/>
      <c r="G38" s="239"/>
      <c r="H38" s="233" t="s">
        <v>95</v>
      </c>
      <c r="I38" s="233"/>
      <c r="J38" s="233"/>
      <c r="K38" s="233"/>
      <c r="L38" s="233"/>
      <c r="M38" s="233"/>
      <c r="N38" s="342"/>
      <c r="O38" s="337">
        <f>査読ｼｰﾄ!CH12</f>
        <v>0</v>
      </c>
      <c r="P38" s="338" t="s">
        <v>40</v>
      </c>
      <c r="Q38" s="176"/>
      <c r="R38" s="437"/>
      <c r="S38" s="450"/>
      <c r="T38" s="443"/>
      <c r="U38" s="443"/>
      <c r="V38" s="451"/>
      <c r="W38" s="452"/>
    </row>
    <row r="39" ht="15" customHeight="1" spans="2:23">
      <c r="B39" s="234"/>
      <c r="C39" s="235"/>
      <c r="D39" s="236"/>
      <c r="E39" s="230"/>
      <c r="F39" s="238"/>
      <c r="G39" s="239"/>
      <c r="H39" s="207" t="s">
        <v>96</v>
      </c>
      <c r="I39" s="207"/>
      <c r="J39" s="207"/>
      <c r="K39" s="207"/>
      <c r="L39" s="207"/>
      <c r="M39" s="207"/>
      <c r="N39" s="223"/>
      <c r="O39" s="337">
        <f>査読ｼｰﾄ!CK12</f>
        <v>0</v>
      </c>
      <c r="P39" s="338" t="s">
        <v>40</v>
      </c>
      <c r="Q39" s="176"/>
      <c r="R39" s="437"/>
      <c r="S39" s="450" t="s">
        <v>97</v>
      </c>
      <c r="T39" s="443"/>
      <c r="U39" s="443"/>
      <c r="V39" s="451">
        <f>IF(J14="（転記）",0,O46/J14)</f>
        <v>0</v>
      </c>
      <c r="W39" s="452"/>
    </row>
    <row r="40" ht="15" customHeight="1" spans="2:31">
      <c r="B40" s="234"/>
      <c r="C40" s="235"/>
      <c r="D40" s="236"/>
      <c r="E40" s="230"/>
      <c r="F40" s="238"/>
      <c r="G40" s="239"/>
      <c r="H40" s="207" t="s">
        <v>98</v>
      </c>
      <c r="I40" s="207"/>
      <c r="J40" s="207"/>
      <c r="K40" s="207"/>
      <c r="L40" s="207"/>
      <c r="M40" s="207"/>
      <c r="N40" s="223"/>
      <c r="O40" s="337">
        <f>査読ｼｰﾄ!CN12</f>
        <v>0</v>
      </c>
      <c r="P40" s="338" t="s">
        <v>40</v>
      </c>
      <c r="R40" s="437"/>
      <c r="S40" s="450"/>
      <c r="T40" s="443"/>
      <c r="U40" s="443"/>
      <c r="V40" s="451"/>
      <c r="W40" s="452"/>
      <c r="Z40" s="194"/>
      <c r="AA40" s="194"/>
      <c r="AB40" s="194"/>
      <c r="AC40" s="194"/>
      <c r="AD40" s="194"/>
      <c r="AE40" s="194"/>
    </row>
    <row r="41" ht="15" customHeight="1" spans="2:31">
      <c r="B41" s="234"/>
      <c r="C41" s="235"/>
      <c r="D41" s="236"/>
      <c r="E41" s="230"/>
      <c r="F41" s="238"/>
      <c r="G41" s="239"/>
      <c r="H41" s="207" t="s">
        <v>99</v>
      </c>
      <c r="I41" s="207"/>
      <c r="J41" s="207"/>
      <c r="K41" s="207"/>
      <c r="L41" s="207"/>
      <c r="M41" s="207"/>
      <c r="N41" s="223"/>
      <c r="O41" s="337">
        <f>査読ｼｰﾄ!CQ12</f>
        <v>0</v>
      </c>
      <c r="P41" s="338" t="s">
        <v>40</v>
      </c>
      <c r="R41" s="437"/>
      <c r="S41" s="450" t="s">
        <v>100</v>
      </c>
      <c r="T41" s="443"/>
      <c r="U41" s="443"/>
      <c r="V41" s="451">
        <f>IF(J15="（転記）",0,O46/J15)</f>
        <v>0</v>
      </c>
      <c r="W41" s="452"/>
      <c r="Z41" s="194"/>
      <c r="AA41" s="194"/>
      <c r="AB41" s="194"/>
      <c r="AC41" s="194"/>
      <c r="AD41" s="194"/>
      <c r="AE41" s="194"/>
    </row>
    <row r="42" ht="15" customHeight="1" spans="2:31">
      <c r="B42" s="234"/>
      <c r="C42" s="235"/>
      <c r="D42" s="240"/>
      <c r="E42" s="241" t="s">
        <v>101</v>
      </c>
      <c r="F42" s="242" t="s">
        <v>102</v>
      </c>
      <c r="G42" s="243"/>
      <c r="H42" s="223" t="s">
        <v>103</v>
      </c>
      <c r="I42" s="343"/>
      <c r="J42" s="343"/>
      <c r="K42" s="343"/>
      <c r="L42" s="343"/>
      <c r="M42" s="343"/>
      <c r="N42" s="344"/>
      <c r="O42" s="337">
        <f>査読ｼｰﾄ!CT12</f>
        <v>0</v>
      </c>
      <c r="P42" s="341" t="s">
        <v>40</v>
      </c>
      <c r="R42" s="453"/>
      <c r="S42" s="454"/>
      <c r="T42" s="455"/>
      <c r="U42" s="455"/>
      <c r="V42" s="456"/>
      <c r="W42" s="457"/>
      <c r="Z42" s="194"/>
      <c r="AA42" s="194"/>
      <c r="AB42" s="194"/>
      <c r="AC42" s="194"/>
      <c r="AD42" s="194"/>
      <c r="AE42" s="194"/>
    </row>
    <row r="43" ht="15" customHeight="1" spans="2:31">
      <c r="B43" s="234"/>
      <c r="C43" s="235"/>
      <c r="D43" s="240"/>
      <c r="E43" s="244"/>
      <c r="F43" s="221"/>
      <c r="G43" s="222"/>
      <c r="H43" s="223" t="s">
        <v>104</v>
      </c>
      <c r="I43" s="343"/>
      <c r="J43" s="343"/>
      <c r="K43" s="343"/>
      <c r="L43" s="343"/>
      <c r="M43" s="343"/>
      <c r="N43" s="344"/>
      <c r="O43" s="337">
        <f>査読ｼｰﾄ!CW12</f>
        <v>0</v>
      </c>
      <c r="P43" s="341" t="s">
        <v>40</v>
      </c>
      <c r="R43" s="458"/>
      <c r="S43" s="459"/>
      <c r="T43" s="460"/>
      <c r="U43" s="460"/>
      <c r="V43" s="461"/>
      <c r="W43" s="461"/>
      <c r="Z43" s="194"/>
      <c r="AA43" s="194"/>
      <c r="AB43" s="194"/>
      <c r="AC43" s="194"/>
      <c r="AD43" s="194"/>
      <c r="AE43" s="194"/>
    </row>
    <row r="44" ht="15" customHeight="1" spans="2:31">
      <c r="B44" s="234"/>
      <c r="C44" s="235"/>
      <c r="D44" s="240"/>
      <c r="E44" s="245"/>
      <c r="F44" s="246"/>
      <c r="G44" s="247"/>
      <c r="H44" s="223" t="s">
        <v>105</v>
      </c>
      <c r="I44" s="343"/>
      <c r="J44" s="343"/>
      <c r="K44" s="343"/>
      <c r="L44" s="343"/>
      <c r="M44" s="343"/>
      <c r="N44" s="344"/>
      <c r="O44" s="337">
        <f>査読ｼｰﾄ!CZ12</f>
        <v>0</v>
      </c>
      <c r="P44" s="341" t="s">
        <v>40</v>
      </c>
      <c r="R44" s="458"/>
      <c r="S44" s="459"/>
      <c r="T44" s="460"/>
      <c r="U44" s="460"/>
      <c r="V44" s="461"/>
      <c r="W44" s="461"/>
      <c r="Z44" s="194"/>
      <c r="AA44" s="194"/>
      <c r="AB44" s="194"/>
      <c r="AC44" s="194"/>
      <c r="AD44" s="194"/>
      <c r="AE44" s="194"/>
    </row>
    <row r="45" ht="15" customHeight="1" spans="2:29">
      <c r="B45" s="234"/>
      <c r="C45" s="235"/>
      <c r="D45" s="248"/>
      <c r="E45" s="249"/>
      <c r="F45" s="250"/>
      <c r="G45" s="250"/>
      <c r="H45" s="250" t="s">
        <v>106</v>
      </c>
      <c r="I45" s="345"/>
      <c r="J45" s="346">
        <f>査読ｼｰﾄ!L12</f>
        <v>0</v>
      </c>
      <c r="K45" s="347" t="s">
        <v>107</v>
      </c>
      <c r="L45" s="348"/>
      <c r="M45" s="349"/>
      <c r="N45" s="346">
        <f>査読ｼｰﾄ!L12-(査読ｼｰﾄ!BS12+査読ｼｰﾄ!BV12)</f>
        <v>0</v>
      </c>
      <c r="O45" s="350" t="s">
        <v>108</v>
      </c>
      <c r="P45" s="351"/>
      <c r="Q45" s="462" t="s">
        <v>109</v>
      </c>
      <c r="X45" s="194"/>
      <c r="Y45" s="194"/>
      <c r="Z45" s="194"/>
      <c r="AA45" s="194"/>
      <c r="AB45" s="194"/>
      <c r="AC45" s="194"/>
    </row>
    <row r="46" ht="15" customHeight="1" spans="2:31">
      <c r="B46" s="251"/>
      <c r="C46" s="252"/>
      <c r="D46" s="253" t="s">
        <v>110</v>
      </c>
      <c r="E46" s="254"/>
      <c r="F46" s="254"/>
      <c r="G46" s="254"/>
      <c r="H46" s="254"/>
      <c r="I46" s="254"/>
      <c r="J46" s="254"/>
      <c r="K46" s="254"/>
      <c r="L46" s="254"/>
      <c r="M46" s="352"/>
      <c r="N46" s="353"/>
      <c r="O46" s="354" t="str">
        <f>IF(査読ｼｰﾄ!D41=0,"（転記）",査読ｼｰﾄ!D41)</f>
        <v>（転記）</v>
      </c>
      <c r="P46" s="355" t="s">
        <v>111</v>
      </c>
      <c r="Z46" s="194"/>
      <c r="AA46" s="194"/>
      <c r="AB46" s="194"/>
      <c r="AC46" s="194"/>
      <c r="AD46" s="194"/>
      <c r="AE46" s="194"/>
    </row>
    <row r="47" ht="6.75" customHeight="1" spans="26:31">
      <c r="Z47" s="194"/>
      <c r="AA47" s="194"/>
      <c r="AB47" s="194"/>
      <c r="AC47" s="194"/>
      <c r="AD47" s="194"/>
      <c r="AE47" s="194"/>
    </row>
    <row r="48" ht="21.75" customHeight="1" spans="2:31">
      <c r="B48" s="211" t="s">
        <v>112</v>
      </c>
      <c r="C48" s="212"/>
      <c r="D48" s="212"/>
      <c r="E48" s="212"/>
      <c r="F48" s="255" t="s">
        <v>113</v>
      </c>
      <c r="G48" s="256" t="s">
        <v>114</v>
      </c>
      <c r="H48" s="257"/>
      <c r="I48" s="356"/>
      <c r="J48" s="256" t="s">
        <v>115</v>
      </c>
      <c r="K48" s="356"/>
      <c r="L48" s="256" t="s">
        <v>116</v>
      </c>
      <c r="M48" s="257"/>
      <c r="N48" s="200"/>
      <c r="O48" s="256" t="s">
        <v>117</v>
      </c>
      <c r="P48" s="357"/>
      <c r="Q48" s="463" t="s">
        <v>118</v>
      </c>
      <c r="R48" s="464"/>
      <c r="S48" s="256" t="s">
        <v>119</v>
      </c>
      <c r="T48" s="199"/>
      <c r="U48" s="199"/>
      <c r="V48" s="199"/>
      <c r="W48" s="465"/>
      <c r="Z48" s="194"/>
      <c r="AA48" s="194"/>
      <c r="AB48" s="194"/>
      <c r="AC48" s="194"/>
      <c r="AD48" s="194"/>
      <c r="AE48" s="194"/>
    </row>
    <row r="49" ht="16.5" customHeight="1" spans="2:31">
      <c r="B49" s="218"/>
      <c r="F49" s="258">
        <v>1</v>
      </c>
      <c r="G49" s="259" t="str">
        <f>IF(査読ｼｰﾄ!V17=" ","（転記）",査読ｼｰﾄ!V17)</f>
        <v>（転記）</v>
      </c>
      <c r="H49" s="260" t="s">
        <v>120</v>
      </c>
      <c r="I49" s="260"/>
      <c r="J49" s="358"/>
      <c r="K49" s="359"/>
      <c r="L49" s="360"/>
      <c r="M49" s="361"/>
      <c r="N49" s="362"/>
      <c r="O49" s="363">
        <f>査読ｼｰﾄ!X17</f>
        <v>0</v>
      </c>
      <c r="P49" s="364" t="s">
        <v>40</v>
      </c>
      <c r="Q49" s="466"/>
      <c r="R49" s="467"/>
      <c r="S49" s="468"/>
      <c r="T49" s="469"/>
      <c r="U49" s="469"/>
      <c r="V49" s="100"/>
      <c r="W49" s="470"/>
      <c r="Z49" s="194"/>
      <c r="AA49" s="194"/>
      <c r="AB49" s="194"/>
      <c r="AC49" s="194"/>
      <c r="AD49" s="194"/>
      <c r="AE49" s="194"/>
    </row>
    <row r="50" ht="16.5" customHeight="1" spans="2:31">
      <c r="B50" s="218"/>
      <c r="F50" s="261">
        <v>2</v>
      </c>
      <c r="G50" s="262" t="str">
        <f>IF(査読ｼｰﾄ!V19=" ","（転記）",査読ｼｰﾄ!V19)</f>
        <v>（転記）</v>
      </c>
      <c r="H50" s="263" t="s">
        <v>120</v>
      </c>
      <c r="I50" s="365"/>
      <c r="J50" s="366"/>
      <c r="K50" s="367"/>
      <c r="L50" s="368"/>
      <c r="M50" s="369"/>
      <c r="N50" s="370"/>
      <c r="O50" s="337">
        <f>査読ｼｰﾄ!X19</f>
        <v>0</v>
      </c>
      <c r="P50" s="371" t="s">
        <v>40</v>
      </c>
      <c r="Q50" s="471"/>
      <c r="R50" s="472"/>
      <c r="S50" s="473"/>
      <c r="T50" s="474"/>
      <c r="U50" s="474"/>
      <c r="V50" s="343"/>
      <c r="W50" s="475"/>
      <c r="Z50" s="194"/>
      <c r="AA50" s="194"/>
      <c r="AB50" s="194"/>
      <c r="AC50" s="194"/>
      <c r="AD50" s="194"/>
      <c r="AE50" s="194"/>
    </row>
    <row r="51" ht="16.5" customHeight="1" spans="2:31">
      <c r="B51" s="218"/>
      <c r="F51" s="261">
        <v>3</v>
      </c>
      <c r="G51" s="262" t="str">
        <f>IF(査読ｼｰﾄ!V21=" ","（転記）",査読ｼｰﾄ!V21)</f>
        <v>（転記）</v>
      </c>
      <c r="H51" s="263" t="s">
        <v>120</v>
      </c>
      <c r="I51" s="365"/>
      <c r="J51" s="366"/>
      <c r="K51" s="367"/>
      <c r="L51" s="368"/>
      <c r="M51" s="369"/>
      <c r="N51" s="370"/>
      <c r="O51" s="337">
        <f>査読ｼｰﾄ!X21</f>
        <v>0</v>
      </c>
      <c r="P51" s="371" t="s">
        <v>40</v>
      </c>
      <c r="Q51" s="471"/>
      <c r="R51" s="472"/>
      <c r="S51" s="473"/>
      <c r="T51" s="474"/>
      <c r="U51" s="474"/>
      <c r="V51" s="343"/>
      <c r="W51" s="475"/>
      <c r="Z51" s="194"/>
      <c r="AA51" s="194"/>
      <c r="AB51" s="194"/>
      <c r="AC51" s="194"/>
      <c r="AD51" s="194"/>
      <c r="AE51" s="194"/>
    </row>
    <row r="52" ht="16.5" customHeight="1" spans="2:31">
      <c r="B52" s="218"/>
      <c r="F52" s="261">
        <v>4</v>
      </c>
      <c r="G52" s="262" t="str">
        <f>IF(査読ｼｰﾄ!V23=" ","（転記）",査読ｼｰﾄ!V23)</f>
        <v>（転記）</v>
      </c>
      <c r="H52" s="263" t="s">
        <v>120</v>
      </c>
      <c r="I52" s="365"/>
      <c r="J52" s="366"/>
      <c r="K52" s="367"/>
      <c r="L52" s="368"/>
      <c r="M52" s="369"/>
      <c r="N52" s="370"/>
      <c r="O52" s="337">
        <f>査読ｼｰﾄ!X23</f>
        <v>0</v>
      </c>
      <c r="P52" s="371" t="s">
        <v>40</v>
      </c>
      <c r="Q52" s="471"/>
      <c r="R52" s="472"/>
      <c r="S52" s="473"/>
      <c r="T52" s="474"/>
      <c r="U52" s="474"/>
      <c r="V52" s="343"/>
      <c r="W52" s="475"/>
      <c r="Z52" s="194"/>
      <c r="AA52" s="194"/>
      <c r="AB52" s="194"/>
      <c r="AC52" s="194"/>
      <c r="AD52" s="194"/>
      <c r="AE52" s="194"/>
    </row>
    <row r="53" ht="16.5" customHeight="1" spans="2:31">
      <c r="B53" s="264"/>
      <c r="C53" s="265"/>
      <c r="D53" s="265"/>
      <c r="E53" s="265"/>
      <c r="F53" s="266">
        <v>5</v>
      </c>
      <c r="G53" s="267" t="str">
        <f>IF(査読ｼｰﾄ!V25=" ","（転記）",査読ｼｰﾄ!V25)</f>
        <v>（転記）</v>
      </c>
      <c r="H53" s="268" t="s">
        <v>120</v>
      </c>
      <c r="I53" s="372"/>
      <c r="J53" s="373"/>
      <c r="K53" s="374"/>
      <c r="L53" s="375"/>
      <c r="M53" s="376"/>
      <c r="N53" s="377"/>
      <c r="O53" s="378">
        <f>査読ｼｰﾄ!X25</f>
        <v>0</v>
      </c>
      <c r="P53" s="379" t="s">
        <v>40</v>
      </c>
      <c r="Q53" s="476"/>
      <c r="R53" s="477"/>
      <c r="S53" s="478"/>
      <c r="T53" s="479"/>
      <c r="U53" s="479"/>
      <c r="V53" s="480"/>
      <c r="W53" s="481"/>
      <c r="Z53" s="194"/>
      <c r="AA53" s="194"/>
      <c r="AB53" s="194"/>
      <c r="AC53" s="194"/>
      <c r="AD53" s="194"/>
      <c r="AE53" s="194"/>
    </row>
    <row r="54" ht="6.75" customHeight="1" spans="3:21">
      <c r="C54" s="269"/>
      <c r="G54" s="270"/>
      <c r="H54" s="271"/>
      <c r="I54" s="380"/>
      <c r="J54" s="381"/>
      <c r="K54" s="382"/>
      <c r="L54" s="383"/>
      <c r="M54" s="383"/>
      <c r="N54" s="384"/>
      <c r="O54" s="385"/>
      <c r="P54" s="385"/>
      <c r="Q54" s="385"/>
      <c r="R54" s="482"/>
      <c r="S54" s="483"/>
      <c r="T54" s="483"/>
      <c r="U54" s="483"/>
    </row>
    <row r="55" ht="18" customHeight="1" spans="2:23">
      <c r="B55" s="272" t="s">
        <v>121</v>
      </c>
      <c r="C55" s="273"/>
      <c r="D55" s="274" t="s">
        <v>122</v>
      </c>
      <c r="E55" s="275"/>
      <c r="F55" s="276" t="s">
        <v>123</v>
      </c>
      <c r="G55" s="277"/>
      <c r="H55" s="277"/>
      <c r="I55" s="277"/>
      <c r="J55" s="277"/>
      <c r="K55" s="277"/>
      <c r="L55" s="277"/>
      <c r="M55" s="277"/>
      <c r="N55" s="277"/>
      <c r="O55" s="277"/>
      <c r="P55" s="277"/>
      <c r="Q55" s="277"/>
      <c r="R55" s="277"/>
      <c r="S55" s="277"/>
      <c r="T55" s="277"/>
      <c r="U55" s="484" t="s">
        <v>124</v>
      </c>
      <c r="V55" s="485"/>
      <c r="W55" s="486"/>
    </row>
    <row r="56" ht="18" customHeight="1" spans="2:23">
      <c r="B56" s="278"/>
      <c r="C56" s="279"/>
      <c r="D56" s="280"/>
      <c r="E56" s="281"/>
      <c r="F56" s="282"/>
      <c r="G56" s="283"/>
      <c r="H56" s="283"/>
      <c r="I56" s="283"/>
      <c r="J56" s="283"/>
      <c r="K56" s="283"/>
      <c r="L56" s="283"/>
      <c r="M56" s="283"/>
      <c r="N56" s="283"/>
      <c r="O56" s="283"/>
      <c r="P56" s="283"/>
      <c r="Q56" s="283"/>
      <c r="R56" s="283"/>
      <c r="S56" s="283"/>
      <c r="T56" s="283"/>
      <c r="U56" s="487"/>
      <c r="V56" s="488"/>
      <c r="W56" s="489"/>
    </row>
    <row r="57" ht="18" customHeight="1" spans="2:23">
      <c r="B57" s="278"/>
      <c r="C57" s="279"/>
      <c r="D57" s="284"/>
      <c r="E57" s="285"/>
      <c r="F57" s="282"/>
      <c r="G57" s="283"/>
      <c r="H57" s="283"/>
      <c r="I57" s="283"/>
      <c r="J57" s="283"/>
      <c r="K57" s="283"/>
      <c r="L57" s="283"/>
      <c r="M57" s="283"/>
      <c r="N57" s="283"/>
      <c r="O57" s="283"/>
      <c r="P57" s="283"/>
      <c r="Q57" s="283"/>
      <c r="R57" s="283"/>
      <c r="S57" s="283"/>
      <c r="T57" s="283"/>
      <c r="U57" s="490"/>
      <c r="V57" s="491"/>
      <c r="W57" s="492"/>
    </row>
    <row r="58" ht="18" customHeight="1" spans="2:23">
      <c r="B58" s="286"/>
      <c r="C58" s="287"/>
      <c r="D58" s="288"/>
      <c r="E58" s="289"/>
      <c r="F58" s="290"/>
      <c r="G58" s="291"/>
      <c r="H58" s="291"/>
      <c r="I58" s="291"/>
      <c r="J58" s="291"/>
      <c r="K58" s="291"/>
      <c r="L58" s="291"/>
      <c r="M58" s="291"/>
      <c r="N58" s="291"/>
      <c r="O58" s="291"/>
      <c r="P58" s="291"/>
      <c r="Q58" s="291"/>
      <c r="R58" s="291"/>
      <c r="S58" s="291"/>
      <c r="T58" s="291"/>
      <c r="U58" s="493"/>
      <c r="V58" s="494"/>
      <c r="W58" s="495"/>
    </row>
    <row r="59" s="175" customFormat="1" ht="18" customHeight="1" spans="4:23">
      <c r="D59" s="292" t="s">
        <v>125</v>
      </c>
      <c r="O59" s="386"/>
      <c r="P59" s="386"/>
      <c r="Q59" s="386"/>
      <c r="U59" s="496"/>
      <c r="V59" s="496"/>
      <c r="W59" s="496"/>
    </row>
    <row r="60" ht="13.5" spans="2:23">
      <c r="B60" s="293" t="s">
        <v>126</v>
      </c>
      <c r="C60" s="212"/>
      <c r="D60" s="212"/>
      <c r="E60" s="212"/>
      <c r="F60" s="212"/>
      <c r="G60" s="212"/>
      <c r="H60" s="212"/>
      <c r="I60" s="212"/>
      <c r="J60" s="212"/>
      <c r="K60" s="212"/>
      <c r="L60" s="212"/>
      <c r="M60" s="212"/>
      <c r="N60" s="212"/>
      <c r="O60" s="387"/>
      <c r="P60" s="387"/>
      <c r="Q60" s="387"/>
      <c r="R60" s="212"/>
      <c r="S60" s="212"/>
      <c r="T60" s="212"/>
      <c r="U60" s="497"/>
      <c r="V60" s="497"/>
      <c r="W60" s="498"/>
    </row>
    <row r="61" ht="15.75" customHeight="1" spans="2:23">
      <c r="B61" s="294"/>
      <c r="C61" s="269"/>
      <c r="D61" s="295" t="s">
        <v>127</v>
      </c>
      <c r="E61" s="296" t="s">
        <v>128</v>
      </c>
      <c r="F61" s="269"/>
      <c r="G61" s="269"/>
      <c r="H61" s="269"/>
      <c r="I61" s="352" t="s">
        <v>127</v>
      </c>
      <c r="J61" s="296" t="s">
        <v>129</v>
      </c>
      <c r="K61" s="269"/>
      <c r="L61" s="269"/>
      <c r="M61" s="352" t="s">
        <v>130</v>
      </c>
      <c r="N61" s="296" t="s">
        <v>131</v>
      </c>
      <c r="O61" s="388"/>
      <c r="P61" s="388"/>
      <c r="Q61" s="388"/>
      <c r="R61" s="269"/>
      <c r="S61" s="269"/>
      <c r="T61" s="269"/>
      <c r="U61" s="499"/>
      <c r="V61" s="499"/>
      <c r="W61" s="500"/>
    </row>
  </sheetData>
  <mergeCells count="182">
    <mergeCell ref="T2:W2"/>
    <mergeCell ref="C4:F4"/>
    <mergeCell ref="H4:I4"/>
    <mergeCell ref="K4:M4"/>
    <mergeCell ref="N4:W4"/>
    <mergeCell ref="B6:E6"/>
    <mergeCell ref="F6:H6"/>
    <mergeCell ref="J6:K6"/>
    <mergeCell ref="M6:N6"/>
    <mergeCell ref="O6:S6"/>
    <mergeCell ref="U6:V6"/>
    <mergeCell ref="B7:E7"/>
    <mergeCell ref="F7:I7"/>
    <mergeCell ref="J7:K7"/>
    <mergeCell ref="L7:W7"/>
    <mergeCell ref="D9:G9"/>
    <mergeCell ref="H9:J9"/>
    <mergeCell ref="K9:M9"/>
    <mergeCell ref="N9:W9"/>
    <mergeCell ref="F10:J10"/>
    <mergeCell ref="L10:N10"/>
    <mergeCell ref="O10:P10"/>
    <mergeCell ref="Q10:U10"/>
    <mergeCell ref="V10:W10"/>
    <mergeCell ref="F11:J11"/>
    <mergeCell ref="L11:N11"/>
    <mergeCell ref="O11:P11"/>
    <mergeCell ref="Q11:U11"/>
    <mergeCell ref="V11:W11"/>
    <mergeCell ref="F12:J12"/>
    <mergeCell ref="L12:N12"/>
    <mergeCell ref="O12:P12"/>
    <mergeCell ref="Q12:U12"/>
    <mergeCell ref="V12:W12"/>
    <mergeCell ref="F13:J13"/>
    <mergeCell ref="L13:N13"/>
    <mergeCell ref="O13:P13"/>
    <mergeCell ref="Q13:U13"/>
    <mergeCell ref="V13:W13"/>
    <mergeCell ref="D14:F14"/>
    <mergeCell ref="G14:I14"/>
    <mergeCell ref="K14:M14"/>
    <mergeCell ref="D15:F15"/>
    <mergeCell ref="G15:I15"/>
    <mergeCell ref="K15:M15"/>
    <mergeCell ref="B16:U16"/>
    <mergeCell ref="H17:N17"/>
    <mergeCell ref="T17:U17"/>
    <mergeCell ref="V17:W17"/>
    <mergeCell ref="H18:N18"/>
    <mergeCell ref="T18:U18"/>
    <mergeCell ref="V18:W18"/>
    <mergeCell ref="H19:N19"/>
    <mergeCell ref="T19:U19"/>
    <mergeCell ref="V19:W19"/>
    <mergeCell ref="H20:N20"/>
    <mergeCell ref="T20:U20"/>
    <mergeCell ref="V20:W20"/>
    <mergeCell ref="H21:N21"/>
    <mergeCell ref="T21:U21"/>
    <mergeCell ref="V21:W21"/>
    <mergeCell ref="H22:N22"/>
    <mergeCell ref="T22:U22"/>
    <mergeCell ref="V22:W22"/>
    <mergeCell ref="H23:N23"/>
    <mergeCell ref="T23:U23"/>
    <mergeCell ref="V23:W23"/>
    <mergeCell ref="H24:N24"/>
    <mergeCell ref="T24:U24"/>
    <mergeCell ref="V24:W24"/>
    <mergeCell ref="H25:N25"/>
    <mergeCell ref="T25:U25"/>
    <mergeCell ref="V25:W25"/>
    <mergeCell ref="H26:N26"/>
    <mergeCell ref="T26:U26"/>
    <mergeCell ref="V26:W26"/>
    <mergeCell ref="H27:N27"/>
    <mergeCell ref="T27:U27"/>
    <mergeCell ref="V27:W27"/>
    <mergeCell ref="H28:N28"/>
    <mergeCell ref="S28:U28"/>
    <mergeCell ref="V28:W28"/>
    <mergeCell ref="H29:N29"/>
    <mergeCell ref="H30:N30"/>
    <mergeCell ref="T30:U30"/>
    <mergeCell ref="V30:W30"/>
    <mergeCell ref="H31:N31"/>
    <mergeCell ref="H32:N32"/>
    <mergeCell ref="H33:N33"/>
    <mergeCell ref="H34:N34"/>
    <mergeCell ref="H35:N35"/>
    <mergeCell ref="H36:N36"/>
    <mergeCell ref="H37:N37"/>
    <mergeCell ref="H38:N38"/>
    <mergeCell ref="H39:N39"/>
    <mergeCell ref="H40:N40"/>
    <mergeCell ref="H41:N41"/>
    <mergeCell ref="H42:N42"/>
    <mergeCell ref="H43:N43"/>
    <mergeCell ref="H44:N44"/>
    <mergeCell ref="H45:I45"/>
    <mergeCell ref="K45:M45"/>
    <mergeCell ref="D46:N46"/>
    <mergeCell ref="G48:I48"/>
    <mergeCell ref="J48:K48"/>
    <mergeCell ref="L48:N48"/>
    <mergeCell ref="O48:P48"/>
    <mergeCell ref="Q48:R48"/>
    <mergeCell ref="S48:W48"/>
    <mergeCell ref="H49:I49"/>
    <mergeCell ref="J49:K49"/>
    <mergeCell ref="L49:N49"/>
    <mergeCell ref="Q49:R49"/>
    <mergeCell ref="S49:W49"/>
    <mergeCell ref="H50:I50"/>
    <mergeCell ref="J50:K50"/>
    <mergeCell ref="L50:N50"/>
    <mergeCell ref="Q50:R50"/>
    <mergeCell ref="S50:W50"/>
    <mergeCell ref="H51:I51"/>
    <mergeCell ref="J51:K51"/>
    <mergeCell ref="L51:N51"/>
    <mergeCell ref="Q51:R51"/>
    <mergeCell ref="S51:W51"/>
    <mergeCell ref="H52:I52"/>
    <mergeCell ref="J52:K52"/>
    <mergeCell ref="L52:N52"/>
    <mergeCell ref="Q52:R52"/>
    <mergeCell ref="S52:W52"/>
    <mergeCell ref="H53:I53"/>
    <mergeCell ref="J53:K53"/>
    <mergeCell ref="L53:N53"/>
    <mergeCell ref="Q53:R53"/>
    <mergeCell ref="S53:W53"/>
    <mergeCell ref="U55:W55"/>
    <mergeCell ref="D20:D45"/>
    <mergeCell ref="E17:E19"/>
    <mergeCell ref="E20:E23"/>
    <mergeCell ref="E24:E27"/>
    <mergeCell ref="E28:E31"/>
    <mergeCell ref="E32:E34"/>
    <mergeCell ref="E35:E36"/>
    <mergeCell ref="E37:E41"/>
    <mergeCell ref="E42:E44"/>
    <mergeCell ref="R17:R28"/>
    <mergeCell ref="R30:R42"/>
    <mergeCell ref="S31:S32"/>
    <mergeCell ref="S33:S34"/>
    <mergeCell ref="S35:S36"/>
    <mergeCell ref="S37:S38"/>
    <mergeCell ref="S39:S40"/>
    <mergeCell ref="S41:S42"/>
    <mergeCell ref="T33:U34"/>
    <mergeCell ref="V33:W34"/>
    <mergeCell ref="F37:G41"/>
    <mergeCell ref="F32:G34"/>
    <mergeCell ref="F28:G31"/>
    <mergeCell ref="F35:G36"/>
    <mergeCell ref="T35:U36"/>
    <mergeCell ref="V35:W36"/>
    <mergeCell ref="T37:U38"/>
    <mergeCell ref="V37:W38"/>
    <mergeCell ref="T31:U32"/>
    <mergeCell ref="V31:W32"/>
    <mergeCell ref="T39:U40"/>
    <mergeCell ref="V39:W40"/>
    <mergeCell ref="F42:G44"/>
    <mergeCell ref="B48:E53"/>
    <mergeCell ref="B20:C46"/>
    <mergeCell ref="F24:G27"/>
    <mergeCell ref="T41:U42"/>
    <mergeCell ref="V41:W42"/>
    <mergeCell ref="F20:G23"/>
    <mergeCell ref="B9:C15"/>
    <mergeCell ref="O14:W15"/>
    <mergeCell ref="F17:G19"/>
    <mergeCell ref="D10:E13"/>
    <mergeCell ref="F2:K3"/>
    <mergeCell ref="B55:C58"/>
    <mergeCell ref="D55:E58"/>
    <mergeCell ref="F55:T58"/>
    <mergeCell ref="U56:W58"/>
  </mergeCells>
  <dataValidations count="2">
    <dataValidation type="list" allowBlank="1" showInputMessage="1" showErrorMessage="1" sqref="G4 J4 V13:W13 K10:K13 O10:P13 V10:W12">
      <formula1>"○"</formula1>
    </dataValidation>
    <dataValidation type="list" allowBlank="1" showInputMessage="1" showErrorMessage="1" sqref="D61 I61 M61">
      <formula1>"□, ■"</formula1>
    </dataValidation>
  </dataValidations>
  <pageMargins left="0.78740157480315" right="0.196850393700787" top="0.53" bottom="0.41" header="0.29" footer="0.19"/>
  <pageSetup paperSize="9" scale="94" orientation="portrait" verticalDpi="1200"/>
  <headerFooter alignWithMargins="0">
    <oddHeader>&amp;R&amp;"ＭＳ Ｐ明朝,標準"8201 様式10 B</oddHead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V177"/>
  <sheetViews>
    <sheetView showGridLines="0" view="pageBreakPreview" zoomScaleNormal="100" topLeftCell="A31" workbookViewId="0">
      <selection activeCell="F45" sqref="F45"/>
    </sheetView>
  </sheetViews>
  <sheetFormatPr defaultColWidth="9" defaultRowHeight="13.5"/>
  <cols>
    <col min="1" max="1" width="4.375" style="83" customWidth="1"/>
    <col min="2" max="2" width="5.5" customWidth="1"/>
    <col min="3" max="3" width="31.375" customWidth="1"/>
    <col min="4" max="4" width="7.625" style="83" customWidth="1"/>
    <col min="5" max="5" width="7" style="83" customWidth="1"/>
    <col min="6" max="6" width="23.375" customWidth="1"/>
    <col min="7" max="7" width="7.125" style="83" customWidth="1"/>
    <col min="8" max="8" width="6.25" style="83" customWidth="1"/>
    <col min="9" max="9" width="6.75" style="83" customWidth="1"/>
    <col min="10" max="10" width="7" style="83" customWidth="1"/>
    <col min="11" max="11" width="6" style="83" customWidth="1"/>
    <col min="12" max="12" width="9.25" style="83" customWidth="1"/>
    <col min="13" max="13" width="8" style="83" customWidth="1"/>
    <col min="14" max="14" width="12.75" style="83" customWidth="1"/>
    <col min="15" max="15" width="9.25" style="83" customWidth="1"/>
    <col min="16" max="16" width="8" style="83" customWidth="1"/>
    <col min="17" max="17" width="12.75" style="83" customWidth="1"/>
    <col min="18" max="18" width="9.25" style="83" customWidth="1"/>
    <col min="19" max="19" width="8" style="83" customWidth="1"/>
    <col min="20" max="20" width="12.75" style="83" customWidth="1"/>
  </cols>
  <sheetData>
    <row r="1" ht="11.25" hidden="1" customHeight="1" spans="1:104">
      <c r="A1"/>
      <c r="D1"/>
      <c r="E1"/>
      <c r="G1"/>
      <c r="H1"/>
      <c r="I1"/>
      <c r="J1"/>
      <c r="K1" s="129"/>
      <c r="L1" s="97" t="s">
        <v>132</v>
      </c>
      <c r="M1"/>
      <c r="N1"/>
      <c r="O1" s="97"/>
      <c r="P1"/>
      <c r="Q1"/>
      <c r="R1" s="97"/>
      <c r="S1"/>
      <c r="T1"/>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row>
    <row r="2" ht="11.25" hidden="1" customHeight="1" spans="1:104">
      <c r="A2"/>
      <c r="D2"/>
      <c r="E2"/>
      <c r="G2"/>
      <c r="H2"/>
      <c r="I2"/>
      <c r="J2"/>
      <c r="K2" s="129"/>
      <c r="L2"/>
      <c r="M2"/>
      <c r="N2"/>
      <c r="O2"/>
      <c r="P2"/>
      <c r="Q2"/>
      <c r="R2"/>
      <c r="S2"/>
      <c r="T2"/>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c r="BN2" s="97"/>
      <c r="BO2" s="97"/>
      <c r="BP2" s="97"/>
      <c r="BQ2" s="97"/>
      <c r="BR2" s="97"/>
      <c r="BS2" s="97"/>
      <c r="BT2" s="97"/>
      <c r="BU2" s="97"/>
      <c r="BV2" s="97"/>
      <c r="BW2" s="97"/>
      <c r="BX2" s="97"/>
      <c r="BY2" s="97"/>
      <c r="BZ2" s="97"/>
      <c r="CA2" s="97"/>
      <c r="CB2" s="97"/>
      <c r="CC2" s="97"/>
      <c r="CD2" s="97"/>
      <c r="CE2" s="97"/>
      <c r="CF2" s="97"/>
      <c r="CG2" s="97"/>
      <c r="CH2" s="97"/>
      <c r="CI2" s="97"/>
      <c r="CJ2" s="97"/>
      <c r="CK2" s="97"/>
      <c r="CL2" s="97"/>
      <c r="CM2" s="97"/>
      <c r="CN2" s="97"/>
      <c r="CO2" s="97"/>
      <c r="CP2" s="97"/>
      <c r="CQ2" s="97"/>
      <c r="CR2" s="97"/>
      <c r="CS2" s="97"/>
      <c r="CT2" s="97"/>
      <c r="CU2" s="97"/>
      <c r="CV2" s="97"/>
      <c r="CW2" s="97"/>
      <c r="CX2" s="97"/>
      <c r="CY2" s="97"/>
      <c r="CZ2" s="97"/>
    </row>
    <row r="3" ht="11.25" hidden="1" customHeight="1" spans="1:104">
      <c r="A3"/>
      <c r="D3"/>
      <c r="E3"/>
      <c r="G3"/>
      <c r="H3"/>
      <c r="I3"/>
      <c r="J3"/>
      <c r="K3" s="129"/>
      <c r="L3" s="130" t="s">
        <v>50</v>
      </c>
      <c r="M3" s="131"/>
      <c r="N3" s="131" t="s">
        <v>133</v>
      </c>
      <c r="O3" s="130" t="s">
        <v>50</v>
      </c>
      <c r="P3" s="131"/>
      <c r="Q3" s="131" t="s">
        <v>133</v>
      </c>
      <c r="R3" s="130" t="s">
        <v>50</v>
      </c>
      <c r="S3" s="131"/>
      <c r="T3" s="131" t="s">
        <v>133</v>
      </c>
      <c r="U3" s="130" t="s">
        <v>50</v>
      </c>
      <c r="V3" s="131"/>
      <c r="W3" s="131" t="s">
        <v>133</v>
      </c>
      <c r="X3" s="130" t="s">
        <v>50</v>
      </c>
      <c r="Y3" s="131"/>
      <c r="Z3" s="131" t="s">
        <v>133</v>
      </c>
      <c r="AA3" s="130" t="s">
        <v>50</v>
      </c>
      <c r="AB3" s="131"/>
      <c r="AC3" s="131" t="s">
        <v>133</v>
      </c>
      <c r="AD3" s="130" t="s">
        <v>50</v>
      </c>
      <c r="AE3" s="131"/>
      <c r="AF3" s="131" t="s">
        <v>133</v>
      </c>
      <c r="AG3" s="130" t="s">
        <v>50</v>
      </c>
      <c r="AH3" s="131"/>
      <c r="AI3" s="131" t="s">
        <v>133</v>
      </c>
      <c r="AJ3" s="130" t="s">
        <v>50</v>
      </c>
      <c r="AK3" s="131"/>
      <c r="AL3" s="131" t="s">
        <v>133</v>
      </c>
      <c r="AM3" s="130" t="s">
        <v>50</v>
      </c>
      <c r="AN3" s="131"/>
      <c r="AO3" s="131" t="s">
        <v>133</v>
      </c>
      <c r="AP3" s="130" t="s">
        <v>50</v>
      </c>
      <c r="AQ3" s="131"/>
      <c r="AR3" s="131" t="s">
        <v>133</v>
      </c>
      <c r="AS3" s="130" t="s">
        <v>50</v>
      </c>
      <c r="AT3" s="131"/>
      <c r="AU3" s="131" t="s">
        <v>133</v>
      </c>
      <c r="AV3" s="130" t="s">
        <v>50</v>
      </c>
      <c r="AW3" s="131"/>
      <c r="AX3" s="131" t="s">
        <v>133</v>
      </c>
      <c r="AY3" s="130" t="s">
        <v>50</v>
      </c>
      <c r="AZ3" s="131"/>
      <c r="BA3" s="131" t="s">
        <v>133</v>
      </c>
      <c r="BB3" s="130" t="s">
        <v>50</v>
      </c>
      <c r="BC3" s="131"/>
      <c r="BD3" s="131" t="s">
        <v>133</v>
      </c>
      <c r="BE3" s="130" t="s">
        <v>50</v>
      </c>
      <c r="BF3" s="131"/>
      <c r="BG3" s="131" t="s">
        <v>133</v>
      </c>
      <c r="BH3" s="130" t="s">
        <v>50</v>
      </c>
      <c r="BI3" s="131"/>
      <c r="BJ3" s="131" t="s">
        <v>133</v>
      </c>
      <c r="BK3" s="130" t="s">
        <v>50</v>
      </c>
      <c r="BL3" s="131"/>
      <c r="BM3" s="131" t="s">
        <v>133</v>
      </c>
      <c r="BN3" s="130" t="s">
        <v>50</v>
      </c>
      <c r="BO3" s="131"/>
      <c r="BP3" s="131" t="s">
        <v>133</v>
      </c>
      <c r="BQ3" s="130" t="s">
        <v>50</v>
      </c>
      <c r="BR3" s="131"/>
      <c r="BS3" s="131" t="s">
        <v>133</v>
      </c>
      <c r="BT3" s="130" t="s">
        <v>50</v>
      </c>
      <c r="BU3" s="131"/>
      <c r="BV3" s="131" t="s">
        <v>133</v>
      </c>
      <c r="BW3" s="130" t="s">
        <v>50</v>
      </c>
      <c r="BX3" s="131"/>
      <c r="BY3" s="131" t="s">
        <v>133</v>
      </c>
      <c r="BZ3" s="130" t="s">
        <v>50</v>
      </c>
      <c r="CA3" s="131"/>
      <c r="CB3" s="131" t="s">
        <v>133</v>
      </c>
      <c r="CC3" s="130" t="s">
        <v>50</v>
      </c>
      <c r="CD3" s="131"/>
      <c r="CE3" s="131" t="s">
        <v>133</v>
      </c>
      <c r="CF3" s="130" t="s">
        <v>50</v>
      </c>
      <c r="CG3" s="131"/>
      <c r="CH3" s="131" t="s">
        <v>133</v>
      </c>
      <c r="CI3" s="130" t="s">
        <v>50</v>
      </c>
      <c r="CJ3" s="131"/>
      <c r="CK3" s="131" t="s">
        <v>133</v>
      </c>
      <c r="CL3" s="130" t="s">
        <v>50</v>
      </c>
      <c r="CM3" s="131"/>
      <c r="CN3" s="131" t="s">
        <v>133</v>
      </c>
      <c r="CO3" s="130" t="s">
        <v>50</v>
      </c>
      <c r="CP3" s="131"/>
      <c r="CQ3" s="131" t="s">
        <v>133</v>
      </c>
      <c r="CR3" s="130" t="s">
        <v>50</v>
      </c>
      <c r="CS3" s="131"/>
      <c r="CT3" s="131" t="s">
        <v>133</v>
      </c>
      <c r="CU3" s="130" t="s">
        <v>50</v>
      </c>
      <c r="CV3" s="131"/>
      <c r="CW3" s="131" t="s">
        <v>133</v>
      </c>
      <c r="CX3" s="130" t="s">
        <v>50</v>
      </c>
      <c r="CY3" s="131"/>
      <c r="CZ3" s="131" t="s">
        <v>133</v>
      </c>
    </row>
    <row r="4" ht="11.25" hidden="1" customHeight="1" spans="1:104">
      <c r="A4"/>
      <c r="D4"/>
      <c r="E4"/>
      <c r="G4"/>
      <c r="H4"/>
      <c r="I4"/>
      <c r="J4"/>
      <c r="K4" s="129"/>
      <c r="L4" s="97" t="s">
        <v>134</v>
      </c>
      <c r="M4" s="97"/>
      <c r="N4" s="97">
        <f>IF(ISNUMBER(DCOUNTA(査読範囲,L3,L3:L4)),DCOUNTA(査読範囲,L3,L3:L4),0)</f>
        <v>0</v>
      </c>
      <c r="O4" s="97" t="s">
        <v>135</v>
      </c>
      <c r="P4" s="97"/>
      <c r="Q4" s="97">
        <f>IF(ISNUMBER(DCOUNTA(査読範囲,O3,O3:O4)),DCOUNTA(査読範囲,O3,O3:O4),0)</f>
        <v>0</v>
      </c>
      <c r="R4" s="97" t="s">
        <v>136</v>
      </c>
      <c r="S4" s="97"/>
      <c r="T4" s="97">
        <f>IF(ISNUMBER(DCOUNTA(査読範囲,R3,R3:R4)),DCOUNTA(査読範囲,R3,R3:R4),0)</f>
        <v>0</v>
      </c>
      <c r="U4" s="97" t="s">
        <v>137</v>
      </c>
      <c r="V4" s="97"/>
      <c r="W4" s="97">
        <f>IF(ISNUMBER(DCOUNTA(査読範囲,U3,U3:U4)),DCOUNTA(査読範囲,U3,U3:U4),0)</f>
        <v>0</v>
      </c>
      <c r="X4" s="97" t="s">
        <v>138</v>
      </c>
      <c r="Y4" s="97"/>
      <c r="Z4" s="97">
        <f>IF(ISNUMBER(DCOUNTA(査読範囲,X3,X3:X4)),DCOUNTA(査読範囲,X3,X3:X4),0)</f>
        <v>0</v>
      </c>
      <c r="AA4" s="97" t="s">
        <v>139</v>
      </c>
      <c r="AB4" s="97"/>
      <c r="AC4" s="97">
        <f>IF(ISNUMBER(DCOUNTA(査読範囲,AA3,AA3:AA4)),DCOUNTA(査読範囲,AA3,AA3:AA4),0)</f>
        <v>0</v>
      </c>
      <c r="AD4" s="97" t="s">
        <v>140</v>
      </c>
      <c r="AE4" s="97"/>
      <c r="AF4" s="97">
        <f>IF(ISNUMBER(DCOUNTA(査読範囲,AD3,AD3:AD4)),DCOUNTA(査読範囲,AD3,AD3:AD4),0)</f>
        <v>0</v>
      </c>
      <c r="AG4" s="97" t="s">
        <v>141</v>
      </c>
      <c r="AH4" s="97"/>
      <c r="AI4" s="97">
        <f>IF(ISNUMBER(DCOUNTA(査読範囲,AG3,AG3:AG4)),DCOUNTA(査読範囲,AG3,AG3:AG4),0)</f>
        <v>0</v>
      </c>
      <c r="AJ4" s="97" t="s">
        <v>142</v>
      </c>
      <c r="AK4" s="97"/>
      <c r="AL4" s="97">
        <f>IF(ISNUMBER(DCOUNTA(査読範囲,AJ3,AJ3:AJ4)),DCOUNTA(査読範囲,AJ3,AJ3:AJ4),0)</f>
        <v>0</v>
      </c>
      <c r="AM4" s="97" t="s">
        <v>143</v>
      </c>
      <c r="AN4" s="97"/>
      <c r="AO4" s="97">
        <f>IF(ISNUMBER(DCOUNTA(査読範囲,AM3,AM3:AM4)),DCOUNTA(査読範囲,AM3,AM3:AM4),0)</f>
        <v>0</v>
      </c>
      <c r="AP4" s="97" t="s">
        <v>144</v>
      </c>
      <c r="AQ4" s="97"/>
      <c r="AR4" s="97">
        <f>IF(ISNUMBER(DCOUNTA(査読範囲,AP3,AP3:AP4)),DCOUNTA(査読範囲,AP3,AP3:AP4),0)</f>
        <v>0</v>
      </c>
      <c r="AS4" s="97" t="s">
        <v>145</v>
      </c>
      <c r="AT4" s="97"/>
      <c r="AU4" s="97">
        <f>IF(ISNUMBER(DCOUNTA(査読範囲,AS3,AS3:AS4)),DCOUNTA(査読範囲,AS3,AS3:AS4),0)</f>
        <v>0</v>
      </c>
      <c r="AV4" s="97" t="s">
        <v>146</v>
      </c>
      <c r="AW4" s="97"/>
      <c r="AX4" s="97">
        <f>IF(ISNUMBER(DCOUNTA(査読範囲,AV3,AV3:AV4)),DCOUNTA(査読範囲,AV3,AV3:AV4),0)</f>
        <v>0</v>
      </c>
      <c r="AY4" s="97" t="s">
        <v>147</v>
      </c>
      <c r="AZ4" s="97"/>
      <c r="BA4" s="97">
        <f>IF(ISNUMBER(DCOUNTA(査読範囲,AY3,AY3:AY4)),DCOUNTA(査読範囲,AY3,AY3:AY4),0)</f>
        <v>0</v>
      </c>
      <c r="BB4" s="97" t="s">
        <v>148</v>
      </c>
      <c r="BC4" s="97"/>
      <c r="BD4" s="97">
        <f>IF(ISNUMBER(DCOUNTA(査読範囲,BB3,BB3:BB4)),DCOUNTA(査読範囲,BB3,BB3:BB4),0)</f>
        <v>0</v>
      </c>
      <c r="BE4" s="97" t="s">
        <v>149</v>
      </c>
      <c r="BF4" s="97"/>
      <c r="BG4" s="97">
        <f>IF(ISNUMBER(DCOUNTA(査読範囲,BE3,BE3:BE4)),DCOUNTA(査読範囲,BE3,BE3:BE4),0)</f>
        <v>0</v>
      </c>
      <c r="BH4" s="97" t="s">
        <v>150</v>
      </c>
      <c r="BI4" s="97"/>
      <c r="BJ4" s="97">
        <f>IF(ISNUMBER(DCOUNTA(査読範囲,BH3,BH3:BH4)),DCOUNTA(査読範囲,BH3,BH3:BH4),0)</f>
        <v>0</v>
      </c>
      <c r="BK4" s="97" t="s">
        <v>151</v>
      </c>
      <c r="BL4" s="97"/>
      <c r="BM4" s="97">
        <f>IF(ISNUMBER(DCOUNTA(査読範囲,BK3,BK3:BK4)),DCOUNTA(査読範囲,BK3,BK3:BK4),0)</f>
        <v>0</v>
      </c>
      <c r="BN4" s="97" t="s">
        <v>152</v>
      </c>
      <c r="BO4" s="97"/>
      <c r="BP4" s="97">
        <f>IF(ISNUMBER(DCOUNTA(査読範囲,BN3,BN3:BN4)),DCOUNTA(査読範囲,BN3,BN3:BN4),0)</f>
        <v>0</v>
      </c>
      <c r="BQ4" s="97" t="s">
        <v>153</v>
      </c>
      <c r="BR4" s="97"/>
      <c r="BS4" s="97">
        <f>IF(ISNUMBER(DCOUNTA(査読範囲,BQ3,BQ3:BQ4)),DCOUNTA(査読範囲,BQ3,BQ3:BQ4),0)</f>
        <v>0</v>
      </c>
      <c r="BT4" s="97" t="s">
        <v>154</v>
      </c>
      <c r="BU4" s="97"/>
      <c r="BV4" s="97">
        <f>IF(ISNUMBER(DCOUNTA(査読範囲,BT3,BT3:BT4)),DCOUNTA(査読範囲,BT3,BT3:BT4),0)</f>
        <v>0</v>
      </c>
      <c r="BW4" s="97" t="s">
        <v>155</v>
      </c>
      <c r="BX4" s="97"/>
      <c r="BY4" s="97">
        <f>IF(ISNUMBER(DCOUNTA(査読範囲,BW3,BW3:BW4)),DCOUNTA(査読範囲,BW3,BW3:BW4),0)</f>
        <v>0</v>
      </c>
      <c r="BZ4" s="97" t="s">
        <v>156</v>
      </c>
      <c r="CA4" s="97"/>
      <c r="CB4" s="97">
        <f>IF(ISNUMBER(DCOUNTA(査読範囲,BZ3,BZ3:BZ4)),DCOUNTA(査読範囲,BZ3,BZ3:BZ4),0)</f>
        <v>0</v>
      </c>
      <c r="CC4" s="97" t="s">
        <v>157</v>
      </c>
      <c r="CD4" s="97"/>
      <c r="CE4" s="97">
        <f>IF(ISNUMBER(DCOUNTA(査読範囲,CC3,CC3:CC4)),DCOUNTA(査読範囲,CC3,CC3:CC4),0)</f>
        <v>0</v>
      </c>
      <c r="CF4" s="97" t="s">
        <v>158</v>
      </c>
      <c r="CG4" s="97"/>
      <c r="CH4" s="97">
        <f>IF(ISNUMBER(DCOUNTA(査読範囲,CF3,CF3:CF4)),DCOUNTA(査読範囲,CF3,CF3:CF4),0)</f>
        <v>0</v>
      </c>
      <c r="CI4" s="97" t="s">
        <v>159</v>
      </c>
      <c r="CJ4" s="97"/>
      <c r="CK4" s="97">
        <f>IF(ISNUMBER(DCOUNTA(査読範囲,CI3,CI3:CI4)),DCOUNTA(査読範囲,CI3,CI3:CI4),0)</f>
        <v>0</v>
      </c>
      <c r="CL4" s="97" t="s">
        <v>160</v>
      </c>
      <c r="CM4" s="97"/>
      <c r="CN4" s="97">
        <f>IF(ISNUMBER(DCOUNTA(査読範囲,CL3,CL3:CL4)),DCOUNTA(査読範囲,CL3,CL3:CL4),0)</f>
        <v>0</v>
      </c>
      <c r="CO4" s="97" t="s">
        <v>161</v>
      </c>
      <c r="CP4" s="97"/>
      <c r="CQ4" s="97">
        <f>IF(ISNUMBER(DCOUNTA(査読範囲,CO3,CO3:CO4)),DCOUNTA(査読範囲,CO3,CO3:CO4),0)</f>
        <v>0</v>
      </c>
      <c r="CR4" s="97" t="s">
        <v>162</v>
      </c>
      <c r="CS4" s="97"/>
      <c r="CT4" s="97">
        <f>IF(ISNUMBER(DCOUNTA(査読範囲,CR3,CR3:CR4)),DCOUNTA(査読範囲,CR3,CR3:CR4),0)</f>
        <v>0</v>
      </c>
      <c r="CU4" s="97" t="s">
        <v>163</v>
      </c>
      <c r="CV4" s="97"/>
      <c r="CW4" s="97">
        <f>IF(ISNUMBER(DCOUNTA(査読範囲,CU3,CU3:CU4)),DCOUNTA(査読範囲,CU3,CU3:CU4),0)</f>
        <v>0</v>
      </c>
      <c r="CX4" s="97" t="s">
        <v>164</v>
      </c>
      <c r="CY4" s="97"/>
      <c r="CZ4" s="97">
        <f>IF(ISNUMBER(DCOUNTA(査読範囲,CX3,CX3:CX4)),DCOUNTA(査読範囲,CX3,CX3:CX4),0)</f>
        <v>0</v>
      </c>
    </row>
    <row r="5" ht="11.25" hidden="1" customHeight="1" spans="1:104">
      <c r="A5"/>
      <c r="D5"/>
      <c r="E5"/>
      <c r="G5"/>
      <c r="H5"/>
      <c r="I5"/>
      <c r="J5"/>
      <c r="K5" s="129"/>
      <c r="L5" s="130" t="s">
        <v>50</v>
      </c>
      <c r="M5" s="131"/>
      <c r="N5" s="131" t="s">
        <v>133</v>
      </c>
      <c r="O5" s="130" t="s">
        <v>50</v>
      </c>
      <c r="P5" s="131"/>
      <c r="Q5" s="131" t="s">
        <v>133</v>
      </c>
      <c r="R5" s="130" t="s">
        <v>50</v>
      </c>
      <c r="S5" s="131"/>
      <c r="T5" s="131" t="s">
        <v>133</v>
      </c>
      <c r="U5" s="130" t="s">
        <v>50</v>
      </c>
      <c r="V5" s="131"/>
      <c r="W5" s="131" t="s">
        <v>133</v>
      </c>
      <c r="X5" s="130" t="s">
        <v>50</v>
      </c>
      <c r="Y5" s="131"/>
      <c r="Z5" s="131" t="s">
        <v>133</v>
      </c>
      <c r="AA5" s="130" t="s">
        <v>50</v>
      </c>
      <c r="AB5" s="131"/>
      <c r="AC5" s="131" t="s">
        <v>133</v>
      </c>
      <c r="AD5" s="130" t="s">
        <v>50</v>
      </c>
      <c r="AE5" s="131"/>
      <c r="AF5" s="131" t="s">
        <v>133</v>
      </c>
      <c r="AG5" s="130" t="s">
        <v>50</v>
      </c>
      <c r="AH5" s="131"/>
      <c r="AI5" s="131" t="s">
        <v>133</v>
      </c>
      <c r="AJ5" s="130" t="s">
        <v>50</v>
      </c>
      <c r="AK5" s="131"/>
      <c r="AL5" s="131" t="s">
        <v>133</v>
      </c>
      <c r="AM5" s="130" t="s">
        <v>50</v>
      </c>
      <c r="AN5" s="131"/>
      <c r="AO5" s="131" t="s">
        <v>133</v>
      </c>
      <c r="AP5" s="130" t="s">
        <v>50</v>
      </c>
      <c r="AQ5" s="131"/>
      <c r="AR5" s="131" t="s">
        <v>133</v>
      </c>
      <c r="AS5" s="130" t="s">
        <v>50</v>
      </c>
      <c r="AT5" s="131"/>
      <c r="AU5" s="131" t="s">
        <v>133</v>
      </c>
      <c r="AV5" s="130" t="s">
        <v>50</v>
      </c>
      <c r="AW5" s="131"/>
      <c r="AX5" s="131" t="s">
        <v>133</v>
      </c>
      <c r="AY5" s="130" t="s">
        <v>50</v>
      </c>
      <c r="AZ5" s="131"/>
      <c r="BA5" s="131" t="s">
        <v>133</v>
      </c>
      <c r="BB5" s="130" t="s">
        <v>50</v>
      </c>
      <c r="BC5" s="131"/>
      <c r="BD5" s="131" t="s">
        <v>133</v>
      </c>
      <c r="BE5" s="130" t="s">
        <v>50</v>
      </c>
      <c r="BF5" s="131"/>
      <c r="BG5" s="131" t="s">
        <v>133</v>
      </c>
      <c r="BH5" s="130" t="s">
        <v>50</v>
      </c>
      <c r="BI5" s="131"/>
      <c r="BJ5" s="131" t="s">
        <v>133</v>
      </c>
      <c r="BK5" s="130" t="s">
        <v>50</v>
      </c>
      <c r="BL5" s="131"/>
      <c r="BM5" s="131" t="s">
        <v>133</v>
      </c>
      <c r="BN5" s="130" t="s">
        <v>50</v>
      </c>
      <c r="BO5" s="131"/>
      <c r="BP5" s="131" t="s">
        <v>133</v>
      </c>
      <c r="BQ5" s="130" t="s">
        <v>50</v>
      </c>
      <c r="BR5" s="131"/>
      <c r="BS5" s="131" t="s">
        <v>133</v>
      </c>
      <c r="BT5" s="130" t="s">
        <v>50</v>
      </c>
      <c r="BU5" s="131"/>
      <c r="BV5" s="131" t="s">
        <v>133</v>
      </c>
      <c r="BW5" s="130" t="s">
        <v>50</v>
      </c>
      <c r="BX5" s="131"/>
      <c r="BY5" s="131" t="s">
        <v>133</v>
      </c>
      <c r="BZ5" s="130" t="s">
        <v>50</v>
      </c>
      <c r="CA5" s="131"/>
      <c r="CB5" s="131" t="s">
        <v>133</v>
      </c>
      <c r="CC5" s="130" t="s">
        <v>50</v>
      </c>
      <c r="CD5" s="131"/>
      <c r="CE5" s="131" t="s">
        <v>133</v>
      </c>
      <c r="CF5" s="130" t="s">
        <v>50</v>
      </c>
      <c r="CG5" s="131"/>
      <c r="CH5" s="131" t="s">
        <v>133</v>
      </c>
      <c r="CI5" s="130" t="s">
        <v>50</v>
      </c>
      <c r="CJ5" s="131"/>
      <c r="CK5" s="131" t="s">
        <v>133</v>
      </c>
      <c r="CL5" s="130" t="s">
        <v>50</v>
      </c>
      <c r="CM5" s="131"/>
      <c r="CN5" s="131" t="s">
        <v>133</v>
      </c>
      <c r="CO5" s="130" t="s">
        <v>50</v>
      </c>
      <c r="CP5" s="131"/>
      <c r="CQ5" s="131" t="s">
        <v>133</v>
      </c>
      <c r="CR5" s="130" t="s">
        <v>50</v>
      </c>
      <c r="CS5" s="131"/>
      <c r="CT5" s="131" t="s">
        <v>133</v>
      </c>
      <c r="CU5" s="130" t="s">
        <v>50</v>
      </c>
      <c r="CV5" s="131"/>
      <c r="CW5" s="131" t="s">
        <v>133</v>
      </c>
      <c r="CX5" s="130" t="s">
        <v>50</v>
      </c>
      <c r="CY5" s="131"/>
      <c r="CZ5" s="131" t="s">
        <v>133</v>
      </c>
    </row>
    <row r="6" ht="11.25" hidden="1" customHeight="1" spans="1:104">
      <c r="A6"/>
      <c r="D6"/>
      <c r="E6"/>
      <c r="G6"/>
      <c r="H6"/>
      <c r="I6"/>
      <c r="J6"/>
      <c r="K6" s="129"/>
      <c r="L6" s="97" t="s">
        <v>165</v>
      </c>
      <c r="M6" s="97"/>
      <c r="N6" s="97">
        <f>IF(ISNUMBER(DCOUNTA(査読範囲,L5,L5:L6)),DCOUNTA(査読範囲,L5,L5:L6),0)</f>
        <v>0</v>
      </c>
      <c r="O6" s="97" t="s">
        <v>166</v>
      </c>
      <c r="P6" s="97"/>
      <c r="Q6" s="97">
        <f>IF(ISNUMBER(DCOUNTA(査読範囲,O5,O5:O6)),DCOUNTA(査読範囲,O5,O5:O6),0)</f>
        <v>0</v>
      </c>
      <c r="R6" s="97" t="s">
        <v>167</v>
      </c>
      <c r="S6" s="97"/>
      <c r="T6" s="97">
        <f>IF(ISNUMBER(DCOUNTA(査読範囲,R5,R5:R6)),DCOUNTA(査読範囲,R5,R5:R6),0)</f>
        <v>0</v>
      </c>
      <c r="U6" s="97" t="s">
        <v>168</v>
      </c>
      <c r="V6" s="97"/>
      <c r="W6" s="97">
        <f>IF(ISNUMBER(DCOUNTA(査読範囲,U5,U5:U6)),DCOUNTA(査読範囲,U5,U5:U6),0)</f>
        <v>0</v>
      </c>
      <c r="X6" s="97" t="s">
        <v>169</v>
      </c>
      <c r="Y6" s="97"/>
      <c r="Z6" s="97">
        <f>IF(ISNUMBER(DCOUNTA(査読範囲,X5,X5:X6)),DCOUNTA(査読範囲,X5,X5:X6),0)</f>
        <v>0</v>
      </c>
      <c r="AA6" s="97" t="s">
        <v>170</v>
      </c>
      <c r="AB6" s="97"/>
      <c r="AC6" s="97">
        <f>IF(ISNUMBER(DCOUNTA(査読範囲,AA5,AA5:AA6)),DCOUNTA(査読範囲,AA5,AA5:AA6),0)</f>
        <v>0</v>
      </c>
      <c r="AD6" s="97" t="s">
        <v>171</v>
      </c>
      <c r="AE6" s="97"/>
      <c r="AF6" s="97">
        <f>IF(ISNUMBER(DCOUNTA(査読範囲,AD5,AD5:AD6)),DCOUNTA(査読範囲,AD5,AD5:AD6),0)</f>
        <v>0</v>
      </c>
      <c r="AG6" s="97" t="s">
        <v>172</v>
      </c>
      <c r="AH6" s="97"/>
      <c r="AI6" s="97">
        <f>IF(ISNUMBER(DCOUNTA(査読範囲,AG5,AG5:AG6)),DCOUNTA(査読範囲,AG5,AG5:AG6),0)</f>
        <v>0</v>
      </c>
      <c r="AJ6" s="97" t="s">
        <v>173</v>
      </c>
      <c r="AK6" s="97"/>
      <c r="AL6" s="97">
        <f>IF(ISNUMBER(DCOUNTA(査読範囲,AJ5,AJ5:AJ6)),DCOUNTA(査読範囲,AJ5,AJ5:AJ6),0)</f>
        <v>0</v>
      </c>
      <c r="AM6" s="97" t="s">
        <v>174</v>
      </c>
      <c r="AN6" s="97"/>
      <c r="AO6" s="97">
        <f>IF(ISNUMBER(DCOUNTA(査読範囲,AM5,AM5:AM6)),DCOUNTA(査読範囲,AM5,AM5:AM6),0)</f>
        <v>0</v>
      </c>
      <c r="AP6" s="97" t="s">
        <v>175</v>
      </c>
      <c r="AQ6" s="97"/>
      <c r="AR6" s="97">
        <f>IF(ISNUMBER(DCOUNTA(査読範囲,AP5,AP5:AP6)),DCOUNTA(査読範囲,AP5,AP5:AP6),0)</f>
        <v>0</v>
      </c>
      <c r="AS6" s="97" t="s">
        <v>176</v>
      </c>
      <c r="AT6" s="97"/>
      <c r="AU6" s="97">
        <f>IF(ISNUMBER(DCOUNTA(査読範囲,AS5,AS5:AS6)),DCOUNTA(査読範囲,AS5,AS5:AS6),0)</f>
        <v>0</v>
      </c>
      <c r="AV6" s="97" t="s">
        <v>177</v>
      </c>
      <c r="AW6" s="97"/>
      <c r="AX6" s="97">
        <f>IF(ISNUMBER(DCOUNTA(査読範囲,AV5,AV5:AV6)),DCOUNTA(査読範囲,AV5,AV5:AV6),0)</f>
        <v>0</v>
      </c>
      <c r="AY6" s="97" t="s">
        <v>178</v>
      </c>
      <c r="AZ6" s="97"/>
      <c r="BA6" s="97">
        <f>IF(ISNUMBER(DCOUNTA(査読範囲,AY5,AY5:AY6)),DCOUNTA(査読範囲,AY5,AY5:AY6),0)</f>
        <v>0</v>
      </c>
      <c r="BB6" s="97" t="s">
        <v>179</v>
      </c>
      <c r="BC6" s="97"/>
      <c r="BD6" s="97">
        <f>IF(ISNUMBER(DCOUNTA(査読範囲,BB5,BB5:BB6)),DCOUNTA(査読範囲,BB5,BB5:BB6),0)</f>
        <v>0</v>
      </c>
      <c r="BE6" s="97" t="s">
        <v>180</v>
      </c>
      <c r="BF6" s="97"/>
      <c r="BG6" s="97">
        <f>IF(ISNUMBER(DCOUNTA(査読範囲,BE5,BE5:BE6)),DCOUNTA(査読範囲,BE5,BE5:BE6),0)</f>
        <v>0</v>
      </c>
      <c r="BH6" s="97" t="s">
        <v>181</v>
      </c>
      <c r="BI6" s="97"/>
      <c r="BJ6" s="97">
        <f>IF(ISNUMBER(DCOUNTA(査読範囲,BH5,BH5:BH6)),DCOUNTA(査読範囲,BH5,BH5:BH6),0)</f>
        <v>0</v>
      </c>
      <c r="BK6" s="97" t="s">
        <v>182</v>
      </c>
      <c r="BL6" s="97"/>
      <c r="BM6" s="97">
        <f>IF(ISNUMBER(DCOUNTA(査読範囲,BK5,BK5:BK6)),DCOUNTA(査読範囲,BK5,BK5:BK6),0)</f>
        <v>0</v>
      </c>
      <c r="BN6" s="97" t="s">
        <v>183</v>
      </c>
      <c r="BO6" s="97"/>
      <c r="BP6" s="97">
        <f>IF(ISNUMBER(DCOUNTA(査読範囲,BN5,BN5:BN6)),DCOUNTA(査読範囲,BN5,BN5:BN6),0)</f>
        <v>0</v>
      </c>
      <c r="BQ6" s="97" t="s">
        <v>184</v>
      </c>
      <c r="BR6" s="97"/>
      <c r="BS6" s="97">
        <f>IF(ISNUMBER(DCOUNTA(査読範囲,BQ5,BQ5:BQ6)),DCOUNTA(査読範囲,BQ5,BQ5:BQ6),0)</f>
        <v>0</v>
      </c>
      <c r="BT6" s="97" t="s">
        <v>185</v>
      </c>
      <c r="BU6" s="97"/>
      <c r="BV6" s="97">
        <f>IF(ISNUMBER(DCOUNTA(査読範囲,BT5,BT5:BT6)),DCOUNTA(査読範囲,BT5,BT5:BT6),0)</f>
        <v>0</v>
      </c>
      <c r="BW6" s="97" t="s">
        <v>186</v>
      </c>
      <c r="BX6" s="97"/>
      <c r="BY6" s="97">
        <f>IF(ISNUMBER(DCOUNTA(査読範囲,BW5,BW5:BW6)),DCOUNTA(査読範囲,BW5,BW5:BW6),0)</f>
        <v>0</v>
      </c>
      <c r="BZ6" s="97" t="s">
        <v>187</v>
      </c>
      <c r="CA6" s="97"/>
      <c r="CB6" s="97">
        <f>IF(ISNUMBER(DCOUNTA(査読範囲,BZ5,BZ5:BZ6)),DCOUNTA(査読範囲,BZ5,BZ5:BZ6),0)</f>
        <v>0</v>
      </c>
      <c r="CC6" s="97" t="s">
        <v>188</v>
      </c>
      <c r="CD6" s="97"/>
      <c r="CE6" s="97">
        <f>IF(ISNUMBER(DCOUNTA(査読範囲,CC5,CC5:CC6)),DCOUNTA(査読範囲,CC5,CC5:CC6),0)</f>
        <v>0</v>
      </c>
      <c r="CF6" s="97" t="s">
        <v>189</v>
      </c>
      <c r="CG6" s="97"/>
      <c r="CH6" s="97">
        <f>IF(ISNUMBER(DCOUNTA(査読範囲,CF5,CF5:CF6)),DCOUNTA(査読範囲,CF5,CF5:CF6),0)</f>
        <v>0</v>
      </c>
      <c r="CI6" s="97" t="s">
        <v>190</v>
      </c>
      <c r="CJ6" s="97"/>
      <c r="CK6" s="97">
        <f>IF(ISNUMBER(DCOUNTA(査読範囲,CI5,CI5:CI6)),DCOUNTA(査読範囲,CI5,CI5:CI6),0)</f>
        <v>0</v>
      </c>
      <c r="CL6" s="97" t="s">
        <v>191</v>
      </c>
      <c r="CM6" s="97"/>
      <c r="CN6" s="97">
        <f>IF(ISNUMBER(DCOUNTA(査読範囲,CL5,CL5:CL6)),DCOUNTA(査読範囲,CL5,CL5:CL6),0)</f>
        <v>0</v>
      </c>
      <c r="CO6" s="97" t="s">
        <v>192</v>
      </c>
      <c r="CP6" s="97"/>
      <c r="CQ6" s="97">
        <f>IF(ISNUMBER(DCOUNTA(査読範囲,CO5,CO5:CO6)),DCOUNTA(査読範囲,CO5,CO5:CO6),0)</f>
        <v>0</v>
      </c>
      <c r="CR6" s="97" t="s">
        <v>193</v>
      </c>
      <c r="CS6" s="97"/>
      <c r="CT6" s="97">
        <f>IF(ISNUMBER(DCOUNTA(査読範囲,CR5,CR5:CR6)),DCOUNTA(査読範囲,CR5,CR5:CR6),0)</f>
        <v>0</v>
      </c>
      <c r="CU6" s="97" t="s">
        <v>194</v>
      </c>
      <c r="CV6" s="97"/>
      <c r="CW6" s="97">
        <f>IF(ISNUMBER(DCOUNTA(査読範囲,CU5,CU5:CU6)),DCOUNTA(査読範囲,CU5,CU5:CU6),0)</f>
        <v>0</v>
      </c>
      <c r="CX6" s="97" t="s">
        <v>195</v>
      </c>
      <c r="CY6" s="97"/>
      <c r="CZ6" s="97">
        <f>IF(ISNUMBER(DCOUNTA(査読範囲,CX5,CX5:CX6)),DCOUNTA(査読範囲,CX5,CX5:CX6),0)</f>
        <v>0</v>
      </c>
    </row>
    <row r="7" ht="11.25" hidden="1" customHeight="1" spans="1:104">
      <c r="A7"/>
      <c r="D7"/>
      <c r="E7"/>
      <c r="G7"/>
      <c r="H7"/>
      <c r="I7"/>
      <c r="J7"/>
      <c r="K7" s="129"/>
      <c r="L7" s="130" t="s">
        <v>50</v>
      </c>
      <c r="M7" s="131"/>
      <c r="N7" s="131" t="s">
        <v>133</v>
      </c>
      <c r="O7" s="130" t="s">
        <v>50</v>
      </c>
      <c r="P7" s="131"/>
      <c r="Q7" s="131" t="s">
        <v>133</v>
      </c>
      <c r="R7" s="130" t="s">
        <v>50</v>
      </c>
      <c r="S7" s="131"/>
      <c r="T7" s="131" t="s">
        <v>133</v>
      </c>
      <c r="U7" s="130" t="s">
        <v>50</v>
      </c>
      <c r="V7" s="131"/>
      <c r="W7" s="131" t="s">
        <v>133</v>
      </c>
      <c r="X7" s="130" t="s">
        <v>50</v>
      </c>
      <c r="Y7" s="131"/>
      <c r="Z7" s="131" t="s">
        <v>133</v>
      </c>
      <c r="AA7" s="130" t="s">
        <v>50</v>
      </c>
      <c r="AB7" s="131"/>
      <c r="AC7" s="131" t="s">
        <v>133</v>
      </c>
      <c r="AD7" s="130" t="s">
        <v>50</v>
      </c>
      <c r="AE7" s="131"/>
      <c r="AF7" s="131" t="s">
        <v>133</v>
      </c>
      <c r="AG7" s="130" t="s">
        <v>50</v>
      </c>
      <c r="AH7" s="131"/>
      <c r="AI7" s="131" t="s">
        <v>133</v>
      </c>
      <c r="AJ7" s="130" t="s">
        <v>50</v>
      </c>
      <c r="AK7" s="131"/>
      <c r="AL7" s="131" t="s">
        <v>133</v>
      </c>
      <c r="AM7" s="130" t="s">
        <v>50</v>
      </c>
      <c r="AN7" s="131"/>
      <c r="AO7" s="131" t="s">
        <v>133</v>
      </c>
      <c r="AP7" s="130" t="s">
        <v>50</v>
      </c>
      <c r="AQ7" s="131"/>
      <c r="AR7" s="131" t="s">
        <v>133</v>
      </c>
      <c r="AS7" s="130" t="s">
        <v>50</v>
      </c>
      <c r="AT7" s="131"/>
      <c r="AU7" s="131" t="s">
        <v>133</v>
      </c>
      <c r="AV7" s="130" t="s">
        <v>50</v>
      </c>
      <c r="AW7" s="131"/>
      <c r="AX7" s="131" t="s">
        <v>133</v>
      </c>
      <c r="AY7" s="130" t="s">
        <v>50</v>
      </c>
      <c r="AZ7" s="131"/>
      <c r="BA7" s="131" t="s">
        <v>133</v>
      </c>
      <c r="BB7" s="130" t="s">
        <v>50</v>
      </c>
      <c r="BC7" s="131"/>
      <c r="BD7" s="131" t="s">
        <v>133</v>
      </c>
      <c r="BE7" s="130" t="s">
        <v>50</v>
      </c>
      <c r="BF7" s="131"/>
      <c r="BG7" s="131" t="s">
        <v>133</v>
      </c>
      <c r="BH7" s="130" t="s">
        <v>50</v>
      </c>
      <c r="BI7" s="131"/>
      <c r="BJ7" s="131" t="s">
        <v>133</v>
      </c>
      <c r="BK7" s="130" t="s">
        <v>50</v>
      </c>
      <c r="BL7" s="131"/>
      <c r="BM7" s="131" t="s">
        <v>133</v>
      </c>
      <c r="BN7" s="130" t="s">
        <v>50</v>
      </c>
      <c r="BO7" s="131"/>
      <c r="BP7" s="131" t="s">
        <v>133</v>
      </c>
      <c r="BQ7" s="130" t="s">
        <v>50</v>
      </c>
      <c r="BR7" s="131"/>
      <c r="BS7" s="131" t="s">
        <v>133</v>
      </c>
      <c r="BT7" s="130" t="s">
        <v>50</v>
      </c>
      <c r="BU7" s="131"/>
      <c r="BV7" s="131" t="s">
        <v>133</v>
      </c>
      <c r="BW7" s="130" t="s">
        <v>50</v>
      </c>
      <c r="BX7" s="131"/>
      <c r="BY7" s="131" t="s">
        <v>133</v>
      </c>
      <c r="BZ7" s="130" t="s">
        <v>50</v>
      </c>
      <c r="CA7" s="131"/>
      <c r="CB7" s="131" t="s">
        <v>133</v>
      </c>
      <c r="CC7" s="130" t="s">
        <v>50</v>
      </c>
      <c r="CD7" s="131"/>
      <c r="CE7" s="131" t="s">
        <v>133</v>
      </c>
      <c r="CF7" s="130" t="s">
        <v>50</v>
      </c>
      <c r="CG7" s="131"/>
      <c r="CH7" s="131" t="s">
        <v>133</v>
      </c>
      <c r="CI7" s="130" t="s">
        <v>50</v>
      </c>
      <c r="CJ7" s="131"/>
      <c r="CK7" s="131" t="s">
        <v>133</v>
      </c>
      <c r="CL7" s="130" t="s">
        <v>50</v>
      </c>
      <c r="CM7" s="131"/>
      <c r="CN7" s="131" t="s">
        <v>133</v>
      </c>
      <c r="CO7" s="130" t="s">
        <v>50</v>
      </c>
      <c r="CP7" s="131"/>
      <c r="CQ7" s="131" t="s">
        <v>133</v>
      </c>
      <c r="CR7" s="130" t="s">
        <v>50</v>
      </c>
      <c r="CS7" s="131"/>
      <c r="CT7" s="131" t="s">
        <v>133</v>
      </c>
      <c r="CU7" s="130" t="s">
        <v>50</v>
      </c>
      <c r="CV7" s="131"/>
      <c r="CW7" s="131" t="s">
        <v>133</v>
      </c>
      <c r="CX7" s="130" t="s">
        <v>50</v>
      </c>
      <c r="CY7" s="131"/>
      <c r="CZ7" s="131" t="s">
        <v>133</v>
      </c>
    </row>
    <row r="8" ht="11.25" hidden="1" customHeight="1" spans="1:104">
      <c r="A8"/>
      <c r="D8"/>
      <c r="E8"/>
      <c r="G8"/>
      <c r="H8"/>
      <c r="I8"/>
      <c r="J8"/>
      <c r="K8" s="129"/>
      <c r="L8" s="97" t="s">
        <v>196</v>
      </c>
      <c r="M8" s="97"/>
      <c r="N8" s="97">
        <f>IF(ISNUMBER(DCOUNTA(査読範囲,L7,L7:L8)),DCOUNTA(査読範囲,L7,L7:L8),0)</f>
        <v>0</v>
      </c>
      <c r="O8" s="97" t="s">
        <v>196</v>
      </c>
      <c r="P8" s="97"/>
      <c r="Q8" s="97">
        <f>IF(ISNUMBER(DCOUNTA(査読範囲,O7,O7:O8)),DCOUNTA(査読範囲,O7,O7:O8),0)</f>
        <v>0</v>
      </c>
      <c r="R8" s="97" t="s">
        <v>197</v>
      </c>
      <c r="S8" s="97"/>
      <c r="T8" s="97">
        <f>IF(ISNUMBER(DCOUNTA(査読範囲,R7,R7:R8)),DCOUNTA(査読範囲,R7,R7:R8),0)</f>
        <v>0</v>
      </c>
      <c r="U8" s="97" t="s">
        <v>198</v>
      </c>
      <c r="V8" s="97"/>
      <c r="W8" s="97">
        <f>IF(ISNUMBER(DCOUNTA(査読範囲,U7,U7:U8)),DCOUNTA(査読範囲,U7,U7:U8),0)</f>
        <v>0</v>
      </c>
      <c r="X8" s="97" t="s">
        <v>199</v>
      </c>
      <c r="Y8" s="97"/>
      <c r="Z8" s="97">
        <f>IF(ISNUMBER(DCOUNTA(査読範囲,X7,X7:X8)),DCOUNTA(査読範囲,X7,X7:X8),0)</f>
        <v>0</v>
      </c>
      <c r="AA8" s="97" t="s">
        <v>200</v>
      </c>
      <c r="AB8" s="97"/>
      <c r="AC8" s="97">
        <f>IF(ISNUMBER(DCOUNTA(査読範囲,AA7,AA7:AA8)),DCOUNTA(査読範囲,AA7,AA7:AA8),0)</f>
        <v>0</v>
      </c>
      <c r="AD8" s="97" t="s">
        <v>201</v>
      </c>
      <c r="AE8" s="97"/>
      <c r="AF8" s="97">
        <f>IF(ISNUMBER(DCOUNTA(査読範囲,AD7,AD7:AD8)),DCOUNTA(査読範囲,AD7,AD7:AD8),0)</f>
        <v>0</v>
      </c>
      <c r="AG8" s="97" t="s">
        <v>202</v>
      </c>
      <c r="AH8" s="97"/>
      <c r="AI8" s="97">
        <f>IF(ISNUMBER(DCOUNTA(査読範囲,AG7,AG7:AG8)),DCOUNTA(査読範囲,AG7,AG7:AG8),0)</f>
        <v>0</v>
      </c>
      <c r="AJ8" s="97" t="s">
        <v>203</v>
      </c>
      <c r="AK8" s="97"/>
      <c r="AL8" s="97">
        <f>IF(ISNUMBER(DCOUNTA(査読範囲,AJ7,AJ7:AJ8)),DCOUNTA(査読範囲,AJ7,AJ7:AJ8),0)</f>
        <v>0</v>
      </c>
      <c r="AM8" s="97" t="s">
        <v>204</v>
      </c>
      <c r="AN8" s="97"/>
      <c r="AO8" s="97">
        <f>IF(ISNUMBER(DCOUNTA(査読範囲,AM7,AM7:AM8)),DCOUNTA(査読範囲,AM7,AM7:AM8),0)</f>
        <v>0</v>
      </c>
      <c r="AP8" s="97" t="s">
        <v>205</v>
      </c>
      <c r="AQ8" s="97"/>
      <c r="AR8" s="97">
        <f>IF(ISNUMBER(DCOUNTA(査読範囲,AP7,AP7:AP8)),DCOUNTA(査読範囲,AP7,AP7:AP8),0)</f>
        <v>0</v>
      </c>
      <c r="AS8" s="97" t="s">
        <v>206</v>
      </c>
      <c r="AT8" s="97"/>
      <c r="AU8" s="97">
        <f>IF(ISNUMBER(DCOUNTA(査読範囲,AS7,AS7:AS8)),DCOUNTA(査読範囲,AS7,AS7:AS8),0)</f>
        <v>0</v>
      </c>
      <c r="AV8" s="97" t="s">
        <v>207</v>
      </c>
      <c r="AW8" s="97"/>
      <c r="AX8" s="97">
        <f>IF(ISNUMBER(DCOUNTA(査読範囲,AV7,AV7:AV8)),DCOUNTA(査読範囲,AV7,AV7:AV8),0)</f>
        <v>0</v>
      </c>
      <c r="AY8" s="97" t="s">
        <v>208</v>
      </c>
      <c r="AZ8" s="97"/>
      <c r="BA8" s="97">
        <f>IF(ISNUMBER(DCOUNTA(査読範囲,AY7,AY7:AY8)),DCOUNTA(査読範囲,AY7,AY7:AY8),0)</f>
        <v>0</v>
      </c>
      <c r="BB8" s="97" t="s">
        <v>209</v>
      </c>
      <c r="BC8" s="97"/>
      <c r="BD8" s="97">
        <f>IF(ISNUMBER(DCOUNTA(査読範囲,BB7,BB7:BB8)),DCOUNTA(査読範囲,BB7,BB7:BB8),0)</f>
        <v>0</v>
      </c>
      <c r="BE8" s="97" t="s">
        <v>210</v>
      </c>
      <c r="BF8" s="97"/>
      <c r="BG8" s="97">
        <f>IF(ISNUMBER(DCOUNTA(査読範囲,BE7,BE7:BE8)),DCOUNTA(査読範囲,BE7,BE7:BE8),0)</f>
        <v>0</v>
      </c>
      <c r="BH8" s="97" t="s">
        <v>211</v>
      </c>
      <c r="BI8" s="97"/>
      <c r="BJ8" s="97">
        <f>IF(ISNUMBER(DCOUNTA(査読範囲,BH7,BH7:BH8)),DCOUNTA(査読範囲,BH7,BH7:BH8),0)</f>
        <v>0</v>
      </c>
      <c r="BK8" s="97" t="s">
        <v>212</v>
      </c>
      <c r="BL8" s="97"/>
      <c r="BM8" s="97">
        <f>IF(ISNUMBER(DCOUNTA(査読範囲,BK7,BK7:BK8)),DCOUNTA(査読範囲,BK7,BK7:BK8),0)</f>
        <v>0</v>
      </c>
      <c r="BN8" s="97" t="s">
        <v>213</v>
      </c>
      <c r="BO8" s="97"/>
      <c r="BP8" s="97">
        <f>IF(ISNUMBER(DCOUNTA(査読範囲,BN7,BN7:BN8)),DCOUNTA(査読範囲,BN7,BN7:BN8),0)</f>
        <v>0</v>
      </c>
      <c r="BQ8" s="97" t="s">
        <v>214</v>
      </c>
      <c r="BR8" s="97"/>
      <c r="BS8" s="97">
        <f>IF(ISNUMBER(DCOUNTA(査読範囲,BQ7,BQ7:BQ8)),DCOUNTA(査読範囲,BQ7,BQ7:BQ8),0)</f>
        <v>0</v>
      </c>
      <c r="BT8" s="97" t="s">
        <v>215</v>
      </c>
      <c r="BU8" s="97"/>
      <c r="BV8" s="97">
        <f>IF(ISNUMBER(DCOUNTA(査読範囲,BT7,BT7:BT8)),DCOUNTA(査読範囲,BT7,BT7:BT8),0)</f>
        <v>0</v>
      </c>
      <c r="BW8" s="97" t="s">
        <v>216</v>
      </c>
      <c r="BX8" s="97"/>
      <c r="BY8" s="97">
        <f>IF(ISNUMBER(DCOUNTA(査読範囲,BW7,BW7:BW8)),DCOUNTA(査読範囲,BW7,BW7:BW8),0)</f>
        <v>0</v>
      </c>
      <c r="BZ8" s="97" t="s">
        <v>217</v>
      </c>
      <c r="CA8" s="97"/>
      <c r="CB8" s="97">
        <f>IF(ISNUMBER(DCOUNTA(査読範囲,BZ7,BZ7:BZ8)),DCOUNTA(査読範囲,BZ7,BZ7:BZ8),0)</f>
        <v>0</v>
      </c>
      <c r="CC8" s="97" t="s">
        <v>218</v>
      </c>
      <c r="CD8" s="97"/>
      <c r="CE8" s="97">
        <f>IF(ISNUMBER(DCOUNTA(査読範囲,CC7,CC7:CC8)),DCOUNTA(査読範囲,CC7,CC7:CC8),0)</f>
        <v>0</v>
      </c>
      <c r="CF8" s="97" t="s">
        <v>219</v>
      </c>
      <c r="CG8" s="97"/>
      <c r="CH8" s="97">
        <f>IF(ISNUMBER(DCOUNTA(査読範囲,CF7,CF7:CF8)),DCOUNTA(査読範囲,CF7,CF7:CF8),0)</f>
        <v>0</v>
      </c>
      <c r="CI8" s="97" t="s">
        <v>220</v>
      </c>
      <c r="CJ8" s="97"/>
      <c r="CK8" s="97">
        <f>IF(ISNUMBER(DCOUNTA(査読範囲,CI7,CI7:CI8)),DCOUNTA(査読範囲,CI7,CI7:CI8),0)</f>
        <v>0</v>
      </c>
      <c r="CL8" s="97" t="s">
        <v>221</v>
      </c>
      <c r="CM8" s="97"/>
      <c r="CN8" s="97">
        <f>IF(ISNUMBER(DCOUNTA(査読範囲,CL7,CL7:CL8)),DCOUNTA(査読範囲,CL7,CL7:CL8),0)</f>
        <v>0</v>
      </c>
      <c r="CO8" s="97" t="s">
        <v>222</v>
      </c>
      <c r="CP8" s="97"/>
      <c r="CQ8" s="97">
        <f>IF(ISNUMBER(DCOUNTA(査読範囲,CO7,CO7:CO8)),DCOUNTA(査読範囲,CO7,CO7:CO8),0)</f>
        <v>0</v>
      </c>
      <c r="CR8" s="97" t="s">
        <v>223</v>
      </c>
      <c r="CS8" s="97"/>
      <c r="CT8" s="97">
        <f>IF(ISNUMBER(DCOUNTA(査読範囲,CR7,CR7:CR8)),DCOUNTA(査読範囲,CR7,CR7:CR8),0)</f>
        <v>0</v>
      </c>
      <c r="CU8" s="97" t="s">
        <v>224</v>
      </c>
      <c r="CV8" s="97"/>
      <c r="CW8" s="97">
        <f>IF(ISNUMBER(DCOUNTA(査読範囲,CU7,CU7:CU8)),DCOUNTA(査読範囲,CU7,CU7:CU8),0)</f>
        <v>0</v>
      </c>
      <c r="CX8" s="97" t="s">
        <v>225</v>
      </c>
      <c r="CY8" s="97"/>
      <c r="CZ8" s="97">
        <f>IF(ISNUMBER(DCOUNTA(査読範囲,CX7,CX7:CX8)),DCOUNTA(査読範囲,CX7,CX7:CX8),0)</f>
        <v>0</v>
      </c>
    </row>
    <row r="9" ht="11.25" hidden="1" customHeight="1" spans="1:104">
      <c r="A9"/>
      <c r="D9"/>
      <c r="E9"/>
      <c r="G9"/>
      <c r="H9"/>
      <c r="I9"/>
      <c r="J9"/>
      <c r="K9" s="129"/>
      <c r="L9" s="130" t="s">
        <v>50</v>
      </c>
      <c r="M9" s="131"/>
      <c r="N9" s="131" t="s">
        <v>133</v>
      </c>
      <c r="O9" s="130" t="s">
        <v>50</v>
      </c>
      <c r="P9" s="131"/>
      <c r="Q9" s="131" t="s">
        <v>133</v>
      </c>
      <c r="R9" s="130" t="s">
        <v>50</v>
      </c>
      <c r="S9" s="131"/>
      <c r="T9" s="131" t="s">
        <v>133</v>
      </c>
      <c r="U9" s="130" t="s">
        <v>50</v>
      </c>
      <c r="V9" s="131"/>
      <c r="W9" s="131" t="s">
        <v>133</v>
      </c>
      <c r="X9" s="130" t="s">
        <v>50</v>
      </c>
      <c r="Y9" s="131"/>
      <c r="Z9" s="131" t="s">
        <v>133</v>
      </c>
      <c r="AA9" s="130" t="s">
        <v>50</v>
      </c>
      <c r="AB9" s="131"/>
      <c r="AC9" s="131" t="s">
        <v>133</v>
      </c>
      <c r="AD9" s="130" t="s">
        <v>50</v>
      </c>
      <c r="AE9" s="131"/>
      <c r="AF9" s="131" t="s">
        <v>133</v>
      </c>
      <c r="AG9" s="130" t="s">
        <v>50</v>
      </c>
      <c r="AH9" s="131"/>
      <c r="AI9" s="131" t="s">
        <v>133</v>
      </c>
      <c r="AJ9" s="130" t="s">
        <v>50</v>
      </c>
      <c r="AK9" s="131"/>
      <c r="AL9" s="131" t="s">
        <v>133</v>
      </c>
      <c r="AM9" s="130" t="s">
        <v>50</v>
      </c>
      <c r="AN9" s="131"/>
      <c r="AO9" s="131" t="s">
        <v>133</v>
      </c>
      <c r="AP9" s="130" t="s">
        <v>50</v>
      </c>
      <c r="AQ9" s="131"/>
      <c r="AR9" s="131" t="s">
        <v>133</v>
      </c>
      <c r="AS9" s="130" t="s">
        <v>50</v>
      </c>
      <c r="AT9" s="131"/>
      <c r="AU9" s="131" t="s">
        <v>133</v>
      </c>
      <c r="AV9" s="130" t="s">
        <v>50</v>
      </c>
      <c r="AW9" s="131"/>
      <c r="AX9" s="131" t="s">
        <v>133</v>
      </c>
      <c r="AY9" s="130" t="s">
        <v>50</v>
      </c>
      <c r="AZ9" s="131"/>
      <c r="BA9" s="131" t="s">
        <v>133</v>
      </c>
      <c r="BB9" s="130" t="s">
        <v>50</v>
      </c>
      <c r="BC9" s="131"/>
      <c r="BD9" s="131" t="s">
        <v>133</v>
      </c>
      <c r="BE9" s="130" t="s">
        <v>50</v>
      </c>
      <c r="BF9" s="131"/>
      <c r="BG9" s="131" t="s">
        <v>133</v>
      </c>
      <c r="BH9" s="130" t="s">
        <v>50</v>
      </c>
      <c r="BI9" s="131"/>
      <c r="BJ9" s="131" t="s">
        <v>133</v>
      </c>
      <c r="BK9" s="130" t="s">
        <v>50</v>
      </c>
      <c r="BL9" s="131"/>
      <c r="BM9" s="131" t="s">
        <v>133</v>
      </c>
      <c r="BN9" s="130" t="s">
        <v>50</v>
      </c>
      <c r="BO9" s="131"/>
      <c r="BP9" s="131" t="s">
        <v>133</v>
      </c>
      <c r="BQ9" s="130" t="s">
        <v>50</v>
      </c>
      <c r="BR9" s="131"/>
      <c r="BS9" s="131" t="s">
        <v>133</v>
      </c>
      <c r="BT9" s="130" t="s">
        <v>50</v>
      </c>
      <c r="BU9" s="131"/>
      <c r="BV9" s="131" t="s">
        <v>133</v>
      </c>
      <c r="BW9" s="130" t="s">
        <v>50</v>
      </c>
      <c r="BX9" s="131"/>
      <c r="BY9" s="131" t="s">
        <v>133</v>
      </c>
      <c r="BZ9" s="130" t="s">
        <v>50</v>
      </c>
      <c r="CA9" s="131"/>
      <c r="CB9" s="131" t="s">
        <v>133</v>
      </c>
      <c r="CC9" s="130" t="s">
        <v>50</v>
      </c>
      <c r="CD9" s="131"/>
      <c r="CE9" s="131" t="s">
        <v>133</v>
      </c>
      <c r="CF9" s="130" t="s">
        <v>50</v>
      </c>
      <c r="CG9" s="131"/>
      <c r="CH9" s="131" t="s">
        <v>133</v>
      </c>
      <c r="CI9" s="130" t="s">
        <v>50</v>
      </c>
      <c r="CJ9" s="131"/>
      <c r="CK9" s="131" t="s">
        <v>133</v>
      </c>
      <c r="CL9" s="130" t="s">
        <v>50</v>
      </c>
      <c r="CM9" s="131"/>
      <c r="CN9" s="131" t="s">
        <v>133</v>
      </c>
      <c r="CO9" s="130" t="s">
        <v>50</v>
      </c>
      <c r="CP9" s="131"/>
      <c r="CQ9" s="131" t="s">
        <v>133</v>
      </c>
      <c r="CR9" s="130" t="s">
        <v>50</v>
      </c>
      <c r="CS9" s="131"/>
      <c r="CT9" s="131" t="s">
        <v>133</v>
      </c>
      <c r="CU9" s="130" t="s">
        <v>50</v>
      </c>
      <c r="CV9" s="131"/>
      <c r="CW9" s="131" t="s">
        <v>133</v>
      </c>
      <c r="CX9" s="130" t="s">
        <v>50</v>
      </c>
      <c r="CY9" s="131"/>
      <c r="CZ9" s="131" t="s">
        <v>133</v>
      </c>
    </row>
    <row r="10" ht="11.25" hidden="1" customHeight="1" spans="1:104">
      <c r="A10"/>
      <c r="D10"/>
      <c r="E10"/>
      <c r="G10"/>
      <c r="H10"/>
      <c r="I10"/>
      <c r="J10"/>
      <c r="K10" s="129"/>
      <c r="L10" s="97" t="s">
        <v>226</v>
      </c>
      <c r="M10" s="97"/>
      <c r="N10" s="132"/>
      <c r="O10" s="97" t="s">
        <v>227</v>
      </c>
      <c r="P10" s="97"/>
      <c r="Q10" s="132"/>
      <c r="R10" s="97" t="s">
        <v>228</v>
      </c>
      <c r="S10" s="97"/>
      <c r="T10" s="132"/>
      <c r="U10" s="97" t="s">
        <v>229</v>
      </c>
      <c r="V10" s="97"/>
      <c r="W10" s="97">
        <f>IF(ISNUMBER(DCOUNTA(査読範囲,U9,U9:U10)),DCOUNTA(査読範囲,U9,U9:U10),0)</f>
        <v>0</v>
      </c>
      <c r="X10" s="97" t="s">
        <v>230</v>
      </c>
      <c r="Y10" s="97"/>
      <c r="Z10" s="97">
        <f>IF(ISNUMBER(DCOUNTA(査読範囲,X9,X9:X10)),DCOUNTA(査読範囲,X9,X9:X10),0)</f>
        <v>0</v>
      </c>
      <c r="AA10" s="97" t="s">
        <v>231</v>
      </c>
      <c r="AB10" s="97"/>
      <c r="AC10" s="97">
        <f>IF(ISNUMBER(DCOUNTA(査読範囲,AA9,AA9:AA10)),DCOUNTA(査読範囲,AA9,AA9:AA10),0)</f>
        <v>0</v>
      </c>
      <c r="AD10" s="97" t="s">
        <v>232</v>
      </c>
      <c r="AE10" s="97"/>
      <c r="AF10" s="97">
        <f>IF(ISNUMBER(DCOUNTA(査読範囲,AD9,AD9:AD10)),DCOUNTA(査読範囲,AD9,AD9:AD10),0)</f>
        <v>0</v>
      </c>
      <c r="AG10" s="97" t="s">
        <v>233</v>
      </c>
      <c r="AH10" s="97"/>
      <c r="AI10" s="97">
        <f>IF(ISNUMBER(DCOUNTA(査読範囲,AG9,AG9:AG10)),DCOUNTA(査読範囲,AG9,AG9:AG10),0)</f>
        <v>0</v>
      </c>
      <c r="AJ10" s="97" t="s">
        <v>234</v>
      </c>
      <c r="AK10" s="97"/>
      <c r="AL10" s="97">
        <f>IF(ISNUMBER(DCOUNTA(査読範囲,AJ9,AJ9:AJ10)),DCOUNTA(査読範囲,AJ9,AJ9:AJ10),0)</f>
        <v>0</v>
      </c>
      <c r="AM10" s="97" t="s">
        <v>235</v>
      </c>
      <c r="AN10" s="97"/>
      <c r="AO10" s="97">
        <f>IF(ISNUMBER(DCOUNTA(査読範囲,AM9,AM9:AM10)),DCOUNTA(査読範囲,AM9,AM9:AM10),0)</f>
        <v>0</v>
      </c>
      <c r="AP10" s="97" t="s">
        <v>236</v>
      </c>
      <c r="AQ10" s="97"/>
      <c r="AR10" s="97">
        <f>IF(ISNUMBER(DCOUNTA(査読範囲,AP9,AP9:AP10)),DCOUNTA(査読範囲,AP9,AP9:AP10),0)</f>
        <v>0</v>
      </c>
      <c r="AS10" s="97" t="s">
        <v>237</v>
      </c>
      <c r="AT10" s="97"/>
      <c r="AU10" s="97">
        <f>IF(ISNUMBER(DCOUNTA(査読範囲,AS9,AS9:AS10)),DCOUNTA(査読範囲,AS9,AS9:AS10),0)</f>
        <v>0</v>
      </c>
      <c r="AV10" s="97" t="s">
        <v>238</v>
      </c>
      <c r="AW10" s="97"/>
      <c r="AX10" s="97">
        <f>IF(ISNUMBER(DCOUNTA(査読範囲,AV9,AV9:AV10)),DCOUNTA(査読範囲,AV9,AV9:AV10),0)</f>
        <v>0</v>
      </c>
      <c r="AY10" s="97" t="s">
        <v>239</v>
      </c>
      <c r="AZ10" s="97"/>
      <c r="BA10" s="97">
        <f>IF(ISNUMBER(DCOUNTA(査読範囲,AY9,AY9:AY10)),DCOUNTA(査読範囲,AY9,AY9:AY10),0)</f>
        <v>0</v>
      </c>
      <c r="BB10" s="97" t="s">
        <v>240</v>
      </c>
      <c r="BC10" s="97"/>
      <c r="BD10" s="97">
        <f>IF(ISNUMBER(DCOUNTA(査読範囲,BB9,BB9:BB10)),DCOUNTA(査読範囲,BB9,BB9:BB10),0)</f>
        <v>0</v>
      </c>
      <c r="BE10" s="97" t="s">
        <v>241</v>
      </c>
      <c r="BF10" s="97"/>
      <c r="BG10" s="97">
        <f>IF(ISNUMBER(DCOUNTA(査読範囲,BE9,BE9:BE10)),DCOUNTA(査読範囲,BE9,BE9:BE10),0)</f>
        <v>0</v>
      </c>
      <c r="BH10" s="97" t="s">
        <v>242</v>
      </c>
      <c r="BI10" s="97"/>
      <c r="BJ10" s="97">
        <f>IF(ISNUMBER(DCOUNTA(査読範囲,BH9,BH9:BH10)),DCOUNTA(査読範囲,BH9,BH9:BH10),0)</f>
        <v>0</v>
      </c>
      <c r="BK10" s="97" t="s">
        <v>243</v>
      </c>
      <c r="BL10" s="97"/>
      <c r="BM10" s="97">
        <f>IF(ISNUMBER(DCOUNTA(査読範囲,BK9,BK9:BK10)),DCOUNTA(査読範囲,BK9,BK9:BK10),0)</f>
        <v>0</v>
      </c>
      <c r="BN10" s="97" t="s">
        <v>244</v>
      </c>
      <c r="BO10" s="97"/>
      <c r="BP10" s="97">
        <f>IF(ISNUMBER(DCOUNTA(査読範囲,BN9,BN9:BN10)),DCOUNTA(査読範囲,BN9,BN9:BN10),0)</f>
        <v>0</v>
      </c>
      <c r="BQ10" s="97" t="s">
        <v>245</v>
      </c>
      <c r="BR10" s="97"/>
      <c r="BS10" s="97">
        <f>IF(ISNUMBER(DCOUNTA(査読範囲,BQ9,BQ9:BQ10)),DCOUNTA(査読範囲,BQ9,BQ9:BQ10),0)</f>
        <v>0</v>
      </c>
      <c r="BT10" s="97" t="s">
        <v>246</v>
      </c>
      <c r="BU10" s="97"/>
      <c r="BV10" s="161">
        <f>IF(ISNUMBER(DCOUNTA(査読範囲,BT9,BT9:BT10)),DCOUNTA(査読範囲,BT9,BT9:BT10),0)</f>
        <v>0</v>
      </c>
      <c r="BW10" s="97" t="s">
        <v>247</v>
      </c>
      <c r="BX10" s="97"/>
      <c r="BY10" s="161">
        <f>IF(ISNUMBER(DCOUNTA(査読範囲,BW9,BW9:BW10)),DCOUNTA(査読範囲,BW9,BW9:BW10),0)</f>
        <v>0</v>
      </c>
      <c r="BZ10" s="97" t="s">
        <v>248</v>
      </c>
      <c r="CA10" s="97"/>
      <c r="CB10" s="97">
        <f>IF(ISNUMBER(DCOUNTA(査読範囲,BZ9,BZ9:BZ10)),DCOUNTA(査読範囲,BZ9,BZ9:BZ10),0)</f>
        <v>0</v>
      </c>
      <c r="CC10" s="97" t="s">
        <v>249</v>
      </c>
      <c r="CD10" s="97"/>
      <c r="CE10" s="97">
        <f>IF(ISNUMBER(DCOUNTA(査読範囲,CC9,CC9:CC10)),DCOUNTA(査読範囲,CC9,CC9:CC10),0)</f>
        <v>0</v>
      </c>
      <c r="CF10" s="97" t="s">
        <v>250</v>
      </c>
      <c r="CG10" s="97"/>
      <c r="CH10" s="161">
        <f>IF(ISNUMBER(DCOUNTA(査読範囲,CF9,CF9:CF10)),DCOUNTA(査読範囲,CF9,CF9:CF10),0)</f>
        <v>0</v>
      </c>
      <c r="CI10" s="97" t="s">
        <v>251</v>
      </c>
      <c r="CJ10" s="97"/>
      <c r="CK10" s="161">
        <f>IF(ISNUMBER(DCOUNTA(査読範囲,CI9,CI9:CI10)),DCOUNTA(査読範囲,CI9,CI9:CI10),0)</f>
        <v>0</v>
      </c>
      <c r="CL10" s="97" t="s">
        <v>252</v>
      </c>
      <c r="CM10" s="97"/>
      <c r="CN10" s="97">
        <f>IF(ISNUMBER(DCOUNTA(査読範囲,CL9,CL9:CL10)),DCOUNTA(査読範囲,CL9,CL9:CL10),0)</f>
        <v>0</v>
      </c>
      <c r="CO10" s="97" t="s">
        <v>253</v>
      </c>
      <c r="CP10" s="97"/>
      <c r="CQ10" s="97">
        <f>IF(ISNUMBER(DCOUNTA(査読範囲,CO9,CO9:CO10)),DCOUNTA(査読範囲,CO9,CO9:CO10),0)</f>
        <v>0</v>
      </c>
      <c r="CR10" s="97" t="s">
        <v>254</v>
      </c>
      <c r="CS10" s="97"/>
      <c r="CT10" s="97">
        <f>IF(ISNUMBER(DCOUNTA(査読範囲,CR9,CR9:CR10)),DCOUNTA(査読範囲,CR9,CR9:CR10),0)</f>
        <v>0</v>
      </c>
      <c r="CU10" s="97" t="s">
        <v>255</v>
      </c>
      <c r="CV10" s="97"/>
      <c r="CW10" s="161">
        <f>IF(ISNUMBER(DCOUNTA(査読範囲,CU9,CU9:CU10)),DCOUNTA(査読範囲,CU9,CU9:CU10),0)</f>
        <v>0</v>
      </c>
      <c r="CX10" s="97" t="s">
        <v>256</v>
      </c>
      <c r="CY10" s="97"/>
      <c r="CZ10" s="97">
        <f>IF(ISNUMBER(DCOUNTA(査読範囲,CX9,CX9:CX10)),DCOUNTA(査読範囲,CX9,CX9:CX10),0)</f>
        <v>0</v>
      </c>
    </row>
    <row r="11" ht="11.25" hidden="1" customHeight="1" spans="1:104">
      <c r="A11"/>
      <c r="D11"/>
      <c r="E11"/>
      <c r="G11"/>
      <c r="H11"/>
      <c r="I11"/>
      <c r="J11"/>
      <c r="K11" s="129"/>
      <c r="L11" s="97" t="s">
        <v>257</v>
      </c>
      <c r="M11" s="97"/>
      <c r="N11" s="131" t="s">
        <v>258</v>
      </c>
      <c r="O11" s="97"/>
      <c r="P11" s="97"/>
      <c r="Q11" s="131" t="s">
        <v>259</v>
      </c>
      <c r="R11" s="97"/>
      <c r="S11" s="97"/>
      <c r="T11" s="131" t="s">
        <v>260</v>
      </c>
      <c r="U11" s="97"/>
      <c r="V11" s="97"/>
      <c r="W11" s="131" t="s">
        <v>261</v>
      </c>
      <c r="X11" s="97"/>
      <c r="Y11" s="97"/>
      <c r="Z11" s="131" t="s">
        <v>262</v>
      </c>
      <c r="AA11" s="97"/>
      <c r="AB11" s="97"/>
      <c r="AC11" s="131" t="s">
        <v>263</v>
      </c>
      <c r="AD11" s="97"/>
      <c r="AE11" s="97"/>
      <c r="AF11" s="131" t="s">
        <v>264</v>
      </c>
      <c r="AG11" s="97" t="s">
        <v>257</v>
      </c>
      <c r="AH11" s="97"/>
      <c r="AI11" s="131" t="s">
        <v>265</v>
      </c>
      <c r="AJ11" s="97"/>
      <c r="AK11" s="97"/>
      <c r="AL11" s="131" t="s">
        <v>266</v>
      </c>
      <c r="AM11" s="97"/>
      <c r="AN11" s="97"/>
      <c r="AO11" s="131" t="s">
        <v>267</v>
      </c>
      <c r="AP11" s="97"/>
      <c r="AQ11" s="97"/>
      <c r="AR11" s="131" t="s">
        <v>268</v>
      </c>
      <c r="AS11" s="97"/>
      <c r="AT11" s="97"/>
      <c r="AU11" s="131" t="s">
        <v>269</v>
      </c>
      <c r="AV11" s="97"/>
      <c r="AW11" s="97"/>
      <c r="AX11" s="131" t="s">
        <v>270</v>
      </c>
      <c r="AY11" s="97"/>
      <c r="AZ11" s="97"/>
      <c r="BA11" s="131" t="s">
        <v>271</v>
      </c>
      <c r="BB11" s="97"/>
      <c r="BC11" s="97"/>
      <c r="BD11" s="131" t="s">
        <v>272</v>
      </c>
      <c r="BE11" s="97"/>
      <c r="BF11" s="97"/>
      <c r="BG11" s="131" t="s">
        <v>273</v>
      </c>
      <c r="BH11" s="97"/>
      <c r="BI11" s="97"/>
      <c r="BJ11" s="131" t="s">
        <v>274</v>
      </c>
      <c r="BK11" s="97"/>
      <c r="BL11" s="97"/>
      <c r="BM11" s="131" t="s">
        <v>275</v>
      </c>
      <c r="BN11" s="97"/>
      <c r="BO11" s="97"/>
      <c r="BP11" s="131" t="s">
        <v>276</v>
      </c>
      <c r="BQ11" s="97"/>
      <c r="BR11" s="97"/>
      <c r="BS11" s="131" t="s">
        <v>277</v>
      </c>
      <c r="BT11" s="97"/>
      <c r="BU11" s="97"/>
      <c r="BV11" s="131" t="s">
        <v>278</v>
      </c>
      <c r="BW11" s="97"/>
      <c r="BX11" s="97"/>
      <c r="BY11" s="131" t="s">
        <v>279</v>
      </c>
      <c r="BZ11" s="97"/>
      <c r="CA11" s="97"/>
      <c r="CB11" s="131" t="s">
        <v>280</v>
      </c>
      <c r="CC11" s="97"/>
      <c r="CD11" s="97"/>
      <c r="CE11" s="131" t="s">
        <v>281</v>
      </c>
      <c r="CF11" s="97"/>
      <c r="CG11" s="97"/>
      <c r="CH11" s="131" t="s">
        <v>282</v>
      </c>
      <c r="CI11" s="97"/>
      <c r="CJ11" s="97"/>
      <c r="CK11" s="131" t="s">
        <v>283</v>
      </c>
      <c r="CL11" s="97"/>
      <c r="CM11" s="97"/>
      <c r="CN11" s="131" t="s">
        <v>284</v>
      </c>
      <c r="CO11" s="97"/>
      <c r="CP11" s="97"/>
      <c r="CQ11" s="131" t="s">
        <v>285</v>
      </c>
      <c r="CR11" s="97"/>
      <c r="CS11" s="97"/>
      <c r="CT11" s="131" t="s">
        <v>286</v>
      </c>
      <c r="CU11" s="97"/>
      <c r="CV11" s="97"/>
      <c r="CW11" s="131" t="s">
        <v>287</v>
      </c>
      <c r="CX11" s="97"/>
      <c r="CY11" s="97"/>
      <c r="CZ11" s="131" t="s">
        <v>288</v>
      </c>
    </row>
    <row r="12" ht="11.25" hidden="1" customHeight="1" spans="1:104">
      <c r="A12"/>
      <c r="D12"/>
      <c r="E12"/>
      <c r="G12"/>
      <c r="H12"/>
      <c r="I12"/>
      <c r="J12"/>
      <c r="K12" s="129"/>
      <c r="L12" s="97">
        <f>SUM(N12:CZ12)</f>
        <v>0</v>
      </c>
      <c r="M12" s="97"/>
      <c r="N12" s="97">
        <f>SUBTOTAL(9,N4:N10)</f>
        <v>0</v>
      </c>
      <c r="O12" s="97"/>
      <c r="P12" s="97"/>
      <c r="Q12" s="97">
        <f>SUBTOTAL(9,Q4:Q10)</f>
        <v>0</v>
      </c>
      <c r="R12" s="97"/>
      <c r="S12" s="97"/>
      <c r="T12" s="97">
        <f>SUBTOTAL(9,T4:T10)</f>
        <v>0</v>
      </c>
      <c r="U12" s="97"/>
      <c r="V12" s="97"/>
      <c r="W12" s="97">
        <f>SUBTOTAL(9,W4:W10)</f>
        <v>0</v>
      </c>
      <c r="X12" s="97"/>
      <c r="Y12" s="97"/>
      <c r="Z12" s="97">
        <f>SUBTOTAL(9,Z4:Z10)</f>
        <v>0</v>
      </c>
      <c r="AA12" s="97"/>
      <c r="AB12" s="97"/>
      <c r="AC12" s="97">
        <f>SUBTOTAL(9,AC4:AC10)</f>
        <v>0</v>
      </c>
      <c r="AD12" s="97"/>
      <c r="AE12" s="97"/>
      <c r="AF12" s="97">
        <f>SUBTOTAL(9,AF4:AF10)</f>
        <v>0</v>
      </c>
      <c r="AG12" s="97"/>
      <c r="AH12" s="97"/>
      <c r="AI12" s="97">
        <f>SUBTOTAL(9,AI4:AI10)</f>
        <v>0</v>
      </c>
      <c r="AJ12" s="97"/>
      <c r="AK12" s="97"/>
      <c r="AL12" s="97">
        <f>SUBTOTAL(9,AL4:AL10)</f>
        <v>0</v>
      </c>
      <c r="AM12" s="97"/>
      <c r="AN12" s="97"/>
      <c r="AO12" s="97">
        <f>SUBTOTAL(9,AO4:AO10)</f>
        <v>0</v>
      </c>
      <c r="AP12" s="97"/>
      <c r="AQ12" s="97"/>
      <c r="AR12" s="97">
        <f>SUBTOTAL(9,AR4:AR10)</f>
        <v>0</v>
      </c>
      <c r="AS12" s="97"/>
      <c r="AT12" s="97"/>
      <c r="AU12" s="97">
        <f>SUBTOTAL(9,AU4:AU10)</f>
        <v>0</v>
      </c>
      <c r="AV12" s="97"/>
      <c r="AW12" s="97"/>
      <c r="AX12" s="97">
        <f>SUBTOTAL(9,AX4:AX10)</f>
        <v>0</v>
      </c>
      <c r="AY12" s="97"/>
      <c r="AZ12" s="97"/>
      <c r="BA12" s="97">
        <f>SUBTOTAL(9,BA4:BA10)</f>
        <v>0</v>
      </c>
      <c r="BB12" s="97"/>
      <c r="BC12" s="97"/>
      <c r="BD12" s="97">
        <f>SUBTOTAL(9,BD4:BD10)</f>
        <v>0</v>
      </c>
      <c r="BE12" s="97"/>
      <c r="BF12" s="97"/>
      <c r="BG12" s="97">
        <f>SUBTOTAL(9,BG4:BG10)</f>
        <v>0</v>
      </c>
      <c r="BH12" s="97"/>
      <c r="BI12" s="97"/>
      <c r="BJ12" s="97">
        <f>SUBTOTAL(9,BJ4:BJ10)</f>
        <v>0</v>
      </c>
      <c r="BK12" s="97"/>
      <c r="BL12" s="97"/>
      <c r="BM12" s="97" t="s">
        <v>289</v>
      </c>
      <c r="BN12" s="97"/>
      <c r="BO12" s="97"/>
      <c r="BP12" s="97">
        <f>SUBTOTAL(9,BP4:BP10)</f>
        <v>0</v>
      </c>
      <c r="BQ12" s="97"/>
      <c r="BR12" s="97"/>
      <c r="BS12" s="97">
        <f>SUBTOTAL(9,BS4:BS10)</f>
        <v>0</v>
      </c>
      <c r="BT12" s="97"/>
      <c r="BU12" s="97"/>
      <c r="BV12" s="97">
        <f>SUBTOTAL(9,BV4:BV10)</f>
        <v>0</v>
      </c>
      <c r="BW12" s="97"/>
      <c r="BX12" s="97"/>
      <c r="BY12" s="97" t="s">
        <v>289</v>
      </c>
      <c r="BZ12" s="97"/>
      <c r="CA12" s="97"/>
      <c r="CB12" s="97" t="s">
        <v>289</v>
      </c>
      <c r="CC12" s="97"/>
      <c r="CD12" s="97"/>
      <c r="CE12" s="97">
        <f>SUBTOTAL(9,CE4:CE10)</f>
        <v>0</v>
      </c>
      <c r="CF12" s="97"/>
      <c r="CG12" s="97"/>
      <c r="CH12" s="97">
        <f>SUBTOTAL(9,CH4:CH10)</f>
        <v>0</v>
      </c>
      <c r="CI12" s="97"/>
      <c r="CJ12" s="97"/>
      <c r="CK12" s="97">
        <f>SUBTOTAL(9,CK4:CK10)</f>
        <v>0</v>
      </c>
      <c r="CL12" s="97"/>
      <c r="CM12" s="97"/>
      <c r="CN12" s="97">
        <f>SUBTOTAL(9,CN4:CN10)</f>
        <v>0</v>
      </c>
      <c r="CO12" s="97"/>
      <c r="CP12" s="97"/>
      <c r="CQ12" s="97">
        <f>SUBTOTAL(9,CQ4:CQ10)</f>
        <v>0</v>
      </c>
      <c r="CR12" s="97"/>
      <c r="CS12" s="97"/>
      <c r="CT12" s="97">
        <f>SUBTOTAL(9,CT4:CT10)</f>
        <v>0</v>
      </c>
      <c r="CU12" s="97"/>
      <c r="CV12" s="97"/>
      <c r="CW12" s="97">
        <f>SUBTOTAL(9,CW4:CW10)</f>
        <v>0</v>
      </c>
      <c r="CX12" s="97"/>
      <c r="CY12" s="97"/>
      <c r="CZ12" s="97">
        <f>SUBTOTAL(9,CZ4:CZ10)</f>
        <v>0</v>
      </c>
    </row>
    <row r="13" ht="11.25" hidden="1" customHeight="1" spans="1:104">
      <c r="A13"/>
      <c r="D13"/>
      <c r="E13"/>
      <c r="G13"/>
      <c r="H13"/>
      <c r="I13"/>
      <c r="J13"/>
      <c r="K13" s="129"/>
      <c r="L13"/>
      <c r="M13"/>
      <c r="N13"/>
      <c r="O13"/>
      <c r="P13"/>
      <c r="Q13"/>
      <c r="R13"/>
      <c r="S13"/>
      <c r="T13"/>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7"/>
      <c r="CG13" s="97"/>
      <c r="CH13" s="97"/>
      <c r="CI13" s="97"/>
      <c r="CJ13" s="97"/>
      <c r="CK13" s="97"/>
      <c r="CL13" s="97"/>
      <c r="CM13" s="97"/>
      <c r="CN13" s="97"/>
      <c r="CO13" s="97"/>
      <c r="CP13" s="97"/>
      <c r="CQ13" s="97"/>
      <c r="CR13" s="97"/>
      <c r="CS13" s="97"/>
      <c r="CT13" s="97"/>
      <c r="CU13" s="97"/>
      <c r="CV13" s="97"/>
      <c r="CW13" s="97"/>
      <c r="CX13" s="97"/>
      <c r="CY13" s="97"/>
      <c r="CZ13" s="97"/>
    </row>
    <row r="14" ht="11.25" hidden="1" customHeight="1" spans="1:104">
      <c r="A14"/>
      <c r="D14"/>
      <c r="E14"/>
      <c r="G14"/>
      <c r="H14"/>
      <c r="I14"/>
      <c r="J14"/>
      <c r="K14" s="129"/>
      <c r="L14"/>
      <c r="M14"/>
      <c r="N14"/>
      <c r="O14"/>
      <c r="P14"/>
      <c r="Q14"/>
      <c r="R14"/>
      <c r="S14"/>
      <c r="T14"/>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7"/>
      <c r="CG14" s="97"/>
      <c r="CH14" s="97"/>
      <c r="CI14" s="97"/>
      <c r="CJ14" s="97"/>
      <c r="CK14" s="97"/>
      <c r="CL14" s="97"/>
      <c r="CM14" s="97"/>
      <c r="CN14" s="97"/>
      <c r="CO14" s="97"/>
      <c r="CP14" s="97"/>
      <c r="CQ14" s="97"/>
      <c r="CR14" s="97"/>
      <c r="CS14" s="97"/>
      <c r="CT14" s="97"/>
      <c r="CU14" s="97"/>
      <c r="CV14" s="97"/>
      <c r="CW14" s="97"/>
      <c r="CX14" s="97"/>
      <c r="CY14" s="97"/>
      <c r="CZ14" s="97"/>
    </row>
    <row r="15" ht="11.25" hidden="1" customHeight="1" spans="1:104">
      <c r="A15"/>
      <c r="D15"/>
      <c r="E15"/>
      <c r="G15"/>
      <c r="H15"/>
      <c r="I15"/>
      <c r="J15"/>
      <c r="K15" s="129"/>
      <c r="L15"/>
      <c r="M15"/>
      <c r="N15"/>
      <c r="O15"/>
      <c r="P15"/>
      <c r="Q15"/>
      <c r="R15"/>
      <c r="S15"/>
      <c r="T15"/>
      <c r="U15" s="97"/>
      <c r="V15" s="97"/>
      <c r="W15" s="97"/>
      <c r="X15" s="97"/>
      <c r="Y15" s="97"/>
      <c r="Z15" s="97"/>
      <c r="AA15" s="97"/>
      <c r="AB15" s="97"/>
      <c r="AC15" s="97"/>
      <c r="AD15" s="97"/>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c r="BM15" s="97"/>
      <c r="BN15" s="97"/>
      <c r="BO15" s="97"/>
      <c r="BP15" s="97"/>
      <c r="BQ15" s="97"/>
      <c r="BR15" s="97"/>
      <c r="BS15" s="97"/>
      <c r="BT15" s="97"/>
      <c r="BU15" s="97"/>
      <c r="BV15" s="97"/>
      <c r="BW15" s="97"/>
      <c r="BX15" s="97"/>
      <c r="BY15" s="97"/>
      <c r="BZ15" s="97"/>
      <c r="CA15" s="97"/>
      <c r="CB15" s="97"/>
      <c r="CC15" s="97"/>
      <c r="CD15" s="97"/>
      <c r="CE15" s="97"/>
      <c r="CF15" s="97"/>
      <c r="CG15" s="97"/>
      <c r="CH15" s="97"/>
      <c r="CI15" s="97"/>
      <c r="CJ15" s="97"/>
      <c r="CK15" s="97"/>
      <c r="CL15" s="97"/>
      <c r="CM15" s="97"/>
      <c r="CN15" s="97"/>
      <c r="CO15" s="97"/>
      <c r="CP15" s="97"/>
      <c r="CQ15" s="97"/>
      <c r="CR15" s="97"/>
      <c r="CS15" s="97"/>
      <c r="CT15" s="97"/>
      <c r="CU15" s="97"/>
      <c r="CV15" s="97"/>
      <c r="CW15" s="97"/>
      <c r="CX15" s="97"/>
      <c r="CY15" s="97"/>
      <c r="CZ15" s="97"/>
    </row>
    <row r="16" ht="11.25" hidden="1" customHeight="1" spans="1:104">
      <c r="A16"/>
      <c r="D16"/>
      <c r="E16"/>
      <c r="G16"/>
      <c r="H16"/>
      <c r="I16"/>
      <c r="J16"/>
      <c r="K16" s="129"/>
      <c r="L16"/>
      <c r="M16"/>
      <c r="N16"/>
      <c r="O16"/>
      <c r="P16"/>
      <c r="Q16"/>
      <c r="R16"/>
      <c r="S16"/>
      <c r="T16"/>
      <c r="U16" s="131" t="s">
        <v>113</v>
      </c>
      <c r="V16" s="131" t="s">
        <v>290</v>
      </c>
      <c r="W16" s="130" t="s">
        <v>50</v>
      </c>
      <c r="X16" s="131" t="s">
        <v>291</v>
      </c>
      <c r="Y16" s="131" t="s">
        <v>292</v>
      </c>
      <c r="Z16" s="131" t="s">
        <v>293</v>
      </c>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7"/>
      <c r="BP16" s="97"/>
      <c r="BQ16" s="97"/>
      <c r="BR16" s="97"/>
      <c r="BS16" s="97"/>
      <c r="BT16" s="97"/>
      <c r="BU16" s="97"/>
      <c r="BV16" s="97"/>
      <c r="BW16" s="97"/>
      <c r="BX16" s="97"/>
      <c r="BY16" s="97"/>
      <c r="BZ16" s="97"/>
      <c r="CA16" s="97"/>
      <c r="CB16" s="97"/>
      <c r="CC16" s="97"/>
      <c r="CD16" s="97"/>
      <c r="CE16" s="97"/>
      <c r="CF16" s="97"/>
      <c r="CG16" s="97"/>
      <c r="CH16" s="97"/>
      <c r="CI16" s="97"/>
      <c r="CJ16" s="97"/>
      <c r="CK16" s="97"/>
      <c r="CL16" s="97"/>
      <c r="CM16" s="97"/>
      <c r="CN16" s="97"/>
      <c r="CO16" s="97"/>
      <c r="CP16" s="97"/>
      <c r="CQ16" s="97"/>
      <c r="CR16" s="97"/>
      <c r="CS16" s="97"/>
      <c r="CT16" s="97"/>
      <c r="CU16" s="97"/>
      <c r="CV16" s="97"/>
      <c r="CW16" s="97"/>
      <c r="CX16" s="97"/>
      <c r="CY16" s="97"/>
      <c r="CZ16" s="97"/>
    </row>
    <row r="17" ht="11.25" hidden="1" customHeight="1" spans="1:104">
      <c r="A17"/>
      <c r="D17"/>
      <c r="E17"/>
      <c r="G17"/>
      <c r="H17"/>
      <c r="I17"/>
      <c r="J17"/>
      <c r="K17" s="129"/>
      <c r="L17"/>
      <c r="M17"/>
      <c r="N17"/>
      <c r="O17"/>
      <c r="P17"/>
      <c r="Q17"/>
      <c r="R17"/>
      <c r="S17"/>
      <c r="T17"/>
      <c r="U17" s="97">
        <v>1</v>
      </c>
      <c r="V17" s="158" t="str">
        <f>IF(ISNUMBER(SMALL(記入日範囲,1)),SMALL(記入日範囲,1)," ")</f>
        <v> </v>
      </c>
      <c r="W17" s="97"/>
      <c r="X17" s="97">
        <f>IF(ISNUMBER(DCOUNTA(査読範囲,W16,V16:V17)),DCOUNTA(査読範囲,W16,V16:V17),0)</f>
        <v>0</v>
      </c>
      <c r="Y17" s="97">
        <f>IF(ISNUMBER(DCOUNTA(査読範囲,V16,V16:V17)),DCOUNTA(査読範囲,V16,V16:V17),0)</f>
        <v>0</v>
      </c>
      <c r="Z17" s="97">
        <f>Y17</f>
        <v>0</v>
      </c>
      <c r="AA17" s="97"/>
      <c r="AB17" s="97"/>
      <c r="AC17" s="97"/>
      <c r="AD17" s="97"/>
      <c r="AE17" s="97"/>
      <c r="AF17" s="97"/>
      <c r="AG17" s="97"/>
      <c r="AH17" s="97"/>
      <c r="AI17" s="97"/>
      <c r="AJ17" s="97"/>
      <c r="AK17" s="97"/>
      <c r="AL17" s="97"/>
      <c r="AM17" s="97"/>
      <c r="AN17" s="97"/>
      <c r="AO17" s="97"/>
      <c r="AP17" s="97"/>
      <c r="AQ17" s="97"/>
      <c r="AR17" s="97"/>
      <c r="AS17" s="97"/>
      <c r="AT17" s="97"/>
      <c r="AU17" s="97"/>
      <c r="AV17" s="97"/>
      <c r="AW17" s="97"/>
      <c r="AX17" s="97"/>
      <c r="AY17" s="97"/>
      <c r="AZ17" s="97"/>
      <c r="BA17" s="97"/>
      <c r="BB17" s="97"/>
      <c r="BC17" s="97"/>
      <c r="BD17" s="97"/>
      <c r="BE17" s="97"/>
      <c r="BF17" s="97"/>
      <c r="BG17" s="97"/>
      <c r="BH17" s="97"/>
      <c r="BI17" s="97"/>
      <c r="BJ17" s="97"/>
      <c r="BK17" s="97"/>
      <c r="BL17" s="97"/>
      <c r="BM17" s="97"/>
      <c r="BN17" s="97"/>
      <c r="BO17" s="97"/>
      <c r="BP17" s="97"/>
      <c r="BQ17" s="97"/>
      <c r="BR17" s="97"/>
      <c r="BS17" s="97"/>
      <c r="BT17" s="97"/>
      <c r="BU17" s="97"/>
      <c r="BV17" s="97"/>
      <c r="BW17" s="97"/>
      <c r="BX17" s="97"/>
      <c r="BY17" s="97"/>
      <c r="BZ17" s="97"/>
      <c r="CA17" s="97"/>
      <c r="CB17" s="97"/>
      <c r="CC17" s="97"/>
      <c r="CD17" s="97"/>
      <c r="CE17" s="97"/>
      <c r="CF17" s="97"/>
      <c r="CG17" s="97"/>
      <c r="CH17" s="97"/>
      <c r="CI17" s="97"/>
      <c r="CJ17" s="97"/>
      <c r="CK17" s="97"/>
      <c r="CL17" s="97"/>
      <c r="CM17" s="97"/>
      <c r="CN17" s="97"/>
      <c r="CO17" s="97"/>
      <c r="CP17" s="97"/>
      <c r="CQ17" s="97"/>
      <c r="CR17" s="97"/>
      <c r="CS17" s="97"/>
      <c r="CT17" s="97"/>
      <c r="CU17" s="97"/>
      <c r="CV17" s="97"/>
      <c r="CW17" s="97"/>
      <c r="CX17" s="97"/>
      <c r="CY17" s="97"/>
      <c r="CZ17" s="97"/>
    </row>
    <row r="18" ht="11.25" hidden="1" customHeight="1" spans="1:104">
      <c r="A18"/>
      <c r="D18"/>
      <c r="E18"/>
      <c r="G18"/>
      <c r="H18"/>
      <c r="I18"/>
      <c r="J18"/>
      <c r="K18" s="129"/>
      <c r="L18"/>
      <c r="M18"/>
      <c r="N18"/>
      <c r="O18"/>
      <c r="P18"/>
      <c r="Q18"/>
      <c r="R18"/>
      <c r="S18"/>
      <c r="T18"/>
      <c r="U18" s="97"/>
      <c r="V18" s="131" t="s">
        <v>290</v>
      </c>
      <c r="W18" s="130" t="s">
        <v>50</v>
      </c>
      <c r="X18" s="97"/>
      <c r="Y18" s="97"/>
      <c r="Z18" s="97"/>
      <c r="AA18" s="97"/>
      <c r="AB18" s="97"/>
      <c r="AC18" s="97"/>
      <c r="AD18" s="97"/>
      <c r="AE18" s="97"/>
      <c r="AF18" s="97"/>
      <c r="AG18" s="97"/>
      <c r="AH18" s="97"/>
      <c r="AI18" s="97"/>
      <c r="AJ18" s="97"/>
      <c r="AK18" s="97"/>
      <c r="AL18" s="97"/>
      <c r="AM18" s="97"/>
      <c r="AN18" s="97"/>
      <c r="AO18" s="97"/>
      <c r="AP18" s="97"/>
      <c r="AQ18" s="97"/>
      <c r="AR18" s="97"/>
      <c r="AS18" s="97"/>
      <c r="AT18" s="97"/>
      <c r="AU18" s="97"/>
      <c r="AV18" s="97"/>
      <c r="AW18" s="97"/>
      <c r="AX18" s="97"/>
      <c r="AY18" s="97"/>
      <c r="AZ18" s="97"/>
      <c r="BA18" s="97"/>
      <c r="BB18" s="97"/>
      <c r="BC18" s="97"/>
      <c r="BD18" s="97"/>
      <c r="BE18" s="97"/>
      <c r="BF18" s="97"/>
      <c r="BG18" s="97"/>
      <c r="BH18" s="97"/>
      <c r="BI18" s="97"/>
      <c r="BJ18" s="97"/>
      <c r="BK18" s="97"/>
      <c r="BL18" s="97"/>
      <c r="BM18" s="97"/>
      <c r="BN18" s="97"/>
      <c r="BO18" s="97"/>
      <c r="BP18" s="97"/>
      <c r="BQ18" s="97"/>
      <c r="BR18" s="97"/>
      <c r="BS18" s="97"/>
      <c r="BT18" s="97"/>
      <c r="BU18" s="97"/>
      <c r="BV18" s="97"/>
      <c r="BW18" s="97"/>
      <c r="BX18" s="97"/>
      <c r="BY18" s="97"/>
      <c r="BZ18" s="97"/>
      <c r="CA18" s="97"/>
      <c r="CB18" s="97"/>
      <c r="CC18" s="97"/>
      <c r="CD18" s="97"/>
      <c r="CE18" s="97"/>
      <c r="CF18" s="97"/>
      <c r="CG18" s="97"/>
      <c r="CH18" s="97"/>
      <c r="CI18" s="97"/>
      <c r="CJ18" s="97"/>
      <c r="CK18" s="97"/>
      <c r="CL18" s="97"/>
      <c r="CM18" s="97"/>
      <c r="CN18" s="97"/>
      <c r="CO18" s="97"/>
      <c r="CP18" s="97"/>
      <c r="CQ18" s="97"/>
      <c r="CR18" s="97"/>
      <c r="CS18" s="97"/>
      <c r="CT18" s="97"/>
      <c r="CU18" s="97"/>
      <c r="CV18" s="97"/>
      <c r="CW18" s="97"/>
      <c r="CX18" s="97"/>
      <c r="CY18" s="97"/>
      <c r="CZ18" s="97"/>
    </row>
    <row r="19" ht="11.25" hidden="1" customHeight="1" spans="1:104">
      <c r="A19"/>
      <c r="D19"/>
      <c r="E19"/>
      <c r="G19"/>
      <c r="H19"/>
      <c r="I19"/>
      <c r="J19"/>
      <c r="K19" s="129"/>
      <c r="L19"/>
      <c r="M19"/>
      <c r="N19"/>
      <c r="O19"/>
      <c r="P19"/>
      <c r="Q19"/>
      <c r="R19"/>
      <c r="S19"/>
      <c r="T19"/>
      <c r="U19" s="97">
        <v>2</v>
      </c>
      <c r="V19" s="158" t="str">
        <f>IF(ISNUMBER(SMALL(記入日範囲,Z17+1)),SMALL(記入日範囲,Z17+1)," ")</f>
        <v> </v>
      </c>
      <c r="W19" s="97"/>
      <c r="X19" s="97">
        <f>IF(ISNUMBER(DCOUNTA(査読範囲,W18,V18:V19)),DCOUNTA(査読範囲,W18,V18:V19),0)</f>
        <v>0</v>
      </c>
      <c r="Y19" s="97">
        <f>IF(ISNUMBER(DCOUNTA(査読範囲,V18,V18:V19)),DCOUNTA(査読範囲,V18,V18:V19),0)</f>
        <v>0</v>
      </c>
      <c r="Z19" s="97">
        <f>Z17+Y19</f>
        <v>0</v>
      </c>
      <c r="AA19" s="97"/>
      <c r="AB19" s="97"/>
      <c r="AC19" s="97"/>
      <c r="AD19" s="97"/>
      <c r="AE19" s="97"/>
      <c r="AF19" s="97"/>
      <c r="AG19" s="97"/>
      <c r="AH19" s="97"/>
      <c r="AI19" s="97"/>
      <c r="AJ19" s="97"/>
      <c r="AK19" s="97"/>
      <c r="AL19" s="97"/>
      <c r="AM19" s="97"/>
      <c r="AN19" s="97"/>
      <c r="AO19" s="97"/>
      <c r="AP19" s="97"/>
      <c r="AQ19" s="97"/>
      <c r="AR19" s="97"/>
      <c r="AS19" s="97"/>
      <c r="AT19" s="97"/>
      <c r="AU19" s="97"/>
      <c r="AV19" s="97"/>
      <c r="AW19" s="97"/>
      <c r="AX19" s="97"/>
      <c r="AY19" s="97"/>
      <c r="AZ19" s="97"/>
      <c r="BA19" s="97"/>
      <c r="BB19" s="97"/>
      <c r="BC19" s="97"/>
      <c r="BD19" s="97"/>
      <c r="BE19" s="97"/>
      <c r="BF19" s="97"/>
      <c r="BG19" s="97"/>
      <c r="BH19" s="97"/>
      <c r="BI19" s="97"/>
      <c r="BJ19" s="97"/>
      <c r="BK19" s="97"/>
      <c r="BL19" s="97"/>
      <c r="BM19" s="97"/>
      <c r="BN19" s="97"/>
      <c r="BO19" s="97"/>
      <c r="BP19" s="97"/>
      <c r="BQ19" s="97"/>
      <c r="BR19" s="97"/>
      <c r="BS19" s="97"/>
      <c r="BT19" s="97"/>
      <c r="BU19" s="97"/>
      <c r="BV19" s="97"/>
      <c r="BW19" s="97"/>
      <c r="BX19" s="97"/>
      <c r="BY19" s="97"/>
      <c r="BZ19" s="97"/>
      <c r="CA19" s="97"/>
      <c r="CB19" s="97"/>
      <c r="CC19" s="97"/>
      <c r="CD19" s="97"/>
      <c r="CE19" s="97"/>
      <c r="CF19" s="97"/>
      <c r="CG19" s="97"/>
      <c r="CH19" s="97"/>
      <c r="CI19" s="97"/>
      <c r="CJ19" s="97"/>
      <c r="CK19" s="97"/>
      <c r="CL19" s="97"/>
      <c r="CM19" s="97"/>
      <c r="CN19" s="97"/>
      <c r="CO19" s="97"/>
      <c r="CP19" s="97"/>
      <c r="CQ19" s="97"/>
      <c r="CR19" s="97"/>
      <c r="CS19" s="97"/>
      <c r="CT19" s="97"/>
      <c r="CU19" s="97"/>
      <c r="CV19" s="97"/>
      <c r="CW19" s="97"/>
      <c r="CX19" s="97"/>
      <c r="CY19" s="97"/>
      <c r="CZ19" s="97"/>
    </row>
    <row r="20" ht="11.25" hidden="1" customHeight="1" spans="1:104">
      <c r="A20"/>
      <c r="D20"/>
      <c r="E20"/>
      <c r="G20"/>
      <c r="H20"/>
      <c r="I20"/>
      <c r="J20"/>
      <c r="K20" s="129"/>
      <c r="L20"/>
      <c r="M20"/>
      <c r="N20"/>
      <c r="O20"/>
      <c r="P20"/>
      <c r="Q20"/>
      <c r="R20"/>
      <c r="S20"/>
      <c r="T20"/>
      <c r="U20" s="97"/>
      <c r="V20" s="131" t="s">
        <v>290</v>
      </c>
      <c r="W20" s="130" t="s">
        <v>50</v>
      </c>
      <c r="X20" s="97"/>
      <c r="Y20" s="97"/>
      <c r="Z20" s="97"/>
      <c r="AA20" s="97"/>
      <c r="AB20" s="97"/>
      <c r="AC20" s="97"/>
      <c r="AD20" s="97"/>
      <c r="AE20" s="97"/>
      <c r="AF20" s="97"/>
      <c r="AG20" s="97"/>
      <c r="AH20" s="97"/>
      <c r="AI20" s="97"/>
      <c r="AJ20" s="97"/>
      <c r="AK20" s="97"/>
      <c r="AL20" s="97"/>
      <c r="AM20" s="97"/>
      <c r="AN20" s="97"/>
      <c r="AO20" s="97"/>
      <c r="AP20" s="97"/>
      <c r="AQ20" s="97"/>
      <c r="AR20" s="97"/>
      <c r="AS20" s="97"/>
      <c r="AT20" s="97"/>
      <c r="AU20" s="97"/>
      <c r="AV20" s="97"/>
      <c r="AW20" s="97"/>
      <c r="AX20" s="97"/>
      <c r="AY20" s="97"/>
      <c r="AZ20" s="97"/>
      <c r="BA20" s="97"/>
      <c r="BB20" s="97"/>
      <c r="BC20" s="97"/>
      <c r="BD20" s="97"/>
      <c r="BE20" s="97"/>
      <c r="BF20" s="97"/>
      <c r="BG20" s="97"/>
      <c r="BH20" s="97"/>
      <c r="BI20" s="97"/>
      <c r="BJ20" s="97"/>
      <c r="BK20" s="97"/>
      <c r="BL20" s="97"/>
      <c r="BM20" s="97"/>
      <c r="BN20" s="97"/>
      <c r="BO20" s="97"/>
      <c r="BP20" s="97"/>
      <c r="BQ20" s="97"/>
      <c r="BR20" s="97"/>
      <c r="BS20" s="97"/>
      <c r="BT20" s="97"/>
      <c r="BU20" s="97"/>
      <c r="BV20" s="97"/>
      <c r="BW20" s="97"/>
      <c r="BX20" s="97"/>
      <c r="BY20" s="97"/>
      <c r="BZ20" s="97"/>
      <c r="CA20" s="97"/>
      <c r="CB20" s="97"/>
      <c r="CC20" s="97"/>
      <c r="CD20" s="97"/>
      <c r="CE20" s="97"/>
      <c r="CF20" s="97"/>
      <c r="CG20" s="97"/>
      <c r="CH20" s="97"/>
      <c r="CI20" s="97"/>
      <c r="CJ20" s="97"/>
      <c r="CK20" s="97"/>
      <c r="CL20" s="97"/>
      <c r="CM20" s="97"/>
      <c r="CN20" s="97"/>
      <c r="CO20" s="97"/>
      <c r="CP20" s="97"/>
      <c r="CQ20" s="97"/>
      <c r="CR20" s="97"/>
      <c r="CS20" s="97"/>
      <c r="CT20" s="97"/>
      <c r="CU20" s="97"/>
      <c r="CV20" s="97"/>
      <c r="CW20" s="97"/>
      <c r="CX20" s="97"/>
      <c r="CY20" s="97"/>
      <c r="CZ20" s="97"/>
    </row>
    <row r="21" ht="11.25" hidden="1" customHeight="1" spans="1:104">
      <c r="A21"/>
      <c r="D21"/>
      <c r="E21"/>
      <c r="G21"/>
      <c r="H21"/>
      <c r="I21"/>
      <c r="J21"/>
      <c r="K21" s="129"/>
      <c r="L21"/>
      <c r="M21"/>
      <c r="N21"/>
      <c r="O21"/>
      <c r="P21"/>
      <c r="Q21"/>
      <c r="R21"/>
      <c r="S21"/>
      <c r="T21"/>
      <c r="U21" s="97">
        <v>3</v>
      </c>
      <c r="V21" s="158" t="str">
        <f>IF(ISNUMBER(SMALL(記入日範囲,Z19+1)),SMALL(記入日範囲,Z19+1)," ")</f>
        <v> </v>
      </c>
      <c r="W21" s="97"/>
      <c r="X21" s="97">
        <f>IF(ISNUMBER(DCOUNTA(査読範囲,W20,V20:V21)),DCOUNTA(査読範囲,W20,V20:V21),0)</f>
        <v>0</v>
      </c>
      <c r="Y21" s="97">
        <f>IF(ISNUMBER(DCOUNTA(査読範囲,V20,V20:V21)),DCOUNTA(査読範囲,V20,V20:V21),0)</f>
        <v>0</v>
      </c>
      <c r="Z21" s="97">
        <f>Z19+Y21</f>
        <v>0</v>
      </c>
      <c r="AA21" s="97"/>
      <c r="AB21" s="97"/>
      <c r="AC21" s="97"/>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7"/>
      <c r="BB21" s="97"/>
      <c r="BC21" s="97"/>
      <c r="BD21" s="97"/>
      <c r="BE21" s="97"/>
      <c r="BF21" s="97"/>
      <c r="BG21" s="97"/>
      <c r="BH21" s="97"/>
      <c r="BI21" s="97"/>
      <c r="BJ21" s="97"/>
      <c r="BK21" s="97"/>
      <c r="BL21" s="97"/>
      <c r="BM21" s="97"/>
      <c r="BN21" s="97"/>
      <c r="BO21" s="97"/>
      <c r="BP21" s="97"/>
      <c r="BQ21" s="97"/>
      <c r="BR21" s="97"/>
      <c r="BS21" s="97"/>
      <c r="BT21" s="97"/>
      <c r="BU21" s="97"/>
      <c r="BV21" s="97"/>
      <c r="BW21" s="97"/>
      <c r="BX21" s="97"/>
      <c r="BY21" s="97"/>
      <c r="BZ21" s="97"/>
      <c r="CA21" s="97"/>
      <c r="CB21" s="97"/>
      <c r="CC21" s="97"/>
      <c r="CD21" s="97"/>
      <c r="CE21" s="97"/>
      <c r="CF21" s="97"/>
      <c r="CG21" s="97"/>
      <c r="CH21" s="97"/>
      <c r="CI21" s="97"/>
      <c r="CJ21" s="97"/>
      <c r="CK21" s="97"/>
      <c r="CL21" s="97"/>
      <c r="CM21" s="97"/>
      <c r="CN21" s="97"/>
      <c r="CO21" s="97"/>
      <c r="CP21" s="97"/>
      <c r="CQ21" s="97"/>
      <c r="CR21" s="97"/>
      <c r="CS21" s="97"/>
      <c r="CT21" s="97"/>
      <c r="CU21" s="97"/>
      <c r="CV21" s="97"/>
      <c r="CW21" s="97"/>
      <c r="CX21" s="97"/>
      <c r="CY21" s="97"/>
      <c r="CZ21" s="97"/>
    </row>
    <row r="22" ht="11.25" hidden="1" customHeight="1" spans="1:104">
      <c r="A22"/>
      <c r="D22"/>
      <c r="E22"/>
      <c r="G22"/>
      <c r="H22"/>
      <c r="I22"/>
      <c r="J22"/>
      <c r="K22" s="129"/>
      <c r="L22"/>
      <c r="M22"/>
      <c r="N22"/>
      <c r="O22"/>
      <c r="P22"/>
      <c r="Q22"/>
      <c r="R22"/>
      <c r="S22"/>
      <c r="T22"/>
      <c r="U22" s="97"/>
      <c r="V22" s="131" t="s">
        <v>290</v>
      </c>
      <c r="W22" s="130" t="s">
        <v>50</v>
      </c>
      <c r="X22" s="97"/>
      <c r="Y22" s="97"/>
      <c r="Z22" s="97"/>
      <c r="AA22" s="97"/>
      <c r="AB22" s="97"/>
      <c r="AC22" s="97"/>
      <c r="AD22" s="97"/>
      <c r="AE22" s="97"/>
      <c r="AF22" s="97"/>
      <c r="AG22" s="97"/>
      <c r="AH22" s="97"/>
      <c r="AI22" s="97"/>
      <c r="AJ22" s="97"/>
      <c r="AK22" s="97"/>
      <c r="AL22" s="97"/>
      <c r="AM22" s="97"/>
      <c r="AN22" s="97"/>
      <c r="AO22" s="97"/>
      <c r="AP22" s="97"/>
      <c r="AQ22" s="97"/>
      <c r="AR22" s="97"/>
      <c r="AS22" s="97"/>
      <c r="AT22" s="97"/>
      <c r="AU22" s="97"/>
      <c r="AV22" s="97"/>
      <c r="AW22" s="97"/>
      <c r="AX22" s="97"/>
      <c r="AY22" s="97"/>
      <c r="AZ22" s="97"/>
      <c r="BA22" s="97"/>
      <c r="BB22" s="97"/>
      <c r="BC22" s="97"/>
      <c r="BD22" s="97"/>
      <c r="BE22" s="97"/>
      <c r="BF22" s="97"/>
      <c r="BG22" s="97"/>
      <c r="BH22" s="97"/>
      <c r="BI22" s="97"/>
      <c r="BJ22" s="97"/>
      <c r="BK22" s="97"/>
      <c r="BL22" s="97"/>
      <c r="BM22" s="97"/>
      <c r="BN22" s="97"/>
      <c r="BO22" s="97"/>
      <c r="BP22" s="97"/>
      <c r="BQ22" s="97"/>
      <c r="BR22" s="97"/>
      <c r="BS22" s="97"/>
      <c r="BT22" s="97"/>
      <c r="BU22" s="97"/>
      <c r="BV22" s="97"/>
      <c r="BW22" s="97"/>
      <c r="BX22" s="97"/>
      <c r="BY22" s="97"/>
      <c r="BZ22" s="97"/>
      <c r="CA22" s="97"/>
      <c r="CB22" s="97"/>
      <c r="CC22" s="97"/>
      <c r="CD22" s="97"/>
      <c r="CE22" s="97"/>
      <c r="CF22" s="97"/>
      <c r="CG22" s="97"/>
      <c r="CH22" s="97"/>
      <c r="CI22" s="97"/>
      <c r="CJ22" s="97"/>
      <c r="CK22" s="97"/>
      <c r="CL22" s="97"/>
      <c r="CM22" s="97"/>
      <c r="CN22" s="97"/>
      <c r="CO22" s="97"/>
      <c r="CP22" s="97"/>
      <c r="CQ22" s="97"/>
      <c r="CR22" s="97"/>
      <c r="CS22" s="97"/>
      <c r="CT22" s="97"/>
      <c r="CU22" s="97"/>
      <c r="CV22" s="97"/>
      <c r="CW22" s="97"/>
      <c r="CX22" s="97"/>
      <c r="CY22" s="97"/>
      <c r="CZ22" s="97"/>
    </row>
    <row r="23" ht="11.25" hidden="1" customHeight="1" spans="1:104">
      <c r="A23"/>
      <c r="D23"/>
      <c r="E23"/>
      <c r="G23"/>
      <c r="H23"/>
      <c r="I23"/>
      <c r="J23"/>
      <c r="K23" s="129"/>
      <c r="L23"/>
      <c r="M23"/>
      <c r="N23"/>
      <c r="O23"/>
      <c r="P23"/>
      <c r="Q23"/>
      <c r="R23"/>
      <c r="S23"/>
      <c r="T23"/>
      <c r="U23" s="97">
        <v>4</v>
      </c>
      <c r="V23" s="158" t="str">
        <f>IF(ISNUMBER(SMALL(記入日範囲,Z21+1)),SMALL(記入日範囲,Z21+1)," ")</f>
        <v> </v>
      </c>
      <c r="W23" s="97"/>
      <c r="X23" s="97">
        <f>IF(ISNUMBER(DCOUNTA(査読範囲,W22,V22:V23)),DCOUNTA(査読範囲,W22,V22:V23),0)</f>
        <v>0</v>
      </c>
      <c r="Y23" s="97">
        <f>IF(ISNUMBER(DCOUNTA(査読範囲,V22,V22:V23)),DCOUNTA(査読範囲,V22,V22:V23),0)</f>
        <v>0</v>
      </c>
      <c r="Z23" s="97">
        <f>Z21+Y23</f>
        <v>0</v>
      </c>
      <c r="AA23" s="97"/>
      <c r="AB23" s="97"/>
      <c r="AC23" s="97"/>
      <c r="AD23" s="97"/>
      <c r="AE23" s="97"/>
      <c r="AF23" s="97"/>
      <c r="AG23" s="97"/>
      <c r="AH23" s="97"/>
      <c r="AI23" s="97"/>
      <c r="AJ23" s="97"/>
      <c r="AK23" s="97"/>
      <c r="AL23" s="97"/>
      <c r="AM23" s="97"/>
      <c r="AN23" s="97"/>
      <c r="AO23" s="97"/>
      <c r="AP23" s="97"/>
      <c r="AQ23" s="97"/>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c r="BP23" s="97"/>
      <c r="BQ23" s="97"/>
      <c r="BR23" s="97"/>
      <c r="BS23" s="97"/>
      <c r="BT23" s="97"/>
      <c r="BU23" s="97"/>
      <c r="BV23" s="97"/>
      <c r="BW23" s="97"/>
      <c r="BX23" s="97"/>
      <c r="BY23" s="97"/>
      <c r="BZ23" s="97"/>
      <c r="CA23" s="97"/>
      <c r="CB23" s="97"/>
      <c r="CC23" s="97"/>
      <c r="CD23" s="97"/>
      <c r="CE23" s="97"/>
      <c r="CF23" s="97"/>
      <c r="CG23" s="97"/>
      <c r="CH23" s="97"/>
      <c r="CI23" s="97"/>
      <c r="CJ23" s="97"/>
      <c r="CK23" s="97"/>
      <c r="CL23" s="97"/>
      <c r="CM23" s="97"/>
      <c r="CN23" s="97"/>
      <c r="CO23" s="97"/>
      <c r="CP23" s="97"/>
      <c r="CQ23" s="97"/>
      <c r="CR23" s="97"/>
      <c r="CS23" s="97"/>
      <c r="CT23" s="97"/>
      <c r="CU23" s="97"/>
      <c r="CV23" s="97"/>
      <c r="CW23" s="97"/>
      <c r="CX23" s="97"/>
      <c r="CY23" s="97"/>
      <c r="CZ23" s="97"/>
    </row>
    <row r="24" ht="11.25" hidden="1" customHeight="1" spans="1:104">
      <c r="A24"/>
      <c r="D24"/>
      <c r="E24"/>
      <c r="G24"/>
      <c r="H24"/>
      <c r="I24"/>
      <c r="J24"/>
      <c r="K24" s="129"/>
      <c r="L24"/>
      <c r="M24"/>
      <c r="N24"/>
      <c r="O24"/>
      <c r="P24"/>
      <c r="Q24"/>
      <c r="R24"/>
      <c r="S24"/>
      <c r="T24"/>
      <c r="U24" s="97"/>
      <c r="V24" s="131" t="s">
        <v>290</v>
      </c>
      <c r="W24" s="130" t="s">
        <v>50</v>
      </c>
      <c r="X24" s="97"/>
      <c r="Y24" s="97"/>
      <c r="Z24" s="97"/>
      <c r="AA24" s="97"/>
      <c r="AB24" s="97"/>
      <c r="AC24" s="97"/>
      <c r="AD24" s="97"/>
      <c r="AE24" s="97"/>
      <c r="AF24" s="97"/>
      <c r="AG24" s="97"/>
      <c r="AH24" s="97"/>
      <c r="AI24" s="97"/>
      <c r="AJ24" s="97"/>
      <c r="AK24" s="97"/>
      <c r="AL24" s="97"/>
      <c r="AM24" s="97"/>
      <c r="AN24" s="97"/>
      <c r="AO24" s="97"/>
      <c r="AP24" s="97"/>
      <c r="AQ24" s="97"/>
      <c r="AR24" s="97"/>
      <c r="AS24" s="97"/>
      <c r="AT24" s="97"/>
      <c r="AU24" s="97"/>
      <c r="AV24" s="97"/>
      <c r="AW24" s="97"/>
      <c r="AX24" s="97"/>
      <c r="AY24" s="97"/>
      <c r="AZ24" s="97"/>
      <c r="BA24" s="97"/>
      <c r="BB24" s="97"/>
      <c r="BC24" s="97"/>
      <c r="BD24" s="97"/>
      <c r="BE24" s="97"/>
      <c r="BF24" s="97"/>
      <c r="BG24" s="97"/>
      <c r="BH24" s="97"/>
      <c r="BI24" s="97"/>
      <c r="BJ24" s="97"/>
      <c r="BK24" s="97"/>
      <c r="BL24" s="97"/>
      <c r="BM24" s="97"/>
      <c r="BN24" s="97"/>
      <c r="BO24" s="97"/>
      <c r="BP24" s="97"/>
      <c r="BQ24" s="97"/>
      <c r="BR24" s="97"/>
      <c r="BS24" s="97"/>
      <c r="BT24" s="97"/>
      <c r="BU24" s="97"/>
      <c r="BV24" s="97"/>
      <c r="BW24" s="97"/>
      <c r="BX24" s="97"/>
      <c r="BY24" s="97"/>
      <c r="BZ24" s="97"/>
      <c r="CA24" s="97"/>
      <c r="CB24" s="97"/>
      <c r="CC24" s="97"/>
      <c r="CD24" s="97"/>
      <c r="CE24" s="97"/>
      <c r="CF24" s="97"/>
      <c r="CG24" s="97"/>
      <c r="CH24" s="97"/>
      <c r="CI24" s="97"/>
      <c r="CJ24" s="97"/>
      <c r="CK24" s="97"/>
      <c r="CL24" s="97"/>
      <c r="CM24" s="97"/>
      <c r="CN24" s="97"/>
      <c r="CO24" s="97"/>
      <c r="CP24" s="97"/>
      <c r="CQ24" s="97"/>
      <c r="CR24" s="97"/>
      <c r="CS24" s="97"/>
      <c r="CT24" s="97"/>
      <c r="CU24" s="97"/>
      <c r="CV24" s="97"/>
      <c r="CW24" s="97"/>
      <c r="CX24" s="97"/>
      <c r="CY24" s="97"/>
      <c r="CZ24" s="97"/>
    </row>
    <row r="25" ht="11.25" hidden="1" customHeight="1" spans="1:104">
      <c r="A25"/>
      <c r="C25" s="84"/>
      <c r="D25" s="84"/>
      <c r="E25" s="84"/>
      <c r="F25" s="84"/>
      <c r="G25" s="84"/>
      <c r="H25" s="84"/>
      <c r="I25" s="84"/>
      <c r="J25" s="84"/>
      <c r="K25" s="133"/>
      <c r="L25" s="84"/>
      <c r="M25" s="84"/>
      <c r="N25" s="84"/>
      <c r="O25" s="84"/>
      <c r="P25" s="84"/>
      <c r="Q25" s="84"/>
      <c r="R25" s="84"/>
      <c r="S25" s="84"/>
      <c r="T25" s="84"/>
      <c r="U25" s="97">
        <v>5</v>
      </c>
      <c r="V25" s="158" t="str">
        <f>IF(ISNUMBER(SMALL(記入日範囲,Z23+1)),SMALL(記入日範囲,Z23+1)," ")</f>
        <v> </v>
      </c>
      <c r="W25" s="97"/>
      <c r="X25" s="97">
        <f>IF(ISNUMBER(DCOUNTA(査読範囲,W24,V24:V25)),DCOUNTA(査読範囲,W24,V24:V25),0)</f>
        <v>0</v>
      </c>
      <c r="Y25" s="97">
        <f>IF(ISNUMBER(DCOUNTA(査読範囲,V24,V24:V25)),DCOUNTA(査読範囲,V24,V24:V25),0)</f>
        <v>0</v>
      </c>
      <c r="Z25" s="97">
        <f>Z23+Y25</f>
        <v>0</v>
      </c>
      <c r="AA25" s="97"/>
      <c r="AB25" s="97"/>
      <c r="AC25" s="97"/>
      <c r="AD25" s="97"/>
      <c r="AE25" s="97"/>
      <c r="AF25" s="97"/>
      <c r="AG25" s="97"/>
      <c r="AH25" s="97"/>
      <c r="AI25" s="97"/>
      <c r="AJ25" s="97"/>
      <c r="AK25" s="97"/>
      <c r="AL25" s="97"/>
      <c r="AM25" s="97"/>
      <c r="AN25" s="97"/>
      <c r="AO25" s="97"/>
      <c r="AP25" s="97"/>
      <c r="AQ25" s="97"/>
      <c r="AR25" s="97"/>
      <c r="AS25" s="97"/>
      <c r="AT25" s="97"/>
      <c r="AU25" s="97"/>
      <c r="AV25" s="97"/>
      <c r="AW25" s="97"/>
      <c r="AX25" s="97"/>
      <c r="AY25" s="97"/>
      <c r="AZ25" s="97"/>
      <c r="BA25" s="97"/>
      <c r="BB25" s="97"/>
      <c r="BC25" s="97"/>
      <c r="BD25" s="97"/>
      <c r="BE25" s="97"/>
      <c r="BF25" s="97"/>
      <c r="BG25" s="97"/>
      <c r="BH25" s="97"/>
      <c r="BI25" s="97"/>
      <c r="BJ25" s="97"/>
      <c r="BK25" s="97"/>
      <c r="BL25" s="97"/>
      <c r="BM25" s="97"/>
      <c r="BN25" s="97"/>
      <c r="BO25" s="97"/>
      <c r="BP25" s="97"/>
      <c r="BQ25" s="97"/>
      <c r="BR25" s="97"/>
      <c r="BS25" s="97"/>
      <c r="BT25" s="97"/>
      <c r="BU25" s="97"/>
      <c r="BV25" s="97"/>
      <c r="BW25" s="97"/>
      <c r="BX25" s="97"/>
      <c r="BY25" s="97"/>
      <c r="BZ25" s="97"/>
      <c r="CA25" s="97"/>
      <c r="CB25" s="97"/>
      <c r="CC25" s="97"/>
      <c r="CD25" s="97"/>
      <c r="CE25" s="97"/>
      <c r="CF25" s="97"/>
      <c r="CG25" s="97"/>
      <c r="CH25" s="97"/>
      <c r="CI25" s="97"/>
      <c r="CJ25" s="97"/>
      <c r="CK25" s="97"/>
      <c r="CL25" s="97"/>
      <c r="CM25" s="97"/>
      <c r="CN25" s="97"/>
      <c r="CO25" s="97"/>
      <c r="CP25" s="97"/>
      <c r="CQ25" s="97"/>
      <c r="CR25" s="97"/>
      <c r="CS25" s="97"/>
      <c r="CT25" s="97"/>
      <c r="CU25" s="97"/>
      <c r="CV25" s="97"/>
      <c r="CW25" s="97"/>
      <c r="CX25" s="97"/>
      <c r="CY25" s="97"/>
      <c r="CZ25" s="97"/>
    </row>
    <row r="26" ht="11.25" hidden="1" customHeight="1" spans="1:104">
      <c r="A26"/>
      <c r="C26" s="85" t="s">
        <v>294</v>
      </c>
      <c r="D26"/>
      <c r="E26"/>
      <c r="G26"/>
      <c r="H26"/>
      <c r="I26"/>
      <c r="J26"/>
      <c r="K26" s="129"/>
      <c r="L26"/>
      <c r="M26"/>
      <c r="N26"/>
      <c r="O26"/>
      <c r="P26"/>
      <c r="Q26"/>
      <c r="R26"/>
      <c r="S26"/>
      <c r="T26"/>
      <c r="U26" s="97"/>
      <c r="V26" s="131" t="s">
        <v>290</v>
      </c>
      <c r="W26" s="130" t="s">
        <v>50</v>
      </c>
      <c r="X26" s="97"/>
      <c r="Y26" s="97"/>
      <c r="Z26" s="97"/>
      <c r="AA26" s="97"/>
      <c r="AB26" s="97"/>
      <c r="AC26" s="97"/>
      <c r="AD26" s="97"/>
      <c r="AE26" s="97"/>
      <c r="AF26" s="97"/>
      <c r="AG26" s="97"/>
      <c r="AH26" s="97"/>
      <c r="AI26" s="97"/>
      <c r="AJ26" s="97"/>
      <c r="AK26" s="97"/>
      <c r="AL26" s="97"/>
      <c r="AM26" s="97"/>
      <c r="AN26" s="97"/>
      <c r="AO26" s="97"/>
      <c r="AP26" s="97"/>
      <c r="AQ26" s="97"/>
      <c r="AR26" s="97"/>
      <c r="AS26" s="97"/>
      <c r="AT26" s="97"/>
      <c r="AU26" s="97"/>
      <c r="AV26" s="97"/>
      <c r="AW26" s="97"/>
      <c r="AX26" s="97"/>
      <c r="AY26" s="97"/>
      <c r="AZ26" s="97"/>
      <c r="BA26" s="97"/>
      <c r="BB26" s="97"/>
      <c r="BC26" s="97"/>
      <c r="BD26" s="97"/>
      <c r="BE26" s="97"/>
      <c r="BF26" s="97"/>
      <c r="BG26" s="97"/>
      <c r="BH26" s="97"/>
      <c r="BI26" s="97"/>
      <c r="BJ26" s="97"/>
      <c r="BK26" s="97"/>
      <c r="BL26" s="97"/>
      <c r="BM26" s="97"/>
      <c r="BN26" s="97"/>
      <c r="BO26" s="97"/>
      <c r="BP26" s="97"/>
      <c r="BQ26" s="97"/>
      <c r="BR26" s="97"/>
      <c r="BS26" s="97"/>
      <c r="BT26" s="97"/>
      <c r="BU26" s="97"/>
      <c r="BV26" s="97"/>
      <c r="BW26" s="97"/>
      <c r="BX26" s="97"/>
      <c r="BY26" s="97"/>
      <c r="BZ26" s="97"/>
      <c r="CA26" s="97"/>
      <c r="CB26" s="97"/>
      <c r="CC26" s="97"/>
      <c r="CD26" s="97"/>
      <c r="CE26" s="97"/>
      <c r="CF26" s="97"/>
      <c r="CG26" s="97"/>
      <c r="CH26" s="97"/>
      <c r="CI26" s="97"/>
      <c r="CJ26" s="97"/>
      <c r="CK26" s="97"/>
      <c r="CL26" s="97"/>
      <c r="CM26" s="97"/>
      <c r="CN26" s="97"/>
      <c r="CO26" s="97"/>
      <c r="CP26" s="97"/>
      <c r="CQ26" s="97"/>
      <c r="CR26" s="97"/>
      <c r="CS26" s="97"/>
      <c r="CT26" s="97"/>
      <c r="CU26" s="97"/>
      <c r="CV26" s="97"/>
      <c r="CW26" s="97"/>
      <c r="CX26" s="97"/>
      <c r="CY26" s="97"/>
      <c r="CZ26" s="97"/>
    </row>
    <row r="27" ht="11.25" hidden="1" customHeight="1" spans="1:104">
      <c r="A27"/>
      <c r="C27" s="86" t="s">
        <v>295</v>
      </c>
      <c r="D27"/>
      <c r="E27"/>
      <c r="G27"/>
      <c r="H27"/>
      <c r="I27"/>
      <c r="J27"/>
      <c r="K27" s="129"/>
      <c r="L27"/>
      <c r="M27"/>
      <c r="N27"/>
      <c r="O27"/>
      <c r="P27"/>
      <c r="Q27"/>
      <c r="R27"/>
      <c r="S27"/>
      <c r="T27"/>
      <c r="U27" s="97"/>
      <c r="V27" s="97"/>
      <c r="W27" s="97"/>
      <c r="X27" s="97"/>
      <c r="Y27" s="97"/>
      <c r="Z27" s="97"/>
      <c r="AA27" s="97"/>
      <c r="AB27" s="97"/>
      <c r="AC27" s="97"/>
      <c r="AD27" s="97"/>
      <c r="AE27" s="97"/>
      <c r="AF27" s="97"/>
      <c r="AG27" s="97"/>
      <c r="AH27" s="97"/>
      <c r="AI27" s="97"/>
      <c r="AJ27" s="97"/>
      <c r="AK27" s="97"/>
      <c r="AL27" s="97"/>
      <c r="AM27" s="97"/>
      <c r="AN27" s="97"/>
      <c r="AO27" s="97"/>
      <c r="AP27" s="97"/>
      <c r="AQ27" s="97"/>
      <c r="AR27" s="97"/>
      <c r="AS27" s="97"/>
      <c r="AT27" s="97"/>
      <c r="AU27" s="97"/>
      <c r="AV27" s="97"/>
      <c r="AW27" s="97"/>
      <c r="AX27" s="97"/>
      <c r="AY27" s="97"/>
      <c r="AZ27" s="97"/>
      <c r="BA27" s="97"/>
      <c r="BB27" s="97"/>
      <c r="BC27" s="97"/>
      <c r="BD27" s="97"/>
      <c r="BE27" s="97"/>
      <c r="BF27" s="97"/>
      <c r="BG27" s="97"/>
      <c r="BH27" s="97"/>
      <c r="BI27" s="97"/>
      <c r="BJ27" s="97"/>
      <c r="BK27" s="97"/>
      <c r="BL27" s="97"/>
      <c r="BM27" s="97"/>
      <c r="BN27" s="97"/>
      <c r="BO27" s="97"/>
      <c r="BP27" s="97"/>
      <c r="BQ27" s="97"/>
      <c r="BR27" s="97"/>
      <c r="BS27" s="97"/>
      <c r="BT27" s="97"/>
      <c r="BU27" s="97"/>
      <c r="BV27" s="97"/>
      <c r="BW27" s="97"/>
      <c r="BX27" s="97"/>
      <c r="BY27" s="97"/>
      <c r="BZ27" s="97"/>
      <c r="CA27" s="97"/>
      <c r="CB27" s="97"/>
      <c r="CC27" s="97"/>
      <c r="CD27" s="97"/>
      <c r="CE27" s="97"/>
      <c r="CF27" s="97"/>
      <c r="CG27" s="97"/>
      <c r="CH27" s="97"/>
      <c r="CI27" s="97"/>
      <c r="CJ27" s="97"/>
      <c r="CK27" s="97"/>
      <c r="CL27" s="97"/>
      <c r="CM27" s="97"/>
      <c r="CN27" s="97"/>
      <c r="CO27" s="97"/>
      <c r="CP27" s="97"/>
      <c r="CQ27" s="97"/>
      <c r="CR27" s="97"/>
      <c r="CS27" s="97"/>
      <c r="CT27" s="97"/>
      <c r="CU27" s="97"/>
      <c r="CV27" s="97"/>
      <c r="CW27" s="97"/>
      <c r="CX27" s="97"/>
      <c r="CY27" s="97"/>
      <c r="CZ27" s="97"/>
    </row>
    <row r="28" ht="11.25" hidden="1" customHeight="1" spans="1:104">
      <c r="A28"/>
      <c r="D28"/>
      <c r="E28"/>
      <c r="G28"/>
      <c r="H28"/>
      <c r="I28"/>
      <c r="J28"/>
      <c r="K28" s="129"/>
      <c r="L28"/>
      <c r="M28"/>
      <c r="N28"/>
      <c r="O28"/>
      <c r="P28"/>
      <c r="Q28"/>
      <c r="R28"/>
      <c r="S28"/>
      <c r="T28"/>
      <c r="U28" s="97"/>
      <c r="V28" s="97"/>
      <c r="W28" s="97"/>
      <c r="X28" s="97"/>
      <c r="Y28" s="97"/>
      <c r="Z28" s="97"/>
      <c r="AA28" s="97"/>
      <c r="AB28" s="97"/>
      <c r="AC28" s="97"/>
      <c r="AD28" s="97"/>
      <c r="AE28" s="97"/>
      <c r="AF28" s="97"/>
      <c r="AG28" s="97"/>
      <c r="AH28" s="97"/>
      <c r="AI28" s="97"/>
      <c r="AJ28" s="97"/>
      <c r="AK28" s="97"/>
      <c r="AL28" s="97"/>
      <c r="AM28" s="97"/>
      <c r="AN28" s="97"/>
      <c r="AO28" s="97"/>
      <c r="AP28" s="97"/>
      <c r="AQ28" s="97"/>
      <c r="AR28" s="97"/>
      <c r="AS28" s="97"/>
      <c r="AT28" s="97"/>
      <c r="AU28" s="97"/>
      <c r="AV28" s="97"/>
      <c r="AW28" s="97"/>
      <c r="AX28" s="97"/>
      <c r="AY28" s="97"/>
      <c r="AZ28" s="97"/>
      <c r="BA28" s="97"/>
      <c r="BB28" s="97"/>
      <c r="BC28" s="97"/>
      <c r="BD28" s="97"/>
      <c r="BE28" s="97"/>
      <c r="BF28" s="97"/>
      <c r="BG28" s="97"/>
      <c r="BH28" s="97"/>
      <c r="BI28" s="97"/>
      <c r="BJ28" s="97"/>
      <c r="BK28" s="97"/>
      <c r="BL28" s="97"/>
      <c r="BM28" s="97"/>
      <c r="BN28" s="97"/>
      <c r="BO28" s="97"/>
      <c r="BP28" s="97"/>
      <c r="BQ28" s="97"/>
      <c r="BR28" s="97"/>
      <c r="BS28" s="97"/>
      <c r="BT28" s="97"/>
      <c r="BU28" s="97"/>
      <c r="BV28" s="97"/>
      <c r="BW28" s="97"/>
      <c r="BX28" s="97"/>
      <c r="BY28" s="97"/>
      <c r="BZ28" s="97"/>
      <c r="CA28" s="97"/>
      <c r="CB28" s="97"/>
      <c r="CC28" s="97"/>
      <c r="CD28" s="97"/>
      <c r="CE28" s="97"/>
      <c r="CF28" s="97"/>
      <c r="CG28" s="97"/>
      <c r="CH28" s="97"/>
      <c r="CI28" s="97"/>
      <c r="CJ28" s="97"/>
      <c r="CK28" s="97"/>
      <c r="CL28" s="97"/>
      <c r="CM28" s="97"/>
      <c r="CN28" s="97"/>
      <c r="CO28" s="97"/>
      <c r="CP28" s="97"/>
      <c r="CQ28" s="97"/>
      <c r="CR28" s="97"/>
      <c r="CS28" s="97"/>
      <c r="CT28" s="97"/>
      <c r="CU28" s="97"/>
      <c r="CV28" s="97"/>
      <c r="CW28" s="97"/>
      <c r="CX28" s="97"/>
      <c r="CY28" s="97"/>
      <c r="CZ28" s="97"/>
    </row>
    <row r="29" ht="11.25" hidden="1" customHeight="1" spans="1:104">
      <c r="A29"/>
      <c r="D29"/>
      <c r="E29"/>
      <c r="G29"/>
      <c r="H29"/>
      <c r="I29"/>
      <c r="J29"/>
      <c r="K29" s="129"/>
      <c r="L29"/>
      <c r="M29"/>
      <c r="N29"/>
      <c r="O29"/>
      <c r="P29"/>
      <c r="Q29"/>
      <c r="R29"/>
      <c r="S29"/>
      <c r="T29"/>
      <c r="U29" s="97"/>
      <c r="V29" s="97"/>
      <c r="W29" s="97"/>
      <c r="X29" s="97"/>
      <c r="Y29" s="97"/>
      <c r="Z29" s="97"/>
      <c r="AA29" s="97"/>
      <c r="AB29" s="97"/>
      <c r="AC29" s="97"/>
      <c r="AD29" s="97"/>
      <c r="AE29" s="97"/>
      <c r="AF29" s="97"/>
      <c r="AG29" s="97"/>
      <c r="AH29" s="97"/>
      <c r="AI29" s="97"/>
      <c r="AJ29" s="97"/>
      <c r="AK29" s="97"/>
      <c r="AL29" s="97"/>
      <c r="AM29" s="97"/>
      <c r="AN29" s="97"/>
      <c r="AO29" s="97"/>
      <c r="AP29" s="97"/>
      <c r="AQ29" s="97"/>
      <c r="AR29" s="97"/>
      <c r="AS29" s="97"/>
      <c r="AT29" s="97"/>
      <c r="AU29" s="97"/>
      <c r="AV29" s="97"/>
      <c r="AW29" s="97"/>
      <c r="AX29" s="97"/>
      <c r="AY29" s="97"/>
      <c r="AZ29" s="97"/>
      <c r="BA29" s="97"/>
      <c r="BB29" s="97"/>
      <c r="BC29" s="97"/>
      <c r="BD29" s="97"/>
      <c r="BE29" s="97"/>
      <c r="BF29" s="97"/>
      <c r="BG29" s="97"/>
      <c r="BH29" s="97"/>
      <c r="BI29" s="97"/>
      <c r="BJ29" s="97"/>
      <c r="BK29" s="97"/>
      <c r="BL29" s="97"/>
      <c r="BM29" s="97"/>
      <c r="BN29" s="97"/>
      <c r="BO29" s="97"/>
      <c r="BP29" s="97"/>
      <c r="BQ29" s="97"/>
      <c r="BR29" s="97"/>
      <c r="BS29" s="97"/>
      <c r="BT29" s="97"/>
      <c r="BU29" s="97"/>
      <c r="BV29" s="97"/>
      <c r="BW29" s="97"/>
      <c r="BX29" s="97"/>
      <c r="BY29" s="97"/>
      <c r="BZ29" s="97"/>
      <c r="CA29" s="97"/>
      <c r="CB29" s="97"/>
      <c r="CC29" s="97"/>
      <c r="CD29" s="97"/>
      <c r="CE29" s="97"/>
      <c r="CF29" s="97"/>
      <c r="CG29" s="97"/>
      <c r="CH29" s="97"/>
      <c r="CI29" s="97"/>
      <c r="CJ29" s="97"/>
      <c r="CK29" s="97"/>
      <c r="CL29" s="97"/>
      <c r="CM29" s="97"/>
      <c r="CN29" s="97"/>
      <c r="CO29" s="97"/>
      <c r="CP29" s="97"/>
      <c r="CQ29" s="97"/>
      <c r="CR29" s="97"/>
      <c r="CS29" s="97"/>
      <c r="CT29" s="97"/>
      <c r="CU29" s="97"/>
      <c r="CV29" s="97"/>
      <c r="CW29" s="97"/>
      <c r="CX29" s="97"/>
      <c r="CY29" s="97"/>
      <c r="CZ29" s="97"/>
    </row>
    <row r="30" ht="11.25" hidden="1" customHeight="1" spans="1:29">
      <c r="A30" s="87"/>
      <c r="B30" s="87"/>
      <c r="C30" s="87"/>
      <c r="D30" s="87"/>
      <c r="E30" s="87"/>
      <c r="F30" s="87"/>
      <c r="G30" s="87"/>
      <c r="H30" s="87"/>
      <c r="I30" s="87"/>
      <c r="J30" s="87"/>
      <c r="K30" s="134"/>
      <c r="L30" s="87"/>
      <c r="M30" s="87"/>
      <c r="N30" s="87"/>
      <c r="O30" s="87"/>
      <c r="P30" s="87"/>
      <c r="Q30" s="87"/>
      <c r="R30" s="87"/>
      <c r="S30" s="87"/>
      <c r="T30" s="87"/>
      <c r="U30" s="159"/>
      <c r="V30" s="87"/>
      <c r="W30" s="87"/>
      <c r="X30" s="159"/>
      <c r="Y30" s="87"/>
      <c r="Z30" s="159"/>
      <c r="AA30" s="159"/>
      <c r="AB30" s="159"/>
      <c r="AC30" s="159"/>
    </row>
    <row r="31" ht="18" customHeight="1" spans="1:8">
      <c r="A31"/>
      <c r="C31" s="88"/>
      <c r="D31" s="89" t="s">
        <v>296</v>
      </c>
      <c r="E31" s="89"/>
      <c r="F31" s="88"/>
      <c r="G31" s="90"/>
      <c r="H31" s="90"/>
    </row>
    <row r="32" ht="6.75" customHeight="1" spans="3:8">
      <c r="C32" s="88"/>
      <c r="D32" s="91"/>
      <c r="E32" s="91"/>
      <c r="F32" s="91"/>
      <c r="G32" s="91"/>
      <c r="H32" s="90"/>
    </row>
    <row r="33" ht="15.75" customHeight="1" spans="1:20">
      <c r="A33" s="92" t="s">
        <v>297</v>
      </c>
      <c r="D33"/>
      <c r="E33"/>
      <c r="G33"/>
      <c r="H33"/>
      <c r="I33"/>
      <c r="J33" s="135" t="s">
        <v>298</v>
      </c>
      <c r="K33" s="136"/>
      <c r="L33" s="137"/>
      <c r="M33" s="137"/>
      <c r="N33" s="137"/>
      <c r="O33" s="137"/>
      <c r="P33" s="137"/>
      <c r="Q33" s="137"/>
      <c r="R33" s="137"/>
      <c r="S33" s="137"/>
      <c r="T33" s="137"/>
    </row>
    <row r="34" ht="15" customHeight="1" spans="1:20">
      <c r="A34" s="93"/>
      <c r="B34" s="94"/>
      <c r="C34" s="95" t="s">
        <v>299</v>
      </c>
      <c r="D34" s="96"/>
      <c r="E34" s="96"/>
      <c r="F34" s="97"/>
      <c r="G34" s="96"/>
      <c r="H34" s="96"/>
      <c r="I34" s="96"/>
      <c r="J34" s="138"/>
      <c r="K34" s="139"/>
      <c r="L34" s="140"/>
      <c r="M34" s="140"/>
      <c r="N34" s="140"/>
      <c r="O34" s="140"/>
      <c r="P34" s="140"/>
      <c r="Q34" s="140"/>
      <c r="R34" s="140"/>
      <c r="S34" s="140"/>
      <c r="T34" s="140"/>
    </row>
    <row r="35" ht="14.25" customHeight="1" spans="1:20">
      <c r="A35" s="93"/>
      <c r="B35" s="82"/>
      <c r="C35" s="95" t="s">
        <v>300</v>
      </c>
      <c r="D35" s="96"/>
      <c r="E35" s="96"/>
      <c r="F35" s="98"/>
      <c r="G35" s="98"/>
      <c r="H35" s="98"/>
      <c r="I35" s="98"/>
      <c r="J35" s="141"/>
      <c r="K35" s="142"/>
      <c r="L35" s="143"/>
      <c r="M35" s="143"/>
      <c r="N35" s="143"/>
      <c r="O35" s="143"/>
      <c r="P35" s="143"/>
      <c r="Q35" s="143"/>
      <c r="R35" s="143"/>
      <c r="S35" s="143"/>
      <c r="T35" s="143"/>
    </row>
    <row r="36" ht="10.5" customHeight="1" spans="1:20">
      <c r="A36" s="82"/>
      <c r="B36" s="82"/>
      <c r="C36" s="95"/>
      <c r="D36" s="96"/>
      <c r="E36" s="96"/>
      <c r="F36" s="97"/>
      <c r="G36" s="96"/>
      <c r="H36" s="96"/>
      <c r="I36" s="96"/>
      <c r="J36" s="96"/>
      <c r="K36" s="96"/>
      <c r="L36" s="96"/>
      <c r="M36" s="96"/>
      <c r="N36" s="96"/>
      <c r="O36" s="96"/>
      <c r="P36" s="96"/>
      <c r="Q36" s="96"/>
      <c r="R36" s="96"/>
      <c r="S36" s="96"/>
      <c r="T36" s="96"/>
    </row>
    <row r="37" ht="18" customHeight="1" spans="1:20">
      <c r="A37" s="99" t="s">
        <v>301</v>
      </c>
      <c r="B37" s="100"/>
      <c r="C37" s="101"/>
      <c r="D37" s="101"/>
      <c r="E37" s="101"/>
      <c r="F37" s="101"/>
      <c r="G37" s="102" t="s">
        <v>302</v>
      </c>
      <c r="H37" s="102"/>
      <c r="I37" s="144"/>
      <c r="J37" s="145">
        <v>5</v>
      </c>
      <c r="K37" s="146"/>
      <c r="L37" s="147"/>
      <c r="M37" s="147"/>
      <c r="N37" s="147"/>
      <c r="O37" s="147"/>
      <c r="P37" s="147"/>
      <c r="Q37" s="147"/>
      <c r="R37" s="147"/>
      <c r="S37" s="147"/>
      <c r="T37" s="147"/>
    </row>
    <row r="38" ht="23.25" customHeight="1" spans="1:20">
      <c r="A38" s="173" t="s">
        <v>303</v>
      </c>
      <c r="B38" s="174"/>
      <c r="C38" s="106" t="s">
        <v>304</v>
      </c>
      <c r="D38" s="106"/>
      <c r="E38" s="106"/>
      <c r="F38" s="106"/>
      <c r="G38" s="107"/>
      <c r="H38" s="107"/>
      <c r="I38" s="144"/>
      <c r="J38" s="148"/>
      <c r="K38" s="149"/>
      <c r="L38" s="150"/>
      <c r="M38" s="150"/>
      <c r="N38" s="150"/>
      <c r="O38" s="150"/>
      <c r="P38" s="150"/>
      <c r="Q38" s="150"/>
      <c r="R38" s="150"/>
      <c r="S38" s="150"/>
      <c r="T38" s="150"/>
    </row>
    <row r="39" ht="11.25" customHeight="1" spans="1:20">
      <c r="A39" s="108"/>
      <c r="D39"/>
      <c r="E39"/>
      <c r="J39" s="140"/>
      <c r="K39" s="140"/>
      <c r="L39" s="140"/>
      <c r="M39" s="140"/>
      <c r="N39" s="140"/>
      <c r="O39" s="140"/>
      <c r="P39" s="140"/>
      <c r="Q39" s="140"/>
      <c r="R39" s="140"/>
      <c r="S39" s="140"/>
      <c r="T39" s="140"/>
    </row>
    <row r="40" customHeight="1" spans="1:20">
      <c r="A40" s="108"/>
      <c r="C40" s="109"/>
      <c r="D40" s="81"/>
      <c r="E40" s="81"/>
      <c r="F40" s="109"/>
      <c r="G40" s="110"/>
      <c r="H40" s="110"/>
      <c r="I40" s="93" t="s">
        <v>305</v>
      </c>
      <c r="J40" s="151" t="e">
        <f>IF(J37&lt;&gt;0,DCOUNTA(査読範囲,C43,C26:C27)/J37,IF(J38&lt;&gt;0,DCOUNTA(査読範囲,C43,C26:C27)/J38,0))</f>
        <v>#NAME?</v>
      </c>
      <c r="K40" s="152"/>
      <c r="L40" s="153"/>
      <c r="M40" s="153"/>
      <c r="N40" s="153"/>
      <c r="O40" s="153"/>
      <c r="P40" s="153"/>
      <c r="Q40" s="153"/>
      <c r="R40" s="153"/>
      <c r="S40" s="153"/>
      <c r="T40" s="153"/>
    </row>
    <row r="41" ht="16.5" customHeight="1" spans="1:20">
      <c r="A41" s="108"/>
      <c r="C41" s="93" t="s">
        <v>118</v>
      </c>
      <c r="D41" s="111">
        <v>1.5</v>
      </c>
      <c r="E41" s="112"/>
      <c r="F41" s="92" t="s">
        <v>306</v>
      </c>
      <c r="G41"/>
      <c r="H41"/>
      <c r="I41"/>
      <c r="J41"/>
      <c r="K41"/>
      <c r="L41"/>
      <c r="M41"/>
      <c r="N41"/>
      <c r="O41"/>
      <c r="P41"/>
      <c r="Q41"/>
      <c r="R41"/>
      <c r="S41"/>
      <c r="T41"/>
    </row>
    <row r="42" ht="6" customHeight="1" spans="6:6">
      <c r="F42" t="s">
        <v>307</v>
      </c>
    </row>
    <row r="43" ht="20.25" customHeight="1" spans="1:20">
      <c r="A43" s="113" t="s">
        <v>308</v>
      </c>
      <c r="B43" s="114" t="s">
        <v>309</v>
      </c>
      <c r="C43" s="113" t="s">
        <v>294</v>
      </c>
      <c r="D43" s="113" t="s">
        <v>290</v>
      </c>
      <c r="E43" s="115" t="s">
        <v>310</v>
      </c>
      <c r="F43" s="113" t="s">
        <v>311</v>
      </c>
      <c r="G43" s="113" t="s">
        <v>312</v>
      </c>
      <c r="H43" s="115" t="s">
        <v>313</v>
      </c>
      <c r="I43" s="113" t="s">
        <v>50</v>
      </c>
      <c r="J43" s="113" t="s">
        <v>314</v>
      </c>
      <c r="K43" s="113" t="s">
        <v>315</v>
      </c>
      <c r="L43" s="96"/>
      <c r="M43" s="96"/>
      <c r="N43" s="96"/>
      <c r="O43" s="96"/>
      <c r="P43" s="96"/>
      <c r="Q43" s="96"/>
      <c r="R43" s="96"/>
      <c r="S43" s="96"/>
      <c r="T43" s="96"/>
    </row>
    <row r="44" s="81" customFormat="1" ht="28.5" customHeight="1" spans="1:20">
      <c r="A44" s="116">
        <v>1</v>
      </c>
      <c r="B44" s="117"/>
      <c r="C44" s="118"/>
      <c r="D44" s="119"/>
      <c r="E44" s="120"/>
      <c r="F44" s="121"/>
      <c r="G44" s="122"/>
      <c r="H44" s="123"/>
      <c r="I44" s="154"/>
      <c r="J44" s="155"/>
      <c r="K44" s="156"/>
      <c r="L44" s="157"/>
      <c r="M44" s="157"/>
      <c r="N44" s="157"/>
      <c r="O44" s="157"/>
      <c r="P44" s="157"/>
      <c r="Q44" s="157"/>
      <c r="R44" s="157"/>
      <c r="S44" s="157"/>
      <c r="T44" s="157"/>
    </row>
    <row r="45" s="81" customFormat="1" ht="28.5" customHeight="1" spans="1:22">
      <c r="A45" s="116">
        <f>A44+1</f>
        <v>2</v>
      </c>
      <c r="B45" s="124"/>
      <c r="C45" s="118"/>
      <c r="D45" s="119"/>
      <c r="E45" s="120"/>
      <c r="F45" s="121"/>
      <c r="G45" s="122"/>
      <c r="H45" s="125"/>
      <c r="I45" s="154"/>
      <c r="J45" s="155"/>
      <c r="K45" s="156"/>
      <c r="L45" s="157"/>
      <c r="M45" s="157"/>
      <c r="N45" s="157"/>
      <c r="O45" s="157"/>
      <c r="P45" s="157"/>
      <c r="Q45" s="157"/>
      <c r="R45" s="157"/>
      <c r="S45" s="157"/>
      <c r="T45" s="157"/>
      <c r="V45" s="160"/>
    </row>
    <row r="46" s="81" customFormat="1" ht="28.5" customHeight="1" spans="1:24">
      <c r="A46" s="116">
        <f>A45+1</f>
        <v>3</v>
      </c>
      <c r="B46" s="124"/>
      <c r="C46" s="118"/>
      <c r="D46" s="119"/>
      <c r="E46" s="120"/>
      <c r="F46" s="121"/>
      <c r="G46" s="122"/>
      <c r="H46" s="123"/>
      <c r="I46" s="154"/>
      <c r="J46" s="155"/>
      <c r="K46" s="156"/>
      <c r="L46" s="157"/>
      <c r="M46" s="157"/>
      <c r="N46" s="157"/>
      <c r="O46" s="157"/>
      <c r="P46" s="157"/>
      <c r="Q46" s="157"/>
      <c r="R46" s="157"/>
      <c r="S46" s="157"/>
      <c r="T46" s="157"/>
      <c r="V46" s="160"/>
      <c r="W46" s="160"/>
      <c r="X46" s="160"/>
    </row>
    <row r="47" s="81" customFormat="1" ht="28.5" customHeight="1" spans="1:24">
      <c r="A47" s="116">
        <f t="shared" ref="A47:A57" si="0">A46+1</f>
        <v>4</v>
      </c>
      <c r="B47" s="117"/>
      <c r="C47" s="118"/>
      <c r="D47" s="119"/>
      <c r="E47" s="120"/>
      <c r="F47" s="121"/>
      <c r="G47" s="122"/>
      <c r="H47" s="123"/>
      <c r="I47" s="154"/>
      <c r="J47" s="155"/>
      <c r="K47" s="156"/>
      <c r="L47" s="157"/>
      <c r="M47" s="157"/>
      <c r="N47" s="157"/>
      <c r="O47" s="157"/>
      <c r="P47" s="157"/>
      <c r="Q47" s="157"/>
      <c r="R47" s="157"/>
      <c r="S47" s="157"/>
      <c r="T47" s="157"/>
      <c r="V47" s="160"/>
      <c r="W47" s="160"/>
      <c r="X47" s="160"/>
    </row>
    <row r="48" s="81" customFormat="1" ht="28.5" customHeight="1" spans="1:24">
      <c r="A48" s="116">
        <f t="shared" si="0"/>
        <v>5</v>
      </c>
      <c r="B48" s="124"/>
      <c r="C48" s="118"/>
      <c r="D48" s="119"/>
      <c r="E48" s="120"/>
      <c r="F48" s="121"/>
      <c r="G48" s="122"/>
      <c r="H48" s="125"/>
      <c r="I48" s="154"/>
      <c r="J48" s="155"/>
      <c r="K48" s="156"/>
      <c r="L48" s="157"/>
      <c r="M48" s="157"/>
      <c r="N48" s="157"/>
      <c r="O48" s="157"/>
      <c r="P48" s="157"/>
      <c r="Q48" s="157"/>
      <c r="R48" s="157"/>
      <c r="S48" s="157"/>
      <c r="T48" s="157"/>
      <c r="V48" s="160"/>
      <c r="W48" s="160"/>
      <c r="X48" s="160"/>
    </row>
    <row r="49" s="81" customFormat="1" ht="30" customHeight="1" spans="1:24">
      <c r="A49" s="116">
        <f t="shared" si="0"/>
        <v>6</v>
      </c>
      <c r="B49" s="117"/>
      <c r="C49" s="118"/>
      <c r="D49" s="119"/>
      <c r="E49" s="120"/>
      <c r="F49" s="121"/>
      <c r="G49" s="122"/>
      <c r="H49" s="125"/>
      <c r="I49" s="154"/>
      <c r="J49" s="155"/>
      <c r="K49" s="156"/>
      <c r="L49" s="157"/>
      <c r="M49" s="157"/>
      <c r="N49" s="157"/>
      <c r="O49" s="157"/>
      <c r="P49" s="157"/>
      <c r="Q49" s="157"/>
      <c r="R49" s="157"/>
      <c r="S49" s="157"/>
      <c r="T49" s="157"/>
      <c r="V49" s="160"/>
      <c r="W49" s="160"/>
      <c r="X49" s="160"/>
    </row>
    <row r="50" s="81" customFormat="1" ht="30" customHeight="1" spans="1:20">
      <c r="A50" s="116">
        <f t="shared" si="0"/>
        <v>7</v>
      </c>
      <c r="B50" s="117"/>
      <c r="C50" s="118"/>
      <c r="D50" s="119"/>
      <c r="E50" s="120"/>
      <c r="F50" s="121"/>
      <c r="G50" s="122"/>
      <c r="H50" s="125"/>
      <c r="I50" s="154"/>
      <c r="J50" s="155"/>
      <c r="K50" s="156"/>
      <c r="L50" s="157"/>
      <c r="M50" s="157"/>
      <c r="N50" s="157"/>
      <c r="O50" s="157"/>
      <c r="P50" s="157"/>
      <c r="Q50" s="157"/>
      <c r="R50" s="157"/>
      <c r="S50" s="157"/>
      <c r="T50" s="157"/>
    </row>
    <row r="51" s="81" customFormat="1" ht="30" customHeight="1" spans="1:20">
      <c r="A51" s="116">
        <f t="shared" si="0"/>
        <v>8</v>
      </c>
      <c r="B51" s="117"/>
      <c r="C51" s="118"/>
      <c r="D51" s="119"/>
      <c r="E51" s="120"/>
      <c r="F51" s="121"/>
      <c r="G51" s="122"/>
      <c r="H51" s="125"/>
      <c r="I51" s="154"/>
      <c r="J51" s="155"/>
      <c r="K51" s="156"/>
      <c r="L51" s="157"/>
      <c r="M51" s="157"/>
      <c r="N51" s="157"/>
      <c r="O51" s="157"/>
      <c r="P51" s="157"/>
      <c r="Q51" s="157"/>
      <c r="R51" s="157"/>
      <c r="S51" s="157"/>
      <c r="T51" s="157"/>
    </row>
    <row r="52" s="81" customFormat="1" ht="30" customHeight="1" spans="1:20">
      <c r="A52" s="116">
        <f t="shared" si="0"/>
        <v>9</v>
      </c>
      <c r="B52" s="117"/>
      <c r="C52" s="118"/>
      <c r="D52" s="119"/>
      <c r="E52" s="120"/>
      <c r="F52" s="121"/>
      <c r="G52" s="122"/>
      <c r="H52" s="126"/>
      <c r="I52" s="154"/>
      <c r="J52" s="155"/>
      <c r="K52" s="156"/>
      <c r="L52" s="157"/>
      <c r="M52" s="157"/>
      <c r="N52" s="157"/>
      <c r="O52" s="157"/>
      <c r="P52" s="157"/>
      <c r="Q52" s="157"/>
      <c r="R52" s="157"/>
      <c r="S52" s="157"/>
      <c r="T52" s="157"/>
    </row>
    <row r="53" s="81" customFormat="1" ht="30" customHeight="1" spans="1:20">
      <c r="A53" s="116">
        <f t="shared" si="0"/>
        <v>10</v>
      </c>
      <c r="B53" s="117"/>
      <c r="C53" s="118"/>
      <c r="D53" s="119"/>
      <c r="E53" s="120"/>
      <c r="F53" s="121"/>
      <c r="G53" s="122"/>
      <c r="H53" s="126"/>
      <c r="I53" s="154"/>
      <c r="J53" s="155"/>
      <c r="K53" s="156"/>
      <c r="L53" s="157"/>
      <c r="M53" s="157"/>
      <c r="N53" s="157"/>
      <c r="O53" s="157"/>
      <c r="P53" s="157"/>
      <c r="Q53" s="157"/>
      <c r="R53" s="157"/>
      <c r="S53" s="157"/>
      <c r="T53" s="157"/>
    </row>
    <row r="54" s="81" customFormat="1" ht="30" customHeight="1" spans="1:20">
      <c r="A54" s="116">
        <f t="shared" si="0"/>
        <v>11</v>
      </c>
      <c r="B54" s="117"/>
      <c r="C54" s="118"/>
      <c r="D54" s="119"/>
      <c r="E54" s="120"/>
      <c r="F54" s="121"/>
      <c r="G54" s="122"/>
      <c r="H54" s="125"/>
      <c r="I54" s="154"/>
      <c r="J54" s="155"/>
      <c r="K54" s="156"/>
      <c r="L54" s="157"/>
      <c r="M54" s="157"/>
      <c r="N54" s="157"/>
      <c r="O54" s="157"/>
      <c r="P54" s="157"/>
      <c r="Q54" s="157"/>
      <c r="R54" s="157"/>
      <c r="S54" s="157"/>
      <c r="T54" s="157"/>
    </row>
    <row r="55" s="81" customFormat="1" ht="30" customHeight="1" spans="1:20">
      <c r="A55" s="116">
        <f t="shared" si="0"/>
        <v>12</v>
      </c>
      <c r="B55" s="117"/>
      <c r="C55" s="118"/>
      <c r="D55" s="119"/>
      <c r="E55" s="120"/>
      <c r="F55" s="121"/>
      <c r="G55" s="122"/>
      <c r="H55" s="125"/>
      <c r="I55" s="154"/>
      <c r="J55" s="155"/>
      <c r="K55" s="156"/>
      <c r="L55" s="157"/>
      <c r="M55" s="157"/>
      <c r="N55" s="157"/>
      <c r="O55" s="157"/>
      <c r="P55" s="157"/>
      <c r="Q55" s="157"/>
      <c r="R55" s="157"/>
      <c r="S55" s="157"/>
      <c r="T55" s="157"/>
    </row>
    <row r="56" s="81" customFormat="1" ht="30" customHeight="1" spans="1:20">
      <c r="A56" s="116">
        <f t="shared" si="0"/>
        <v>13</v>
      </c>
      <c r="B56" s="117"/>
      <c r="C56" s="118"/>
      <c r="D56" s="119"/>
      <c r="E56" s="120"/>
      <c r="F56" s="121"/>
      <c r="G56" s="122"/>
      <c r="H56" s="125"/>
      <c r="I56" s="154"/>
      <c r="J56" s="155"/>
      <c r="K56" s="156"/>
      <c r="L56" s="157"/>
      <c r="M56" s="157"/>
      <c r="N56" s="157"/>
      <c r="O56" s="157"/>
      <c r="P56" s="157"/>
      <c r="Q56" s="157"/>
      <c r="R56" s="157"/>
      <c r="S56" s="157"/>
      <c r="T56" s="157"/>
    </row>
    <row r="57" s="81" customFormat="1" ht="30" customHeight="1" spans="1:20">
      <c r="A57" s="116">
        <f t="shared" si="0"/>
        <v>14</v>
      </c>
      <c r="B57" s="117"/>
      <c r="C57" s="118"/>
      <c r="D57" s="119"/>
      <c r="E57" s="120"/>
      <c r="F57" s="121"/>
      <c r="G57" s="122"/>
      <c r="H57" s="125"/>
      <c r="I57" s="154"/>
      <c r="J57" s="155"/>
      <c r="K57" s="156"/>
      <c r="L57" s="157"/>
      <c r="M57" s="157"/>
      <c r="N57" s="157"/>
      <c r="O57" s="157"/>
      <c r="P57" s="157"/>
      <c r="Q57" s="157"/>
      <c r="R57" s="157"/>
      <c r="S57" s="157"/>
      <c r="T57" s="157"/>
    </row>
    <row r="58" s="81" customFormat="1" ht="30" customHeight="1" spans="1:20">
      <c r="A58" s="116">
        <f t="shared" ref="A58:A63" si="1">A57+1</f>
        <v>15</v>
      </c>
      <c r="B58" s="117"/>
      <c r="C58" s="118"/>
      <c r="D58" s="119"/>
      <c r="E58" s="120"/>
      <c r="F58" s="121"/>
      <c r="G58" s="122"/>
      <c r="H58" s="125"/>
      <c r="I58" s="154"/>
      <c r="J58" s="155"/>
      <c r="K58" s="156"/>
      <c r="L58" s="157"/>
      <c r="M58" s="157"/>
      <c r="N58" s="157"/>
      <c r="O58" s="157"/>
      <c r="P58" s="157"/>
      <c r="Q58" s="157"/>
      <c r="R58" s="157"/>
      <c r="S58" s="157"/>
      <c r="T58" s="157"/>
    </row>
    <row r="59" s="81" customFormat="1" ht="30" customHeight="1" spans="1:20">
      <c r="A59" s="116">
        <f t="shared" si="1"/>
        <v>16</v>
      </c>
      <c r="B59" s="117"/>
      <c r="C59" s="118"/>
      <c r="D59" s="119"/>
      <c r="E59" s="120"/>
      <c r="F59" s="121"/>
      <c r="G59" s="122"/>
      <c r="H59" s="126"/>
      <c r="I59" s="154"/>
      <c r="J59" s="155"/>
      <c r="K59" s="156"/>
      <c r="L59" s="157"/>
      <c r="M59" s="157"/>
      <c r="N59" s="157"/>
      <c r="O59" s="157"/>
      <c r="P59" s="157"/>
      <c r="Q59" s="157"/>
      <c r="R59" s="157"/>
      <c r="S59" s="157"/>
      <c r="T59" s="157"/>
    </row>
    <row r="60" s="81" customFormat="1" ht="30" customHeight="1" spans="1:20">
      <c r="A60" s="116">
        <f t="shared" si="1"/>
        <v>17</v>
      </c>
      <c r="B60" s="117"/>
      <c r="C60" s="118"/>
      <c r="D60" s="119"/>
      <c r="E60" s="120"/>
      <c r="F60" s="121"/>
      <c r="G60" s="122"/>
      <c r="H60" s="126"/>
      <c r="I60" s="154"/>
      <c r="J60" s="155"/>
      <c r="K60" s="156"/>
      <c r="L60" s="157"/>
      <c r="M60" s="157"/>
      <c r="N60" s="157"/>
      <c r="O60" s="157"/>
      <c r="P60" s="157"/>
      <c r="Q60" s="157"/>
      <c r="R60" s="157"/>
      <c r="S60" s="157"/>
      <c r="T60" s="157"/>
    </row>
    <row r="61" s="81" customFormat="1" ht="30" customHeight="1" spans="1:20">
      <c r="A61" s="116">
        <f t="shared" si="1"/>
        <v>18</v>
      </c>
      <c r="B61" s="117"/>
      <c r="C61" s="118"/>
      <c r="D61" s="119"/>
      <c r="E61" s="120"/>
      <c r="F61" s="121"/>
      <c r="G61" s="122"/>
      <c r="H61" s="125"/>
      <c r="I61" s="154"/>
      <c r="J61" s="155"/>
      <c r="K61" s="156"/>
      <c r="L61" s="157"/>
      <c r="M61" s="157"/>
      <c r="N61" s="157"/>
      <c r="O61" s="157"/>
      <c r="P61" s="157"/>
      <c r="Q61" s="157"/>
      <c r="R61" s="157"/>
      <c r="S61" s="157"/>
      <c r="T61" s="157"/>
    </row>
    <row r="62" s="81" customFormat="1" ht="30" customHeight="1" spans="1:20">
      <c r="A62" s="116">
        <f t="shared" si="1"/>
        <v>19</v>
      </c>
      <c r="B62" s="117"/>
      <c r="C62" s="118"/>
      <c r="D62" s="119"/>
      <c r="E62" s="120"/>
      <c r="F62" s="121"/>
      <c r="G62" s="122"/>
      <c r="H62" s="125"/>
      <c r="I62" s="154"/>
      <c r="J62" s="155"/>
      <c r="K62" s="156"/>
      <c r="L62" s="157"/>
      <c r="M62" s="157"/>
      <c r="N62" s="157"/>
      <c r="O62" s="157"/>
      <c r="P62" s="157"/>
      <c r="Q62" s="157"/>
      <c r="R62" s="157"/>
      <c r="S62" s="157"/>
      <c r="T62" s="157"/>
    </row>
    <row r="63" s="81" customFormat="1" ht="30" customHeight="1" spans="1:20">
      <c r="A63" s="116">
        <f t="shared" si="1"/>
        <v>20</v>
      </c>
      <c r="B63" s="117"/>
      <c r="C63" s="118"/>
      <c r="D63" s="119"/>
      <c r="E63" s="120"/>
      <c r="F63" s="121"/>
      <c r="G63" s="122"/>
      <c r="H63" s="125"/>
      <c r="I63" s="154"/>
      <c r="J63" s="155"/>
      <c r="K63" s="156"/>
      <c r="L63" s="157"/>
      <c r="M63" s="157"/>
      <c r="N63" s="157"/>
      <c r="O63" s="157"/>
      <c r="P63" s="157"/>
      <c r="Q63" s="157"/>
      <c r="R63" s="157"/>
      <c r="S63" s="157"/>
      <c r="T63" s="157"/>
    </row>
    <row r="64" s="82" customFormat="1" spans="1:20">
      <c r="A64" s="127" t="s">
        <v>316</v>
      </c>
      <c r="B64" s="98"/>
      <c r="C64" s="98"/>
      <c r="D64" s="128"/>
      <c r="E64" s="98"/>
      <c r="F64" s="98"/>
      <c r="G64" s="128"/>
      <c r="H64" s="98"/>
      <c r="I64" s="98"/>
      <c r="J64" s="128"/>
      <c r="K64" s="98"/>
      <c r="L64" s="98"/>
      <c r="M64" s="98"/>
      <c r="N64" s="98"/>
      <c r="O64" s="98"/>
      <c r="P64" s="98"/>
      <c r="Q64" s="98"/>
      <c r="R64" s="98"/>
      <c r="S64" s="98"/>
      <c r="T64" s="98"/>
    </row>
    <row r="65" s="82" customFormat="1" spans="2:20">
      <c r="B65" s="98"/>
      <c r="C65" s="98"/>
      <c r="D65" s="162"/>
      <c r="F65" s="98"/>
      <c r="G65" s="128"/>
      <c r="H65" s="98"/>
      <c r="I65" s="98"/>
      <c r="J65" s="128"/>
      <c r="K65" s="98"/>
      <c r="L65" s="98"/>
      <c r="M65" s="98"/>
      <c r="N65" s="98"/>
      <c r="O65" s="98"/>
      <c r="P65" s="98"/>
      <c r="Q65" s="98"/>
      <c r="R65" s="98"/>
      <c r="S65" s="98"/>
      <c r="T65" s="98"/>
    </row>
    <row r="66" spans="2:20">
      <c r="B66" s="98"/>
      <c r="C66" s="98"/>
      <c r="D66" s="163"/>
      <c r="F66" s="98"/>
      <c r="G66" s="128"/>
      <c r="H66" s="98"/>
      <c r="I66" s="98"/>
      <c r="J66" s="169"/>
      <c r="K66" s="127"/>
      <c r="L66" s="127"/>
      <c r="M66" s="127"/>
      <c r="N66" s="127"/>
      <c r="O66" s="127"/>
      <c r="P66" s="127"/>
      <c r="Q66" s="127"/>
      <c r="R66" s="127"/>
      <c r="S66" s="127"/>
      <c r="T66" s="127"/>
    </row>
    <row r="67" spans="2:256">
      <c r="B67" s="98"/>
      <c r="C67" s="165"/>
      <c r="D67" s="163"/>
      <c r="F67" s="98"/>
      <c r="G67" s="128"/>
      <c r="H67" s="98"/>
      <c r="I67" s="127"/>
      <c r="J67" s="169"/>
      <c r="K67" s="127"/>
      <c r="L67" s="127"/>
      <c r="M67" s="127"/>
      <c r="N67" s="127"/>
      <c r="O67" s="127"/>
      <c r="P67" s="127"/>
      <c r="Q67" s="127"/>
      <c r="R67" s="127"/>
      <c r="S67" s="127"/>
      <c r="T67" s="127"/>
      <c r="U67" s="172"/>
      <c r="V67" s="172"/>
      <c r="W67" s="172"/>
      <c r="X67" s="172"/>
      <c r="Y67" s="172"/>
      <c r="Z67" s="172"/>
      <c r="AA67" s="172"/>
      <c r="AB67" s="172"/>
      <c r="AC67" s="172"/>
      <c r="AD67" s="172"/>
      <c r="AE67" s="172"/>
      <c r="AF67" s="172"/>
      <c r="AG67" s="172"/>
      <c r="AH67" s="172"/>
      <c r="AI67" s="172"/>
      <c r="AJ67" s="172"/>
      <c r="AK67" s="172"/>
      <c r="AL67" s="172"/>
      <c r="AM67" s="172"/>
      <c r="AN67" s="172"/>
      <c r="AO67" s="172"/>
      <c r="AP67" s="172"/>
      <c r="AQ67" s="172"/>
      <c r="AR67" s="172"/>
      <c r="AS67" s="172"/>
      <c r="AT67" s="172"/>
      <c r="AU67" s="172"/>
      <c r="AV67" s="172"/>
      <c r="AW67" s="172"/>
      <c r="AX67" s="172"/>
      <c r="AY67" s="172"/>
      <c r="AZ67" s="172"/>
      <c r="BA67" s="172"/>
      <c r="BB67" s="172"/>
      <c r="BC67" s="172"/>
      <c r="BD67" s="172"/>
      <c r="BE67" s="172"/>
      <c r="BF67" s="172"/>
      <c r="BG67" s="172"/>
      <c r="BH67" s="172"/>
      <c r="BI67" s="172"/>
      <c r="BJ67" s="172"/>
      <c r="BK67" s="172"/>
      <c r="BL67" s="172"/>
      <c r="BM67" s="172"/>
      <c r="BN67" s="172"/>
      <c r="BO67" s="172"/>
      <c r="BP67" s="172"/>
      <c r="BQ67" s="172"/>
      <c r="BR67" s="172"/>
      <c r="BS67" s="172"/>
      <c r="BT67" s="172"/>
      <c r="BU67" s="172"/>
      <c r="BV67" s="172"/>
      <c r="BW67" s="172"/>
      <c r="BX67" s="172"/>
      <c r="BY67" s="172"/>
      <c r="BZ67" s="172"/>
      <c r="CA67" s="172"/>
      <c r="CB67" s="172"/>
      <c r="CC67" s="172"/>
      <c r="CD67" s="172"/>
      <c r="CE67" s="172"/>
      <c r="CF67" s="172"/>
      <c r="CG67" s="172"/>
      <c r="CH67" s="172"/>
      <c r="CI67" s="172"/>
      <c r="CJ67" s="172"/>
      <c r="CK67" s="172"/>
      <c r="CL67" s="172"/>
      <c r="CM67" s="172"/>
      <c r="CN67" s="172"/>
      <c r="CO67" s="172"/>
      <c r="CP67" s="172"/>
      <c r="CQ67" s="172"/>
      <c r="CR67" s="172"/>
      <c r="CS67" s="172"/>
      <c r="CT67" s="172"/>
      <c r="CU67" s="172"/>
      <c r="CV67" s="172"/>
      <c r="CW67" s="172"/>
      <c r="CX67" s="172"/>
      <c r="CY67" s="172"/>
      <c r="CZ67" s="172"/>
      <c r="DA67" s="172"/>
      <c r="DB67" s="172"/>
      <c r="DC67" s="172"/>
      <c r="DD67" s="172"/>
      <c r="DE67" s="172"/>
      <c r="DF67" s="172"/>
      <c r="DG67" s="172"/>
      <c r="DH67" s="172"/>
      <c r="DI67" s="172"/>
      <c r="DJ67" s="172"/>
      <c r="DK67" s="172"/>
      <c r="DL67" s="172"/>
      <c r="DM67" s="172"/>
      <c r="DN67" s="172"/>
      <c r="DO67" s="172"/>
      <c r="DP67" s="172"/>
      <c r="DQ67" s="172"/>
      <c r="DR67" s="172"/>
      <c r="DS67" s="172"/>
      <c r="DT67" s="172"/>
      <c r="DU67" s="172"/>
      <c r="DV67" s="172"/>
      <c r="DW67" s="172"/>
      <c r="DX67" s="172"/>
      <c r="DY67" s="172"/>
      <c r="DZ67" s="172"/>
      <c r="EA67" s="172"/>
      <c r="EB67" s="172"/>
      <c r="EC67" s="172"/>
      <c r="ED67" s="172"/>
      <c r="EE67" s="172"/>
      <c r="EF67" s="172"/>
      <c r="EG67" s="172"/>
      <c r="EH67" s="172"/>
      <c r="EI67" s="172"/>
      <c r="EJ67" s="172"/>
      <c r="EK67" s="172"/>
      <c r="EL67" s="172"/>
      <c r="EM67" s="172"/>
      <c r="EN67" s="172"/>
      <c r="EO67" s="172"/>
      <c r="EP67" s="172"/>
      <c r="EQ67" s="172"/>
      <c r="ER67" s="172"/>
      <c r="ES67" s="172"/>
      <c r="ET67" s="172"/>
      <c r="EU67" s="172"/>
      <c r="EV67" s="172"/>
      <c r="EW67" s="172"/>
      <c r="EX67" s="172"/>
      <c r="EY67" s="172"/>
      <c r="EZ67" s="172"/>
      <c r="FA67" s="172"/>
      <c r="FB67" s="172"/>
      <c r="FC67" s="172"/>
      <c r="FD67" s="172"/>
      <c r="FE67" s="172"/>
      <c r="FF67" s="172"/>
      <c r="FG67" s="172"/>
      <c r="FH67" s="172"/>
      <c r="FI67" s="172"/>
      <c r="FJ67" s="172"/>
      <c r="FK67" s="172"/>
      <c r="FL67" s="172"/>
      <c r="FM67" s="172"/>
      <c r="FN67" s="172"/>
      <c r="FO67" s="172"/>
      <c r="FP67" s="172"/>
      <c r="FQ67" s="172"/>
      <c r="FR67" s="172"/>
      <c r="FS67" s="172"/>
      <c r="FT67" s="172"/>
      <c r="FU67" s="172"/>
      <c r="FV67" s="172"/>
      <c r="FW67" s="172"/>
      <c r="FX67" s="172"/>
      <c r="FY67" s="172"/>
      <c r="FZ67" s="172"/>
      <c r="GA67" s="172"/>
      <c r="GB67" s="172"/>
      <c r="GC67" s="172"/>
      <c r="GD67" s="172"/>
      <c r="GE67" s="172"/>
      <c r="GF67" s="172"/>
      <c r="GG67" s="172"/>
      <c r="GH67" s="172"/>
      <c r="GI67" s="172"/>
      <c r="GJ67" s="172"/>
      <c r="GK67" s="172"/>
      <c r="GL67" s="172"/>
      <c r="GM67" s="172"/>
      <c r="GN67" s="172"/>
      <c r="GO67" s="172"/>
      <c r="GP67" s="172"/>
      <c r="GQ67" s="172"/>
      <c r="GR67" s="172"/>
      <c r="GS67" s="172"/>
      <c r="GT67" s="172"/>
      <c r="GU67" s="172"/>
      <c r="GV67" s="172"/>
      <c r="GW67" s="172"/>
      <c r="GX67" s="172"/>
      <c r="GY67" s="172"/>
      <c r="GZ67" s="172"/>
      <c r="HA67" s="172"/>
      <c r="HB67" s="172"/>
      <c r="HC67" s="172"/>
      <c r="HD67" s="172"/>
      <c r="HE67" s="172"/>
      <c r="HF67" s="172"/>
      <c r="HG67" s="172"/>
      <c r="HH67" s="172"/>
      <c r="HI67" s="172"/>
      <c r="HJ67" s="172"/>
      <c r="HK67" s="172"/>
      <c r="HL67" s="172"/>
      <c r="HM67" s="172"/>
      <c r="HN67" s="172"/>
      <c r="HO67" s="172"/>
      <c r="HP67" s="172"/>
      <c r="HQ67" s="172"/>
      <c r="HR67" s="172"/>
      <c r="HS67" s="172"/>
      <c r="HT67" s="172"/>
      <c r="HU67" s="172"/>
      <c r="HV67" s="172"/>
      <c r="HW67" s="172"/>
      <c r="HX67" s="172"/>
      <c r="HY67" s="172"/>
      <c r="HZ67" s="172"/>
      <c r="IA67" s="172"/>
      <c r="IB67" s="172"/>
      <c r="IC67" s="172"/>
      <c r="ID67" s="172"/>
      <c r="IE67" s="172"/>
      <c r="IF67" s="172"/>
      <c r="IG67" s="172"/>
      <c r="IH67" s="172"/>
      <c r="II67" s="172"/>
      <c r="IJ67" s="172"/>
      <c r="IK67" s="172"/>
      <c r="IL67" s="172"/>
      <c r="IM67" s="172"/>
      <c r="IN67" s="172"/>
      <c r="IO67" s="172"/>
      <c r="IP67" s="172"/>
      <c r="IQ67" s="172"/>
      <c r="IR67" s="172"/>
      <c r="IS67" s="172"/>
      <c r="IT67" s="172"/>
      <c r="IU67" s="172"/>
      <c r="IV67" s="172"/>
    </row>
    <row r="68" spans="2:20">
      <c r="B68" s="98"/>
      <c r="C68" s="165"/>
      <c r="D68" s="163"/>
      <c r="F68" s="98"/>
      <c r="G68" s="164"/>
      <c r="H68" s="165"/>
      <c r="I68" s="170"/>
      <c r="J68" s="171"/>
      <c r="K68" s="170"/>
      <c r="L68" s="170"/>
      <c r="M68" s="170"/>
      <c r="N68" s="170"/>
      <c r="O68" s="170"/>
      <c r="P68" s="170"/>
      <c r="Q68" s="170"/>
      <c r="R68" s="170"/>
      <c r="S68" s="170"/>
      <c r="T68" s="170"/>
    </row>
    <row r="69" spans="2:20">
      <c r="B69" s="98"/>
      <c r="C69" s="165"/>
      <c r="D69" s="163"/>
      <c r="F69" s="98"/>
      <c r="G69" s="164"/>
      <c r="H69" s="165"/>
      <c r="I69" s="170"/>
      <c r="J69" s="171"/>
      <c r="K69" s="170"/>
      <c r="L69" s="170"/>
      <c r="M69" s="170"/>
      <c r="N69" s="170"/>
      <c r="O69" s="170"/>
      <c r="P69" s="170"/>
      <c r="Q69" s="170"/>
      <c r="R69" s="170"/>
      <c r="S69" s="170"/>
      <c r="T69" s="170"/>
    </row>
    <row r="70" spans="1:20">
      <c r="A70" s="98"/>
      <c r="B70" s="98"/>
      <c r="C70" s="165"/>
      <c r="D70" s="163"/>
      <c r="F70" s="165"/>
      <c r="G70" s="164"/>
      <c r="H70" s="165"/>
      <c r="I70" s="170"/>
      <c r="J70" s="171"/>
      <c r="K70" s="170"/>
      <c r="L70" s="170"/>
      <c r="M70" s="170"/>
      <c r="N70" s="170"/>
      <c r="O70" s="170"/>
      <c r="P70" s="170"/>
      <c r="Q70" s="170"/>
      <c r="R70" s="170"/>
      <c r="S70" s="170"/>
      <c r="T70" s="170"/>
    </row>
    <row r="71" spans="1:20">
      <c r="A71" s="98"/>
      <c r="B71" s="165"/>
      <c r="C71" s="165"/>
      <c r="D71" s="163"/>
      <c r="F71" s="165"/>
      <c r="G71" s="164"/>
      <c r="H71" s="165"/>
      <c r="I71" s="170"/>
      <c r="J71" s="171"/>
      <c r="K71" s="170"/>
      <c r="L71" s="170"/>
      <c r="M71" s="170"/>
      <c r="N71" s="170"/>
      <c r="O71" s="170"/>
      <c r="P71" s="170"/>
      <c r="Q71" s="170"/>
      <c r="R71" s="170"/>
      <c r="S71" s="170"/>
      <c r="T71" s="170"/>
    </row>
    <row r="72" spans="4:10">
      <c r="D72" s="163"/>
      <c r="G72" s="166"/>
      <c r="H72"/>
      <c r="J72" s="163"/>
    </row>
    <row r="73" spans="4:10">
      <c r="D73" s="163"/>
      <c r="G73" s="166"/>
      <c r="H73"/>
      <c r="J73" s="163"/>
    </row>
    <row r="74" spans="4:10">
      <c r="D74" s="163"/>
      <c r="G74" s="163"/>
      <c r="J74" s="163"/>
    </row>
    <row r="75" spans="4:10">
      <c r="D75" s="163"/>
      <c r="G75" s="163"/>
      <c r="J75" s="163"/>
    </row>
    <row r="76" spans="1:10">
      <c r="A76" s="167" t="s">
        <v>317</v>
      </c>
      <c r="D76" s="163"/>
      <c r="G76" s="163"/>
      <c r="J76" s="163"/>
    </row>
    <row r="77" spans="1:10">
      <c r="A77" s="167" t="s">
        <v>318</v>
      </c>
      <c r="D77" s="163"/>
      <c r="G77" s="163"/>
      <c r="J77" s="163"/>
    </row>
    <row r="78" spans="1:10">
      <c r="A78" s="167" t="s">
        <v>319</v>
      </c>
      <c r="D78" s="163"/>
      <c r="G78" s="163"/>
      <c r="J78" s="163"/>
    </row>
    <row r="79" spans="1:10">
      <c r="A79" s="167"/>
      <c r="D79" s="163"/>
      <c r="G79" s="163"/>
      <c r="J79" s="163"/>
    </row>
    <row r="80" spans="4:10">
      <c r="D80" s="163"/>
      <c r="G80" s="163"/>
      <c r="J80" s="163"/>
    </row>
    <row r="81" spans="4:10">
      <c r="D81" s="163"/>
      <c r="G81" s="163"/>
      <c r="J81" s="163"/>
    </row>
    <row r="82" spans="4:10">
      <c r="D82" s="163"/>
      <c r="G82" s="163"/>
      <c r="J82" s="163"/>
    </row>
    <row r="83" spans="4:10">
      <c r="D83" s="163"/>
      <c r="G83" s="163"/>
      <c r="J83" s="163"/>
    </row>
    <row r="84" spans="4:10">
      <c r="D84" s="163"/>
      <c r="G84" s="163"/>
      <c r="J84" s="163"/>
    </row>
    <row r="85" spans="4:10">
      <c r="D85" s="168"/>
      <c r="G85" s="163"/>
      <c r="J85" s="163"/>
    </row>
    <row r="86" spans="4:10">
      <c r="D86" s="168"/>
      <c r="G86" s="163"/>
      <c r="J86" s="163"/>
    </row>
    <row r="87" spans="4:10">
      <c r="D87" s="168"/>
      <c r="G87" s="163"/>
      <c r="J87" s="163"/>
    </row>
    <row r="88" spans="4:10">
      <c r="D88" s="168"/>
      <c r="G88" s="163"/>
      <c r="J88" s="163"/>
    </row>
    <row r="89" spans="4:10">
      <c r="D89" s="168"/>
      <c r="G89" s="163"/>
      <c r="J89" s="163"/>
    </row>
    <row r="90" spans="4:10">
      <c r="D90" s="168"/>
      <c r="G90" s="163"/>
      <c r="J90" s="140"/>
    </row>
    <row r="91" spans="4:10">
      <c r="D91" s="168"/>
      <c r="G91" s="163"/>
      <c r="J91" s="140"/>
    </row>
    <row r="92" spans="4:10">
      <c r="D92" s="168"/>
      <c r="G92" s="163"/>
      <c r="J92" s="140"/>
    </row>
    <row r="93" spans="4:10">
      <c r="D93" s="168"/>
      <c r="G93" s="163"/>
      <c r="J93" s="140"/>
    </row>
    <row r="94" spans="4:10">
      <c r="D94" s="168"/>
      <c r="G94" s="163"/>
      <c r="J94" s="140"/>
    </row>
    <row r="95" spans="4:10">
      <c r="D95" s="168"/>
      <c r="G95" s="163"/>
      <c r="J95" s="140"/>
    </row>
    <row r="96" spans="4:10">
      <c r="D96" s="168"/>
      <c r="G96" s="163"/>
      <c r="J96" s="140"/>
    </row>
    <row r="97" spans="4:10">
      <c r="D97" s="168"/>
      <c r="G97" s="163"/>
      <c r="J97" s="140"/>
    </row>
    <row r="98" spans="4:10">
      <c r="D98" s="168"/>
      <c r="G98" s="163"/>
      <c r="J98" s="140"/>
    </row>
    <row r="99" spans="4:10">
      <c r="D99" s="168"/>
      <c r="G99" s="163"/>
      <c r="J99" s="140"/>
    </row>
    <row r="100" spans="4:10">
      <c r="D100" s="168"/>
      <c r="G100" s="163"/>
      <c r="J100" s="140"/>
    </row>
    <row r="101" spans="4:10">
      <c r="D101" s="168"/>
      <c r="G101" s="163"/>
      <c r="J101" s="140"/>
    </row>
    <row r="102" spans="4:10">
      <c r="D102" s="168"/>
      <c r="G102" s="163"/>
      <c r="J102" s="140"/>
    </row>
    <row r="103" spans="4:10">
      <c r="D103" s="168"/>
      <c r="G103" s="163"/>
      <c r="J103" s="140"/>
    </row>
    <row r="104" spans="4:10">
      <c r="D104" s="168"/>
      <c r="G104" s="163"/>
      <c r="J104" s="140"/>
    </row>
    <row r="105" spans="4:10">
      <c r="D105" s="168"/>
      <c r="G105" s="168"/>
      <c r="J105" s="140"/>
    </row>
    <row r="106" spans="4:10">
      <c r="D106" s="168"/>
      <c r="G106" s="168"/>
      <c r="J106" s="140"/>
    </row>
    <row r="107" spans="4:10">
      <c r="D107" s="168"/>
      <c r="G107" s="168"/>
      <c r="J107" s="140"/>
    </row>
    <row r="108" spans="4:10">
      <c r="D108" s="168"/>
      <c r="G108" s="168"/>
      <c r="J108" s="140"/>
    </row>
    <row r="109" spans="4:10">
      <c r="D109" s="168"/>
      <c r="G109" s="168"/>
      <c r="J109" s="140"/>
    </row>
    <row r="110" spans="4:10">
      <c r="D110" s="168"/>
      <c r="G110" s="168"/>
      <c r="J110" s="140"/>
    </row>
    <row r="111" spans="4:10">
      <c r="D111" s="168"/>
      <c r="G111" s="168"/>
      <c r="J111" s="140"/>
    </row>
    <row r="112" spans="4:10">
      <c r="D112" s="168"/>
      <c r="G112" s="168"/>
      <c r="J112" s="140"/>
    </row>
    <row r="113" spans="4:10">
      <c r="D113" s="168"/>
      <c r="G113" s="168"/>
      <c r="J113" s="140"/>
    </row>
    <row r="114" spans="4:10">
      <c r="D114" s="168"/>
      <c r="G114" s="168"/>
      <c r="J114" s="140"/>
    </row>
    <row r="115" spans="4:10">
      <c r="D115" s="168"/>
      <c r="G115" s="168"/>
      <c r="J115" s="140"/>
    </row>
    <row r="116" spans="4:7">
      <c r="D116" s="168"/>
      <c r="G116" s="168"/>
    </row>
    <row r="117" spans="4:7">
      <c r="D117" s="168"/>
      <c r="G117" s="168"/>
    </row>
    <row r="118" spans="4:7">
      <c r="D118" s="168"/>
      <c r="G118" s="168"/>
    </row>
    <row r="119" spans="4:7">
      <c r="D119" s="168"/>
      <c r="G119" s="168"/>
    </row>
    <row r="120" spans="4:7">
      <c r="D120" s="168"/>
      <c r="G120" s="168"/>
    </row>
    <row r="121" spans="4:7">
      <c r="D121" s="168"/>
      <c r="G121" s="168"/>
    </row>
    <row r="122" spans="4:7">
      <c r="D122" s="168"/>
      <c r="G122" s="168"/>
    </row>
    <row r="123" spans="4:7">
      <c r="D123" s="168"/>
      <c r="G123" s="168"/>
    </row>
    <row r="124" spans="4:7">
      <c r="D124" s="168"/>
      <c r="G124" s="168"/>
    </row>
    <row r="125" spans="4:4">
      <c r="D125" s="168"/>
    </row>
    <row r="126" spans="4:4">
      <c r="D126" s="168"/>
    </row>
    <row r="127" spans="4:4">
      <c r="D127" s="168"/>
    </row>
    <row r="128" spans="4:4">
      <c r="D128" s="168"/>
    </row>
    <row r="129" spans="4:4">
      <c r="D129" s="168"/>
    </row>
    <row r="130" spans="4:4">
      <c r="D130" s="168"/>
    </row>
    <row r="131" spans="4:4">
      <c r="D131" s="168"/>
    </row>
    <row r="132" spans="4:4">
      <c r="D132" s="168"/>
    </row>
    <row r="133" spans="4:4">
      <c r="D133" s="168"/>
    </row>
    <row r="134" spans="4:4">
      <c r="D134" s="168"/>
    </row>
    <row r="135" spans="4:4">
      <c r="D135" s="168"/>
    </row>
    <row r="136" spans="4:4">
      <c r="D136" s="168"/>
    </row>
    <row r="137" spans="4:4">
      <c r="D137" s="168"/>
    </row>
    <row r="138" spans="4:4">
      <c r="D138" s="168"/>
    </row>
    <row r="139" spans="4:4">
      <c r="D139" s="168"/>
    </row>
    <row r="140" spans="4:4">
      <c r="D140" s="168"/>
    </row>
    <row r="141" spans="4:4">
      <c r="D141" s="168"/>
    </row>
    <row r="142" spans="4:4">
      <c r="D142" s="168"/>
    </row>
    <row r="143" spans="4:4">
      <c r="D143" s="168"/>
    </row>
    <row r="144" spans="4:4">
      <c r="D144" s="168"/>
    </row>
    <row r="145" spans="4:4">
      <c r="D145" s="168"/>
    </row>
    <row r="146" spans="4:4">
      <c r="D146" s="168"/>
    </row>
    <row r="147" spans="4:4">
      <c r="D147" s="168"/>
    </row>
    <row r="148" spans="4:4">
      <c r="D148" s="168"/>
    </row>
    <row r="149" spans="4:4">
      <c r="D149" s="168"/>
    </row>
    <row r="150" spans="4:4">
      <c r="D150" s="168"/>
    </row>
    <row r="151" spans="4:4">
      <c r="D151" s="168"/>
    </row>
    <row r="152" spans="4:4">
      <c r="D152" s="168"/>
    </row>
    <row r="153" spans="4:4">
      <c r="D153" s="168"/>
    </row>
    <row r="154" spans="4:4">
      <c r="D154" s="168"/>
    </row>
    <row r="155" spans="4:4">
      <c r="D155" s="168"/>
    </row>
    <row r="156" spans="4:4">
      <c r="D156" s="168"/>
    </row>
    <row r="157" spans="4:4">
      <c r="D157" s="168"/>
    </row>
    <row r="158" spans="4:4">
      <c r="D158" s="168"/>
    </row>
    <row r="159" spans="4:4">
      <c r="D159" s="168"/>
    </row>
    <row r="160" spans="4:4">
      <c r="D160" s="168"/>
    </row>
    <row r="161" spans="4:4">
      <c r="D161" s="168"/>
    </row>
    <row r="162" spans="4:4">
      <c r="D162" s="168"/>
    </row>
    <row r="163" spans="4:4">
      <c r="D163" s="168"/>
    </row>
    <row r="164" spans="4:4">
      <c r="D164" s="168"/>
    </row>
    <row r="165" spans="4:4">
      <c r="D165" s="168"/>
    </row>
    <row r="166" spans="4:4">
      <c r="D166" s="168"/>
    </row>
    <row r="167" spans="4:4">
      <c r="D167" s="168"/>
    </row>
    <row r="168" spans="4:4">
      <c r="D168" s="168"/>
    </row>
    <row r="169" spans="4:4">
      <c r="D169" s="168"/>
    </row>
    <row r="170" spans="4:4">
      <c r="D170" s="168"/>
    </row>
    <row r="171" spans="4:4">
      <c r="D171" s="168"/>
    </row>
    <row r="172" spans="4:4">
      <c r="D172" s="168"/>
    </row>
    <row r="173" spans="4:4">
      <c r="D173" s="168"/>
    </row>
    <row r="174" spans="4:4">
      <c r="D174" s="168"/>
    </row>
    <row r="175" spans="4:4">
      <c r="D175" s="168"/>
    </row>
    <row r="176" spans="4:4">
      <c r="D176" s="168"/>
    </row>
    <row r="177" spans="4:4">
      <c r="D177" s="168"/>
    </row>
  </sheetData>
  <mergeCells count="13">
    <mergeCell ref="C32:G32"/>
    <mergeCell ref="J33:K33"/>
    <mergeCell ref="A34:B34"/>
    <mergeCell ref="A35:B35"/>
    <mergeCell ref="A37:B37"/>
    <mergeCell ref="C37:F37"/>
    <mergeCell ref="J37:K37"/>
    <mergeCell ref="A38:B38"/>
    <mergeCell ref="C38:F38"/>
    <mergeCell ref="J38:K38"/>
    <mergeCell ref="J40:K40"/>
    <mergeCell ref="J34:K35"/>
    <mergeCell ref="G37:I38"/>
  </mergeCells>
  <pageMargins left="0.64" right="0.2" top="0.78740157480315" bottom="0.393700787401575" header="0.511811023622047" footer="0.21"/>
  <pageSetup paperSize="9" scale="47" fitToHeight="0" orientation="portrait" verticalDpi="1200"/>
  <headerFooter alignWithMargins="0">
    <oddHeader>&amp;R&amp;"ＭＳ Ｐ明朝,標準"8201 様式11</oddHeader>
    <oddFooter>&amp;C&amp;P / &amp;N ページ</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IV177"/>
  <sheetViews>
    <sheetView showGridLines="0" tabSelected="1" view="pageBreakPreview" zoomScaleNormal="100" topLeftCell="A34" workbookViewId="0">
      <selection activeCell="H46" sqref="H46"/>
    </sheetView>
  </sheetViews>
  <sheetFormatPr defaultColWidth="9" defaultRowHeight="13.5"/>
  <cols>
    <col min="1" max="1" width="4.375" style="83" customWidth="1"/>
    <col min="2" max="2" width="5.5" customWidth="1"/>
    <col min="3" max="3" width="31.375" customWidth="1"/>
    <col min="4" max="4" width="7.625" style="83" customWidth="1"/>
    <col min="5" max="5" width="7" style="83" customWidth="1"/>
    <col min="6" max="6" width="23.375" customWidth="1"/>
    <col min="7" max="7" width="7.125" style="83" customWidth="1"/>
    <col min="8" max="8" width="6.25" style="83" customWidth="1"/>
    <col min="9" max="9" width="6.75" style="83" customWidth="1"/>
    <col min="10" max="10" width="7" style="83" customWidth="1"/>
    <col min="11" max="11" width="6" style="83" customWidth="1"/>
    <col min="12" max="12" width="9.25" style="83" customWidth="1"/>
    <col min="13" max="13" width="8" style="83" customWidth="1"/>
    <col min="14" max="14" width="12.75" style="83" customWidth="1"/>
    <col min="15" max="15" width="9.25" style="83" customWidth="1"/>
    <col min="16" max="16" width="8" style="83" customWidth="1"/>
    <col min="17" max="17" width="12.75" style="83" customWidth="1"/>
    <col min="18" max="18" width="9.25" style="83" customWidth="1"/>
    <col min="19" max="19" width="8" style="83" customWidth="1"/>
    <col min="20" max="20" width="12.75" style="83" customWidth="1"/>
  </cols>
  <sheetData>
    <row r="1" ht="11.25" hidden="1" customHeight="1" spans="1:104">
      <c r="A1"/>
      <c r="D1"/>
      <c r="E1"/>
      <c r="G1"/>
      <c r="H1"/>
      <c r="I1"/>
      <c r="J1"/>
      <c r="K1" s="129"/>
      <c r="L1" s="97" t="s">
        <v>132</v>
      </c>
      <c r="M1"/>
      <c r="N1"/>
      <c r="O1" s="97"/>
      <c r="P1"/>
      <c r="Q1"/>
      <c r="R1" s="97"/>
      <c r="S1"/>
      <c r="T1"/>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row>
    <row r="2" ht="11.25" hidden="1" customHeight="1" spans="1:104">
      <c r="A2"/>
      <c r="D2"/>
      <c r="E2"/>
      <c r="G2"/>
      <c r="H2"/>
      <c r="I2"/>
      <c r="J2"/>
      <c r="K2" s="129"/>
      <c r="L2"/>
      <c r="M2"/>
      <c r="N2"/>
      <c r="O2"/>
      <c r="P2"/>
      <c r="Q2"/>
      <c r="R2"/>
      <c r="S2"/>
      <c r="T2"/>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c r="BN2" s="97"/>
      <c r="BO2" s="97"/>
      <c r="BP2" s="97"/>
      <c r="BQ2" s="97"/>
      <c r="BR2" s="97"/>
      <c r="BS2" s="97"/>
      <c r="BT2" s="97"/>
      <c r="BU2" s="97"/>
      <c r="BV2" s="97"/>
      <c r="BW2" s="97"/>
      <c r="BX2" s="97"/>
      <c r="BY2" s="97"/>
      <c r="BZ2" s="97"/>
      <c r="CA2" s="97"/>
      <c r="CB2" s="97"/>
      <c r="CC2" s="97"/>
      <c r="CD2" s="97"/>
      <c r="CE2" s="97"/>
      <c r="CF2" s="97"/>
      <c r="CG2" s="97"/>
      <c r="CH2" s="97"/>
      <c r="CI2" s="97"/>
      <c r="CJ2" s="97"/>
      <c r="CK2" s="97"/>
      <c r="CL2" s="97"/>
      <c r="CM2" s="97"/>
      <c r="CN2" s="97"/>
      <c r="CO2" s="97"/>
      <c r="CP2" s="97"/>
      <c r="CQ2" s="97"/>
      <c r="CR2" s="97"/>
      <c r="CS2" s="97"/>
      <c r="CT2" s="97"/>
      <c r="CU2" s="97"/>
      <c r="CV2" s="97"/>
      <c r="CW2" s="97"/>
      <c r="CX2" s="97"/>
      <c r="CY2" s="97"/>
      <c r="CZ2" s="97"/>
    </row>
    <row r="3" ht="11.25" hidden="1" customHeight="1" spans="1:104">
      <c r="A3"/>
      <c r="D3"/>
      <c r="E3"/>
      <c r="G3"/>
      <c r="H3"/>
      <c r="I3"/>
      <c r="J3"/>
      <c r="K3" s="129"/>
      <c r="L3" s="130" t="s">
        <v>50</v>
      </c>
      <c r="M3" s="131"/>
      <c r="N3" s="131" t="s">
        <v>133</v>
      </c>
      <c r="O3" s="130" t="s">
        <v>50</v>
      </c>
      <c r="P3" s="131"/>
      <c r="Q3" s="131" t="s">
        <v>133</v>
      </c>
      <c r="R3" s="130" t="s">
        <v>50</v>
      </c>
      <c r="S3" s="131"/>
      <c r="T3" s="131" t="s">
        <v>133</v>
      </c>
      <c r="U3" s="130" t="s">
        <v>50</v>
      </c>
      <c r="V3" s="131"/>
      <c r="W3" s="131" t="s">
        <v>133</v>
      </c>
      <c r="X3" s="130" t="s">
        <v>50</v>
      </c>
      <c r="Y3" s="131"/>
      <c r="Z3" s="131" t="s">
        <v>133</v>
      </c>
      <c r="AA3" s="130" t="s">
        <v>50</v>
      </c>
      <c r="AB3" s="131"/>
      <c r="AC3" s="131" t="s">
        <v>133</v>
      </c>
      <c r="AD3" s="130" t="s">
        <v>50</v>
      </c>
      <c r="AE3" s="131"/>
      <c r="AF3" s="131" t="s">
        <v>133</v>
      </c>
      <c r="AG3" s="130" t="s">
        <v>50</v>
      </c>
      <c r="AH3" s="131"/>
      <c r="AI3" s="131" t="s">
        <v>133</v>
      </c>
      <c r="AJ3" s="130" t="s">
        <v>50</v>
      </c>
      <c r="AK3" s="131"/>
      <c r="AL3" s="131" t="s">
        <v>133</v>
      </c>
      <c r="AM3" s="130" t="s">
        <v>50</v>
      </c>
      <c r="AN3" s="131"/>
      <c r="AO3" s="131" t="s">
        <v>133</v>
      </c>
      <c r="AP3" s="130" t="s">
        <v>50</v>
      </c>
      <c r="AQ3" s="131"/>
      <c r="AR3" s="131" t="s">
        <v>133</v>
      </c>
      <c r="AS3" s="130" t="s">
        <v>50</v>
      </c>
      <c r="AT3" s="131"/>
      <c r="AU3" s="131" t="s">
        <v>133</v>
      </c>
      <c r="AV3" s="130" t="s">
        <v>50</v>
      </c>
      <c r="AW3" s="131"/>
      <c r="AX3" s="131" t="s">
        <v>133</v>
      </c>
      <c r="AY3" s="130" t="s">
        <v>50</v>
      </c>
      <c r="AZ3" s="131"/>
      <c r="BA3" s="131" t="s">
        <v>133</v>
      </c>
      <c r="BB3" s="130" t="s">
        <v>50</v>
      </c>
      <c r="BC3" s="131"/>
      <c r="BD3" s="131" t="s">
        <v>133</v>
      </c>
      <c r="BE3" s="130" t="s">
        <v>50</v>
      </c>
      <c r="BF3" s="131"/>
      <c r="BG3" s="131" t="s">
        <v>133</v>
      </c>
      <c r="BH3" s="130" t="s">
        <v>50</v>
      </c>
      <c r="BI3" s="131"/>
      <c r="BJ3" s="131" t="s">
        <v>133</v>
      </c>
      <c r="BK3" s="130" t="s">
        <v>50</v>
      </c>
      <c r="BL3" s="131"/>
      <c r="BM3" s="131" t="s">
        <v>133</v>
      </c>
      <c r="BN3" s="130" t="s">
        <v>50</v>
      </c>
      <c r="BO3" s="131"/>
      <c r="BP3" s="131" t="s">
        <v>133</v>
      </c>
      <c r="BQ3" s="130" t="s">
        <v>50</v>
      </c>
      <c r="BR3" s="131"/>
      <c r="BS3" s="131" t="s">
        <v>133</v>
      </c>
      <c r="BT3" s="130" t="s">
        <v>50</v>
      </c>
      <c r="BU3" s="131"/>
      <c r="BV3" s="131" t="s">
        <v>133</v>
      </c>
      <c r="BW3" s="130" t="s">
        <v>50</v>
      </c>
      <c r="BX3" s="131"/>
      <c r="BY3" s="131" t="s">
        <v>133</v>
      </c>
      <c r="BZ3" s="130" t="s">
        <v>50</v>
      </c>
      <c r="CA3" s="131"/>
      <c r="CB3" s="131" t="s">
        <v>133</v>
      </c>
      <c r="CC3" s="130" t="s">
        <v>50</v>
      </c>
      <c r="CD3" s="131"/>
      <c r="CE3" s="131" t="s">
        <v>133</v>
      </c>
      <c r="CF3" s="130" t="s">
        <v>50</v>
      </c>
      <c r="CG3" s="131"/>
      <c r="CH3" s="131" t="s">
        <v>133</v>
      </c>
      <c r="CI3" s="130" t="s">
        <v>50</v>
      </c>
      <c r="CJ3" s="131"/>
      <c r="CK3" s="131" t="s">
        <v>133</v>
      </c>
      <c r="CL3" s="130" t="s">
        <v>50</v>
      </c>
      <c r="CM3" s="131"/>
      <c r="CN3" s="131" t="s">
        <v>133</v>
      </c>
      <c r="CO3" s="130" t="s">
        <v>50</v>
      </c>
      <c r="CP3" s="131"/>
      <c r="CQ3" s="131" t="s">
        <v>133</v>
      </c>
      <c r="CR3" s="130" t="s">
        <v>50</v>
      </c>
      <c r="CS3" s="131"/>
      <c r="CT3" s="131" t="s">
        <v>133</v>
      </c>
      <c r="CU3" s="130" t="s">
        <v>50</v>
      </c>
      <c r="CV3" s="131"/>
      <c r="CW3" s="131" t="s">
        <v>133</v>
      </c>
      <c r="CX3" s="130" t="s">
        <v>50</v>
      </c>
      <c r="CY3" s="131"/>
      <c r="CZ3" s="131" t="s">
        <v>133</v>
      </c>
    </row>
    <row r="4" ht="11.25" hidden="1" customHeight="1" spans="1:104">
      <c r="A4"/>
      <c r="D4"/>
      <c r="E4"/>
      <c r="G4"/>
      <c r="H4"/>
      <c r="I4"/>
      <c r="J4"/>
      <c r="K4" s="129"/>
      <c r="L4" s="97" t="s">
        <v>134</v>
      </c>
      <c r="M4" s="97"/>
      <c r="N4" s="97">
        <f>IF(ISNUMBER(DCOUNTA(査読範囲,L3,L3:L4)),DCOUNTA(査読範囲,L3,L3:L4),0)</f>
        <v>0</v>
      </c>
      <c r="O4" s="97" t="s">
        <v>135</v>
      </c>
      <c r="P4" s="97"/>
      <c r="Q4" s="97">
        <f>IF(ISNUMBER(DCOUNTA(査読範囲,O3,O3:O4)),DCOUNTA(査読範囲,O3,O3:O4),0)</f>
        <v>0</v>
      </c>
      <c r="R4" s="97" t="s">
        <v>136</v>
      </c>
      <c r="S4" s="97"/>
      <c r="T4" s="97">
        <f>IF(ISNUMBER(DCOUNTA(査読範囲,R3,R3:R4)),DCOUNTA(査読範囲,R3,R3:R4),0)</f>
        <v>0</v>
      </c>
      <c r="U4" s="97" t="s">
        <v>137</v>
      </c>
      <c r="V4" s="97"/>
      <c r="W4" s="97">
        <f>IF(ISNUMBER(DCOUNTA(査読範囲,U3,U3:U4)),DCOUNTA(査読範囲,U3,U3:U4),0)</f>
        <v>0</v>
      </c>
      <c r="X4" s="97" t="s">
        <v>138</v>
      </c>
      <c r="Y4" s="97"/>
      <c r="Z4" s="97">
        <f>IF(ISNUMBER(DCOUNTA(査読範囲,X3,X3:X4)),DCOUNTA(査読範囲,X3,X3:X4),0)</f>
        <v>0</v>
      </c>
      <c r="AA4" s="97" t="s">
        <v>139</v>
      </c>
      <c r="AB4" s="97"/>
      <c r="AC4" s="97">
        <f>IF(ISNUMBER(DCOUNTA(査読範囲,AA3,AA3:AA4)),DCOUNTA(査読範囲,AA3,AA3:AA4),0)</f>
        <v>0</v>
      </c>
      <c r="AD4" s="97" t="s">
        <v>140</v>
      </c>
      <c r="AE4" s="97"/>
      <c r="AF4" s="97">
        <f>IF(ISNUMBER(DCOUNTA(査読範囲,AD3,AD3:AD4)),DCOUNTA(査読範囲,AD3,AD3:AD4),0)</f>
        <v>0</v>
      </c>
      <c r="AG4" s="97" t="s">
        <v>141</v>
      </c>
      <c r="AH4" s="97"/>
      <c r="AI4" s="97">
        <f>IF(ISNUMBER(DCOUNTA(査読範囲,AG3,AG3:AG4)),DCOUNTA(査読範囲,AG3,AG3:AG4),0)</f>
        <v>0</v>
      </c>
      <c r="AJ4" s="97" t="s">
        <v>142</v>
      </c>
      <c r="AK4" s="97"/>
      <c r="AL4" s="97">
        <f>IF(ISNUMBER(DCOUNTA(査読範囲,AJ3,AJ3:AJ4)),DCOUNTA(査読範囲,AJ3,AJ3:AJ4),0)</f>
        <v>0</v>
      </c>
      <c r="AM4" s="97" t="s">
        <v>143</v>
      </c>
      <c r="AN4" s="97"/>
      <c r="AO4" s="97">
        <f>IF(ISNUMBER(DCOUNTA(査読範囲,AM3,AM3:AM4)),DCOUNTA(査読範囲,AM3,AM3:AM4),0)</f>
        <v>0</v>
      </c>
      <c r="AP4" s="97" t="s">
        <v>144</v>
      </c>
      <c r="AQ4" s="97"/>
      <c r="AR4" s="97">
        <f>IF(ISNUMBER(DCOUNTA(査読範囲,AP3,AP3:AP4)),DCOUNTA(査読範囲,AP3,AP3:AP4),0)</f>
        <v>0</v>
      </c>
      <c r="AS4" s="97" t="s">
        <v>145</v>
      </c>
      <c r="AT4" s="97"/>
      <c r="AU4" s="97">
        <f>IF(ISNUMBER(DCOUNTA(査読範囲,AS3,AS3:AS4)),DCOUNTA(査読範囲,AS3,AS3:AS4),0)</f>
        <v>0</v>
      </c>
      <c r="AV4" s="97" t="s">
        <v>146</v>
      </c>
      <c r="AW4" s="97"/>
      <c r="AX4" s="97">
        <f>IF(ISNUMBER(DCOUNTA(査読範囲,AV3,AV3:AV4)),DCOUNTA(査読範囲,AV3,AV3:AV4),0)</f>
        <v>0</v>
      </c>
      <c r="AY4" s="97" t="s">
        <v>147</v>
      </c>
      <c r="AZ4" s="97"/>
      <c r="BA4" s="97">
        <f>IF(ISNUMBER(DCOUNTA(査読範囲,AY3,AY3:AY4)),DCOUNTA(査読範囲,AY3,AY3:AY4),0)</f>
        <v>0</v>
      </c>
      <c r="BB4" s="97" t="s">
        <v>148</v>
      </c>
      <c r="BC4" s="97"/>
      <c r="BD4" s="97">
        <f>IF(ISNUMBER(DCOUNTA(査読範囲,BB3,BB3:BB4)),DCOUNTA(査読範囲,BB3,BB3:BB4),0)</f>
        <v>0</v>
      </c>
      <c r="BE4" s="97" t="s">
        <v>149</v>
      </c>
      <c r="BF4" s="97"/>
      <c r="BG4" s="97">
        <f>IF(ISNUMBER(DCOUNTA(査読範囲,BE3,BE3:BE4)),DCOUNTA(査読範囲,BE3,BE3:BE4),0)</f>
        <v>0</v>
      </c>
      <c r="BH4" s="97" t="s">
        <v>150</v>
      </c>
      <c r="BI4" s="97"/>
      <c r="BJ4" s="97">
        <f>IF(ISNUMBER(DCOUNTA(査読範囲,BH3,BH3:BH4)),DCOUNTA(査読範囲,BH3,BH3:BH4),0)</f>
        <v>0</v>
      </c>
      <c r="BK4" s="97" t="s">
        <v>151</v>
      </c>
      <c r="BL4" s="97"/>
      <c r="BM4" s="97">
        <f>IF(ISNUMBER(DCOUNTA(査読範囲,BK3,BK3:BK4)),DCOUNTA(査読範囲,BK3,BK3:BK4),0)</f>
        <v>0</v>
      </c>
      <c r="BN4" s="97" t="s">
        <v>152</v>
      </c>
      <c r="BO4" s="97"/>
      <c r="BP4" s="97">
        <f>IF(ISNUMBER(DCOUNTA(査読範囲,BN3,BN3:BN4)),DCOUNTA(査読範囲,BN3,BN3:BN4),0)</f>
        <v>0</v>
      </c>
      <c r="BQ4" s="97" t="s">
        <v>153</v>
      </c>
      <c r="BR4" s="97"/>
      <c r="BS4" s="97">
        <f>IF(ISNUMBER(DCOUNTA(査読範囲,BQ3,BQ3:BQ4)),DCOUNTA(査読範囲,BQ3,BQ3:BQ4),0)</f>
        <v>0</v>
      </c>
      <c r="BT4" s="97" t="s">
        <v>154</v>
      </c>
      <c r="BU4" s="97"/>
      <c r="BV4" s="97">
        <f>IF(ISNUMBER(DCOUNTA(査読範囲,BT3,BT3:BT4)),DCOUNTA(査読範囲,BT3,BT3:BT4),0)</f>
        <v>0</v>
      </c>
      <c r="BW4" s="97" t="s">
        <v>155</v>
      </c>
      <c r="BX4" s="97"/>
      <c r="BY4" s="97">
        <f>IF(ISNUMBER(DCOUNTA(査読範囲,BW3,BW3:BW4)),DCOUNTA(査読範囲,BW3,BW3:BW4),0)</f>
        <v>0</v>
      </c>
      <c r="BZ4" s="97" t="s">
        <v>156</v>
      </c>
      <c r="CA4" s="97"/>
      <c r="CB4" s="97">
        <f>IF(ISNUMBER(DCOUNTA(査読範囲,BZ3,BZ3:BZ4)),DCOUNTA(査読範囲,BZ3,BZ3:BZ4),0)</f>
        <v>0</v>
      </c>
      <c r="CC4" s="97" t="s">
        <v>157</v>
      </c>
      <c r="CD4" s="97"/>
      <c r="CE4" s="97">
        <f>IF(ISNUMBER(DCOUNTA(査読範囲,CC3,CC3:CC4)),DCOUNTA(査読範囲,CC3,CC3:CC4),0)</f>
        <v>0</v>
      </c>
      <c r="CF4" s="97" t="s">
        <v>158</v>
      </c>
      <c r="CG4" s="97"/>
      <c r="CH4" s="97">
        <f>IF(ISNUMBER(DCOUNTA(査読範囲,CF3,CF3:CF4)),DCOUNTA(査読範囲,CF3,CF3:CF4),0)</f>
        <v>0</v>
      </c>
      <c r="CI4" s="97" t="s">
        <v>159</v>
      </c>
      <c r="CJ4" s="97"/>
      <c r="CK4" s="97">
        <f>IF(ISNUMBER(DCOUNTA(査読範囲,CI3,CI3:CI4)),DCOUNTA(査読範囲,CI3,CI3:CI4),0)</f>
        <v>0</v>
      </c>
      <c r="CL4" s="97" t="s">
        <v>160</v>
      </c>
      <c r="CM4" s="97"/>
      <c r="CN4" s="97">
        <f>IF(ISNUMBER(DCOUNTA(査読範囲,CL3,CL3:CL4)),DCOUNTA(査読範囲,CL3,CL3:CL4),0)</f>
        <v>0</v>
      </c>
      <c r="CO4" s="97" t="s">
        <v>161</v>
      </c>
      <c r="CP4" s="97"/>
      <c r="CQ4" s="97">
        <f>IF(ISNUMBER(DCOUNTA(査読範囲,CO3,CO3:CO4)),DCOUNTA(査読範囲,CO3,CO3:CO4),0)</f>
        <v>0</v>
      </c>
      <c r="CR4" s="97" t="s">
        <v>162</v>
      </c>
      <c r="CS4" s="97"/>
      <c r="CT4" s="97">
        <f>IF(ISNUMBER(DCOUNTA(査読範囲,CR3,CR3:CR4)),DCOUNTA(査読範囲,CR3,CR3:CR4),0)</f>
        <v>0</v>
      </c>
      <c r="CU4" s="97" t="s">
        <v>163</v>
      </c>
      <c r="CV4" s="97"/>
      <c r="CW4" s="97">
        <f>IF(ISNUMBER(DCOUNTA(査読範囲,CU3,CU3:CU4)),DCOUNTA(査読範囲,CU3,CU3:CU4),0)</f>
        <v>0</v>
      </c>
      <c r="CX4" s="97" t="s">
        <v>164</v>
      </c>
      <c r="CY4" s="97"/>
      <c r="CZ4" s="97">
        <f>IF(ISNUMBER(DCOUNTA(査読範囲,CX3,CX3:CX4)),DCOUNTA(査読範囲,CX3,CX3:CX4),0)</f>
        <v>0</v>
      </c>
    </row>
    <row r="5" ht="11.25" hidden="1" customHeight="1" spans="1:104">
      <c r="A5"/>
      <c r="D5"/>
      <c r="E5"/>
      <c r="G5"/>
      <c r="H5"/>
      <c r="I5"/>
      <c r="J5"/>
      <c r="K5" s="129"/>
      <c r="L5" s="130" t="s">
        <v>50</v>
      </c>
      <c r="M5" s="131"/>
      <c r="N5" s="131" t="s">
        <v>133</v>
      </c>
      <c r="O5" s="130" t="s">
        <v>50</v>
      </c>
      <c r="P5" s="131"/>
      <c r="Q5" s="131" t="s">
        <v>133</v>
      </c>
      <c r="R5" s="130" t="s">
        <v>50</v>
      </c>
      <c r="S5" s="131"/>
      <c r="T5" s="131" t="s">
        <v>133</v>
      </c>
      <c r="U5" s="130" t="s">
        <v>50</v>
      </c>
      <c r="V5" s="131"/>
      <c r="W5" s="131" t="s">
        <v>133</v>
      </c>
      <c r="X5" s="130" t="s">
        <v>50</v>
      </c>
      <c r="Y5" s="131"/>
      <c r="Z5" s="131" t="s">
        <v>133</v>
      </c>
      <c r="AA5" s="130" t="s">
        <v>50</v>
      </c>
      <c r="AB5" s="131"/>
      <c r="AC5" s="131" t="s">
        <v>133</v>
      </c>
      <c r="AD5" s="130" t="s">
        <v>50</v>
      </c>
      <c r="AE5" s="131"/>
      <c r="AF5" s="131" t="s">
        <v>133</v>
      </c>
      <c r="AG5" s="130" t="s">
        <v>50</v>
      </c>
      <c r="AH5" s="131"/>
      <c r="AI5" s="131" t="s">
        <v>133</v>
      </c>
      <c r="AJ5" s="130" t="s">
        <v>50</v>
      </c>
      <c r="AK5" s="131"/>
      <c r="AL5" s="131" t="s">
        <v>133</v>
      </c>
      <c r="AM5" s="130" t="s">
        <v>50</v>
      </c>
      <c r="AN5" s="131"/>
      <c r="AO5" s="131" t="s">
        <v>133</v>
      </c>
      <c r="AP5" s="130" t="s">
        <v>50</v>
      </c>
      <c r="AQ5" s="131"/>
      <c r="AR5" s="131" t="s">
        <v>133</v>
      </c>
      <c r="AS5" s="130" t="s">
        <v>50</v>
      </c>
      <c r="AT5" s="131"/>
      <c r="AU5" s="131" t="s">
        <v>133</v>
      </c>
      <c r="AV5" s="130" t="s">
        <v>50</v>
      </c>
      <c r="AW5" s="131"/>
      <c r="AX5" s="131" t="s">
        <v>133</v>
      </c>
      <c r="AY5" s="130" t="s">
        <v>50</v>
      </c>
      <c r="AZ5" s="131"/>
      <c r="BA5" s="131" t="s">
        <v>133</v>
      </c>
      <c r="BB5" s="130" t="s">
        <v>50</v>
      </c>
      <c r="BC5" s="131"/>
      <c r="BD5" s="131" t="s">
        <v>133</v>
      </c>
      <c r="BE5" s="130" t="s">
        <v>50</v>
      </c>
      <c r="BF5" s="131"/>
      <c r="BG5" s="131" t="s">
        <v>133</v>
      </c>
      <c r="BH5" s="130" t="s">
        <v>50</v>
      </c>
      <c r="BI5" s="131"/>
      <c r="BJ5" s="131" t="s">
        <v>133</v>
      </c>
      <c r="BK5" s="130" t="s">
        <v>50</v>
      </c>
      <c r="BL5" s="131"/>
      <c r="BM5" s="131" t="s">
        <v>133</v>
      </c>
      <c r="BN5" s="130" t="s">
        <v>50</v>
      </c>
      <c r="BO5" s="131"/>
      <c r="BP5" s="131" t="s">
        <v>133</v>
      </c>
      <c r="BQ5" s="130" t="s">
        <v>50</v>
      </c>
      <c r="BR5" s="131"/>
      <c r="BS5" s="131" t="s">
        <v>133</v>
      </c>
      <c r="BT5" s="130" t="s">
        <v>50</v>
      </c>
      <c r="BU5" s="131"/>
      <c r="BV5" s="131" t="s">
        <v>133</v>
      </c>
      <c r="BW5" s="130" t="s">
        <v>50</v>
      </c>
      <c r="BX5" s="131"/>
      <c r="BY5" s="131" t="s">
        <v>133</v>
      </c>
      <c r="BZ5" s="130" t="s">
        <v>50</v>
      </c>
      <c r="CA5" s="131"/>
      <c r="CB5" s="131" t="s">
        <v>133</v>
      </c>
      <c r="CC5" s="130" t="s">
        <v>50</v>
      </c>
      <c r="CD5" s="131"/>
      <c r="CE5" s="131" t="s">
        <v>133</v>
      </c>
      <c r="CF5" s="130" t="s">
        <v>50</v>
      </c>
      <c r="CG5" s="131"/>
      <c r="CH5" s="131" t="s">
        <v>133</v>
      </c>
      <c r="CI5" s="130" t="s">
        <v>50</v>
      </c>
      <c r="CJ5" s="131"/>
      <c r="CK5" s="131" t="s">
        <v>133</v>
      </c>
      <c r="CL5" s="130" t="s">
        <v>50</v>
      </c>
      <c r="CM5" s="131"/>
      <c r="CN5" s="131" t="s">
        <v>133</v>
      </c>
      <c r="CO5" s="130" t="s">
        <v>50</v>
      </c>
      <c r="CP5" s="131"/>
      <c r="CQ5" s="131" t="s">
        <v>133</v>
      </c>
      <c r="CR5" s="130" t="s">
        <v>50</v>
      </c>
      <c r="CS5" s="131"/>
      <c r="CT5" s="131" t="s">
        <v>133</v>
      </c>
      <c r="CU5" s="130" t="s">
        <v>50</v>
      </c>
      <c r="CV5" s="131"/>
      <c r="CW5" s="131" t="s">
        <v>133</v>
      </c>
      <c r="CX5" s="130" t="s">
        <v>50</v>
      </c>
      <c r="CY5" s="131"/>
      <c r="CZ5" s="131" t="s">
        <v>133</v>
      </c>
    </row>
    <row r="6" ht="11.25" hidden="1" customHeight="1" spans="1:104">
      <c r="A6"/>
      <c r="D6"/>
      <c r="E6"/>
      <c r="G6"/>
      <c r="H6"/>
      <c r="I6"/>
      <c r="J6"/>
      <c r="K6" s="129"/>
      <c r="L6" s="97" t="s">
        <v>165</v>
      </c>
      <c r="M6" s="97"/>
      <c r="N6" s="97">
        <f>IF(ISNUMBER(DCOUNTA(査読範囲,L5,L5:L6)),DCOUNTA(査読範囲,L5,L5:L6),0)</f>
        <v>0</v>
      </c>
      <c r="O6" s="97" t="s">
        <v>166</v>
      </c>
      <c r="P6" s="97"/>
      <c r="Q6" s="97">
        <f>IF(ISNUMBER(DCOUNTA(査読範囲,O5,O5:O6)),DCOUNTA(査読範囲,O5,O5:O6),0)</f>
        <v>0</v>
      </c>
      <c r="R6" s="97" t="s">
        <v>167</v>
      </c>
      <c r="S6" s="97"/>
      <c r="T6" s="97">
        <f>IF(ISNUMBER(DCOUNTA(査読範囲,R5,R5:R6)),DCOUNTA(査読範囲,R5,R5:R6),0)</f>
        <v>0</v>
      </c>
      <c r="U6" s="97" t="s">
        <v>168</v>
      </c>
      <c r="V6" s="97"/>
      <c r="W6" s="97">
        <f>IF(ISNUMBER(DCOUNTA(査読範囲,U5,U5:U6)),DCOUNTA(査読範囲,U5,U5:U6),0)</f>
        <v>0</v>
      </c>
      <c r="X6" s="97" t="s">
        <v>169</v>
      </c>
      <c r="Y6" s="97"/>
      <c r="Z6" s="97">
        <f>IF(ISNUMBER(DCOUNTA(査読範囲,X5,X5:X6)),DCOUNTA(査読範囲,X5,X5:X6),0)</f>
        <v>0</v>
      </c>
      <c r="AA6" s="97" t="s">
        <v>170</v>
      </c>
      <c r="AB6" s="97"/>
      <c r="AC6" s="97">
        <f>IF(ISNUMBER(DCOUNTA(査読範囲,AA5,AA5:AA6)),DCOUNTA(査読範囲,AA5,AA5:AA6),0)</f>
        <v>0</v>
      </c>
      <c r="AD6" s="97" t="s">
        <v>171</v>
      </c>
      <c r="AE6" s="97"/>
      <c r="AF6" s="97">
        <f>IF(ISNUMBER(DCOUNTA(査読範囲,AD5,AD5:AD6)),DCOUNTA(査読範囲,AD5,AD5:AD6),0)</f>
        <v>0</v>
      </c>
      <c r="AG6" s="97" t="s">
        <v>172</v>
      </c>
      <c r="AH6" s="97"/>
      <c r="AI6" s="97">
        <f>IF(ISNUMBER(DCOUNTA(査読範囲,AG5,AG5:AG6)),DCOUNTA(査読範囲,AG5,AG5:AG6),0)</f>
        <v>0</v>
      </c>
      <c r="AJ6" s="97" t="s">
        <v>173</v>
      </c>
      <c r="AK6" s="97"/>
      <c r="AL6" s="97">
        <f>IF(ISNUMBER(DCOUNTA(査読範囲,AJ5,AJ5:AJ6)),DCOUNTA(査読範囲,AJ5,AJ5:AJ6),0)</f>
        <v>0</v>
      </c>
      <c r="AM6" s="97" t="s">
        <v>174</v>
      </c>
      <c r="AN6" s="97"/>
      <c r="AO6" s="97">
        <f>IF(ISNUMBER(DCOUNTA(査読範囲,AM5,AM5:AM6)),DCOUNTA(査読範囲,AM5,AM5:AM6),0)</f>
        <v>0</v>
      </c>
      <c r="AP6" s="97" t="s">
        <v>175</v>
      </c>
      <c r="AQ6" s="97"/>
      <c r="AR6" s="97">
        <f>IF(ISNUMBER(DCOUNTA(査読範囲,AP5,AP5:AP6)),DCOUNTA(査読範囲,AP5,AP5:AP6),0)</f>
        <v>0</v>
      </c>
      <c r="AS6" s="97" t="s">
        <v>176</v>
      </c>
      <c r="AT6" s="97"/>
      <c r="AU6" s="97">
        <f>IF(ISNUMBER(DCOUNTA(査読範囲,AS5,AS5:AS6)),DCOUNTA(査読範囲,AS5,AS5:AS6),0)</f>
        <v>0</v>
      </c>
      <c r="AV6" s="97" t="s">
        <v>177</v>
      </c>
      <c r="AW6" s="97"/>
      <c r="AX6" s="97">
        <f>IF(ISNUMBER(DCOUNTA(査読範囲,AV5,AV5:AV6)),DCOUNTA(査読範囲,AV5,AV5:AV6),0)</f>
        <v>0</v>
      </c>
      <c r="AY6" s="97" t="s">
        <v>178</v>
      </c>
      <c r="AZ6" s="97"/>
      <c r="BA6" s="97">
        <f>IF(ISNUMBER(DCOUNTA(査読範囲,AY5,AY5:AY6)),DCOUNTA(査読範囲,AY5,AY5:AY6),0)</f>
        <v>0</v>
      </c>
      <c r="BB6" s="97" t="s">
        <v>179</v>
      </c>
      <c r="BC6" s="97"/>
      <c r="BD6" s="97">
        <f>IF(ISNUMBER(DCOUNTA(査読範囲,BB5,BB5:BB6)),DCOUNTA(査読範囲,BB5,BB5:BB6),0)</f>
        <v>0</v>
      </c>
      <c r="BE6" s="97" t="s">
        <v>180</v>
      </c>
      <c r="BF6" s="97"/>
      <c r="BG6" s="97">
        <f>IF(ISNUMBER(DCOUNTA(査読範囲,BE5,BE5:BE6)),DCOUNTA(査読範囲,BE5,BE5:BE6),0)</f>
        <v>0</v>
      </c>
      <c r="BH6" s="97" t="s">
        <v>181</v>
      </c>
      <c r="BI6" s="97"/>
      <c r="BJ6" s="97">
        <f>IF(ISNUMBER(DCOUNTA(査読範囲,BH5,BH5:BH6)),DCOUNTA(査読範囲,BH5,BH5:BH6),0)</f>
        <v>0</v>
      </c>
      <c r="BK6" s="97" t="s">
        <v>182</v>
      </c>
      <c r="BL6" s="97"/>
      <c r="BM6" s="97">
        <f>IF(ISNUMBER(DCOUNTA(査読範囲,BK5,BK5:BK6)),DCOUNTA(査読範囲,BK5,BK5:BK6),0)</f>
        <v>0</v>
      </c>
      <c r="BN6" s="97" t="s">
        <v>183</v>
      </c>
      <c r="BO6" s="97"/>
      <c r="BP6" s="97">
        <f>IF(ISNUMBER(DCOUNTA(査読範囲,BN5,BN5:BN6)),DCOUNTA(査読範囲,BN5,BN5:BN6),0)</f>
        <v>0</v>
      </c>
      <c r="BQ6" s="97" t="s">
        <v>184</v>
      </c>
      <c r="BR6" s="97"/>
      <c r="BS6" s="97">
        <f>IF(ISNUMBER(DCOUNTA(査読範囲,BQ5,BQ5:BQ6)),DCOUNTA(査読範囲,BQ5,BQ5:BQ6),0)</f>
        <v>0</v>
      </c>
      <c r="BT6" s="97" t="s">
        <v>185</v>
      </c>
      <c r="BU6" s="97"/>
      <c r="BV6" s="97">
        <f>IF(ISNUMBER(DCOUNTA(査読範囲,BT5,BT5:BT6)),DCOUNTA(査読範囲,BT5,BT5:BT6),0)</f>
        <v>0</v>
      </c>
      <c r="BW6" s="97" t="s">
        <v>186</v>
      </c>
      <c r="BX6" s="97"/>
      <c r="BY6" s="97">
        <f>IF(ISNUMBER(DCOUNTA(査読範囲,BW5,BW5:BW6)),DCOUNTA(査読範囲,BW5,BW5:BW6),0)</f>
        <v>0</v>
      </c>
      <c r="BZ6" s="97" t="s">
        <v>187</v>
      </c>
      <c r="CA6" s="97"/>
      <c r="CB6" s="97">
        <f>IF(ISNUMBER(DCOUNTA(査読範囲,BZ5,BZ5:BZ6)),DCOUNTA(査読範囲,BZ5,BZ5:BZ6),0)</f>
        <v>0</v>
      </c>
      <c r="CC6" s="97" t="s">
        <v>188</v>
      </c>
      <c r="CD6" s="97"/>
      <c r="CE6" s="97">
        <f>IF(ISNUMBER(DCOUNTA(査読範囲,CC5,CC5:CC6)),DCOUNTA(査読範囲,CC5,CC5:CC6),0)</f>
        <v>0</v>
      </c>
      <c r="CF6" s="97" t="s">
        <v>189</v>
      </c>
      <c r="CG6" s="97"/>
      <c r="CH6" s="97">
        <f>IF(ISNUMBER(DCOUNTA(査読範囲,CF5,CF5:CF6)),DCOUNTA(査読範囲,CF5,CF5:CF6),0)</f>
        <v>0</v>
      </c>
      <c r="CI6" s="97" t="s">
        <v>190</v>
      </c>
      <c r="CJ6" s="97"/>
      <c r="CK6" s="97">
        <f>IF(ISNUMBER(DCOUNTA(査読範囲,CI5,CI5:CI6)),DCOUNTA(査読範囲,CI5,CI5:CI6),0)</f>
        <v>0</v>
      </c>
      <c r="CL6" s="97" t="s">
        <v>191</v>
      </c>
      <c r="CM6" s="97"/>
      <c r="CN6" s="97">
        <f>IF(ISNUMBER(DCOUNTA(査読範囲,CL5,CL5:CL6)),DCOUNTA(査読範囲,CL5,CL5:CL6),0)</f>
        <v>0</v>
      </c>
      <c r="CO6" s="97" t="s">
        <v>192</v>
      </c>
      <c r="CP6" s="97"/>
      <c r="CQ6" s="97">
        <f>IF(ISNUMBER(DCOUNTA(査読範囲,CO5,CO5:CO6)),DCOUNTA(査読範囲,CO5,CO5:CO6),0)</f>
        <v>0</v>
      </c>
      <c r="CR6" s="97" t="s">
        <v>193</v>
      </c>
      <c r="CS6" s="97"/>
      <c r="CT6" s="97">
        <f>IF(ISNUMBER(DCOUNTA(査読範囲,CR5,CR5:CR6)),DCOUNTA(査読範囲,CR5,CR5:CR6),0)</f>
        <v>0</v>
      </c>
      <c r="CU6" s="97" t="s">
        <v>194</v>
      </c>
      <c r="CV6" s="97"/>
      <c r="CW6" s="97">
        <f>IF(ISNUMBER(DCOUNTA(査読範囲,CU5,CU5:CU6)),DCOUNTA(査読範囲,CU5,CU5:CU6),0)</f>
        <v>0</v>
      </c>
      <c r="CX6" s="97" t="s">
        <v>195</v>
      </c>
      <c r="CY6" s="97"/>
      <c r="CZ6" s="97">
        <f>IF(ISNUMBER(DCOUNTA(査読範囲,CX5,CX5:CX6)),DCOUNTA(査読範囲,CX5,CX5:CX6),0)</f>
        <v>0</v>
      </c>
    </row>
    <row r="7" ht="11.25" hidden="1" customHeight="1" spans="1:104">
      <c r="A7"/>
      <c r="D7"/>
      <c r="E7"/>
      <c r="G7"/>
      <c r="H7"/>
      <c r="I7"/>
      <c r="J7"/>
      <c r="K7" s="129"/>
      <c r="L7" s="130" t="s">
        <v>50</v>
      </c>
      <c r="M7" s="131"/>
      <c r="N7" s="131" t="s">
        <v>133</v>
      </c>
      <c r="O7" s="130" t="s">
        <v>50</v>
      </c>
      <c r="P7" s="131"/>
      <c r="Q7" s="131" t="s">
        <v>133</v>
      </c>
      <c r="R7" s="130" t="s">
        <v>50</v>
      </c>
      <c r="S7" s="131"/>
      <c r="T7" s="131" t="s">
        <v>133</v>
      </c>
      <c r="U7" s="130" t="s">
        <v>50</v>
      </c>
      <c r="V7" s="131"/>
      <c r="W7" s="131" t="s">
        <v>133</v>
      </c>
      <c r="X7" s="130" t="s">
        <v>50</v>
      </c>
      <c r="Y7" s="131"/>
      <c r="Z7" s="131" t="s">
        <v>133</v>
      </c>
      <c r="AA7" s="130" t="s">
        <v>50</v>
      </c>
      <c r="AB7" s="131"/>
      <c r="AC7" s="131" t="s">
        <v>133</v>
      </c>
      <c r="AD7" s="130" t="s">
        <v>50</v>
      </c>
      <c r="AE7" s="131"/>
      <c r="AF7" s="131" t="s">
        <v>133</v>
      </c>
      <c r="AG7" s="130" t="s">
        <v>50</v>
      </c>
      <c r="AH7" s="131"/>
      <c r="AI7" s="131" t="s">
        <v>133</v>
      </c>
      <c r="AJ7" s="130" t="s">
        <v>50</v>
      </c>
      <c r="AK7" s="131"/>
      <c r="AL7" s="131" t="s">
        <v>133</v>
      </c>
      <c r="AM7" s="130" t="s">
        <v>50</v>
      </c>
      <c r="AN7" s="131"/>
      <c r="AO7" s="131" t="s">
        <v>133</v>
      </c>
      <c r="AP7" s="130" t="s">
        <v>50</v>
      </c>
      <c r="AQ7" s="131"/>
      <c r="AR7" s="131" t="s">
        <v>133</v>
      </c>
      <c r="AS7" s="130" t="s">
        <v>50</v>
      </c>
      <c r="AT7" s="131"/>
      <c r="AU7" s="131" t="s">
        <v>133</v>
      </c>
      <c r="AV7" s="130" t="s">
        <v>50</v>
      </c>
      <c r="AW7" s="131"/>
      <c r="AX7" s="131" t="s">
        <v>133</v>
      </c>
      <c r="AY7" s="130" t="s">
        <v>50</v>
      </c>
      <c r="AZ7" s="131"/>
      <c r="BA7" s="131" t="s">
        <v>133</v>
      </c>
      <c r="BB7" s="130" t="s">
        <v>50</v>
      </c>
      <c r="BC7" s="131"/>
      <c r="BD7" s="131" t="s">
        <v>133</v>
      </c>
      <c r="BE7" s="130" t="s">
        <v>50</v>
      </c>
      <c r="BF7" s="131"/>
      <c r="BG7" s="131" t="s">
        <v>133</v>
      </c>
      <c r="BH7" s="130" t="s">
        <v>50</v>
      </c>
      <c r="BI7" s="131"/>
      <c r="BJ7" s="131" t="s">
        <v>133</v>
      </c>
      <c r="BK7" s="130" t="s">
        <v>50</v>
      </c>
      <c r="BL7" s="131"/>
      <c r="BM7" s="131" t="s">
        <v>133</v>
      </c>
      <c r="BN7" s="130" t="s">
        <v>50</v>
      </c>
      <c r="BO7" s="131"/>
      <c r="BP7" s="131" t="s">
        <v>133</v>
      </c>
      <c r="BQ7" s="130" t="s">
        <v>50</v>
      </c>
      <c r="BR7" s="131"/>
      <c r="BS7" s="131" t="s">
        <v>133</v>
      </c>
      <c r="BT7" s="130" t="s">
        <v>50</v>
      </c>
      <c r="BU7" s="131"/>
      <c r="BV7" s="131" t="s">
        <v>133</v>
      </c>
      <c r="BW7" s="130" t="s">
        <v>50</v>
      </c>
      <c r="BX7" s="131"/>
      <c r="BY7" s="131" t="s">
        <v>133</v>
      </c>
      <c r="BZ7" s="130" t="s">
        <v>50</v>
      </c>
      <c r="CA7" s="131"/>
      <c r="CB7" s="131" t="s">
        <v>133</v>
      </c>
      <c r="CC7" s="130" t="s">
        <v>50</v>
      </c>
      <c r="CD7" s="131"/>
      <c r="CE7" s="131" t="s">
        <v>133</v>
      </c>
      <c r="CF7" s="130" t="s">
        <v>50</v>
      </c>
      <c r="CG7" s="131"/>
      <c r="CH7" s="131" t="s">
        <v>133</v>
      </c>
      <c r="CI7" s="130" t="s">
        <v>50</v>
      </c>
      <c r="CJ7" s="131"/>
      <c r="CK7" s="131" t="s">
        <v>133</v>
      </c>
      <c r="CL7" s="130" t="s">
        <v>50</v>
      </c>
      <c r="CM7" s="131"/>
      <c r="CN7" s="131" t="s">
        <v>133</v>
      </c>
      <c r="CO7" s="130" t="s">
        <v>50</v>
      </c>
      <c r="CP7" s="131"/>
      <c r="CQ7" s="131" t="s">
        <v>133</v>
      </c>
      <c r="CR7" s="130" t="s">
        <v>50</v>
      </c>
      <c r="CS7" s="131"/>
      <c r="CT7" s="131" t="s">
        <v>133</v>
      </c>
      <c r="CU7" s="130" t="s">
        <v>50</v>
      </c>
      <c r="CV7" s="131"/>
      <c r="CW7" s="131" t="s">
        <v>133</v>
      </c>
      <c r="CX7" s="130" t="s">
        <v>50</v>
      </c>
      <c r="CY7" s="131"/>
      <c r="CZ7" s="131" t="s">
        <v>133</v>
      </c>
    </row>
    <row r="8" ht="11.25" hidden="1" customHeight="1" spans="1:104">
      <c r="A8"/>
      <c r="D8"/>
      <c r="E8"/>
      <c r="G8"/>
      <c r="H8"/>
      <c r="I8"/>
      <c r="J8"/>
      <c r="K8" s="129"/>
      <c r="L8" s="97" t="s">
        <v>196</v>
      </c>
      <c r="M8" s="97"/>
      <c r="N8" s="97">
        <f>IF(ISNUMBER(DCOUNTA(査読範囲,L7,L7:L8)),DCOUNTA(査読範囲,L7,L7:L8),0)</f>
        <v>0</v>
      </c>
      <c r="O8" s="97" t="s">
        <v>196</v>
      </c>
      <c r="P8" s="97"/>
      <c r="Q8" s="97">
        <f>IF(ISNUMBER(DCOUNTA(査読範囲,O7,O7:O8)),DCOUNTA(査読範囲,O7,O7:O8),0)</f>
        <v>0</v>
      </c>
      <c r="R8" s="97" t="s">
        <v>197</v>
      </c>
      <c r="S8" s="97"/>
      <c r="T8" s="97">
        <f>IF(ISNUMBER(DCOUNTA(査読範囲,R7,R7:R8)),DCOUNTA(査読範囲,R7,R7:R8),0)</f>
        <v>0</v>
      </c>
      <c r="U8" s="97" t="s">
        <v>198</v>
      </c>
      <c r="V8" s="97"/>
      <c r="W8" s="97">
        <f>IF(ISNUMBER(DCOUNTA(査読範囲,U7,U7:U8)),DCOUNTA(査読範囲,U7,U7:U8),0)</f>
        <v>0</v>
      </c>
      <c r="X8" s="97" t="s">
        <v>199</v>
      </c>
      <c r="Y8" s="97"/>
      <c r="Z8" s="97">
        <f>IF(ISNUMBER(DCOUNTA(査読範囲,X7,X7:X8)),DCOUNTA(査読範囲,X7,X7:X8),0)</f>
        <v>0</v>
      </c>
      <c r="AA8" s="97" t="s">
        <v>200</v>
      </c>
      <c r="AB8" s="97"/>
      <c r="AC8" s="97">
        <f>IF(ISNUMBER(DCOUNTA(査読範囲,AA7,AA7:AA8)),DCOUNTA(査読範囲,AA7,AA7:AA8),0)</f>
        <v>0</v>
      </c>
      <c r="AD8" s="97" t="s">
        <v>201</v>
      </c>
      <c r="AE8" s="97"/>
      <c r="AF8" s="97">
        <f>IF(ISNUMBER(DCOUNTA(査読範囲,AD7,AD7:AD8)),DCOUNTA(査読範囲,AD7,AD7:AD8),0)</f>
        <v>0</v>
      </c>
      <c r="AG8" s="97" t="s">
        <v>202</v>
      </c>
      <c r="AH8" s="97"/>
      <c r="AI8" s="97">
        <f>IF(ISNUMBER(DCOUNTA(査読範囲,AG7,AG7:AG8)),DCOUNTA(査読範囲,AG7,AG7:AG8),0)</f>
        <v>0</v>
      </c>
      <c r="AJ8" s="97" t="s">
        <v>203</v>
      </c>
      <c r="AK8" s="97"/>
      <c r="AL8" s="97">
        <f>IF(ISNUMBER(DCOUNTA(査読範囲,AJ7,AJ7:AJ8)),DCOUNTA(査読範囲,AJ7,AJ7:AJ8),0)</f>
        <v>0</v>
      </c>
      <c r="AM8" s="97" t="s">
        <v>204</v>
      </c>
      <c r="AN8" s="97"/>
      <c r="AO8" s="97">
        <f>IF(ISNUMBER(DCOUNTA(査読範囲,AM7,AM7:AM8)),DCOUNTA(査読範囲,AM7,AM7:AM8),0)</f>
        <v>0</v>
      </c>
      <c r="AP8" s="97" t="s">
        <v>205</v>
      </c>
      <c r="AQ8" s="97"/>
      <c r="AR8" s="97">
        <f>IF(ISNUMBER(DCOUNTA(査読範囲,AP7,AP7:AP8)),DCOUNTA(査読範囲,AP7,AP7:AP8),0)</f>
        <v>0</v>
      </c>
      <c r="AS8" s="97" t="s">
        <v>206</v>
      </c>
      <c r="AT8" s="97"/>
      <c r="AU8" s="97">
        <f>IF(ISNUMBER(DCOUNTA(査読範囲,AS7,AS7:AS8)),DCOUNTA(査読範囲,AS7,AS7:AS8),0)</f>
        <v>0</v>
      </c>
      <c r="AV8" s="97" t="s">
        <v>207</v>
      </c>
      <c r="AW8" s="97"/>
      <c r="AX8" s="97">
        <f>IF(ISNUMBER(DCOUNTA(査読範囲,AV7,AV7:AV8)),DCOUNTA(査読範囲,AV7,AV7:AV8),0)</f>
        <v>0</v>
      </c>
      <c r="AY8" s="97" t="s">
        <v>208</v>
      </c>
      <c r="AZ8" s="97"/>
      <c r="BA8" s="97">
        <f>IF(ISNUMBER(DCOUNTA(査読範囲,AY7,AY7:AY8)),DCOUNTA(査読範囲,AY7,AY7:AY8),0)</f>
        <v>0</v>
      </c>
      <c r="BB8" s="97" t="s">
        <v>209</v>
      </c>
      <c r="BC8" s="97"/>
      <c r="BD8" s="97">
        <f>IF(ISNUMBER(DCOUNTA(査読範囲,BB7,BB7:BB8)),DCOUNTA(査読範囲,BB7,BB7:BB8),0)</f>
        <v>0</v>
      </c>
      <c r="BE8" s="97" t="s">
        <v>210</v>
      </c>
      <c r="BF8" s="97"/>
      <c r="BG8" s="97">
        <f>IF(ISNUMBER(DCOUNTA(査読範囲,BE7,BE7:BE8)),DCOUNTA(査読範囲,BE7,BE7:BE8),0)</f>
        <v>0</v>
      </c>
      <c r="BH8" s="97" t="s">
        <v>211</v>
      </c>
      <c r="BI8" s="97"/>
      <c r="BJ8" s="97">
        <f>IF(ISNUMBER(DCOUNTA(査読範囲,BH7,BH7:BH8)),DCOUNTA(査読範囲,BH7,BH7:BH8),0)</f>
        <v>0</v>
      </c>
      <c r="BK8" s="97" t="s">
        <v>212</v>
      </c>
      <c r="BL8" s="97"/>
      <c r="BM8" s="97">
        <f>IF(ISNUMBER(DCOUNTA(査読範囲,BK7,BK7:BK8)),DCOUNTA(査読範囲,BK7,BK7:BK8),0)</f>
        <v>0</v>
      </c>
      <c r="BN8" s="97" t="s">
        <v>213</v>
      </c>
      <c r="BO8" s="97"/>
      <c r="BP8" s="97">
        <f>IF(ISNUMBER(DCOUNTA(査読範囲,BN7,BN7:BN8)),DCOUNTA(査読範囲,BN7,BN7:BN8),0)</f>
        <v>0</v>
      </c>
      <c r="BQ8" s="97" t="s">
        <v>214</v>
      </c>
      <c r="BR8" s="97"/>
      <c r="BS8" s="97">
        <f>IF(ISNUMBER(DCOUNTA(査読範囲,BQ7,BQ7:BQ8)),DCOUNTA(査読範囲,BQ7,BQ7:BQ8),0)</f>
        <v>0</v>
      </c>
      <c r="BT8" s="97" t="s">
        <v>215</v>
      </c>
      <c r="BU8" s="97"/>
      <c r="BV8" s="97">
        <f>IF(ISNUMBER(DCOUNTA(査読範囲,BT7,BT7:BT8)),DCOUNTA(査読範囲,BT7,BT7:BT8),0)</f>
        <v>0</v>
      </c>
      <c r="BW8" s="97" t="s">
        <v>216</v>
      </c>
      <c r="BX8" s="97"/>
      <c r="BY8" s="97">
        <f>IF(ISNUMBER(DCOUNTA(査読範囲,BW7,BW7:BW8)),DCOUNTA(査読範囲,BW7,BW7:BW8),0)</f>
        <v>0</v>
      </c>
      <c r="BZ8" s="97" t="s">
        <v>217</v>
      </c>
      <c r="CA8" s="97"/>
      <c r="CB8" s="97">
        <f>IF(ISNUMBER(DCOUNTA(査読範囲,BZ7,BZ7:BZ8)),DCOUNTA(査読範囲,BZ7,BZ7:BZ8),0)</f>
        <v>0</v>
      </c>
      <c r="CC8" s="97" t="s">
        <v>218</v>
      </c>
      <c r="CD8" s="97"/>
      <c r="CE8" s="97">
        <f>IF(ISNUMBER(DCOUNTA(査読範囲,CC7,CC7:CC8)),DCOUNTA(査読範囲,CC7,CC7:CC8),0)</f>
        <v>0</v>
      </c>
      <c r="CF8" s="97" t="s">
        <v>219</v>
      </c>
      <c r="CG8" s="97"/>
      <c r="CH8" s="97">
        <f>IF(ISNUMBER(DCOUNTA(査読範囲,CF7,CF7:CF8)),DCOUNTA(査読範囲,CF7,CF7:CF8),0)</f>
        <v>0</v>
      </c>
      <c r="CI8" s="97" t="s">
        <v>220</v>
      </c>
      <c r="CJ8" s="97"/>
      <c r="CK8" s="97">
        <f>IF(ISNUMBER(DCOUNTA(査読範囲,CI7,CI7:CI8)),DCOUNTA(査読範囲,CI7,CI7:CI8),0)</f>
        <v>0</v>
      </c>
      <c r="CL8" s="97" t="s">
        <v>221</v>
      </c>
      <c r="CM8" s="97"/>
      <c r="CN8" s="97">
        <f>IF(ISNUMBER(DCOUNTA(査読範囲,CL7,CL7:CL8)),DCOUNTA(査読範囲,CL7,CL7:CL8),0)</f>
        <v>0</v>
      </c>
      <c r="CO8" s="97" t="s">
        <v>222</v>
      </c>
      <c r="CP8" s="97"/>
      <c r="CQ8" s="97">
        <f>IF(ISNUMBER(DCOUNTA(査読範囲,CO7,CO7:CO8)),DCOUNTA(査読範囲,CO7,CO7:CO8),0)</f>
        <v>0</v>
      </c>
      <c r="CR8" s="97" t="s">
        <v>223</v>
      </c>
      <c r="CS8" s="97"/>
      <c r="CT8" s="97">
        <f>IF(ISNUMBER(DCOUNTA(査読範囲,CR7,CR7:CR8)),DCOUNTA(査読範囲,CR7,CR7:CR8),0)</f>
        <v>0</v>
      </c>
      <c r="CU8" s="97" t="s">
        <v>224</v>
      </c>
      <c r="CV8" s="97"/>
      <c r="CW8" s="97">
        <f>IF(ISNUMBER(DCOUNTA(査読範囲,CU7,CU7:CU8)),DCOUNTA(査読範囲,CU7,CU7:CU8),0)</f>
        <v>0</v>
      </c>
      <c r="CX8" s="97" t="s">
        <v>225</v>
      </c>
      <c r="CY8" s="97"/>
      <c r="CZ8" s="97">
        <f>IF(ISNUMBER(DCOUNTA(査読範囲,CX7,CX7:CX8)),DCOUNTA(査読範囲,CX7,CX7:CX8),0)</f>
        <v>0</v>
      </c>
    </row>
    <row r="9" ht="11.25" hidden="1" customHeight="1" spans="1:104">
      <c r="A9"/>
      <c r="D9"/>
      <c r="E9"/>
      <c r="G9"/>
      <c r="H9"/>
      <c r="I9"/>
      <c r="J9"/>
      <c r="K9" s="129"/>
      <c r="L9" s="130" t="s">
        <v>50</v>
      </c>
      <c r="M9" s="131"/>
      <c r="N9" s="131" t="s">
        <v>133</v>
      </c>
      <c r="O9" s="130" t="s">
        <v>50</v>
      </c>
      <c r="P9" s="131"/>
      <c r="Q9" s="131" t="s">
        <v>133</v>
      </c>
      <c r="R9" s="130" t="s">
        <v>50</v>
      </c>
      <c r="S9" s="131"/>
      <c r="T9" s="131" t="s">
        <v>133</v>
      </c>
      <c r="U9" s="130" t="s">
        <v>50</v>
      </c>
      <c r="V9" s="131"/>
      <c r="W9" s="131" t="s">
        <v>133</v>
      </c>
      <c r="X9" s="130" t="s">
        <v>50</v>
      </c>
      <c r="Y9" s="131"/>
      <c r="Z9" s="131" t="s">
        <v>133</v>
      </c>
      <c r="AA9" s="130" t="s">
        <v>50</v>
      </c>
      <c r="AB9" s="131"/>
      <c r="AC9" s="131" t="s">
        <v>133</v>
      </c>
      <c r="AD9" s="130" t="s">
        <v>50</v>
      </c>
      <c r="AE9" s="131"/>
      <c r="AF9" s="131" t="s">
        <v>133</v>
      </c>
      <c r="AG9" s="130" t="s">
        <v>50</v>
      </c>
      <c r="AH9" s="131"/>
      <c r="AI9" s="131" t="s">
        <v>133</v>
      </c>
      <c r="AJ9" s="130" t="s">
        <v>50</v>
      </c>
      <c r="AK9" s="131"/>
      <c r="AL9" s="131" t="s">
        <v>133</v>
      </c>
      <c r="AM9" s="130" t="s">
        <v>50</v>
      </c>
      <c r="AN9" s="131"/>
      <c r="AO9" s="131" t="s">
        <v>133</v>
      </c>
      <c r="AP9" s="130" t="s">
        <v>50</v>
      </c>
      <c r="AQ9" s="131"/>
      <c r="AR9" s="131" t="s">
        <v>133</v>
      </c>
      <c r="AS9" s="130" t="s">
        <v>50</v>
      </c>
      <c r="AT9" s="131"/>
      <c r="AU9" s="131" t="s">
        <v>133</v>
      </c>
      <c r="AV9" s="130" t="s">
        <v>50</v>
      </c>
      <c r="AW9" s="131"/>
      <c r="AX9" s="131" t="s">
        <v>133</v>
      </c>
      <c r="AY9" s="130" t="s">
        <v>50</v>
      </c>
      <c r="AZ9" s="131"/>
      <c r="BA9" s="131" t="s">
        <v>133</v>
      </c>
      <c r="BB9" s="130" t="s">
        <v>50</v>
      </c>
      <c r="BC9" s="131"/>
      <c r="BD9" s="131" t="s">
        <v>133</v>
      </c>
      <c r="BE9" s="130" t="s">
        <v>50</v>
      </c>
      <c r="BF9" s="131"/>
      <c r="BG9" s="131" t="s">
        <v>133</v>
      </c>
      <c r="BH9" s="130" t="s">
        <v>50</v>
      </c>
      <c r="BI9" s="131"/>
      <c r="BJ9" s="131" t="s">
        <v>133</v>
      </c>
      <c r="BK9" s="130" t="s">
        <v>50</v>
      </c>
      <c r="BL9" s="131"/>
      <c r="BM9" s="131" t="s">
        <v>133</v>
      </c>
      <c r="BN9" s="130" t="s">
        <v>50</v>
      </c>
      <c r="BO9" s="131"/>
      <c r="BP9" s="131" t="s">
        <v>133</v>
      </c>
      <c r="BQ9" s="130" t="s">
        <v>50</v>
      </c>
      <c r="BR9" s="131"/>
      <c r="BS9" s="131" t="s">
        <v>133</v>
      </c>
      <c r="BT9" s="130" t="s">
        <v>50</v>
      </c>
      <c r="BU9" s="131"/>
      <c r="BV9" s="131" t="s">
        <v>133</v>
      </c>
      <c r="BW9" s="130" t="s">
        <v>50</v>
      </c>
      <c r="BX9" s="131"/>
      <c r="BY9" s="131" t="s">
        <v>133</v>
      </c>
      <c r="BZ9" s="130" t="s">
        <v>50</v>
      </c>
      <c r="CA9" s="131"/>
      <c r="CB9" s="131" t="s">
        <v>133</v>
      </c>
      <c r="CC9" s="130" t="s">
        <v>50</v>
      </c>
      <c r="CD9" s="131"/>
      <c r="CE9" s="131" t="s">
        <v>133</v>
      </c>
      <c r="CF9" s="130" t="s">
        <v>50</v>
      </c>
      <c r="CG9" s="131"/>
      <c r="CH9" s="131" t="s">
        <v>133</v>
      </c>
      <c r="CI9" s="130" t="s">
        <v>50</v>
      </c>
      <c r="CJ9" s="131"/>
      <c r="CK9" s="131" t="s">
        <v>133</v>
      </c>
      <c r="CL9" s="130" t="s">
        <v>50</v>
      </c>
      <c r="CM9" s="131"/>
      <c r="CN9" s="131" t="s">
        <v>133</v>
      </c>
      <c r="CO9" s="130" t="s">
        <v>50</v>
      </c>
      <c r="CP9" s="131"/>
      <c r="CQ9" s="131" t="s">
        <v>133</v>
      </c>
      <c r="CR9" s="130" t="s">
        <v>50</v>
      </c>
      <c r="CS9" s="131"/>
      <c r="CT9" s="131" t="s">
        <v>133</v>
      </c>
      <c r="CU9" s="130" t="s">
        <v>50</v>
      </c>
      <c r="CV9" s="131"/>
      <c r="CW9" s="131" t="s">
        <v>133</v>
      </c>
      <c r="CX9" s="130" t="s">
        <v>50</v>
      </c>
      <c r="CY9" s="131"/>
      <c r="CZ9" s="131" t="s">
        <v>133</v>
      </c>
    </row>
    <row r="10" ht="11.25" hidden="1" customHeight="1" spans="1:104">
      <c r="A10"/>
      <c r="D10"/>
      <c r="E10"/>
      <c r="G10"/>
      <c r="H10"/>
      <c r="I10"/>
      <c r="J10"/>
      <c r="K10" s="129"/>
      <c r="L10" s="97" t="s">
        <v>226</v>
      </c>
      <c r="M10" s="97"/>
      <c r="N10" s="132"/>
      <c r="O10" s="97" t="s">
        <v>227</v>
      </c>
      <c r="P10" s="97"/>
      <c r="Q10" s="132"/>
      <c r="R10" s="97" t="s">
        <v>228</v>
      </c>
      <c r="S10" s="97"/>
      <c r="T10" s="132"/>
      <c r="U10" s="97" t="s">
        <v>229</v>
      </c>
      <c r="V10" s="97"/>
      <c r="W10" s="97">
        <f>IF(ISNUMBER(DCOUNTA(査読範囲,U9,U9:U10)),DCOUNTA(査読範囲,U9,U9:U10),0)</f>
        <v>0</v>
      </c>
      <c r="X10" s="97" t="s">
        <v>230</v>
      </c>
      <c r="Y10" s="97"/>
      <c r="Z10" s="97">
        <f>IF(ISNUMBER(DCOUNTA(査読範囲,X9,X9:X10)),DCOUNTA(査読範囲,X9,X9:X10),0)</f>
        <v>0</v>
      </c>
      <c r="AA10" s="97" t="s">
        <v>231</v>
      </c>
      <c r="AB10" s="97"/>
      <c r="AC10" s="97">
        <f>IF(ISNUMBER(DCOUNTA(査読範囲,AA9,AA9:AA10)),DCOUNTA(査読範囲,AA9,AA9:AA10),0)</f>
        <v>0</v>
      </c>
      <c r="AD10" s="97" t="s">
        <v>232</v>
      </c>
      <c r="AE10" s="97"/>
      <c r="AF10" s="97">
        <f>IF(ISNUMBER(DCOUNTA(査読範囲,AD9,AD9:AD10)),DCOUNTA(査読範囲,AD9,AD9:AD10),0)</f>
        <v>0</v>
      </c>
      <c r="AG10" s="97" t="s">
        <v>233</v>
      </c>
      <c r="AH10" s="97"/>
      <c r="AI10" s="97">
        <f>IF(ISNUMBER(DCOUNTA(査読範囲,AG9,AG9:AG10)),DCOUNTA(査読範囲,AG9,AG9:AG10),0)</f>
        <v>0</v>
      </c>
      <c r="AJ10" s="97" t="s">
        <v>234</v>
      </c>
      <c r="AK10" s="97"/>
      <c r="AL10" s="97">
        <f>IF(ISNUMBER(DCOUNTA(査読範囲,AJ9,AJ9:AJ10)),DCOUNTA(査読範囲,AJ9,AJ9:AJ10),0)</f>
        <v>0</v>
      </c>
      <c r="AM10" s="97" t="s">
        <v>235</v>
      </c>
      <c r="AN10" s="97"/>
      <c r="AO10" s="97">
        <f>IF(ISNUMBER(DCOUNTA(査読範囲,AM9,AM9:AM10)),DCOUNTA(査読範囲,AM9,AM9:AM10),0)</f>
        <v>0</v>
      </c>
      <c r="AP10" s="97" t="s">
        <v>236</v>
      </c>
      <c r="AQ10" s="97"/>
      <c r="AR10" s="97">
        <f>IF(ISNUMBER(DCOUNTA(査読範囲,AP9,AP9:AP10)),DCOUNTA(査読範囲,AP9,AP9:AP10),0)</f>
        <v>0</v>
      </c>
      <c r="AS10" s="97" t="s">
        <v>237</v>
      </c>
      <c r="AT10" s="97"/>
      <c r="AU10" s="97">
        <f>IF(ISNUMBER(DCOUNTA(査読範囲,AS9,AS9:AS10)),DCOUNTA(査読範囲,AS9,AS9:AS10),0)</f>
        <v>0</v>
      </c>
      <c r="AV10" s="97" t="s">
        <v>238</v>
      </c>
      <c r="AW10" s="97"/>
      <c r="AX10" s="97">
        <f>IF(ISNUMBER(DCOUNTA(査読範囲,AV9,AV9:AV10)),DCOUNTA(査読範囲,AV9,AV9:AV10),0)</f>
        <v>0</v>
      </c>
      <c r="AY10" s="97" t="s">
        <v>239</v>
      </c>
      <c r="AZ10" s="97"/>
      <c r="BA10" s="97">
        <f>IF(ISNUMBER(DCOUNTA(査読範囲,AY9,AY9:AY10)),DCOUNTA(査読範囲,AY9,AY9:AY10),0)</f>
        <v>0</v>
      </c>
      <c r="BB10" s="97" t="s">
        <v>240</v>
      </c>
      <c r="BC10" s="97"/>
      <c r="BD10" s="97">
        <f>IF(ISNUMBER(DCOUNTA(査読範囲,BB9,BB9:BB10)),DCOUNTA(査読範囲,BB9,BB9:BB10),0)</f>
        <v>0</v>
      </c>
      <c r="BE10" s="97" t="s">
        <v>241</v>
      </c>
      <c r="BF10" s="97"/>
      <c r="BG10" s="97">
        <f>IF(ISNUMBER(DCOUNTA(査読範囲,BE9,BE9:BE10)),DCOUNTA(査読範囲,BE9,BE9:BE10),0)</f>
        <v>0</v>
      </c>
      <c r="BH10" s="97" t="s">
        <v>242</v>
      </c>
      <c r="BI10" s="97"/>
      <c r="BJ10" s="97">
        <f>IF(ISNUMBER(DCOUNTA(査読範囲,BH9,BH9:BH10)),DCOUNTA(査読範囲,BH9,BH9:BH10),0)</f>
        <v>0</v>
      </c>
      <c r="BK10" s="97" t="s">
        <v>243</v>
      </c>
      <c r="BL10" s="97"/>
      <c r="BM10" s="97">
        <f>IF(ISNUMBER(DCOUNTA(査読範囲,BK9,BK9:BK10)),DCOUNTA(査読範囲,BK9,BK9:BK10),0)</f>
        <v>0</v>
      </c>
      <c r="BN10" s="97" t="s">
        <v>244</v>
      </c>
      <c r="BO10" s="97"/>
      <c r="BP10" s="97">
        <f>IF(ISNUMBER(DCOUNTA(査読範囲,BN9,BN9:BN10)),DCOUNTA(査読範囲,BN9,BN9:BN10),0)</f>
        <v>0</v>
      </c>
      <c r="BQ10" s="97" t="s">
        <v>245</v>
      </c>
      <c r="BR10" s="97"/>
      <c r="BS10" s="97">
        <f>IF(ISNUMBER(DCOUNTA(査読範囲,BQ9,BQ9:BQ10)),DCOUNTA(査読範囲,BQ9,BQ9:BQ10),0)</f>
        <v>0</v>
      </c>
      <c r="BT10" s="97" t="s">
        <v>246</v>
      </c>
      <c r="BU10" s="97"/>
      <c r="BV10" s="161">
        <f>IF(ISNUMBER(DCOUNTA(査読範囲,BT9,BT9:BT10)),DCOUNTA(査読範囲,BT9,BT9:BT10),0)</f>
        <v>0</v>
      </c>
      <c r="BW10" s="97" t="s">
        <v>247</v>
      </c>
      <c r="BX10" s="97"/>
      <c r="BY10" s="161">
        <f>IF(ISNUMBER(DCOUNTA(査読範囲,BW9,BW9:BW10)),DCOUNTA(査読範囲,BW9,BW9:BW10),0)</f>
        <v>0</v>
      </c>
      <c r="BZ10" s="97" t="s">
        <v>248</v>
      </c>
      <c r="CA10" s="97"/>
      <c r="CB10" s="97">
        <f>IF(ISNUMBER(DCOUNTA(査読範囲,BZ9,BZ9:BZ10)),DCOUNTA(査読範囲,BZ9,BZ9:BZ10),0)</f>
        <v>0</v>
      </c>
      <c r="CC10" s="97" t="s">
        <v>249</v>
      </c>
      <c r="CD10" s="97"/>
      <c r="CE10" s="97">
        <f>IF(ISNUMBER(DCOUNTA(査読範囲,CC9,CC9:CC10)),DCOUNTA(査読範囲,CC9,CC9:CC10),0)</f>
        <v>0</v>
      </c>
      <c r="CF10" s="97" t="s">
        <v>250</v>
      </c>
      <c r="CG10" s="97"/>
      <c r="CH10" s="161">
        <f>IF(ISNUMBER(DCOUNTA(査読範囲,CF9,CF9:CF10)),DCOUNTA(査読範囲,CF9,CF9:CF10),0)</f>
        <v>0</v>
      </c>
      <c r="CI10" s="97" t="s">
        <v>251</v>
      </c>
      <c r="CJ10" s="97"/>
      <c r="CK10" s="161">
        <f>IF(ISNUMBER(DCOUNTA(査読範囲,CI9,CI9:CI10)),DCOUNTA(査読範囲,CI9,CI9:CI10),0)</f>
        <v>0</v>
      </c>
      <c r="CL10" s="97" t="s">
        <v>252</v>
      </c>
      <c r="CM10" s="97"/>
      <c r="CN10" s="97">
        <f>IF(ISNUMBER(DCOUNTA(査読範囲,CL9,CL9:CL10)),DCOUNTA(査読範囲,CL9,CL9:CL10),0)</f>
        <v>0</v>
      </c>
      <c r="CO10" s="97" t="s">
        <v>253</v>
      </c>
      <c r="CP10" s="97"/>
      <c r="CQ10" s="97">
        <f>IF(ISNUMBER(DCOUNTA(査読範囲,CO9,CO9:CO10)),DCOUNTA(査読範囲,CO9,CO9:CO10),0)</f>
        <v>0</v>
      </c>
      <c r="CR10" s="97" t="s">
        <v>254</v>
      </c>
      <c r="CS10" s="97"/>
      <c r="CT10" s="97">
        <f>IF(ISNUMBER(DCOUNTA(査読範囲,CR9,CR9:CR10)),DCOUNTA(査読範囲,CR9,CR9:CR10),0)</f>
        <v>0</v>
      </c>
      <c r="CU10" s="97" t="s">
        <v>255</v>
      </c>
      <c r="CV10" s="97"/>
      <c r="CW10" s="161">
        <f>IF(ISNUMBER(DCOUNTA(査読範囲,CU9,CU9:CU10)),DCOUNTA(査読範囲,CU9,CU9:CU10),0)</f>
        <v>0</v>
      </c>
      <c r="CX10" s="97" t="s">
        <v>256</v>
      </c>
      <c r="CY10" s="97"/>
      <c r="CZ10" s="97">
        <f>IF(ISNUMBER(DCOUNTA(査読範囲,CX9,CX9:CX10)),DCOUNTA(査読範囲,CX9,CX9:CX10),0)</f>
        <v>0</v>
      </c>
    </row>
    <row r="11" ht="11.25" hidden="1" customHeight="1" spans="1:104">
      <c r="A11"/>
      <c r="D11"/>
      <c r="E11"/>
      <c r="G11"/>
      <c r="H11"/>
      <c r="I11"/>
      <c r="J11"/>
      <c r="K11" s="129"/>
      <c r="L11" s="97" t="s">
        <v>257</v>
      </c>
      <c r="M11" s="97"/>
      <c r="N11" s="131" t="s">
        <v>258</v>
      </c>
      <c r="O11" s="97"/>
      <c r="P11" s="97"/>
      <c r="Q11" s="131" t="s">
        <v>259</v>
      </c>
      <c r="R11" s="97"/>
      <c r="S11" s="97"/>
      <c r="T11" s="131" t="s">
        <v>260</v>
      </c>
      <c r="U11" s="97"/>
      <c r="V11" s="97"/>
      <c r="W11" s="131" t="s">
        <v>261</v>
      </c>
      <c r="X11" s="97"/>
      <c r="Y11" s="97"/>
      <c r="Z11" s="131" t="s">
        <v>262</v>
      </c>
      <c r="AA11" s="97"/>
      <c r="AB11" s="97"/>
      <c r="AC11" s="131" t="s">
        <v>263</v>
      </c>
      <c r="AD11" s="97"/>
      <c r="AE11" s="97"/>
      <c r="AF11" s="131" t="s">
        <v>264</v>
      </c>
      <c r="AG11" s="97" t="s">
        <v>257</v>
      </c>
      <c r="AH11" s="97"/>
      <c r="AI11" s="131" t="s">
        <v>265</v>
      </c>
      <c r="AJ11" s="97"/>
      <c r="AK11" s="97"/>
      <c r="AL11" s="131" t="s">
        <v>266</v>
      </c>
      <c r="AM11" s="97"/>
      <c r="AN11" s="97"/>
      <c r="AO11" s="131" t="s">
        <v>267</v>
      </c>
      <c r="AP11" s="97"/>
      <c r="AQ11" s="97"/>
      <c r="AR11" s="131" t="s">
        <v>268</v>
      </c>
      <c r="AS11" s="97"/>
      <c r="AT11" s="97"/>
      <c r="AU11" s="131" t="s">
        <v>269</v>
      </c>
      <c r="AV11" s="97"/>
      <c r="AW11" s="97"/>
      <c r="AX11" s="131" t="s">
        <v>270</v>
      </c>
      <c r="AY11" s="97"/>
      <c r="AZ11" s="97"/>
      <c r="BA11" s="131" t="s">
        <v>271</v>
      </c>
      <c r="BB11" s="97"/>
      <c r="BC11" s="97"/>
      <c r="BD11" s="131" t="s">
        <v>272</v>
      </c>
      <c r="BE11" s="97"/>
      <c r="BF11" s="97"/>
      <c r="BG11" s="131" t="s">
        <v>273</v>
      </c>
      <c r="BH11" s="97"/>
      <c r="BI11" s="97"/>
      <c r="BJ11" s="131" t="s">
        <v>274</v>
      </c>
      <c r="BK11" s="97"/>
      <c r="BL11" s="97"/>
      <c r="BM11" s="131" t="s">
        <v>275</v>
      </c>
      <c r="BN11" s="97"/>
      <c r="BO11" s="97"/>
      <c r="BP11" s="131" t="s">
        <v>276</v>
      </c>
      <c r="BQ11" s="97"/>
      <c r="BR11" s="97"/>
      <c r="BS11" s="131" t="s">
        <v>277</v>
      </c>
      <c r="BT11" s="97"/>
      <c r="BU11" s="97"/>
      <c r="BV11" s="131" t="s">
        <v>278</v>
      </c>
      <c r="BW11" s="97"/>
      <c r="BX11" s="97"/>
      <c r="BY11" s="131" t="s">
        <v>279</v>
      </c>
      <c r="BZ11" s="97"/>
      <c r="CA11" s="97"/>
      <c r="CB11" s="131" t="s">
        <v>280</v>
      </c>
      <c r="CC11" s="97"/>
      <c r="CD11" s="97"/>
      <c r="CE11" s="131" t="s">
        <v>281</v>
      </c>
      <c r="CF11" s="97"/>
      <c r="CG11" s="97"/>
      <c r="CH11" s="131" t="s">
        <v>282</v>
      </c>
      <c r="CI11" s="97"/>
      <c r="CJ11" s="97"/>
      <c r="CK11" s="131" t="s">
        <v>283</v>
      </c>
      <c r="CL11" s="97"/>
      <c r="CM11" s="97"/>
      <c r="CN11" s="131" t="s">
        <v>284</v>
      </c>
      <c r="CO11" s="97"/>
      <c r="CP11" s="97"/>
      <c r="CQ11" s="131" t="s">
        <v>285</v>
      </c>
      <c r="CR11" s="97"/>
      <c r="CS11" s="97"/>
      <c r="CT11" s="131" t="s">
        <v>286</v>
      </c>
      <c r="CU11" s="97"/>
      <c r="CV11" s="97"/>
      <c r="CW11" s="131" t="s">
        <v>287</v>
      </c>
      <c r="CX11" s="97"/>
      <c r="CY11" s="97"/>
      <c r="CZ11" s="131" t="s">
        <v>288</v>
      </c>
    </row>
    <row r="12" ht="11.25" hidden="1" customHeight="1" spans="1:104">
      <c r="A12"/>
      <c r="D12"/>
      <c r="E12"/>
      <c r="G12"/>
      <c r="H12"/>
      <c r="I12"/>
      <c r="J12"/>
      <c r="K12" s="129"/>
      <c r="L12" s="97">
        <f>SUM(N12:CZ12)</f>
        <v>0</v>
      </c>
      <c r="M12" s="97"/>
      <c r="N12" s="97">
        <f>SUBTOTAL(9,N4:N10)</f>
        <v>0</v>
      </c>
      <c r="O12" s="97"/>
      <c r="P12" s="97"/>
      <c r="Q12" s="97">
        <f>SUBTOTAL(9,Q4:Q10)</f>
        <v>0</v>
      </c>
      <c r="R12" s="97"/>
      <c r="S12" s="97"/>
      <c r="T12" s="97">
        <f>SUBTOTAL(9,T4:T10)</f>
        <v>0</v>
      </c>
      <c r="U12" s="97"/>
      <c r="V12" s="97"/>
      <c r="W12" s="97">
        <f>SUBTOTAL(9,W4:W10)</f>
        <v>0</v>
      </c>
      <c r="X12" s="97"/>
      <c r="Y12" s="97"/>
      <c r="Z12" s="97">
        <f>SUBTOTAL(9,Z4:Z10)</f>
        <v>0</v>
      </c>
      <c r="AA12" s="97"/>
      <c r="AB12" s="97"/>
      <c r="AC12" s="97">
        <f>SUBTOTAL(9,AC4:AC10)</f>
        <v>0</v>
      </c>
      <c r="AD12" s="97"/>
      <c r="AE12" s="97"/>
      <c r="AF12" s="97">
        <f>SUBTOTAL(9,AF4:AF10)</f>
        <v>0</v>
      </c>
      <c r="AG12" s="97"/>
      <c r="AH12" s="97"/>
      <c r="AI12" s="97">
        <f>SUBTOTAL(9,AI4:AI10)</f>
        <v>0</v>
      </c>
      <c r="AJ12" s="97"/>
      <c r="AK12" s="97"/>
      <c r="AL12" s="97">
        <f>SUBTOTAL(9,AL4:AL10)</f>
        <v>0</v>
      </c>
      <c r="AM12" s="97"/>
      <c r="AN12" s="97"/>
      <c r="AO12" s="97">
        <f>SUBTOTAL(9,AO4:AO10)</f>
        <v>0</v>
      </c>
      <c r="AP12" s="97"/>
      <c r="AQ12" s="97"/>
      <c r="AR12" s="97">
        <f>SUBTOTAL(9,AR4:AR10)</f>
        <v>0</v>
      </c>
      <c r="AS12" s="97"/>
      <c r="AT12" s="97"/>
      <c r="AU12" s="97">
        <f>SUBTOTAL(9,AU4:AU10)</f>
        <v>0</v>
      </c>
      <c r="AV12" s="97"/>
      <c r="AW12" s="97"/>
      <c r="AX12" s="97">
        <f>SUBTOTAL(9,AX4:AX10)</f>
        <v>0</v>
      </c>
      <c r="AY12" s="97"/>
      <c r="AZ12" s="97"/>
      <c r="BA12" s="97">
        <f>SUBTOTAL(9,BA4:BA10)</f>
        <v>0</v>
      </c>
      <c r="BB12" s="97"/>
      <c r="BC12" s="97"/>
      <c r="BD12" s="97">
        <f>SUBTOTAL(9,BD4:BD10)</f>
        <v>0</v>
      </c>
      <c r="BE12" s="97"/>
      <c r="BF12" s="97"/>
      <c r="BG12" s="97">
        <f>SUBTOTAL(9,BG4:BG10)</f>
        <v>0</v>
      </c>
      <c r="BH12" s="97"/>
      <c r="BI12" s="97"/>
      <c r="BJ12" s="97">
        <f>SUBTOTAL(9,BJ4:BJ10)</f>
        <v>0</v>
      </c>
      <c r="BK12" s="97"/>
      <c r="BL12" s="97"/>
      <c r="BM12" s="97" t="s">
        <v>289</v>
      </c>
      <c r="BN12" s="97"/>
      <c r="BO12" s="97"/>
      <c r="BP12" s="97">
        <f>SUBTOTAL(9,BP4:BP10)</f>
        <v>0</v>
      </c>
      <c r="BQ12" s="97"/>
      <c r="BR12" s="97"/>
      <c r="BS12" s="97">
        <f>SUBTOTAL(9,BS4:BS10)</f>
        <v>0</v>
      </c>
      <c r="BT12" s="97"/>
      <c r="BU12" s="97"/>
      <c r="BV12" s="97">
        <f>SUBTOTAL(9,BV4:BV10)</f>
        <v>0</v>
      </c>
      <c r="BW12" s="97"/>
      <c r="BX12" s="97"/>
      <c r="BY12" s="97" t="s">
        <v>289</v>
      </c>
      <c r="BZ12" s="97"/>
      <c r="CA12" s="97"/>
      <c r="CB12" s="97" t="s">
        <v>289</v>
      </c>
      <c r="CC12" s="97"/>
      <c r="CD12" s="97"/>
      <c r="CE12" s="97">
        <f>SUBTOTAL(9,CE4:CE10)</f>
        <v>0</v>
      </c>
      <c r="CF12" s="97"/>
      <c r="CG12" s="97"/>
      <c r="CH12" s="97">
        <f>SUBTOTAL(9,CH4:CH10)</f>
        <v>0</v>
      </c>
      <c r="CI12" s="97"/>
      <c r="CJ12" s="97"/>
      <c r="CK12" s="97">
        <f>SUBTOTAL(9,CK4:CK10)</f>
        <v>0</v>
      </c>
      <c r="CL12" s="97"/>
      <c r="CM12" s="97"/>
      <c r="CN12" s="97">
        <f>SUBTOTAL(9,CN4:CN10)</f>
        <v>0</v>
      </c>
      <c r="CO12" s="97"/>
      <c r="CP12" s="97"/>
      <c r="CQ12" s="97">
        <f>SUBTOTAL(9,CQ4:CQ10)</f>
        <v>0</v>
      </c>
      <c r="CR12" s="97"/>
      <c r="CS12" s="97"/>
      <c r="CT12" s="97">
        <f>SUBTOTAL(9,CT4:CT10)</f>
        <v>0</v>
      </c>
      <c r="CU12" s="97"/>
      <c r="CV12" s="97"/>
      <c r="CW12" s="97">
        <f>SUBTOTAL(9,CW4:CW10)</f>
        <v>0</v>
      </c>
      <c r="CX12" s="97"/>
      <c r="CY12" s="97"/>
      <c r="CZ12" s="97">
        <f>SUBTOTAL(9,CZ4:CZ10)</f>
        <v>0</v>
      </c>
    </row>
    <row r="13" ht="11.25" hidden="1" customHeight="1" spans="1:104">
      <c r="A13"/>
      <c r="D13"/>
      <c r="E13"/>
      <c r="G13"/>
      <c r="H13"/>
      <c r="I13"/>
      <c r="J13"/>
      <c r="K13" s="129"/>
      <c r="L13"/>
      <c r="M13"/>
      <c r="N13"/>
      <c r="O13"/>
      <c r="P13"/>
      <c r="Q13"/>
      <c r="R13"/>
      <c r="S13"/>
      <c r="T13"/>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7"/>
      <c r="CG13" s="97"/>
      <c r="CH13" s="97"/>
      <c r="CI13" s="97"/>
      <c r="CJ13" s="97"/>
      <c r="CK13" s="97"/>
      <c r="CL13" s="97"/>
      <c r="CM13" s="97"/>
      <c r="CN13" s="97"/>
      <c r="CO13" s="97"/>
      <c r="CP13" s="97"/>
      <c r="CQ13" s="97"/>
      <c r="CR13" s="97"/>
      <c r="CS13" s="97"/>
      <c r="CT13" s="97"/>
      <c r="CU13" s="97"/>
      <c r="CV13" s="97"/>
      <c r="CW13" s="97"/>
      <c r="CX13" s="97"/>
      <c r="CY13" s="97"/>
      <c r="CZ13" s="97"/>
    </row>
    <row r="14" ht="11.25" hidden="1" customHeight="1" spans="1:104">
      <c r="A14"/>
      <c r="D14"/>
      <c r="E14"/>
      <c r="G14"/>
      <c r="H14"/>
      <c r="I14"/>
      <c r="J14"/>
      <c r="K14" s="129"/>
      <c r="L14"/>
      <c r="M14"/>
      <c r="N14"/>
      <c r="O14"/>
      <c r="P14"/>
      <c r="Q14"/>
      <c r="R14"/>
      <c r="S14"/>
      <c r="T14"/>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7"/>
      <c r="CG14" s="97"/>
      <c r="CH14" s="97"/>
      <c r="CI14" s="97"/>
      <c r="CJ14" s="97"/>
      <c r="CK14" s="97"/>
      <c r="CL14" s="97"/>
      <c r="CM14" s="97"/>
      <c r="CN14" s="97"/>
      <c r="CO14" s="97"/>
      <c r="CP14" s="97"/>
      <c r="CQ14" s="97"/>
      <c r="CR14" s="97"/>
      <c r="CS14" s="97"/>
      <c r="CT14" s="97"/>
      <c r="CU14" s="97"/>
      <c r="CV14" s="97"/>
      <c r="CW14" s="97"/>
      <c r="CX14" s="97"/>
      <c r="CY14" s="97"/>
      <c r="CZ14" s="97"/>
    </row>
    <row r="15" ht="11.25" hidden="1" customHeight="1" spans="1:104">
      <c r="A15"/>
      <c r="D15"/>
      <c r="E15"/>
      <c r="G15"/>
      <c r="H15"/>
      <c r="I15"/>
      <c r="J15"/>
      <c r="K15" s="129"/>
      <c r="L15"/>
      <c r="M15"/>
      <c r="N15"/>
      <c r="O15"/>
      <c r="P15"/>
      <c r="Q15"/>
      <c r="R15"/>
      <c r="S15"/>
      <c r="T15"/>
      <c r="U15" s="97"/>
      <c r="V15" s="97"/>
      <c r="W15" s="97"/>
      <c r="X15" s="97"/>
      <c r="Y15" s="97"/>
      <c r="Z15" s="97"/>
      <c r="AA15" s="97"/>
      <c r="AB15" s="97"/>
      <c r="AC15" s="97"/>
      <c r="AD15" s="97"/>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c r="BM15" s="97"/>
      <c r="BN15" s="97"/>
      <c r="BO15" s="97"/>
      <c r="BP15" s="97"/>
      <c r="BQ15" s="97"/>
      <c r="BR15" s="97"/>
      <c r="BS15" s="97"/>
      <c r="BT15" s="97"/>
      <c r="BU15" s="97"/>
      <c r="BV15" s="97"/>
      <c r="BW15" s="97"/>
      <c r="BX15" s="97"/>
      <c r="BY15" s="97"/>
      <c r="BZ15" s="97"/>
      <c r="CA15" s="97"/>
      <c r="CB15" s="97"/>
      <c r="CC15" s="97"/>
      <c r="CD15" s="97"/>
      <c r="CE15" s="97"/>
      <c r="CF15" s="97"/>
      <c r="CG15" s="97"/>
      <c r="CH15" s="97"/>
      <c r="CI15" s="97"/>
      <c r="CJ15" s="97"/>
      <c r="CK15" s="97"/>
      <c r="CL15" s="97"/>
      <c r="CM15" s="97"/>
      <c r="CN15" s="97"/>
      <c r="CO15" s="97"/>
      <c r="CP15" s="97"/>
      <c r="CQ15" s="97"/>
      <c r="CR15" s="97"/>
      <c r="CS15" s="97"/>
      <c r="CT15" s="97"/>
      <c r="CU15" s="97"/>
      <c r="CV15" s="97"/>
      <c r="CW15" s="97"/>
      <c r="CX15" s="97"/>
      <c r="CY15" s="97"/>
      <c r="CZ15" s="97"/>
    </row>
    <row r="16" ht="11.25" hidden="1" customHeight="1" spans="1:104">
      <c r="A16"/>
      <c r="D16"/>
      <c r="E16"/>
      <c r="G16"/>
      <c r="H16"/>
      <c r="I16"/>
      <c r="J16"/>
      <c r="K16" s="129"/>
      <c r="L16"/>
      <c r="M16"/>
      <c r="N16"/>
      <c r="O16"/>
      <c r="P16"/>
      <c r="Q16"/>
      <c r="R16"/>
      <c r="S16"/>
      <c r="T16"/>
      <c r="U16" s="131" t="s">
        <v>113</v>
      </c>
      <c r="V16" s="131" t="s">
        <v>290</v>
      </c>
      <c r="W16" s="130" t="s">
        <v>50</v>
      </c>
      <c r="X16" s="131" t="s">
        <v>291</v>
      </c>
      <c r="Y16" s="131" t="s">
        <v>292</v>
      </c>
      <c r="Z16" s="131" t="s">
        <v>293</v>
      </c>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7"/>
      <c r="BP16" s="97"/>
      <c r="BQ16" s="97"/>
      <c r="BR16" s="97"/>
      <c r="BS16" s="97"/>
      <c r="BT16" s="97"/>
      <c r="BU16" s="97"/>
      <c r="BV16" s="97"/>
      <c r="BW16" s="97"/>
      <c r="BX16" s="97"/>
      <c r="BY16" s="97"/>
      <c r="BZ16" s="97"/>
      <c r="CA16" s="97"/>
      <c r="CB16" s="97"/>
      <c r="CC16" s="97"/>
      <c r="CD16" s="97"/>
      <c r="CE16" s="97"/>
      <c r="CF16" s="97"/>
      <c r="CG16" s="97"/>
      <c r="CH16" s="97"/>
      <c r="CI16" s="97"/>
      <c r="CJ16" s="97"/>
      <c r="CK16" s="97"/>
      <c r="CL16" s="97"/>
      <c r="CM16" s="97"/>
      <c r="CN16" s="97"/>
      <c r="CO16" s="97"/>
      <c r="CP16" s="97"/>
      <c r="CQ16" s="97"/>
      <c r="CR16" s="97"/>
      <c r="CS16" s="97"/>
      <c r="CT16" s="97"/>
      <c r="CU16" s="97"/>
      <c r="CV16" s="97"/>
      <c r="CW16" s="97"/>
      <c r="CX16" s="97"/>
      <c r="CY16" s="97"/>
      <c r="CZ16" s="97"/>
    </row>
    <row r="17" ht="11.25" hidden="1" customHeight="1" spans="1:104">
      <c r="A17"/>
      <c r="D17"/>
      <c r="E17"/>
      <c r="G17"/>
      <c r="H17"/>
      <c r="I17"/>
      <c r="J17"/>
      <c r="K17" s="129"/>
      <c r="L17"/>
      <c r="M17"/>
      <c r="N17"/>
      <c r="O17"/>
      <c r="P17"/>
      <c r="Q17"/>
      <c r="R17"/>
      <c r="S17"/>
      <c r="T17"/>
      <c r="U17" s="97">
        <v>1</v>
      </c>
      <c r="V17" s="158" t="str">
        <f>IF(ISNUMBER(SMALL(記入日範囲,1)),SMALL(記入日範囲,1)," ")</f>
        <v> </v>
      </c>
      <c r="W17" s="97"/>
      <c r="X17" s="97">
        <f>IF(ISNUMBER(DCOUNTA(査読範囲,W16,V16:V17)),DCOUNTA(査読範囲,W16,V16:V17),0)</f>
        <v>0</v>
      </c>
      <c r="Y17" s="97">
        <f>IF(ISNUMBER(DCOUNTA(査読範囲,V16,V16:V17)),DCOUNTA(査読範囲,V16,V16:V17),0)</f>
        <v>0</v>
      </c>
      <c r="Z17" s="97">
        <f>Y17</f>
        <v>0</v>
      </c>
      <c r="AA17" s="97"/>
      <c r="AB17" s="97"/>
      <c r="AC17" s="97"/>
      <c r="AD17" s="97"/>
      <c r="AE17" s="97"/>
      <c r="AF17" s="97"/>
      <c r="AG17" s="97"/>
      <c r="AH17" s="97"/>
      <c r="AI17" s="97"/>
      <c r="AJ17" s="97"/>
      <c r="AK17" s="97"/>
      <c r="AL17" s="97"/>
      <c r="AM17" s="97"/>
      <c r="AN17" s="97"/>
      <c r="AO17" s="97"/>
      <c r="AP17" s="97"/>
      <c r="AQ17" s="97"/>
      <c r="AR17" s="97"/>
      <c r="AS17" s="97"/>
      <c r="AT17" s="97"/>
      <c r="AU17" s="97"/>
      <c r="AV17" s="97"/>
      <c r="AW17" s="97"/>
      <c r="AX17" s="97"/>
      <c r="AY17" s="97"/>
      <c r="AZ17" s="97"/>
      <c r="BA17" s="97"/>
      <c r="BB17" s="97"/>
      <c r="BC17" s="97"/>
      <c r="BD17" s="97"/>
      <c r="BE17" s="97"/>
      <c r="BF17" s="97"/>
      <c r="BG17" s="97"/>
      <c r="BH17" s="97"/>
      <c r="BI17" s="97"/>
      <c r="BJ17" s="97"/>
      <c r="BK17" s="97"/>
      <c r="BL17" s="97"/>
      <c r="BM17" s="97"/>
      <c r="BN17" s="97"/>
      <c r="BO17" s="97"/>
      <c r="BP17" s="97"/>
      <c r="BQ17" s="97"/>
      <c r="BR17" s="97"/>
      <c r="BS17" s="97"/>
      <c r="BT17" s="97"/>
      <c r="BU17" s="97"/>
      <c r="BV17" s="97"/>
      <c r="BW17" s="97"/>
      <c r="BX17" s="97"/>
      <c r="BY17" s="97"/>
      <c r="BZ17" s="97"/>
      <c r="CA17" s="97"/>
      <c r="CB17" s="97"/>
      <c r="CC17" s="97"/>
      <c r="CD17" s="97"/>
      <c r="CE17" s="97"/>
      <c r="CF17" s="97"/>
      <c r="CG17" s="97"/>
      <c r="CH17" s="97"/>
      <c r="CI17" s="97"/>
      <c r="CJ17" s="97"/>
      <c r="CK17" s="97"/>
      <c r="CL17" s="97"/>
      <c r="CM17" s="97"/>
      <c r="CN17" s="97"/>
      <c r="CO17" s="97"/>
      <c r="CP17" s="97"/>
      <c r="CQ17" s="97"/>
      <c r="CR17" s="97"/>
      <c r="CS17" s="97"/>
      <c r="CT17" s="97"/>
      <c r="CU17" s="97"/>
      <c r="CV17" s="97"/>
      <c r="CW17" s="97"/>
      <c r="CX17" s="97"/>
      <c r="CY17" s="97"/>
      <c r="CZ17" s="97"/>
    </row>
    <row r="18" ht="11.25" hidden="1" customHeight="1" spans="1:104">
      <c r="A18"/>
      <c r="D18"/>
      <c r="E18"/>
      <c r="G18"/>
      <c r="H18"/>
      <c r="I18"/>
      <c r="J18"/>
      <c r="K18" s="129"/>
      <c r="L18"/>
      <c r="M18"/>
      <c r="N18"/>
      <c r="O18"/>
      <c r="P18"/>
      <c r="Q18"/>
      <c r="R18"/>
      <c r="S18"/>
      <c r="T18"/>
      <c r="U18" s="97"/>
      <c r="V18" s="131" t="s">
        <v>290</v>
      </c>
      <c r="W18" s="130" t="s">
        <v>50</v>
      </c>
      <c r="X18" s="97"/>
      <c r="Y18" s="97"/>
      <c r="Z18" s="97"/>
      <c r="AA18" s="97"/>
      <c r="AB18" s="97"/>
      <c r="AC18" s="97"/>
      <c r="AD18" s="97"/>
      <c r="AE18" s="97"/>
      <c r="AF18" s="97"/>
      <c r="AG18" s="97"/>
      <c r="AH18" s="97"/>
      <c r="AI18" s="97"/>
      <c r="AJ18" s="97"/>
      <c r="AK18" s="97"/>
      <c r="AL18" s="97"/>
      <c r="AM18" s="97"/>
      <c r="AN18" s="97"/>
      <c r="AO18" s="97"/>
      <c r="AP18" s="97"/>
      <c r="AQ18" s="97"/>
      <c r="AR18" s="97"/>
      <c r="AS18" s="97"/>
      <c r="AT18" s="97"/>
      <c r="AU18" s="97"/>
      <c r="AV18" s="97"/>
      <c r="AW18" s="97"/>
      <c r="AX18" s="97"/>
      <c r="AY18" s="97"/>
      <c r="AZ18" s="97"/>
      <c r="BA18" s="97"/>
      <c r="BB18" s="97"/>
      <c r="BC18" s="97"/>
      <c r="BD18" s="97"/>
      <c r="BE18" s="97"/>
      <c r="BF18" s="97"/>
      <c r="BG18" s="97"/>
      <c r="BH18" s="97"/>
      <c r="BI18" s="97"/>
      <c r="BJ18" s="97"/>
      <c r="BK18" s="97"/>
      <c r="BL18" s="97"/>
      <c r="BM18" s="97"/>
      <c r="BN18" s="97"/>
      <c r="BO18" s="97"/>
      <c r="BP18" s="97"/>
      <c r="BQ18" s="97"/>
      <c r="BR18" s="97"/>
      <c r="BS18" s="97"/>
      <c r="BT18" s="97"/>
      <c r="BU18" s="97"/>
      <c r="BV18" s="97"/>
      <c r="BW18" s="97"/>
      <c r="BX18" s="97"/>
      <c r="BY18" s="97"/>
      <c r="BZ18" s="97"/>
      <c r="CA18" s="97"/>
      <c r="CB18" s="97"/>
      <c r="CC18" s="97"/>
      <c r="CD18" s="97"/>
      <c r="CE18" s="97"/>
      <c r="CF18" s="97"/>
      <c r="CG18" s="97"/>
      <c r="CH18" s="97"/>
      <c r="CI18" s="97"/>
      <c r="CJ18" s="97"/>
      <c r="CK18" s="97"/>
      <c r="CL18" s="97"/>
      <c r="CM18" s="97"/>
      <c r="CN18" s="97"/>
      <c r="CO18" s="97"/>
      <c r="CP18" s="97"/>
      <c r="CQ18" s="97"/>
      <c r="CR18" s="97"/>
      <c r="CS18" s="97"/>
      <c r="CT18" s="97"/>
      <c r="CU18" s="97"/>
      <c r="CV18" s="97"/>
      <c r="CW18" s="97"/>
      <c r="CX18" s="97"/>
      <c r="CY18" s="97"/>
      <c r="CZ18" s="97"/>
    </row>
    <row r="19" ht="11.25" hidden="1" customHeight="1" spans="1:104">
      <c r="A19"/>
      <c r="D19"/>
      <c r="E19"/>
      <c r="G19"/>
      <c r="H19"/>
      <c r="I19"/>
      <c r="J19"/>
      <c r="K19" s="129"/>
      <c r="L19"/>
      <c r="M19"/>
      <c r="N19"/>
      <c r="O19"/>
      <c r="P19"/>
      <c r="Q19"/>
      <c r="R19"/>
      <c r="S19"/>
      <c r="T19"/>
      <c r="U19" s="97">
        <v>2</v>
      </c>
      <c r="V19" s="158" t="str">
        <f>IF(ISNUMBER(SMALL(記入日範囲,Z17+1)),SMALL(記入日範囲,Z17+1)," ")</f>
        <v> </v>
      </c>
      <c r="W19" s="97"/>
      <c r="X19" s="97">
        <f>IF(ISNUMBER(DCOUNTA(査読範囲,W18,V18:V19)),DCOUNTA(査読範囲,W18,V18:V19),0)</f>
        <v>0</v>
      </c>
      <c r="Y19" s="97">
        <f>IF(ISNUMBER(DCOUNTA(査読範囲,V18,V18:V19)),DCOUNTA(査読範囲,V18,V18:V19),0)</f>
        <v>0</v>
      </c>
      <c r="Z19" s="97">
        <f>Z17+Y19</f>
        <v>0</v>
      </c>
      <c r="AA19" s="97"/>
      <c r="AB19" s="97"/>
      <c r="AC19" s="97"/>
      <c r="AD19" s="97"/>
      <c r="AE19" s="97"/>
      <c r="AF19" s="97"/>
      <c r="AG19" s="97"/>
      <c r="AH19" s="97"/>
      <c r="AI19" s="97"/>
      <c r="AJ19" s="97"/>
      <c r="AK19" s="97"/>
      <c r="AL19" s="97"/>
      <c r="AM19" s="97"/>
      <c r="AN19" s="97"/>
      <c r="AO19" s="97"/>
      <c r="AP19" s="97"/>
      <c r="AQ19" s="97"/>
      <c r="AR19" s="97"/>
      <c r="AS19" s="97"/>
      <c r="AT19" s="97"/>
      <c r="AU19" s="97"/>
      <c r="AV19" s="97"/>
      <c r="AW19" s="97"/>
      <c r="AX19" s="97"/>
      <c r="AY19" s="97"/>
      <c r="AZ19" s="97"/>
      <c r="BA19" s="97"/>
      <c r="BB19" s="97"/>
      <c r="BC19" s="97"/>
      <c r="BD19" s="97"/>
      <c r="BE19" s="97"/>
      <c r="BF19" s="97"/>
      <c r="BG19" s="97"/>
      <c r="BH19" s="97"/>
      <c r="BI19" s="97"/>
      <c r="BJ19" s="97"/>
      <c r="BK19" s="97"/>
      <c r="BL19" s="97"/>
      <c r="BM19" s="97"/>
      <c r="BN19" s="97"/>
      <c r="BO19" s="97"/>
      <c r="BP19" s="97"/>
      <c r="BQ19" s="97"/>
      <c r="BR19" s="97"/>
      <c r="BS19" s="97"/>
      <c r="BT19" s="97"/>
      <c r="BU19" s="97"/>
      <c r="BV19" s="97"/>
      <c r="BW19" s="97"/>
      <c r="BX19" s="97"/>
      <c r="BY19" s="97"/>
      <c r="BZ19" s="97"/>
      <c r="CA19" s="97"/>
      <c r="CB19" s="97"/>
      <c r="CC19" s="97"/>
      <c r="CD19" s="97"/>
      <c r="CE19" s="97"/>
      <c r="CF19" s="97"/>
      <c r="CG19" s="97"/>
      <c r="CH19" s="97"/>
      <c r="CI19" s="97"/>
      <c r="CJ19" s="97"/>
      <c r="CK19" s="97"/>
      <c r="CL19" s="97"/>
      <c r="CM19" s="97"/>
      <c r="CN19" s="97"/>
      <c r="CO19" s="97"/>
      <c r="CP19" s="97"/>
      <c r="CQ19" s="97"/>
      <c r="CR19" s="97"/>
      <c r="CS19" s="97"/>
      <c r="CT19" s="97"/>
      <c r="CU19" s="97"/>
      <c r="CV19" s="97"/>
      <c r="CW19" s="97"/>
      <c r="CX19" s="97"/>
      <c r="CY19" s="97"/>
      <c r="CZ19" s="97"/>
    </row>
    <row r="20" ht="11.25" hidden="1" customHeight="1" spans="1:104">
      <c r="A20"/>
      <c r="D20"/>
      <c r="E20"/>
      <c r="G20"/>
      <c r="H20"/>
      <c r="I20"/>
      <c r="J20"/>
      <c r="K20" s="129"/>
      <c r="L20"/>
      <c r="M20"/>
      <c r="N20"/>
      <c r="O20"/>
      <c r="P20"/>
      <c r="Q20"/>
      <c r="R20"/>
      <c r="S20"/>
      <c r="T20"/>
      <c r="U20" s="97"/>
      <c r="V20" s="131" t="s">
        <v>290</v>
      </c>
      <c r="W20" s="130" t="s">
        <v>50</v>
      </c>
      <c r="X20" s="97"/>
      <c r="Y20" s="97"/>
      <c r="Z20" s="97"/>
      <c r="AA20" s="97"/>
      <c r="AB20" s="97"/>
      <c r="AC20" s="97"/>
      <c r="AD20" s="97"/>
      <c r="AE20" s="97"/>
      <c r="AF20" s="97"/>
      <c r="AG20" s="97"/>
      <c r="AH20" s="97"/>
      <c r="AI20" s="97"/>
      <c r="AJ20" s="97"/>
      <c r="AK20" s="97"/>
      <c r="AL20" s="97"/>
      <c r="AM20" s="97"/>
      <c r="AN20" s="97"/>
      <c r="AO20" s="97"/>
      <c r="AP20" s="97"/>
      <c r="AQ20" s="97"/>
      <c r="AR20" s="97"/>
      <c r="AS20" s="97"/>
      <c r="AT20" s="97"/>
      <c r="AU20" s="97"/>
      <c r="AV20" s="97"/>
      <c r="AW20" s="97"/>
      <c r="AX20" s="97"/>
      <c r="AY20" s="97"/>
      <c r="AZ20" s="97"/>
      <c r="BA20" s="97"/>
      <c r="BB20" s="97"/>
      <c r="BC20" s="97"/>
      <c r="BD20" s="97"/>
      <c r="BE20" s="97"/>
      <c r="BF20" s="97"/>
      <c r="BG20" s="97"/>
      <c r="BH20" s="97"/>
      <c r="BI20" s="97"/>
      <c r="BJ20" s="97"/>
      <c r="BK20" s="97"/>
      <c r="BL20" s="97"/>
      <c r="BM20" s="97"/>
      <c r="BN20" s="97"/>
      <c r="BO20" s="97"/>
      <c r="BP20" s="97"/>
      <c r="BQ20" s="97"/>
      <c r="BR20" s="97"/>
      <c r="BS20" s="97"/>
      <c r="BT20" s="97"/>
      <c r="BU20" s="97"/>
      <c r="BV20" s="97"/>
      <c r="BW20" s="97"/>
      <c r="BX20" s="97"/>
      <c r="BY20" s="97"/>
      <c r="BZ20" s="97"/>
      <c r="CA20" s="97"/>
      <c r="CB20" s="97"/>
      <c r="CC20" s="97"/>
      <c r="CD20" s="97"/>
      <c r="CE20" s="97"/>
      <c r="CF20" s="97"/>
      <c r="CG20" s="97"/>
      <c r="CH20" s="97"/>
      <c r="CI20" s="97"/>
      <c r="CJ20" s="97"/>
      <c r="CK20" s="97"/>
      <c r="CL20" s="97"/>
      <c r="CM20" s="97"/>
      <c r="CN20" s="97"/>
      <c r="CO20" s="97"/>
      <c r="CP20" s="97"/>
      <c r="CQ20" s="97"/>
      <c r="CR20" s="97"/>
      <c r="CS20" s="97"/>
      <c r="CT20" s="97"/>
      <c r="CU20" s="97"/>
      <c r="CV20" s="97"/>
      <c r="CW20" s="97"/>
      <c r="CX20" s="97"/>
      <c r="CY20" s="97"/>
      <c r="CZ20" s="97"/>
    </row>
    <row r="21" ht="11.25" hidden="1" customHeight="1" spans="1:104">
      <c r="A21"/>
      <c r="D21"/>
      <c r="E21"/>
      <c r="G21"/>
      <c r="H21"/>
      <c r="I21"/>
      <c r="J21"/>
      <c r="K21" s="129"/>
      <c r="L21"/>
      <c r="M21"/>
      <c r="N21"/>
      <c r="O21"/>
      <c r="P21"/>
      <c r="Q21"/>
      <c r="R21"/>
      <c r="S21"/>
      <c r="T21"/>
      <c r="U21" s="97">
        <v>3</v>
      </c>
      <c r="V21" s="158" t="str">
        <f>IF(ISNUMBER(SMALL(記入日範囲,Z19+1)),SMALL(記入日範囲,Z19+1)," ")</f>
        <v> </v>
      </c>
      <c r="W21" s="97"/>
      <c r="X21" s="97">
        <f>IF(ISNUMBER(DCOUNTA(査読範囲,W20,V20:V21)),DCOUNTA(査読範囲,W20,V20:V21),0)</f>
        <v>0</v>
      </c>
      <c r="Y21" s="97">
        <f>IF(ISNUMBER(DCOUNTA(査読範囲,V20,V20:V21)),DCOUNTA(査読範囲,V20,V20:V21),0)</f>
        <v>0</v>
      </c>
      <c r="Z21" s="97">
        <f>Z19+Y21</f>
        <v>0</v>
      </c>
      <c r="AA21" s="97"/>
      <c r="AB21" s="97"/>
      <c r="AC21" s="97"/>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7"/>
      <c r="BB21" s="97"/>
      <c r="BC21" s="97"/>
      <c r="BD21" s="97"/>
      <c r="BE21" s="97"/>
      <c r="BF21" s="97"/>
      <c r="BG21" s="97"/>
      <c r="BH21" s="97"/>
      <c r="BI21" s="97"/>
      <c r="BJ21" s="97"/>
      <c r="BK21" s="97"/>
      <c r="BL21" s="97"/>
      <c r="BM21" s="97"/>
      <c r="BN21" s="97"/>
      <c r="BO21" s="97"/>
      <c r="BP21" s="97"/>
      <c r="BQ21" s="97"/>
      <c r="BR21" s="97"/>
      <c r="BS21" s="97"/>
      <c r="BT21" s="97"/>
      <c r="BU21" s="97"/>
      <c r="BV21" s="97"/>
      <c r="BW21" s="97"/>
      <c r="BX21" s="97"/>
      <c r="BY21" s="97"/>
      <c r="BZ21" s="97"/>
      <c r="CA21" s="97"/>
      <c r="CB21" s="97"/>
      <c r="CC21" s="97"/>
      <c r="CD21" s="97"/>
      <c r="CE21" s="97"/>
      <c r="CF21" s="97"/>
      <c r="CG21" s="97"/>
      <c r="CH21" s="97"/>
      <c r="CI21" s="97"/>
      <c r="CJ21" s="97"/>
      <c r="CK21" s="97"/>
      <c r="CL21" s="97"/>
      <c r="CM21" s="97"/>
      <c r="CN21" s="97"/>
      <c r="CO21" s="97"/>
      <c r="CP21" s="97"/>
      <c r="CQ21" s="97"/>
      <c r="CR21" s="97"/>
      <c r="CS21" s="97"/>
      <c r="CT21" s="97"/>
      <c r="CU21" s="97"/>
      <c r="CV21" s="97"/>
      <c r="CW21" s="97"/>
      <c r="CX21" s="97"/>
      <c r="CY21" s="97"/>
      <c r="CZ21" s="97"/>
    </row>
    <row r="22" ht="11.25" hidden="1" customHeight="1" spans="1:104">
      <c r="A22"/>
      <c r="D22"/>
      <c r="E22"/>
      <c r="G22"/>
      <c r="H22"/>
      <c r="I22"/>
      <c r="J22"/>
      <c r="K22" s="129"/>
      <c r="L22"/>
      <c r="M22"/>
      <c r="N22"/>
      <c r="O22"/>
      <c r="P22"/>
      <c r="Q22"/>
      <c r="R22"/>
      <c r="S22"/>
      <c r="T22"/>
      <c r="U22" s="97"/>
      <c r="V22" s="131" t="s">
        <v>290</v>
      </c>
      <c r="W22" s="130" t="s">
        <v>50</v>
      </c>
      <c r="X22" s="97"/>
      <c r="Y22" s="97"/>
      <c r="Z22" s="97"/>
      <c r="AA22" s="97"/>
      <c r="AB22" s="97"/>
      <c r="AC22" s="97"/>
      <c r="AD22" s="97"/>
      <c r="AE22" s="97"/>
      <c r="AF22" s="97"/>
      <c r="AG22" s="97"/>
      <c r="AH22" s="97"/>
      <c r="AI22" s="97"/>
      <c r="AJ22" s="97"/>
      <c r="AK22" s="97"/>
      <c r="AL22" s="97"/>
      <c r="AM22" s="97"/>
      <c r="AN22" s="97"/>
      <c r="AO22" s="97"/>
      <c r="AP22" s="97"/>
      <c r="AQ22" s="97"/>
      <c r="AR22" s="97"/>
      <c r="AS22" s="97"/>
      <c r="AT22" s="97"/>
      <c r="AU22" s="97"/>
      <c r="AV22" s="97"/>
      <c r="AW22" s="97"/>
      <c r="AX22" s="97"/>
      <c r="AY22" s="97"/>
      <c r="AZ22" s="97"/>
      <c r="BA22" s="97"/>
      <c r="BB22" s="97"/>
      <c r="BC22" s="97"/>
      <c r="BD22" s="97"/>
      <c r="BE22" s="97"/>
      <c r="BF22" s="97"/>
      <c r="BG22" s="97"/>
      <c r="BH22" s="97"/>
      <c r="BI22" s="97"/>
      <c r="BJ22" s="97"/>
      <c r="BK22" s="97"/>
      <c r="BL22" s="97"/>
      <c r="BM22" s="97"/>
      <c r="BN22" s="97"/>
      <c r="BO22" s="97"/>
      <c r="BP22" s="97"/>
      <c r="BQ22" s="97"/>
      <c r="BR22" s="97"/>
      <c r="BS22" s="97"/>
      <c r="BT22" s="97"/>
      <c r="BU22" s="97"/>
      <c r="BV22" s="97"/>
      <c r="BW22" s="97"/>
      <c r="BX22" s="97"/>
      <c r="BY22" s="97"/>
      <c r="BZ22" s="97"/>
      <c r="CA22" s="97"/>
      <c r="CB22" s="97"/>
      <c r="CC22" s="97"/>
      <c r="CD22" s="97"/>
      <c r="CE22" s="97"/>
      <c r="CF22" s="97"/>
      <c r="CG22" s="97"/>
      <c r="CH22" s="97"/>
      <c r="CI22" s="97"/>
      <c r="CJ22" s="97"/>
      <c r="CK22" s="97"/>
      <c r="CL22" s="97"/>
      <c r="CM22" s="97"/>
      <c r="CN22" s="97"/>
      <c r="CO22" s="97"/>
      <c r="CP22" s="97"/>
      <c r="CQ22" s="97"/>
      <c r="CR22" s="97"/>
      <c r="CS22" s="97"/>
      <c r="CT22" s="97"/>
      <c r="CU22" s="97"/>
      <c r="CV22" s="97"/>
      <c r="CW22" s="97"/>
      <c r="CX22" s="97"/>
      <c r="CY22" s="97"/>
      <c r="CZ22" s="97"/>
    </row>
    <row r="23" ht="11.25" hidden="1" customHeight="1" spans="1:104">
      <c r="A23"/>
      <c r="D23"/>
      <c r="E23"/>
      <c r="G23"/>
      <c r="H23"/>
      <c r="I23"/>
      <c r="J23"/>
      <c r="K23" s="129"/>
      <c r="L23"/>
      <c r="M23"/>
      <c r="N23"/>
      <c r="O23"/>
      <c r="P23"/>
      <c r="Q23"/>
      <c r="R23"/>
      <c r="S23"/>
      <c r="T23"/>
      <c r="U23" s="97">
        <v>4</v>
      </c>
      <c r="V23" s="158" t="str">
        <f>IF(ISNUMBER(SMALL(記入日範囲,Z21+1)),SMALL(記入日範囲,Z21+1)," ")</f>
        <v> </v>
      </c>
      <c r="W23" s="97"/>
      <c r="X23" s="97">
        <f>IF(ISNUMBER(DCOUNTA(査読範囲,W22,V22:V23)),DCOUNTA(査読範囲,W22,V22:V23),0)</f>
        <v>0</v>
      </c>
      <c r="Y23" s="97">
        <f>IF(ISNUMBER(DCOUNTA(査読範囲,V22,V22:V23)),DCOUNTA(査読範囲,V22,V22:V23),0)</f>
        <v>0</v>
      </c>
      <c r="Z23" s="97">
        <f>Z21+Y23</f>
        <v>0</v>
      </c>
      <c r="AA23" s="97"/>
      <c r="AB23" s="97"/>
      <c r="AC23" s="97"/>
      <c r="AD23" s="97"/>
      <c r="AE23" s="97"/>
      <c r="AF23" s="97"/>
      <c r="AG23" s="97"/>
      <c r="AH23" s="97"/>
      <c r="AI23" s="97"/>
      <c r="AJ23" s="97"/>
      <c r="AK23" s="97"/>
      <c r="AL23" s="97"/>
      <c r="AM23" s="97"/>
      <c r="AN23" s="97"/>
      <c r="AO23" s="97"/>
      <c r="AP23" s="97"/>
      <c r="AQ23" s="97"/>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c r="BP23" s="97"/>
      <c r="BQ23" s="97"/>
      <c r="BR23" s="97"/>
      <c r="BS23" s="97"/>
      <c r="BT23" s="97"/>
      <c r="BU23" s="97"/>
      <c r="BV23" s="97"/>
      <c r="BW23" s="97"/>
      <c r="BX23" s="97"/>
      <c r="BY23" s="97"/>
      <c r="BZ23" s="97"/>
      <c r="CA23" s="97"/>
      <c r="CB23" s="97"/>
      <c r="CC23" s="97"/>
      <c r="CD23" s="97"/>
      <c r="CE23" s="97"/>
      <c r="CF23" s="97"/>
      <c r="CG23" s="97"/>
      <c r="CH23" s="97"/>
      <c r="CI23" s="97"/>
      <c r="CJ23" s="97"/>
      <c r="CK23" s="97"/>
      <c r="CL23" s="97"/>
      <c r="CM23" s="97"/>
      <c r="CN23" s="97"/>
      <c r="CO23" s="97"/>
      <c r="CP23" s="97"/>
      <c r="CQ23" s="97"/>
      <c r="CR23" s="97"/>
      <c r="CS23" s="97"/>
      <c r="CT23" s="97"/>
      <c r="CU23" s="97"/>
      <c r="CV23" s="97"/>
      <c r="CW23" s="97"/>
      <c r="CX23" s="97"/>
      <c r="CY23" s="97"/>
      <c r="CZ23" s="97"/>
    </row>
    <row r="24" ht="11.25" hidden="1" customHeight="1" spans="1:104">
      <c r="A24"/>
      <c r="D24"/>
      <c r="E24"/>
      <c r="G24"/>
      <c r="H24"/>
      <c r="I24"/>
      <c r="J24"/>
      <c r="K24" s="129"/>
      <c r="L24"/>
      <c r="M24"/>
      <c r="N24"/>
      <c r="O24"/>
      <c r="P24"/>
      <c r="Q24"/>
      <c r="R24"/>
      <c r="S24"/>
      <c r="T24"/>
      <c r="U24" s="97"/>
      <c r="V24" s="131" t="s">
        <v>290</v>
      </c>
      <c r="W24" s="130" t="s">
        <v>50</v>
      </c>
      <c r="X24" s="97"/>
      <c r="Y24" s="97"/>
      <c r="Z24" s="97"/>
      <c r="AA24" s="97"/>
      <c r="AB24" s="97"/>
      <c r="AC24" s="97"/>
      <c r="AD24" s="97"/>
      <c r="AE24" s="97"/>
      <c r="AF24" s="97"/>
      <c r="AG24" s="97"/>
      <c r="AH24" s="97"/>
      <c r="AI24" s="97"/>
      <c r="AJ24" s="97"/>
      <c r="AK24" s="97"/>
      <c r="AL24" s="97"/>
      <c r="AM24" s="97"/>
      <c r="AN24" s="97"/>
      <c r="AO24" s="97"/>
      <c r="AP24" s="97"/>
      <c r="AQ24" s="97"/>
      <c r="AR24" s="97"/>
      <c r="AS24" s="97"/>
      <c r="AT24" s="97"/>
      <c r="AU24" s="97"/>
      <c r="AV24" s="97"/>
      <c r="AW24" s="97"/>
      <c r="AX24" s="97"/>
      <c r="AY24" s="97"/>
      <c r="AZ24" s="97"/>
      <c r="BA24" s="97"/>
      <c r="BB24" s="97"/>
      <c r="BC24" s="97"/>
      <c r="BD24" s="97"/>
      <c r="BE24" s="97"/>
      <c r="BF24" s="97"/>
      <c r="BG24" s="97"/>
      <c r="BH24" s="97"/>
      <c r="BI24" s="97"/>
      <c r="BJ24" s="97"/>
      <c r="BK24" s="97"/>
      <c r="BL24" s="97"/>
      <c r="BM24" s="97"/>
      <c r="BN24" s="97"/>
      <c r="BO24" s="97"/>
      <c r="BP24" s="97"/>
      <c r="BQ24" s="97"/>
      <c r="BR24" s="97"/>
      <c r="BS24" s="97"/>
      <c r="BT24" s="97"/>
      <c r="BU24" s="97"/>
      <c r="BV24" s="97"/>
      <c r="BW24" s="97"/>
      <c r="BX24" s="97"/>
      <c r="BY24" s="97"/>
      <c r="BZ24" s="97"/>
      <c r="CA24" s="97"/>
      <c r="CB24" s="97"/>
      <c r="CC24" s="97"/>
      <c r="CD24" s="97"/>
      <c r="CE24" s="97"/>
      <c r="CF24" s="97"/>
      <c r="CG24" s="97"/>
      <c r="CH24" s="97"/>
      <c r="CI24" s="97"/>
      <c r="CJ24" s="97"/>
      <c r="CK24" s="97"/>
      <c r="CL24" s="97"/>
      <c r="CM24" s="97"/>
      <c r="CN24" s="97"/>
      <c r="CO24" s="97"/>
      <c r="CP24" s="97"/>
      <c r="CQ24" s="97"/>
      <c r="CR24" s="97"/>
      <c r="CS24" s="97"/>
      <c r="CT24" s="97"/>
      <c r="CU24" s="97"/>
      <c r="CV24" s="97"/>
      <c r="CW24" s="97"/>
      <c r="CX24" s="97"/>
      <c r="CY24" s="97"/>
      <c r="CZ24" s="97"/>
    </row>
    <row r="25" ht="11.25" hidden="1" customHeight="1" spans="1:104">
      <c r="A25"/>
      <c r="C25" s="84"/>
      <c r="D25" s="84"/>
      <c r="E25" s="84"/>
      <c r="F25" s="84"/>
      <c r="G25" s="84"/>
      <c r="H25" s="84"/>
      <c r="I25" s="84"/>
      <c r="J25" s="84"/>
      <c r="K25" s="133"/>
      <c r="L25" s="84"/>
      <c r="M25" s="84"/>
      <c r="N25" s="84"/>
      <c r="O25" s="84"/>
      <c r="P25" s="84"/>
      <c r="Q25" s="84"/>
      <c r="R25" s="84"/>
      <c r="S25" s="84"/>
      <c r="T25" s="84"/>
      <c r="U25" s="97">
        <v>5</v>
      </c>
      <c r="V25" s="158" t="str">
        <f>IF(ISNUMBER(SMALL(記入日範囲,Z23+1)),SMALL(記入日範囲,Z23+1)," ")</f>
        <v> </v>
      </c>
      <c r="W25" s="97"/>
      <c r="X25" s="97">
        <f>IF(ISNUMBER(DCOUNTA(査読範囲,W24,V24:V25)),DCOUNTA(査読範囲,W24,V24:V25),0)</f>
        <v>0</v>
      </c>
      <c r="Y25" s="97">
        <f>IF(ISNUMBER(DCOUNTA(査読範囲,V24,V24:V25)),DCOUNTA(査読範囲,V24,V24:V25),0)</f>
        <v>0</v>
      </c>
      <c r="Z25" s="97">
        <f>Z23+Y25</f>
        <v>0</v>
      </c>
      <c r="AA25" s="97"/>
      <c r="AB25" s="97"/>
      <c r="AC25" s="97"/>
      <c r="AD25" s="97"/>
      <c r="AE25" s="97"/>
      <c r="AF25" s="97"/>
      <c r="AG25" s="97"/>
      <c r="AH25" s="97"/>
      <c r="AI25" s="97"/>
      <c r="AJ25" s="97"/>
      <c r="AK25" s="97"/>
      <c r="AL25" s="97"/>
      <c r="AM25" s="97"/>
      <c r="AN25" s="97"/>
      <c r="AO25" s="97"/>
      <c r="AP25" s="97"/>
      <c r="AQ25" s="97"/>
      <c r="AR25" s="97"/>
      <c r="AS25" s="97"/>
      <c r="AT25" s="97"/>
      <c r="AU25" s="97"/>
      <c r="AV25" s="97"/>
      <c r="AW25" s="97"/>
      <c r="AX25" s="97"/>
      <c r="AY25" s="97"/>
      <c r="AZ25" s="97"/>
      <c r="BA25" s="97"/>
      <c r="BB25" s="97"/>
      <c r="BC25" s="97"/>
      <c r="BD25" s="97"/>
      <c r="BE25" s="97"/>
      <c r="BF25" s="97"/>
      <c r="BG25" s="97"/>
      <c r="BH25" s="97"/>
      <c r="BI25" s="97"/>
      <c r="BJ25" s="97"/>
      <c r="BK25" s="97"/>
      <c r="BL25" s="97"/>
      <c r="BM25" s="97"/>
      <c r="BN25" s="97"/>
      <c r="BO25" s="97"/>
      <c r="BP25" s="97"/>
      <c r="BQ25" s="97"/>
      <c r="BR25" s="97"/>
      <c r="BS25" s="97"/>
      <c r="BT25" s="97"/>
      <c r="BU25" s="97"/>
      <c r="BV25" s="97"/>
      <c r="BW25" s="97"/>
      <c r="BX25" s="97"/>
      <c r="BY25" s="97"/>
      <c r="BZ25" s="97"/>
      <c r="CA25" s="97"/>
      <c r="CB25" s="97"/>
      <c r="CC25" s="97"/>
      <c r="CD25" s="97"/>
      <c r="CE25" s="97"/>
      <c r="CF25" s="97"/>
      <c r="CG25" s="97"/>
      <c r="CH25" s="97"/>
      <c r="CI25" s="97"/>
      <c r="CJ25" s="97"/>
      <c r="CK25" s="97"/>
      <c r="CL25" s="97"/>
      <c r="CM25" s="97"/>
      <c r="CN25" s="97"/>
      <c r="CO25" s="97"/>
      <c r="CP25" s="97"/>
      <c r="CQ25" s="97"/>
      <c r="CR25" s="97"/>
      <c r="CS25" s="97"/>
      <c r="CT25" s="97"/>
      <c r="CU25" s="97"/>
      <c r="CV25" s="97"/>
      <c r="CW25" s="97"/>
      <c r="CX25" s="97"/>
      <c r="CY25" s="97"/>
      <c r="CZ25" s="97"/>
    </row>
    <row r="26" ht="11.25" hidden="1" customHeight="1" spans="1:104">
      <c r="A26"/>
      <c r="C26" s="85" t="s">
        <v>294</v>
      </c>
      <c r="D26"/>
      <c r="E26"/>
      <c r="G26"/>
      <c r="H26"/>
      <c r="I26"/>
      <c r="J26"/>
      <c r="K26" s="129"/>
      <c r="L26"/>
      <c r="M26"/>
      <c r="N26"/>
      <c r="O26"/>
      <c r="P26"/>
      <c r="Q26"/>
      <c r="R26"/>
      <c r="S26"/>
      <c r="T26"/>
      <c r="U26" s="97"/>
      <c r="V26" s="131" t="s">
        <v>290</v>
      </c>
      <c r="W26" s="130" t="s">
        <v>50</v>
      </c>
      <c r="X26" s="97"/>
      <c r="Y26" s="97"/>
      <c r="Z26" s="97"/>
      <c r="AA26" s="97"/>
      <c r="AB26" s="97"/>
      <c r="AC26" s="97"/>
      <c r="AD26" s="97"/>
      <c r="AE26" s="97"/>
      <c r="AF26" s="97"/>
      <c r="AG26" s="97"/>
      <c r="AH26" s="97"/>
      <c r="AI26" s="97"/>
      <c r="AJ26" s="97"/>
      <c r="AK26" s="97"/>
      <c r="AL26" s="97"/>
      <c r="AM26" s="97"/>
      <c r="AN26" s="97"/>
      <c r="AO26" s="97"/>
      <c r="AP26" s="97"/>
      <c r="AQ26" s="97"/>
      <c r="AR26" s="97"/>
      <c r="AS26" s="97"/>
      <c r="AT26" s="97"/>
      <c r="AU26" s="97"/>
      <c r="AV26" s="97"/>
      <c r="AW26" s="97"/>
      <c r="AX26" s="97"/>
      <c r="AY26" s="97"/>
      <c r="AZ26" s="97"/>
      <c r="BA26" s="97"/>
      <c r="BB26" s="97"/>
      <c r="BC26" s="97"/>
      <c r="BD26" s="97"/>
      <c r="BE26" s="97"/>
      <c r="BF26" s="97"/>
      <c r="BG26" s="97"/>
      <c r="BH26" s="97"/>
      <c r="BI26" s="97"/>
      <c r="BJ26" s="97"/>
      <c r="BK26" s="97"/>
      <c r="BL26" s="97"/>
      <c r="BM26" s="97"/>
      <c r="BN26" s="97"/>
      <c r="BO26" s="97"/>
      <c r="BP26" s="97"/>
      <c r="BQ26" s="97"/>
      <c r="BR26" s="97"/>
      <c r="BS26" s="97"/>
      <c r="BT26" s="97"/>
      <c r="BU26" s="97"/>
      <c r="BV26" s="97"/>
      <c r="BW26" s="97"/>
      <c r="BX26" s="97"/>
      <c r="BY26" s="97"/>
      <c r="BZ26" s="97"/>
      <c r="CA26" s="97"/>
      <c r="CB26" s="97"/>
      <c r="CC26" s="97"/>
      <c r="CD26" s="97"/>
      <c r="CE26" s="97"/>
      <c r="CF26" s="97"/>
      <c r="CG26" s="97"/>
      <c r="CH26" s="97"/>
      <c r="CI26" s="97"/>
      <c r="CJ26" s="97"/>
      <c r="CK26" s="97"/>
      <c r="CL26" s="97"/>
      <c r="CM26" s="97"/>
      <c r="CN26" s="97"/>
      <c r="CO26" s="97"/>
      <c r="CP26" s="97"/>
      <c r="CQ26" s="97"/>
      <c r="CR26" s="97"/>
      <c r="CS26" s="97"/>
      <c r="CT26" s="97"/>
      <c r="CU26" s="97"/>
      <c r="CV26" s="97"/>
      <c r="CW26" s="97"/>
      <c r="CX26" s="97"/>
      <c r="CY26" s="97"/>
      <c r="CZ26" s="97"/>
    </row>
    <row r="27" ht="11.25" hidden="1" customHeight="1" spans="1:104">
      <c r="A27"/>
      <c r="C27" s="86" t="s">
        <v>295</v>
      </c>
      <c r="D27"/>
      <c r="E27"/>
      <c r="G27"/>
      <c r="H27"/>
      <c r="I27"/>
      <c r="J27"/>
      <c r="K27" s="129"/>
      <c r="L27"/>
      <c r="M27"/>
      <c r="N27"/>
      <c r="O27"/>
      <c r="P27"/>
      <c r="Q27"/>
      <c r="R27"/>
      <c r="S27"/>
      <c r="T27"/>
      <c r="U27" s="97"/>
      <c r="V27" s="97"/>
      <c r="W27" s="97"/>
      <c r="X27" s="97"/>
      <c r="Y27" s="97"/>
      <c r="Z27" s="97"/>
      <c r="AA27" s="97"/>
      <c r="AB27" s="97"/>
      <c r="AC27" s="97"/>
      <c r="AD27" s="97"/>
      <c r="AE27" s="97"/>
      <c r="AF27" s="97"/>
      <c r="AG27" s="97"/>
      <c r="AH27" s="97"/>
      <c r="AI27" s="97"/>
      <c r="AJ27" s="97"/>
      <c r="AK27" s="97"/>
      <c r="AL27" s="97"/>
      <c r="AM27" s="97"/>
      <c r="AN27" s="97"/>
      <c r="AO27" s="97"/>
      <c r="AP27" s="97"/>
      <c r="AQ27" s="97"/>
      <c r="AR27" s="97"/>
      <c r="AS27" s="97"/>
      <c r="AT27" s="97"/>
      <c r="AU27" s="97"/>
      <c r="AV27" s="97"/>
      <c r="AW27" s="97"/>
      <c r="AX27" s="97"/>
      <c r="AY27" s="97"/>
      <c r="AZ27" s="97"/>
      <c r="BA27" s="97"/>
      <c r="BB27" s="97"/>
      <c r="BC27" s="97"/>
      <c r="BD27" s="97"/>
      <c r="BE27" s="97"/>
      <c r="BF27" s="97"/>
      <c r="BG27" s="97"/>
      <c r="BH27" s="97"/>
      <c r="BI27" s="97"/>
      <c r="BJ27" s="97"/>
      <c r="BK27" s="97"/>
      <c r="BL27" s="97"/>
      <c r="BM27" s="97"/>
      <c r="BN27" s="97"/>
      <c r="BO27" s="97"/>
      <c r="BP27" s="97"/>
      <c r="BQ27" s="97"/>
      <c r="BR27" s="97"/>
      <c r="BS27" s="97"/>
      <c r="BT27" s="97"/>
      <c r="BU27" s="97"/>
      <c r="BV27" s="97"/>
      <c r="BW27" s="97"/>
      <c r="BX27" s="97"/>
      <c r="BY27" s="97"/>
      <c r="BZ27" s="97"/>
      <c r="CA27" s="97"/>
      <c r="CB27" s="97"/>
      <c r="CC27" s="97"/>
      <c r="CD27" s="97"/>
      <c r="CE27" s="97"/>
      <c r="CF27" s="97"/>
      <c r="CG27" s="97"/>
      <c r="CH27" s="97"/>
      <c r="CI27" s="97"/>
      <c r="CJ27" s="97"/>
      <c r="CK27" s="97"/>
      <c r="CL27" s="97"/>
      <c r="CM27" s="97"/>
      <c r="CN27" s="97"/>
      <c r="CO27" s="97"/>
      <c r="CP27" s="97"/>
      <c r="CQ27" s="97"/>
      <c r="CR27" s="97"/>
      <c r="CS27" s="97"/>
      <c r="CT27" s="97"/>
      <c r="CU27" s="97"/>
      <c r="CV27" s="97"/>
      <c r="CW27" s="97"/>
      <c r="CX27" s="97"/>
      <c r="CY27" s="97"/>
      <c r="CZ27" s="97"/>
    </row>
    <row r="28" ht="11.25" hidden="1" customHeight="1" spans="1:104">
      <c r="A28"/>
      <c r="D28"/>
      <c r="E28"/>
      <c r="G28"/>
      <c r="H28"/>
      <c r="I28"/>
      <c r="J28"/>
      <c r="K28" s="129"/>
      <c r="L28"/>
      <c r="M28"/>
      <c r="N28"/>
      <c r="O28"/>
      <c r="P28"/>
      <c r="Q28"/>
      <c r="R28"/>
      <c r="S28"/>
      <c r="T28"/>
      <c r="U28" s="97"/>
      <c r="V28" s="97"/>
      <c r="W28" s="97"/>
      <c r="X28" s="97"/>
      <c r="Y28" s="97"/>
      <c r="Z28" s="97"/>
      <c r="AA28" s="97"/>
      <c r="AB28" s="97"/>
      <c r="AC28" s="97"/>
      <c r="AD28" s="97"/>
      <c r="AE28" s="97"/>
      <c r="AF28" s="97"/>
      <c r="AG28" s="97"/>
      <c r="AH28" s="97"/>
      <c r="AI28" s="97"/>
      <c r="AJ28" s="97"/>
      <c r="AK28" s="97"/>
      <c r="AL28" s="97"/>
      <c r="AM28" s="97"/>
      <c r="AN28" s="97"/>
      <c r="AO28" s="97"/>
      <c r="AP28" s="97"/>
      <c r="AQ28" s="97"/>
      <c r="AR28" s="97"/>
      <c r="AS28" s="97"/>
      <c r="AT28" s="97"/>
      <c r="AU28" s="97"/>
      <c r="AV28" s="97"/>
      <c r="AW28" s="97"/>
      <c r="AX28" s="97"/>
      <c r="AY28" s="97"/>
      <c r="AZ28" s="97"/>
      <c r="BA28" s="97"/>
      <c r="BB28" s="97"/>
      <c r="BC28" s="97"/>
      <c r="BD28" s="97"/>
      <c r="BE28" s="97"/>
      <c r="BF28" s="97"/>
      <c r="BG28" s="97"/>
      <c r="BH28" s="97"/>
      <c r="BI28" s="97"/>
      <c r="BJ28" s="97"/>
      <c r="BK28" s="97"/>
      <c r="BL28" s="97"/>
      <c r="BM28" s="97"/>
      <c r="BN28" s="97"/>
      <c r="BO28" s="97"/>
      <c r="BP28" s="97"/>
      <c r="BQ28" s="97"/>
      <c r="BR28" s="97"/>
      <c r="BS28" s="97"/>
      <c r="BT28" s="97"/>
      <c r="BU28" s="97"/>
      <c r="BV28" s="97"/>
      <c r="BW28" s="97"/>
      <c r="BX28" s="97"/>
      <c r="BY28" s="97"/>
      <c r="BZ28" s="97"/>
      <c r="CA28" s="97"/>
      <c r="CB28" s="97"/>
      <c r="CC28" s="97"/>
      <c r="CD28" s="97"/>
      <c r="CE28" s="97"/>
      <c r="CF28" s="97"/>
      <c r="CG28" s="97"/>
      <c r="CH28" s="97"/>
      <c r="CI28" s="97"/>
      <c r="CJ28" s="97"/>
      <c r="CK28" s="97"/>
      <c r="CL28" s="97"/>
      <c r="CM28" s="97"/>
      <c r="CN28" s="97"/>
      <c r="CO28" s="97"/>
      <c r="CP28" s="97"/>
      <c r="CQ28" s="97"/>
      <c r="CR28" s="97"/>
      <c r="CS28" s="97"/>
      <c r="CT28" s="97"/>
      <c r="CU28" s="97"/>
      <c r="CV28" s="97"/>
      <c r="CW28" s="97"/>
      <c r="CX28" s="97"/>
      <c r="CY28" s="97"/>
      <c r="CZ28" s="97"/>
    </row>
    <row r="29" ht="11.25" hidden="1" customHeight="1" spans="1:104">
      <c r="A29"/>
      <c r="D29"/>
      <c r="E29"/>
      <c r="G29"/>
      <c r="H29"/>
      <c r="I29"/>
      <c r="J29"/>
      <c r="K29" s="129"/>
      <c r="L29"/>
      <c r="M29"/>
      <c r="N29"/>
      <c r="O29"/>
      <c r="P29"/>
      <c r="Q29"/>
      <c r="R29"/>
      <c r="S29"/>
      <c r="T29"/>
      <c r="U29" s="97"/>
      <c r="V29" s="97"/>
      <c r="W29" s="97"/>
      <c r="X29" s="97"/>
      <c r="Y29" s="97"/>
      <c r="Z29" s="97"/>
      <c r="AA29" s="97"/>
      <c r="AB29" s="97"/>
      <c r="AC29" s="97"/>
      <c r="AD29" s="97"/>
      <c r="AE29" s="97"/>
      <c r="AF29" s="97"/>
      <c r="AG29" s="97"/>
      <c r="AH29" s="97"/>
      <c r="AI29" s="97"/>
      <c r="AJ29" s="97"/>
      <c r="AK29" s="97"/>
      <c r="AL29" s="97"/>
      <c r="AM29" s="97"/>
      <c r="AN29" s="97"/>
      <c r="AO29" s="97"/>
      <c r="AP29" s="97"/>
      <c r="AQ29" s="97"/>
      <c r="AR29" s="97"/>
      <c r="AS29" s="97"/>
      <c r="AT29" s="97"/>
      <c r="AU29" s="97"/>
      <c r="AV29" s="97"/>
      <c r="AW29" s="97"/>
      <c r="AX29" s="97"/>
      <c r="AY29" s="97"/>
      <c r="AZ29" s="97"/>
      <c r="BA29" s="97"/>
      <c r="BB29" s="97"/>
      <c r="BC29" s="97"/>
      <c r="BD29" s="97"/>
      <c r="BE29" s="97"/>
      <c r="BF29" s="97"/>
      <c r="BG29" s="97"/>
      <c r="BH29" s="97"/>
      <c r="BI29" s="97"/>
      <c r="BJ29" s="97"/>
      <c r="BK29" s="97"/>
      <c r="BL29" s="97"/>
      <c r="BM29" s="97"/>
      <c r="BN29" s="97"/>
      <c r="BO29" s="97"/>
      <c r="BP29" s="97"/>
      <c r="BQ29" s="97"/>
      <c r="BR29" s="97"/>
      <c r="BS29" s="97"/>
      <c r="BT29" s="97"/>
      <c r="BU29" s="97"/>
      <c r="BV29" s="97"/>
      <c r="BW29" s="97"/>
      <c r="BX29" s="97"/>
      <c r="BY29" s="97"/>
      <c r="BZ29" s="97"/>
      <c r="CA29" s="97"/>
      <c r="CB29" s="97"/>
      <c r="CC29" s="97"/>
      <c r="CD29" s="97"/>
      <c r="CE29" s="97"/>
      <c r="CF29" s="97"/>
      <c r="CG29" s="97"/>
      <c r="CH29" s="97"/>
      <c r="CI29" s="97"/>
      <c r="CJ29" s="97"/>
      <c r="CK29" s="97"/>
      <c r="CL29" s="97"/>
      <c r="CM29" s="97"/>
      <c r="CN29" s="97"/>
      <c r="CO29" s="97"/>
      <c r="CP29" s="97"/>
      <c r="CQ29" s="97"/>
      <c r="CR29" s="97"/>
      <c r="CS29" s="97"/>
      <c r="CT29" s="97"/>
      <c r="CU29" s="97"/>
      <c r="CV29" s="97"/>
      <c r="CW29" s="97"/>
      <c r="CX29" s="97"/>
      <c r="CY29" s="97"/>
      <c r="CZ29" s="97"/>
    </row>
    <row r="30" ht="11.25" hidden="1" customHeight="1" spans="1:29">
      <c r="A30" s="87"/>
      <c r="B30" s="87"/>
      <c r="C30" s="87"/>
      <c r="D30" s="87"/>
      <c r="E30" s="87"/>
      <c r="F30" s="87"/>
      <c r="G30" s="87"/>
      <c r="H30" s="87"/>
      <c r="I30" s="87"/>
      <c r="J30" s="87"/>
      <c r="K30" s="134"/>
      <c r="L30" s="87"/>
      <c r="M30" s="87"/>
      <c r="N30" s="87"/>
      <c r="O30" s="87"/>
      <c r="P30" s="87"/>
      <c r="Q30" s="87"/>
      <c r="R30" s="87"/>
      <c r="S30" s="87"/>
      <c r="T30" s="87"/>
      <c r="U30" s="159"/>
      <c r="V30" s="87"/>
      <c r="W30" s="87"/>
      <c r="X30" s="159"/>
      <c r="Y30" s="87"/>
      <c r="Z30" s="159"/>
      <c r="AA30" s="159"/>
      <c r="AB30" s="159"/>
      <c r="AC30" s="159"/>
    </row>
    <row r="31" ht="18" customHeight="1" spans="1:8">
      <c r="A31"/>
      <c r="C31" s="88"/>
      <c r="D31" s="89" t="s">
        <v>296</v>
      </c>
      <c r="E31" s="89"/>
      <c r="F31" s="88"/>
      <c r="G31" s="90"/>
      <c r="H31" s="90"/>
    </row>
    <row r="32" ht="6.75" customHeight="1" spans="3:8">
      <c r="C32" s="88"/>
      <c r="D32" s="91"/>
      <c r="E32" s="91"/>
      <c r="F32" s="91"/>
      <c r="G32" s="91"/>
      <c r="H32" s="90"/>
    </row>
    <row r="33" ht="15.75" customHeight="1" spans="1:20">
      <c r="A33" s="92" t="s">
        <v>297</v>
      </c>
      <c r="D33"/>
      <c r="E33"/>
      <c r="G33"/>
      <c r="H33"/>
      <c r="I33"/>
      <c r="J33" s="135" t="s">
        <v>298</v>
      </c>
      <c r="K33" s="136"/>
      <c r="L33" s="137"/>
      <c r="M33" s="137"/>
      <c r="N33" s="137"/>
      <c r="O33" s="137"/>
      <c r="P33" s="137"/>
      <c r="Q33" s="137"/>
      <c r="R33" s="137"/>
      <c r="S33" s="137"/>
      <c r="T33" s="137"/>
    </row>
    <row r="34" ht="15" customHeight="1" spans="1:20">
      <c r="A34" s="93"/>
      <c r="B34" s="94"/>
      <c r="C34" s="95" t="s">
        <v>299</v>
      </c>
      <c r="D34" s="96"/>
      <c r="E34" s="96"/>
      <c r="F34" s="97"/>
      <c r="G34" s="96"/>
      <c r="H34" s="96"/>
      <c r="I34" s="96"/>
      <c r="J34" s="138"/>
      <c r="K34" s="139"/>
      <c r="L34" s="140"/>
      <c r="M34" s="140"/>
      <c r="N34" s="140"/>
      <c r="O34" s="140"/>
      <c r="P34" s="140"/>
      <c r="Q34" s="140"/>
      <c r="R34" s="140"/>
      <c r="S34" s="140"/>
      <c r="T34" s="140"/>
    </row>
    <row r="35" ht="14.25" customHeight="1" spans="1:20">
      <c r="A35" s="93"/>
      <c r="B35" s="82"/>
      <c r="C35" s="95" t="s">
        <v>300</v>
      </c>
      <c r="D35" s="96"/>
      <c r="E35" s="96"/>
      <c r="F35" s="98"/>
      <c r="G35" s="98"/>
      <c r="H35" s="98"/>
      <c r="I35" s="98"/>
      <c r="J35" s="141"/>
      <c r="K35" s="142"/>
      <c r="L35" s="143"/>
      <c r="M35" s="143"/>
      <c r="N35" s="143"/>
      <c r="O35" s="143"/>
      <c r="P35" s="143"/>
      <c r="Q35" s="143"/>
      <c r="R35" s="143"/>
      <c r="S35" s="143"/>
      <c r="T35" s="143"/>
    </row>
    <row r="36" ht="10.5" customHeight="1" spans="1:20">
      <c r="A36" s="82"/>
      <c r="B36" s="82"/>
      <c r="C36" s="95"/>
      <c r="D36" s="96"/>
      <c r="E36" s="96"/>
      <c r="F36" s="97"/>
      <c r="G36" s="96"/>
      <c r="H36" s="96"/>
      <c r="I36" s="96"/>
      <c r="J36" s="96"/>
      <c r="K36" s="96"/>
      <c r="L36" s="96"/>
      <c r="M36" s="96"/>
      <c r="N36" s="96"/>
      <c r="O36" s="96"/>
      <c r="P36" s="96"/>
      <c r="Q36" s="96"/>
      <c r="R36" s="96"/>
      <c r="S36" s="96"/>
      <c r="T36" s="96"/>
    </row>
    <row r="37" ht="18" customHeight="1" spans="1:20">
      <c r="A37" s="99" t="s">
        <v>301</v>
      </c>
      <c r="B37" s="100"/>
      <c r="C37" s="101"/>
      <c r="D37" s="101"/>
      <c r="E37" s="101"/>
      <c r="F37" s="101"/>
      <c r="G37" s="102" t="s">
        <v>302</v>
      </c>
      <c r="H37" s="102"/>
      <c r="I37" s="144"/>
      <c r="J37" s="145"/>
      <c r="K37" s="146"/>
      <c r="L37" s="147"/>
      <c r="M37" s="147"/>
      <c r="N37" s="147"/>
      <c r="O37" s="147"/>
      <c r="P37" s="147"/>
      <c r="Q37" s="147"/>
      <c r="R37" s="147"/>
      <c r="S37" s="147"/>
      <c r="T37" s="147"/>
    </row>
    <row r="38" ht="23.25" customHeight="1" spans="1:20">
      <c r="A38" s="103" t="s">
        <v>303</v>
      </c>
      <c r="B38" s="104"/>
      <c r="C38" s="105" t="s">
        <v>320</v>
      </c>
      <c r="D38" s="106"/>
      <c r="E38" s="106"/>
      <c r="F38" s="106"/>
      <c r="G38" s="107"/>
      <c r="H38" s="107"/>
      <c r="I38" s="144"/>
      <c r="J38" s="148"/>
      <c r="K38" s="149"/>
      <c r="L38" s="150"/>
      <c r="M38" s="150"/>
      <c r="N38" s="150"/>
      <c r="O38" s="150"/>
      <c r="P38" s="150"/>
      <c r="Q38" s="150"/>
      <c r="R38" s="150"/>
      <c r="S38" s="150"/>
      <c r="T38" s="150"/>
    </row>
    <row r="39" ht="11.25" customHeight="1" spans="1:20">
      <c r="A39" s="108"/>
      <c r="D39"/>
      <c r="E39"/>
      <c r="J39" s="140"/>
      <c r="K39" s="140"/>
      <c r="L39" s="140"/>
      <c r="M39" s="140"/>
      <c r="N39" s="140"/>
      <c r="O39" s="140"/>
      <c r="P39" s="140"/>
      <c r="Q39" s="140"/>
      <c r="R39" s="140"/>
      <c r="S39" s="140"/>
      <c r="T39" s="140"/>
    </row>
    <row r="40" customHeight="1" spans="1:20">
      <c r="A40" s="108"/>
      <c r="C40" s="109"/>
      <c r="D40" s="81"/>
      <c r="E40" s="81"/>
      <c r="F40" s="109"/>
      <c r="G40" s="110"/>
      <c r="H40" s="110"/>
      <c r="I40" s="93" t="s">
        <v>305</v>
      </c>
      <c r="J40" s="151">
        <f>IF(J37&lt;&gt;0,DCOUNTA(査読範囲,C43,C26:C27)/J37,IF(J38&lt;&gt;0,DCOUNTA(査読範囲,C43,C26:C27)/J38,0))</f>
        <v>0</v>
      </c>
      <c r="K40" s="152"/>
      <c r="L40" s="153"/>
      <c r="M40" s="153"/>
      <c r="N40" s="153"/>
      <c r="O40" s="153"/>
      <c r="P40" s="153"/>
      <c r="Q40" s="153"/>
      <c r="R40" s="153"/>
      <c r="S40" s="153"/>
      <c r="T40" s="153"/>
    </row>
    <row r="41" ht="16.5" customHeight="1" spans="1:20">
      <c r="A41" s="108"/>
      <c r="C41" s="93" t="s">
        <v>118</v>
      </c>
      <c r="D41" s="111"/>
      <c r="E41" s="112"/>
      <c r="F41" s="92" t="s">
        <v>306</v>
      </c>
      <c r="G41"/>
      <c r="H41"/>
      <c r="I41"/>
      <c r="J41"/>
      <c r="K41"/>
      <c r="L41"/>
      <c r="M41"/>
      <c r="N41"/>
      <c r="O41"/>
      <c r="P41"/>
      <c r="Q41"/>
      <c r="R41"/>
      <c r="S41"/>
      <c r="T41"/>
    </row>
    <row r="42" ht="6" customHeight="1" spans="6:6">
      <c r="F42" t="s">
        <v>307</v>
      </c>
    </row>
    <row r="43" ht="20.25" customHeight="1" spans="1:20">
      <c r="A43" s="113" t="s">
        <v>308</v>
      </c>
      <c r="B43" s="114" t="s">
        <v>309</v>
      </c>
      <c r="C43" s="113" t="s">
        <v>294</v>
      </c>
      <c r="D43" s="113" t="s">
        <v>290</v>
      </c>
      <c r="E43" s="115" t="s">
        <v>310</v>
      </c>
      <c r="F43" s="113" t="s">
        <v>311</v>
      </c>
      <c r="G43" s="113" t="s">
        <v>312</v>
      </c>
      <c r="H43" s="115" t="s">
        <v>313</v>
      </c>
      <c r="I43" s="113" t="s">
        <v>50</v>
      </c>
      <c r="J43" s="113" t="s">
        <v>314</v>
      </c>
      <c r="K43" s="113" t="s">
        <v>315</v>
      </c>
      <c r="L43" s="96"/>
      <c r="M43" s="96"/>
      <c r="N43" s="96"/>
      <c r="O43" s="96"/>
      <c r="P43" s="96"/>
      <c r="Q43" s="96"/>
      <c r="R43" s="96"/>
      <c r="S43" s="96"/>
      <c r="T43" s="96"/>
    </row>
    <row r="44" s="81" customFormat="1" ht="24" spans="1:20">
      <c r="A44" s="116">
        <v>1</v>
      </c>
      <c r="B44" s="117"/>
      <c r="C44" s="118" t="s">
        <v>321</v>
      </c>
      <c r="D44" s="119">
        <v>44966</v>
      </c>
      <c r="E44" s="120" t="s">
        <v>322</v>
      </c>
      <c r="F44" s="121" t="s">
        <v>323</v>
      </c>
      <c r="G44" s="122">
        <v>44967</v>
      </c>
      <c r="H44" s="123" t="s">
        <v>324</v>
      </c>
      <c r="I44" s="154"/>
      <c r="J44" s="155"/>
      <c r="K44" s="156" t="s">
        <v>322</v>
      </c>
      <c r="L44" s="157"/>
      <c r="M44" s="157"/>
      <c r="N44" s="157"/>
      <c r="O44" s="157"/>
      <c r="P44" s="157"/>
      <c r="Q44" s="157"/>
      <c r="R44" s="157"/>
      <c r="S44" s="157"/>
      <c r="T44" s="157"/>
    </row>
    <row r="45" s="81" customFormat="1" ht="108" spans="1:22">
      <c r="A45" s="116">
        <f t="shared" ref="A45:A63" si="0">A44+1</f>
        <v>2</v>
      </c>
      <c r="B45" s="124"/>
      <c r="C45" s="118" t="s">
        <v>325</v>
      </c>
      <c r="D45" s="119">
        <v>44973</v>
      </c>
      <c r="E45" s="120" t="s">
        <v>326</v>
      </c>
      <c r="F45" s="121" t="s">
        <v>327</v>
      </c>
      <c r="G45" s="122">
        <v>44974</v>
      </c>
      <c r="H45" s="123" t="s">
        <v>324</v>
      </c>
      <c r="I45" s="154"/>
      <c r="J45" s="155"/>
      <c r="K45" s="156"/>
      <c r="L45" s="157"/>
      <c r="M45" s="157"/>
      <c r="N45" s="157"/>
      <c r="O45" s="157"/>
      <c r="P45" s="157"/>
      <c r="Q45" s="157"/>
      <c r="R45" s="157"/>
      <c r="S45" s="157"/>
      <c r="T45" s="157"/>
      <c r="V45" s="160"/>
    </row>
    <row r="46" s="81" customFormat="1" ht="72" spans="1:24">
      <c r="A46" s="116">
        <f t="shared" si="0"/>
        <v>3</v>
      </c>
      <c r="B46" s="124"/>
      <c r="C46" s="118" t="s">
        <v>328</v>
      </c>
      <c r="D46" s="119">
        <v>44973</v>
      </c>
      <c r="E46" s="120" t="s">
        <v>326</v>
      </c>
      <c r="F46" s="121" t="s">
        <v>327</v>
      </c>
      <c r="G46" s="122">
        <v>44974</v>
      </c>
      <c r="H46" s="123" t="s">
        <v>324</v>
      </c>
      <c r="I46" s="154"/>
      <c r="J46" s="155"/>
      <c r="K46" s="156"/>
      <c r="L46" s="157"/>
      <c r="M46" s="157"/>
      <c r="N46" s="157"/>
      <c r="O46" s="157"/>
      <c r="P46" s="157"/>
      <c r="Q46" s="157"/>
      <c r="R46" s="157"/>
      <c r="S46" s="157"/>
      <c r="T46" s="157"/>
      <c r="V46" s="160"/>
      <c r="W46" s="160"/>
      <c r="X46" s="160"/>
    </row>
    <row r="47" s="81" customFormat="1" ht="24" spans="1:24">
      <c r="A47" s="116">
        <f t="shared" si="0"/>
        <v>4</v>
      </c>
      <c r="B47" s="117"/>
      <c r="C47" s="118" t="s">
        <v>329</v>
      </c>
      <c r="D47" s="119">
        <v>44973</v>
      </c>
      <c r="E47" s="120" t="s">
        <v>330</v>
      </c>
      <c r="F47" s="121" t="s">
        <v>327</v>
      </c>
      <c r="G47" s="122">
        <v>44974</v>
      </c>
      <c r="H47" s="123" t="s">
        <v>324</v>
      </c>
      <c r="I47" s="154"/>
      <c r="J47" s="155"/>
      <c r="K47" s="156"/>
      <c r="L47" s="157"/>
      <c r="M47" s="157"/>
      <c r="N47" s="157"/>
      <c r="O47" s="157"/>
      <c r="P47" s="157"/>
      <c r="Q47" s="157"/>
      <c r="R47" s="157"/>
      <c r="S47" s="157"/>
      <c r="T47" s="157"/>
      <c r="V47" s="160"/>
      <c r="W47" s="160"/>
      <c r="X47" s="160"/>
    </row>
    <row r="48" s="81" customFormat="1" spans="1:24">
      <c r="A48" s="116">
        <f t="shared" si="0"/>
        <v>5</v>
      </c>
      <c r="B48" s="124"/>
      <c r="C48" s="118"/>
      <c r="D48" s="119"/>
      <c r="E48" s="120"/>
      <c r="F48" s="121"/>
      <c r="G48" s="122"/>
      <c r="H48" s="125"/>
      <c r="I48" s="154"/>
      <c r="J48" s="155"/>
      <c r="K48" s="156"/>
      <c r="L48" s="157"/>
      <c r="M48" s="157"/>
      <c r="N48" s="157"/>
      <c r="O48" s="157"/>
      <c r="P48" s="157"/>
      <c r="Q48" s="157"/>
      <c r="R48" s="157"/>
      <c r="S48" s="157"/>
      <c r="T48" s="157"/>
      <c r="V48" s="160"/>
      <c r="W48" s="160"/>
      <c r="X48" s="160"/>
    </row>
    <row r="49" s="81" customFormat="1" spans="1:24">
      <c r="A49" s="116">
        <f t="shared" si="0"/>
        <v>6</v>
      </c>
      <c r="B49" s="117"/>
      <c r="C49" s="118"/>
      <c r="D49" s="119"/>
      <c r="E49" s="120"/>
      <c r="F49" s="121"/>
      <c r="G49" s="122"/>
      <c r="H49" s="125"/>
      <c r="I49" s="154"/>
      <c r="J49" s="155"/>
      <c r="K49" s="156"/>
      <c r="L49" s="157"/>
      <c r="M49" s="157"/>
      <c r="N49" s="157"/>
      <c r="O49" s="157"/>
      <c r="P49" s="157"/>
      <c r="Q49" s="157"/>
      <c r="R49" s="157"/>
      <c r="S49" s="157"/>
      <c r="T49" s="157"/>
      <c r="V49" s="160"/>
      <c r="W49" s="160"/>
      <c r="X49" s="160"/>
    </row>
    <row r="50" s="81" customFormat="1" spans="1:20">
      <c r="A50" s="116">
        <f t="shared" si="0"/>
        <v>7</v>
      </c>
      <c r="B50" s="117"/>
      <c r="C50" s="118"/>
      <c r="D50" s="119"/>
      <c r="E50" s="120"/>
      <c r="F50" s="121"/>
      <c r="G50" s="122"/>
      <c r="H50" s="125"/>
      <c r="I50" s="154"/>
      <c r="J50" s="155"/>
      <c r="K50" s="156"/>
      <c r="L50" s="157"/>
      <c r="M50" s="157"/>
      <c r="N50" s="157"/>
      <c r="O50" s="157"/>
      <c r="P50" s="157"/>
      <c r="Q50" s="157"/>
      <c r="R50" s="157"/>
      <c r="S50" s="157"/>
      <c r="T50" s="157"/>
    </row>
    <row r="51" s="81" customFormat="1" spans="1:20">
      <c r="A51" s="116">
        <f t="shared" si="0"/>
        <v>8</v>
      </c>
      <c r="B51" s="117"/>
      <c r="C51" s="118"/>
      <c r="D51" s="119"/>
      <c r="E51" s="120"/>
      <c r="F51" s="121"/>
      <c r="G51" s="122"/>
      <c r="H51" s="125"/>
      <c r="I51" s="154"/>
      <c r="J51" s="155"/>
      <c r="K51" s="156"/>
      <c r="L51" s="157"/>
      <c r="M51" s="157"/>
      <c r="N51" s="157"/>
      <c r="O51" s="157"/>
      <c r="P51" s="157"/>
      <c r="Q51" s="157"/>
      <c r="R51" s="157"/>
      <c r="S51" s="157"/>
      <c r="T51" s="157"/>
    </row>
    <row r="52" s="81" customFormat="1" spans="1:20">
      <c r="A52" s="116">
        <f t="shared" si="0"/>
        <v>9</v>
      </c>
      <c r="B52" s="117"/>
      <c r="C52" s="118"/>
      <c r="D52" s="119"/>
      <c r="E52" s="120"/>
      <c r="F52" s="121"/>
      <c r="G52" s="122"/>
      <c r="H52" s="126"/>
      <c r="I52" s="154"/>
      <c r="J52" s="155"/>
      <c r="K52" s="156"/>
      <c r="L52" s="157"/>
      <c r="M52" s="157"/>
      <c r="N52" s="157"/>
      <c r="O52" s="157"/>
      <c r="P52" s="157"/>
      <c r="Q52" s="157"/>
      <c r="R52" s="157"/>
      <c r="S52" s="157"/>
      <c r="T52" s="157"/>
    </row>
    <row r="53" s="81" customFormat="1" spans="1:20">
      <c r="A53" s="116">
        <f t="shared" si="0"/>
        <v>10</v>
      </c>
      <c r="B53" s="117"/>
      <c r="C53" s="118"/>
      <c r="D53" s="119"/>
      <c r="E53" s="120"/>
      <c r="F53" s="121"/>
      <c r="G53" s="122"/>
      <c r="H53" s="126"/>
      <c r="I53" s="154"/>
      <c r="J53" s="155"/>
      <c r="K53" s="156"/>
      <c r="L53" s="157"/>
      <c r="M53" s="157"/>
      <c r="N53" s="157"/>
      <c r="O53" s="157"/>
      <c r="P53" s="157"/>
      <c r="Q53" s="157"/>
      <c r="R53" s="157"/>
      <c r="S53" s="157"/>
      <c r="T53" s="157"/>
    </row>
    <row r="54" s="81" customFormat="1" spans="1:20">
      <c r="A54" s="116">
        <f t="shared" si="0"/>
        <v>11</v>
      </c>
      <c r="B54" s="117"/>
      <c r="C54" s="118"/>
      <c r="D54" s="119"/>
      <c r="E54" s="120"/>
      <c r="F54" s="121"/>
      <c r="G54" s="122"/>
      <c r="H54" s="125"/>
      <c r="I54" s="154"/>
      <c r="J54" s="155"/>
      <c r="K54" s="156"/>
      <c r="L54" s="157"/>
      <c r="M54" s="157"/>
      <c r="N54" s="157"/>
      <c r="O54" s="157"/>
      <c r="P54" s="157"/>
      <c r="Q54" s="157"/>
      <c r="R54" s="157"/>
      <c r="S54" s="157"/>
      <c r="T54" s="157"/>
    </row>
    <row r="55" s="81" customFormat="1" spans="1:20">
      <c r="A55" s="116">
        <f t="shared" si="0"/>
        <v>12</v>
      </c>
      <c r="B55" s="117"/>
      <c r="C55" s="118"/>
      <c r="D55" s="119"/>
      <c r="E55" s="120"/>
      <c r="F55" s="121"/>
      <c r="G55" s="122"/>
      <c r="H55" s="125"/>
      <c r="I55" s="154"/>
      <c r="J55" s="155"/>
      <c r="K55" s="156"/>
      <c r="L55" s="157"/>
      <c r="M55" s="157"/>
      <c r="N55" s="157"/>
      <c r="O55" s="157"/>
      <c r="P55" s="157"/>
      <c r="Q55" s="157"/>
      <c r="R55" s="157"/>
      <c r="S55" s="157"/>
      <c r="T55" s="157"/>
    </row>
    <row r="56" s="81" customFormat="1" spans="1:20">
      <c r="A56" s="116">
        <f t="shared" si="0"/>
        <v>13</v>
      </c>
      <c r="B56" s="117"/>
      <c r="C56" s="118"/>
      <c r="D56" s="119"/>
      <c r="E56" s="120"/>
      <c r="F56" s="121"/>
      <c r="G56" s="122"/>
      <c r="H56" s="125"/>
      <c r="I56" s="154"/>
      <c r="J56" s="155"/>
      <c r="K56" s="156"/>
      <c r="L56" s="157"/>
      <c r="M56" s="157"/>
      <c r="N56" s="157"/>
      <c r="O56" s="157"/>
      <c r="P56" s="157"/>
      <c r="Q56" s="157"/>
      <c r="R56" s="157"/>
      <c r="S56" s="157"/>
      <c r="T56" s="157"/>
    </row>
    <row r="57" s="81" customFormat="1" spans="1:20">
      <c r="A57" s="116">
        <f t="shared" si="0"/>
        <v>14</v>
      </c>
      <c r="B57" s="117"/>
      <c r="C57" s="118"/>
      <c r="D57" s="119"/>
      <c r="E57" s="120"/>
      <c r="F57" s="121"/>
      <c r="G57" s="122"/>
      <c r="H57" s="125"/>
      <c r="I57" s="154"/>
      <c r="J57" s="155"/>
      <c r="K57" s="156"/>
      <c r="L57" s="157"/>
      <c r="M57" s="157"/>
      <c r="N57" s="157"/>
      <c r="O57" s="157"/>
      <c r="P57" s="157"/>
      <c r="Q57" s="157"/>
      <c r="R57" s="157"/>
      <c r="S57" s="157"/>
      <c r="T57" s="157"/>
    </row>
    <row r="58" s="81" customFormat="1" spans="1:20">
      <c r="A58" s="116">
        <f t="shared" si="0"/>
        <v>15</v>
      </c>
      <c r="B58" s="117"/>
      <c r="C58" s="118"/>
      <c r="D58" s="119"/>
      <c r="E58" s="120"/>
      <c r="F58" s="121"/>
      <c r="G58" s="122"/>
      <c r="H58" s="125"/>
      <c r="I58" s="154"/>
      <c r="J58" s="155"/>
      <c r="K58" s="156"/>
      <c r="L58" s="157"/>
      <c r="M58" s="157"/>
      <c r="N58" s="157"/>
      <c r="O58" s="157"/>
      <c r="P58" s="157"/>
      <c r="Q58" s="157"/>
      <c r="R58" s="157"/>
      <c r="S58" s="157"/>
      <c r="T58" s="157"/>
    </row>
    <row r="59" s="81" customFormat="1" spans="1:20">
      <c r="A59" s="116">
        <f t="shared" si="0"/>
        <v>16</v>
      </c>
      <c r="B59" s="117"/>
      <c r="C59" s="118"/>
      <c r="D59" s="119"/>
      <c r="E59" s="120"/>
      <c r="F59" s="121"/>
      <c r="G59" s="122"/>
      <c r="H59" s="126"/>
      <c r="I59" s="154"/>
      <c r="J59" s="155"/>
      <c r="K59" s="156"/>
      <c r="L59" s="157"/>
      <c r="M59" s="157"/>
      <c r="N59" s="157"/>
      <c r="O59" s="157"/>
      <c r="P59" s="157"/>
      <c r="Q59" s="157"/>
      <c r="R59" s="157"/>
      <c r="S59" s="157"/>
      <c r="T59" s="157"/>
    </row>
    <row r="60" s="81" customFormat="1" spans="1:20">
      <c r="A60" s="116">
        <f t="shared" si="0"/>
        <v>17</v>
      </c>
      <c r="B60" s="117"/>
      <c r="C60" s="118"/>
      <c r="D60" s="119"/>
      <c r="E60" s="120"/>
      <c r="F60" s="121"/>
      <c r="G60" s="122"/>
      <c r="H60" s="126"/>
      <c r="I60" s="154"/>
      <c r="J60" s="155"/>
      <c r="K60" s="156"/>
      <c r="L60" s="157"/>
      <c r="M60" s="157"/>
      <c r="N60" s="157"/>
      <c r="O60" s="157"/>
      <c r="P60" s="157"/>
      <c r="Q60" s="157"/>
      <c r="R60" s="157"/>
      <c r="S60" s="157"/>
      <c r="T60" s="157"/>
    </row>
    <row r="61" s="81" customFormat="1" spans="1:20">
      <c r="A61" s="116">
        <f t="shared" si="0"/>
        <v>18</v>
      </c>
      <c r="B61" s="117"/>
      <c r="C61" s="118"/>
      <c r="D61" s="119"/>
      <c r="E61" s="120"/>
      <c r="F61" s="121"/>
      <c r="G61" s="122"/>
      <c r="H61" s="125"/>
      <c r="I61" s="154"/>
      <c r="J61" s="155"/>
      <c r="K61" s="156"/>
      <c r="L61" s="157"/>
      <c r="M61" s="157"/>
      <c r="N61" s="157"/>
      <c r="O61" s="157"/>
      <c r="P61" s="157"/>
      <c r="Q61" s="157"/>
      <c r="R61" s="157"/>
      <c r="S61" s="157"/>
      <c r="T61" s="157"/>
    </row>
    <row r="62" s="81" customFormat="1" spans="1:20">
      <c r="A62" s="116">
        <f t="shared" si="0"/>
        <v>19</v>
      </c>
      <c r="B62" s="117"/>
      <c r="C62" s="118"/>
      <c r="D62" s="119"/>
      <c r="E62" s="120"/>
      <c r="F62" s="121"/>
      <c r="G62" s="122"/>
      <c r="H62" s="125"/>
      <c r="I62" s="154"/>
      <c r="J62" s="155"/>
      <c r="K62" s="156"/>
      <c r="L62" s="157"/>
      <c r="M62" s="157"/>
      <c r="N62" s="157"/>
      <c r="O62" s="157"/>
      <c r="P62" s="157"/>
      <c r="Q62" s="157"/>
      <c r="R62" s="157"/>
      <c r="S62" s="157"/>
      <c r="T62" s="157"/>
    </row>
    <row r="63" s="81" customFormat="1" spans="1:20">
      <c r="A63" s="116">
        <f t="shared" si="0"/>
        <v>20</v>
      </c>
      <c r="B63" s="117"/>
      <c r="C63" s="118"/>
      <c r="D63" s="119"/>
      <c r="E63" s="120"/>
      <c r="F63" s="121"/>
      <c r="G63" s="122"/>
      <c r="H63" s="125"/>
      <c r="I63" s="154"/>
      <c r="J63" s="155"/>
      <c r="K63" s="156"/>
      <c r="L63" s="157"/>
      <c r="M63" s="157"/>
      <c r="N63" s="157"/>
      <c r="O63" s="157"/>
      <c r="P63" s="157"/>
      <c r="Q63" s="157"/>
      <c r="R63" s="157"/>
      <c r="S63" s="157"/>
      <c r="T63" s="157"/>
    </row>
    <row r="64" s="82" customFormat="1" spans="1:20">
      <c r="A64" s="127" t="s">
        <v>316</v>
      </c>
      <c r="B64" s="98"/>
      <c r="C64"/>
      <c r="D64" s="128"/>
      <c r="E64" s="98"/>
      <c r="F64" s="98"/>
      <c r="G64" s="128"/>
      <c r="H64" s="98"/>
      <c r="I64" s="98"/>
      <c r="J64" s="128"/>
      <c r="K64" s="98"/>
      <c r="L64" s="98"/>
      <c r="M64" s="98"/>
      <c r="N64" s="98"/>
      <c r="O64" s="98"/>
      <c r="P64" s="98"/>
      <c r="Q64" s="98"/>
      <c r="R64" s="98"/>
      <c r="S64" s="98"/>
      <c r="T64" s="98"/>
    </row>
    <row r="65" s="82" customFormat="1" spans="2:20">
      <c r="B65" s="98"/>
      <c r="C65"/>
      <c r="D65" s="162"/>
      <c r="F65" s="98"/>
      <c r="G65" s="128"/>
      <c r="H65" s="98"/>
      <c r="I65" s="98"/>
      <c r="J65" s="128"/>
      <c r="K65" s="98"/>
      <c r="L65" s="98"/>
      <c r="M65" s="98"/>
      <c r="N65" s="98"/>
      <c r="O65" s="98"/>
      <c r="P65" s="98"/>
      <c r="Q65" s="98"/>
      <c r="R65" s="98"/>
      <c r="S65" s="98"/>
      <c r="T65" s="98"/>
    </row>
    <row r="66" spans="2:20">
      <c r="B66" s="98"/>
      <c r="D66" s="163"/>
      <c r="F66" s="98"/>
      <c r="G66" s="128"/>
      <c r="H66" s="98"/>
      <c r="I66" s="98"/>
      <c r="J66" s="169"/>
      <c r="K66" s="127"/>
      <c r="L66" s="127"/>
      <c r="M66" s="127"/>
      <c r="N66" s="127"/>
      <c r="O66" s="127"/>
      <c r="P66" s="127"/>
      <c r="Q66" s="127"/>
      <c r="R66" s="127"/>
      <c r="S66" s="127"/>
      <c r="T66" s="127"/>
    </row>
    <row r="67" spans="2:256">
      <c r="B67" s="98"/>
      <c r="D67" s="163"/>
      <c r="F67" s="98"/>
      <c r="G67" s="128"/>
      <c r="H67" s="98"/>
      <c r="I67" s="127"/>
      <c r="J67" s="169"/>
      <c r="K67" s="127"/>
      <c r="L67" s="127"/>
      <c r="M67" s="127"/>
      <c r="N67" s="127"/>
      <c r="O67" s="127"/>
      <c r="P67" s="127"/>
      <c r="Q67" s="127"/>
      <c r="R67" s="127"/>
      <c r="S67" s="127"/>
      <c r="T67" s="127"/>
      <c r="U67" s="172"/>
      <c r="V67" s="172"/>
      <c r="W67" s="172"/>
      <c r="X67" s="172"/>
      <c r="Y67" s="172"/>
      <c r="Z67" s="172"/>
      <c r="AA67" s="172"/>
      <c r="AB67" s="172"/>
      <c r="AC67" s="172"/>
      <c r="AD67" s="172"/>
      <c r="AE67" s="172"/>
      <c r="AF67" s="172"/>
      <c r="AG67" s="172"/>
      <c r="AH67" s="172"/>
      <c r="AI67" s="172"/>
      <c r="AJ67" s="172"/>
      <c r="AK67" s="172"/>
      <c r="AL67" s="172"/>
      <c r="AM67" s="172"/>
      <c r="AN67" s="172"/>
      <c r="AO67" s="172"/>
      <c r="AP67" s="172"/>
      <c r="AQ67" s="172"/>
      <c r="AR67" s="172"/>
      <c r="AS67" s="172"/>
      <c r="AT67" s="172"/>
      <c r="AU67" s="172"/>
      <c r="AV67" s="172"/>
      <c r="AW67" s="172"/>
      <c r="AX67" s="172"/>
      <c r="AY67" s="172"/>
      <c r="AZ67" s="172"/>
      <c r="BA67" s="172"/>
      <c r="BB67" s="172"/>
      <c r="BC67" s="172"/>
      <c r="BD67" s="172"/>
      <c r="BE67" s="172"/>
      <c r="BF67" s="172"/>
      <c r="BG67" s="172"/>
      <c r="BH67" s="172"/>
      <c r="BI67" s="172"/>
      <c r="BJ67" s="172"/>
      <c r="BK67" s="172"/>
      <c r="BL67" s="172"/>
      <c r="BM67" s="172"/>
      <c r="BN67" s="172"/>
      <c r="BO67" s="172"/>
      <c r="BP67" s="172"/>
      <c r="BQ67" s="172"/>
      <c r="BR67" s="172"/>
      <c r="BS67" s="172"/>
      <c r="BT67" s="172"/>
      <c r="BU67" s="172"/>
      <c r="BV67" s="172"/>
      <c r="BW67" s="172"/>
      <c r="BX67" s="172"/>
      <c r="BY67" s="172"/>
      <c r="BZ67" s="172"/>
      <c r="CA67" s="172"/>
      <c r="CB67" s="172"/>
      <c r="CC67" s="172"/>
      <c r="CD67" s="172"/>
      <c r="CE67" s="172"/>
      <c r="CF67" s="172"/>
      <c r="CG67" s="172"/>
      <c r="CH67" s="172"/>
      <c r="CI67" s="172"/>
      <c r="CJ67" s="172"/>
      <c r="CK67" s="172"/>
      <c r="CL67" s="172"/>
      <c r="CM67" s="172"/>
      <c r="CN67" s="172"/>
      <c r="CO67" s="172"/>
      <c r="CP67" s="172"/>
      <c r="CQ67" s="172"/>
      <c r="CR67" s="172"/>
      <c r="CS67" s="172"/>
      <c r="CT67" s="172"/>
      <c r="CU67" s="172"/>
      <c r="CV67" s="172"/>
      <c r="CW67" s="172"/>
      <c r="CX67" s="172"/>
      <c r="CY67" s="172"/>
      <c r="CZ67" s="172"/>
      <c r="DA67" s="172"/>
      <c r="DB67" s="172"/>
      <c r="DC67" s="172"/>
      <c r="DD67" s="172"/>
      <c r="DE67" s="172"/>
      <c r="DF67" s="172"/>
      <c r="DG67" s="172"/>
      <c r="DH67" s="172"/>
      <c r="DI67" s="172"/>
      <c r="DJ67" s="172"/>
      <c r="DK67" s="172"/>
      <c r="DL67" s="172"/>
      <c r="DM67" s="172"/>
      <c r="DN67" s="172"/>
      <c r="DO67" s="172"/>
      <c r="DP67" s="172"/>
      <c r="DQ67" s="172"/>
      <c r="DR67" s="172"/>
      <c r="DS67" s="172"/>
      <c r="DT67" s="172"/>
      <c r="DU67" s="172"/>
      <c r="DV67" s="172"/>
      <c r="DW67" s="172"/>
      <c r="DX67" s="172"/>
      <c r="DY67" s="172"/>
      <c r="DZ67" s="172"/>
      <c r="EA67" s="172"/>
      <c r="EB67" s="172"/>
      <c r="EC67" s="172"/>
      <c r="ED67" s="172"/>
      <c r="EE67" s="172"/>
      <c r="EF67" s="172"/>
      <c r="EG67" s="172"/>
      <c r="EH67" s="172"/>
      <c r="EI67" s="172"/>
      <c r="EJ67" s="172"/>
      <c r="EK67" s="172"/>
      <c r="EL67" s="172"/>
      <c r="EM67" s="172"/>
      <c r="EN67" s="172"/>
      <c r="EO67" s="172"/>
      <c r="EP67" s="172"/>
      <c r="EQ67" s="172"/>
      <c r="ER67" s="172"/>
      <c r="ES67" s="172"/>
      <c r="ET67" s="172"/>
      <c r="EU67" s="172"/>
      <c r="EV67" s="172"/>
      <c r="EW67" s="172"/>
      <c r="EX67" s="172"/>
      <c r="EY67" s="172"/>
      <c r="EZ67" s="172"/>
      <c r="FA67" s="172"/>
      <c r="FB67" s="172"/>
      <c r="FC67" s="172"/>
      <c r="FD67" s="172"/>
      <c r="FE67" s="172"/>
      <c r="FF67" s="172"/>
      <c r="FG67" s="172"/>
      <c r="FH67" s="172"/>
      <c r="FI67" s="172"/>
      <c r="FJ67" s="172"/>
      <c r="FK67" s="172"/>
      <c r="FL67" s="172"/>
      <c r="FM67" s="172"/>
      <c r="FN67" s="172"/>
      <c r="FO67" s="172"/>
      <c r="FP67" s="172"/>
      <c r="FQ67" s="172"/>
      <c r="FR67" s="172"/>
      <c r="FS67" s="172"/>
      <c r="FT67" s="172"/>
      <c r="FU67" s="172"/>
      <c r="FV67" s="172"/>
      <c r="FW67" s="172"/>
      <c r="FX67" s="172"/>
      <c r="FY67" s="172"/>
      <c r="FZ67" s="172"/>
      <c r="GA67" s="172"/>
      <c r="GB67" s="172"/>
      <c r="GC67" s="172"/>
      <c r="GD67" s="172"/>
      <c r="GE67" s="172"/>
      <c r="GF67" s="172"/>
      <c r="GG67" s="172"/>
      <c r="GH67" s="172"/>
      <c r="GI67" s="172"/>
      <c r="GJ67" s="172"/>
      <c r="GK67" s="172"/>
      <c r="GL67" s="172"/>
      <c r="GM67" s="172"/>
      <c r="GN67" s="172"/>
      <c r="GO67" s="172"/>
      <c r="GP67" s="172"/>
      <c r="GQ67" s="172"/>
      <c r="GR67" s="172"/>
      <c r="GS67" s="172"/>
      <c r="GT67" s="172"/>
      <c r="GU67" s="172"/>
      <c r="GV67" s="172"/>
      <c r="GW67" s="172"/>
      <c r="GX67" s="172"/>
      <c r="GY67" s="172"/>
      <c r="GZ67" s="172"/>
      <c r="HA67" s="172"/>
      <c r="HB67" s="172"/>
      <c r="HC67" s="172"/>
      <c r="HD67" s="172"/>
      <c r="HE67" s="172"/>
      <c r="HF67" s="172"/>
      <c r="HG67" s="172"/>
      <c r="HH67" s="172"/>
      <c r="HI67" s="172"/>
      <c r="HJ67" s="172"/>
      <c r="HK67" s="172"/>
      <c r="HL67" s="172"/>
      <c r="HM67" s="172"/>
      <c r="HN67" s="172"/>
      <c r="HO67" s="172"/>
      <c r="HP67" s="172"/>
      <c r="HQ67" s="172"/>
      <c r="HR67" s="172"/>
      <c r="HS67" s="172"/>
      <c r="HT67" s="172"/>
      <c r="HU67" s="172"/>
      <c r="HV67" s="172"/>
      <c r="HW67" s="172"/>
      <c r="HX67" s="172"/>
      <c r="HY67" s="172"/>
      <c r="HZ67" s="172"/>
      <c r="IA67" s="172"/>
      <c r="IB67" s="172"/>
      <c r="IC67" s="172"/>
      <c r="ID67" s="172"/>
      <c r="IE67" s="172"/>
      <c r="IF67" s="172"/>
      <c r="IG67" s="172"/>
      <c r="IH67" s="172"/>
      <c r="II67" s="172"/>
      <c r="IJ67" s="172"/>
      <c r="IK67" s="172"/>
      <c r="IL67" s="172"/>
      <c r="IM67" s="172"/>
      <c r="IN67" s="172"/>
      <c r="IO67" s="172"/>
      <c r="IP67" s="172"/>
      <c r="IQ67" s="172"/>
      <c r="IR67" s="172"/>
      <c r="IS67" s="172"/>
      <c r="IT67" s="172"/>
      <c r="IU67" s="172"/>
      <c r="IV67" s="172"/>
    </row>
    <row r="68" spans="2:20">
      <c r="B68" s="98"/>
      <c r="D68" s="163"/>
      <c r="F68" s="98"/>
      <c r="G68" s="164"/>
      <c r="H68" s="165"/>
      <c r="I68" s="170"/>
      <c r="J68" s="171"/>
      <c r="K68" s="170"/>
      <c r="L68" s="170"/>
      <c r="M68" s="170"/>
      <c r="N68" s="170"/>
      <c r="O68" s="170"/>
      <c r="P68" s="170"/>
      <c r="Q68" s="170"/>
      <c r="R68" s="170"/>
      <c r="S68" s="170"/>
      <c r="T68" s="170"/>
    </row>
    <row r="69" spans="2:20">
      <c r="B69" s="98"/>
      <c r="D69" s="163"/>
      <c r="F69" s="98"/>
      <c r="G69" s="164"/>
      <c r="H69" s="165"/>
      <c r="I69" s="170"/>
      <c r="J69" s="171"/>
      <c r="K69" s="170"/>
      <c r="L69" s="170"/>
      <c r="M69" s="170"/>
      <c r="N69" s="170"/>
      <c r="O69" s="170"/>
      <c r="P69" s="170"/>
      <c r="Q69" s="170"/>
      <c r="R69" s="170"/>
      <c r="S69" s="170"/>
      <c r="T69" s="170"/>
    </row>
    <row r="70" spans="1:20">
      <c r="A70" s="98"/>
      <c r="B70" s="98"/>
      <c r="D70" s="163"/>
      <c r="F70" s="165"/>
      <c r="G70" s="164"/>
      <c r="H70" s="165"/>
      <c r="I70" s="170"/>
      <c r="J70" s="171"/>
      <c r="K70" s="170"/>
      <c r="L70" s="170"/>
      <c r="M70" s="170"/>
      <c r="N70" s="170"/>
      <c r="O70" s="170"/>
      <c r="P70" s="170"/>
      <c r="Q70" s="170"/>
      <c r="R70" s="170"/>
      <c r="S70" s="170"/>
      <c r="T70" s="170"/>
    </row>
    <row r="71" spans="1:20">
      <c r="A71" s="98"/>
      <c r="B71" s="165"/>
      <c r="D71" s="163"/>
      <c r="F71" s="165"/>
      <c r="G71" s="164"/>
      <c r="H71" s="165"/>
      <c r="I71" s="170"/>
      <c r="J71" s="171"/>
      <c r="K71" s="170"/>
      <c r="L71" s="170"/>
      <c r="M71" s="170"/>
      <c r="N71" s="170"/>
      <c r="O71" s="170"/>
      <c r="P71" s="170"/>
      <c r="Q71" s="170"/>
      <c r="R71" s="170"/>
      <c r="S71" s="170"/>
      <c r="T71" s="170"/>
    </row>
    <row r="72" spans="4:10">
      <c r="D72" s="163"/>
      <c r="G72" s="166"/>
      <c r="H72"/>
      <c r="J72" s="163"/>
    </row>
    <row r="73" spans="4:10">
      <c r="D73" s="163"/>
      <c r="G73" s="166"/>
      <c r="H73"/>
      <c r="J73" s="163"/>
    </row>
    <row r="74" spans="4:10">
      <c r="D74" s="163"/>
      <c r="G74" s="163"/>
      <c r="J74" s="163"/>
    </row>
    <row r="75" spans="4:10">
      <c r="D75" s="163"/>
      <c r="G75" s="163"/>
      <c r="J75" s="163"/>
    </row>
    <row r="76" spans="1:10">
      <c r="A76" s="167" t="s">
        <v>317</v>
      </c>
      <c r="D76" s="163"/>
      <c r="G76" s="163"/>
      <c r="J76" s="163"/>
    </row>
    <row r="77" spans="1:10">
      <c r="A77" s="167" t="s">
        <v>318</v>
      </c>
      <c r="D77" s="163"/>
      <c r="G77" s="163"/>
      <c r="J77" s="163"/>
    </row>
    <row r="78" spans="1:10">
      <c r="A78" s="167" t="s">
        <v>319</v>
      </c>
      <c r="D78" s="163"/>
      <c r="G78" s="163"/>
      <c r="J78" s="163"/>
    </row>
    <row r="79" spans="1:10">
      <c r="A79" s="167"/>
      <c r="D79" s="163"/>
      <c r="G79" s="163"/>
      <c r="J79" s="163"/>
    </row>
    <row r="80" spans="4:10">
      <c r="D80" s="163"/>
      <c r="G80" s="163"/>
      <c r="J80" s="163"/>
    </row>
    <row r="81" spans="4:10">
      <c r="D81" s="163"/>
      <c r="G81" s="163"/>
      <c r="J81" s="163"/>
    </row>
    <row r="82" spans="4:10">
      <c r="D82" s="163"/>
      <c r="G82" s="163"/>
      <c r="J82" s="163"/>
    </row>
    <row r="83" spans="4:10">
      <c r="D83" s="163"/>
      <c r="G83" s="163"/>
      <c r="J83" s="163"/>
    </row>
    <row r="84" spans="4:10">
      <c r="D84" s="163"/>
      <c r="G84" s="163"/>
      <c r="J84" s="163"/>
    </row>
    <row r="85" spans="4:10">
      <c r="D85" s="168"/>
      <c r="G85" s="163"/>
      <c r="J85" s="163"/>
    </row>
    <row r="86" spans="4:10">
      <c r="D86" s="168"/>
      <c r="G86" s="163"/>
      <c r="J86" s="163"/>
    </row>
    <row r="87" spans="4:10">
      <c r="D87" s="168"/>
      <c r="G87" s="163"/>
      <c r="J87" s="163"/>
    </row>
    <row r="88" spans="4:10">
      <c r="D88" s="168"/>
      <c r="G88" s="163"/>
      <c r="J88" s="163"/>
    </row>
    <row r="89" spans="4:10">
      <c r="D89" s="168"/>
      <c r="G89" s="163"/>
      <c r="J89" s="163"/>
    </row>
    <row r="90" spans="4:10">
      <c r="D90" s="168"/>
      <c r="G90" s="163"/>
      <c r="J90" s="140"/>
    </row>
    <row r="91" spans="4:10">
      <c r="D91" s="168"/>
      <c r="G91" s="163"/>
      <c r="J91" s="140"/>
    </row>
    <row r="92" spans="4:10">
      <c r="D92" s="168"/>
      <c r="G92" s="163"/>
      <c r="J92" s="140"/>
    </row>
    <row r="93" spans="4:10">
      <c r="D93" s="168"/>
      <c r="G93" s="163"/>
      <c r="J93" s="140"/>
    </row>
    <row r="94" spans="4:10">
      <c r="D94" s="168"/>
      <c r="G94" s="163"/>
      <c r="J94" s="140"/>
    </row>
    <row r="95" spans="4:10">
      <c r="D95" s="168"/>
      <c r="G95" s="163"/>
      <c r="J95" s="140"/>
    </row>
    <row r="96" spans="4:10">
      <c r="D96" s="168"/>
      <c r="G96" s="163"/>
      <c r="J96" s="140"/>
    </row>
    <row r="97" spans="4:10">
      <c r="D97" s="168"/>
      <c r="G97" s="163"/>
      <c r="J97" s="140"/>
    </row>
    <row r="98" spans="4:10">
      <c r="D98" s="168"/>
      <c r="G98" s="163"/>
      <c r="J98" s="140"/>
    </row>
    <row r="99" spans="4:10">
      <c r="D99" s="168"/>
      <c r="G99" s="163"/>
      <c r="J99" s="140"/>
    </row>
    <row r="100" spans="4:10">
      <c r="D100" s="168"/>
      <c r="G100" s="163"/>
      <c r="J100" s="140"/>
    </row>
    <row r="101" spans="4:10">
      <c r="D101" s="168"/>
      <c r="G101" s="163"/>
      <c r="J101" s="140"/>
    </row>
    <row r="102" spans="4:10">
      <c r="D102" s="168"/>
      <c r="G102" s="163"/>
      <c r="J102" s="140"/>
    </row>
    <row r="103" spans="4:10">
      <c r="D103" s="168"/>
      <c r="G103" s="163"/>
      <c r="J103" s="140"/>
    </row>
    <row r="104" spans="4:10">
      <c r="D104" s="168"/>
      <c r="G104" s="163"/>
      <c r="J104" s="140"/>
    </row>
    <row r="105" spans="4:10">
      <c r="D105" s="168"/>
      <c r="G105" s="168"/>
      <c r="J105" s="140"/>
    </row>
    <row r="106" spans="4:10">
      <c r="D106" s="168"/>
      <c r="G106" s="168"/>
      <c r="J106" s="140"/>
    </row>
    <row r="107" spans="4:10">
      <c r="D107" s="168"/>
      <c r="G107" s="168"/>
      <c r="J107" s="140"/>
    </row>
    <row r="108" spans="4:10">
      <c r="D108" s="168"/>
      <c r="G108" s="168"/>
      <c r="J108" s="140"/>
    </row>
    <row r="109" spans="4:10">
      <c r="D109" s="168"/>
      <c r="G109" s="168"/>
      <c r="J109" s="140"/>
    </row>
    <row r="110" spans="4:10">
      <c r="D110" s="168"/>
      <c r="G110" s="168"/>
      <c r="J110" s="140"/>
    </row>
    <row r="111" spans="4:10">
      <c r="D111" s="168"/>
      <c r="G111" s="168"/>
      <c r="J111" s="140"/>
    </row>
    <row r="112" spans="4:10">
      <c r="D112" s="168"/>
      <c r="G112" s="168"/>
      <c r="J112" s="140"/>
    </row>
    <row r="113" spans="4:10">
      <c r="D113" s="168"/>
      <c r="G113" s="168"/>
      <c r="J113" s="140"/>
    </row>
    <row r="114" spans="4:10">
      <c r="D114" s="168"/>
      <c r="G114" s="168"/>
      <c r="J114" s="140"/>
    </row>
    <row r="115" spans="4:10">
      <c r="D115" s="168"/>
      <c r="G115" s="168"/>
      <c r="J115" s="140"/>
    </row>
    <row r="116" spans="4:7">
      <c r="D116" s="168"/>
      <c r="G116" s="168"/>
    </row>
    <row r="117" spans="4:7">
      <c r="D117" s="168"/>
      <c r="G117" s="168"/>
    </row>
    <row r="118" spans="4:7">
      <c r="D118" s="168"/>
      <c r="G118" s="168"/>
    </row>
    <row r="119" spans="4:7">
      <c r="D119" s="168"/>
      <c r="G119" s="168"/>
    </row>
    <row r="120" spans="4:7">
      <c r="D120" s="168"/>
      <c r="G120" s="168"/>
    </row>
    <row r="121" spans="4:7">
      <c r="D121" s="168"/>
      <c r="G121" s="168"/>
    </row>
    <row r="122" spans="4:7">
      <c r="D122" s="168"/>
      <c r="G122" s="168"/>
    </row>
    <row r="123" spans="4:7">
      <c r="D123" s="168"/>
      <c r="G123" s="168"/>
    </row>
    <row r="124" spans="4:7">
      <c r="D124" s="168"/>
      <c r="G124" s="168"/>
    </row>
    <row r="125" spans="4:4">
      <c r="D125" s="168"/>
    </row>
    <row r="126" spans="4:4">
      <c r="D126" s="168"/>
    </row>
    <row r="127" spans="4:4">
      <c r="D127" s="168"/>
    </row>
    <row r="128" spans="4:4">
      <c r="D128" s="168"/>
    </row>
    <row r="129" spans="4:4">
      <c r="D129" s="168"/>
    </row>
    <row r="130" spans="4:4">
      <c r="D130" s="168"/>
    </row>
    <row r="131" spans="4:4">
      <c r="D131" s="168"/>
    </row>
    <row r="132" spans="4:4">
      <c r="D132" s="168"/>
    </row>
    <row r="133" spans="4:4">
      <c r="D133" s="168"/>
    </row>
    <row r="134" spans="4:4">
      <c r="D134" s="168"/>
    </row>
    <row r="135" spans="4:4">
      <c r="D135" s="168"/>
    </row>
    <row r="136" spans="4:4">
      <c r="D136" s="168"/>
    </row>
    <row r="137" spans="4:4">
      <c r="D137" s="168"/>
    </row>
    <row r="138" spans="4:4">
      <c r="D138" s="168"/>
    </row>
    <row r="139" spans="4:4">
      <c r="D139" s="168"/>
    </row>
    <row r="140" spans="4:4">
      <c r="D140" s="168"/>
    </row>
    <row r="141" spans="4:4">
      <c r="D141" s="168"/>
    </row>
    <row r="142" spans="4:4">
      <c r="D142" s="168"/>
    </row>
    <row r="143" spans="4:4">
      <c r="D143" s="168"/>
    </row>
    <row r="144" spans="4:4">
      <c r="D144" s="168"/>
    </row>
    <row r="145" spans="4:4">
      <c r="D145" s="168"/>
    </row>
    <row r="146" spans="4:4">
      <c r="D146" s="168"/>
    </row>
    <row r="147" spans="4:4">
      <c r="D147" s="168"/>
    </row>
    <row r="148" spans="4:4">
      <c r="D148" s="168"/>
    </row>
    <row r="149" spans="4:4">
      <c r="D149" s="168"/>
    </row>
    <row r="150" spans="4:4">
      <c r="D150" s="168"/>
    </row>
    <row r="151" spans="4:4">
      <c r="D151" s="168"/>
    </row>
    <row r="152" spans="4:4">
      <c r="D152" s="168"/>
    </row>
    <row r="153" spans="4:4">
      <c r="D153" s="168"/>
    </row>
    <row r="154" spans="4:4">
      <c r="D154" s="168"/>
    </row>
    <row r="155" spans="4:4">
      <c r="D155" s="168"/>
    </row>
    <row r="156" spans="4:4">
      <c r="D156" s="168"/>
    </row>
    <row r="157" spans="4:4">
      <c r="D157" s="168"/>
    </row>
    <row r="158" spans="4:4">
      <c r="D158" s="168"/>
    </row>
    <row r="159" spans="4:4">
      <c r="D159" s="168"/>
    </row>
    <row r="160" spans="4:4">
      <c r="D160" s="168"/>
    </row>
    <row r="161" spans="4:4">
      <c r="D161" s="168"/>
    </row>
    <row r="162" spans="4:4">
      <c r="D162" s="168"/>
    </row>
    <row r="163" spans="4:4">
      <c r="D163" s="168"/>
    </row>
    <row r="164" spans="4:4">
      <c r="D164" s="168"/>
    </row>
    <row r="165" spans="4:4">
      <c r="D165" s="168"/>
    </row>
    <row r="166" spans="4:4">
      <c r="D166" s="168"/>
    </row>
    <row r="167" spans="4:4">
      <c r="D167" s="168"/>
    </row>
    <row r="168" spans="4:4">
      <c r="D168" s="168"/>
    </row>
    <row r="169" spans="4:4">
      <c r="D169" s="168"/>
    </row>
    <row r="170" spans="4:4">
      <c r="D170" s="168"/>
    </row>
    <row r="171" spans="4:4">
      <c r="D171" s="168"/>
    </row>
    <row r="172" spans="4:4">
      <c r="D172" s="168"/>
    </row>
    <row r="173" spans="4:4">
      <c r="D173" s="168"/>
    </row>
    <row r="174" spans="4:4">
      <c r="D174" s="168"/>
    </row>
    <row r="175" spans="4:4">
      <c r="D175" s="168"/>
    </row>
    <row r="176" spans="4:4">
      <c r="D176" s="168"/>
    </row>
    <row r="177" spans="4:4">
      <c r="D177" s="168"/>
    </row>
  </sheetData>
  <mergeCells count="13">
    <mergeCell ref="C32:G32"/>
    <mergeCell ref="J33:K33"/>
    <mergeCell ref="A34:B34"/>
    <mergeCell ref="A35:B35"/>
    <mergeCell ref="A37:B37"/>
    <mergeCell ref="C37:F37"/>
    <mergeCell ref="J37:K37"/>
    <mergeCell ref="A38:B38"/>
    <mergeCell ref="C38:F38"/>
    <mergeCell ref="J38:K38"/>
    <mergeCell ref="J40:K40"/>
    <mergeCell ref="G37:I38"/>
    <mergeCell ref="J34:K35"/>
  </mergeCells>
  <pageMargins left="0.64" right="0.2" top="0.78740157480315" bottom="0.393700787401575" header="0.511811023622047" footer="0.21"/>
  <pageSetup paperSize="9" scale="10" fitToHeight="0" orientation="portrait" verticalDpi="1200"/>
  <headerFooter alignWithMargins="0">
    <oddHeader>&amp;R&amp;"ＭＳ Ｐ明朝,標準"8201 様式11</oddHeader>
    <oddFooter>&amp;C&amp;P / &amp;N ページ</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I114"/>
  <sheetViews>
    <sheetView showGridLines="0" view="pageBreakPreview" zoomScale="90" zoomScaleNormal="90" workbookViewId="0">
      <pane ySplit="8" topLeftCell="A9" activePane="bottomLeft" state="frozen"/>
      <selection/>
      <selection pane="bottomLeft" activeCell="E2" sqref="E2:I2"/>
    </sheetView>
  </sheetViews>
  <sheetFormatPr defaultColWidth="8" defaultRowHeight="12"/>
  <cols>
    <col min="1" max="1" width="16.875" style="1" customWidth="1"/>
    <col min="2" max="2" width="4.375" style="1" customWidth="1"/>
    <col min="3" max="3" width="82.25" style="2" customWidth="1"/>
    <col min="4" max="4" width="10.875" style="1" customWidth="1"/>
    <col min="5" max="9" width="2.75" style="1" customWidth="1"/>
    <col min="10" max="10" width="8" style="3"/>
    <col min="11" max="16384" width="8" style="1"/>
  </cols>
  <sheetData>
    <row r="1" spans="4:9">
      <c r="D1" s="4" t="s">
        <v>331</v>
      </c>
      <c r="E1" s="5">
        <v>44966</v>
      </c>
      <c r="F1" s="5"/>
      <c r="G1" s="5"/>
      <c r="H1" s="5"/>
      <c r="I1" s="5"/>
    </row>
    <row r="2" spans="4:9">
      <c r="D2" s="4" t="s">
        <v>332</v>
      </c>
      <c r="E2" s="5" t="s">
        <v>324</v>
      </c>
      <c r="F2" s="5"/>
      <c r="G2" s="5"/>
      <c r="H2" s="5"/>
      <c r="I2" s="5"/>
    </row>
    <row r="3" ht="14.25" spans="1:5">
      <c r="A3" s="6" t="s">
        <v>333</v>
      </c>
      <c r="B3" s="6"/>
      <c r="C3" s="6"/>
      <c r="D3" s="6"/>
      <c r="E3" s="6"/>
    </row>
    <row r="5" spans="1:9">
      <c r="A5" s="4" t="s">
        <v>334</v>
      </c>
      <c r="B5" s="4"/>
      <c r="C5" s="7" t="str">
        <f>査読ｼｰﾄ!C38</f>
        <v>単体試験要領書_MSBBPA020_【画面】Web見積計算書一覧照会.xlsx</v>
      </c>
      <c r="D5" s="4" t="s">
        <v>335</v>
      </c>
      <c r="E5" s="8" t="s">
        <v>336</v>
      </c>
      <c r="F5" s="8"/>
      <c r="G5" s="8"/>
      <c r="H5" s="8"/>
      <c r="I5" s="8"/>
    </row>
    <row r="6" ht="12.75"/>
    <row r="7" ht="73.5" spans="1:9">
      <c r="A7" s="9" t="s">
        <v>337</v>
      </c>
      <c r="B7" s="10" t="s">
        <v>308</v>
      </c>
      <c r="C7" s="11" t="s">
        <v>338</v>
      </c>
      <c r="D7" s="11" t="s">
        <v>339</v>
      </c>
      <c r="E7" s="12" t="s">
        <v>336</v>
      </c>
      <c r="F7" s="12" t="s">
        <v>340</v>
      </c>
      <c r="G7" s="12" t="s">
        <v>341</v>
      </c>
      <c r="H7" s="12" t="s">
        <v>342</v>
      </c>
      <c r="I7" s="53" t="s">
        <v>343</v>
      </c>
    </row>
    <row r="8" ht="3" customHeight="1" spans="1:9">
      <c r="A8" s="13"/>
      <c r="B8" s="14"/>
      <c r="C8" s="15"/>
      <c r="D8" s="15"/>
      <c r="E8" s="16"/>
      <c r="F8" s="16"/>
      <c r="G8" s="16"/>
      <c r="H8" s="16"/>
      <c r="I8" s="54"/>
    </row>
    <row r="9" ht="24" spans="1:9">
      <c r="A9" s="17" t="s">
        <v>344</v>
      </c>
      <c r="B9" s="18">
        <v>1</v>
      </c>
      <c r="C9" s="19" t="s">
        <v>345</v>
      </c>
      <c r="D9" s="20" t="s">
        <v>346</v>
      </c>
      <c r="E9" s="18" t="s">
        <v>347</v>
      </c>
      <c r="F9" s="21" t="s">
        <v>347</v>
      </c>
      <c r="G9" s="21" t="s">
        <v>347</v>
      </c>
      <c r="H9" s="21" t="s">
        <v>347</v>
      </c>
      <c r="I9" s="55" t="s">
        <v>347</v>
      </c>
    </row>
    <row r="10" ht="36" spans="1:9">
      <c r="A10" s="22"/>
      <c r="B10" s="23">
        <v>2</v>
      </c>
      <c r="C10" s="24" t="s">
        <v>348</v>
      </c>
      <c r="D10" s="25" t="s">
        <v>346</v>
      </c>
      <c r="E10" s="23" t="s">
        <v>347</v>
      </c>
      <c r="F10" s="26" t="s">
        <v>347</v>
      </c>
      <c r="G10" s="26" t="s">
        <v>347</v>
      </c>
      <c r="H10" s="26" t="s">
        <v>347</v>
      </c>
      <c r="I10" s="56" t="s">
        <v>347</v>
      </c>
    </row>
    <row r="11" ht="24" spans="1:9">
      <c r="A11" s="22"/>
      <c r="B11" s="27">
        <v>3</v>
      </c>
      <c r="C11" s="28" t="s">
        <v>349</v>
      </c>
      <c r="D11" s="29" t="s">
        <v>346</v>
      </c>
      <c r="E11" s="27" t="s">
        <v>347</v>
      </c>
      <c r="F11" s="30" t="s">
        <v>347</v>
      </c>
      <c r="G11" s="30" t="s">
        <v>347</v>
      </c>
      <c r="H11" s="30" t="s">
        <v>347</v>
      </c>
      <c r="I11" s="57" t="s">
        <v>347</v>
      </c>
    </row>
    <row r="12" ht="48" spans="1:9">
      <c r="A12" s="22"/>
      <c r="B12" s="27">
        <v>4</v>
      </c>
      <c r="C12" s="28" t="s">
        <v>350</v>
      </c>
      <c r="D12" s="29" t="s">
        <v>346</v>
      </c>
      <c r="E12" s="27" t="s">
        <v>347</v>
      </c>
      <c r="F12" s="30" t="s">
        <v>347</v>
      </c>
      <c r="G12" s="30" t="s">
        <v>347</v>
      </c>
      <c r="H12" s="30" t="s">
        <v>347</v>
      </c>
      <c r="I12" s="57" t="s">
        <v>347</v>
      </c>
    </row>
    <row r="13" ht="24" spans="1:9">
      <c r="A13" s="22"/>
      <c r="B13" s="23">
        <v>5</v>
      </c>
      <c r="C13" s="24" t="s">
        <v>351</v>
      </c>
      <c r="D13" s="25" t="s">
        <v>346</v>
      </c>
      <c r="E13" s="27" t="s">
        <v>347</v>
      </c>
      <c r="F13" s="30" t="s">
        <v>347</v>
      </c>
      <c r="G13" s="30" t="s">
        <v>347</v>
      </c>
      <c r="H13" s="30" t="s">
        <v>347</v>
      </c>
      <c r="I13" s="57" t="s">
        <v>347</v>
      </c>
    </row>
    <row r="14" ht="168" spans="1:9">
      <c r="A14" s="22"/>
      <c r="B14" s="23">
        <v>6</v>
      </c>
      <c r="C14" s="31" t="s">
        <v>352</v>
      </c>
      <c r="D14" s="32" t="s">
        <v>346</v>
      </c>
      <c r="E14" s="33" t="s">
        <v>347</v>
      </c>
      <c r="F14" s="34" t="s">
        <v>347</v>
      </c>
      <c r="G14" s="34" t="s">
        <v>347</v>
      </c>
      <c r="H14" s="34" t="s">
        <v>347</v>
      </c>
      <c r="I14" s="58" t="s">
        <v>347</v>
      </c>
    </row>
    <row r="15" spans="1:9">
      <c r="A15" s="35"/>
      <c r="B15" s="36"/>
      <c r="C15" s="37"/>
      <c r="D15" s="38"/>
      <c r="E15" s="39"/>
      <c r="F15" s="40"/>
      <c r="G15" s="40"/>
      <c r="H15" s="40"/>
      <c r="I15" s="59"/>
    </row>
    <row r="16" ht="84" spans="1:9">
      <c r="A16" s="17" t="s">
        <v>353</v>
      </c>
      <c r="B16" s="18">
        <v>1</v>
      </c>
      <c r="C16" s="19" t="s">
        <v>354</v>
      </c>
      <c r="D16" s="20" t="s">
        <v>346</v>
      </c>
      <c r="E16" s="20" t="s">
        <v>347</v>
      </c>
      <c r="F16" s="21"/>
      <c r="G16" s="21"/>
      <c r="H16" s="21"/>
      <c r="I16" s="55"/>
    </row>
    <row r="17" ht="24" spans="1:9">
      <c r="A17" s="22"/>
      <c r="B17" s="23">
        <v>2</v>
      </c>
      <c r="C17" s="24" t="s">
        <v>355</v>
      </c>
      <c r="D17" s="25" t="s">
        <v>346</v>
      </c>
      <c r="E17" s="25" t="s">
        <v>347</v>
      </c>
      <c r="F17" s="26"/>
      <c r="G17" s="26"/>
      <c r="H17" s="26"/>
      <c r="I17" s="56"/>
    </row>
    <row r="18" ht="24" spans="1:9">
      <c r="A18" s="22"/>
      <c r="B18" s="23">
        <v>3</v>
      </c>
      <c r="C18" s="24" t="s">
        <v>356</v>
      </c>
      <c r="D18" s="25" t="s">
        <v>346</v>
      </c>
      <c r="E18" s="25" t="s">
        <v>347</v>
      </c>
      <c r="F18" s="26"/>
      <c r="G18" s="26"/>
      <c r="H18" s="26"/>
      <c r="I18" s="56"/>
    </row>
    <row r="19" ht="24" spans="1:9">
      <c r="A19" s="22"/>
      <c r="B19" s="23">
        <v>4</v>
      </c>
      <c r="C19" s="24" t="s">
        <v>357</v>
      </c>
      <c r="D19" s="25" t="s">
        <v>346</v>
      </c>
      <c r="E19" s="25" t="s">
        <v>347</v>
      </c>
      <c r="F19" s="26"/>
      <c r="G19" s="26"/>
      <c r="H19" s="26"/>
      <c r="I19" s="56"/>
    </row>
    <row r="20" ht="24" spans="1:9">
      <c r="A20" s="22"/>
      <c r="B20" s="23">
        <v>5</v>
      </c>
      <c r="C20" s="24" t="s">
        <v>358</v>
      </c>
      <c r="D20" s="25" t="s">
        <v>346</v>
      </c>
      <c r="E20" s="25" t="s">
        <v>347</v>
      </c>
      <c r="F20" s="26"/>
      <c r="G20" s="26"/>
      <c r="H20" s="26"/>
      <c r="I20" s="56"/>
    </row>
    <row r="21" ht="24" spans="1:9">
      <c r="A21" s="22"/>
      <c r="B21" s="23">
        <v>6</v>
      </c>
      <c r="C21" s="24" t="s">
        <v>359</v>
      </c>
      <c r="D21" s="25" t="s">
        <v>346</v>
      </c>
      <c r="E21" s="25" t="s">
        <v>347</v>
      </c>
      <c r="F21" s="26"/>
      <c r="G21" s="26"/>
      <c r="H21" s="26"/>
      <c r="I21" s="56"/>
    </row>
    <row r="22" ht="24" spans="1:9">
      <c r="A22" s="22"/>
      <c r="B22" s="23">
        <v>7</v>
      </c>
      <c r="C22" s="24" t="s">
        <v>360</v>
      </c>
      <c r="D22" s="25" t="s">
        <v>346</v>
      </c>
      <c r="E22" s="25" t="s">
        <v>347</v>
      </c>
      <c r="F22" s="26"/>
      <c r="G22" s="26"/>
      <c r="H22" s="26"/>
      <c r="I22" s="56"/>
    </row>
    <row r="23" ht="24" spans="1:9">
      <c r="A23" s="22"/>
      <c r="B23" s="23">
        <v>8</v>
      </c>
      <c r="C23" s="24" t="s">
        <v>361</v>
      </c>
      <c r="D23" s="25" t="s">
        <v>346</v>
      </c>
      <c r="E23" s="25" t="s">
        <v>347</v>
      </c>
      <c r="F23" s="26"/>
      <c r="G23" s="26"/>
      <c r="H23" s="26"/>
      <c r="I23" s="56"/>
    </row>
    <row r="24" ht="36" spans="1:9">
      <c r="A24" s="22"/>
      <c r="B24" s="23">
        <v>9</v>
      </c>
      <c r="C24" s="24" t="s">
        <v>362</v>
      </c>
      <c r="D24" s="25" t="s">
        <v>346</v>
      </c>
      <c r="E24" s="25" t="s">
        <v>347</v>
      </c>
      <c r="F24" s="26"/>
      <c r="G24" s="26"/>
      <c r="H24" s="26"/>
      <c r="I24" s="56"/>
    </row>
    <row r="25" ht="36" spans="1:9">
      <c r="A25" s="22"/>
      <c r="B25" s="27">
        <v>10</v>
      </c>
      <c r="C25" s="28" t="s">
        <v>363</v>
      </c>
      <c r="D25" s="29" t="s">
        <v>346</v>
      </c>
      <c r="E25" s="29" t="s">
        <v>347</v>
      </c>
      <c r="F25" s="30"/>
      <c r="G25" s="30"/>
      <c r="H25" s="30"/>
      <c r="I25" s="57"/>
    </row>
    <row r="26" spans="1:9">
      <c r="A26" s="35"/>
      <c r="B26" s="41"/>
      <c r="C26" s="42"/>
      <c r="D26" s="43"/>
      <c r="E26" s="43"/>
      <c r="F26" s="44"/>
      <c r="G26" s="44"/>
      <c r="H26" s="44"/>
      <c r="I26" s="60"/>
    </row>
    <row r="27" ht="60" spans="1:9">
      <c r="A27" s="17" t="s">
        <v>364</v>
      </c>
      <c r="B27" s="18">
        <v>1</v>
      </c>
      <c r="C27" s="19" t="s">
        <v>365</v>
      </c>
      <c r="D27" s="20" t="s">
        <v>346</v>
      </c>
      <c r="E27" s="20" t="s">
        <v>347</v>
      </c>
      <c r="F27" s="21"/>
      <c r="G27" s="21"/>
      <c r="H27" s="21"/>
      <c r="I27" s="55"/>
    </row>
    <row r="28" ht="60" spans="1:9">
      <c r="A28" s="22"/>
      <c r="B28" s="23">
        <v>2</v>
      </c>
      <c r="C28" s="24" t="s">
        <v>366</v>
      </c>
      <c r="D28" s="25" t="s">
        <v>346</v>
      </c>
      <c r="E28" s="25" t="s">
        <v>347</v>
      </c>
      <c r="F28" s="26"/>
      <c r="G28" s="26"/>
      <c r="H28" s="26"/>
      <c r="I28" s="56"/>
    </row>
    <row r="29" ht="72" spans="1:9">
      <c r="A29" s="22"/>
      <c r="B29" s="27">
        <v>3</v>
      </c>
      <c r="C29" s="28" t="s">
        <v>367</v>
      </c>
      <c r="D29" s="29" t="s">
        <v>346</v>
      </c>
      <c r="E29" s="29" t="s">
        <v>347</v>
      </c>
      <c r="F29" s="30"/>
      <c r="G29" s="30"/>
      <c r="H29" s="30"/>
      <c r="I29" s="57"/>
    </row>
    <row r="30" spans="1:9">
      <c r="A30" s="35"/>
      <c r="B30" s="41"/>
      <c r="C30" s="42"/>
      <c r="D30" s="43"/>
      <c r="E30" s="43"/>
      <c r="F30" s="44"/>
      <c r="G30" s="44"/>
      <c r="H30" s="44"/>
      <c r="I30" s="60"/>
    </row>
    <row r="31" ht="36" spans="1:9">
      <c r="A31" s="17" t="s">
        <v>368</v>
      </c>
      <c r="B31" s="18">
        <v>1</v>
      </c>
      <c r="C31" s="19" t="s">
        <v>369</v>
      </c>
      <c r="D31" s="20" t="s">
        <v>346</v>
      </c>
      <c r="E31" s="20" t="s">
        <v>347</v>
      </c>
      <c r="F31" s="21"/>
      <c r="G31" s="21"/>
      <c r="H31" s="21"/>
      <c r="I31" s="55"/>
    </row>
    <row r="32" ht="36" spans="1:9">
      <c r="A32" s="22"/>
      <c r="B32" s="23">
        <v>2</v>
      </c>
      <c r="C32" s="24" t="s">
        <v>370</v>
      </c>
      <c r="D32" s="25" t="s">
        <v>346</v>
      </c>
      <c r="E32" s="25" t="s">
        <v>347</v>
      </c>
      <c r="F32" s="26"/>
      <c r="G32" s="26"/>
      <c r="H32" s="26"/>
      <c r="I32" s="56"/>
    </row>
    <row r="33" ht="36" spans="1:9">
      <c r="A33" s="22"/>
      <c r="B33" s="23">
        <v>3</v>
      </c>
      <c r="C33" s="24" t="s">
        <v>371</v>
      </c>
      <c r="D33" s="25" t="s">
        <v>346</v>
      </c>
      <c r="E33" s="25" t="s">
        <v>347</v>
      </c>
      <c r="F33" s="26"/>
      <c r="G33" s="26"/>
      <c r="H33" s="26"/>
      <c r="I33" s="56"/>
    </row>
    <row r="34" ht="36" spans="1:9">
      <c r="A34" s="22"/>
      <c r="B34" s="23">
        <v>4</v>
      </c>
      <c r="C34" s="24" t="s">
        <v>372</v>
      </c>
      <c r="D34" s="25" t="s">
        <v>346</v>
      </c>
      <c r="E34" s="25" t="s">
        <v>347</v>
      </c>
      <c r="F34" s="26"/>
      <c r="G34" s="26"/>
      <c r="H34" s="26"/>
      <c r="I34" s="56"/>
    </row>
    <row r="35" ht="36" spans="1:9">
      <c r="A35" s="22"/>
      <c r="B35" s="23">
        <v>5</v>
      </c>
      <c r="C35" s="24" t="s">
        <v>373</v>
      </c>
      <c r="D35" s="25" t="s">
        <v>346</v>
      </c>
      <c r="E35" s="25" t="s">
        <v>347</v>
      </c>
      <c r="F35" s="26"/>
      <c r="G35" s="26"/>
      <c r="H35" s="26"/>
      <c r="I35" s="56"/>
    </row>
    <row r="36" ht="36" spans="1:9">
      <c r="A36" s="22"/>
      <c r="B36" s="23">
        <v>6</v>
      </c>
      <c r="C36" s="24" t="s">
        <v>374</v>
      </c>
      <c r="D36" s="25" t="s">
        <v>346</v>
      </c>
      <c r="E36" s="25" t="s">
        <v>347</v>
      </c>
      <c r="F36" s="26"/>
      <c r="G36" s="26"/>
      <c r="H36" s="26"/>
      <c r="I36" s="56"/>
    </row>
    <row r="37" ht="36" spans="1:9">
      <c r="A37" s="22"/>
      <c r="B37" s="23">
        <v>7</v>
      </c>
      <c r="C37" s="24" t="s">
        <v>375</v>
      </c>
      <c r="D37" s="25" t="s">
        <v>346</v>
      </c>
      <c r="E37" s="25" t="s">
        <v>347</v>
      </c>
      <c r="F37" s="26"/>
      <c r="G37" s="26"/>
      <c r="H37" s="26"/>
      <c r="I37" s="56"/>
    </row>
    <row r="38" ht="36" spans="1:9">
      <c r="A38" s="22"/>
      <c r="B38" s="23">
        <v>8</v>
      </c>
      <c r="C38" s="24" t="s">
        <v>376</v>
      </c>
      <c r="D38" s="25" t="s">
        <v>346</v>
      </c>
      <c r="E38" s="25" t="s">
        <v>347</v>
      </c>
      <c r="F38" s="26"/>
      <c r="G38" s="26"/>
      <c r="H38" s="26"/>
      <c r="I38" s="56"/>
    </row>
    <row r="39" ht="36" spans="1:9">
      <c r="A39" s="22"/>
      <c r="B39" s="23">
        <v>9</v>
      </c>
      <c r="C39" s="24" t="s">
        <v>377</v>
      </c>
      <c r="D39" s="25" t="s">
        <v>346</v>
      </c>
      <c r="E39" s="25" t="s">
        <v>347</v>
      </c>
      <c r="F39" s="26"/>
      <c r="G39" s="26"/>
      <c r="H39" s="26"/>
      <c r="I39" s="56"/>
    </row>
    <row r="40" ht="48" spans="1:9">
      <c r="A40" s="22"/>
      <c r="B40" s="23">
        <v>10</v>
      </c>
      <c r="C40" s="24" t="s">
        <v>378</v>
      </c>
      <c r="D40" s="25" t="s">
        <v>346</v>
      </c>
      <c r="E40" s="25" t="s">
        <v>347</v>
      </c>
      <c r="F40" s="26"/>
      <c r="G40" s="26"/>
      <c r="H40" s="26"/>
      <c r="I40" s="56"/>
    </row>
    <row r="41" ht="72" spans="1:9">
      <c r="A41" s="22"/>
      <c r="B41" s="23">
        <v>11</v>
      </c>
      <c r="C41" s="24" t="s">
        <v>379</v>
      </c>
      <c r="D41" s="25" t="s">
        <v>346</v>
      </c>
      <c r="E41" s="25" t="s">
        <v>347</v>
      </c>
      <c r="F41" s="26"/>
      <c r="G41" s="26"/>
      <c r="H41" s="26"/>
      <c r="I41" s="56"/>
    </row>
    <row r="42" ht="36" spans="1:9">
      <c r="A42" s="22"/>
      <c r="B42" s="23">
        <v>12</v>
      </c>
      <c r="C42" s="24" t="s">
        <v>380</v>
      </c>
      <c r="D42" s="25" t="s">
        <v>346</v>
      </c>
      <c r="E42" s="25" t="s">
        <v>347</v>
      </c>
      <c r="F42" s="26"/>
      <c r="G42" s="26"/>
      <c r="H42" s="26"/>
      <c r="I42" s="56"/>
    </row>
    <row r="43" ht="36" spans="1:9">
      <c r="A43" s="22"/>
      <c r="B43" s="23">
        <v>13</v>
      </c>
      <c r="C43" s="24" t="s">
        <v>381</v>
      </c>
      <c r="D43" s="25" t="s">
        <v>346</v>
      </c>
      <c r="E43" s="25" t="s">
        <v>347</v>
      </c>
      <c r="F43" s="26"/>
      <c r="G43" s="26"/>
      <c r="H43" s="26"/>
      <c r="I43" s="56"/>
    </row>
    <row r="44" ht="24" spans="1:9">
      <c r="A44" s="22"/>
      <c r="B44" s="27">
        <v>14</v>
      </c>
      <c r="C44" s="28" t="s">
        <v>382</v>
      </c>
      <c r="D44" s="29" t="s">
        <v>346</v>
      </c>
      <c r="E44" s="29" t="s">
        <v>347</v>
      </c>
      <c r="F44" s="30"/>
      <c r="G44" s="30"/>
      <c r="H44" s="30"/>
      <c r="I44" s="57"/>
    </row>
    <row r="45" spans="1:9">
      <c r="A45" s="35"/>
      <c r="B45" s="27"/>
      <c r="C45" s="42"/>
      <c r="D45" s="43"/>
      <c r="E45" s="43"/>
      <c r="F45" s="44"/>
      <c r="G45" s="44"/>
      <c r="H45" s="44"/>
      <c r="I45" s="60"/>
    </row>
    <row r="46" ht="36" spans="1:9">
      <c r="A46" s="45" t="s">
        <v>383</v>
      </c>
      <c r="B46" s="46"/>
      <c r="C46" s="19" t="s">
        <v>384</v>
      </c>
      <c r="D46" s="47"/>
      <c r="E46" s="47"/>
      <c r="F46" s="48"/>
      <c r="G46" s="48"/>
      <c r="H46" s="48"/>
      <c r="I46" s="61"/>
    </row>
    <row r="47" spans="1:9">
      <c r="A47" s="49"/>
      <c r="B47" s="23">
        <v>1</v>
      </c>
      <c r="C47" s="24" t="s">
        <v>385</v>
      </c>
      <c r="D47" s="25" t="s">
        <v>346</v>
      </c>
      <c r="E47" s="25" t="s">
        <v>347</v>
      </c>
      <c r="F47" s="26"/>
      <c r="G47" s="26"/>
      <c r="H47" s="26"/>
      <c r="I47" s="56"/>
    </row>
    <row r="48" spans="1:9">
      <c r="A48" s="49"/>
      <c r="B48" s="23">
        <v>2</v>
      </c>
      <c r="C48" s="24" t="s">
        <v>386</v>
      </c>
      <c r="D48" s="25" t="s">
        <v>346</v>
      </c>
      <c r="E48" s="25" t="s">
        <v>347</v>
      </c>
      <c r="F48" s="26"/>
      <c r="G48" s="26"/>
      <c r="H48" s="26"/>
      <c r="I48" s="56"/>
    </row>
    <row r="49" spans="1:9">
      <c r="A49" s="49"/>
      <c r="B49" s="23">
        <v>3</v>
      </c>
      <c r="C49" s="24" t="s">
        <v>387</v>
      </c>
      <c r="D49" s="25" t="s">
        <v>346</v>
      </c>
      <c r="E49" s="25" t="s">
        <v>347</v>
      </c>
      <c r="F49" s="26"/>
      <c r="G49" s="26"/>
      <c r="H49" s="26"/>
      <c r="I49" s="56"/>
    </row>
    <row r="50" spans="1:9">
      <c r="A50" s="49"/>
      <c r="B50" s="23">
        <v>4</v>
      </c>
      <c r="C50" s="24" t="s">
        <v>388</v>
      </c>
      <c r="D50" s="25" t="s">
        <v>346</v>
      </c>
      <c r="E50" s="25" t="s">
        <v>347</v>
      </c>
      <c r="F50" s="26"/>
      <c r="G50" s="26"/>
      <c r="H50" s="26"/>
      <c r="I50" s="56"/>
    </row>
    <row r="51" ht="24" spans="1:9">
      <c r="A51" s="49"/>
      <c r="B51" s="23">
        <v>5</v>
      </c>
      <c r="C51" s="24" t="s">
        <v>389</v>
      </c>
      <c r="D51" s="25" t="s">
        <v>346</v>
      </c>
      <c r="E51" s="25" t="s">
        <v>347</v>
      </c>
      <c r="F51" s="26"/>
      <c r="G51" s="26"/>
      <c r="H51" s="26"/>
      <c r="I51" s="56"/>
    </row>
    <row r="52" spans="1:9">
      <c r="A52" s="49"/>
      <c r="B52" s="23">
        <v>6</v>
      </c>
      <c r="C52" s="24" t="s">
        <v>390</v>
      </c>
      <c r="D52" s="25" t="s">
        <v>346</v>
      </c>
      <c r="E52" s="25" t="s">
        <v>347</v>
      </c>
      <c r="F52" s="26"/>
      <c r="G52" s="26"/>
      <c r="H52" s="26"/>
      <c r="I52" s="56"/>
    </row>
    <row r="53" ht="24" spans="1:9">
      <c r="A53" s="49"/>
      <c r="B53" s="23">
        <v>7</v>
      </c>
      <c r="C53" s="24" t="s">
        <v>391</v>
      </c>
      <c r="D53" s="25" t="s">
        <v>346</v>
      </c>
      <c r="E53" s="25" t="s">
        <v>347</v>
      </c>
      <c r="F53" s="26"/>
      <c r="G53" s="26"/>
      <c r="H53" s="26"/>
      <c r="I53" s="56"/>
    </row>
    <row r="54" spans="1:9">
      <c r="A54" s="49"/>
      <c r="B54" s="23">
        <v>8</v>
      </c>
      <c r="C54" s="24" t="s">
        <v>392</v>
      </c>
      <c r="D54" s="25" t="s">
        <v>346</v>
      </c>
      <c r="E54" s="25" t="s">
        <v>347</v>
      </c>
      <c r="F54" s="26"/>
      <c r="G54" s="26"/>
      <c r="H54" s="26"/>
      <c r="I54" s="56"/>
    </row>
    <row r="55" ht="24" spans="1:9">
      <c r="A55" s="49"/>
      <c r="B55" s="27">
        <v>9</v>
      </c>
      <c r="C55" s="28" t="s">
        <v>393</v>
      </c>
      <c r="D55" s="29" t="s">
        <v>346</v>
      </c>
      <c r="E55" s="29" t="s">
        <v>347</v>
      </c>
      <c r="F55" s="30"/>
      <c r="G55" s="30"/>
      <c r="H55" s="30"/>
      <c r="I55" s="57"/>
    </row>
    <row r="56" ht="36" spans="1:9">
      <c r="A56" s="49"/>
      <c r="B56" s="23">
        <v>10</v>
      </c>
      <c r="C56" s="24" t="s">
        <v>394</v>
      </c>
      <c r="D56" s="25" t="s">
        <v>346</v>
      </c>
      <c r="E56" s="25" t="s">
        <v>347</v>
      </c>
      <c r="F56" s="26"/>
      <c r="G56" s="26"/>
      <c r="H56" s="26"/>
      <c r="I56" s="56"/>
    </row>
    <row r="57" ht="24" spans="1:9">
      <c r="A57" s="49"/>
      <c r="B57" s="46"/>
      <c r="C57" s="24" t="s">
        <v>395</v>
      </c>
      <c r="D57" s="50"/>
      <c r="E57" s="50"/>
      <c r="F57" s="51"/>
      <c r="G57" s="51"/>
      <c r="H57" s="51"/>
      <c r="I57" s="62"/>
    </row>
    <row r="58" spans="1:9">
      <c r="A58" s="49"/>
      <c r="B58" s="23">
        <v>11</v>
      </c>
      <c r="C58" s="52" t="s">
        <v>396</v>
      </c>
      <c r="D58" s="25" t="s">
        <v>346</v>
      </c>
      <c r="E58" s="25" t="s">
        <v>347</v>
      </c>
      <c r="F58" s="26"/>
      <c r="G58" s="26"/>
      <c r="H58" s="26"/>
      <c r="I58" s="56"/>
    </row>
    <row r="59" spans="1:9">
      <c r="A59" s="49"/>
      <c r="B59" s="23">
        <v>12</v>
      </c>
      <c r="C59" s="52" t="s">
        <v>397</v>
      </c>
      <c r="D59" s="25" t="s">
        <v>346</v>
      </c>
      <c r="E59" s="25" t="s">
        <v>347</v>
      </c>
      <c r="F59" s="26"/>
      <c r="G59" s="26"/>
      <c r="H59" s="26"/>
      <c r="I59" s="56"/>
    </row>
    <row r="60" ht="24" spans="1:9">
      <c r="A60" s="49"/>
      <c r="B60" s="23">
        <v>13</v>
      </c>
      <c r="C60" s="24" t="s">
        <v>398</v>
      </c>
      <c r="D60" s="25" t="s">
        <v>346</v>
      </c>
      <c r="E60" s="25" t="s">
        <v>347</v>
      </c>
      <c r="F60" s="26"/>
      <c r="G60" s="26"/>
      <c r="H60" s="26"/>
      <c r="I60" s="56"/>
    </row>
    <row r="61" ht="36" spans="1:9">
      <c r="A61" s="49"/>
      <c r="B61" s="46"/>
      <c r="C61" s="24" t="s">
        <v>399</v>
      </c>
      <c r="D61" s="50"/>
      <c r="E61" s="50"/>
      <c r="F61" s="51"/>
      <c r="G61" s="51"/>
      <c r="H61" s="51"/>
      <c r="I61" s="62"/>
    </row>
    <row r="62" spans="1:9">
      <c r="A62" s="49"/>
      <c r="B62" s="23">
        <v>14</v>
      </c>
      <c r="C62" s="24" t="s">
        <v>400</v>
      </c>
      <c r="D62" s="25" t="s">
        <v>346</v>
      </c>
      <c r="E62" s="25" t="s">
        <v>347</v>
      </c>
      <c r="F62" s="26"/>
      <c r="G62" s="26"/>
      <c r="H62" s="26"/>
      <c r="I62" s="56"/>
    </row>
    <row r="63" spans="1:9">
      <c r="A63" s="49"/>
      <c r="B63" s="23">
        <v>15</v>
      </c>
      <c r="C63" s="24" t="s">
        <v>401</v>
      </c>
      <c r="D63" s="25" t="s">
        <v>346</v>
      </c>
      <c r="E63" s="25" t="s">
        <v>347</v>
      </c>
      <c r="F63" s="26"/>
      <c r="G63" s="26"/>
      <c r="H63" s="26"/>
      <c r="I63" s="56"/>
    </row>
    <row r="64" spans="1:9">
      <c r="A64" s="49"/>
      <c r="B64" s="23">
        <v>16</v>
      </c>
      <c r="C64" s="24" t="s">
        <v>402</v>
      </c>
      <c r="D64" s="25" t="s">
        <v>346</v>
      </c>
      <c r="E64" s="25" t="s">
        <v>347</v>
      </c>
      <c r="F64" s="26"/>
      <c r="G64" s="26"/>
      <c r="H64" s="26"/>
      <c r="I64" s="56"/>
    </row>
    <row r="65" spans="1:9">
      <c r="A65" s="49"/>
      <c r="B65" s="23">
        <v>17</v>
      </c>
      <c r="C65" s="24" t="s">
        <v>403</v>
      </c>
      <c r="D65" s="25" t="s">
        <v>346</v>
      </c>
      <c r="E65" s="25" t="s">
        <v>347</v>
      </c>
      <c r="F65" s="26"/>
      <c r="G65" s="26"/>
      <c r="H65" s="26"/>
      <c r="I65" s="56"/>
    </row>
    <row r="66" ht="24" spans="1:9">
      <c r="A66" s="49"/>
      <c r="B66" s="23">
        <v>18</v>
      </c>
      <c r="C66" s="24" t="s">
        <v>389</v>
      </c>
      <c r="D66" s="25" t="s">
        <v>346</v>
      </c>
      <c r="E66" s="25" t="s">
        <v>347</v>
      </c>
      <c r="F66" s="26"/>
      <c r="G66" s="26"/>
      <c r="H66" s="26"/>
      <c r="I66" s="56"/>
    </row>
    <row r="67" spans="1:9">
      <c r="A67" s="49"/>
      <c r="B67" s="23">
        <v>19</v>
      </c>
      <c r="C67" s="24" t="s">
        <v>390</v>
      </c>
      <c r="D67" s="25" t="s">
        <v>346</v>
      </c>
      <c r="E67" s="25" t="s">
        <v>347</v>
      </c>
      <c r="F67" s="26"/>
      <c r="G67" s="26"/>
      <c r="H67" s="26"/>
      <c r="I67" s="56"/>
    </row>
    <row r="68" spans="1:9">
      <c r="A68" s="49"/>
      <c r="B68" s="23">
        <v>20</v>
      </c>
      <c r="C68" s="24" t="s">
        <v>404</v>
      </c>
      <c r="D68" s="25" t="s">
        <v>346</v>
      </c>
      <c r="E68" s="25" t="s">
        <v>347</v>
      </c>
      <c r="F68" s="26"/>
      <c r="G68" s="26"/>
      <c r="H68" s="26"/>
      <c r="I68" s="56"/>
    </row>
    <row r="69" spans="1:9">
      <c r="A69" s="49"/>
      <c r="B69" s="23">
        <v>21</v>
      </c>
      <c r="C69" s="24" t="s">
        <v>405</v>
      </c>
      <c r="D69" s="25" t="s">
        <v>346</v>
      </c>
      <c r="E69" s="25" t="s">
        <v>347</v>
      </c>
      <c r="F69" s="26"/>
      <c r="G69" s="26"/>
      <c r="H69" s="26"/>
      <c r="I69" s="56"/>
    </row>
    <row r="70" spans="1:9">
      <c r="A70" s="49"/>
      <c r="B70" s="23">
        <v>22</v>
      </c>
      <c r="C70" s="24" t="s">
        <v>406</v>
      </c>
      <c r="D70" s="25" t="s">
        <v>346</v>
      </c>
      <c r="E70" s="25" t="s">
        <v>347</v>
      </c>
      <c r="F70" s="26"/>
      <c r="G70" s="26"/>
      <c r="H70" s="26"/>
      <c r="I70" s="56"/>
    </row>
    <row r="71" ht="36" spans="1:9">
      <c r="A71" s="49"/>
      <c r="B71" s="46"/>
      <c r="C71" s="24" t="s">
        <v>407</v>
      </c>
      <c r="D71" s="50"/>
      <c r="E71" s="50"/>
      <c r="F71" s="51"/>
      <c r="G71" s="51"/>
      <c r="H71" s="51"/>
      <c r="I71" s="62"/>
    </row>
    <row r="72" spans="1:9">
      <c r="A72" s="49"/>
      <c r="B72" s="23">
        <v>18</v>
      </c>
      <c r="C72" s="24" t="s">
        <v>400</v>
      </c>
      <c r="D72" s="25" t="s">
        <v>346</v>
      </c>
      <c r="E72" s="25" t="s">
        <v>347</v>
      </c>
      <c r="F72" s="26"/>
      <c r="G72" s="26"/>
      <c r="H72" s="26"/>
      <c r="I72" s="56"/>
    </row>
    <row r="73" spans="1:9">
      <c r="A73" s="49"/>
      <c r="B73" s="23">
        <v>19</v>
      </c>
      <c r="C73" s="24" t="s">
        <v>408</v>
      </c>
      <c r="D73" s="25" t="s">
        <v>346</v>
      </c>
      <c r="E73" s="25" t="s">
        <v>347</v>
      </c>
      <c r="F73" s="26"/>
      <c r="G73" s="26"/>
      <c r="H73" s="26"/>
      <c r="I73" s="56"/>
    </row>
    <row r="74" spans="1:9">
      <c r="A74" s="49"/>
      <c r="B74" s="23">
        <v>20</v>
      </c>
      <c r="C74" s="24" t="s">
        <v>409</v>
      </c>
      <c r="D74" s="25" t="s">
        <v>346</v>
      </c>
      <c r="E74" s="25" t="s">
        <v>347</v>
      </c>
      <c r="F74" s="26"/>
      <c r="G74" s="26"/>
      <c r="H74" s="26"/>
      <c r="I74" s="56"/>
    </row>
    <row r="75" spans="1:9">
      <c r="A75" s="49"/>
      <c r="B75" s="23">
        <v>21</v>
      </c>
      <c r="C75" s="24" t="s">
        <v>410</v>
      </c>
      <c r="D75" s="25" t="s">
        <v>346</v>
      </c>
      <c r="E75" s="25" t="s">
        <v>347</v>
      </c>
      <c r="F75" s="26"/>
      <c r="G75" s="26"/>
      <c r="H75" s="26"/>
      <c r="I75" s="56"/>
    </row>
    <row r="76" ht="36" spans="1:9">
      <c r="A76" s="49"/>
      <c r="B76" s="23">
        <v>22</v>
      </c>
      <c r="C76" s="24" t="s">
        <v>411</v>
      </c>
      <c r="D76" s="25" t="s">
        <v>346</v>
      </c>
      <c r="E76" s="25" t="s">
        <v>347</v>
      </c>
      <c r="F76" s="26"/>
      <c r="G76" s="26"/>
      <c r="H76" s="26"/>
      <c r="I76" s="56"/>
    </row>
    <row r="77" ht="24" spans="1:9">
      <c r="A77" s="22"/>
      <c r="B77" s="46"/>
      <c r="C77" s="28" t="s">
        <v>412</v>
      </c>
      <c r="D77" s="50"/>
      <c r="E77" s="50"/>
      <c r="F77" s="51"/>
      <c r="G77" s="51"/>
      <c r="H77" s="51"/>
      <c r="I77" s="62"/>
    </row>
    <row r="78" spans="1:9">
      <c r="A78" s="22"/>
      <c r="B78" s="27">
        <v>23</v>
      </c>
      <c r="C78" s="28" t="s">
        <v>413</v>
      </c>
      <c r="D78" s="29" t="s">
        <v>346</v>
      </c>
      <c r="E78" s="29" t="s">
        <v>347</v>
      </c>
      <c r="F78" s="30"/>
      <c r="G78" s="30"/>
      <c r="H78" s="30"/>
      <c r="I78" s="57"/>
    </row>
    <row r="79" spans="1:9">
      <c r="A79" s="22"/>
      <c r="B79" s="27">
        <v>24</v>
      </c>
      <c r="C79" s="28" t="s">
        <v>414</v>
      </c>
      <c r="D79" s="29" t="s">
        <v>346</v>
      </c>
      <c r="E79" s="29" t="s">
        <v>347</v>
      </c>
      <c r="F79" s="30"/>
      <c r="G79" s="30"/>
      <c r="H79" s="30"/>
      <c r="I79" s="57"/>
    </row>
    <row r="80" ht="24" spans="1:9">
      <c r="A80" s="22"/>
      <c r="B80" s="27">
        <v>25</v>
      </c>
      <c r="C80" s="28" t="s">
        <v>415</v>
      </c>
      <c r="D80" s="29" t="s">
        <v>346</v>
      </c>
      <c r="E80" s="29" t="s">
        <v>347</v>
      </c>
      <c r="F80" s="30"/>
      <c r="G80" s="30"/>
      <c r="H80" s="30"/>
      <c r="I80" s="57"/>
    </row>
    <row r="81" spans="1:9">
      <c r="A81" s="35"/>
      <c r="B81" s="41"/>
      <c r="C81" s="42"/>
      <c r="D81" s="43"/>
      <c r="E81" s="43"/>
      <c r="F81" s="44"/>
      <c r="G81" s="44"/>
      <c r="H81" s="44"/>
      <c r="I81" s="60"/>
    </row>
    <row r="82" ht="36" spans="1:9">
      <c r="A82" s="45" t="s">
        <v>416</v>
      </c>
      <c r="B82" s="18">
        <v>1</v>
      </c>
      <c r="C82" s="19" t="s">
        <v>417</v>
      </c>
      <c r="D82" s="20"/>
      <c r="E82" s="20"/>
      <c r="F82" s="63" t="s">
        <v>347</v>
      </c>
      <c r="G82" s="63" t="s">
        <v>347</v>
      </c>
      <c r="H82" s="21" t="s">
        <v>347</v>
      </c>
      <c r="I82" s="55" t="s">
        <v>347</v>
      </c>
    </row>
    <row r="83" ht="48" spans="1:9">
      <c r="A83" s="22"/>
      <c r="B83" s="23">
        <v>2</v>
      </c>
      <c r="C83" s="24" t="s">
        <v>418</v>
      </c>
      <c r="D83" s="25"/>
      <c r="E83" s="25"/>
      <c r="F83" s="26" t="s">
        <v>347</v>
      </c>
      <c r="G83" s="26" t="s">
        <v>347</v>
      </c>
      <c r="H83" s="26" t="s">
        <v>347</v>
      </c>
      <c r="I83" s="56" t="s">
        <v>347</v>
      </c>
    </row>
    <row r="84" ht="24" spans="1:9">
      <c r="A84" s="22"/>
      <c r="B84" s="23">
        <v>3</v>
      </c>
      <c r="C84" s="24" t="s">
        <v>419</v>
      </c>
      <c r="D84" s="25"/>
      <c r="E84" s="25"/>
      <c r="F84" s="26" t="s">
        <v>347</v>
      </c>
      <c r="G84" s="26" t="s">
        <v>347</v>
      </c>
      <c r="H84" s="26" t="s">
        <v>347</v>
      </c>
      <c r="I84" s="56" t="s">
        <v>347</v>
      </c>
    </row>
    <row r="85" ht="24" spans="1:9">
      <c r="A85" s="22"/>
      <c r="B85" s="27">
        <v>4</v>
      </c>
      <c r="C85" s="28" t="s">
        <v>420</v>
      </c>
      <c r="D85" s="29"/>
      <c r="E85" s="29"/>
      <c r="F85" s="30" t="s">
        <v>347</v>
      </c>
      <c r="G85" s="30" t="s">
        <v>347</v>
      </c>
      <c r="H85" s="30" t="s">
        <v>347</v>
      </c>
      <c r="I85" s="57" t="s">
        <v>347</v>
      </c>
    </row>
    <row r="86" spans="1:9">
      <c r="A86" s="35"/>
      <c r="B86" s="41"/>
      <c r="C86" s="42"/>
      <c r="D86" s="43"/>
      <c r="E86" s="43"/>
      <c r="F86" s="44"/>
      <c r="G86" s="44"/>
      <c r="H86" s="44"/>
      <c r="I86" s="60"/>
    </row>
    <row r="87" ht="36" spans="1:9">
      <c r="A87" s="49" t="s">
        <v>421</v>
      </c>
      <c r="B87" s="64">
        <v>1</v>
      </c>
      <c r="C87" s="65" t="s">
        <v>422</v>
      </c>
      <c r="D87" s="66"/>
      <c r="E87" s="66"/>
      <c r="F87" s="21" t="s">
        <v>347</v>
      </c>
      <c r="G87" s="21" t="s">
        <v>347</v>
      </c>
      <c r="H87" s="67" t="s">
        <v>347</v>
      </c>
      <c r="I87" s="78" t="s">
        <v>347</v>
      </c>
    </row>
    <row r="88" ht="48" spans="1:9">
      <c r="A88" s="22"/>
      <c r="B88" s="23">
        <v>2</v>
      </c>
      <c r="C88" s="24" t="s">
        <v>423</v>
      </c>
      <c r="D88" s="25"/>
      <c r="E88" s="25"/>
      <c r="F88" s="26" t="s">
        <v>347</v>
      </c>
      <c r="G88" s="26" t="s">
        <v>347</v>
      </c>
      <c r="H88" s="26" t="s">
        <v>347</v>
      </c>
      <c r="I88" s="56" t="s">
        <v>347</v>
      </c>
    </row>
    <row r="89" ht="24" spans="1:9">
      <c r="A89" s="22"/>
      <c r="B89" s="23">
        <v>3</v>
      </c>
      <c r="C89" s="24" t="s">
        <v>424</v>
      </c>
      <c r="D89" s="25"/>
      <c r="E89" s="25"/>
      <c r="F89" s="26" t="s">
        <v>347</v>
      </c>
      <c r="G89" s="26" t="s">
        <v>347</v>
      </c>
      <c r="H89" s="26" t="s">
        <v>347</v>
      </c>
      <c r="I89" s="56" t="s">
        <v>347</v>
      </c>
    </row>
    <row r="90" ht="24" spans="1:9">
      <c r="A90" s="22"/>
      <c r="B90" s="23">
        <v>4</v>
      </c>
      <c r="C90" s="24" t="s">
        <v>425</v>
      </c>
      <c r="D90" s="25"/>
      <c r="E90" s="25"/>
      <c r="F90" s="26" t="s">
        <v>347</v>
      </c>
      <c r="G90" s="26" t="s">
        <v>347</v>
      </c>
      <c r="H90" s="26" t="s">
        <v>347</v>
      </c>
      <c r="I90" s="56" t="s">
        <v>347</v>
      </c>
    </row>
    <row r="91" ht="24" spans="1:9">
      <c r="A91" s="22"/>
      <c r="B91" s="23">
        <v>5</v>
      </c>
      <c r="C91" s="24" t="s">
        <v>426</v>
      </c>
      <c r="D91" s="25"/>
      <c r="E91" s="25"/>
      <c r="F91" s="26" t="s">
        <v>347</v>
      </c>
      <c r="G91" s="26" t="s">
        <v>347</v>
      </c>
      <c r="H91" s="26" t="s">
        <v>347</v>
      </c>
      <c r="I91" s="56" t="s">
        <v>347</v>
      </c>
    </row>
    <row r="92" ht="24" spans="1:9">
      <c r="A92" s="22"/>
      <c r="B92" s="23">
        <v>6</v>
      </c>
      <c r="C92" s="24" t="s">
        <v>427</v>
      </c>
      <c r="D92" s="25"/>
      <c r="E92" s="25"/>
      <c r="F92" s="26" t="s">
        <v>347</v>
      </c>
      <c r="G92" s="26" t="s">
        <v>347</v>
      </c>
      <c r="H92" s="26" t="s">
        <v>347</v>
      </c>
      <c r="I92" s="56" t="s">
        <v>347</v>
      </c>
    </row>
    <row r="93" ht="24" spans="1:9">
      <c r="A93" s="22"/>
      <c r="B93" s="23">
        <v>7</v>
      </c>
      <c r="C93" s="24" t="s">
        <v>428</v>
      </c>
      <c r="D93" s="25"/>
      <c r="E93" s="25"/>
      <c r="F93" s="26" t="s">
        <v>347</v>
      </c>
      <c r="G93" s="26" t="s">
        <v>347</v>
      </c>
      <c r="H93" s="26" t="s">
        <v>347</v>
      </c>
      <c r="I93" s="56" t="s">
        <v>347</v>
      </c>
    </row>
    <row r="94" ht="24" spans="1:9">
      <c r="A94" s="22"/>
      <c r="B94" s="23">
        <v>8</v>
      </c>
      <c r="C94" s="24" t="s">
        <v>420</v>
      </c>
      <c r="D94" s="25"/>
      <c r="E94" s="25"/>
      <c r="F94" s="26" t="s">
        <v>347</v>
      </c>
      <c r="G94" s="26" t="s">
        <v>347</v>
      </c>
      <c r="H94" s="26" t="s">
        <v>347</v>
      </c>
      <c r="I94" s="56" t="s">
        <v>347</v>
      </c>
    </row>
    <row r="95" spans="1:9">
      <c r="A95" s="35"/>
      <c r="B95" s="41"/>
      <c r="C95" s="42"/>
      <c r="D95" s="43"/>
      <c r="E95" s="43"/>
      <c r="F95" s="44"/>
      <c r="G95" s="44"/>
      <c r="H95" s="44"/>
      <c r="I95" s="60"/>
    </row>
    <row r="96" ht="84" spans="1:9">
      <c r="A96" s="45" t="s">
        <v>429</v>
      </c>
      <c r="B96" s="18">
        <v>1</v>
      </c>
      <c r="C96" s="19" t="s">
        <v>430</v>
      </c>
      <c r="D96" s="20"/>
      <c r="E96" s="20"/>
      <c r="F96" s="21" t="s">
        <v>347</v>
      </c>
      <c r="G96" s="21" t="s">
        <v>347</v>
      </c>
      <c r="H96" s="21"/>
      <c r="I96" s="55"/>
    </row>
    <row r="97" ht="36" spans="1:9">
      <c r="A97" s="22"/>
      <c r="B97" s="23">
        <v>2</v>
      </c>
      <c r="C97" s="24" t="s">
        <v>431</v>
      </c>
      <c r="D97" s="25"/>
      <c r="E97" s="25"/>
      <c r="F97" s="26" t="s">
        <v>347</v>
      </c>
      <c r="G97" s="26" t="s">
        <v>347</v>
      </c>
      <c r="H97" s="26"/>
      <c r="I97" s="56"/>
    </row>
    <row r="98" ht="60" spans="1:9">
      <c r="A98" s="22"/>
      <c r="B98" s="23">
        <v>3</v>
      </c>
      <c r="C98" s="24" t="s">
        <v>432</v>
      </c>
      <c r="D98" s="25"/>
      <c r="E98" s="25"/>
      <c r="F98" s="26" t="s">
        <v>347</v>
      </c>
      <c r="G98" s="26" t="s">
        <v>347</v>
      </c>
      <c r="H98" s="26"/>
      <c r="I98" s="56"/>
    </row>
    <row r="99" ht="60" spans="1:9">
      <c r="A99" s="22"/>
      <c r="B99" s="23">
        <v>4</v>
      </c>
      <c r="C99" s="24" t="s">
        <v>433</v>
      </c>
      <c r="D99" s="25"/>
      <c r="E99" s="25"/>
      <c r="F99" s="26" t="s">
        <v>347</v>
      </c>
      <c r="G99" s="26" t="s">
        <v>347</v>
      </c>
      <c r="H99" s="26"/>
      <c r="I99" s="56"/>
    </row>
    <row r="100" ht="24" spans="1:9">
      <c r="A100" s="22"/>
      <c r="B100" s="27">
        <v>5</v>
      </c>
      <c r="C100" s="28" t="s">
        <v>434</v>
      </c>
      <c r="D100" s="29"/>
      <c r="E100" s="29"/>
      <c r="F100" s="30" t="s">
        <v>347</v>
      </c>
      <c r="G100" s="30" t="s">
        <v>347</v>
      </c>
      <c r="H100" s="30"/>
      <c r="I100" s="57"/>
    </row>
    <row r="101" spans="1:9">
      <c r="A101" s="35"/>
      <c r="B101" s="41"/>
      <c r="C101" s="42"/>
      <c r="D101" s="43"/>
      <c r="E101" s="43"/>
      <c r="F101" s="44"/>
      <c r="G101" s="44"/>
      <c r="H101" s="44"/>
      <c r="I101" s="60"/>
    </row>
    <row r="102" ht="36" spans="1:9">
      <c r="A102" s="17" t="s">
        <v>435</v>
      </c>
      <c r="B102" s="18">
        <v>1</v>
      </c>
      <c r="C102" s="19" t="s">
        <v>436</v>
      </c>
      <c r="D102" s="20" t="s">
        <v>346</v>
      </c>
      <c r="E102" s="20" t="s">
        <v>347</v>
      </c>
      <c r="F102" s="21" t="s">
        <v>347</v>
      </c>
      <c r="G102" s="21" t="s">
        <v>347</v>
      </c>
      <c r="H102" s="21" t="s">
        <v>347</v>
      </c>
      <c r="I102" s="55" t="s">
        <v>347</v>
      </c>
    </row>
    <row r="103" ht="60" spans="1:9">
      <c r="A103" s="22"/>
      <c r="B103" s="23">
        <v>2</v>
      </c>
      <c r="C103" s="24" t="s">
        <v>437</v>
      </c>
      <c r="D103" s="25" t="s">
        <v>346</v>
      </c>
      <c r="E103" s="25" t="s">
        <v>347</v>
      </c>
      <c r="F103" s="26" t="s">
        <v>347</v>
      </c>
      <c r="G103" s="26" t="s">
        <v>347</v>
      </c>
      <c r="H103" s="26" t="s">
        <v>347</v>
      </c>
      <c r="I103" s="56" t="s">
        <v>347</v>
      </c>
    </row>
    <row r="104" ht="36" spans="1:9">
      <c r="A104" s="22"/>
      <c r="B104" s="27">
        <v>3</v>
      </c>
      <c r="C104" s="28" t="s">
        <v>438</v>
      </c>
      <c r="D104" s="29" t="s">
        <v>346</v>
      </c>
      <c r="E104" s="29" t="s">
        <v>347</v>
      </c>
      <c r="F104" s="30" t="s">
        <v>347</v>
      </c>
      <c r="G104" s="30" t="s">
        <v>347</v>
      </c>
      <c r="H104" s="30" t="s">
        <v>347</v>
      </c>
      <c r="I104" s="57" t="s">
        <v>347</v>
      </c>
    </row>
    <row r="105" ht="36" spans="1:9">
      <c r="A105" s="22"/>
      <c r="B105" s="27">
        <v>4</v>
      </c>
      <c r="C105" s="28" t="s">
        <v>439</v>
      </c>
      <c r="D105" s="29" t="s">
        <v>346</v>
      </c>
      <c r="E105" s="29" t="s">
        <v>347</v>
      </c>
      <c r="F105" s="30" t="s">
        <v>347</v>
      </c>
      <c r="G105" s="30" t="s">
        <v>347</v>
      </c>
      <c r="H105" s="30" t="s">
        <v>347</v>
      </c>
      <c r="I105" s="57" t="s">
        <v>347</v>
      </c>
    </row>
    <row r="106" spans="1:9">
      <c r="A106" s="35"/>
      <c r="B106" s="41"/>
      <c r="C106" s="42"/>
      <c r="D106" s="43"/>
      <c r="E106" s="43"/>
      <c r="F106" s="44"/>
      <c r="G106" s="44"/>
      <c r="H106" s="44"/>
      <c r="I106" s="60"/>
    </row>
    <row r="107" ht="48" spans="1:9">
      <c r="A107" s="22" t="s">
        <v>440</v>
      </c>
      <c r="B107" s="39">
        <v>1</v>
      </c>
      <c r="C107" s="68" t="s">
        <v>441</v>
      </c>
      <c r="D107" s="69" t="s">
        <v>346</v>
      </c>
      <c r="E107" s="69" t="s">
        <v>347</v>
      </c>
      <c r="F107" s="40" t="s">
        <v>347</v>
      </c>
      <c r="G107" s="40" t="s">
        <v>347</v>
      </c>
      <c r="H107" s="40" t="s">
        <v>347</v>
      </c>
      <c r="I107" s="59" t="s">
        <v>347</v>
      </c>
    </row>
    <row r="108" spans="1:9">
      <c r="A108" s="35"/>
      <c r="B108" s="41"/>
      <c r="C108" s="42"/>
      <c r="D108" s="43"/>
      <c r="E108" s="43"/>
      <c r="F108" s="44"/>
      <c r="G108" s="44"/>
      <c r="H108" s="44"/>
      <c r="I108" s="60"/>
    </row>
    <row r="109" ht="24" spans="1:9">
      <c r="A109" s="17" t="s">
        <v>442</v>
      </c>
      <c r="B109" s="70">
        <v>1</v>
      </c>
      <c r="C109" s="71" t="s">
        <v>443</v>
      </c>
      <c r="D109" s="72" t="s">
        <v>346</v>
      </c>
      <c r="E109" s="72" t="s">
        <v>347</v>
      </c>
      <c r="F109" s="63" t="s">
        <v>347</v>
      </c>
      <c r="G109" s="63" t="s">
        <v>347</v>
      </c>
      <c r="H109" s="63" t="s">
        <v>347</v>
      </c>
      <c r="I109" s="79" t="s">
        <v>347</v>
      </c>
    </row>
    <row r="110" spans="1:9">
      <c r="A110" s="35"/>
      <c r="B110" s="41"/>
      <c r="C110" s="42"/>
      <c r="D110" s="43"/>
      <c r="E110" s="43"/>
      <c r="F110" s="44"/>
      <c r="G110" s="44"/>
      <c r="H110" s="44"/>
      <c r="I110" s="60"/>
    </row>
    <row r="111" ht="24" spans="1:9">
      <c r="A111" s="17" t="s">
        <v>444</v>
      </c>
      <c r="B111" s="70">
        <v>1</v>
      </c>
      <c r="C111" s="71" t="s">
        <v>445</v>
      </c>
      <c r="D111" s="72" t="s">
        <v>346</v>
      </c>
      <c r="E111" s="72" t="s">
        <v>347</v>
      </c>
      <c r="F111" s="63" t="s">
        <v>347</v>
      </c>
      <c r="G111" s="63" t="s">
        <v>347</v>
      </c>
      <c r="H111" s="63" t="s">
        <v>347</v>
      </c>
      <c r="I111" s="79" t="s">
        <v>347</v>
      </c>
    </row>
    <row r="112" spans="1:9">
      <c r="A112" s="35"/>
      <c r="B112" s="41"/>
      <c r="C112" s="42"/>
      <c r="D112" s="43"/>
      <c r="E112" s="43"/>
      <c r="F112" s="44"/>
      <c r="G112" s="44"/>
      <c r="H112" s="44"/>
      <c r="I112" s="60"/>
    </row>
    <row r="113" ht="24" spans="1:9">
      <c r="A113" s="17" t="s">
        <v>446</v>
      </c>
      <c r="B113" s="70">
        <v>1</v>
      </c>
      <c r="C113" s="71" t="s">
        <v>447</v>
      </c>
      <c r="D113" s="72" t="s">
        <v>346</v>
      </c>
      <c r="E113" s="72" t="s">
        <v>347</v>
      </c>
      <c r="F113" s="63" t="s">
        <v>347</v>
      </c>
      <c r="G113" s="63" t="s">
        <v>347</v>
      </c>
      <c r="H113" s="63" t="s">
        <v>347</v>
      </c>
      <c r="I113" s="79" t="s">
        <v>347</v>
      </c>
    </row>
    <row r="114" ht="12.75" spans="1:9">
      <c r="A114" s="73"/>
      <c r="B114" s="74"/>
      <c r="C114" s="75"/>
      <c r="D114" s="76"/>
      <c r="E114" s="76"/>
      <c r="F114" s="77"/>
      <c r="G114" s="77"/>
      <c r="H114" s="77"/>
      <c r="I114" s="80"/>
    </row>
  </sheetData>
  <mergeCells count="5">
    <mergeCell ref="E1:I1"/>
    <mergeCell ref="E2:I2"/>
    <mergeCell ref="A3:E3"/>
    <mergeCell ref="A5:B5"/>
    <mergeCell ref="E5:I5"/>
  </mergeCells>
  <dataValidations count="1">
    <dataValidation type="list" allowBlank="1" showInputMessage="1" showErrorMessage="1" sqref="E5:I5">
      <formula1>"画面,帳票(紙),帳票(Ex),バッチ,ＩＦ"</formula1>
    </dataValidation>
  </dataValidations>
  <pageMargins left="0.393700787401575" right="0.393700787401575" top="0.590551181102362" bottom="0.354330708661417" header="0.433070866141732" footer="0.196850393700787"/>
  <pageSetup paperSize="9" scale="75" fitToHeight="0" orientation="portrait" verticalDpi="300"/>
  <headerFooter alignWithMargins="0">
    <oddFooter>&amp;L&amp;A&amp;C&amp;P / &amp;N&amp;R(C) 2012 Mitsubishi Electric Information Systems Corp.</oddFooter>
  </headerFooter>
  <rowBreaks count="1" manualBreakCount="1">
    <brk id="8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0�0�0�0�0�0�eW0D0�0�0�0�0�0�0�0\ObW0~0Y00�0�0�0�0�0�0$PS0n0�0�0�0�0k0rR�0S_f0�0�0f0D0�0�0�0�0�0�0�0n0$Pg0Y00�0�0�0�0�0�0S0n0�0�0�0�0�0�0x0n08^Bf�c�}�0�0�0g0Y00�0�Oc���RBfk0�0�OcW0~0Y00qQ	g�vKbqQ	g�vKbn0s�0}�`1X;u�P�0�0�0�0�0�0�0 �0�0�0�0�0�0�0
</file>

<file path=customXml/itemProps1.xml><?xml version="1.0" encoding="utf-8"?>
<ds:datastoreItem xmlns:ds="http://schemas.openxmlformats.org/officeDocument/2006/customXml" ds:itemID="{51F0EE61-B195-4CB1-87A3-4E5E2F9B4720}">
  <ds:schemaRefs/>
</ds:datastoreItem>
</file>

<file path=customXml/itemProps2.xml><?xml version="1.0" encoding="utf-8"?>
<ds:datastoreItem xmlns:ds="http://schemas.openxmlformats.org/officeDocument/2006/customXml" ds:itemID="{FA3665D7-A8D5-475E-997B-92106B9D6514}">
  <ds:schemaRefs/>
</ds:datastoreItem>
</file>

<file path=customXml/itemProps3.xml><?xml version="1.0" encoding="utf-8"?>
<ds:datastoreItem xmlns:ds="http://schemas.openxmlformats.org/officeDocument/2006/customXml" ds:itemID="{A07D3A11-2CC9-48E9-921F-721AF3C039BB}">
  <ds:schemaRefs/>
</ds:datastoreItem>
</file>

<file path=customXml/itemProps4.xml><?xml version="1.0" encoding="utf-8"?>
<ds:datastoreItem xmlns:ds="http://schemas.openxmlformats.org/officeDocument/2006/customXml" ds:itemID="{BCA95426-DE18-408B-96F5-5BB3D29AFEEB}">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4</vt:i4>
      </vt:variant>
    </vt:vector>
  </HeadingPairs>
  <TitlesOfParts>
    <vt:vector size="4" baseType="lpstr">
      <vt:lpstr>ﾚﾋﾞｭｰ評価ｼｰﾄ</vt:lpstr>
      <vt:lpstr>査読ｼｰﾄ記入要領</vt:lpstr>
      <vt:lpstr>査読ｼｰﾄ</vt:lpstr>
      <vt:lpstr>単体テスト要領書レビューチェックリスト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2002-04-16T00:52:00Z</dcterms:created>
  <dcterms:modified xsi:type="dcterms:W3CDTF">2023-02-17T06:09:42Z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0x010100A9DDBD72CCDCB042BDF63871C064BF58</vt:lpwstr>
  </property>
  <property fmtid="{D5CDD505-2E9C-101B-9397-08002B2CF9AE}" pid="4" name="_dlc_DocIdItemGuid">
    <vt:lpwstr>64359f78-9bdd-4ab0-af8f-088aa3a09544</vt:lpwstr>
  </property>
  <property fmtid="{D5CDD505-2E9C-101B-9397-08002B2CF9AE}" pid="5" name="MediaServiceImageTags">
    <vt:lpwstr/>
  </property>
  <property fmtid="{D5CDD505-2E9C-101B-9397-08002B2CF9AE}" pid="6" name="KSOProductBuildVer">
    <vt:lpwstr>2052-11.1.0.12980</vt:lpwstr>
  </property>
  <property fmtid="{D5CDD505-2E9C-101B-9397-08002B2CF9AE}" pid="7" name="ICV">
    <vt:lpwstr>2511EB7D79784F49AC20032541628211</vt:lpwstr>
  </property>
</Properties>
</file>