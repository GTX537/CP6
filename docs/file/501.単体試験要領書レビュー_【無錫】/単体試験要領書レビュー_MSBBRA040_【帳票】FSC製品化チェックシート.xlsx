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6BAD6B16-8988-4BC4-A747-08036C3F27C2}" xr6:coauthVersionLast="47" xr6:coauthVersionMax="47" xr10:uidLastSave="{00000000-0000-0000-0000-000000000000}"/>
  <bookViews>
    <workbookView xWindow="2610" yWindow="465"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<sst xmlns="http://schemas.openxmlformats.org/spreadsheetml/2006/main" count="1447" uniqueCount="461">
  <si>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</si>
  <si>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</si>
  <si>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</si>
  <si>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</si>
  <si>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</si>
  <si>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</si>
  <si>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</si>
  <si>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</si>
  <si>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</si>
  <si>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</si>
  <si>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</si>
  <si>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</si>
  <si>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</si>
  <si>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</si>
  <si>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</si>
  <si>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</si>
  <si>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</si>
  <si>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</si>
  <si>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</si>
  <si>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</si>
  <si>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</si>
  <si>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</si>
  <si>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</si>
  <si>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</si>
  <si>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</si>
  <si>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</si>
  <si>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</si>
  <si>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</si>
  <si>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</si>
  <si>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</si>
  <si>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</si>
  <si>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</si>
  <si>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</si>
  <si>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</si>
  <si>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</si>
  <si>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</si>
  <si>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</si>
  <si>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</si>
  <si>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</si>
  <si>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</si>
  <si>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</si>
  <si>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</si>
  <si>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</si>
  <si>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</si>
  <si>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</si>
  <si>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</si>
  <si>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</si>
  <si>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</si>
  <si>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</si>
  <si>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</si>
  <si>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</si>
  <si>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</si>
  <si>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</si>
  <si>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</si>
  <si>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</si>
  <si>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</si>
  <si>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</si>
  <si>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</si>
  <si>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</si>
  <si>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</si>
  <si>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</si>
  <si>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</si>
  <si>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</si>
  <si>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</si>
  <si>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</si>
  <si>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</si>
  <si>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</si>
  <si>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</si>
  <si>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</si>
  <si>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</si>
  <si>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</si>
  <si>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</si>
  <si>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</si>
  <si>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</si>
  <si>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</si>
  <si>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</si>
  <si>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</si>
  <si>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</si>
  <si>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</si>
  <si>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</si>
  <si>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</si>
  <si>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</si>
  <si>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</si>
  <si>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</si>
  <si>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</si>
  <si>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</si>
  <si>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</si>
  <si>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</si>
  <si>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</si>
  <si>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</si>
  <si>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</si>
  <si>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</si>
  <si>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</si>
  <si>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</si>
  <si>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</si>
  <si>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</si>
  <si>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</si>
  <si>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</si>
  <si>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</si>
  <si>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</si>
  <si>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</si>
  <si>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</si>
  <si>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</si>
  <si>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</si>
  <si>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</si>
  <si>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</si>
  <si>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</si>
  <si>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</si>
  <si>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</si>
  <si>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</si>
  <si>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</si>
  <si>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</si>
  <si>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</si>
  <si>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</si>
  <si>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</si>
  <si>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</si>
  <si>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</si>
  <si>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</si>
  <si>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</si>
  <si>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</si>
  <si>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</si>
  <si>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</si>
  <si>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</si>
  <si>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</si>
  <si>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</si>
  <si>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</si>
  <si>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</si>
  <si>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</si>
  <si>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</si>
  <si>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</si>
  <si>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</si>
  <si>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</si>
  <si>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</si>
  <si>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</si>
  <si>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</si>
  <si>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</si>
  <si>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</si>
  <si>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</si>
  <si>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</si>
  <si>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</si>
  <si>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</si>
  <si>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</si>
  <si>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</si>
  <si>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</si>
  <si>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</si>
  <si>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</si>
  <si>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</si>
  <si>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</si>
  <si>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</si>
  <si>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</si>
  <si>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</si>
  <si>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</si>
  <si>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</si>
  <si>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</si>
  <si>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</si>
  <si>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</si>
  <si>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</si>
  <si>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</si>
  <si>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</si>
  <si>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</si>
  <si>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</si>
  <si>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</si>
  <si>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</si>
  <si>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</si>
  <si>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</si>
  <si>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</si>
  <si>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</si>
  <si>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</si>
  <si>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</si>
  <si>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</si>
  <si>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</si>
  <si>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</si>
  <si>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</si>
  <si>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</si>
  <si>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</si>
  <si>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</si>
  <si>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</si>
  <si>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</si>
  <si>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</si>
  <si>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</si>
  <si>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</si>
  <si>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</si>
  <si>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</si>
  <si>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</si>
  <si>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</si>
  <si>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</si>
  <si>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</si>
  <si>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</si>
  <si>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</si>
  <si>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</si>
  <si>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</si>
  <si>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</si>
  <si>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</si>
  <si>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</si>
  <si>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</si>
  <si>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</si>
  <si>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</si>
  <si>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</si>
  <si>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</si>
  <si>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</si>
  <si>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</si>
  <si>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</si>
  <si>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</si>
  <si>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</si>
  <si>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</si>
  <si>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</si>
  <si>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</si>
  <si>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</si>
  <si>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</si>
  <si>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</si>
  <si>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</si>
  <si>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</si>
  <si>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</si>
  <si>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</si>
  <si>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</si>
  <si>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</si>
  <si>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</si>
  <si>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</si>
  <si>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</si>
  <si>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</si>
  <si>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</si>
  <si>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</si>
  <si>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</si>
  <si>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</si>
  <si>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</si>
  <si>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</si>
  <si>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</si>
  <si>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</si>
  <si>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</si>
  <si>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</si>
  <si>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</si>
  <si>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</si>
  <si>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</si>
  <si>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</si>
  <si>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</si>
  <si>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</si>
  <si>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</si>
  <si>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</si>
  <si>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</si>
  <si>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</si>
  <si>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</si>
  <si>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</si>
  <si>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</si>
  <si>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</si>
  <si>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</si>
  <si>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</si>
  <si>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</si>
  <si>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</si>
  <si>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</si>
  <si>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</si>
  <si>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</si>
  <si>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</si>
  <si>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</si>
  <si>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</si>
  <si>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</si>
  <si>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</si>
  <si>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</si>
  <si>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</si>
  <si>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</si>
  <si>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</si>
  <si>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</si>
  <si>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</si>
  <si>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</si>
  <si>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</si>
  <si>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</si>
  <si>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</si>
  <si>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</si>
  <si>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</si>
  <si>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</si>
  <si>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</si>
  <si>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</si>
  <si>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</si>
  <si>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</si>
  <si>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</si>
  <si>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</si>
  <si>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</si>
  <si>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</si>
  <si>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</si>
  <si>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</si>
  <si>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</si>
  <si>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</si>
  <si>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</si>
  <si>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</si>
  <si>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</si>
  <si>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</si>
  <si>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</si>
  <si>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</si>
  <si>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</si>
  <si>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</si>
  <si>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</si>
  <si>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</si>
  <si>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</si>
  <si>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</si>
  <si>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</si>
  <si>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</si>
  <si>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</si>
  <si>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</si>
  <si>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</si>
  <si>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</si>
  <si>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</si>
  <si>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</si>
  <si>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</si>
  <si>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</si>
  <si>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</si>
  <si>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</si>
  <si>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</si>
  <si>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</si>
  <si>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</si>
  <si>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</si>
  <si>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</si>
  <si>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</si>
  <si>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</si>
  <si>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</si>
  <si>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</si>
  <si>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</si>
  <si>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</si>
  <si>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</si>
  <si>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</si>
  <si>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</si>
  <si>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</si>
  <si>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</si>
  <si>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</si>
  <si>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</si>
  <si>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単体試験要領書_MSBBRA040_【帳票】アドオン(FSC製品化チェックシート).xlsx</t>
    <phoneticPr fontId="2"/>
  </si>
  <si>
    <t>帳票名確認してください。</t>
    <rPh sb="2" eb="3">
      <t>メイ</t>
    </rPh>
    <rPh sb="3" eb="5">
      <t>カクニン</t>
    </rPh>
    <phoneticPr fontId="2"/>
  </si>
  <si>
    <t>TBK徐</t>
    <rPh sb="3" eb="4">
      <t>ジョ</t>
    </rPh>
    <phoneticPr fontId="2"/>
  </si>
  <si>
    <t>追加しました。</t>
    <rPh sb="0" eb="2">
      <t>ツイカ</t>
    </rPh>
    <phoneticPr fontId="2"/>
  </si>
  <si>
    <t>TBK高</t>
    <rPh sb="3" eb="4">
      <t>コウ</t>
    </rPh>
    <phoneticPr fontId="2"/>
  </si>
  <si>
    <t>MDSOL
石田</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</si>
  <si>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</si>
  <si>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</si>
  <si>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</si>
  <si>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</si>
  <si>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</si>
  <si>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</si>
  <si>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帳票(紙)</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</si>
  <si>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</si>
  <si>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</si>
  <si>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</si>
  <si>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</si>
  <si>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</si>
  <si>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</si>
  <si>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</si>
  <si>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</si>
  <si>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</si>
  <si>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</si>
  <si>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</si>
  <si>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</si>
  <si>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</si>
  <si>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</si>
  <si>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</si>
  <si>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</si>
  <si>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</si>
  <si>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</si>
  <si>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</si>
  <si>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</si>
  <si>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</si>
  <si>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</si>
  <si>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</si>
  <si>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</si>
  <si>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</si>
  <si>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</si>
  <si>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</si>
  <si>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</si>
  <si>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</si>
  <si>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</si>
  <si>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</si>
  <si>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</si>
  <si>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</si>
  <si>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</si>
  <si>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</si>
  <si>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</si>
  <si>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</si>
  <si>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</si>
  <si>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</si>
  <si>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</si>
  <si>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</si>
  <si>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</si>
  <si>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</si>
  <si>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</si>
  <si>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</si>
  <si>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</si>
  <si>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</si>
  <si>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</si>
  <si>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</si>
  <si>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</si>
  <si>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</si>
  <si>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</si>
  <si>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</si>
  <si>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</si>
  <si>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</si>
  <si>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</si>
  <si>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</si>
  <si>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</si>
  <si>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</si>
  <si>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</si>
  <si>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</si>
  <si>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</si>
  <si>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</si>
  <si>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</si>
  <si>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</si>
  <si>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</si>
  <si>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</si>
  <si>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</si>
  <si>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</si>
  <si>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</si>
  <si>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</si>
  <si>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</si>
  <si>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</si>
  <si>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</si>
  <si>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</si>
  <si>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</si>
  <si>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</si>
  <si>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</si>
  <si>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</si>
  <si>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</si>
  <si>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</si>
  <si>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</si>
  <si>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</si>
  <si>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</si>
  <si>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</si>
  <si>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</si>
  <si>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</si>
  <si>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</si>
  <si>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</si>
  <si>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</si>
  <si>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</si>
  <si>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</si>
  <si>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</si>
  <si>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</si>
  <si>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</si>
  <si>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</si>
  <si>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</si>
  <si>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</si>
  <si>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</si>
  <si>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</si>
  <si>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</si>
  <si>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</si>
  <si>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</si>
  <si>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</si>
  <si>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</si>
  <si>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</si>
  <si>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</si>
  <si>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</si>
  <si>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</si>
  <si>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</si>
  <si>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</si>
  <si>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</si>
  <si>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</si>
  <si>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</si>
  <si>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</si>
  <si>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</si>
  <si>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MDSOL
野村</t>
    <rPh sb="6" eb="8">
      <t>ノムラ</t>
    </rPh>
    <phoneticPr fontId="2"/>
  </si>
  <si>
    <t>手入力項目の確認は不要です。</t>
    <rPh sb="0" eb="5">
      <t>テニュウリョクコウモク</t>
    </rPh>
    <rPh sb="6" eb="8">
      <t>カクニン</t>
    </rPh>
    <rPh sb="9" eb="11">
      <t>フヨウ</t>
    </rPh>
    <phoneticPr fontId="2"/>
  </si>
  <si>
    <t>EXCEL単票のため、改ページ確認も不要です。</t>
    <rPh sb="5" eb="7">
      <t>タンピョウ</t>
    </rPh>
    <rPh sb="11" eb="12">
      <t>カイ</t>
    </rPh>
    <rPh sb="15" eb="17">
      <t>カクニン</t>
    </rPh>
    <rPh sb="18" eb="20">
      <t>フヨウ</t>
    </rPh>
    <phoneticPr fontId="2"/>
  </si>
  <si>
    <t>発行画面でEXCELテンプレートの選択が可能なため、テンプレートを変更して出力可能なことを確認下さい。</t>
    <rPh sb="0" eb="4">
      <t>ハッコウガメン</t>
    </rPh>
    <rPh sb="17" eb="19">
      <t>センタク</t>
    </rPh>
    <rPh sb="20" eb="22">
      <t>カノウ</t>
    </rPh>
    <rPh sb="33" eb="35">
      <t>ヘンコウ</t>
    </rPh>
    <rPh sb="37" eb="41">
      <t>シュツリョクカノウ</t>
    </rPh>
    <rPh sb="45" eb="47">
      <t>カクニン</t>
    </rPh>
    <rPh sb="47" eb="48">
      <t>クダ</t>
    </rPh>
    <phoneticPr fontId="2"/>
  </si>
  <si>
    <t>PDFではなくEXCEL出力になります。
検証項目を変えて下さい。</t>
    <phoneticPr fontId="2"/>
  </si>
  <si>
    <t>修正しました。</t>
    <rPh sb="0" eb="2">
      <t>シュウセイ</t>
    </rPh>
    <phoneticPr fontId="2"/>
  </si>
  <si>
    <t>CSVではなくデータシートにデータが出力されていることを確認項目としてください。</t>
    <phoneticPr fontId="2"/>
  </si>
  <si>
    <t>対象外にしました。</t>
    <rPh sb="0" eb="3">
      <t>タイショウガイ</t>
    </rPh>
    <phoneticPr fontId="2"/>
  </si>
  <si>
    <t>朱</t>
    <rPh sb="0" eb="1">
      <t>シュ</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</si>
</sst>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853440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10" t="s">
        <v>0</v>
      </c>
      <c r="G2" s="310"/>
      <c r="H2" s="310"/>
      <c r="I2" s="310"/>
      <c r="J2" s="310"/>
      <c r="K2" s="310"/>
      <c r="L2" s="112"/>
      <c r="M2" s="112"/>
      <c r="N2" s="32"/>
      <c r="O2" s="32"/>
      <c r="P2" s="22"/>
      <c r="Q2"/>
      <c r="R2"/>
      <c r="S2" s="64" t="s">
        <v>1</v>
      </c>
      <c r="T2" s="311"/>
      <c r="U2" s="312"/>
      <c r="V2" s="312"/>
      <c r="W2" s="313"/>
    </row>
    <row r="3" spans="2:26" ht="15" customHeight="1">
      <c r="C3" s="102"/>
      <c r="D3" s="102"/>
      <c r="E3" s="102"/>
      <c r="F3" s="310"/>
      <c r="G3" s="310"/>
      <c r="H3" s="310"/>
      <c r="I3" s="310"/>
      <c r="J3" s="310"/>
      <c r="K3" s="310"/>
      <c r="L3" s="112"/>
      <c r="M3" s="112"/>
      <c r="N3" s="84" t="s">
        <v>2</v>
      </c>
      <c r="O3" s="51"/>
      <c r="P3" s="32"/>
      <c r="Q3" s="22"/>
      <c r="R3"/>
      <c r="S3" s="10"/>
    </row>
    <row r="4" spans="2:26" ht="28.5" customHeight="1">
      <c r="B4" s="20"/>
      <c r="C4" s="331" t="s">
        <v>3</v>
      </c>
      <c r="D4" s="331"/>
      <c r="E4" s="331"/>
      <c r="F4" s="332"/>
      <c r="G4" s="152" t="s">
        <v>4</v>
      </c>
      <c r="H4" s="333" t="s">
        <v>5</v>
      </c>
      <c r="I4" s="334"/>
      <c r="J4" s="153"/>
      <c r="K4" s="326" t="s">
        <v>6</v>
      </c>
      <c r="L4" s="326"/>
      <c r="M4" s="327"/>
      <c r="N4" s="337" t="s">
        <v>7</v>
      </c>
      <c r="O4" s="338"/>
      <c r="P4" s="338"/>
      <c r="Q4" s="338"/>
      <c r="R4" s="338"/>
      <c r="S4" s="338"/>
      <c r="T4" s="338"/>
      <c r="U4" s="338"/>
      <c r="V4" s="338"/>
      <c r="W4" s="338"/>
    </row>
    <row r="5" spans="2:26" ht="9" customHeight="1" thickBot="1"/>
    <row r="6" spans="2:26" ht="15" customHeight="1">
      <c r="B6" s="316" t="s">
        <v>8</v>
      </c>
      <c r="C6" s="317"/>
      <c r="D6" s="317"/>
      <c r="E6" s="317"/>
      <c r="F6" s="321"/>
      <c r="G6" s="322"/>
      <c r="H6" s="322"/>
      <c r="I6" s="35" t="s">
        <v>9</v>
      </c>
      <c r="J6" s="318"/>
      <c r="K6" s="319"/>
      <c r="L6" s="35" t="s">
        <v>10</v>
      </c>
      <c r="M6" s="335" t="s">
        <v>11</v>
      </c>
      <c r="N6" s="335"/>
      <c r="O6" s="318"/>
      <c r="P6" s="319"/>
      <c r="Q6" s="319"/>
      <c r="R6" s="319"/>
      <c r="S6" s="319"/>
      <c r="T6" s="149"/>
      <c r="U6" s="336"/>
      <c r="V6" s="336"/>
      <c r="W6" s="36"/>
    </row>
    <row r="7" spans="2:26" ht="15" customHeight="1" thickBot="1">
      <c r="B7" s="314" t="s">
        <v>12</v>
      </c>
      <c r="C7" s="315"/>
      <c r="D7" s="315"/>
      <c r="E7" s="315"/>
      <c r="F7" s="323" t="s">
        <v>13</v>
      </c>
      <c r="G7" s="324"/>
      <c r="H7" s="324"/>
      <c r="I7" s="325"/>
      <c r="J7" s="320" t="s">
        <v>14</v>
      </c>
      <c r="K7" s="320"/>
      <c r="L7" s="328" t="s">
        <v>15</v>
      </c>
      <c r="M7" s="329"/>
      <c r="N7" s="329"/>
      <c r="O7" s="329"/>
      <c r="P7" s="329"/>
      <c r="Q7" s="329"/>
      <c r="R7" s="329"/>
      <c r="S7" s="329"/>
      <c r="T7" s="329"/>
      <c r="U7" s="329"/>
      <c r="V7" s="329"/>
      <c r="W7" s="330"/>
    </row>
    <row r="8" spans="2:26" ht="6.75" customHeight="1" thickBot="1">
      <c r="B8" s="10"/>
      <c r="C8" s="10"/>
      <c r="D8" s="10"/>
      <c r="E8" s="11"/>
      <c r="F8" s="11"/>
      <c r="G8" s="11"/>
      <c r="H8" s="11"/>
      <c r="I8" s="11"/>
      <c r="J8" s="10"/>
      <c r="K8" s="10"/>
      <c r="L8" s="10"/>
      <c r="M8" s="10"/>
      <c r="N8" s="10"/>
      <c r="R8" s="10"/>
      <c r="S8" s="10"/>
      <c r="T8" s="10"/>
    </row>
    <row r="9" spans="2:26" ht="15" customHeight="1" thickBot="1">
      <c r="B9" s="397" t="s">
        <v>16</v>
      </c>
      <c r="C9" s="398"/>
      <c r="D9" s="339" t="s">
        <v>17</v>
      </c>
      <c r="E9" s="406"/>
      <c r="F9" s="340"/>
      <c r="G9" s="341"/>
      <c r="H9" s="403" t="str">
        <f>IF(査読ｼｰﾄ!C37="","（転記）",査読ｼｰﾄ!C37)</f>
        <v>（転記）</v>
      </c>
      <c r="I9" s="404"/>
      <c r="J9" s="405"/>
      <c r="K9" s="339" t="s">
        <v>18</v>
      </c>
      <c r="L9" s="340"/>
      <c r="M9" s="341"/>
      <c r="N9" s="352" t="str">
        <f>IF(査読ｼｰﾄ!C38="","（転記）",査読ｼｰﾄ!C38)</f>
        <v>単体試験要領書_MSBBRA040_【帳票】アドオン(FSC製品化チェックシート).xlsx</v>
      </c>
      <c r="O9" s="353"/>
      <c r="P9" s="353"/>
      <c r="Q9" s="353"/>
      <c r="R9" s="353"/>
      <c r="S9" s="353"/>
      <c r="T9" s="353"/>
      <c r="U9" s="353"/>
      <c r="V9" s="353"/>
      <c r="W9" s="354"/>
    </row>
    <row r="10" spans="2:26" ht="15" customHeight="1" thickTop="1">
      <c r="B10" s="399"/>
      <c r="C10" s="400"/>
      <c r="D10" s="362" t="s">
        <v>19</v>
      </c>
      <c r="E10" s="362"/>
      <c r="F10" s="350" t="s">
        <v>20</v>
      </c>
      <c r="G10" s="350"/>
      <c r="H10" s="350"/>
      <c r="I10" s="350"/>
      <c r="J10" s="350"/>
      <c r="K10" s="60"/>
      <c r="L10" s="350" t="s">
        <v>21</v>
      </c>
      <c r="M10" s="350"/>
      <c r="N10" s="350"/>
      <c r="O10" s="372"/>
      <c r="P10" s="373"/>
      <c r="Q10" s="366" t="s">
        <v>22</v>
      </c>
      <c r="R10" s="367"/>
      <c r="S10" s="367"/>
      <c r="T10" s="367"/>
      <c r="U10" s="368"/>
      <c r="V10" s="355"/>
      <c r="W10" s="356"/>
    </row>
    <row r="11" spans="2:26" ht="15" customHeight="1">
      <c r="B11" s="399"/>
      <c r="C11" s="400"/>
      <c r="D11" s="363"/>
      <c r="E11" s="363"/>
      <c r="F11" s="351" t="s">
        <v>23</v>
      </c>
      <c r="G11" s="351"/>
      <c r="H11" s="351"/>
      <c r="I11" s="351"/>
      <c r="J11" s="351"/>
      <c r="K11" s="60"/>
      <c r="L11" s="351" t="s">
        <v>24</v>
      </c>
      <c r="M11" s="351"/>
      <c r="N11" s="351"/>
      <c r="O11" s="408"/>
      <c r="P11" s="409"/>
      <c r="Q11" s="369" t="s">
        <v>25</v>
      </c>
      <c r="R11" s="370"/>
      <c r="S11" s="370"/>
      <c r="T11" s="370"/>
      <c r="U11" s="371"/>
      <c r="V11" s="410"/>
      <c r="W11" s="411"/>
    </row>
    <row r="12" spans="2:26" ht="15" customHeight="1">
      <c r="B12" s="399"/>
      <c r="C12" s="400"/>
      <c r="D12" s="363"/>
      <c r="E12" s="363"/>
      <c r="F12" s="351" t="s">
        <v>26</v>
      </c>
      <c r="G12" s="351"/>
      <c r="H12" s="351"/>
      <c r="I12" s="351"/>
      <c r="J12" s="351"/>
      <c r="K12" s="60" t="s">
        <v>4</v>
      </c>
      <c r="L12" s="342" t="s">
        <v>27</v>
      </c>
      <c r="M12" s="342"/>
      <c r="N12" s="342"/>
      <c r="O12" s="408"/>
      <c r="P12" s="409"/>
      <c r="Q12" s="369" t="s">
        <v>28</v>
      </c>
      <c r="R12" s="370"/>
      <c r="S12" s="370"/>
      <c r="T12" s="370"/>
      <c r="U12" s="371"/>
      <c r="V12" s="410"/>
      <c r="W12" s="411"/>
    </row>
    <row r="13" spans="2:26" ht="15" customHeight="1" thickBot="1">
      <c r="B13" s="399"/>
      <c r="C13" s="400"/>
      <c r="D13" s="363"/>
      <c r="E13" s="363"/>
      <c r="F13" s="351" t="s">
        <v>29</v>
      </c>
      <c r="G13" s="351"/>
      <c r="H13" s="351"/>
      <c r="I13" s="351"/>
      <c r="J13" s="351"/>
      <c r="K13" s="60"/>
      <c r="L13" s="350" t="s">
        <v>30</v>
      </c>
      <c r="M13" s="350"/>
      <c r="N13" s="350"/>
      <c r="O13" s="357"/>
      <c r="P13" s="358"/>
      <c r="Q13" s="359" t="s">
        <v>31</v>
      </c>
      <c r="R13" s="360"/>
      <c r="S13" s="360"/>
      <c r="T13" s="360"/>
      <c r="U13" s="361"/>
      <c r="V13" s="364"/>
      <c r="W13" s="365"/>
    </row>
    <row r="14" spans="2:26" ht="15" customHeight="1">
      <c r="B14" s="399"/>
      <c r="C14" s="400"/>
      <c r="D14" s="342" t="s">
        <v>32</v>
      </c>
      <c r="E14" s="342"/>
      <c r="F14" s="342"/>
      <c r="G14" s="342" t="s">
        <v>33</v>
      </c>
      <c r="H14" s="342"/>
      <c r="I14" s="342"/>
      <c r="J14" s="76" t="str">
        <f>IF(査読ｼｰﾄ!J37=0,"（転記）",査読ｼｰﾄ!J37)</f>
        <v>（転記）</v>
      </c>
      <c r="K14" s="342" t="s">
        <v>34</v>
      </c>
      <c r="L14" s="392"/>
      <c r="M14" s="392"/>
      <c r="N14" s="66"/>
      <c r="O14" s="407"/>
      <c r="P14" s="393"/>
      <c r="Q14" s="393"/>
      <c r="R14" s="393"/>
      <c r="S14" s="393"/>
      <c r="T14" s="393"/>
      <c r="U14" s="393"/>
      <c r="V14" s="393"/>
      <c r="W14" s="393"/>
    </row>
    <row r="15" spans="2:26" ht="15" customHeight="1" thickBot="1">
      <c r="B15" s="401"/>
      <c r="C15" s="402"/>
      <c r="D15" s="315" t="s">
        <v>27</v>
      </c>
      <c r="E15" s="315"/>
      <c r="F15" s="315"/>
      <c r="G15" s="315" t="s">
        <v>35</v>
      </c>
      <c r="H15" s="315"/>
      <c r="I15" s="315"/>
      <c r="J15" s="77" t="str">
        <f>IF(査読ｼｰﾄ!J38=0,"（転記）",査読ｼｰﾄ!J38)</f>
        <v>（転記）</v>
      </c>
      <c r="K15" s="315" t="s">
        <v>36</v>
      </c>
      <c r="L15" s="315"/>
      <c r="M15" s="315"/>
      <c r="N15" s="52"/>
      <c r="O15" s="407"/>
      <c r="P15" s="393"/>
      <c r="Q15" s="393"/>
      <c r="R15" s="393"/>
      <c r="S15" s="393"/>
      <c r="T15" s="393"/>
      <c r="U15" s="393"/>
      <c r="V15" s="393"/>
      <c r="W15" s="393"/>
      <c r="X15"/>
      <c r="Y15"/>
      <c r="Z15"/>
    </row>
    <row r="16" spans="2:26" ht="6.75" customHeight="1" thickBot="1">
      <c r="B16" s="393"/>
      <c r="C16" s="393"/>
      <c r="D16" s="393"/>
      <c r="E16" s="393"/>
      <c r="F16" s="393"/>
      <c r="G16" s="393"/>
      <c r="H16" s="393"/>
      <c r="I16" s="393"/>
      <c r="J16" s="393"/>
      <c r="K16" s="393"/>
      <c r="L16" s="393"/>
      <c r="M16" s="393"/>
      <c r="N16" s="393"/>
      <c r="O16" s="393"/>
      <c r="P16" s="393"/>
      <c r="Q16" s="393"/>
      <c r="R16" s="393"/>
      <c r="S16" s="393"/>
      <c r="T16" s="393"/>
      <c r="U16" s="393"/>
    </row>
    <row r="17" spans="2:23" ht="15" customHeight="1" thickBot="1">
      <c r="B17" s="91"/>
      <c r="C17" s="83"/>
      <c r="D17" s="98"/>
      <c r="E17" s="384" t="s">
        <v>37</v>
      </c>
      <c r="F17" s="346" t="s">
        <v>38</v>
      </c>
      <c r="G17" s="347"/>
      <c r="H17" s="394" t="s">
        <v>39</v>
      </c>
      <c r="I17" s="395"/>
      <c r="J17" s="395"/>
      <c r="K17" s="395"/>
      <c r="L17" s="395"/>
      <c r="M17" s="395"/>
      <c r="N17" s="396"/>
      <c r="O17" s="110">
        <f>査読ｼｰﾄ!N12</f>
        <v>0</v>
      </c>
      <c r="P17" s="93" t="s">
        <v>40</v>
      </c>
      <c r="Q17" s="9"/>
      <c r="R17" s="267" t="s">
        <v>41</v>
      </c>
      <c r="S17" s="151" t="s">
        <v>42</v>
      </c>
      <c r="T17" s="378" t="s">
        <v>43</v>
      </c>
      <c r="U17" s="379"/>
      <c r="V17" s="374" t="s">
        <v>44</v>
      </c>
      <c r="W17" s="375"/>
    </row>
    <row r="18" spans="2:23" ht="15" customHeight="1" thickTop="1">
      <c r="B18" s="92"/>
      <c r="D18" s="99"/>
      <c r="E18" s="385"/>
      <c r="F18" s="348"/>
      <c r="G18" s="349"/>
      <c r="H18" s="343" t="s">
        <v>45</v>
      </c>
      <c r="I18" s="344"/>
      <c r="J18" s="344"/>
      <c r="K18" s="344"/>
      <c r="L18" s="344"/>
      <c r="M18" s="344"/>
      <c r="N18" s="345"/>
      <c r="O18" s="53">
        <f>査読ｼｰﾄ!Q12</f>
        <v>0</v>
      </c>
      <c r="P18" s="38" t="s">
        <v>40</v>
      </c>
      <c r="Q18" s="9"/>
      <c r="R18" s="269"/>
      <c r="S18" s="146" t="s">
        <v>46</v>
      </c>
      <c r="T18" s="380"/>
      <c r="U18" s="381"/>
      <c r="V18" s="382"/>
      <c r="W18" s="383"/>
    </row>
    <row r="19" spans="2:23" ht="15" customHeight="1">
      <c r="B19" s="92"/>
      <c r="D19" s="100"/>
      <c r="E19" s="386"/>
      <c r="F19" s="348"/>
      <c r="G19" s="349"/>
      <c r="H19" s="387" t="s">
        <v>47</v>
      </c>
      <c r="I19" s="388"/>
      <c r="J19" s="388"/>
      <c r="K19" s="388"/>
      <c r="L19" s="388"/>
      <c r="M19" s="388"/>
      <c r="N19" s="389"/>
      <c r="O19" s="53">
        <f>査読ｼｰﾄ!T12</f>
        <v>0</v>
      </c>
      <c r="P19" s="94" t="s">
        <v>40</v>
      </c>
      <c r="Q19" s="9"/>
      <c r="R19" s="269"/>
      <c r="S19" s="147" t="s">
        <v>48</v>
      </c>
      <c r="T19" s="418"/>
      <c r="U19" s="419"/>
      <c r="V19" s="376"/>
      <c r="W19" s="377"/>
    </row>
    <row r="20" spans="2:23" ht="15" customHeight="1">
      <c r="B20" s="472" t="s">
        <v>49</v>
      </c>
      <c r="C20" s="473"/>
      <c r="D20" s="412" t="s">
        <v>50</v>
      </c>
      <c r="E20" s="390" t="s">
        <v>51</v>
      </c>
      <c r="F20" s="425" t="s">
        <v>52</v>
      </c>
      <c r="G20" s="426"/>
      <c r="H20" s="423" t="s">
        <v>53</v>
      </c>
      <c r="I20" s="423"/>
      <c r="J20" s="423"/>
      <c r="K20" s="423"/>
      <c r="L20" s="423"/>
      <c r="M20" s="423"/>
      <c r="N20" s="423"/>
      <c r="O20" s="53">
        <f>査読ｼｰﾄ!W12</f>
        <v>0</v>
      </c>
      <c r="P20" s="38" t="s">
        <v>40</v>
      </c>
      <c r="Q20" s="156"/>
      <c r="R20" s="269"/>
      <c r="S20" s="147" t="s">
        <v>54</v>
      </c>
      <c r="T20" s="418"/>
      <c r="U20" s="419"/>
      <c r="V20" s="376"/>
      <c r="W20" s="377"/>
    </row>
    <row r="21" spans="2:23" ht="15" customHeight="1">
      <c r="B21" s="474"/>
      <c r="C21" s="475"/>
      <c r="D21" s="413"/>
      <c r="E21" s="391"/>
      <c r="F21" s="425"/>
      <c r="G21" s="426"/>
      <c r="H21" s="423" t="s">
        <v>55</v>
      </c>
      <c r="I21" s="423"/>
      <c r="J21" s="423"/>
      <c r="K21" s="423"/>
      <c r="L21" s="423"/>
      <c r="M21" s="423"/>
      <c r="N21" s="423"/>
      <c r="O21" s="53">
        <f>査読ｼｰﾄ!Z12</f>
        <v>0</v>
      </c>
      <c r="P21" s="38" t="s">
        <v>56</v>
      </c>
      <c r="Q21" s="156"/>
      <c r="R21" s="269"/>
      <c r="S21" s="147" t="s">
        <v>57</v>
      </c>
      <c r="T21" s="418"/>
      <c r="U21" s="419"/>
      <c r="V21" s="376"/>
      <c r="W21" s="377"/>
    </row>
    <row r="22" spans="2:23" ht="15" customHeight="1">
      <c r="B22" s="474"/>
      <c r="C22" s="475"/>
      <c r="D22" s="413"/>
      <c r="E22" s="391"/>
      <c r="F22" s="425"/>
      <c r="G22" s="426"/>
      <c r="H22" s="343" t="s">
        <v>58</v>
      </c>
      <c r="I22" s="344"/>
      <c r="J22" s="344"/>
      <c r="K22" s="344"/>
      <c r="L22" s="344"/>
      <c r="M22" s="344"/>
      <c r="N22" s="345"/>
      <c r="O22" s="53">
        <f>査読ｼｰﾄ!AC12</f>
        <v>0</v>
      </c>
      <c r="P22" s="38" t="s">
        <v>56</v>
      </c>
      <c r="Q22" s="156"/>
      <c r="R22" s="269"/>
      <c r="S22" s="147" t="s">
        <v>59</v>
      </c>
      <c r="T22" s="418"/>
      <c r="U22" s="419"/>
      <c r="V22" s="376"/>
      <c r="W22" s="377"/>
    </row>
    <row r="23" spans="2:23" ht="15" customHeight="1">
      <c r="B23" s="474"/>
      <c r="C23" s="475"/>
      <c r="D23" s="413"/>
      <c r="E23" s="391"/>
      <c r="F23" s="425"/>
      <c r="G23" s="426"/>
      <c r="H23" s="423" t="s">
        <v>60</v>
      </c>
      <c r="I23" s="423"/>
      <c r="J23" s="423"/>
      <c r="K23" s="423"/>
      <c r="L23" s="423"/>
      <c r="M23" s="423"/>
      <c r="N23" s="423"/>
      <c r="O23" s="53">
        <f>査読ｼｰﾄ!AF12</f>
        <v>0</v>
      </c>
      <c r="P23" s="38" t="s">
        <v>56</v>
      </c>
      <c r="Q23" s="156"/>
      <c r="R23" s="269"/>
      <c r="S23" s="147" t="s">
        <v>61</v>
      </c>
      <c r="T23" s="418"/>
      <c r="U23" s="419"/>
      <c r="V23" s="376"/>
      <c r="W23" s="377"/>
    </row>
    <row r="24" spans="2:23" ht="15" customHeight="1">
      <c r="B24" s="474"/>
      <c r="C24" s="475"/>
      <c r="D24" s="413"/>
      <c r="E24" s="390" t="s">
        <v>62</v>
      </c>
      <c r="F24" s="425" t="s">
        <v>63</v>
      </c>
      <c r="G24" s="426"/>
      <c r="H24" s="423" t="s">
        <v>64</v>
      </c>
      <c r="I24" s="423"/>
      <c r="J24" s="423"/>
      <c r="K24" s="423"/>
      <c r="L24" s="423"/>
      <c r="M24" s="423"/>
      <c r="N24" s="424"/>
      <c r="O24" s="53">
        <f>査読ｼｰﾄ!AI12</f>
        <v>0</v>
      </c>
      <c r="P24" s="38" t="s">
        <v>56</v>
      </c>
      <c r="Q24" s="156"/>
      <c r="R24" s="269"/>
      <c r="S24" s="147" t="s">
        <v>65</v>
      </c>
      <c r="T24" s="418"/>
      <c r="U24" s="419"/>
      <c r="V24" s="376"/>
      <c r="W24" s="377"/>
    </row>
    <row r="25" spans="2:23" ht="15" customHeight="1">
      <c r="B25" s="474"/>
      <c r="C25" s="475"/>
      <c r="D25" s="413"/>
      <c r="E25" s="391"/>
      <c r="F25" s="425"/>
      <c r="G25" s="426"/>
      <c r="H25" s="423" t="s">
        <v>66</v>
      </c>
      <c r="I25" s="423"/>
      <c r="J25" s="423"/>
      <c r="K25" s="423"/>
      <c r="L25" s="423"/>
      <c r="M25" s="423"/>
      <c r="N25" s="424"/>
      <c r="O25" s="53">
        <f>査読ｼｰﾄ!AL12</f>
        <v>0</v>
      </c>
      <c r="P25" s="38" t="s">
        <v>56</v>
      </c>
      <c r="Q25" s="156"/>
      <c r="R25" s="269"/>
      <c r="S25" s="150" t="s">
        <v>67</v>
      </c>
      <c r="T25" s="416"/>
      <c r="U25" s="417"/>
      <c r="V25" s="376"/>
      <c r="W25" s="377"/>
    </row>
    <row r="26" spans="2:23" ht="15" customHeight="1">
      <c r="B26" s="474"/>
      <c r="C26" s="475"/>
      <c r="D26" s="413"/>
      <c r="E26" s="391"/>
      <c r="F26" s="425"/>
      <c r="G26" s="426"/>
      <c r="H26" s="423" t="s">
        <v>68</v>
      </c>
      <c r="I26" s="423"/>
      <c r="J26" s="423"/>
      <c r="K26" s="423"/>
      <c r="L26" s="423"/>
      <c r="M26" s="423"/>
      <c r="N26" s="424"/>
      <c r="O26" s="53">
        <f>査読ｼｰﾄ!AO12</f>
        <v>0</v>
      </c>
      <c r="P26" s="38" t="s">
        <v>56</v>
      </c>
      <c r="Q26" s="156"/>
      <c r="R26" s="269"/>
      <c r="S26" s="150" t="s">
        <v>30</v>
      </c>
      <c r="T26" s="416"/>
      <c r="U26" s="417"/>
      <c r="V26" s="376"/>
      <c r="W26" s="377"/>
    </row>
    <row r="27" spans="2:23" ht="15" customHeight="1">
      <c r="B27" s="474"/>
      <c r="C27" s="475"/>
      <c r="D27" s="413"/>
      <c r="E27" s="391"/>
      <c r="F27" s="425"/>
      <c r="G27" s="426"/>
      <c r="H27" s="423" t="s">
        <v>69</v>
      </c>
      <c r="I27" s="423"/>
      <c r="J27" s="423"/>
      <c r="K27" s="423"/>
      <c r="L27" s="423"/>
      <c r="M27" s="423"/>
      <c r="N27" s="424"/>
      <c r="O27" s="53">
        <f>査読ｼｰﾄ!AR12</f>
        <v>0</v>
      </c>
      <c r="P27" s="38" t="s">
        <v>56</v>
      </c>
      <c r="Q27" s="156"/>
      <c r="R27" s="269"/>
      <c r="S27" s="148"/>
      <c r="T27" s="416"/>
      <c r="U27" s="417"/>
      <c r="V27" s="376"/>
      <c r="W27" s="377"/>
    </row>
    <row r="28" spans="2:23" ht="15" customHeight="1" thickBot="1">
      <c r="B28" s="474"/>
      <c r="C28" s="475"/>
      <c r="D28" s="413"/>
      <c r="E28" s="390" t="s">
        <v>70</v>
      </c>
      <c r="F28" s="478" t="s">
        <v>71</v>
      </c>
      <c r="G28" s="479"/>
      <c r="H28" s="423" t="s">
        <v>72</v>
      </c>
      <c r="I28" s="423"/>
      <c r="J28" s="423"/>
      <c r="K28" s="423"/>
      <c r="L28" s="423"/>
      <c r="M28" s="423"/>
      <c r="N28" s="424"/>
      <c r="O28" s="53">
        <f>査読ｼｰﾄ!AU12</f>
        <v>0</v>
      </c>
      <c r="P28" s="38" t="s">
        <v>56</v>
      </c>
      <c r="Q28" s="156"/>
      <c r="R28" s="271"/>
      <c r="S28" s="427" t="s">
        <v>73</v>
      </c>
      <c r="T28" s="428"/>
      <c r="U28" s="429"/>
      <c r="V28" s="442">
        <f>SUM(V18:W27)</f>
        <v>0</v>
      </c>
      <c r="W28" s="443"/>
    </row>
    <row r="29" spans="2:23" ht="15" customHeight="1" thickBot="1">
      <c r="B29" s="474"/>
      <c r="C29" s="475"/>
      <c r="D29" s="413"/>
      <c r="E29" s="391"/>
      <c r="F29" s="478"/>
      <c r="G29" s="479"/>
      <c r="H29" s="423" t="s">
        <v>74</v>
      </c>
      <c r="I29" s="423"/>
      <c r="J29" s="423"/>
      <c r="K29" s="423"/>
      <c r="L29" s="423"/>
      <c r="M29" s="423"/>
      <c r="N29" s="424"/>
      <c r="O29" s="53">
        <f>査読ｼｰﾄ!AX12</f>
        <v>0</v>
      </c>
      <c r="P29" s="38" t="s">
        <v>56</v>
      </c>
      <c r="Q29" s="157"/>
    </row>
    <row r="30" spans="2:23" ht="15" customHeight="1" thickBot="1">
      <c r="B30" s="474"/>
      <c r="C30" s="475"/>
      <c r="D30" s="413"/>
      <c r="E30" s="391"/>
      <c r="F30" s="478"/>
      <c r="G30" s="479"/>
      <c r="H30" s="423" t="s">
        <v>75</v>
      </c>
      <c r="I30" s="423"/>
      <c r="J30" s="423"/>
      <c r="K30" s="423"/>
      <c r="L30" s="423"/>
      <c r="M30" s="423"/>
      <c r="N30" s="424"/>
      <c r="O30" s="53">
        <f>査読ｼｰﾄ!BA12</f>
        <v>0</v>
      </c>
      <c r="P30" s="38" t="s">
        <v>56</v>
      </c>
      <c r="Q30" s="157"/>
      <c r="R30" s="437" t="s">
        <v>76</v>
      </c>
      <c r="S30" s="158" t="s">
        <v>77</v>
      </c>
      <c r="T30" s="374" t="s">
        <v>78</v>
      </c>
      <c r="U30" s="374"/>
      <c r="V30" s="374" t="s">
        <v>79</v>
      </c>
      <c r="W30" s="375"/>
    </row>
    <row r="31" spans="2:23" ht="15" customHeight="1" thickTop="1">
      <c r="B31" s="474"/>
      <c r="C31" s="475"/>
      <c r="D31" s="413"/>
      <c r="E31" s="391"/>
      <c r="F31" s="478"/>
      <c r="G31" s="479"/>
      <c r="H31" s="423" t="s">
        <v>80</v>
      </c>
      <c r="I31" s="423"/>
      <c r="J31" s="423"/>
      <c r="K31" s="423"/>
      <c r="L31" s="423"/>
      <c r="M31" s="423"/>
      <c r="N31" s="424"/>
      <c r="O31" s="53">
        <f>査読ｼｰﾄ!BD12</f>
        <v>0</v>
      </c>
      <c r="P31" s="38" t="s">
        <v>56</v>
      </c>
      <c r="Q31" s="157"/>
      <c r="R31" s="438"/>
      <c r="S31" s="448" t="s">
        <v>81</v>
      </c>
      <c r="T31" s="449"/>
      <c r="U31" s="449"/>
      <c r="V31" s="487">
        <f>IF(J14="（転記）",0,J45/J14)</f>
        <v>0</v>
      </c>
      <c r="W31" s="488"/>
    </row>
    <row r="32" spans="2:23" ht="15" customHeight="1">
      <c r="B32" s="474"/>
      <c r="C32" s="475"/>
      <c r="D32" s="413"/>
      <c r="E32" s="390" t="s">
        <v>82</v>
      </c>
      <c r="F32" s="478" t="s">
        <v>83</v>
      </c>
      <c r="G32" s="479"/>
      <c r="H32" s="423" t="s">
        <v>84</v>
      </c>
      <c r="I32" s="423"/>
      <c r="J32" s="423"/>
      <c r="K32" s="423"/>
      <c r="L32" s="423"/>
      <c r="M32" s="423"/>
      <c r="N32" s="424"/>
      <c r="O32" s="53">
        <f>査読ｼｰﾄ!BG12</f>
        <v>0</v>
      </c>
      <c r="P32" s="38" t="s">
        <v>56</v>
      </c>
      <c r="Q32" s="9"/>
      <c r="R32" s="438"/>
      <c r="S32" s="433"/>
      <c r="T32" s="432"/>
      <c r="U32" s="432"/>
      <c r="V32" s="485"/>
      <c r="W32" s="486"/>
    </row>
    <row r="33" spans="2:31" ht="15" customHeight="1">
      <c r="B33" s="474"/>
      <c r="C33" s="475"/>
      <c r="D33" s="413"/>
      <c r="E33" s="390"/>
      <c r="F33" s="478"/>
      <c r="G33" s="479"/>
      <c r="H33" s="423" t="s">
        <v>85</v>
      </c>
      <c r="I33" s="423"/>
      <c r="J33" s="423"/>
      <c r="K33" s="423"/>
      <c r="L33" s="423"/>
      <c r="M33" s="423"/>
      <c r="N33" s="424"/>
      <c r="O33" s="53">
        <f>査読ｼｰﾄ!BJ12</f>
        <v>0</v>
      </c>
      <c r="P33" s="38" t="s">
        <v>56</v>
      </c>
      <c r="Q33" s="9"/>
      <c r="R33" s="438"/>
      <c r="S33" s="433" t="s">
        <v>86</v>
      </c>
      <c r="T33" s="432"/>
      <c r="U33" s="432"/>
      <c r="V33" s="483">
        <f>IF(J14="（転記）",0,N45/J14)</f>
        <v>0</v>
      </c>
      <c r="W33" s="484"/>
    </row>
    <row r="34" spans="2:31" ht="15" customHeight="1">
      <c r="B34" s="474"/>
      <c r="C34" s="475"/>
      <c r="D34" s="413"/>
      <c r="E34" s="390"/>
      <c r="F34" s="478"/>
      <c r="G34" s="479"/>
      <c r="H34" s="423" t="s">
        <v>87</v>
      </c>
      <c r="I34" s="423"/>
      <c r="J34" s="423"/>
      <c r="K34" s="423"/>
      <c r="L34" s="423"/>
      <c r="M34" s="423"/>
      <c r="N34" s="424"/>
      <c r="O34" s="53">
        <f>査読ｼｰﾄ!BP12</f>
        <v>0</v>
      </c>
      <c r="P34" s="38" t="s">
        <v>56</v>
      </c>
      <c r="Q34" s="9"/>
      <c r="R34" s="438"/>
      <c r="S34" s="433"/>
      <c r="T34" s="432"/>
      <c r="U34" s="432"/>
      <c r="V34" s="485"/>
      <c r="W34" s="486"/>
      <c r="X34" s="37"/>
    </row>
    <row r="35" spans="2:31" ht="15" customHeight="1">
      <c r="B35" s="474"/>
      <c r="C35" s="475"/>
      <c r="D35" s="413"/>
      <c r="E35" s="390" t="s">
        <v>88</v>
      </c>
      <c r="F35" s="478" t="s">
        <v>89</v>
      </c>
      <c r="G35" s="479"/>
      <c r="H35" s="423" t="s">
        <v>90</v>
      </c>
      <c r="I35" s="423"/>
      <c r="J35" s="423"/>
      <c r="K35" s="423"/>
      <c r="L35" s="423"/>
      <c r="M35" s="423"/>
      <c r="N35" s="424"/>
      <c r="O35" s="53">
        <f>査読ｼｰﾄ!BS12</f>
        <v>0</v>
      </c>
      <c r="P35" s="38" t="s">
        <v>56</v>
      </c>
      <c r="Q35" s="9"/>
      <c r="R35" s="438"/>
      <c r="S35" s="450" t="s">
        <v>91</v>
      </c>
      <c r="T35" s="432"/>
      <c r="U35" s="432"/>
      <c r="V35" s="483">
        <f>IF(J15="（転記）",0,J45/J15)</f>
        <v>0</v>
      </c>
      <c r="W35" s="484"/>
    </row>
    <row r="36" spans="2:31" ht="15" customHeight="1">
      <c r="B36" s="474"/>
      <c r="C36" s="475"/>
      <c r="D36" s="413"/>
      <c r="E36" s="390"/>
      <c r="F36" s="478"/>
      <c r="G36" s="479"/>
      <c r="H36" s="423" t="s">
        <v>92</v>
      </c>
      <c r="I36" s="423"/>
      <c r="J36" s="423"/>
      <c r="K36" s="423"/>
      <c r="L36" s="423"/>
      <c r="M36" s="423"/>
      <c r="N36" s="424"/>
      <c r="O36" s="53">
        <f>査読ｼｰﾄ!BV12</f>
        <v>0</v>
      </c>
      <c r="P36" s="38" t="s">
        <v>56</v>
      </c>
      <c r="Q36" s="9"/>
      <c r="R36" s="438"/>
      <c r="S36" s="450"/>
      <c r="T36" s="432"/>
      <c r="U36" s="432"/>
      <c r="V36" s="485"/>
      <c r="W36" s="486"/>
    </row>
    <row r="37" spans="2:31" ht="15" customHeight="1">
      <c r="B37" s="474"/>
      <c r="C37" s="475"/>
      <c r="D37" s="413"/>
      <c r="E37" s="390" t="s">
        <v>93</v>
      </c>
      <c r="F37" s="478" t="s">
        <v>94</v>
      </c>
      <c r="G37" s="479"/>
      <c r="H37" s="423" t="s">
        <v>95</v>
      </c>
      <c r="I37" s="423"/>
      <c r="J37" s="423"/>
      <c r="K37" s="423"/>
      <c r="L37" s="423"/>
      <c r="M37" s="423"/>
      <c r="N37" s="424"/>
      <c r="O37" s="53">
        <f>査読ｼｰﾄ!CE12</f>
        <v>0</v>
      </c>
      <c r="P37" s="38" t="s">
        <v>56</v>
      </c>
      <c r="Q37" s="9"/>
      <c r="R37" s="438"/>
      <c r="S37" s="434" t="s">
        <v>96</v>
      </c>
      <c r="T37" s="432"/>
      <c r="U37" s="432"/>
      <c r="V37" s="444">
        <f>IF(J15="（転記）",0,N45/J15)</f>
        <v>0</v>
      </c>
      <c r="W37" s="445"/>
    </row>
    <row r="38" spans="2:31" ht="15" customHeight="1">
      <c r="B38" s="474"/>
      <c r="C38" s="475"/>
      <c r="D38" s="413"/>
      <c r="E38" s="390"/>
      <c r="F38" s="478"/>
      <c r="G38" s="479"/>
      <c r="H38" s="423" t="s">
        <v>97</v>
      </c>
      <c r="I38" s="423"/>
      <c r="J38" s="423"/>
      <c r="K38" s="423"/>
      <c r="L38" s="423"/>
      <c r="M38" s="423"/>
      <c r="N38" s="424"/>
      <c r="O38" s="53">
        <f>査読ｼｰﾄ!CH12</f>
        <v>0</v>
      </c>
      <c r="P38" s="38" t="s">
        <v>56</v>
      </c>
      <c r="Q38" s="9"/>
      <c r="R38" s="438"/>
      <c r="S38" s="434"/>
      <c r="T38" s="432"/>
      <c r="U38" s="432"/>
      <c r="V38" s="444"/>
      <c r="W38" s="445"/>
    </row>
    <row r="39" spans="2:31" ht="15" customHeight="1">
      <c r="B39" s="474"/>
      <c r="C39" s="475"/>
      <c r="D39" s="413"/>
      <c r="E39" s="390"/>
      <c r="F39" s="478"/>
      <c r="G39" s="479"/>
      <c r="H39" s="351" t="s">
        <v>98</v>
      </c>
      <c r="I39" s="351"/>
      <c r="J39" s="351"/>
      <c r="K39" s="351"/>
      <c r="L39" s="351"/>
      <c r="M39" s="351"/>
      <c r="N39" s="343"/>
      <c r="O39" s="53">
        <f>査読ｼｰﾄ!CK12</f>
        <v>0</v>
      </c>
      <c r="P39" s="38" t="s">
        <v>56</v>
      </c>
      <c r="Q39" s="9"/>
      <c r="R39" s="438"/>
      <c r="S39" s="434" t="s">
        <v>99</v>
      </c>
      <c r="T39" s="432"/>
      <c r="U39" s="432"/>
      <c r="V39" s="444">
        <f>IF(J14="（転記）",0,O46/J14)</f>
        <v>0</v>
      </c>
      <c r="W39" s="445"/>
    </row>
    <row r="40" spans="2:31" ht="15" customHeight="1">
      <c r="B40" s="474"/>
      <c r="C40" s="475"/>
      <c r="D40" s="413"/>
      <c r="E40" s="390"/>
      <c r="F40" s="478"/>
      <c r="G40" s="479"/>
      <c r="H40" s="351" t="s">
        <v>100</v>
      </c>
      <c r="I40" s="351"/>
      <c r="J40" s="351"/>
      <c r="K40" s="351"/>
      <c r="L40" s="351"/>
      <c r="M40" s="351"/>
      <c r="N40" s="343"/>
      <c r="O40" s="53">
        <f>査読ｼｰﾄ!CN12</f>
        <v>0</v>
      </c>
      <c r="P40" s="38" t="s">
        <v>56</v>
      </c>
      <c r="R40" s="438"/>
      <c r="S40" s="434"/>
      <c r="T40" s="432"/>
      <c r="U40" s="432"/>
      <c r="V40" s="444"/>
      <c r="W40" s="445"/>
      <c r="Z40" s="11"/>
      <c r="AA40" s="11"/>
      <c r="AB40" s="11"/>
      <c r="AC40" s="11"/>
      <c r="AD40" s="11"/>
      <c r="AE40" s="11"/>
    </row>
    <row r="41" spans="2:31" ht="15" customHeight="1">
      <c r="B41" s="474"/>
      <c r="C41" s="475"/>
      <c r="D41" s="413"/>
      <c r="E41" s="390"/>
      <c r="F41" s="478"/>
      <c r="G41" s="479"/>
      <c r="H41" s="351" t="s">
        <v>101</v>
      </c>
      <c r="I41" s="351"/>
      <c r="J41" s="351"/>
      <c r="K41" s="351"/>
      <c r="L41" s="351"/>
      <c r="M41" s="351"/>
      <c r="N41" s="343"/>
      <c r="O41" s="53">
        <f>査読ｼｰﾄ!CQ12</f>
        <v>0</v>
      </c>
      <c r="P41" s="38" t="s">
        <v>56</v>
      </c>
      <c r="R41" s="438"/>
      <c r="S41" s="434" t="s">
        <v>102</v>
      </c>
      <c r="T41" s="432"/>
      <c r="U41" s="432"/>
      <c r="V41" s="444">
        <f>IF(J15="（転記）",0,O46/J15)</f>
        <v>0</v>
      </c>
      <c r="W41" s="445"/>
      <c r="Z41" s="11"/>
      <c r="AA41" s="11"/>
      <c r="AB41" s="11"/>
      <c r="AC41" s="11"/>
      <c r="AD41" s="11"/>
      <c r="AE41" s="11"/>
    </row>
    <row r="42" spans="2:31" ht="15" customHeight="1" thickBot="1">
      <c r="B42" s="474"/>
      <c r="C42" s="475"/>
      <c r="D42" s="414"/>
      <c r="E42" s="420" t="s">
        <v>103</v>
      </c>
      <c r="F42" s="454" t="s">
        <v>104</v>
      </c>
      <c r="G42" s="455"/>
      <c r="H42" s="343" t="s">
        <v>105</v>
      </c>
      <c r="I42" s="265"/>
      <c r="J42" s="265"/>
      <c r="K42" s="265"/>
      <c r="L42" s="265"/>
      <c r="M42" s="265"/>
      <c r="N42" s="468"/>
      <c r="O42" s="53">
        <f>査読ｼｰﾄ!CT12</f>
        <v>0</v>
      </c>
      <c r="P42" s="94" t="s">
        <v>40</v>
      </c>
      <c r="R42" s="439"/>
      <c r="S42" s="435"/>
      <c r="T42" s="436"/>
      <c r="U42" s="436"/>
      <c r="V42" s="446"/>
      <c r="W42" s="447"/>
      <c r="Z42" s="11"/>
      <c r="AA42" s="11"/>
      <c r="AB42" s="11"/>
      <c r="AC42" s="11"/>
      <c r="AD42" s="11"/>
      <c r="AE42" s="11"/>
    </row>
    <row r="43" spans="2:31" ht="15" customHeight="1">
      <c r="B43" s="474"/>
      <c r="C43" s="475"/>
      <c r="D43" s="414"/>
      <c r="E43" s="421"/>
      <c r="F43" s="348"/>
      <c r="G43" s="349"/>
      <c r="H43" s="343" t="s">
        <v>106</v>
      </c>
      <c r="I43" s="265"/>
      <c r="J43" s="265"/>
      <c r="K43" s="265"/>
      <c r="L43" s="265"/>
      <c r="M43" s="265"/>
      <c r="N43" s="468"/>
      <c r="O43" s="53">
        <f>査読ｼｰﾄ!CW12</f>
        <v>0</v>
      </c>
      <c r="P43" s="94" t="s">
        <v>40</v>
      </c>
      <c r="R43" s="95"/>
      <c r="S43" s="96"/>
      <c r="T43" s="101"/>
      <c r="U43" s="101"/>
      <c r="V43" s="97"/>
      <c r="W43" s="97"/>
      <c r="Z43" s="11"/>
      <c r="AA43" s="11"/>
      <c r="AB43" s="11"/>
      <c r="AC43" s="11"/>
      <c r="AD43" s="11"/>
      <c r="AE43" s="11"/>
    </row>
    <row r="44" spans="2:31" ht="15" customHeight="1">
      <c r="B44" s="474"/>
      <c r="C44" s="475"/>
      <c r="D44" s="414"/>
      <c r="E44" s="422"/>
      <c r="F44" s="456"/>
      <c r="G44" s="457"/>
      <c r="H44" s="343" t="s">
        <v>107</v>
      </c>
      <c r="I44" s="265"/>
      <c r="J44" s="265"/>
      <c r="K44" s="265"/>
      <c r="L44" s="265"/>
      <c r="M44" s="265"/>
      <c r="N44" s="468"/>
      <c r="O44" s="53">
        <f>査読ｼｰﾄ!CZ12</f>
        <v>0</v>
      </c>
      <c r="P44" s="94" t="s">
        <v>40</v>
      </c>
      <c r="R44" s="95"/>
      <c r="S44" s="96"/>
      <c r="T44" s="101"/>
      <c r="U44" s="101"/>
      <c r="V44" s="97"/>
      <c r="W44" s="97"/>
      <c r="Z44" s="11"/>
      <c r="AA44" s="11"/>
      <c r="AB44" s="11"/>
      <c r="AC44" s="11"/>
      <c r="AD44" s="11"/>
      <c r="AE44" s="11"/>
    </row>
    <row r="45" spans="2:31" ht="15" customHeight="1" thickBot="1">
      <c r="B45" s="474"/>
      <c r="C45" s="475"/>
      <c r="D45" s="415"/>
      <c r="E45" s="33"/>
      <c r="F45" s="34"/>
      <c r="G45" s="34"/>
      <c r="H45" s="458" t="s">
        <v>108</v>
      </c>
      <c r="I45" s="459"/>
      <c r="J45" s="54">
        <f>査読ｼｰﾄ!L12</f>
        <v>0</v>
      </c>
      <c r="K45" s="480" t="s">
        <v>109</v>
      </c>
      <c r="L45" s="481"/>
      <c r="M45" s="482"/>
      <c r="N45" s="54">
        <f>査読ｼｰﾄ!L12-(査読ｼｰﾄ!BS12+査読ｼｰﾄ!BV12)</f>
        <v>0</v>
      </c>
      <c r="O45" s="69" t="s">
        <v>110</v>
      </c>
      <c r="P45" s="70"/>
      <c r="Q45" s="47" t="s">
        <v>111</v>
      </c>
      <c r="X45" s="11"/>
      <c r="Y45" s="11"/>
      <c r="Z45" s="11"/>
      <c r="AA45" s="11"/>
      <c r="AB45" s="11"/>
      <c r="AC45" s="11"/>
    </row>
    <row r="46" spans="2:31" ht="15" customHeight="1" thickTop="1" thickBot="1">
      <c r="B46" s="476"/>
      <c r="C46" s="477"/>
      <c r="D46" s="460" t="s">
        <v>112</v>
      </c>
      <c r="E46" s="461"/>
      <c r="F46" s="461"/>
      <c r="G46" s="461"/>
      <c r="H46" s="461"/>
      <c r="I46" s="461"/>
      <c r="J46" s="461"/>
      <c r="K46" s="461"/>
      <c r="L46" s="461"/>
      <c r="M46" s="462"/>
      <c r="N46" s="463"/>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4" t="s">
        <v>114</v>
      </c>
      <c r="C48" s="465"/>
      <c r="D48" s="465"/>
      <c r="E48" s="465"/>
      <c r="F48" s="16" t="s">
        <v>115</v>
      </c>
      <c r="G48" s="440" t="s">
        <v>116</v>
      </c>
      <c r="H48" s="452"/>
      <c r="I48" s="451"/>
      <c r="J48" s="440" t="s">
        <v>117</v>
      </c>
      <c r="K48" s="451"/>
      <c r="L48" s="440" t="s">
        <v>118</v>
      </c>
      <c r="M48" s="452"/>
      <c r="N48" s="341"/>
      <c r="O48" s="440" t="s">
        <v>119</v>
      </c>
      <c r="P48" s="453"/>
      <c r="Q48" s="430" t="s">
        <v>120</v>
      </c>
      <c r="R48" s="431"/>
      <c r="S48" s="440" t="s">
        <v>121</v>
      </c>
      <c r="T48" s="340"/>
      <c r="U48" s="340"/>
      <c r="V48" s="340"/>
      <c r="W48" s="441"/>
      <c r="Z48" s="11"/>
      <c r="AA48" s="11"/>
      <c r="AB48" s="11"/>
      <c r="AC48" s="11"/>
      <c r="AD48" s="11"/>
      <c r="AE48" s="11"/>
    </row>
    <row r="49" spans="2:31" ht="16.5" customHeight="1" thickTop="1">
      <c r="B49" s="407"/>
      <c r="C49" s="393"/>
      <c r="D49" s="393"/>
      <c r="E49" s="393"/>
      <c r="F49" s="17">
        <v>1</v>
      </c>
      <c r="G49" s="57" t="str">
        <f>IF(査読ｼｰﾄ!V17=" ","（転記）",査読ｼｰﾄ!V17)</f>
        <v>（転記）</v>
      </c>
      <c r="H49" s="471" t="s">
        <v>122</v>
      </c>
      <c r="I49" s="471"/>
      <c r="J49" s="247"/>
      <c r="K49" s="248"/>
      <c r="L49" s="255"/>
      <c r="M49" s="256"/>
      <c r="N49" s="257"/>
      <c r="O49" s="55">
        <f>査読ｼｰﾄ!X17</f>
        <v>0</v>
      </c>
      <c r="P49" s="39" t="s">
        <v>56</v>
      </c>
      <c r="Q49" s="253"/>
      <c r="R49" s="254"/>
      <c r="S49" s="249"/>
      <c r="T49" s="250"/>
      <c r="U49" s="250"/>
      <c r="V49" s="251"/>
      <c r="W49" s="252"/>
      <c r="Z49" s="11"/>
      <c r="AA49" s="11"/>
      <c r="AB49" s="11"/>
      <c r="AC49" s="11"/>
      <c r="AD49" s="11"/>
      <c r="AE49" s="11"/>
    </row>
    <row r="50" spans="2:31" ht="16.5" customHeight="1">
      <c r="B50" s="407"/>
      <c r="C50" s="393"/>
      <c r="D50" s="393"/>
      <c r="E50" s="393"/>
      <c r="F50" s="18">
        <v>2</v>
      </c>
      <c r="G50" s="58" t="str">
        <f>IF(査読ｼｰﾄ!V19=" ","（転記）",査読ｼｰﾄ!V19)</f>
        <v>（転記）</v>
      </c>
      <c r="H50" s="243" t="s">
        <v>122</v>
      </c>
      <c r="I50" s="244"/>
      <c r="J50" s="245"/>
      <c r="K50" s="246"/>
      <c r="L50" s="260"/>
      <c r="M50" s="261"/>
      <c r="N50" s="262"/>
      <c r="O50" s="53">
        <f>査読ｼｰﾄ!X19</f>
        <v>0</v>
      </c>
      <c r="P50" s="40" t="s">
        <v>56</v>
      </c>
      <c r="Q50" s="258"/>
      <c r="R50" s="259"/>
      <c r="S50" s="263"/>
      <c r="T50" s="264"/>
      <c r="U50" s="264"/>
      <c r="V50" s="265"/>
      <c r="W50" s="266"/>
      <c r="Z50" s="11"/>
      <c r="AA50" s="11"/>
      <c r="AB50" s="11"/>
      <c r="AC50" s="11"/>
      <c r="AD50" s="11"/>
      <c r="AE50" s="11"/>
    </row>
    <row r="51" spans="2:31" ht="16.5" customHeight="1">
      <c r="B51" s="407"/>
      <c r="C51" s="393"/>
      <c r="D51" s="393"/>
      <c r="E51" s="393"/>
      <c r="F51" s="18">
        <v>3</v>
      </c>
      <c r="G51" s="58" t="str">
        <f>IF(査読ｼｰﾄ!V21=" ","（転記）",査読ｼｰﾄ!V21)</f>
        <v>（転記）</v>
      </c>
      <c r="H51" s="243" t="s">
        <v>122</v>
      </c>
      <c r="I51" s="244"/>
      <c r="J51" s="245"/>
      <c r="K51" s="246"/>
      <c r="L51" s="260"/>
      <c r="M51" s="261"/>
      <c r="N51" s="262"/>
      <c r="O51" s="53">
        <f>査読ｼｰﾄ!X21</f>
        <v>0</v>
      </c>
      <c r="P51" s="40" t="s">
        <v>56</v>
      </c>
      <c r="Q51" s="258"/>
      <c r="R51" s="259"/>
      <c r="S51" s="263"/>
      <c r="T51" s="264"/>
      <c r="U51" s="264"/>
      <c r="V51" s="265"/>
      <c r="W51" s="266"/>
      <c r="Z51" s="11"/>
      <c r="AA51" s="11"/>
      <c r="AB51" s="11"/>
      <c r="AC51" s="11"/>
      <c r="AD51" s="11"/>
      <c r="AE51" s="11"/>
    </row>
    <row r="52" spans="2:31" ht="16.5" customHeight="1">
      <c r="B52" s="407"/>
      <c r="C52" s="393"/>
      <c r="D52" s="393"/>
      <c r="E52" s="393"/>
      <c r="F52" s="18">
        <v>4</v>
      </c>
      <c r="G52" s="58" t="str">
        <f>IF(査読ｼｰﾄ!V23=" ","（転記）",査読ｼｰﾄ!V23)</f>
        <v>（転記）</v>
      </c>
      <c r="H52" s="243" t="s">
        <v>122</v>
      </c>
      <c r="I52" s="244"/>
      <c r="J52" s="245"/>
      <c r="K52" s="246"/>
      <c r="L52" s="260"/>
      <c r="M52" s="261"/>
      <c r="N52" s="262"/>
      <c r="O52" s="53">
        <f>査読ｼｰﾄ!X23</f>
        <v>0</v>
      </c>
      <c r="P52" s="40" t="s">
        <v>56</v>
      </c>
      <c r="Q52" s="258"/>
      <c r="R52" s="259"/>
      <c r="S52" s="263"/>
      <c r="T52" s="264"/>
      <c r="U52" s="264"/>
      <c r="V52" s="265"/>
      <c r="W52" s="266"/>
      <c r="Z52" s="11"/>
      <c r="AA52" s="11"/>
      <c r="AB52" s="11"/>
      <c r="AC52" s="11"/>
      <c r="AD52" s="11"/>
      <c r="AE52" s="11"/>
    </row>
    <row r="53" spans="2:31" ht="16.5" customHeight="1" thickBot="1">
      <c r="B53" s="466"/>
      <c r="C53" s="467"/>
      <c r="D53" s="467"/>
      <c r="E53" s="467"/>
      <c r="F53" s="19">
        <v>5</v>
      </c>
      <c r="G53" s="59" t="str">
        <f>IF(査読ｼｰﾄ!V25=" ","（転記）",査読ｼｰﾄ!V25)</f>
        <v>（転記）</v>
      </c>
      <c r="H53" s="290" t="s">
        <v>122</v>
      </c>
      <c r="I53" s="291"/>
      <c r="J53" s="469"/>
      <c r="K53" s="470"/>
      <c r="L53" s="287"/>
      <c r="M53" s="288"/>
      <c r="N53" s="289"/>
      <c r="O53" s="56">
        <f>査読ｼｰﾄ!X25</f>
        <v>0</v>
      </c>
      <c r="P53" s="41" t="s">
        <v>56</v>
      </c>
      <c r="Q53" s="285"/>
      <c r="R53" s="286"/>
      <c r="S53" s="281"/>
      <c r="T53" s="282"/>
      <c r="U53" s="282"/>
      <c r="V53" s="283"/>
      <c r="W53" s="284"/>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7" t="s">
        <v>123</v>
      </c>
      <c r="C55" s="268"/>
      <c r="D55" s="273" t="s">
        <v>124</v>
      </c>
      <c r="E55" s="274"/>
      <c r="F55" s="292" t="s">
        <v>125</v>
      </c>
      <c r="G55" s="293"/>
      <c r="H55" s="293"/>
      <c r="I55" s="293"/>
      <c r="J55" s="293"/>
      <c r="K55" s="293"/>
      <c r="L55" s="293"/>
      <c r="M55" s="293"/>
      <c r="N55" s="293"/>
      <c r="O55" s="293"/>
      <c r="P55" s="293"/>
      <c r="Q55" s="293"/>
      <c r="R55" s="293"/>
      <c r="S55" s="293"/>
      <c r="T55" s="293"/>
      <c r="U55" s="298" t="s">
        <v>126</v>
      </c>
      <c r="V55" s="299"/>
      <c r="W55" s="300"/>
    </row>
    <row r="56" spans="2:31" ht="18" customHeight="1">
      <c r="B56" s="269"/>
      <c r="C56" s="270"/>
      <c r="D56" s="275"/>
      <c r="E56" s="276"/>
      <c r="F56" s="294"/>
      <c r="G56" s="295"/>
      <c r="H56" s="295"/>
      <c r="I56" s="295"/>
      <c r="J56" s="295"/>
      <c r="K56" s="295"/>
      <c r="L56" s="295"/>
      <c r="M56" s="295"/>
      <c r="N56" s="295"/>
      <c r="O56" s="295"/>
      <c r="P56" s="295"/>
      <c r="Q56" s="295"/>
      <c r="R56" s="295"/>
      <c r="S56" s="295"/>
      <c r="T56" s="295"/>
      <c r="U56" s="301"/>
      <c r="V56" s="302"/>
      <c r="W56" s="303"/>
    </row>
    <row r="57" spans="2:31" ht="18" customHeight="1">
      <c r="B57" s="269"/>
      <c r="C57" s="270"/>
      <c r="D57" s="277"/>
      <c r="E57" s="278"/>
      <c r="F57" s="294"/>
      <c r="G57" s="295"/>
      <c r="H57" s="295"/>
      <c r="I57" s="295"/>
      <c r="J57" s="295"/>
      <c r="K57" s="295"/>
      <c r="L57" s="295"/>
      <c r="M57" s="295"/>
      <c r="N57" s="295"/>
      <c r="O57" s="295"/>
      <c r="P57" s="295"/>
      <c r="Q57" s="295"/>
      <c r="R57" s="295"/>
      <c r="S57" s="295"/>
      <c r="T57" s="295"/>
      <c r="U57" s="304"/>
      <c r="V57" s="305"/>
      <c r="W57" s="306"/>
    </row>
    <row r="58" spans="2:31" ht="18" customHeight="1" thickBot="1">
      <c r="B58" s="271"/>
      <c r="C58" s="272"/>
      <c r="D58" s="279"/>
      <c r="E58" s="280"/>
      <c r="F58" s="296"/>
      <c r="G58" s="297"/>
      <c r="H58" s="297"/>
      <c r="I58" s="297"/>
      <c r="J58" s="297"/>
      <c r="K58" s="297"/>
      <c r="L58" s="297"/>
      <c r="M58" s="297"/>
      <c r="N58" s="297"/>
      <c r="O58" s="297"/>
      <c r="P58" s="297"/>
      <c r="Q58" s="297"/>
      <c r="R58" s="297"/>
      <c r="S58" s="297"/>
      <c r="T58" s="297"/>
      <c r="U58" s="307"/>
      <c r="V58" s="308"/>
      <c r="W58" s="309"/>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v>5</v>
      </c>
      <c r="K37" s="510"/>
      <c r="L37" s="120"/>
      <c r="M37" s="120"/>
      <c r="N37" s="120"/>
      <c r="O37" s="120"/>
      <c r="P37" s="120"/>
      <c r="Q37" s="120"/>
      <c r="R37" s="120"/>
      <c r="S37" s="120"/>
      <c r="T37" s="120"/>
    </row>
    <row r="38" spans="1:24" ht="23.25" customHeight="1" thickBot="1">
      <c r="A38" s="495" t="s">
        <v>305</v>
      </c>
      <c r="B38" s="496"/>
      <c r="C38" s="504" t="s">
        <v>306</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t="e">
        <f>IF(J37&lt;&gt;0,DCOUNTA(査読範囲,C43,C26:C27)/J37,IF(J38&lt;&gt;0,DCOUNTA(査読範囲,C43,C26:C27)/J38,0))</f>
        <v>#NAME?</v>
      </c>
      <c r="K40" s="490"/>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H48" sqref="H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c r="K37" s="510"/>
      <c r="L37" s="120"/>
      <c r="M37" s="120"/>
      <c r="N37" s="120"/>
      <c r="O37" s="120"/>
      <c r="P37" s="120"/>
      <c r="Q37" s="120"/>
      <c r="R37" s="120"/>
      <c r="S37" s="120"/>
      <c r="T37" s="120"/>
    </row>
    <row r="38" spans="1:24" ht="23.25" customHeight="1" thickBot="1">
      <c r="A38" s="515" t="s">
        <v>305</v>
      </c>
      <c r="B38" s="516"/>
      <c r="C38" s="514" t="s">
        <v>323</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f>IF(J37&lt;&gt;0,DCOUNTA(査読範囲,C43,C26:C27)/J37,IF(J38&lt;&gt;0,DCOUNTA(査読範囲,C43,C26:C27)/J38,0))</f>
        <v>0</v>
      </c>
      <c r="K40" s="490"/>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44986</v>
      </c>
      <c r="E44" s="126" t="s">
        <v>325</v>
      </c>
      <c r="F44" s="155" t="s">
        <v>326</v>
      </c>
      <c r="G44" s="139">
        <v>44986</v>
      </c>
      <c r="H44" s="130" t="s">
        <v>327</v>
      </c>
      <c r="I44" s="131" t="s">
        <v>221</v>
      </c>
      <c r="J44" s="142"/>
      <c r="K44" s="129" t="s">
        <v>325</v>
      </c>
      <c r="L44" s="132"/>
      <c r="M44" s="132"/>
      <c r="N44" s="132"/>
      <c r="O44" s="132"/>
      <c r="P44" s="132"/>
      <c r="Q44" s="132"/>
      <c r="R44" s="132"/>
      <c r="S44" s="132"/>
      <c r="T44" s="132"/>
    </row>
    <row r="45" spans="1:24" s="79" customFormat="1" ht="24">
      <c r="A45" s="128">
        <f t="shared" ref="A45:A63" si="0">A44+1</f>
        <v>2</v>
      </c>
      <c r="B45" s="161"/>
      <c r="C45" s="154" t="s">
        <v>456</v>
      </c>
      <c r="D45" s="134">
        <v>44993</v>
      </c>
      <c r="E45" s="126" t="s">
        <v>328</v>
      </c>
      <c r="F45" s="155" t="s">
        <v>457</v>
      </c>
      <c r="G45" s="139">
        <v>45027</v>
      </c>
      <c r="H45" s="127" t="s">
        <v>325</v>
      </c>
      <c r="I45" s="131"/>
      <c r="J45" s="142"/>
      <c r="K45" s="129"/>
      <c r="L45" s="132"/>
      <c r="M45" s="132"/>
      <c r="N45" s="132"/>
      <c r="O45" s="132"/>
      <c r="P45" s="132"/>
      <c r="Q45" s="132"/>
      <c r="R45" s="132"/>
      <c r="S45" s="132"/>
      <c r="T45" s="132"/>
      <c r="V45" s="133"/>
    </row>
    <row r="46" spans="1:24" s="79" customFormat="1" ht="24">
      <c r="A46" s="128">
        <f t="shared" si="0"/>
        <v>3</v>
      </c>
      <c r="B46" s="161"/>
      <c r="C46" s="154" t="s">
        <v>458</v>
      </c>
      <c r="D46" s="134">
        <v>44993</v>
      </c>
      <c r="E46" s="126" t="s">
        <v>328</v>
      </c>
      <c r="F46" s="155" t="s">
        <v>457</v>
      </c>
      <c r="G46" s="139">
        <v>45027</v>
      </c>
      <c r="H46" s="127" t="s">
        <v>325</v>
      </c>
      <c r="I46" s="131"/>
      <c r="J46" s="142"/>
      <c r="K46" s="129"/>
      <c r="L46" s="132"/>
      <c r="M46" s="132"/>
      <c r="N46" s="132"/>
      <c r="O46" s="132"/>
      <c r="P46" s="132"/>
      <c r="Q46" s="132"/>
      <c r="R46" s="132"/>
      <c r="S46" s="132"/>
      <c r="T46" s="132"/>
      <c r="V46" s="133"/>
      <c r="W46" s="133"/>
      <c r="X46" s="133"/>
    </row>
    <row r="47" spans="1:24" s="79" customFormat="1" ht="24">
      <c r="A47" s="128">
        <f t="shared" si="0"/>
        <v>4</v>
      </c>
      <c r="B47" s="160"/>
      <c r="C47" s="154" t="s">
        <v>453</v>
      </c>
      <c r="D47" s="134">
        <v>44994</v>
      </c>
      <c r="E47" s="126" t="s">
        <v>452</v>
      </c>
      <c r="F47" s="155" t="s">
        <v>459</v>
      </c>
      <c r="G47" s="139">
        <v>45029</v>
      </c>
      <c r="H47" s="127" t="s">
        <v>460</v>
      </c>
      <c r="I47" s="131"/>
      <c r="J47" s="142"/>
      <c r="K47" s="129"/>
      <c r="L47" s="132"/>
      <c r="M47" s="132"/>
      <c r="N47" s="132"/>
      <c r="O47" s="132"/>
      <c r="P47" s="132"/>
      <c r="Q47" s="132"/>
      <c r="R47" s="132"/>
      <c r="S47" s="132"/>
      <c r="T47" s="132"/>
      <c r="V47" s="133"/>
      <c r="W47" s="133"/>
      <c r="X47" s="133"/>
    </row>
    <row r="48" spans="1:24" s="79" customFormat="1" ht="24">
      <c r="A48" s="128">
        <f t="shared" si="0"/>
        <v>5</v>
      </c>
      <c r="B48" s="161"/>
      <c r="C48" s="154" t="s">
        <v>454</v>
      </c>
      <c r="D48" s="134">
        <v>44994</v>
      </c>
      <c r="E48" s="126" t="s">
        <v>452</v>
      </c>
      <c r="F48" s="155" t="s">
        <v>457</v>
      </c>
      <c r="G48" s="139">
        <v>45027</v>
      </c>
      <c r="H48" s="127" t="s">
        <v>325</v>
      </c>
      <c r="I48" s="131"/>
      <c r="J48" s="142"/>
      <c r="K48" s="129"/>
      <c r="L48" s="132"/>
      <c r="M48" s="132"/>
      <c r="N48" s="132"/>
      <c r="O48" s="132"/>
      <c r="P48" s="132"/>
      <c r="Q48" s="132"/>
      <c r="R48" s="132"/>
      <c r="S48" s="132"/>
      <c r="T48" s="132"/>
      <c r="V48" s="133"/>
      <c r="W48" s="133"/>
      <c r="X48" s="133"/>
    </row>
    <row r="49" spans="1:24" s="79" customFormat="1" ht="36">
      <c r="A49" s="128">
        <f t="shared" si="0"/>
        <v>6</v>
      </c>
      <c r="B49" s="160"/>
      <c r="C49" s="154" t="s">
        <v>455</v>
      </c>
      <c r="D49" s="134">
        <v>44994</v>
      </c>
      <c r="E49" s="126" t="s">
        <v>452</v>
      </c>
      <c r="F49" s="155" t="s">
        <v>326</v>
      </c>
      <c r="G49" s="139">
        <v>45027</v>
      </c>
      <c r="H49" s="127" t="s">
        <v>325</v>
      </c>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329</v>
      </c>
      <c r="E1" s="518">
        <v>44986</v>
      </c>
      <c r="F1" s="518"/>
      <c r="G1" s="518"/>
      <c r="H1" s="518"/>
      <c r="I1" s="518"/>
    </row>
    <row r="2" spans="1:9">
      <c r="D2" s="164" t="s">
        <v>330</v>
      </c>
      <c r="E2" s="518" t="s">
        <v>331</v>
      </c>
      <c r="F2" s="518"/>
      <c r="G2" s="518"/>
      <c r="H2" s="518"/>
      <c r="I2" s="518"/>
    </row>
    <row r="3" spans="1:9" ht="14.25">
      <c r="A3" s="520" t="s">
        <v>332</v>
      </c>
      <c r="B3" s="520"/>
      <c r="C3" s="520"/>
      <c r="D3" s="520"/>
      <c r="E3" s="520"/>
    </row>
    <row r="5" spans="1:9">
      <c r="A5" s="519" t="s">
        <v>333</v>
      </c>
      <c r="B5" s="519"/>
      <c r="C5" s="213" t="str">
        <f>査読ｼｰﾄ!C38</f>
        <v>単体試験要領書_MSBBRA040_【帳票】アドオン(FSC製品化チェックシート).xlsx</v>
      </c>
      <c r="D5" s="164" t="s">
        <v>334</v>
      </c>
      <c r="E5" s="517" t="s">
        <v>335</v>
      </c>
      <c r="F5" s="517"/>
      <c r="G5" s="517"/>
      <c r="H5" s="517"/>
      <c r="I5" s="517"/>
    </row>
    <row r="6" spans="1:9" ht="12.75" thickBot="1"/>
    <row r="7" spans="1:9" ht="73.5">
      <c r="A7" s="166" t="s">
        <v>336</v>
      </c>
      <c r="B7" s="167" t="s">
        <v>337</v>
      </c>
      <c r="C7" s="168" t="s">
        <v>338</v>
      </c>
      <c r="D7" s="168" t="s">
        <v>339</v>
      </c>
      <c r="E7" s="169" t="s">
        <v>340</v>
      </c>
      <c r="F7" s="169" t="s">
        <v>341</v>
      </c>
      <c r="G7" s="169" t="s">
        <v>342</v>
      </c>
      <c r="H7" s="169" t="s">
        <v>343</v>
      </c>
      <c r="I7" s="170" t="s">
        <v>344</v>
      </c>
    </row>
    <row r="8" spans="1:9" ht="3" customHeight="1">
      <c r="A8" s="171"/>
      <c r="B8" s="172"/>
      <c r="C8" s="173"/>
      <c r="D8" s="173"/>
      <c r="E8" s="174"/>
      <c r="F8" s="174"/>
      <c r="G8" s="174"/>
      <c r="H8" s="174"/>
      <c r="I8" s="175"/>
    </row>
    <row r="9" spans="1:9" ht="24">
      <c r="A9" s="176" t="s">
        <v>345</v>
      </c>
      <c r="B9" s="177">
        <v>1</v>
      </c>
      <c r="C9" s="178" t="s">
        <v>346</v>
      </c>
      <c r="D9" s="179" t="s">
        <v>347</v>
      </c>
      <c r="E9" s="236" t="s">
        <v>348</v>
      </c>
      <c r="F9" s="179" t="s">
        <v>348</v>
      </c>
      <c r="G9" s="214" t="s">
        <v>348</v>
      </c>
      <c r="H9" s="214" t="s">
        <v>348</v>
      </c>
      <c r="I9" s="215" t="s">
        <v>348</v>
      </c>
    </row>
    <row r="10" spans="1:9" ht="36">
      <c r="A10" s="180"/>
      <c r="B10" s="181">
        <v>2</v>
      </c>
      <c r="C10" s="182" t="s">
        <v>349</v>
      </c>
      <c r="D10" s="183" t="s">
        <v>347</v>
      </c>
      <c r="E10" s="237" t="s">
        <v>348</v>
      </c>
      <c r="F10" s="183" t="s">
        <v>348</v>
      </c>
      <c r="G10" s="216" t="s">
        <v>348</v>
      </c>
      <c r="H10" s="216" t="s">
        <v>348</v>
      </c>
      <c r="I10" s="217" t="s">
        <v>348</v>
      </c>
    </row>
    <row r="11" spans="1:9" ht="24">
      <c r="A11" s="180"/>
      <c r="B11" s="184">
        <v>3</v>
      </c>
      <c r="C11" s="185" t="s">
        <v>350</v>
      </c>
      <c r="D11" s="186" t="s">
        <v>347</v>
      </c>
      <c r="E11" s="238" t="s">
        <v>348</v>
      </c>
      <c r="F11" s="186" t="s">
        <v>348</v>
      </c>
      <c r="G11" s="218" t="s">
        <v>348</v>
      </c>
      <c r="H11" s="218" t="s">
        <v>348</v>
      </c>
      <c r="I11" s="219" t="s">
        <v>348</v>
      </c>
    </row>
    <row r="12" spans="1:9" ht="48">
      <c r="A12" s="180"/>
      <c r="B12" s="184">
        <v>4</v>
      </c>
      <c r="C12" s="185" t="s">
        <v>351</v>
      </c>
      <c r="D12" s="186" t="s">
        <v>347</v>
      </c>
      <c r="E12" s="238" t="s">
        <v>348</v>
      </c>
      <c r="F12" s="186" t="s">
        <v>348</v>
      </c>
      <c r="G12" s="218" t="s">
        <v>348</v>
      </c>
      <c r="H12" s="218" t="s">
        <v>348</v>
      </c>
      <c r="I12" s="219" t="s">
        <v>348</v>
      </c>
    </row>
    <row r="13" spans="1:9" ht="24">
      <c r="A13" s="180"/>
      <c r="B13" s="181">
        <v>5</v>
      </c>
      <c r="C13" s="182" t="s">
        <v>352</v>
      </c>
      <c r="D13" s="183" t="s">
        <v>347</v>
      </c>
      <c r="E13" s="238" t="s">
        <v>348</v>
      </c>
      <c r="F13" s="186" t="s">
        <v>348</v>
      </c>
      <c r="G13" s="218" t="s">
        <v>348</v>
      </c>
      <c r="H13" s="218" t="s">
        <v>348</v>
      </c>
      <c r="I13" s="219" t="s">
        <v>348</v>
      </c>
    </row>
    <row r="14" spans="1:9" ht="168">
      <c r="A14" s="180"/>
      <c r="B14" s="181">
        <v>6</v>
      </c>
      <c r="C14" s="211" t="s">
        <v>353</v>
      </c>
      <c r="D14" s="212" t="s">
        <v>347</v>
      </c>
      <c r="E14" s="239" t="s">
        <v>348</v>
      </c>
      <c r="F14" s="212" t="s">
        <v>348</v>
      </c>
      <c r="G14" s="220" t="s">
        <v>348</v>
      </c>
      <c r="H14" s="220" t="s">
        <v>348</v>
      </c>
      <c r="I14" s="221" t="s">
        <v>348</v>
      </c>
    </row>
    <row r="15" spans="1:9">
      <c r="A15" s="187"/>
      <c r="B15" s="188"/>
      <c r="C15" s="189"/>
      <c r="D15" s="241"/>
      <c r="E15" s="240"/>
      <c r="F15" s="204"/>
      <c r="G15" s="222"/>
      <c r="H15" s="222"/>
      <c r="I15" s="223"/>
    </row>
    <row r="16" spans="1:9" ht="84">
      <c r="A16" s="176" t="s">
        <v>354</v>
      </c>
      <c r="B16" s="177">
        <v>1</v>
      </c>
      <c r="C16" s="178" t="s">
        <v>355</v>
      </c>
      <c r="D16" s="179"/>
      <c r="E16" s="214" t="s">
        <v>356</v>
      </c>
      <c r="F16" s="179"/>
      <c r="G16" s="214"/>
      <c r="H16" s="214"/>
      <c r="I16" s="215"/>
    </row>
    <row r="17" spans="1:9" ht="24">
      <c r="A17" s="180"/>
      <c r="B17" s="181">
        <v>2</v>
      </c>
      <c r="C17" s="182" t="s">
        <v>357</v>
      </c>
      <c r="D17" s="183"/>
      <c r="E17" s="216" t="s">
        <v>356</v>
      </c>
      <c r="F17" s="183"/>
      <c r="G17" s="216"/>
      <c r="H17" s="216"/>
      <c r="I17" s="217"/>
    </row>
    <row r="18" spans="1:9" ht="24">
      <c r="A18" s="180"/>
      <c r="B18" s="181">
        <v>3</v>
      </c>
      <c r="C18" s="182" t="s">
        <v>358</v>
      </c>
      <c r="D18" s="183"/>
      <c r="E18" s="216" t="s">
        <v>356</v>
      </c>
      <c r="F18" s="183"/>
      <c r="G18" s="216"/>
      <c r="H18" s="216"/>
      <c r="I18" s="217"/>
    </row>
    <row r="19" spans="1:9" ht="24">
      <c r="A19" s="180"/>
      <c r="B19" s="181">
        <v>4</v>
      </c>
      <c r="C19" s="182" t="s">
        <v>359</v>
      </c>
      <c r="D19" s="183"/>
      <c r="E19" s="216" t="s">
        <v>356</v>
      </c>
      <c r="F19" s="183"/>
      <c r="G19" s="216"/>
      <c r="H19" s="216"/>
      <c r="I19" s="217"/>
    </row>
    <row r="20" spans="1:9" ht="24">
      <c r="A20" s="180"/>
      <c r="B20" s="181">
        <v>5</v>
      </c>
      <c r="C20" s="182" t="s">
        <v>360</v>
      </c>
      <c r="D20" s="183"/>
      <c r="E20" s="216" t="s">
        <v>348</v>
      </c>
      <c r="F20" s="183"/>
      <c r="G20" s="216"/>
      <c r="H20" s="216"/>
      <c r="I20" s="217"/>
    </row>
    <row r="21" spans="1:9" ht="24">
      <c r="A21" s="180"/>
      <c r="B21" s="181">
        <v>6</v>
      </c>
      <c r="C21" s="182" t="s">
        <v>361</v>
      </c>
      <c r="D21" s="183"/>
      <c r="E21" s="216" t="s">
        <v>348</v>
      </c>
      <c r="F21" s="183"/>
      <c r="G21" s="216"/>
      <c r="H21" s="216"/>
      <c r="I21" s="217"/>
    </row>
    <row r="22" spans="1:9" ht="24">
      <c r="A22" s="180"/>
      <c r="B22" s="181">
        <v>7</v>
      </c>
      <c r="C22" s="182" t="s">
        <v>362</v>
      </c>
      <c r="D22" s="183"/>
      <c r="E22" s="216" t="s">
        <v>348</v>
      </c>
      <c r="F22" s="183"/>
      <c r="G22" s="216"/>
      <c r="H22" s="216"/>
      <c r="I22" s="217"/>
    </row>
    <row r="23" spans="1:9" ht="24">
      <c r="A23" s="180"/>
      <c r="B23" s="181">
        <v>8</v>
      </c>
      <c r="C23" s="182" t="s">
        <v>363</v>
      </c>
      <c r="D23" s="183"/>
      <c r="E23" s="216" t="s">
        <v>348</v>
      </c>
      <c r="F23" s="183"/>
      <c r="G23" s="216"/>
      <c r="H23" s="216"/>
      <c r="I23" s="217"/>
    </row>
    <row r="24" spans="1:9" ht="36">
      <c r="A24" s="180"/>
      <c r="B24" s="181">
        <v>9</v>
      </c>
      <c r="C24" s="182" t="s">
        <v>364</v>
      </c>
      <c r="D24" s="183"/>
      <c r="E24" s="216" t="s">
        <v>348</v>
      </c>
      <c r="F24" s="183"/>
      <c r="G24" s="216"/>
      <c r="H24" s="216"/>
      <c r="I24" s="217"/>
    </row>
    <row r="25" spans="1:9" ht="36">
      <c r="A25" s="180"/>
      <c r="B25" s="184">
        <v>10</v>
      </c>
      <c r="C25" s="185" t="s">
        <v>365</v>
      </c>
      <c r="D25" s="186"/>
      <c r="E25" s="218" t="s">
        <v>348</v>
      </c>
      <c r="F25" s="186"/>
      <c r="G25" s="218"/>
      <c r="H25" s="218"/>
      <c r="I25" s="219"/>
    </row>
    <row r="26" spans="1:9">
      <c r="A26" s="187"/>
      <c r="B26" s="190"/>
      <c r="C26" s="191"/>
      <c r="D26" s="192"/>
      <c r="E26" s="224"/>
      <c r="F26" s="192"/>
      <c r="G26" s="224"/>
      <c r="H26" s="224"/>
      <c r="I26" s="225"/>
    </row>
    <row r="27" spans="1:9" ht="60">
      <c r="A27" s="176" t="s">
        <v>366</v>
      </c>
      <c r="B27" s="177">
        <v>1</v>
      </c>
      <c r="C27" s="178" t="s">
        <v>367</v>
      </c>
      <c r="D27" s="179"/>
      <c r="E27" s="214" t="s">
        <v>348</v>
      </c>
      <c r="F27" s="179"/>
      <c r="G27" s="214"/>
      <c r="H27" s="214"/>
      <c r="I27" s="215"/>
    </row>
    <row r="28" spans="1:9" ht="60">
      <c r="A28" s="180"/>
      <c r="B28" s="181">
        <v>2</v>
      </c>
      <c r="C28" s="182" t="s">
        <v>368</v>
      </c>
      <c r="D28" s="183"/>
      <c r="E28" s="216" t="s">
        <v>348</v>
      </c>
      <c r="F28" s="183"/>
      <c r="G28" s="216"/>
      <c r="H28" s="216"/>
      <c r="I28" s="217"/>
    </row>
    <row r="29" spans="1:9" ht="72">
      <c r="A29" s="180"/>
      <c r="B29" s="184">
        <v>3</v>
      </c>
      <c r="C29" s="185" t="s">
        <v>369</v>
      </c>
      <c r="D29" s="186"/>
      <c r="E29" s="218" t="s">
        <v>348</v>
      </c>
      <c r="F29" s="186"/>
      <c r="G29" s="218"/>
      <c r="H29" s="218"/>
      <c r="I29" s="219"/>
    </row>
    <row r="30" spans="1:9">
      <c r="A30" s="187"/>
      <c r="B30" s="190"/>
      <c r="C30" s="191"/>
      <c r="D30" s="192"/>
      <c r="E30" s="224"/>
      <c r="F30" s="192"/>
      <c r="G30" s="224"/>
      <c r="H30" s="224"/>
      <c r="I30" s="225"/>
    </row>
    <row r="31" spans="1:9" ht="36">
      <c r="A31" s="176" t="s">
        <v>370</v>
      </c>
      <c r="B31" s="177">
        <v>1</v>
      </c>
      <c r="C31" s="178" t="s">
        <v>371</v>
      </c>
      <c r="D31" s="179"/>
      <c r="E31" s="214" t="s">
        <v>348</v>
      </c>
      <c r="F31" s="179"/>
      <c r="G31" s="214"/>
      <c r="H31" s="214"/>
      <c r="I31" s="215"/>
    </row>
    <row r="32" spans="1:9" ht="36">
      <c r="A32" s="180"/>
      <c r="B32" s="181">
        <v>2</v>
      </c>
      <c r="C32" s="182" t="s">
        <v>372</v>
      </c>
      <c r="D32" s="183"/>
      <c r="E32" s="216" t="s">
        <v>348</v>
      </c>
      <c r="F32" s="183"/>
      <c r="G32" s="216"/>
      <c r="H32" s="216"/>
      <c r="I32" s="217"/>
    </row>
    <row r="33" spans="1:9" ht="36">
      <c r="A33" s="180"/>
      <c r="B33" s="181">
        <v>3</v>
      </c>
      <c r="C33" s="182" t="s">
        <v>373</v>
      </c>
      <c r="D33" s="183"/>
      <c r="E33" s="216" t="s">
        <v>348</v>
      </c>
      <c r="F33" s="183"/>
      <c r="G33" s="216"/>
      <c r="H33" s="216"/>
      <c r="I33" s="217"/>
    </row>
    <row r="34" spans="1:9" ht="36">
      <c r="A34" s="180"/>
      <c r="B34" s="181">
        <v>4</v>
      </c>
      <c r="C34" s="182" t="s">
        <v>374</v>
      </c>
      <c r="D34" s="183"/>
      <c r="E34" s="216" t="s">
        <v>348</v>
      </c>
      <c r="F34" s="183"/>
      <c r="G34" s="216"/>
      <c r="H34" s="216"/>
      <c r="I34" s="217"/>
    </row>
    <row r="35" spans="1:9" ht="36">
      <c r="A35" s="180"/>
      <c r="B35" s="181">
        <v>5</v>
      </c>
      <c r="C35" s="182" t="s">
        <v>375</v>
      </c>
      <c r="D35" s="183"/>
      <c r="E35" s="216" t="s">
        <v>348</v>
      </c>
      <c r="F35" s="183"/>
      <c r="G35" s="216"/>
      <c r="H35" s="216"/>
      <c r="I35" s="217"/>
    </row>
    <row r="36" spans="1:9" ht="36">
      <c r="A36" s="180"/>
      <c r="B36" s="181">
        <v>6</v>
      </c>
      <c r="C36" s="182" t="s">
        <v>376</v>
      </c>
      <c r="D36" s="183"/>
      <c r="E36" s="216" t="s">
        <v>348</v>
      </c>
      <c r="F36" s="183"/>
      <c r="G36" s="216"/>
      <c r="H36" s="216"/>
      <c r="I36" s="217"/>
    </row>
    <row r="37" spans="1:9" ht="36">
      <c r="A37" s="180"/>
      <c r="B37" s="181">
        <v>7</v>
      </c>
      <c r="C37" s="182" t="s">
        <v>377</v>
      </c>
      <c r="D37" s="183"/>
      <c r="E37" s="216" t="s">
        <v>348</v>
      </c>
      <c r="F37" s="183"/>
      <c r="G37" s="216"/>
      <c r="H37" s="216"/>
      <c r="I37" s="217"/>
    </row>
    <row r="38" spans="1:9" ht="36">
      <c r="A38" s="180"/>
      <c r="B38" s="181">
        <v>8</v>
      </c>
      <c r="C38" s="182" t="s">
        <v>378</v>
      </c>
      <c r="D38" s="183"/>
      <c r="E38" s="216" t="s">
        <v>348</v>
      </c>
      <c r="F38" s="183"/>
      <c r="G38" s="216"/>
      <c r="H38" s="216"/>
      <c r="I38" s="217"/>
    </row>
    <row r="39" spans="1:9" ht="36">
      <c r="A39" s="180"/>
      <c r="B39" s="181">
        <v>9</v>
      </c>
      <c r="C39" s="182" t="s">
        <v>379</v>
      </c>
      <c r="D39" s="183"/>
      <c r="E39" s="216" t="s">
        <v>348</v>
      </c>
      <c r="F39" s="183"/>
      <c r="G39" s="216"/>
      <c r="H39" s="216"/>
      <c r="I39" s="217"/>
    </row>
    <row r="40" spans="1:9" ht="48">
      <c r="A40" s="180"/>
      <c r="B40" s="181">
        <v>10</v>
      </c>
      <c r="C40" s="182" t="s">
        <v>380</v>
      </c>
      <c r="D40" s="183"/>
      <c r="E40" s="216" t="s">
        <v>348</v>
      </c>
      <c r="F40" s="183"/>
      <c r="G40" s="216"/>
      <c r="H40" s="216"/>
      <c r="I40" s="217"/>
    </row>
    <row r="41" spans="1:9" ht="72">
      <c r="A41" s="180"/>
      <c r="B41" s="181">
        <v>11</v>
      </c>
      <c r="C41" s="182" t="s">
        <v>381</v>
      </c>
      <c r="D41" s="183"/>
      <c r="E41" s="216" t="s">
        <v>348</v>
      </c>
      <c r="F41" s="183"/>
      <c r="G41" s="216"/>
      <c r="H41" s="216"/>
      <c r="I41" s="217"/>
    </row>
    <row r="42" spans="1:9" ht="36">
      <c r="A42" s="180"/>
      <c r="B42" s="181">
        <v>12</v>
      </c>
      <c r="C42" s="182" t="s">
        <v>382</v>
      </c>
      <c r="D42" s="183"/>
      <c r="E42" s="216" t="s">
        <v>348</v>
      </c>
      <c r="F42" s="183"/>
      <c r="G42" s="216"/>
      <c r="H42" s="216"/>
      <c r="I42" s="217"/>
    </row>
    <row r="43" spans="1:9" ht="36">
      <c r="A43" s="180"/>
      <c r="B43" s="181">
        <v>13</v>
      </c>
      <c r="C43" s="182" t="s">
        <v>383</v>
      </c>
      <c r="D43" s="183"/>
      <c r="E43" s="216" t="s">
        <v>348</v>
      </c>
      <c r="F43" s="183"/>
      <c r="G43" s="216"/>
      <c r="H43" s="216"/>
      <c r="I43" s="217"/>
    </row>
    <row r="44" spans="1:9" ht="24">
      <c r="A44" s="180"/>
      <c r="B44" s="184">
        <v>14</v>
      </c>
      <c r="C44" s="185" t="s">
        <v>384</v>
      </c>
      <c r="D44" s="186"/>
      <c r="E44" s="218" t="s">
        <v>348</v>
      </c>
      <c r="F44" s="186"/>
      <c r="G44" s="218"/>
      <c r="H44" s="218"/>
      <c r="I44" s="219"/>
    </row>
    <row r="45" spans="1:9">
      <c r="A45" s="187"/>
      <c r="B45" s="184"/>
      <c r="C45" s="191"/>
      <c r="D45" s="192"/>
      <c r="E45" s="224"/>
      <c r="F45" s="192"/>
      <c r="G45" s="224"/>
      <c r="H45" s="224"/>
      <c r="I45" s="225"/>
    </row>
    <row r="46" spans="1:9" ht="36">
      <c r="A46" s="193" t="s">
        <v>385</v>
      </c>
      <c r="B46" s="194"/>
      <c r="C46" s="178" t="s">
        <v>386</v>
      </c>
      <c r="D46" s="195"/>
      <c r="E46" s="226"/>
      <c r="F46" s="195"/>
      <c r="G46" s="226"/>
      <c r="H46" s="226"/>
      <c r="I46" s="227"/>
    </row>
    <row r="47" spans="1:9">
      <c r="A47" s="196"/>
      <c r="B47" s="181">
        <v>1</v>
      </c>
      <c r="C47" s="182" t="s">
        <v>387</v>
      </c>
      <c r="D47" s="183"/>
      <c r="E47" s="216" t="s">
        <v>356</v>
      </c>
      <c r="F47" s="183"/>
      <c r="G47" s="216"/>
      <c r="H47" s="216"/>
      <c r="I47" s="217"/>
    </row>
    <row r="48" spans="1:9">
      <c r="A48" s="196"/>
      <c r="B48" s="181">
        <v>2</v>
      </c>
      <c r="C48" s="182" t="s">
        <v>388</v>
      </c>
      <c r="D48" s="183"/>
      <c r="E48" s="216" t="s">
        <v>356</v>
      </c>
      <c r="F48" s="183"/>
      <c r="G48" s="216"/>
      <c r="H48" s="216"/>
      <c r="I48" s="217"/>
    </row>
    <row r="49" spans="1:9">
      <c r="A49" s="196"/>
      <c r="B49" s="181">
        <v>3</v>
      </c>
      <c r="C49" s="182" t="s">
        <v>389</v>
      </c>
      <c r="D49" s="183"/>
      <c r="E49" s="216" t="s">
        <v>356</v>
      </c>
      <c r="F49" s="183"/>
      <c r="G49" s="216"/>
      <c r="H49" s="216"/>
      <c r="I49" s="217"/>
    </row>
    <row r="50" spans="1:9">
      <c r="A50" s="196"/>
      <c r="B50" s="181">
        <v>4</v>
      </c>
      <c r="C50" s="182" t="s">
        <v>390</v>
      </c>
      <c r="D50" s="183"/>
      <c r="E50" s="216" t="s">
        <v>356</v>
      </c>
      <c r="F50" s="183"/>
      <c r="G50" s="216"/>
      <c r="H50" s="216"/>
      <c r="I50" s="217"/>
    </row>
    <row r="51" spans="1:9" ht="24">
      <c r="A51" s="196"/>
      <c r="B51" s="181">
        <v>5</v>
      </c>
      <c r="C51" s="182" t="s">
        <v>391</v>
      </c>
      <c r="D51" s="183"/>
      <c r="E51" s="216" t="s">
        <v>356</v>
      </c>
      <c r="F51" s="183"/>
      <c r="G51" s="216"/>
      <c r="H51" s="216"/>
      <c r="I51" s="217"/>
    </row>
    <row r="52" spans="1:9">
      <c r="A52" s="196"/>
      <c r="B52" s="181">
        <v>6</v>
      </c>
      <c r="C52" s="182" t="s">
        <v>392</v>
      </c>
      <c r="D52" s="183"/>
      <c r="E52" s="216" t="s">
        <v>356</v>
      </c>
      <c r="F52" s="183"/>
      <c r="G52" s="216"/>
      <c r="H52" s="216"/>
      <c r="I52" s="217"/>
    </row>
    <row r="53" spans="1:9" ht="24">
      <c r="A53" s="196"/>
      <c r="B53" s="181">
        <v>7</v>
      </c>
      <c r="C53" s="182" t="s">
        <v>393</v>
      </c>
      <c r="D53" s="183"/>
      <c r="E53" s="216" t="s">
        <v>356</v>
      </c>
      <c r="F53" s="183"/>
      <c r="G53" s="216"/>
      <c r="H53" s="216"/>
      <c r="I53" s="217"/>
    </row>
    <row r="54" spans="1:9">
      <c r="A54" s="196"/>
      <c r="B54" s="181">
        <v>8</v>
      </c>
      <c r="C54" s="182" t="s">
        <v>394</v>
      </c>
      <c r="D54" s="183"/>
      <c r="E54" s="216" t="s">
        <v>356</v>
      </c>
      <c r="F54" s="183"/>
      <c r="G54" s="216"/>
      <c r="H54" s="216"/>
      <c r="I54" s="217"/>
    </row>
    <row r="55" spans="1:9" ht="24">
      <c r="A55" s="196"/>
      <c r="B55" s="184">
        <v>9</v>
      </c>
      <c r="C55" s="185" t="s">
        <v>395</v>
      </c>
      <c r="D55" s="186"/>
      <c r="E55" s="218" t="s">
        <v>356</v>
      </c>
      <c r="F55" s="186"/>
      <c r="G55" s="218"/>
      <c r="H55" s="218"/>
      <c r="I55" s="219"/>
    </row>
    <row r="56" spans="1:9" ht="36">
      <c r="A56" s="196"/>
      <c r="B56" s="181">
        <v>10</v>
      </c>
      <c r="C56" s="182" t="s">
        <v>396</v>
      </c>
      <c r="D56" s="183"/>
      <c r="E56" s="216" t="s">
        <v>356</v>
      </c>
      <c r="F56" s="183"/>
      <c r="G56" s="216"/>
      <c r="H56" s="216"/>
      <c r="I56" s="217"/>
    </row>
    <row r="57" spans="1:9" ht="24">
      <c r="A57" s="196"/>
      <c r="B57" s="194"/>
      <c r="C57" s="182" t="s">
        <v>397</v>
      </c>
      <c r="D57" s="197"/>
      <c r="E57" s="228"/>
      <c r="F57" s="197"/>
      <c r="G57" s="228"/>
      <c r="H57" s="228"/>
      <c r="I57" s="229"/>
    </row>
    <row r="58" spans="1:9">
      <c r="A58" s="196"/>
      <c r="B58" s="181">
        <v>11</v>
      </c>
      <c r="C58" s="198" t="s">
        <v>398</v>
      </c>
      <c r="D58" s="183"/>
      <c r="E58" s="216" t="s">
        <v>356</v>
      </c>
      <c r="F58" s="183"/>
      <c r="G58" s="216"/>
      <c r="H58" s="216"/>
      <c r="I58" s="217"/>
    </row>
    <row r="59" spans="1:9">
      <c r="A59" s="196"/>
      <c r="B59" s="181">
        <v>12</v>
      </c>
      <c r="C59" s="198" t="s">
        <v>399</v>
      </c>
      <c r="D59" s="183"/>
      <c r="E59" s="216" t="s">
        <v>356</v>
      </c>
      <c r="F59" s="183"/>
      <c r="G59" s="216"/>
      <c r="H59" s="216"/>
      <c r="I59" s="217"/>
    </row>
    <row r="60" spans="1:9" ht="24">
      <c r="A60" s="196"/>
      <c r="B60" s="181">
        <v>13</v>
      </c>
      <c r="C60" s="182" t="s">
        <v>400</v>
      </c>
      <c r="D60" s="183"/>
      <c r="E60" s="216" t="s">
        <v>356</v>
      </c>
      <c r="F60" s="183"/>
      <c r="G60" s="216"/>
      <c r="H60" s="216"/>
      <c r="I60" s="217"/>
    </row>
    <row r="61" spans="1:9" ht="36">
      <c r="A61" s="196"/>
      <c r="B61" s="194"/>
      <c r="C61" s="182" t="s">
        <v>401</v>
      </c>
      <c r="D61" s="197"/>
      <c r="E61" s="228"/>
      <c r="F61" s="197"/>
      <c r="G61" s="228"/>
      <c r="H61" s="228"/>
      <c r="I61" s="229"/>
    </row>
    <row r="62" spans="1:9">
      <c r="A62" s="196"/>
      <c r="B62" s="181">
        <v>14</v>
      </c>
      <c r="C62" s="182" t="s">
        <v>402</v>
      </c>
      <c r="D62" s="183"/>
      <c r="E62" s="216" t="s">
        <v>356</v>
      </c>
      <c r="F62" s="183"/>
      <c r="G62" s="216"/>
      <c r="H62" s="216"/>
      <c r="I62" s="217"/>
    </row>
    <row r="63" spans="1:9">
      <c r="A63" s="196"/>
      <c r="B63" s="181">
        <v>15</v>
      </c>
      <c r="C63" s="182" t="s">
        <v>403</v>
      </c>
      <c r="D63" s="183"/>
      <c r="E63" s="216" t="s">
        <v>356</v>
      </c>
      <c r="F63" s="183"/>
      <c r="G63" s="216"/>
      <c r="H63" s="216"/>
      <c r="I63" s="217"/>
    </row>
    <row r="64" spans="1:9">
      <c r="A64" s="196"/>
      <c r="B64" s="181">
        <v>16</v>
      </c>
      <c r="C64" s="182" t="s">
        <v>404</v>
      </c>
      <c r="D64" s="183"/>
      <c r="E64" s="216" t="s">
        <v>356</v>
      </c>
      <c r="F64" s="183"/>
      <c r="G64" s="216"/>
      <c r="H64" s="216"/>
      <c r="I64" s="217"/>
    </row>
    <row r="65" spans="1:9">
      <c r="A65" s="196"/>
      <c r="B65" s="181">
        <v>17</v>
      </c>
      <c r="C65" s="182" t="s">
        <v>405</v>
      </c>
      <c r="D65" s="183"/>
      <c r="E65" s="216" t="s">
        <v>356</v>
      </c>
      <c r="F65" s="183"/>
      <c r="G65" s="216"/>
      <c r="H65" s="216"/>
      <c r="I65" s="217"/>
    </row>
    <row r="66" spans="1:9" ht="24">
      <c r="A66" s="196"/>
      <c r="B66" s="181">
        <v>18</v>
      </c>
      <c r="C66" s="182" t="s">
        <v>391</v>
      </c>
      <c r="D66" s="183"/>
      <c r="E66" s="216" t="s">
        <v>356</v>
      </c>
      <c r="F66" s="183"/>
      <c r="G66" s="216"/>
      <c r="H66" s="216"/>
      <c r="I66" s="217"/>
    </row>
    <row r="67" spans="1:9">
      <c r="A67" s="196"/>
      <c r="B67" s="181">
        <v>19</v>
      </c>
      <c r="C67" s="182" t="s">
        <v>392</v>
      </c>
      <c r="D67" s="183"/>
      <c r="E67" s="216" t="s">
        <v>356</v>
      </c>
      <c r="F67" s="183"/>
      <c r="G67" s="216"/>
      <c r="H67" s="216"/>
      <c r="I67" s="217"/>
    </row>
    <row r="68" spans="1:9">
      <c r="A68" s="196"/>
      <c r="B68" s="181">
        <v>20</v>
      </c>
      <c r="C68" s="182" t="s">
        <v>406</v>
      </c>
      <c r="D68" s="183"/>
      <c r="E68" s="216" t="s">
        <v>356</v>
      </c>
      <c r="F68" s="183"/>
      <c r="G68" s="216"/>
      <c r="H68" s="216"/>
      <c r="I68" s="217"/>
    </row>
    <row r="69" spans="1:9">
      <c r="A69" s="196"/>
      <c r="B69" s="181">
        <v>21</v>
      </c>
      <c r="C69" s="182" t="s">
        <v>407</v>
      </c>
      <c r="D69" s="183"/>
      <c r="E69" s="216" t="s">
        <v>356</v>
      </c>
      <c r="F69" s="183"/>
      <c r="G69" s="216"/>
      <c r="H69" s="216"/>
      <c r="I69" s="217"/>
    </row>
    <row r="70" spans="1:9">
      <c r="A70" s="196"/>
      <c r="B70" s="181">
        <v>22</v>
      </c>
      <c r="C70" s="182" t="s">
        <v>408</v>
      </c>
      <c r="D70" s="183"/>
      <c r="E70" s="216" t="s">
        <v>356</v>
      </c>
      <c r="F70" s="183"/>
      <c r="G70" s="216"/>
      <c r="H70" s="216"/>
      <c r="I70" s="217"/>
    </row>
    <row r="71" spans="1:9" ht="36">
      <c r="A71" s="196"/>
      <c r="B71" s="194"/>
      <c r="C71" s="182" t="s">
        <v>409</v>
      </c>
      <c r="D71" s="197"/>
      <c r="E71" s="228"/>
      <c r="F71" s="197"/>
      <c r="G71" s="228"/>
      <c r="H71" s="228"/>
      <c r="I71" s="229"/>
    </row>
    <row r="72" spans="1:9">
      <c r="A72" s="196"/>
      <c r="B72" s="181">
        <v>18</v>
      </c>
      <c r="C72" s="182" t="s">
        <v>410</v>
      </c>
      <c r="D72" s="183"/>
      <c r="E72" s="216" t="s">
        <v>356</v>
      </c>
      <c r="F72" s="183"/>
      <c r="G72" s="216"/>
      <c r="H72" s="216"/>
      <c r="I72" s="217"/>
    </row>
    <row r="73" spans="1:9">
      <c r="A73" s="196"/>
      <c r="B73" s="181">
        <v>19</v>
      </c>
      <c r="C73" s="182" t="s">
        <v>411</v>
      </c>
      <c r="D73" s="183"/>
      <c r="E73" s="216" t="s">
        <v>356</v>
      </c>
      <c r="F73" s="183"/>
      <c r="G73" s="216"/>
      <c r="H73" s="216"/>
      <c r="I73" s="217"/>
    </row>
    <row r="74" spans="1:9">
      <c r="A74" s="196"/>
      <c r="B74" s="181">
        <v>20</v>
      </c>
      <c r="C74" s="182" t="s">
        <v>412</v>
      </c>
      <c r="D74" s="183"/>
      <c r="E74" s="216" t="s">
        <v>356</v>
      </c>
      <c r="F74" s="183"/>
      <c r="G74" s="216"/>
      <c r="H74" s="216"/>
      <c r="I74" s="217"/>
    </row>
    <row r="75" spans="1:9">
      <c r="A75" s="196"/>
      <c r="B75" s="181">
        <v>21</v>
      </c>
      <c r="C75" s="182" t="s">
        <v>413</v>
      </c>
      <c r="D75" s="183"/>
      <c r="E75" s="216" t="s">
        <v>356</v>
      </c>
      <c r="F75" s="183"/>
      <c r="G75" s="216"/>
      <c r="H75" s="216"/>
      <c r="I75" s="217"/>
    </row>
    <row r="76" spans="1:9" ht="36">
      <c r="A76" s="196"/>
      <c r="B76" s="181">
        <v>22</v>
      </c>
      <c r="C76" s="182" t="s">
        <v>414</v>
      </c>
      <c r="D76" s="183"/>
      <c r="E76" s="216" t="s">
        <v>356</v>
      </c>
      <c r="F76" s="183"/>
      <c r="G76" s="216"/>
      <c r="H76" s="216"/>
      <c r="I76" s="217"/>
    </row>
    <row r="77" spans="1:9" ht="24">
      <c r="A77" s="180"/>
      <c r="B77" s="194"/>
      <c r="C77" s="185" t="s">
        <v>415</v>
      </c>
      <c r="D77" s="197"/>
      <c r="E77" s="228"/>
      <c r="F77" s="197"/>
      <c r="G77" s="228"/>
      <c r="H77" s="228"/>
      <c r="I77" s="229"/>
    </row>
    <row r="78" spans="1:9">
      <c r="A78" s="180"/>
      <c r="B78" s="184">
        <v>23</v>
      </c>
      <c r="C78" s="185" t="s">
        <v>416</v>
      </c>
      <c r="D78" s="186"/>
      <c r="E78" s="218" t="s">
        <v>356</v>
      </c>
      <c r="F78" s="186"/>
      <c r="G78" s="218"/>
      <c r="H78" s="218"/>
      <c r="I78" s="219"/>
    </row>
    <row r="79" spans="1:9">
      <c r="A79" s="180"/>
      <c r="B79" s="184">
        <v>24</v>
      </c>
      <c r="C79" s="185" t="s">
        <v>417</v>
      </c>
      <c r="D79" s="186"/>
      <c r="E79" s="218" t="s">
        <v>356</v>
      </c>
      <c r="F79" s="186"/>
      <c r="G79" s="218"/>
      <c r="H79" s="218"/>
      <c r="I79" s="219"/>
    </row>
    <row r="80" spans="1:9" ht="24">
      <c r="A80" s="180"/>
      <c r="B80" s="184">
        <v>25</v>
      </c>
      <c r="C80" s="185" t="s">
        <v>418</v>
      </c>
      <c r="D80" s="186"/>
      <c r="E80" s="218" t="s">
        <v>348</v>
      </c>
      <c r="F80" s="186"/>
      <c r="G80" s="218"/>
      <c r="H80" s="218"/>
      <c r="I80" s="219"/>
    </row>
    <row r="81" spans="1:9">
      <c r="A81" s="187"/>
      <c r="B81" s="190"/>
      <c r="C81" s="191"/>
      <c r="D81" s="192"/>
      <c r="E81" s="224"/>
      <c r="F81" s="192"/>
      <c r="G81" s="224"/>
      <c r="H81" s="224"/>
      <c r="I81" s="225"/>
    </row>
    <row r="82" spans="1:9" ht="36">
      <c r="A82" s="193" t="s">
        <v>419</v>
      </c>
      <c r="B82" s="177">
        <v>1</v>
      </c>
      <c r="C82" s="178" t="s">
        <v>420</v>
      </c>
      <c r="D82" s="179" t="s">
        <v>347</v>
      </c>
      <c r="E82" s="214"/>
      <c r="F82" s="199" t="s">
        <v>348</v>
      </c>
      <c r="G82" s="230" t="s">
        <v>348</v>
      </c>
      <c r="H82" s="214" t="s">
        <v>348</v>
      </c>
      <c r="I82" s="215" t="s">
        <v>348</v>
      </c>
    </row>
    <row r="83" spans="1:9" ht="48">
      <c r="A83" s="180"/>
      <c r="B83" s="181">
        <v>2</v>
      </c>
      <c r="C83" s="182" t="s">
        <v>421</v>
      </c>
      <c r="D83" s="183" t="s">
        <v>347</v>
      </c>
      <c r="E83" s="216"/>
      <c r="F83" s="183" t="s">
        <v>348</v>
      </c>
      <c r="G83" s="216" t="s">
        <v>348</v>
      </c>
      <c r="H83" s="216" t="s">
        <v>348</v>
      </c>
      <c r="I83" s="217" t="s">
        <v>348</v>
      </c>
    </row>
    <row r="84" spans="1:9" ht="24">
      <c r="A84" s="180"/>
      <c r="B84" s="181">
        <v>3</v>
      </c>
      <c r="C84" s="182" t="s">
        <v>422</v>
      </c>
      <c r="D84" s="183" t="s">
        <v>347</v>
      </c>
      <c r="E84" s="216"/>
      <c r="F84" s="183" t="s">
        <v>348</v>
      </c>
      <c r="G84" s="216" t="s">
        <v>348</v>
      </c>
      <c r="H84" s="216" t="s">
        <v>348</v>
      </c>
      <c r="I84" s="217" t="s">
        <v>348</v>
      </c>
    </row>
    <row r="85" spans="1:9" ht="24">
      <c r="A85" s="180"/>
      <c r="B85" s="184">
        <v>4</v>
      </c>
      <c r="C85" s="185" t="s">
        <v>423</v>
      </c>
      <c r="D85" s="186" t="s">
        <v>347</v>
      </c>
      <c r="E85" s="218"/>
      <c r="F85" s="186" t="s">
        <v>348</v>
      </c>
      <c r="G85" s="218" t="s">
        <v>348</v>
      </c>
      <c r="H85" s="218" t="s">
        <v>348</v>
      </c>
      <c r="I85" s="219" t="s">
        <v>348</v>
      </c>
    </row>
    <row r="86" spans="1:9">
      <c r="A86" s="187"/>
      <c r="B86" s="190"/>
      <c r="C86" s="191"/>
      <c r="D86" s="192"/>
      <c r="E86" s="224"/>
      <c r="F86" s="192"/>
      <c r="G86" s="224"/>
      <c r="H86" s="224"/>
      <c r="I86" s="225"/>
    </row>
    <row r="87" spans="1:9" ht="36">
      <c r="A87" s="196" t="s">
        <v>424</v>
      </c>
      <c r="B87" s="200">
        <v>1</v>
      </c>
      <c r="C87" s="201" t="s">
        <v>425</v>
      </c>
      <c r="D87" s="242" t="s">
        <v>347</v>
      </c>
      <c r="E87" s="231"/>
      <c r="F87" s="179" t="s">
        <v>348</v>
      </c>
      <c r="G87" s="214" t="s">
        <v>348</v>
      </c>
      <c r="H87" s="231" t="s">
        <v>348</v>
      </c>
      <c r="I87" s="232" t="s">
        <v>348</v>
      </c>
    </row>
    <row r="88" spans="1:9" ht="48">
      <c r="A88" s="180"/>
      <c r="B88" s="181">
        <v>2</v>
      </c>
      <c r="C88" s="182" t="s">
        <v>426</v>
      </c>
      <c r="D88" s="183" t="s">
        <v>347</v>
      </c>
      <c r="E88" s="216"/>
      <c r="F88" s="183" t="s">
        <v>348</v>
      </c>
      <c r="G88" s="216" t="s">
        <v>348</v>
      </c>
      <c r="H88" s="216" t="s">
        <v>348</v>
      </c>
      <c r="I88" s="217" t="s">
        <v>348</v>
      </c>
    </row>
    <row r="89" spans="1:9" ht="24">
      <c r="A89" s="180"/>
      <c r="B89" s="181">
        <v>3</v>
      </c>
      <c r="C89" s="182" t="s">
        <v>427</v>
      </c>
      <c r="D89" s="183" t="s">
        <v>347</v>
      </c>
      <c r="E89" s="216"/>
      <c r="F89" s="183" t="s">
        <v>348</v>
      </c>
      <c r="G89" s="216" t="s">
        <v>348</v>
      </c>
      <c r="H89" s="216" t="s">
        <v>348</v>
      </c>
      <c r="I89" s="217" t="s">
        <v>348</v>
      </c>
    </row>
    <row r="90" spans="1:9" ht="24">
      <c r="A90" s="180"/>
      <c r="B90" s="181">
        <v>4</v>
      </c>
      <c r="C90" s="182" t="s">
        <v>428</v>
      </c>
      <c r="D90" s="183" t="s">
        <v>347</v>
      </c>
      <c r="E90" s="216"/>
      <c r="F90" s="183" t="s">
        <v>348</v>
      </c>
      <c r="G90" s="216" t="s">
        <v>348</v>
      </c>
      <c r="H90" s="216" t="s">
        <v>348</v>
      </c>
      <c r="I90" s="217" t="s">
        <v>348</v>
      </c>
    </row>
    <row r="91" spans="1:9" ht="24">
      <c r="A91" s="180"/>
      <c r="B91" s="181">
        <v>5</v>
      </c>
      <c r="C91" s="182" t="s">
        <v>429</v>
      </c>
      <c r="D91" s="183" t="s">
        <v>347</v>
      </c>
      <c r="E91" s="216"/>
      <c r="F91" s="183" t="s">
        <v>348</v>
      </c>
      <c r="G91" s="216" t="s">
        <v>348</v>
      </c>
      <c r="H91" s="216" t="s">
        <v>348</v>
      </c>
      <c r="I91" s="217" t="s">
        <v>348</v>
      </c>
    </row>
    <row r="92" spans="1:9" ht="24">
      <c r="A92" s="180"/>
      <c r="B92" s="181">
        <v>6</v>
      </c>
      <c r="C92" s="182" t="s">
        <v>430</v>
      </c>
      <c r="D92" s="183" t="s">
        <v>347</v>
      </c>
      <c r="E92" s="216"/>
      <c r="F92" s="183" t="s">
        <v>348</v>
      </c>
      <c r="G92" s="216" t="s">
        <v>348</v>
      </c>
      <c r="H92" s="216" t="s">
        <v>348</v>
      </c>
      <c r="I92" s="217" t="s">
        <v>348</v>
      </c>
    </row>
    <row r="93" spans="1:9" ht="24">
      <c r="A93" s="180"/>
      <c r="B93" s="181">
        <v>7</v>
      </c>
      <c r="C93" s="182" t="s">
        <v>431</v>
      </c>
      <c r="D93" s="183" t="s">
        <v>347</v>
      </c>
      <c r="E93" s="216"/>
      <c r="F93" s="183" t="s">
        <v>348</v>
      </c>
      <c r="G93" s="216" t="s">
        <v>348</v>
      </c>
      <c r="H93" s="216" t="s">
        <v>348</v>
      </c>
      <c r="I93" s="217" t="s">
        <v>348</v>
      </c>
    </row>
    <row r="94" spans="1:9" ht="24">
      <c r="A94" s="180"/>
      <c r="B94" s="181">
        <v>8</v>
      </c>
      <c r="C94" s="182" t="s">
        <v>432</v>
      </c>
      <c r="D94" s="183" t="s">
        <v>347</v>
      </c>
      <c r="E94" s="216"/>
      <c r="F94" s="183" t="s">
        <v>348</v>
      </c>
      <c r="G94" s="216" t="s">
        <v>348</v>
      </c>
      <c r="H94" s="216" t="s">
        <v>348</v>
      </c>
      <c r="I94" s="217" t="s">
        <v>348</v>
      </c>
    </row>
    <row r="95" spans="1:9">
      <c r="A95" s="187"/>
      <c r="B95" s="190"/>
      <c r="C95" s="191"/>
      <c r="D95" s="192"/>
      <c r="E95" s="224"/>
      <c r="F95" s="192"/>
      <c r="G95" s="224"/>
      <c r="H95" s="224"/>
      <c r="I95" s="225"/>
    </row>
    <row r="96" spans="1:9" ht="84">
      <c r="A96" s="193" t="s">
        <v>433</v>
      </c>
      <c r="B96" s="177">
        <v>1</v>
      </c>
      <c r="C96" s="178" t="s">
        <v>434</v>
      </c>
      <c r="D96" s="179" t="s">
        <v>347</v>
      </c>
      <c r="E96" s="214"/>
      <c r="F96" s="179" t="s">
        <v>348</v>
      </c>
      <c r="G96" s="214" t="s">
        <v>348</v>
      </c>
      <c r="H96" s="214"/>
      <c r="I96" s="215"/>
    </row>
    <row r="97" spans="1:9" ht="36">
      <c r="A97" s="180"/>
      <c r="B97" s="181">
        <v>2</v>
      </c>
      <c r="C97" s="182" t="s">
        <v>435</v>
      </c>
      <c r="D97" s="183" t="s">
        <v>347</v>
      </c>
      <c r="E97" s="216"/>
      <c r="F97" s="183" t="s">
        <v>348</v>
      </c>
      <c r="G97" s="216" t="s">
        <v>348</v>
      </c>
      <c r="H97" s="216"/>
      <c r="I97" s="217"/>
    </row>
    <row r="98" spans="1:9" ht="60">
      <c r="A98" s="180"/>
      <c r="B98" s="181">
        <v>3</v>
      </c>
      <c r="C98" s="182" t="s">
        <v>436</v>
      </c>
      <c r="D98" s="183" t="s">
        <v>347</v>
      </c>
      <c r="E98" s="216"/>
      <c r="F98" s="183" t="s">
        <v>348</v>
      </c>
      <c r="G98" s="216" t="s">
        <v>348</v>
      </c>
      <c r="H98" s="216"/>
      <c r="I98" s="217"/>
    </row>
    <row r="99" spans="1:9" ht="60">
      <c r="A99" s="180"/>
      <c r="B99" s="181">
        <v>4</v>
      </c>
      <c r="C99" s="182" t="s">
        <v>437</v>
      </c>
      <c r="D99" s="183" t="s">
        <v>347</v>
      </c>
      <c r="E99" s="216"/>
      <c r="F99" s="183" t="s">
        <v>348</v>
      </c>
      <c r="G99" s="216" t="s">
        <v>348</v>
      </c>
      <c r="H99" s="216"/>
      <c r="I99" s="217"/>
    </row>
    <row r="100" spans="1:9" ht="24">
      <c r="A100" s="180"/>
      <c r="B100" s="184">
        <v>5</v>
      </c>
      <c r="C100" s="185" t="s">
        <v>438</v>
      </c>
      <c r="D100" s="186" t="s">
        <v>347</v>
      </c>
      <c r="E100" s="218"/>
      <c r="F100" s="186" t="s">
        <v>348</v>
      </c>
      <c r="G100" s="218" t="s">
        <v>348</v>
      </c>
      <c r="H100" s="218"/>
      <c r="I100" s="219"/>
    </row>
    <row r="101" spans="1:9">
      <c r="A101" s="187"/>
      <c r="B101" s="190"/>
      <c r="C101" s="191"/>
      <c r="D101" s="192"/>
      <c r="E101" s="224"/>
      <c r="F101" s="192"/>
      <c r="G101" s="224"/>
      <c r="H101" s="224"/>
      <c r="I101" s="225"/>
    </row>
    <row r="102" spans="1:9" ht="36">
      <c r="A102" s="176" t="s">
        <v>439</v>
      </c>
      <c r="B102" s="177">
        <v>1</v>
      </c>
      <c r="C102" s="178" t="s">
        <v>440</v>
      </c>
      <c r="D102" s="179" t="s">
        <v>347</v>
      </c>
      <c r="E102" s="214" t="s">
        <v>348</v>
      </c>
      <c r="F102" s="179" t="s">
        <v>348</v>
      </c>
      <c r="G102" s="214" t="s">
        <v>348</v>
      </c>
      <c r="H102" s="214" t="s">
        <v>348</v>
      </c>
      <c r="I102" s="215" t="s">
        <v>348</v>
      </c>
    </row>
    <row r="103" spans="1:9" ht="60">
      <c r="A103" s="180"/>
      <c r="B103" s="181">
        <v>2</v>
      </c>
      <c r="C103" s="182" t="s">
        <v>441</v>
      </c>
      <c r="D103" s="183" t="s">
        <v>347</v>
      </c>
      <c r="E103" s="216" t="s">
        <v>348</v>
      </c>
      <c r="F103" s="183" t="s">
        <v>348</v>
      </c>
      <c r="G103" s="216" t="s">
        <v>348</v>
      </c>
      <c r="H103" s="216" t="s">
        <v>348</v>
      </c>
      <c r="I103" s="217" t="s">
        <v>348</v>
      </c>
    </row>
    <row r="104" spans="1:9" ht="36">
      <c r="A104" s="180"/>
      <c r="B104" s="184">
        <v>3</v>
      </c>
      <c r="C104" s="185" t="s">
        <v>442</v>
      </c>
      <c r="D104" s="186" t="s">
        <v>347</v>
      </c>
      <c r="E104" s="218" t="s">
        <v>348</v>
      </c>
      <c r="F104" s="186" t="s">
        <v>348</v>
      </c>
      <c r="G104" s="218" t="s">
        <v>348</v>
      </c>
      <c r="H104" s="218" t="s">
        <v>348</v>
      </c>
      <c r="I104" s="219" t="s">
        <v>348</v>
      </c>
    </row>
    <row r="105" spans="1:9" ht="36">
      <c r="A105" s="180"/>
      <c r="B105" s="184">
        <v>4</v>
      </c>
      <c r="C105" s="185" t="s">
        <v>443</v>
      </c>
      <c r="D105" s="186" t="s">
        <v>347</v>
      </c>
      <c r="E105" s="218" t="s">
        <v>348</v>
      </c>
      <c r="F105" s="186" t="s">
        <v>348</v>
      </c>
      <c r="G105" s="218" t="s">
        <v>348</v>
      </c>
      <c r="H105" s="218" t="s">
        <v>348</v>
      </c>
      <c r="I105" s="219" t="s">
        <v>348</v>
      </c>
    </row>
    <row r="106" spans="1:9">
      <c r="A106" s="187"/>
      <c r="B106" s="190"/>
      <c r="C106" s="191"/>
      <c r="D106" s="192"/>
      <c r="E106" s="224"/>
      <c r="F106" s="192"/>
      <c r="G106" s="224"/>
      <c r="H106" s="224"/>
      <c r="I106" s="225"/>
    </row>
    <row r="107" spans="1:9" ht="48">
      <c r="A107" s="180" t="s">
        <v>444</v>
      </c>
      <c r="B107" s="202">
        <v>1</v>
      </c>
      <c r="C107" s="203" t="s">
        <v>445</v>
      </c>
      <c r="D107" s="204" t="s">
        <v>347</v>
      </c>
      <c r="E107" s="222" t="s">
        <v>348</v>
      </c>
      <c r="F107" s="204" t="s">
        <v>348</v>
      </c>
      <c r="G107" s="222" t="s">
        <v>348</v>
      </c>
      <c r="H107" s="222" t="s">
        <v>348</v>
      </c>
      <c r="I107" s="223" t="s">
        <v>348</v>
      </c>
    </row>
    <row r="108" spans="1:9">
      <c r="A108" s="187"/>
      <c r="B108" s="190"/>
      <c r="C108" s="191"/>
      <c r="D108" s="192"/>
      <c r="E108" s="224"/>
      <c r="F108" s="192"/>
      <c r="G108" s="224"/>
      <c r="H108" s="224"/>
      <c r="I108" s="225"/>
    </row>
    <row r="109" spans="1:9" ht="24">
      <c r="A109" s="176" t="s">
        <v>446</v>
      </c>
      <c r="B109" s="205">
        <v>1</v>
      </c>
      <c r="C109" s="206" t="s">
        <v>447</v>
      </c>
      <c r="D109" s="199" t="s">
        <v>347</v>
      </c>
      <c r="E109" s="230" t="s">
        <v>348</v>
      </c>
      <c r="F109" s="199" t="s">
        <v>348</v>
      </c>
      <c r="G109" s="230" t="s">
        <v>348</v>
      </c>
      <c r="H109" s="230" t="s">
        <v>348</v>
      </c>
      <c r="I109" s="233" t="s">
        <v>348</v>
      </c>
    </row>
    <row r="110" spans="1:9">
      <c r="A110" s="187"/>
      <c r="B110" s="190"/>
      <c r="C110" s="191"/>
      <c r="D110" s="192"/>
      <c r="E110" s="224"/>
      <c r="F110" s="192"/>
      <c r="G110" s="224"/>
      <c r="H110" s="224"/>
      <c r="I110" s="225"/>
    </row>
    <row r="111" spans="1:9" ht="24">
      <c r="A111" s="176" t="s">
        <v>448</v>
      </c>
      <c r="B111" s="205">
        <v>1</v>
      </c>
      <c r="C111" s="206" t="s">
        <v>449</v>
      </c>
      <c r="D111" s="199" t="s">
        <v>347</v>
      </c>
      <c r="E111" s="230" t="s">
        <v>348</v>
      </c>
      <c r="F111" s="199" t="s">
        <v>348</v>
      </c>
      <c r="G111" s="230" t="s">
        <v>348</v>
      </c>
      <c r="H111" s="230" t="s">
        <v>348</v>
      </c>
      <c r="I111" s="233" t="s">
        <v>348</v>
      </c>
    </row>
    <row r="112" spans="1:9">
      <c r="A112" s="187"/>
      <c r="B112" s="190"/>
      <c r="C112" s="191"/>
      <c r="D112" s="192"/>
      <c r="E112" s="224"/>
      <c r="F112" s="192"/>
      <c r="G112" s="224"/>
      <c r="H112" s="224"/>
      <c r="I112" s="225"/>
    </row>
    <row r="113" spans="1:9" ht="24">
      <c r="A113" s="176" t="s">
        <v>450</v>
      </c>
      <c r="B113" s="205">
        <v>1</v>
      </c>
      <c r="C113" s="206" t="s">
        <v>451</v>
      </c>
      <c r="D113" s="199" t="s">
        <v>347</v>
      </c>
      <c r="E113" s="230" t="s">
        <v>348</v>
      </c>
      <c r="F113" s="199" t="s">
        <v>348</v>
      </c>
      <c r="G113" s="230" t="s">
        <v>348</v>
      </c>
      <c r="H113" s="230" t="s">
        <v>348</v>
      </c>
      <c r="I113" s="233" t="s">
        <v>348</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EVCTUWYQZQYC-538864054-28965</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https://mitsubishielectricgroup.sharepoint.com/sites/009989/_layouts/15/DocIdRedir.aspx?ID=EVCTUWYQZQYC-538864054-28965</Url>
      <Description>EVCTUWYQZQYC-538864054-28965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2.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0EE61-B195-4CB1-87A3-4E5E2F9B4720}">
  <ds:schemaRefs>
    <ds:schemaRef ds:uri="http://www.w3.org/XML/1998/namespace"/>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761a324b-5d78-44cf-b9f7-03e8b2a8fda7"/>
    <ds:schemaRef ds:uri="276bdb53-d102-4a67-8437-273e78fbb7dc"/>
    <ds:schemaRef ds:uri="http://purl.org/dc/dcmitype/"/>
  </ds:schemaRefs>
</ds:datastoreItem>
</file>

<file path=customXml/itemProps4.xml><?xml version="1.0" encoding="utf-8"?>
<ds:datastoreItem xmlns:ds="http://schemas.openxmlformats.org/officeDocument/2006/customXml" ds:itemID="{FA3665D7-A8D5-475E-997B-92106B9D6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2023-04-14T00:42:29Z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f9813b17-4e2f-4b47-a539-ec53b17e2e83</vt:lpwstr>
  </property>
  <property fmtid="{D5CDD505-2E9C-101B-9397-08002B2CF9AE}" pid="5" name="MediaServiceImageTags">
    <vt:lpwstr/>
  </property>
</Properties>
</file>