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CP\_PJ準備\401.プログラムレビュー_【無錫】\"/>
    </mc:Choice>
  </mc:AlternateContent>
  <xr:revisionPtr revIDLastSave="0" documentId="13_ncr:1_{618D980C-36E7-41A9-B8CE-80DA46C8F7DB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改訂履歴" sheetId="2" r:id="rId1"/>
    <sheet name="レビューシート" sheetId="1" r:id="rId2"/>
    <sheet name="説明書" sheetId="9" r:id="rId3"/>
  </sheets>
  <definedNames>
    <definedName name="_xlnm.Print_Area" localSheetId="1">レビューシート!$A$1:$K$41</definedName>
    <definedName name="_xlnm.Print_Area" localSheetId="2">説明書!$A$1:$K$41</definedName>
    <definedName name="工程" localSheetId="2">説明書!$J$3:$J$11</definedName>
    <definedName name="工程">レビューシート!$J$3:$J$11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9" l="1"/>
  <c r="J10" i="9"/>
  <c r="J9" i="9"/>
  <c r="J8" i="9"/>
  <c r="J7" i="9"/>
  <c r="J6" i="9"/>
  <c r="J5" i="9"/>
  <c r="J4" i="9"/>
  <c r="J3" i="9"/>
  <c r="D11" i="9" l="1"/>
  <c r="D11" i="1"/>
  <c r="J1" i="9" l="1"/>
  <c r="K1" i="9"/>
  <c r="K11" i="1" l="1"/>
  <c r="K10" i="1"/>
  <c r="K9" i="1"/>
  <c r="K8" i="1"/>
  <c r="K7" i="1"/>
  <c r="K6" i="1"/>
  <c r="K5" i="1"/>
  <c r="K4" i="1"/>
  <c r="K3" i="1"/>
  <c r="K12" i="1" l="1"/>
  <c r="K11" i="9"/>
  <c r="K10" i="9"/>
  <c r="K9" i="9"/>
  <c r="K8" i="9"/>
  <c r="K7" i="9"/>
  <c r="K6" i="9"/>
  <c r="K5" i="9"/>
  <c r="K4" i="9"/>
  <c r="K3" i="9"/>
  <c r="K12" i="9" l="1"/>
</calcChain>
</file>

<file path=xl/sharedStrings.xml><?xml version="1.0" encoding="utf-8"?>
<sst xmlns="http://schemas.openxmlformats.org/spreadsheetml/2006/main" count="204" uniqueCount="115">
  <si>
    <t>査読レビューシート　（改訂履歴）</t>
    <rPh sb="0" eb="2">
      <t>サドク</t>
    </rPh>
    <rPh sb="11" eb="13">
      <t>カイテイ</t>
    </rPh>
    <rPh sb="13" eb="15">
      <t>リレキ</t>
    </rPh>
    <phoneticPr fontId="19"/>
  </si>
  <si>
    <t>改定日</t>
    <rPh sb="0" eb="3">
      <t>カイテイビ</t>
    </rPh>
    <phoneticPr fontId="19"/>
  </si>
  <si>
    <t>番号</t>
    <rPh sb="0" eb="2">
      <t>バンゴウ</t>
    </rPh>
    <phoneticPr fontId="19"/>
  </si>
  <si>
    <t>改訂内容/理由</t>
    <rPh sb="0" eb="2">
      <t>カイテイ</t>
    </rPh>
    <rPh sb="2" eb="4">
      <t>ナイヨウ</t>
    </rPh>
    <rPh sb="5" eb="7">
      <t>リユウ</t>
    </rPh>
    <phoneticPr fontId="19"/>
  </si>
  <si>
    <t>Ver. 1.0</t>
    <phoneticPr fontId="19"/>
  </si>
  <si>
    <t>新規制定</t>
    <rPh sb="0" eb="2">
      <t>シンキ</t>
    </rPh>
    <rPh sb="2" eb="4">
      <t>セイテイ</t>
    </rPh>
    <phoneticPr fontId="19"/>
  </si>
  <si>
    <t>Ver. 1.1</t>
    <phoneticPr fontId="19"/>
  </si>
  <si>
    <t>レビュー日、レビューアの項目を見出し部から明細部へ移動。</t>
    <rPh sb="4" eb="5">
      <t>ビ</t>
    </rPh>
    <rPh sb="12" eb="14">
      <t>コウモク</t>
    </rPh>
    <rPh sb="15" eb="17">
      <t>ミダ</t>
    </rPh>
    <rPh sb="18" eb="19">
      <t>ブ</t>
    </rPh>
    <rPh sb="21" eb="23">
      <t>メイサイ</t>
    </rPh>
    <rPh sb="23" eb="24">
      <t>ブ</t>
    </rPh>
    <rPh sb="25" eb="27">
      <t>イドウ</t>
    </rPh>
    <phoneticPr fontId="19"/>
  </si>
  <si>
    <t>顧客名を追加。</t>
    <rPh sb="0" eb="2">
      <t>コキャク</t>
    </rPh>
    <rPh sb="2" eb="3">
      <t>メイ</t>
    </rPh>
    <rPh sb="4" eb="6">
      <t>ツイカ</t>
    </rPh>
    <phoneticPr fontId="19"/>
  </si>
  <si>
    <t>作込工程を社規40100システム開発規定に合せて見直し。</t>
    <rPh sb="0" eb="1">
      <t>ツク</t>
    </rPh>
    <rPh sb="1" eb="2">
      <t>コ</t>
    </rPh>
    <rPh sb="2" eb="4">
      <t>コウテイ</t>
    </rPh>
    <rPh sb="5" eb="6">
      <t>シャ</t>
    </rPh>
    <rPh sb="6" eb="7">
      <t>キ</t>
    </rPh>
    <rPh sb="16" eb="18">
      <t>カイハツ</t>
    </rPh>
    <rPh sb="18" eb="20">
      <t>キテイ</t>
    </rPh>
    <rPh sb="21" eb="22">
      <t>アワ</t>
    </rPh>
    <rPh sb="24" eb="26">
      <t>ミナオ</t>
    </rPh>
    <phoneticPr fontId="19"/>
  </si>
  <si>
    <t>Ver. 1.2</t>
    <phoneticPr fontId="19"/>
  </si>
  <si>
    <t>Excel2010保存時の互換性チェックエラーの対応。</t>
    <rPh sb="9" eb="11">
      <t>ホゾン</t>
    </rPh>
    <rPh sb="11" eb="12">
      <t>ジ</t>
    </rPh>
    <rPh sb="13" eb="16">
      <t>ゴカンセイ</t>
    </rPh>
    <rPh sb="24" eb="26">
      <t>タイオウ</t>
    </rPh>
    <phoneticPr fontId="19"/>
  </si>
  <si>
    <t>・入力規則のリストを名前定義での参照に変更。</t>
    <rPh sb="1" eb="3">
      <t>ニュウリョク</t>
    </rPh>
    <rPh sb="3" eb="5">
      <t>キソク</t>
    </rPh>
    <rPh sb="10" eb="12">
      <t>ナマエ</t>
    </rPh>
    <rPh sb="12" eb="14">
      <t>テイギ</t>
    </rPh>
    <rPh sb="16" eb="18">
      <t>サンショウ</t>
    </rPh>
    <phoneticPr fontId="19"/>
  </si>
  <si>
    <t>（対象項目：作込工程）</t>
    <rPh sb="1" eb="3">
      <t>タイショウ</t>
    </rPh>
    <rPh sb="3" eb="5">
      <t>コウモク</t>
    </rPh>
    <rPh sb="6" eb="7">
      <t>サク</t>
    </rPh>
    <rPh sb="7" eb="8">
      <t>コミ</t>
    </rPh>
    <rPh sb="8" eb="10">
      <t>コウテイ</t>
    </rPh>
    <phoneticPr fontId="19"/>
  </si>
  <si>
    <t>Ver. 1.3</t>
    <phoneticPr fontId="19"/>
  </si>
  <si>
    <t>結合列の廃止。</t>
    <rPh sb="0" eb="2">
      <t>ケツゴウ</t>
    </rPh>
    <rPh sb="4" eb="6">
      <t>ハイシ</t>
    </rPh>
    <phoneticPr fontId="19"/>
  </si>
  <si>
    <t>・複数列での結合を止めて、単列での項目としセル高の</t>
    <rPh sb="1" eb="3">
      <t>フクスウ</t>
    </rPh>
    <rPh sb="3" eb="4">
      <t>レツ</t>
    </rPh>
    <rPh sb="6" eb="8">
      <t>ケツゴウ</t>
    </rPh>
    <rPh sb="9" eb="10">
      <t>ヤ</t>
    </rPh>
    <rPh sb="13" eb="14">
      <t>タン</t>
    </rPh>
    <rPh sb="14" eb="15">
      <t>レツ</t>
    </rPh>
    <rPh sb="17" eb="19">
      <t>コウモク</t>
    </rPh>
    <rPh sb="23" eb="24">
      <t>タカ</t>
    </rPh>
    <phoneticPr fontId="19"/>
  </si>
  <si>
    <t>　Excel自動調整可とする。</t>
    <rPh sb="6" eb="8">
      <t>ジドウ</t>
    </rPh>
    <rPh sb="8" eb="10">
      <t>チョウセイ</t>
    </rPh>
    <rPh sb="10" eb="11">
      <t>カ</t>
    </rPh>
    <phoneticPr fontId="19"/>
  </si>
  <si>
    <t>（対象項目：指摘事項、回答）</t>
    <rPh sb="1" eb="3">
      <t>タイショウ</t>
    </rPh>
    <rPh sb="3" eb="5">
      <t>コウモク</t>
    </rPh>
    <rPh sb="6" eb="8">
      <t>シテキ</t>
    </rPh>
    <rPh sb="8" eb="10">
      <t>ジコウ</t>
    </rPh>
    <rPh sb="11" eb="13">
      <t>カイトウ</t>
    </rPh>
    <phoneticPr fontId="19"/>
  </si>
  <si>
    <t>Ver. 1.4</t>
    <phoneticPr fontId="19"/>
  </si>
  <si>
    <t>書式設定（行の高さの自動調整）再定義。</t>
    <rPh sb="0" eb="2">
      <t>ショシキ</t>
    </rPh>
    <rPh sb="2" eb="4">
      <t>セッテイ</t>
    </rPh>
    <rPh sb="5" eb="6">
      <t>ギョウ</t>
    </rPh>
    <rPh sb="7" eb="8">
      <t>タカ</t>
    </rPh>
    <rPh sb="10" eb="12">
      <t>ジドウ</t>
    </rPh>
    <rPh sb="12" eb="14">
      <t>チョウセイ</t>
    </rPh>
    <rPh sb="15" eb="18">
      <t>サイテイギ</t>
    </rPh>
    <phoneticPr fontId="19"/>
  </si>
  <si>
    <t>・明細行の書式を再定義。</t>
    <phoneticPr fontId="19"/>
  </si>
  <si>
    <t>（指摘事項の初期値を空改行２行とする）</t>
    <rPh sb="1" eb="3">
      <t>シテキ</t>
    </rPh>
    <rPh sb="3" eb="5">
      <t>ジコウ</t>
    </rPh>
    <rPh sb="6" eb="9">
      <t>ショキチ</t>
    </rPh>
    <phoneticPr fontId="19"/>
  </si>
  <si>
    <t>Ver. 1.5</t>
    <phoneticPr fontId="19"/>
  </si>
  <si>
    <t>作込工程への集計不具合を修正。</t>
    <rPh sb="0" eb="1">
      <t>ツク</t>
    </rPh>
    <rPh sb="1" eb="2">
      <t>コ</t>
    </rPh>
    <rPh sb="2" eb="4">
      <t>コウテイ</t>
    </rPh>
    <rPh sb="6" eb="8">
      <t>シュウケイ</t>
    </rPh>
    <rPh sb="8" eb="11">
      <t>フグアイ</t>
    </rPh>
    <rPh sb="12" eb="14">
      <t>シュウセイ</t>
    </rPh>
    <phoneticPr fontId="19"/>
  </si>
  <si>
    <t>Ver. 1.6</t>
    <phoneticPr fontId="19"/>
  </si>
  <si>
    <t>Excel拡張子変更の対応（.xls→.xlsx）</t>
  </si>
  <si>
    <t>Ver. 1.7</t>
    <phoneticPr fontId="19"/>
  </si>
  <si>
    <t>レビュー回答工数を追加。</t>
    <rPh sb="4" eb="6">
      <t>カイトウ</t>
    </rPh>
    <rPh sb="6" eb="8">
      <t>コウスウ</t>
    </rPh>
    <rPh sb="9" eb="11">
      <t>ツイカ</t>
    </rPh>
    <phoneticPr fontId="19"/>
  </si>
  <si>
    <t>実施日、回答日の表示形式「yy/m/d」指定</t>
    <rPh sb="8" eb="10">
      <t>ヒョウジ</t>
    </rPh>
    <rPh sb="10" eb="12">
      <t>ケイシキ</t>
    </rPh>
    <rPh sb="20" eb="22">
      <t>シテイ</t>
    </rPh>
    <phoneticPr fontId="19"/>
  </si>
  <si>
    <t>Ver. 1.8</t>
    <phoneticPr fontId="19"/>
  </si>
  <si>
    <t>作込工程を変更。</t>
    <rPh sb="0" eb="1">
      <t>サク</t>
    </rPh>
    <rPh sb="1" eb="2">
      <t>コミ</t>
    </rPh>
    <rPh sb="2" eb="4">
      <t>コウテイ</t>
    </rPh>
    <rPh sb="5" eb="7">
      <t>ヘンコウ</t>
    </rPh>
    <phoneticPr fontId="19"/>
  </si>
  <si>
    <t>・項目見出しを以下のように変更</t>
    <rPh sb="1" eb="3">
      <t>コウモク</t>
    </rPh>
    <rPh sb="3" eb="5">
      <t>ミダ</t>
    </rPh>
    <rPh sb="7" eb="9">
      <t>イカ</t>
    </rPh>
    <rPh sb="13" eb="15">
      <t>ヘンコウ</t>
    </rPh>
    <phoneticPr fontId="19"/>
  </si>
  <si>
    <t>[変更後]</t>
    <rPh sb="1" eb="3">
      <t>ヘンコウ</t>
    </rPh>
    <rPh sb="3" eb="4">
      <t>ゴ</t>
    </rPh>
    <phoneticPr fontId="19"/>
  </si>
  <si>
    <t>[変更前]</t>
    <rPh sb="1" eb="3">
      <t>ヘンコウ</t>
    </rPh>
    <rPh sb="3" eb="4">
      <t>マエ</t>
    </rPh>
    <phoneticPr fontId="19"/>
  </si>
  <si>
    <t>プロ計画</t>
    <rPh sb="2" eb="4">
      <t>ケイカク</t>
    </rPh>
    <phoneticPr fontId="1"/>
  </si>
  <si>
    <t>要件定義</t>
    <rPh sb="0" eb="2">
      <t>ヨウケン</t>
    </rPh>
    <rPh sb="2" eb="4">
      <t>テイギ</t>
    </rPh>
    <phoneticPr fontId="1"/>
  </si>
  <si>
    <t>基本設計</t>
    <rPh sb="0" eb="2">
      <t>キホン</t>
    </rPh>
    <rPh sb="2" eb="4">
      <t>セッケイ</t>
    </rPh>
    <phoneticPr fontId="1"/>
  </si>
  <si>
    <t>詳細設計</t>
    <rPh sb="0" eb="2">
      <t>ショウサイ</t>
    </rPh>
    <rPh sb="2" eb="4">
      <t>セッケイ</t>
    </rPh>
    <phoneticPr fontId="1"/>
  </si>
  <si>
    <t>プロ設計</t>
    <rPh sb="2" eb="4">
      <t>セッケイ</t>
    </rPh>
    <phoneticPr fontId="1"/>
  </si>
  <si>
    <t>製作</t>
    <rPh sb="0" eb="2">
      <t>セイサク</t>
    </rPh>
    <phoneticPr fontId="1"/>
  </si>
  <si>
    <t>試験</t>
    <rPh sb="0" eb="2">
      <t>シケン</t>
    </rPh>
    <phoneticPr fontId="2"/>
  </si>
  <si>
    <t>導入運用</t>
    <rPh sb="0" eb="2">
      <t>ドウニュウ</t>
    </rPh>
    <rPh sb="2" eb="4">
      <t>ウンヨウ</t>
    </rPh>
    <phoneticPr fontId="2"/>
  </si>
  <si>
    <t>その他</t>
    <rPh sb="2" eb="3">
      <t>タ</t>
    </rPh>
    <phoneticPr fontId="2"/>
  </si>
  <si>
    <t>移行</t>
    <rPh sb="0" eb="2">
      <t>イコウ</t>
    </rPh>
    <phoneticPr fontId="2"/>
  </si>
  <si>
    <t>※</t>
    <phoneticPr fontId="19"/>
  </si>
  <si>
    <t>運用移行保守</t>
    <rPh sb="0" eb="2">
      <t>ウンヨウ</t>
    </rPh>
    <rPh sb="4" eb="6">
      <t>ホシュ</t>
    </rPh>
    <phoneticPr fontId="19"/>
  </si>
  <si>
    <t>保守</t>
  </si>
  <si>
    <t>※インストールマニュアル、操作説明書、移行手順書、保守マニュアル等の</t>
    <rPh sb="13" eb="15">
      <t>ソウサ</t>
    </rPh>
    <rPh sb="15" eb="18">
      <t>セツメイショ</t>
    </rPh>
    <rPh sb="19" eb="21">
      <t>イコウ</t>
    </rPh>
    <rPh sb="21" eb="23">
      <t>テジュン</t>
    </rPh>
    <rPh sb="23" eb="24">
      <t>ショ</t>
    </rPh>
    <rPh sb="25" eb="27">
      <t>ホシュ</t>
    </rPh>
    <rPh sb="32" eb="33">
      <t>トウ</t>
    </rPh>
    <phoneticPr fontId="19"/>
  </si>
  <si>
    <t>　ドキュメントをレビュー時に用いる。</t>
    <rPh sb="12" eb="13">
      <t>ジ</t>
    </rPh>
    <rPh sb="14" eb="15">
      <t>モチ</t>
    </rPh>
    <phoneticPr fontId="19"/>
  </si>
  <si>
    <t>Ver. 1.9</t>
    <phoneticPr fontId="19"/>
  </si>
  <si>
    <t>ドキュメント頁数の追加。</t>
    <rPh sb="9" eb="11">
      <t>ツイカ</t>
    </rPh>
    <phoneticPr fontId="19"/>
  </si>
  <si>
    <t>・レビュー対象ドキュメントの頁数を記入する欄を追加。</t>
    <rPh sb="5" eb="7">
      <t>タイショウ</t>
    </rPh>
    <rPh sb="14" eb="15">
      <t>ページ</t>
    </rPh>
    <rPh sb="15" eb="16">
      <t>スウ</t>
    </rPh>
    <rPh sb="17" eb="19">
      <t>キニュウ</t>
    </rPh>
    <rPh sb="21" eb="22">
      <t>ラン</t>
    </rPh>
    <rPh sb="23" eb="25">
      <t>ツイカ</t>
    </rPh>
    <phoneticPr fontId="19"/>
  </si>
  <si>
    <t>Ver. 2.0</t>
    <phoneticPr fontId="19"/>
  </si>
  <si>
    <t>確認欄の見出し変更。</t>
    <rPh sb="0" eb="2">
      <t>カクニン</t>
    </rPh>
    <rPh sb="2" eb="3">
      <t>ラン</t>
    </rPh>
    <rPh sb="4" eb="6">
      <t>ミダ</t>
    </rPh>
    <rPh sb="7" eb="9">
      <t>ヘンコウ</t>
    </rPh>
    <phoneticPr fontId="19"/>
  </si>
  <si>
    <t>・[変更後]確認日、確認者</t>
    <rPh sb="2" eb="4">
      <t>ヘンコウ</t>
    </rPh>
    <rPh sb="4" eb="5">
      <t>ゴ</t>
    </rPh>
    <rPh sb="6" eb="8">
      <t>カクニン</t>
    </rPh>
    <rPh sb="8" eb="9">
      <t>ビ</t>
    </rPh>
    <rPh sb="10" eb="12">
      <t>カクニン</t>
    </rPh>
    <rPh sb="12" eb="13">
      <t>シャ</t>
    </rPh>
    <phoneticPr fontId="19"/>
  </si>
  <si>
    <t>　[変更前]確認</t>
    <rPh sb="2" eb="4">
      <t>ヘンコウ</t>
    </rPh>
    <rPh sb="4" eb="5">
      <t>マエ</t>
    </rPh>
    <rPh sb="6" eb="8">
      <t>カクニン</t>
    </rPh>
    <phoneticPr fontId="19"/>
  </si>
  <si>
    <t>Ver. 2.1</t>
    <phoneticPr fontId="19"/>
  </si>
  <si>
    <t>2018年度アクションプラン「ＩSMSに準じた社規・様式の機密等級表示変更」にて</t>
  </si>
  <si>
    <t>機密等級の表示を改訂。</t>
  </si>
  <si>
    <t>改訂ルールは下記ファイルを参照。</t>
  </si>
  <si>
    <t>機密等級読替え一覧表</t>
  </si>
  <si>
    <t>Ver. 2.2</t>
    <phoneticPr fontId="19"/>
  </si>
  <si>
    <t>対象外の区分に｢改善｣を追加。</t>
    <rPh sb="0" eb="3">
      <t>タイショウガイ</t>
    </rPh>
    <rPh sb="4" eb="6">
      <t>クブン</t>
    </rPh>
    <rPh sb="8" eb="10">
      <t>カイゼン</t>
    </rPh>
    <rPh sb="12" eb="14">
      <t>ツイカ</t>
    </rPh>
    <phoneticPr fontId="19"/>
  </si>
  <si>
    <t>重複</t>
    <rPh sb="0" eb="2">
      <t>チョウフク</t>
    </rPh>
    <phoneticPr fontId="19"/>
  </si>
  <si>
    <t>誤字</t>
  </si>
  <si>
    <t>改善</t>
    <rPh sb="0" eb="2">
      <t>カイゼン</t>
    </rPh>
    <phoneticPr fontId="19"/>
  </si>
  <si>
    <t>他</t>
    <rPh sb="0" eb="1">
      <t>タ</t>
    </rPh>
    <phoneticPr fontId="19"/>
  </si>
  <si>
    <t>Ver.2.3</t>
  </si>
  <si>
    <t>作込工程名称の変更。</t>
    <rPh sb="0" eb="1">
      <t>ツク</t>
    </rPh>
    <rPh sb="1" eb="2">
      <t>コ</t>
    </rPh>
    <rPh sb="2" eb="4">
      <t>コウテイ</t>
    </rPh>
    <rPh sb="4" eb="6">
      <t>メイショウ</t>
    </rPh>
    <rPh sb="7" eb="9">
      <t>ヘンコウ</t>
    </rPh>
    <phoneticPr fontId="2"/>
  </si>
  <si>
    <t>(品質管理シートの改訂と同期して作込工程名称を変更)</t>
    <rPh sb="1" eb="3">
      <t>ヒンシツ</t>
    </rPh>
    <rPh sb="3" eb="5">
      <t>カンリ</t>
    </rPh>
    <rPh sb="9" eb="11">
      <t>カイテイ</t>
    </rPh>
    <rPh sb="12" eb="14">
      <t>ドウキ</t>
    </rPh>
    <rPh sb="16" eb="17">
      <t>ツク</t>
    </rPh>
    <rPh sb="17" eb="18">
      <t>コ</t>
    </rPh>
    <rPh sb="18" eb="20">
      <t>コウテイ</t>
    </rPh>
    <rPh sb="20" eb="22">
      <t>メイショウ</t>
    </rPh>
    <rPh sb="23" eb="25">
      <t>ヘンコウ</t>
    </rPh>
    <phoneticPr fontId="19"/>
  </si>
  <si>
    <t>[変更後]</t>
    <rPh sb="1" eb="3">
      <t>ヘンコウ</t>
    </rPh>
    <rPh sb="3" eb="4">
      <t>ゴ</t>
    </rPh>
    <phoneticPr fontId="2"/>
  </si>
  <si>
    <t>[変更前]</t>
    <rPh sb="1" eb="3">
      <t>ヘンコウ</t>
    </rPh>
    <rPh sb="3" eb="4">
      <t>マエ</t>
    </rPh>
    <phoneticPr fontId="2"/>
  </si>
  <si>
    <t>要件定義</t>
    <rPh sb="0" eb="2">
      <t>ヨウケン</t>
    </rPh>
    <rPh sb="2" eb="4">
      <t>テイギ</t>
    </rPh>
    <phoneticPr fontId="2"/>
  </si>
  <si>
    <t>基本設計</t>
    <rPh sb="0" eb="2">
      <t>キホン</t>
    </rPh>
    <rPh sb="2" eb="4">
      <t>セッケイ</t>
    </rPh>
    <phoneticPr fontId="2"/>
  </si>
  <si>
    <t>詳細設計</t>
    <rPh sb="0" eb="2">
      <t>ショウサイ</t>
    </rPh>
    <rPh sb="2" eb="4">
      <t>セッケイ</t>
    </rPh>
    <phoneticPr fontId="2"/>
  </si>
  <si>
    <t>プロ設計</t>
    <rPh sb="2" eb="4">
      <t>セッケイ</t>
    </rPh>
    <phoneticPr fontId="2"/>
  </si>
  <si>
    <t>製作</t>
    <rPh sb="0" eb="2">
      <t>セイサク</t>
    </rPh>
    <phoneticPr fontId="2"/>
  </si>
  <si>
    <r>
      <t>試験</t>
    </r>
    <r>
      <rPr>
        <b/>
        <sz val="11"/>
        <color rgb="FFFF0000"/>
        <rFont val="ＭＳ Ｐゴシック"/>
        <family val="3"/>
        <charset val="128"/>
      </rPr>
      <t>要領</t>
    </r>
    <rPh sb="0" eb="2">
      <t>シケン</t>
    </rPh>
    <rPh sb="2" eb="4">
      <t>ヨウリョウ</t>
    </rPh>
    <phoneticPr fontId="2"/>
  </si>
  <si>
    <t>その他</t>
  </si>
  <si>
    <t>レビューシート</t>
    <phoneticPr fontId="2"/>
  </si>
  <si>
    <t>Ver.2.3</t>
    <phoneticPr fontId="2"/>
  </si>
  <si>
    <t>顧客名</t>
    <rPh sb="0" eb="2">
      <t>コキャク</t>
    </rPh>
    <rPh sb="2" eb="3">
      <t>メイ</t>
    </rPh>
    <phoneticPr fontId="2"/>
  </si>
  <si>
    <t>株式会社クラウン・パッケージ</t>
    <phoneticPr fontId="2"/>
  </si>
  <si>
    <t>作込工程</t>
    <rPh sb="0" eb="1">
      <t>ツク</t>
    </rPh>
    <rPh sb="1" eb="2">
      <t>コ</t>
    </rPh>
    <rPh sb="2" eb="4">
      <t>コウテイ</t>
    </rPh>
    <phoneticPr fontId="1"/>
  </si>
  <si>
    <t>プロジェクト名</t>
    <rPh sb="6" eb="7">
      <t>メイ</t>
    </rPh>
    <phoneticPr fontId="2"/>
  </si>
  <si>
    <t>新基幹システム導入</t>
    <phoneticPr fontId="2"/>
  </si>
  <si>
    <t>ドキュメント名</t>
  </si>
  <si>
    <t>ドキュメント頁数</t>
    <rPh sb="6" eb="7">
      <t>ページ</t>
    </rPh>
    <rPh sb="7" eb="8">
      <t>スウ</t>
    </rPh>
    <phoneticPr fontId="2"/>
  </si>
  <si>
    <t>レビュー指摘工数</t>
    <rPh sb="6" eb="8">
      <t>コウスウ</t>
    </rPh>
    <rPh sb="7" eb="8">
      <t>セコウ</t>
    </rPh>
    <phoneticPr fontId="1"/>
  </si>
  <si>
    <t>レビュー回答工数</t>
    <rPh sb="4" eb="6">
      <t>カイトウ</t>
    </rPh>
    <rPh sb="6" eb="8">
      <t>コウスウ</t>
    </rPh>
    <rPh sb="7" eb="8">
      <t>セコウ</t>
    </rPh>
    <phoneticPr fontId="1"/>
  </si>
  <si>
    <t>試験要領</t>
    <rPh sb="0" eb="2">
      <t>シケン</t>
    </rPh>
    <rPh sb="2" eb="4">
      <t>ヨウリョウ</t>
    </rPh>
    <phoneticPr fontId="2"/>
  </si>
  <si>
    <t>レビュー確認工数</t>
    <rPh sb="6" eb="8">
      <t>コウスウ</t>
    </rPh>
    <rPh sb="7" eb="8">
      <t>セコウ</t>
    </rPh>
    <phoneticPr fontId="1"/>
  </si>
  <si>
    <t>実施工数(Hr)</t>
    <phoneticPr fontId="2"/>
  </si>
  <si>
    <t>計</t>
    <phoneticPr fontId="2"/>
  </si>
  <si>
    <t>No</t>
    <phoneticPr fontId="2"/>
  </si>
  <si>
    <t>頁</t>
    <rPh sb="0" eb="1">
      <t>ページ</t>
    </rPh>
    <phoneticPr fontId="2"/>
  </si>
  <si>
    <t>指摘事項</t>
    <rPh sb="0" eb="2">
      <t>シテキ</t>
    </rPh>
    <rPh sb="2" eb="4">
      <t>ジコウ</t>
    </rPh>
    <phoneticPr fontId="2"/>
  </si>
  <si>
    <t>実施日
(ﾚﾋﾞｭｰ日)</t>
    <phoneticPr fontId="2"/>
  </si>
  <si>
    <t>実施者
(ﾚﾋﾞｭｰｱ)</t>
    <phoneticPr fontId="2"/>
  </si>
  <si>
    <t>回　　答</t>
    <rPh sb="0" eb="1">
      <t>カイ</t>
    </rPh>
    <rPh sb="3" eb="4">
      <t>コタエ</t>
    </rPh>
    <phoneticPr fontId="2"/>
  </si>
  <si>
    <t>回答日</t>
    <rPh sb="0" eb="2">
      <t>カイトウ</t>
    </rPh>
    <rPh sb="2" eb="3">
      <t>ビ</t>
    </rPh>
    <phoneticPr fontId="2"/>
  </si>
  <si>
    <t>回答者</t>
    <rPh sb="0" eb="2">
      <t>カイトウ</t>
    </rPh>
    <rPh sb="2" eb="3">
      <t>シャ</t>
    </rPh>
    <phoneticPr fontId="2"/>
  </si>
  <si>
    <t>対象外</t>
    <rPh sb="0" eb="3">
      <t>タイショウガイ</t>
    </rPh>
    <phoneticPr fontId="2"/>
  </si>
  <si>
    <t>確認日
確認者</t>
    <rPh sb="0" eb="2">
      <t>カクニン</t>
    </rPh>
    <rPh sb="2" eb="3">
      <t>ビ</t>
    </rPh>
    <rPh sb="4" eb="6">
      <t>カクニン</t>
    </rPh>
    <rPh sb="6" eb="7">
      <t>シャ</t>
    </rPh>
    <phoneticPr fontId="2"/>
  </si>
  <si>
    <t xml:space="preserve">
</t>
    <phoneticPr fontId="2"/>
  </si>
  <si>
    <t>※</t>
    <phoneticPr fontId="2"/>
  </si>
  <si>
    <t>明細の追加は、※行をコピーして、※行より上に挿入して下さい。</t>
    <rPh sb="0" eb="2">
      <t>メイサイ</t>
    </rPh>
    <rPh sb="8" eb="9">
      <t>ギョウ</t>
    </rPh>
    <rPh sb="17" eb="18">
      <t>ギョウ</t>
    </rPh>
    <rPh sb="20" eb="21">
      <t>ウエ</t>
    </rPh>
    <rPh sb="22" eb="24">
      <t>ソウニュウ</t>
    </rPh>
    <phoneticPr fontId="2"/>
  </si>
  <si>
    <t>韓</t>
    <phoneticPr fontId="2"/>
  </si>
  <si>
    <r>
      <t>MSBBPA</t>
    </r>
    <r>
      <rPr>
        <sz val="10"/>
        <color theme="1"/>
        <rFont val="ＭＳ ゴシック"/>
        <family val="3"/>
        <charset val="128"/>
      </rPr>
      <t>090Serviceにトランザクション処理を追加ください。</t>
    </r>
    <phoneticPr fontId="2"/>
  </si>
  <si>
    <r>
      <t>Id</t>
    </r>
    <r>
      <rPr>
        <sz val="10"/>
        <color theme="1"/>
        <rFont val="宋体"/>
        <family val="3"/>
        <charset val="134"/>
      </rPr>
      <t>=&gt;RowId</t>
    </r>
    <r>
      <rPr>
        <sz val="10"/>
        <color theme="1"/>
        <rFont val="ＭＳ ゴシック"/>
        <family val="3"/>
        <charset val="128"/>
      </rPr>
      <t>にしてください</t>
    </r>
    <r>
      <rPr>
        <sz val="10"/>
        <color theme="1"/>
        <rFont val="ＭＳ ゴシック"/>
        <family val="3"/>
        <charset val="128"/>
      </rPr>
      <t>。</t>
    </r>
    <phoneticPr fontId="2"/>
  </si>
  <si>
    <t>if (dto.Model.Amt_On == true)
＝＞if (dto.Model.Amt_On)にしてください。</t>
    <phoneticPr fontId="2"/>
  </si>
  <si>
    <r>
      <t>MSBBPA</t>
    </r>
    <r>
      <rPr>
        <sz val="10"/>
        <color theme="1"/>
        <rFont val="ＭＳ ゴシック"/>
        <family val="3"/>
        <charset val="128"/>
      </rPr>
      <t>090.xmlに、
１．ROWNUM代わって、ROW_NUMBER()を利用ください。</t>
    </r>
    <phoneticPr fontId="2"/>
  </si>
  <si>
    <t>ご対応しました。</t>
    <phoneticPr fontId="2"/>
  </si>
  <si>
    <t>王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</si>
</sst>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/m/d"/>
    <numFmt numFmtId="177" formatCode="0.0_ "/>
    <numFmt numFmtId="178" formatCode="#,##0;\-#,##0;&quot;-&quot;"/>
    <numFmt numFmtId="179" formatCode="0.00&quot;  &quot;"/>
  </numFmts>
  <fonts count="27">
    <font>
      <sz val="10"/>
      <color theme="1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6"/>
      <name val="ＭＳ ゴシック"/>
      <family val="3"/>
      <charset val="128"/>
    </font>
    <font>
      <b/>
      <sz val="10"/>
      <color indexed="8"/>
      <name val="ＭＳ ゴシック"/>
      <family val="3"/>
      <charset val="128"/>
    </font>
    <font>
      <sz val="8"/>
      <color indexed="8"/>
      <name val="ＭＳ ゴシック"/>
      <family val="3"/>
      <charset val="128"/>
    </font>
    <font>
      <sz val="9"/>
      <color indexed="8"/>
      <name val="ＭＳ ゴシック"/>
      <family val="3"/>
      <charset val="128"/>
    </font>
    <font>
      <sz val="10"/>
      <color indexed="8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sz val="11"/>
      <name val="ＭＳ Ｐゴシック"/>
      <family val="3"/>
      <charset val="128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0"/>
      <name val="明朝"/>
      <family val="1"/>
      <charset val="128"/>
    </font>
    <font>
      <sz val="10"/>
      <name val="ＭＳ ゴシック"/>
      <family val="3"/>
      <charset val="128"/>
    </font>
    <font>
      <u/>
      <sz val="10"/>
      <color theme="10"/>
      <name val="明朝"/>
      <family val="1"/>
      <charset val="128"/>
    </font>
    <font>
      <b/>
      <sz val="11"/>
      <color rgb="FFFF0000"/>
      <name val="ＭＳ Ｐゴシック"/>
      <family val="3"/>
      <charset val="128"/>
    </font>
    <font>
      <sz val="10"/>
      <color theme="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2">
    <xf numFmtId="0" fontId="0" fillId="0" borderId="0">
      <alignment vertical="center"/>
    </xf>
    <xf numFmtId="178" fontId="6" fillId="0" borderId="0" applyFill="0" applyBorder="0" applyAlignment="0"/>
    <xf numFmtId="0" fontId="7" fillId="0" borderId="0">
      <alignment horizontal="left"/>
    </xf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79" fontId="9" fillId="0" borderId="0"/>
    <xf numFmtId="0" fontId="10" fillId="0" borderId="0"/>
    <xf numFmtId="4" fontId="7" fillId="0" borderId="0">
      <alignment horizontal="right"/>
    </xf>
    <xf numFmtId="0" fontId="11" fillId="0" borderId="0" applyNumberFormat="0" applyFont="0" applyFill="0" applyBorder="0" applyAlignment="0" applyProtection="0">
      <alignment horizontal="left"/>
    </xf>
    <xf numFmtId="0" fontId="12" fillId="0" borderId="3">
      <alignment horizontal="center"/>
    </xf>
    <xf numFmtId="4" fontId="13" fillId="0" borderId="0">
      <alignment horizontal="right"/>
    </xf>
    <xf numFmtId="0" fontId="14" fillId="0" borderId="0">
      <alignment horizontal="left"/>
    </xf>
    <xf numFmtId="1" fontId="15" fillId="0" borderId="0" applyBorder="0">
      <alignment horizontal="left" vertical="top" wrapText="1"/>
    </xf>
    <xf numFmtId="0" fontId="16" fillId="0" borderId="0"/>
    <xf numFmtId="0" fontId="17" fillId="0" borderId="0">
      <alignment horizontal="center"/>
    </xf>
    <xf numFmtId="38" fontId="9" fillId="0" borderId="0" applyFont="0" applyFill="0" applyBorder="0" applyAlignment="0" applyProtection="0"/>
    <xf numFmtId="0" fontId="9" fillId="0" borderId="0">
      <alignment vertical="center"/>
    </xf>
    <xf numFmtId="0" fontId="18" fillId="0" borderId="0"/>
    <xf numFmtId="0" fontId="9" fillId="0" borderId="0">
      <alignment vertical="center"/>
    </xf>
    <xf numFmtId="0" fontId="22" fillId="0" borderId="0" applyNumberFormat="0" applyFill="0" applyBorder="0" applyAlignment="0"/>
    <xf numFmtId="38" fontId="21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/>
  </cellStyleXfs>
  <cellXfs count="64"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2" borderId="4" xfId="0" applyFill="1" applyBorder="1">
      <alignment vertical="center"/>
    </xf>
    <xf numFmtId="0" fontId="0" fillId="0" borderId="4" xfId="0" applyBorder="1" applyAlignment="1">
      <alignment vertical="center" textRotation="255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 textRotation="255"/>
    </xf>
    <xf numFmtId="176" fontId="5" fillId="3" borderId="4" xfId="0" applyNumberFormat="1" applyFont="1" applyFill="1" applyBorder="1">
      <alignment vertical="center"/>
    </xf>
    <xf numFmtId="0" fontId="0" fillId="3" borderId="4" xfId="0" applyFill="1" applyBorder="1">
      <alignment vertical="center"/>
    </xf>
    <xf numFmtId="0" fontId="3" fillId="0" borderId="0" xfId="0" applyFont="1">
      <alignment vertical="center"/>
    </xf>
    <xf numFmtId="177" fontId="0" fillId="0" borderId="0" xfId="0" applyNumberFormat="1">
      <alignment vertical="center"/>
    </xf>
    <xf numFmtId="177" fontId="0" fillId="2" borderId="4" xfId="0" applyNumberFormat="1" applyFill="1" applyBorder="1">
      <alignment vertical="center"/>
    </xf>
    <xf numFmtId="0" fontId="20" fillId="0" borderId="0" xfId="0" applyFont="1">
      <alignment vertical="center"/>
    </xf>
    <xf numFmtId="0" fontId="4" fillId="0" borderId="0" xfId="0" applyFont="1" applyAlignment="1">
      <alignment horizontal="right" shrinkToFit="1"/>
    </xf>
    <xf numFmtId="0" fontId="0" fillId="3" borderId="6" xfId="0" applyFill="1" applyBorder="1" applyAlignment="1">
      <alignment vertical="top"/>
    </xf>
    <xf numFmtId="0" fontId="0" fillId="3" borderId="2" xfId="0" applyFill="1" applyBorder="1" applyAlignment="1">
      <alignment vertical="top"/>
    </xf>
    <xf numFmtId="0" fontId="0" fillId="3" borderId="7" xfId="0" applyFill="1" applyBorder="1" applyAlignment="1">
      <alignment vertical="top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shrinkToFit="1"/>
    </xf>
    <xf numFmtId="0" fontId="0" fillId="0" borderId="8" xfId="0" applyBorder="1" applyAlignment="1">
      <alignment vertical="center" shrinkToFit="1"/>
    </xf>
    <xf numFmtId="0" fontId="0" fillId="0" borderId="9" xfId="0" applyBorder="1" applyAlignment="1">
      <alignment vertical="center" shrinkToFit="1"/>
    </xf>
    <xf numFmtId="0" fontId="0" fillId="0" borderId="6" xfId="0" applyBorder="1" applyAlignment="1">
      <alignment horizontal="center" vertical="center"/>
    </xf>
    <xf numFmtId="0" fontId="0" fillId="2" borderId="7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0" fillId="2" borderId="4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2" borderId="4" xfId="0" applyFill="1" applyBorder="1" applyAlignment="1">
      <alignment vertical="top"/>
    </xf>
    <xf numFmtId="0" fontId="21" fillId="0" borderId="0" xfId="16" applyFont="1">
      <alignment vertical="center"/>
    </xf>
    <xf numFmtId="176" fontId="0" fillId="2" borderId="4" xfId="0" applyNumberFormat="1" applyFill="1" applyBorder="1" applyAlignment="1">
      <alignment horizontal="center" vertical="center"/>
    </xf>
    <xf numFmtId="176" fontId="1" fillId="3" borderId="4" xfId="0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176" fontId="0" fillId="2" borderId="4" xfId="0" applyNumberFormat="1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177" fontId="0" fillId="4" borderId="4" xfId="0" applyNumberFormat="1" applyFill="1" applyBorder="1">
      <alignment vertical="center"/>
    </xf>
    <xf numFmtId="0" fontId="23" fillId="0" borderId="0" xfId="16" applyFont="1">
      <alignment vertical="center"/>
    </xf>
    <xf numFmtId="0" fontId="23" fillId="0" borderId="0" xfId="16" applyFont="1" applyAlignment="1">
      <alignment horizontal="left" vertical="center"/>
    </xf>
    <xf numFmtId="0" fontId="23" fillId="0" borderId="0" xfId="16" applyFont="1" applyAlignment="1">
      <alignment horizontal="center" vertical="center"/>
    </xf>
    <xf numFmtId="0" fontId="23" fillId="0" borderId="0" xfId="16" applyFont="1" applyAlignment="1">
      <alignment vertical="center" shrinkToFit="1"/>
    </xf>
    <xf numFmtId="14" fontId="23" fillId="0" borderId="0" xfId="16" applyNumberFormat="1" applyFont="1" applyAlignment="1">
      <alignment horizontal="center" vertical="center"/>
    </xf>
    <xf numFmtId="14" fontId="21" fillId="0" borderId="0" xfId="16" applyNumberFormat="1" applyFont="1" applyAlignment="1">
      <alignment horizontal="center" vertical="center"/>
    </xf>
    <xf numFmtId="14" fontId="23" fillId="0" borderId="0" xfId="18" applyNumberFormat="1" applyFont="1" applyAlignment="1">
      <alignment horizontal="center" vertical="center"/>
    </xf>
    <xf numFmtId="0" fontId="23" fillId="0" borderId="0" xfId="18" applyFont="1">
      <alignment vertical="center"/>
    </xf>
    <xf numFmtId="0" fontId="23" fillId="0" borderId="0" xfId="19" applyFont="1"/>
    <xf numFmtId="0" fontId="23" fillId="0" borderId="0" xfId="16" applyFont="1" applyAlignment="1">
      <alignment horizontal="right" vertical="center"/>
    </xf>
    <xf numFmtId="0" fontId="0" fillId="3" borderId="4" xfId="0" applyFill="1" applyBorder="1" applyAlignment="1">
      <alignment horizontal="left" vertical="center" shrinkToFit="1"/>
    </xf>
    <xf numFmtId="38" fontId="0" fillId="4" borderId="4" xfId="20" applyFont="1" applyFill="1" applyBorder="1">
      <alignment vertical="center"/>
    </xf>
    <xf numFmtId="0" fontId="0" fillId="0" borderId="0" xfId="16" applyFont="1">
      <alignment vertical="center"/>
    </xf>
    <xf numFmtId="14" fontId="0" fillId="0" borderId="0" xfId="0" applyNumberFormat="1" applyAlignment="1">
      <alignment horizontal="center" vertical="center"/>
    </xf>
    <xf numFmtId="0" fontId="24" fillId="0" borderId="0" xfId="21" applyAlignment="1">
      <alignment vertical="center"/>
    </xf>
    <xf numFmtId="14" fontId="1" fillId="0" borderId="0" xfId="0" applyNumberFormat="1" applyFont="1" applyAlignment="1">
      <alignment shrinkToFit="1"/>
    </xf>
    <xf numFmtId="14" fontId="0" fillId="0" borderId="0" xfId="0" applyNumberFormat="1" applyAlignment="1">
      <alignment shrinkToFit="1"/>
    </xf>
    <xf numFmtId="0" fontId="0" fillId="3" borderId="4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shrinkToFit="1"/>
    </xf>
    <xf numFmtId="0" fontId="0" fillId="3" borderId="4" xfId="0" applyFill="1" applyBorder="1" applyAlignment="1">
      <alignment horizontal="center" vertical="center"/>
    </xf>
    <xf numFmtId="176" fontId="0" fillId="2" borderId="4" xfId="0" applyNumberForma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distributed" textRotation="255" justifyLastLine="1"/>
    </xf>
    <xf numFmtId="0" fontId="0" fillId="0" borderId="10" xfId="0" applyBorder="1" applyAlignment="1">
      <alignment horizontal="center" vertical="distributed" textRotation="255" justifyLastLine="1"/>
    </xf>
    <xf numFmtId="0" fontId="0" fillId="0" borderId="11" xfId="0" applyBorder="1" applyAlignment="1">
      <alignment horizontal="center" vertical="distributed" textRotation="255" justifyLastLine="1"/>
    </xf>
  </cellXfs>
  <cellStyles count="22">
    <cellStyle name="Calc Currency (0)" xfId="1" xr:uid="{00000000-0005-0000-0000-000000000000}"/>
    <cellStyle name="entry" xfId="2" xr:uid="{00000000-0005-0000-0000-000001000000}"/>
    <cellStyle name="Header1" xfId="3" xr:uid="{00000000-0005-0000-0000-000002000000}"/>
    <cellStyle name="Header2" xfId="4" xr:uid="{00000000-0005-0000-0000-000003000000}"/>
    <cellStyle name="Normal - Style1" xfId="5" xr:uid="{00000000-0005-0000-0000-000004000000}"/>
    <cellStyle name="Normal_#18-Internet" xfId="6" xr:uid="{00000000-0005-0000-0000-000005000000}"/>
    <cellStyle name="price" xfId="7" xr:uid="{00000000-0005-0000-0000-000006000000}"/>
    <cellStyle name="PSChar" xfId="8" xr:uid="{00000000-0005-0000-0000-000007000000}"/>
    <cellStyle name="PSHeading" xfId="9" xr:uid="{00000000-0005-0000-0000-000008000000}"/>
    <cellStyle name="revised" xfId="10" xr:uid="{00000000-0005-0000-0000-000009000000}"/>
    <cellStyle name="section" xfId="11" xr:uid="{00000000-0005-0000-0000-00000A000000}"/>
    <cellStyle name="SPOl" xfId="12" xr:uid="{00000000-0005-0000-0000-00000B000000}"/>
    <cellStyle name="subhead" xfId="13" xr:uid="{00000000-0005-0000-0000-00000C000000}"/>
    <cellStyle name="title" xfId="14" xr:uid="{00000000-0005-0000-0000-00000D000000}"/>
    <cellStyle name="桁区切り 2" xfId="15" xr:uid="{00000000-0005-0000-0000-000010000000}"/>
    <cellStyle name="常规" xfId="0" builtinId="0"/>
    <cellStyle name="千位分隔[0]" xfId="20" builtinId="6"/>
    <cellStyle name="超链接" xfId="21" builtinId="8"/>
    <cellStyle name="標準 2" xfId="16" xr:uid="{00000000-0005-0000-0000-000012000000}"/>
    <cellStyle name="標準 2 2" xfId="18" xr:uid="{00000000-0005-0000-0000-000013000000}"/>
    <cellStyle name="標準 4" xfId="19" xr:uid="{00000000-0005-0000-0000-000014000000}"/>
    <cellStyle name="未定義" xfId="17" xr:uid="{00000000-0005-0000-0000-000015000000}"/>
  </cellStyles>
  <dxfs count="0"/>
  <tableStyles count="0" defaultTableStyle="TableStyleMedium9" defaultPivotStyle="PivotStyleLight16"/>
  <colors>
    <mruColors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32</xdr:row>
      <xdr:rowOff>85725</xdr:rowOff>
    </xdr:from>
    <xdr:to>
      <xdr:col>5</xdr:col>
      <xdr:colOff>666750</xdr:colOff>
      <xdr:row>32</xdr:row>
      <xdr:rowOff>85725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3181350" y="50768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33</xdr:row>
      <xdr:rowOff>85725</xdr:rowOff>
    </xdr:from>
    <xdr:to>
      <xdr:col>5</xdr:col>
      <xdr:colOff>666750</xdr:colOff>
      <xdr:row>33</xdr:row>
      <xdr:rowOff>85725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H="1">
          <a:off x="3181350" y="52292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34</xdr:row>
      <xdr:rowOff>85725</xdr:rowOff>
    </xdr:from>
    <xdr:to>
      <xdr:col>5</xdr:col>
      <xdr:colOff>666750</xdr:colOff>
      <xdr:row>34</xdr:row>
      <xdr:rowOff>85725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>
          <a:off x="3181350" y="53816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35</xdr:row>
      <xdr:rowOff>76200</xdr:rowOff>
    </xdr:from>
    <xdr:to>
      <xdr:col>5</xdr:col>
      <xdr:colOff>666750</xdr:colOff>
      <xdr:row>35</xdr:row>
      <xdr:rowOff>76200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H="1">
          <a:off x="3181350" y="552450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36</xdr:row>
      <xdr:rowOff>95250</xdr:rowOff>
    </xdr:from>
    <xdr:to>
      <xdr:col>5</xdr:col>
      <xdr:colOff>666750</xdr:colOff>
      <xdr:row>36</xdr:row>
      <xdr:rowOff>95250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H="1">
          <a:off x="3181350" y="56959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37</xdr:row>
      <xdr:rowOff>95250</xdr:rowOff>
    </xdr:from>
    <xdr:to>
      <xdr:col>5</xdr:col>
      <xdr:colOff>666750</xdr:colOff>
      <xdr:row>37</xdr:row>
      <xdr:rowOff>95250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H="1">
          <a:off x="3181350" y="58483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18585</xdr:colOff>
      <xdr:row>38</xdr:row>
      <xdr:rowOff>95250</xdr:rowOff>
    </xdr:from>
    <xdr:to>
      <xdr:col>5</xdr:col>
      <xdr:colOff>666754</xdr:colOff>
      <xdr:row>40</xdr:row>
      <xdr:rowOff>23232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H="1">
          <a:off x="3173451" y="6033274"/>
          <a:ext cx="648169" cy="234641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23232</xdr:colOff>
      <xdr:row>39</xdr:row>
      <xdr:rowOff>76200</xdr:rowOff>
    </xdr:from>
    <xdr:to>
      <xdr:col>5</xdr:col>
      <xdr:colOff>666754</xdr:colOff>
      <xdr:row>40</xdr:row>
      <xdr:rowOff>60402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H="1">
          <a:off x="3178098" y="6167554"/>
          <a:ext cx="643522" cy="137531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40</xdr:row>
      <xdr:rowOff>99896</xdr:rowOff>
    </xdr:from>
    <xdr:to>
      <xdr:col>5</xdr:col>
      <xdr:colOff>666750</xdr:colOff>
      <xdr:row>40</xdr:row>
      <xdr:rowOff>99896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H="1">
          <a:off x="3183441" y="6344579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59</xdr:row>
      <xdr:rowOff>95250</xdr:rowOff>
    </xdr:from>
    <xdr:to>
      <xdr:col>4</xdr:col>
      <xdr:colOff>647700</xdr:colOff>
      <xdr:row>59</xdr:row>
      <xdr:rowOff>95250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H="1">
          <a:off x="2476500" y="92011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60</xdr:row>
      <xdr:rowOff>95250</xdr:rowOff>
    </xdr:from>
    <xdr:to>
      <xdr:col>4</xdr:col>
      <xdr:colOff>647700</xdr:colOff>
      <xdr:row>60</xdr:row>
      <xdr:rowOff>95250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 flipH="1">
          <a:off x="2476500" y="93535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9526</xdr:colOff>
      <xdr:row>61</xdr:row>
      <xdr:rowOff>104775</xdr:rowOff>
    </xdr:from>
    <xdr:to>
      <xdr:col>4</xdr:col>
      <xdr:colOff>666750</xdr:colOff>
      <xdr:row>62</xdr:row>
      <xdr:rowOff>66675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H="1">
          <a:off x="2476501" y="9515475"/>
          <a:ext cx="657224" cy="11430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73</xdr:row>
      <xdr:rowOff>88900</xdr:rowOff>
    </xdr:from>
    <xdr:to>
      <xdr:col>4</xdr:col>
      <xdr:colOff>647700</xdr:colOff>
      <xdr:row>73</xdr:row>
      <xdr:rowOff>88900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1387FF96-9F23-47B3-9D8F-A51DCD04747B}"/>
            </a:ext>
          </a:extLst>
        </xdr:cNvPr>
        <xdr:cNvCxnSpPr/>
      </xdr:nvCxnSpPr>
      <xdr:spPr>
        <a:xfrm flipH="1">
          <a:off x="2359025" y="1117600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6</xdr:row>
      <xdr:rowOff>47625</xdr:rowOff>
    </xdr:from>
    <xdr:to>
      <xdr:col>6</xdr:col>
      <xdr:colOff>590550</xdr:colOff>
      <xdr:row>9</xdr:row>
      <xdr:rowOff>57150</xdr:rowOff>
    </xdr:to>
    <xdr:grpSp>
      <xdr:nvGrpSpPr>
        <xdr:cNvPr id="1287" name="グループ化 7">
          <a:extLst>
            <a:ext uri="{FF2B5EF4-FFF2-40B4-BE49-F238E27FC236}">
              <a16:creationId xmlns:a16="http://schemas.microsoft.com/office/drawing/2014/main" id="{00000000-0008-0000-0100-000007050000}"/>
            </a:ext>
          </a:extLst>
        </xdr:cNvPr>
        <xdr:cNvGrpSpPr>
          <a:grpSpLocks/>
        </xdr:cNvGrpSpPr>
      </xdr:nvGrpSpPr>
      <xdr:grpSpPr bwMode="auto">
        <a:xfrm>
          <a:off x="4648200" y="952500"/>
          <a:ext cx="2466975" cy="466725"/>
          <a:chOff x="3381375" y="752475"/>
          <a:chExt cx="2466975" cy="466725"/>
        </a:xfrm>
      </xdr:grpSpPr>
      <xdr:sp macro="" textlink="">
        <xdr:nvSpPr>
          <xdr:cNvPr id="1288" name="Rectangle 17">
            <a:extLst>
              <a:ext uri="{FF2B5EF4-FFF2-40B4-BE49-F238E27FC236}">
                <a16:creationId xmlns:a16="http://schemas.microsoft.com/office/drawing/2014/main" id="{00000000-0008-0000-0100-000008050000}"/>
              </a:ext>
            </a:extLst>
          </xdr:cNvPr>
          <xdr:cNvSpPr>
            <a:spLocks noChangeArrowheads="1"/>
          </xdr:cNvSpPr>
        </xdr:nvSpPr>
        <xdr:spPr bwMode="auto">
          <a:xfrm>
            <a:off x="3381375" y="752475"/>
            <a:ext cx="2466975" cy="466725"/>
          </a:xfrm>
          <a:prstGeom prst="rect">
            <a:avLst/>
          </a:prstGeom>
          <a:noFill/>
          <a:ln w="9525">
            <a:solidFill>
              <a:srgbClr val="00000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89" name="Rectangle 12">
            <a:extLst>
              <a:ext uri="{FF2B5EF4-FFF2-40B4-BE49-F238E27FC236}">
                <a16:creationId xmlns:a16="http://schemas.microsoft.com/office/drawing/2014/main" id="{00000000-0008-0000-0100-00000905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800100"/>
            <a:ext cx="246336" cy="142875"/>
          </a:xfrm>
          <a:prstGeom prst="rect">
            <a:avLst/>
          </a:prstGeom>
          <a:solidFill>
            <a:srgbClr val="FFFFCC"/>
          </a:solidFill>
          <a:ln w="1270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90" name="Rectangle 13">
            <a:extLst>
              <a:ext uri="{FF2B5EF4-FFF2-40B4-BE49-F238E27FC236}">
                <a16:creationId xmlns:a16="http://schemas.microsoft.com/office/drawing/2014/main" id="{00000000-0008-0000-0100-00000A05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1019175"/>
            <a:ext cx="246336" cy="142875"/>
          </a:xfrm>
          <a:prstGeom prst="rect">
            <a:avLst/>
          </a:prstGeom>
          <a:solidFill>
            <a:srgbClr val="CC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800100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：レビューア記入項目</a:t>
            </a: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1000125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：回答者記入項目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6</xdr:row>
      <xdr:rowOff>47625</xdr:rowOff>
    </xdr:from>
    <xdr:to>
      <xdr:col>6</xdr:col>
      <xdr:colOff>590550</xdr:colOff>
      <xdr:row>9</xdr:row>
      <xdr:rowOff>57150</xdr:rowOff>
    </xdr:to>
    <xdr:grpSp>
      <xdr:nvGrpSpPr>
        <xdr:cNvPr id="9281" name="グループ化 7">
          <a:extLst>
            <a:ext uri="{FF2B5EF4-FFF2-40B4-BE49-F238E27FC236}">
              <a16:creationId xmlns:a16="http://schemas.microsoft.com/office/drawing/2014/main" id="{00000000-0008-0000-0200-000041240000}"/>
            </a:ext>
          </a:extLst>
        </xdr:cNvPr>
        <xdr:cNvGrpSpPr>
          <a:grpSpLocks/>
        </xdr:cNvGrpSpPr>
      </xdr:nvGrpSpPr>
      <xdr:grpSpPr bwMode="auto">
        <a:xfrm>
          <a:off x="4648200" y="952500"/>
          <a:ext cx="2466975" cy="466725"/>
          <a:chOff x="3381375" y="752475"/>
          <a:chExt cx="2466975" cy="466725"/>
        </a:xfrm>
      </xdr:grpSpPr>
      <xdr:sp macro="" textlink="">
        <xdr:nvSpPr>
          <xdr:cNvPr id="9292" name="Rectangle 17">
            <a:extLst>
              <a:ext uri="{FF2B5EF4-FFF2-40B4-BE49-F238E27FC236}">
                <a16:creationId xmlns:a16="http://schemas.microsoft.com/office/drawing/2014/main" id="{00000000-0008-0000-0200-00004C240000}"/>
              </a:ext>
            </a:extLst>
          </xdr:cNvPr>
          <xdr:cNvSpPr>
            <a:spLocks noChangeArrowheads="1"/>
          </xdr:cNvSpPr>
        </xdr:nvSpPr>
        <xdr:spPr bwMode="auto">
          <a:xfrm>
            <a:off x="3381375" y="752475"/>
            <a:ext cx="2466975" cy="466725"/>
          </a:xfrm>
          <a:prstGeom prst="rect">
            <a:avLst/>
          </a:prstGeom>
          <a:noFill/>
          <a:ln w="9525">
            <a:solidFill>
              <a:srgbClr val="00000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293" name="Rectangle 12">
            <a:extLst>
              <a:ext uri="{FF2B5EF4-FFF2-40B4-BE49-F238E27FC236}">
                <a16:creationId xmlns:a16="http://schemas.microsoft.com/office/drawing/2014/main" id="{00000000-0008-0000-0200-00004D24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800100"/>
            <a:ext cx="246336" cy="142875"/>
          </a:xfrm>
          <a:prstGeom prst="rect">
            <a:avLst/>
          </a:prstGeom>
          <a:solidFill>
            <a:srgbClr val="FFFFCC"/>
          </a:solidFill>
          <a:ln w="1270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9294" name="Rectangle 13">
            <a:extLst>
              <a:ext uri="{FF2B5EF4-FFF2-40B4-BE49-F238E27FC236}">
                <a16:creationId xmlns:a16="http://schemas.microsoft.com/office/drawing/2014/main" id="{00000000-0008-0000-0200-00004E24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1019175"/>
            <a:ext cx="246336" cy="142875"/>
          </a:xfrm>
          <a:prstGeom prst="rect">
            <a:avLst/>
          </a:prstGeom>
          <a:solidFill>
            <a:srgbClr val="CC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800100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：レビューア記入項目</a:t>
            </a:r>
          </a:p>
        </xdr:txBody>
      </xdr:sp>
      <xdr:sp macro="" textlink="">
        <xdr:nvSpPr>
          <xdr:cNvPr id="7" name="Rectangle 12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1000125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：回答者記入項目</a:t>
            </a:r>
          </a:p>
        </xdr:txBody>
      </xdr:sp>
    </xdr:grpSp>
    <xdr:clientData/>
  </xdr:twoCellAnchor>
  <xdr:twoCellAnchor>
    <xdr:from>
      <xdr:col>2</xdr:col>
      <xdr:colOff>171450</xdr:colOff>
      <xdr:row>15</xdr:row>
      <xdr:rowOff>114300</xdr:rowOff>
    </xdr:from>
    <xdr:to>
      <xdr:col>9</xdr:col>
      <xdr:colOff>466725</xdr:colOff>
      <xdr:row>29</xdr:row>
      <xdr:rowOff>123825</xdr:rowOff>
    </xdr:to>
    <xdr:sp macro="" textlink="">
      <xdr:nvSpPr>
        <xdr:cNvPr id="8" name="Text Box 10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>
          <a:spLocks noChangeArrowheads="1"/>
        </xdr:cNvSpPr>
      </xdr:nvSpPr>
      <xdr:spPr bwMode="auto">
        <a:xfrm>
          <a:off x="714375" y="2886075"/>
          <a:ext cx="7829550" cy="4371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[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自動集計項目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]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：レビューの指摘工数、回答工数、確認工数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レビュー指摘を修正した結果に対し、確認する時間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の合計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レビューの指摘工数、回答工数、確認工数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…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レビューを複数回実施した場合は、加算更新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前回工数に今回工数を加算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する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④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実施工数</a:t>
          </a:r>
          <a:r>
            <a:rPr lang="en-US" altLang="ja-JP" sz="1000" b="0" i="0" baseline="0">
              <a:latin typeface="ＭＳ ゴシック" pitchFamily="49" charset="-128"/>
              <a:ea typeface="ＭＳ ゴシック" pitchFamily="49" charset="-128"/>
              <a:cs typeface="+mn-cs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＝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②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レビュー指摘工数＋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③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レビュー回答工数</a:t>
          </a: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＋</a:t>
          </a:r>
          <a:r>
            <a:rPr lang="ja-JP" altLang="en-US" sz="10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④</a:t>
          </a: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レビュー確認工数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作込工程：明細で入力された作込工程の件数を、重複や誤字、改善等の対象外を除いて集計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「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⑨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対象外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重複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誤字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改善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他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＝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Null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」となっている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⑩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作込工程の明細数をカウントして、対応する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⑧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作込工程に集計</a:t>
          </a: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【</a:t>
          </a:r>
          <a:r>
            <a:rPr lang="ja-JP" altLang="ja-JP" sz="1000" b="0" i="0" baseline="0">
              <a:latin typeface="+mn-lt"/>
              <a:ea typeface="+mn-ea"/>
              <a:cs typeface="+mn-cs"/>
            </a:rPr>
            <a:t>品質指標として集計が必要な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見出し部分の情報は、品質管理シートのレビュー実績へ転記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】</a:t>
          </a:r>
        </a:p>
        <a:p>
          <a:pPr algn="l" rtl="0">
            <a:lnSpc>
              <a:spcPts val="1200"/>
            </a:lnSpc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《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品質管理シート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》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《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レビューシート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》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検出工程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①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ドキュメント名から判断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　　　　　　　　　　　例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ドキュメント名が基本仕様書の場合、検出工程は「基本設計」となる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回数　　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①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ドキュメント名と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⑤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から判断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　　　　　　　　　　　検出工程と実施日が同じとみなせる場合は同一回数として記入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実施項目数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頁数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⑪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ドキュメント頁数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実施者　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⑦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実施者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レビューア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記入日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⑥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⑤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実施工数</a:t>
          </a:r>
          <a:r>
            <a:rPr lang="en-US" altLang="ja-JP" sz="1000" b="0" i="0" baseline="0">
              <a:latin typeface="ＭＳ ゴシック" pitchFamily="49" charset="-128"/>
              <a:ea typeface="ＭＳ ゴシック" pitchFamily="49" charset="-128"/>
              <a:cs typeface="+mn-cs"/>
            </a:rPr>
            <a:t>(Hr)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作込工程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⑧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作込工程（品質指標として集計が必要な項目）</a:t>
          </a: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>
    <xdr:from>
      <xdr:col>1</xdr:col>
      <xdr:colOff>85725</xdr:colOff>
      <xdr:row>8</xdr:row>
      <xdr:rowOff>123825</xdr:rowOff>
    </xdr:from>
    <xdr:to>
      <xdr:col>1</xdr:col>
      <xdr:colOff>266700</xdr:colOff>
      <xdr:row>10</xdr:row>
      <xdr:rowOff>0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>
          <a:spLocks noChangeArrowheads="1"/>
        </xdr:cNvSpPr>
      </xdr:nvSpPr>
      <xdr:spPr bwMode="auto">
        <a:xfrm>
          <a:off x="342900" y="13335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④</a:t>
          </a:r>
        </a:p>
      </xdr:txBody>
    </xdr:sp>
    <xdr:clientData/>
  </xdr:twoCellAnchor>
  <xdr:twoCellAnchor>
    <xdr:from>
      <xdr:col>8</xdr:col>
      <xdr:colOff>66675</xdr:colOff>
      <xdr:row>2</xdr:row>
      <xdr:rowOff>0</xdr:rowOff>
    </xdr:from>
    <xdr:to>
      <xdr:col>8</xdr:col>
      <xdr:colOff>247650</xdr:colOff>
      <xdr:row>3</xdr:row>
      <xdr:rowOff>28575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>
          <a:spLocks noChangeArrowheads="1"/>
        </xdr:cNvSpPr>
      </xdr:nvSpPr>
      <xdr:spPr bwMode="auto">
        <a:xfrm>
          <a:off x="7810500" y="2952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⑧</a:t>
          </a:r>
        </a:p>
      </xdr:txBody>
    </xdr:sp>
    <xdr:clientData/>
  </xdr:twoCellAnchor>
  <xdr:twoCellAnchor>
    <xdr:from>
      <xdr:col>1</xdr:col>
      <xdr:colOff>76200</xdr:colOff>
      <xdr:row>3</xdr:row>
      <xdr:rowOff>114300</xdr:rowOff>
    </xdr:from>
    <xdr:to>
      <xdr:col>1</xdr:col>
      <xdr:colOff>257175</xdr:colOff>
      <xdr:row>4</xdr:row>
      <xdr:rowOff>142875</xdr:rowOff>
    </xdr:to>
    <xdr:sp macro="" textlink="">
      <xdr:nvSpPr>
        <xdr:cNvPr id="11" name="Text Box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>
          <a:spLocks noChangeArrowheads="1"/>
        </xdr:cNvSpPr>
      </xdr:nvSpPr>
      <xdr:spPr bwMode="auto">
        <a:xfrm>
          <a:off x="333375" y="5619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①</a:t>
          </a:r>
        </a:p>
      </xdr:txBody>
    </xdr:sp>
    <xdr:clientData/>
  </xdr:twoCellAnchor>
  <xdr:twoCellAnchor>
    <xdr:from>
      <xdr:col>1</xdr:col>
      <xdr:colOff>85725</xdr:colOff>
      <xdr:row>6</xdr:row>
      <xdr:rowOff>104775</xdr:rowOff>
    </xdr:from>
    <xdr:to>
      <xdr:col>1</xdr:col>
      <xdr:colOff>266700</xdr:colOff>
      <xdr:row>7</xdr:row>
      <xdr:rowOff>133350</xdr:rowOff>
    </xdr:to>
    <xdr:sp macro="" textlink="">
      <xdr:nvSpPr>
        <xdr:cNvPr id="12" name="Text Box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>
          <a:spLocks noChangeArrowheads="1"/>
        </xdr:cNvSpPr>
      </xdr:nvSpPr>
      <xdr:spPr bwMode="auto">
        <a:xfrm>
          <a:off x="342900" y="10096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②</a:t>
          </a:r>
        </a:p>
      </xdr:txBody>
    </xdr:sp>
    <xdr:clientData/>
  </xdr:twoCellAnchor>
  <xdr:twoCellAnchor>
    <xdr:from>
      <xdr:col>1</xdr:col>
      <xdr:colOff>85725</xdr:colOff>
      <xdr:row>7</xdr:row>
      <xdr:rowOff>114300</xdr:rowOff>
    </xdr:from>
    <xdr:to>
      <xdr:col>1</xdr:col>
      <xdr:colOff>266700</xdr:colOff>
      <xdr:row>8</xdr:row>
      <xdr:rowOff>142875</xdr:rowOff>
    </xdr:to>
    <xdr:sp macro="" textlink="">
      <xdr:nvSpPr>
        <xdr:cNvPr id="13" name="Text Box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>
          <a:spLocks noChangeArrowheads="1"/>
        </xdr:cNvSpPr>
      </xdr:nvSpPr>
      <xdr:spPr bwMode="auto">
        <a:xfrm>
          <a:off x="342900" y="11715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③</a:t>
          </a:r>
        </a:p>
      </xdr:txBody>
    </xdr:sp>
    <xdr:clientData/>
  </xdr:twoCellAnchor>
  <xdr:twoCellAnchor>
    <xdr:from>
      <xdr:col>4</xdr:col>
      <xdr:colOff>161925</xdr:colOff>
      <xdr:row>11</xdr:row>
      <xdr:rowOff>133350</xdr:rowOff>
    </xdr:from>
    <xdr:to>
      <xdr:col>4</xdr:col>
      <xdr:colOff>342900</xdr:colOff>
      <xdr:row>13</xdr:row>
      <xdr:rowOff>0</xdr:rowOff>
    </xdr:to>
    <xdr:sp macro="" textlink="">
      <xdr:nvSpPr>
        <xdr:cNvPr id="14" name="Text Box 15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>
          <a:spLocks noChangeArrowheads="1"/>
        </xdr:cNvSpPr>
      </xdr:nvSpPr>
      <xdr:spPr bwMode="auto">
        <a:xfrm>
          <a:off x="3733800" y="18097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⑦</a:t>
          </a:r>
        </a:p>
      </xdr:txBody>
    </xdr:sp>
    <xdr:clientData/>
  </xdr:twoCellAnchor>
  <xdr:twoCellAnchor>
    <xdr:from>
      <xdr:col>8</xdr:col>
      <xdr:colOff>57150</xdr:colOff>
      <xdr:row>11</xdr:row>
      <xdr:rowOff>152400</xdr:rowOff>
    </xdr:from>
    <xdr:to>
      <xdr:col>8</xdr:col>
      <xdr:colOff>238125</xdr:colOff>
      <xdr:row>13</xdr:row>
      <xdr:rowOff>19050</xdr:rowOff>
    </xdr:to>
    <xdr:sp macro="" textlink="">
      <xdr:nvSpPr>
        <xdr:cNvPr id="15" name="Text Box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>
          <a:spLocks noChangeArrowheads="1"/>
        </xdr:cNvSpPr>
      </xdr:nvSpPr>
      <xdr:spPr bwMode="auto">
        <a:xfrm>
          <a:off x="7800975" y="18288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⑨</a:t>
          </a:r>
        </a:p>
      </xdr:txBody>
    </xdr:sp>
    <xdr:clientData/>
  </xdr:twoCellAnchor>
  <xdr:twoCellAnchor>
    <xdr:from>
      <xdr:col>9</xdr:col>
      <xdr:colOff>200025</xdr:colOff>
      <xdr:row>11</xdr:row>
      <xdr:rowOff>152400</xdr:rowOff>
    </xdr:from>
    <xdr:to>
      <xdr:col>9</xdr:col>
      <xdr:colOff>381000</xdr:colOff>
      <xdr:row>13</xdr:row>
      <xdr:rowOff>19050</xdr:rowOff>
    </xdr:to>
    <xdr:sp macro="" textlink="">
      <xdr:nvSpPr>
        <xdr:cNvPr id="16" name="Text Box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>
          <a:spLocks noChangeArrowheads="1"/>
        </xdr:cNvSpPr>
      </xdr:nvSpPr>
      <xdr:spPr bwMode="auto">
        <a:xfrm>
          <a:off x="8277225" y="18288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⑩</a:t>
          </a:r>
        </a:p>
      </xdr:txBody>
    </xdr:sp>
    <xdr:clientData/>
  </xdr:twoCellAnchor>
  <xdr:twoCellAnchor>
    <xdr:from>
      <xdr:col>3</xdr:col>
      <xdr:colOff>228600</xdr:colOff>
      <xdr:row>11</xdr:row>
      <xdr:rowOff>133350</xdr:rowOff>
    </xdr:from>
    <xdr:to>
      <xdr:col>3</xdr:col>
      <xdr:colOff>409575</xdr:colOff>
      <xdr:row>13</xdr:row>
      <xdr:rowOff>0</xdr:rowOff>
    </xdr:to>
    <xdr:sp macro="" textlink="">
      <xdr:nvSpPr>
        <xdr:cNvPr id="17" name="Text Box 15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>
          <a:spLocks noChangeArrowheads="1"/>
        </xdr:cNvSpPr>
      </xdr:nvSpPr>
      <xdr:spPr bwMode="auto">
        <a:xfrm>
          <a:off x="3086100" y="18097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⑥</a:t>
          </a:r>
        </a:p>
      </xdr:txBody>
    </xdr:sp>
    <xdr:clientData/>
  </xdr:twoCellAnchor>
  <xdr:twoCellAnchor>
    <xdr:from>
      <xdr:col>1</xdr:col>
      <xdr:colOff>85725</xdr:colOff>
      <xdr:row>9</xdr:row>
      <xdr:rowOff>123825</xdr:rowOff>
    </xdr:from>
    <xdr:to>
      <xdr:col>1</xdr:col>
      <xdr:colOff>266700</xdr:colOff>
      <xdr:row>10</xdr:row>
      <xdr:rowOff>152400</xdr:rowOff>
    </xdr:to>
    <xdr:sp macro="" textlink="">
      <xdr:nvSpPr>
        <xdr:cNvPr id="19" name="Text Box 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>
          <a:spLocks noChangeArrowheads="1"/>
        </xdr:cNvSpPr>
      </xdr:nvSpPr>
      <xdr:spPr bwMode="auto">
        <a:xfrm>
          <a:off x="342900" y="14859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⑤</a:t>
          </a:r>
        </a:p>
      </xdr:txBody>
    </xdr:sp>
    <xdr:clientData/>
  </xdr:twoCellAnchor>
  <xdr:twoCellAnchor>
    <xdr:from>
      <xdr:col>1</xdr:col>
      <xdr:colOff>76200</xdr:colOff>
      <xdr:row>4</xdr:row>
      <xdr:rowOff>114300</xdr:rowOff>
    </xdr:from>
    <xdr:to>
      <xdr:col>1</xdr:col>
      <xdr:colOff>257175</xdr:colOff>
      <xdr:row>5</xdr:row>
      <xdr:rowOff>142875</xdr:rowOff>
    </xdr:to>
    <xdr:sp macro="" textlink="">
      <xdr:nvSpPr>
        <xdr:cNvPr id="20" name="Text Box 1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>
          <a:spLocks noChangeArrowheads="1"/>
        </xdr:cNvSpPr>
      </xdr:nvSpPr>
      <xdr:spPr bwMode="auto">
        <a:xfrm>
          <a:off x="333375" y="5619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⑪</a:t>
          </a:r>
          <a:endParaRPr lang="en-US" altLang="ja-JP" sz="1000" b="0" i="0" u="none" strike="noStrike" baseline="0">
            <a:solidFill>
              <a:srgbClr val="0000FF"/>
            </a:solidFill>
            <a:latin typeface="ＭＳ ゴシック"/>
            <a:ea typeface="ＭＳ ゴシック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intra.melb.co.jp/sgk/&#21578;&#30693;/&#27231;&#23494;&#31561;&#32026;&#35501;&#26367;&#12360;&#19968;&#35239;&#34920;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opLeftCell="A58" zoomScaleNormal="100" zoomScaleSheetLayoutView="100" workbookViewId="0">
      <selection activeCell="E100" sqref="E100"/>
    </sheetView>
  </sheetViews>
  <sheetFormatPr defaultColWidth="10.28515625" defaultRowHeight="12"/>
  <cols>
    <col min="1" max="1" width="12.7109375" style="42" customWidth="1"/>
    <col min="2" max="2" width="10.28515625" style="40"/>
    <col min="3" max="3" width="3.7109375" style="40" customWidth="1"/>
    <col min="4" max="16384" width="10.28515625" style="40"/>
  </cols>
  <sheetData>
    <row r="1" spans="1:4">
      <c r="A1" s="41" t="s">
        <v>0</v>
      </c>
    </row>
    <row r="3" spans="1:4" ht="21" customHeight="1">
      <c r="A3" s="42" t="s">
        <v>1</v>
      </c>
      <c r="C3" s="43" t="s">
        <v>2</v>
      </c>
      <c r="D3" s="40" t="s">
        <v>3</v>
      </c>
    </row>
    <row r="4" spans="1:4">
      <c r="A4" s="44">
        <v>41165</v>
      </c>
      <c r="B4" s="40" t="s">
        <v>4</v>
      </c>
      <c r="C4" s="40">
        <v>1</v>
      </c>
      <c r="D4" s="40" t="s">
        <v>5</v>
      </c>
    </row>
    <row r="5" spans="1:4">
      <c r="A5" s="44"/>
    </row>
    <row r="6" spans="1:4">
      <c r="A6" s="45">
        <v>41198</v>
      </c>
      <c r="B6" s="29" t="s">
        <v>6</v>
      </c>
      <c r="C6" s="29">
        <v>1</v>
      </c>
      <c r="D6" s="40" t="s">
        <v>7</v>
      </c>
    </row>
    <row r="7" spans="1:4">
      <c r="A7" s="44"/>
      <c r="C7" s="40">
        <v>2</v>
      </c>
      <c r="D7" s="40" t="s">
        <v>8</v>
      </c>
    </row>
    <row r="8" spans="1:4">
      <c r="D8" s="40" t="s">
        <v>9</v>
      </c>
    </row>
    <row r="10" spans="1:4">
      <c r="A10" s="45">
        <v>41302</v>
      </c>
      <c r="B10" s="29" t="s">
        <v>10</v>
      </c>
      <c r="C10" s="29">
        <v>1</v>
      </c>
      <c r="D10" s="29" t="s">
        <v>11</v>
      </c>
    </row>
    <row r="11" spans="1:4">
      <c r="D11" s="29" t="s">
        <v>12</v>
      </c>
    </row>
    <row r="12" spans="1:4">
      <c r="D12" s="29" t="s">
        <v>13</v>
      </c>
    </row>
    <row r="14" spans="1:4">
      <c r="A14" s="45">
        <v>41333</v>
      </c>
      <c r="B14" s="29" t="s">
        <v>14</v>
      </c>
      <c r="C14" s="29">
        <v>1</v>
      </c>
      <c r="D14" s="29" t="s">
        <v>15</v>
      </c>
    </row>
    <row r="15" spans="1:4">
      <c r="C15" s="29"/>
      <c r="D15" s="29" t="s">
        <v>16</v>
      </c>
    </row>
    <row r="16" spans="1:4">
      <c r="D16" s="29" t="s">
        <v>17</v>
      </c>
    </row>
    <row r="17" spans="1:7">
      <c r="D17" s="29" t="s">
        <v>18</v>
      </c>
    </row>
    <row r="19" spans="1:7">
      <c r="A19" s="45">
        <v>41346</v>
      </c>
      <c r="B19" s="29" t="s">
        <v>19</v>
      </c>
      <c r="C19" s="29">
        <v>1</v>
      </c>
      <c r="D19" s="29" t="s">
        <v>20</v>
      </c>
    </row>
    <row r="20" spans="1:7">
      <c r="C20" s="29"/>
      <c r="D20" s="29" t="s">
        <v>21</v>
      </c>
    </row>
    <row r="21" spans="1:7">
      <c r="D21" s="29" t="s">
        <v>22</v>
      </c>
    </row>
    <row r="23" spans="1:7">
      <c r="A23" s="45">
        <v>41369</v>
      </c>
      <c r="B23" s="29" t="s">
        <v>23</v>
      </c>
      <c r="C23" s="29">
        <v>1</v>
      </c>
      <c r="D23" s="29" t="s">
        <v>24</v>
      </c>
    </row>
    <row r="24" spans="1:7">
      <c r="D24" s="29"/>
    </row>
    <row r="25" spans="1:7">
      <c r="A25" s="46">
        <v>41883</v>
      </c>
      <c r="B25" s="29" t="s">
        <v>25</v>
      </c>
      <c r="C25" s="47">
        <v>1</v>
      </c>
      <c r="D25" s="47" t="s">
        <v>26</v>
      </c>
      <c r="E25" s="48"/>
      <c r="F25" s="48"/>
      <c r="G25" s="48"/>
    </row>
    <row r="27" spans="1:7">
      <c r="A27" s="44">
        <v>42445</v>
      </c>
      <c r="B27" s="29" t="s">
        <v>27</v>
      </c>
      <c r="C27" s="40">
        <v>1</v>
      </c>
      <c r="D27" s="40" t="s">
        <v>28</v>
      </c>
    </row>
    <row r="28" spans="1:7">
      <c r="C28" s="40">
        <v>2</v>
      </c>
      <c r="D28" s="40" t="s">
        <v>29</v>
      </c>
    </row>
    <row r="30" spans="1:7">
      <c r="A30" s="44">
        <v>42825</v>
      </c>
      <c r="B30" s="29" t="s">
        <v>30</v>
      </c>
      <c r="C30" s="40">
        <v>1</v>
      </c>
      <c r="D30" s="40" t="s">
        <v>31</v>
      </c>
    </row>
    <row r="31" spans="1:7">
      <c r="D31" s="40" t="s">
        <v>32</v>
      </c>
    </row>
    <row r="32" spans="1:7">
      <c r="E32" s="42" t="s">
        <v>33</v>
      </c>
      <c r="G32" s="42" t="s">
        <v>34</v>
      </c>
    </row>
    <row r="33" spans="1:7">
      <c r="E33" s="40" t="s">
        <v>35</v>
      </c>
      <c r="G33" s="40" t="s">
        <v>35</v>
      </c>
    </row>
    <row r="34" spans="1:7">
      <c r="E34" s="40" t="s">
        <v>36</v>
      </c>
      <c r="G34" s="40" t="s">
        <v>36</v>
      </c>
    </row>
    <row r="35" spans="1:7">
      <c r="E35" s="40" t="s">
        <v>37</v>
      </c>
      <c r="G35" s="40" t="s">
        <v>37</v>
      </c>
    </row>
    <row r="36" spans="1:7">
      <c r="E36" s="40" t="s">
        <v>38</v>
      </c>
      <c r="G36" s="40" t="s">
        <v>38</v>
      </c>
    </row>
    <row r="37" spans="1:7">
      <c r="E37" s="40" t="s">
        <v>39</v>
      </c>
      <c r="G37" s="40" t="s">
        <v>39</v>
      </c>
    </row>
    <row r="38" spans="1:7">
      <c r="E38" s="40" t="s">
        <v>40</v>
      </c>
      <c r="G38" s="40" t="s">
        <v>40</v>
      </c>
    </row>
    <row r="39" spans="1:7">
      <c r="E39" s="40" t="s">
        <v>41</v>
      </c>
      <c r="G39" s="40" t="s">
        <v>42</v>
      </c>
    </row>
    <row r="40" spans="1:7">
      <c r="E40" s="40" t="s">
        <v>43</v>
      </c>
      <c r="G40" s="40" t="s">
        <v>44</v>
      </c>
    </row>
    <row r="41" spans="1:7">
      <c r="D41" s="49" t="s">
        <v>45</v>
      </c>
      <c r="E41" s="43" t="s">
        <v>46</v>
      </c>
      <c r="G41" s="40" t="s">
        <v>47</v>
      </c>
    </row>
    <row r="43" spans="1:7">
      <c r="D43" s="40" t="s">
        <v>48</v>
      </c>
    </row>
    <row r="44" spans="1:7">
      <c r="D44" s="40" t="s">
        <v>49</v>
      </c>
    </row>
    <row r="46" spans="1:7">
      <c r="A46" s="44">
        <v>42916</v>
      </c>
      <c r="B46" s="52" t="s">
        <v>50</v>
      </c>
      <c r="C46" s="40">
        <v>1</v>
      </c>
      <c r="D46" s="40" t="s">
        <v>51</v>
      </c>
    </row>
    <row r="47" spans="1:7">
      <c r="D47" s="40" t="s">
        <v>52</v>
      </c>
    </row>
    <row r="49" spans="1:6">
      <c r="A49" s="44">
        <v>43217</v>
      </c>
      <c r="B49" s="52" t="s">
        <v>53</v>
      </c>
      <c r="C49" s="40">
        <v>1</v>
      </c>
      <c r="D49" s="40" t="s">
        <v>54</v>
      </c>
    </row>
    <row r="50" spans="1:6">
      <c r="D50" s="40" t="s">
        <v>55</v>
      </c>
    </row>
    <row r="51" spans="1:6">
      <c r="D51" s="40" t="s">
        <v>56</v>
      </c>
    </row>
    <row r="53" spans="1:6">
      <c r="A53" s="53">
        <v>43236</v>
      </c>
      <c r="B53" s="52" t="s">
        <v>57</v>
      </c>
      <c r="C53">
        <v>1</v>
      </c>
      <c r="D53" t="s">
        <v>58</v>
      </c>
    </row>
    <row r="54" spans="1:6">
      <c r="A54" s="53"/>
      <c r="C54"/>
      <c r="D54" t="s">
        <v>59</v>
      </c>
    </row>
    <row r="55" spans="1:6">
      <c r="A55" s="53"/>
      <c r="C55"/>
      <c r="D55" t="s">
        <v>60</v>
      </c>
    </row>
    <row r="56" spans="1:6">
      <c r="A56" s="53"/>
      <c r="C56"/>
      <c r="D56" s="54" t="s">
        <v>61</v>
      </c>
    </row>
    <row r="58" spans="1:6">
      <c r="A58" s="53">
        <v>43549</v>
      </c>
      <c r="B58" s="52" t="s">
        <v>62</v>
      </c>
      <c r="C58">
        <v>1</v>
      </c>
      <c r="D58" t="s">
        <v>63</v>
      </c>
    </row>
    <row r="59" spans="1:6">
      <c r="D59" s="40" t="s">
        <v>33</v>
      </c>
      <c r="F59" s="40" t="s">
        <v>34</v>
      </c>
    </row>
    <row r="60" spans="1:6">
      <c r="D60" s="40" t="s">
        <v>64</v>
      </c>
      <c r="F60" s="40" t="s">
        <v>64</v>
      </c>
    </row>
    <row r="61" spans="1:6">
      <c r="D61" s="40" t="s">
        <v>65</v>
      </c>
      <c r="F61" s="40" t="s">
        <v>65</v>
      </c>
    </row>
    <row r="62" spans="1:6">
      <c r="D62" s="40" t="s">
        <v>66</v>
      </c>
      <c r="F62" s="40" t="s">
        <v>67</v>
      </c>
    </row>
    <row r="63" spans="1:6">
      <c r="D63" s="40" t="s">
        <v>67</v>
      </c>
    </row>
    <row r="65" spans="1:6">
      <c r="A65" s="53">
        <v>43677</v>
      </c>
      <c r="B65" s="40" t="s">
        <v>68</v>
      </c>
      <c r="C65" s="40">
        <v>1</v>
      </c>
      <c r="D65" s="40" t="s">
        <v>69</v>
      </c>
    </row>
    <row r="66" spans="1:6">
      <c r="D66" s="40" t="s">
        <v>70</v>
      </c>
    </row>
    <row r="68" spans="1:6">
      <c r="D68" s="40" t="s">
        <v>71</v>
      </c>
      <c r="F68" s="40" t="s">
        <v>72</v>
      </c>
    </row>
    <row r="69" spans="1:6">
      <c r="D69" s="40" t="s">
        <v>73</v>
      </c>
      <c r="F69" s="40" t="s">
        <v>73</v>
      </c>
    </row>
    <row r="70" spans="1:6">
      <c r="D70" s="40" t="s">
        <v>74</v>
      </c>
      <c r="F70" s="40" t="s">
        <v>74</v>
      </c>
    </row>
    <row r="71" spans="1:6">
      <c r="D71" s="40" t="s">
        <v>75</v>
      </c>
      <c r="F71" s="40" t="s">
        <v>75</v>
      </c>
    </row>
    <row r="72" spans="1:6">
      <c r="D72" s="40" t="s">
        <v>76</v>
      </c>
      <c r="F72" s="40" t="s">
        <v>76</v>
      </c>
    </row>
    <row r="73" spans="1:6">
      <c r="D73" s="40" t="s">
        <v>77</v>
      </c>
      <c r="F73" s="40" t="s">
        <v>77</v>
      </c>
    </row>
    <row r="74" spans="1:6" ht="13.5">
      <c r="D74" s="40" t="s">
        <v>78</v>
      </c>
      <c r="F74" s="40" t="s">
        <v>41</v>
      </c>
    </row>
    <row r="75" spans="1:6">
      <c r="D75" s="40" t="s">
        <v>79</v>
      </c>
      <c r="F75" s="40" t="s">
        <v>79</v>
      </c>
    </row>
  </sheetData>
  <phoneticPr fontId="19"/>
  <hyperlinks>
    <hyperlink ref="D56" r:id="rId1" xr:uid="{00000000-0004-0000-0000-000000000000}"/>
  </hyperlinks>
  <pageMargins left="0.70866141732283472" right="0.19685039370078741" top="0.98425196850393704" bottom="0.98425196850393704" header="0.51181102362204722" footer="0.51181102362204722"/>
  <pageSetup paperSize="9" orientation="portrait" r:id="rId2"/>
  <headerFooter alignWithMargins="0">
    <oddHeader>&amp;R【社外秘】</oddHeader>
    <oddFooter>&amp;C&amp;P/&amp;N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1"/>
  <sheetViews>
    <sheetView showGridLines="0" tabSelected="1" view="pageBreakPreview" zoomScaleNormal="100" zoomScaleSheetLayoutView="100" workbookViewId="0">
      <selection activeCell="F18" sqref="F18"/>
    </sheetView>
  </sheetViews>
  <sheetFormatPr defaultRowHeight="12"/>
  <cols>
    <col min="1" max="1" width="3.85546875" customWidth="1"/>
    <col min="2" max="2" width="4.7109375" customWidth="1"/>
    <col min="3" max="3" width="34.7109375" customWidth="1"/>
    <col min="4" max="4" width="10.7109375" bestFit="1" customWidth="1"/>
    <col min="5" max="5" width="9.140625" customWidth="1"/>
    <col min="6" max="6" width="34.7109375" customWidth="1"/>
    <col min="7" max="7" width="10.7109375" customWidth="1"/>
    <col min="9" max="9" width="4.7109375" customWidth="1"/>
    <col min="10" max="10" width="10.7109375" customWidth="1"/>
  </cols>
  <sheetData>
    <row r="1" spans="1:11" ht="17.25">
      <c r="F1" s="13" t="s">
        <v>80</v>
      </c>
      <c r="J1" s="56">
        <v>43677</v>
      </c>
      <c r="K1" s="14" t="s">
        <v>81</v>
      </c>
    </row>
    <row r="2" spans="1:11" ht="6" customHeight="1"/>
    <row r="3" spans="1:11">
      <c r="C3" s="3" t="s">
        <v>82</v>
      </c>
      <c r="D3" s="15" t="s">
        <v>83</v>
      </c>
      <c r="E3" s="16"/>
      <c r="F3" s="16"/>
      <c r="G3" s="17"/>
      <c r="I3" s="61" t="s">
        <v>84</v>
      </c>
      <c r="J3" s="19" t="s">
        <v>35</v>
      </c>
      <c r="K3" s="1">
        <f t="shared" ref="K3:K11" si="0">SUMPRODUCT(($J$15:$J$40=$J3)*($I$15:$I$40=""))</f>
        <v>0</v>
      </c>
    </row>
    <row r="4" spans="1:11">
      <c r="C4" s="3" t="s">
        <v>85</v>
      </c>
      <c r="D4" s="15" t="s">
        <v>86</v>
      </c>
      <c r="E4" s="16"/>
      <c r="F4" s="16"/>
      <c r="G4" s="17"/>
      <c r="I4" s="62"/>
      <c r="J4" s="19" t="s">
        <v>36</v>
      </c>
      <c r="K4" s="1">
        <f t="shared" si="0"/>
        <v>0</v>
      </c>
    </row>
    <row r="5" spans="1:11">
      <c r="C5" s="3" t="s">
        <v>87</v>
      </c>
      <c r="D5" s="15"/>
      <c r="E5" s="16"/>
      <c r="F5" s="16"/>
      <c r="G5" s="17"/>
      <c r="I5" s="62"/>
      <c r="J5" s="19" t="s">
        <v>37</v>
      </c>
      <c r="K5" s="1">
        <f t="shared" si="0"/>
        <v>0</v>
      </c>
    </row>
    <row r="6" spans="1:11">
      <c r="C6" s="3" t="s">
        <v>88</v>
      </c>
      <c r="D6" s="51"/>
      <c r="E6" s="11"/>
      <c r="I6" s="62"/>
      <c r="J6" s="19" t="s">
        <v>38</v>
      </c>
      <c r="K6" s="1">
        <f t="shared" si="0"/>
        <v>0</v>
      </c>
    </row>
    <row r="7" spans="1:11">
      <c r="E7" s="11"/>
      <c r="I7" s="62"/>
      <c r="J7" s="19" t="s">
        <v>39</v>
      </c>
      <c r="K7" s="1">
        <f t="shared" si="0"/>
        <v>0</v>
      </c>
    </row>
    <row r="8" spans="1:11">
      <c r="C8" s="3" t="s">
        <v>89</v>
      </c>
      <c r="D8" s="12"/>
      <c r="E8" s="11"/>
      <c r="I8" s="62"/>
      <c r="J8" s="19" t="s">
        <v>40</v>
      </c>
      <c r="K8" s="1">
        <f t="shared" si="0"/>
        <v>0</v>
      </c>
    </row>
    <row r="9" spans="1:11">
      <c r="C9" s="3" t="s">
        <v>90</v>
      </c>
      <c r="D9" s="39"/>
      <c r="I9" s="62"/>
      <c r="J9" s="19" t="s">
        <v>91</v>
      </c>
      <c r="K9" s="1">
        <f t="shared" si="0"/>
        <v>0</v>
      </c>
    </row>
    <row r="10" spans="1:11">
      <c r="C10" s="3" t="s">
        <v>92</v>
      </c>
      <c r="D10" s="12"/>
      <c r="I10" s="62"/>
      <c r="J10" s="20" t="s">
        <v>43</v>
      </c>
      <c r="K10" s="1">
        <f t="shared" si="0"/>
        <v>0</v>
      </c>
    </row>
    <row r="11" spans="1:11" ht="12.75" thickBot="1">
      <c r="C11" t="s">
        <v>93</v>
      </c>
      <c r="D11" s="11">
        <f>SUM(D8:D10)</f>
        <v>0</v>
      </c>
      <c r="I11" s="62"/>
      <c r="J11" s="21" t="s">
        <v>46</v>
      </c>
      <c r="K11" s="1">
        <f t="shared" si="0"/>
        <v>0</v>
      </c>
    </row>
    <row r="12" spans="1:11" ht="12.75" thickTop="1">
      <c r="I12" s="63"/>
      <c r="J12" s="2" t="s">
        <v>94</v>
      </c>
      <c r="K12" s="2">
        <f>SUM(K3:K11)</f>
        <v>0</v>
      </c>
    </row>
    <row r="14" spans="1:11" ht="37.5">
      <c r="A14" s="6" t="s">
        <v>95</v>
      </c>
      <c r="B14" s="7" t="s">
        <v>96</v>
      </c>
      <c r="C14" s="22" t="s">
        <v>97</v>
      </c>
      <c r="D14" s="18" t="s">
        <v>98</v>
      </c>
      <c r="E14" s="18" t="s">
        <v>99</v>
      </c>
      <c r="F14" s="6" t="s">
        <v>100</v>
      </c>
      <c r="G14" s="6" t="s">
        <v>101</v>
      </c>
      <c r="H14" s="6" t="s">
        <v>102</v>
      </c>
      <c r="I14" s="5" t="s">
        <v>103</v>
      </c>
      <c r="J14" s="6" t="s">
        <v>84</v>
      </c>
      <c r="K14" s="18" t="s">
        <v>104</v>
      </c>
    </row>
    <row r="15" spans="1:11" ht="36">
      <c r="A15" s="6">
        <v>1</v>
      </c>
      <c r="B15" s="36"/>
      <c r="C15" s="33" t="s">
        <v>112</v>
      </c>
      <c r="D15" s="30">
        <v>44963</v>
      </c>
      <c r="E15" s="36" t="s">
        <v>108</v>
      </c>
      <c r="F15" s="32" t="s">
        <v>113</v>
      </c>
      <c r="G15" s="31">
        <v>44992</v>
      </c>
      <c r="H15" s="57" t="s">
        <v>114</v>
      </c>
      <c r="I15" s="58"/>
      <c r="J15" s="59"/>
      <c r="K15" s="60"/>
    </row>
    <row r="16" spans="1:11" ht="24">
      <c r="A16" s="6">
        <v>2</v>
      </c>
      <c r="B16" s="38"/>
      <c r="C16" s="33" t="s">
        <v>109</v>
      </c>
      <c r="D16" s="30">
        <v>44963</v>
      </c>
      <c r="E16" s="36" t="s">
        <v>108</v>
      </c>
      <c r="F16" s="32" t="s">
        <v>113</v>
      </c>
      <c r="G16" s="31">
        <v>44992</v>
      </c>
      <c r="H16" s="57" t="s">
        <v>114</v>
      </c>
      <c r="I16" s="58"/>
      <c r="J16" s="59"/>
      <c r="K16" s="60"/>
    </row>
    <row r="17" spans="1:11">
      <c r="A17" s="6">
        <v>3</v>
      </c>
      <c r="B17" s="38"/>
      <c r="C17" s="33" t="s">
        <v>110</v>
      </c>
      <c r="D17" s="30">
        <v>44963</v>
      </c>
      <c r="E17" s="36" t="s">
        <v>108</v>
      </c>
      <c r="F17" s="32" t="s">
        <v>113</v>
      </c>
      <c r="G17" s="31">
        <v>44992</v>
      </c>
      <c r="H17" s="57" t="s">
        <v>114</v>
      </c>
      <c r="I17" s="58"/>
      <c r="J17" s="59"/>
      <c r="K17" s="60"/>
    </row>
    <row r="18" spans="1:11" ht="36">
      <c r="A18" s="6">
        <v>4</v>
      </c>
      <c r="B18" s="38"/>
      <c r="C18" s="33" t="s">
        <v>111</v>
      </c>
      <c r="D18" s="30">
        <v>44963</v>
      </c>
      <c r="E18" s="36" t="s">
        <v>108</v>
      </c>
      <c r="F18" s="32" t="s">
        <v>113</v>
      </c>
      <c r="G18" s="31">
        <v>44992</v>
      </c>
      <c r="H18" s="57" t="s">
        <v>114</v>
      </c>
      <c r="I18" s="58"/>
      <c r="J18" s="59"/>
      <c r="K18" s="60"/>
    </row>
    <row r="19" spans="1:11" ht="15" customHeight="1">
      <c r="A19" s="6">
        <v>5</v>
      </c>
      <c r="B19" s="38"/>
      <c r="C19" s="33"/>
      <c r="D19" s="30"/>
      <c r="E19" s="36"/>
      <c r="F19" s="32"/>
      <c r="G19" s="31"/>
      <c r="H19" s="57"/>
      <c r="I19" s="58"/>
      <c r="J19" s="59"/>
      <c r="K19" s="60"/>
    </row>
    <row r="20" spans="1:11" ht="15" customHeight="1">
      <c r="A20" s="6">
        <v>6</v>
      </c>
      <c r="B20" s="38"/>
      <c r="C20" s="33"/>
      <c r="D20" s="30"/>
      <c r="E20" s="36"/>
      <c r="F20" s="32"/>
      <c r="G20" s="31"/>
      <c r="H20" s="57"/>
      <c r="I20" s="58"/>
      <c r="J20" s="59"/>
      <c r="K20" s="60"/>
    </row>
    <row r="21" spans="1:11" ht="15" customHeight="1">
      <c r="A21" s="6">
        <v>7</v>
      </c>
      <c r="B21" s="38"/>
      <c r="C21" s="33"/>
      <c r="D21" s="30"/>
      <c r="E21" s="36"/>
      <c r="F21" s="32"/>
      <c r="G21" s="31"/>
      <c r="H21" s="57"/>
      <c r="I21" s="58"/>
      <c r="J21" s="59"/>
      <c r="K21" s="60"/>
    </row>
    <row r="22" spans="1:11" ht="15" customHeight="1">
      <c r="A22" s="6">
        <v>8</v>
      </c>
      <c r="B22" s="38"/>
      <c r="C22" s="33"/>
      <c r="D22" s="30"/>
      <c r="E22" s="36"/>
      <c r="F22" s="32"/>
      <c r="G22" s="31"/>
      <c r="H22" s="57"/>
      <c r="I22" s="58"/>
      <c r="J22" s="59"/>
      <c r="K22" s="60"/>
    </row>
    <row r="23" spans="1:11" ht="15" customHeight="1">
      <c r="A23" s="6">
        <v>9</v>
      </c>
      <c r="B23" s="36"/>
      <c r="C23" s="33"/>
      <c r="D23" s="30"/>
      <c r="E23" s="36"/>
      <c r="F23" s="32"/>
      <c r="G23" s="31"/>
      <c r="H23" s="57"/>
      <c r="I23" s="58"/>
      <c r="J23" s="59"/>
      <c r="K23" s="60"/>
    </row>
    <row r="24" spans="1:11" ht="15" customHeight="1">
      <c r="A24" s="6">
        <v>10</v>
      </c>
      <c r="B24" s="36"/>
      <c r="C24" s="33"/>
      <c r="D24" s="30"/>
      <c r="E24" s="36"/>
      <c r="F24" s="32"/>
      <c r="G24" s="31"/>
      <c r="H24" s="57"/>
      <c r="I24" s="58"/>
      <c r="J24" s="59"/>
      <c r="K24" s="60"/>
    </row>
    <row r="25" spans="1:11" ht="15" customHeight="1">
      <c r="A25" s="6">
        <v>11</v>
      </c>
      <c r="B25" s="36"/>
      <c r="C25" s="33"/>
      <c r="D25" s="30"/>
      <c r="E25" s="36"/>
      <c r="F25" s="32"/>
      <c r="G25" s="31"/>
      <c r="H25" s="57"/>
      <c r="I25" s="58"/>
      <c r="J25" s="59"/>
      <c r="K25" s="60"/>
    </row>
    <row r="26" spans="1:11" ht="15" customHeight="1">
      <c r="A26" s="6">
        <v>12</v>
      </c>
      <c r="B26" s="36"/>
      <c r="C26" s="33"/>
      <c r="D26" s="30"/>
      <c r="E26" s="36"/>
      <c r="F26" s="32"/>
      <c r="G26" s="31"/>
      <c r="H26" s="57"/>
      <c r="I26" s="58"/>
      <c r="J26" s="59"/>
      <c r="K26" s="60"/>
    </row>
    <row r="27" spans="1:11" ht="15" customHeight="1">
      <c r="A27" s="6">
        <v>13</v>
      </c>
      <c r="B27" s="38"/>
      <c r="C27" s="33"/>
      <c r="D27" s="30"/>
      <c r="E27" s="36"/>
      <c r="F27" s="32"/>
      <c r="G27" s="31"/>
      <c r="H27" s="57"/>
      <c r="I27" s="58"/>
      <c r="J27" s="59"/>
      <c r="K27" s="60"/>
    </row>
    <row r="28" spans="1:11" ht="15" customHeight="1">
      <c r="A28" s="6">
        <v>14</v>
      </c>
      <c r="B28" s="38"/>
      <c r="C28" s="33"/>
      <c r="D28" s="30"/>
      <c r="E28" s="36"/>
      <c r="F28" s="32"/>
      <c r="G28" s="31"/>
      <c r="H28" s="57"/>
      <c r="I28" s="58"/>
      <c r="J28" s="59"/>
      <c r="K28" s="60"/>
    </row>
    <row r="29" spans="1:11" ht="15" customHeight="1">
      <c r="A29" s="6">
        <v>15</v>
      </c>
      <c r="B29" s="38"/>
      <c r="C29" s="33"/>
      <c r="D29" s="30"/>
      <c r="E29" s="36"/>
      <c r="F29" s="32"/>
      <c r="G29" s="31"/>
      <c r="H29" s="57"/>
      <c r="I29" s="58"/>
      <c r="J29" s="59"/>
      <c r="K29" s="60"/>
    </row>
    <row r="30" spans="1:11" ht="15" customHeight="1">
      <c r="A30" s="6">
        <v>16</v>
      </c>
      <c r="B30" s="38"/>
      <c r="C30" s="33"/>
      <c r="D30" s="30"/>
      <c r="E30" s="36"/>
      <c r="F30" s="32"/>
      <c r="G30" s="31"/>
      <c r="H30" s="57"/>
      <c r="I30" s="58"/>
      <c r="J30" s="59"/>
      <c r="K30" s="60"/>
    </row>
    <row r="31" spans="1:11" ht="15" customHeight="1">
      <c r="A31" s="6">
        <v>17</v>
      </c>
      <c r="B31" s="38"/>
      <c r="C31" s="33"/>
      <c r="D31" s="30"/>
      <c r="E31" s="36"/>
      <c r="F31" s="32"/>
      <c r="G31" s="31"/>
      <c r="H31" s="57"/>
      <c r="I31" s="58"/>
      <c r="J31" s="59"/>
      <c r="K31" s="60"/>
    </row>
    <row r="32" spans="1:11" ht="15" customHeight="1">
      <c r="A32" s="6">
        <v>18</v>
      </c>
      <c r="B32" s="38"/>
      <c r="C32" s="33"/>
      <c r="D32" s="30"/>
      <c r="E32" s="36"/>
      <c r="F32" s="32"/>
      <c r="G32" s="31"/>
      <c r="H32" s="57"/>
      <c r="I32" s="58"/>
      <c r="J32" s="59"/>
      <c r="K32" s="60"/>
    </row>
    <row r="33" spans="1:11" ht="15" customHeight="1">
      <c r="A33" s="6">
        <v>19</v>
      </c>
      <c r="B33" s="38"/>
      <c r="C33" s="33"/>
      <c r="D33" s="30"/>
      <c r="E33" s="36"/>
      <c r="F33" s="32"/>
      <c r="G33" s="31"/>
      <c r="H33" s="57"/>
      <c r="I33" s="58"/>
      <c r="J33" s="59"/>
      <c r="K33" s="60"/>
    </row>
    <row r="34" spans="1:11" ht="15" customHeight="1">
      <c r="A34" s="6">
        <v>20</v>
      </c>
      <c r="B34" s="38"/>
      <c r="C34" s="33"/>
      <c r="D34" s="30"/>
      <c r="E34" s="36"/>
      <c r="F34" s="32"/>
      <c r="G34" s="31"/>
      <c r="H34" s="57"/>
      <c r="I34" s="58"/>
      <c r="J34" s="59"/>
      <c r="K34" s="60"/>
    </row>
    <row r="35" spans="1:11" ht="15" customHeight="1">
      <c r="A35" s="6">
        <v>21</v>
      </c>
      <c r="B35" s="38"/>
      <c r="C35" s="33" t="s">
        <v>105</v>
      </c>
      <c r="D35" s="30"/>
      <c r="E35" s="36"/>
      <c r="F35" s="32"/>
      <c r="G35" s="31"/>
      <c r="H35" s="35"/>
      <c r="I35" s="50"/>
      <c r="J35" s="37"/>
      <c r="K35" s="34"/>
    </row>
    <row r="36" spans="1:11" ht="15" customHeight="1">
      <c r="A36" s="6">
        <v>22</v>
      </c>
      <c r="B36" s="38"/>
      <c r="C36" s="33" t="s">
        <v>105</v>
      </c>
      <c r="D36" s="30"/>
      <c r="E36" s="36"/>
      <c r="F36" s="32"/>
      <c r="G36" s="31"/>
      <c r="H36" s="35"/>
      <c r="I36" s="50"/>
      <c r="J36" s="37"/>
      <c r="K36" s="34"/>
    </row>
    <row r="37" spans="1:11" ht="15" customHeight="1">
      <c r="A37" s="6">
        <v>23</v>
      </c>
      <c r="B37" s="38"/>
      <c r="C37" s="33" t="s">
        <v>105</v>
      </c>
      <c r="D37" s="30"/>
      <c r="E37" s="36"/>
      <c r="F37" s="32"/>
      <c r="G37" s="31"/>
      <c r="H37" s="35"/>
      <c r="I37" s="50"/>
      <c r="J37" s="37"/>
      <c r="K37" s="34"/>
    </row>
    <row r="38" spans="1:11" ht="15" customHeight="1">
      <c r="A38" s="6">
        <v>24</v>
      </c>
      <c r="B38" s="38"/>
      <c r="C38" s="33" t="s">
        <v>105</v>
      </c>
      <c r="D38" s="30"/>
      <c r="E38" s="36"/>
      <c r="F38" s="32"/>
      <c r="G38" s="31"/>
      <c r="H38" s="35"/>
      <c r="I38" s="50"/>
      <c r="J38" s="37"/>
      <c r="K38" s="34"/>
    </row>
    <row r="39" spans="1:11" ht="15" customHeight="1">
      <c r="A39" s="6">
        <v>25</v>
      </c>
      <c r="B39" s="38"/>
      <c r="C39" s="33" t="s">
        <v>105</v>
      </c>
      <c r="D39" s="30"/>
      <c r="E39" s="36"/>
      <c r="F39" s="32"/>
      <c r="G39" s="31"/>
      <c r="H39" s="35"/>
      <c r="I39" s="50"/>
      <c r="J39" s="37"/>
      <c r="K39" s="34"/>
    </row>
    <row r="40" spans="1:11">
      <c r="A40" s="6" t="s">
        <v>106</v>
      </c>
      <c r="B40" s="38"/>
      <c r="C40" s="33"/>
      <c r="D40" s="30"/>
      <c r="E40" s="36"/>
      <c r="F40" s="32"/>
      <c r="G40" s="31"/>
      <c r="H40" s="35"/>
      <c r="I40" s="50"/>
      <c r="J40" s="37"/>
      <c r="K40" s="34"/>
    </row>
    <row r="41" spans="1:11">
      <c r="A41" s="10" t="s">
        <v>107</v>
      </c>
    </row>
  </sheetData>
  <mergeCells count="1">
    <mergeCell ref="I3:I12"/>
  </mergeCells>
  <phoneticPr fontId="2"/>
  <dataValidations count="2">
    <dataValidation type="list" allowBlank="1" showInputMessage="1" showErrorMessage="1" sqref="J15:J40" xr:uid="{00000000-0002-0000-0100-000000000000}">
      <formula1>工程</formula1>
    </dataValidation>
    <dataValidation type="list" allowBlank="1" showInputMessage="1" showErrorMessage="1" sqref="I15:I40" xr:uid="{00000000-0002-0000-0100-000001000000}">
      <formula1>"重複,誤字,改善,他"</formula1>
    </dataValidation>
  </dataValidations>
  <printOptions horizontalCentered="1"/>
  <pageMargins left="0.19685039370078741" right="0.19685039370078741" top="0.39370078740157483" bottom="0.39370078740157483" header="0.19685039370078741" footer="0.19685039370078741"/>
  <pageSetup paperSize="9" scale="78" fitToHeight="0" orientation="portrait" verticalDpi="300" r:id="rId1"/>
  <headerFooter>
    <oddHeader>&amp;R&amp;"ＭＳ Ｐゴシック,太字"&amp;11【社外秘】</oddHeader>
    <oddFooter>&amp;P / &amp;N ページ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41"/>
  <sheetViews>
    <sheetView showGridLines="0" view="pageBreakPreview" zoomScaleNormal="100" zoomScaleSheetLayoutView="100" workbookViewId="0">
      <pane ySplit="14" topLeftCell="A15" activePane="bottomLeft" state="frozen"/>
      <selection pane="bottomLeft" activeCell="K1" sqref="K1"/>
    </sheetView>
  </sheetViews>
  <sheetFormatPr defaultRowHeight="12"/>
  <cols>
    <col min="1" max="1" width="3.85546875" customWidth="1"/>
    <col min="2" max="2" width="4.7109375" customWidth="1"/>
    <col min="3" max="3" width="34.7109375" customWidth="1"/>
    <col min="4" max="4" width="10.7109375" bestFit="1" customWidth="1"/>
    <col min="5" max="5" width="9.140625" customWidth="1"/>
    <col min="6" max="6" width="34.7109375" customWidth="1"/>
    <col min="7" max="7" width="10.7109375" customWidth="1"/>
    <col min="9" max="9" width="4.7109375" customWidth="1"/>
    <col min="10" max="10" width="10.7109375" customWidth="1"/>
  </cols>
  <sheetData>
    <row r="1" spans="1:11" ht="17.25">
      <c r="F1" s="13" t="s">
        <v>80</v>
      </c>
      <c r="J1" s="55">
        <f>レビューシート!J1</f>
        <v>43677</v>
      </c>
      <c r="K1" s="14" t="str">
        <f>レビューシート!K1</f>
        <v>Ver.2.3</v>
      </c>
    </row>
    <row r="2" spans="1:11" ht="6" customHeight="1"/>
    <row r="3" spans="1:11">
      <c r="C3" s="3" t="s">
        <v>82</v>
      </c>
      <c r="D3" s="15"/>
      <c r="E3" s="16"/>
      <c r="F3" s="16"/>
      <c r="G3" s="17"/>
      <c r="I3" s="61" t="s">
        <v>84</v>
      </c>
      <c r="J3" s="19" t="str">
        <f>レビューシート!J3</f>
        <v>プロ計画</v>
      </c>
      <c r="K3" s="1">
        <f t="shared" ref="K3:K11" si="0">SUMPRODUCT(($J$15:$J$40=$J3)*($I$15:$I$40=""))</f>
        <v>0</v>
      </c>
    </row>
    <row r="4" spans="1:11">
      <c r="C4" s="3" t="s">
        <v>85</v>
      </c>
      <c r="D4" s="15"/>
      <c r="E4" s="16"/>
      <c r="F4" s="16"/>
      <c r="G4" s="17"/>
      <c r="I4" s="62"/>
      <c r="J4" s="19" t="str">
        <f>レビューシート!J4</f>
        <v>要件定義</v>
      </c>
      <c r="K4" s="1">
        <f t="shared" si="0"/>
        <v>0</v>
      </c>
    </row>
    <row r="5" spans="1:11">
      <c r="C5" s="3" t="s">
        <v>87</v>
      </c>
      <c r="D5" s="15"/>
      <c r="E5" s="16"/>
      <c r="F5" s="16"/>
      <c r="G5" s="17"/>
      <c r="I5" s="62"/>
      <c r="J5" s="19" t="str">
        <f>レビューシート!J5</f>
        <v>基本設計</v>
      </c>
      <c r="K5" s="1">
        <f t="shared" si="0"/>
        <v>0</v>
      </c>
    </row>
    <row r="6" spans="1:11">
      <c r="C6" s="3" t="s">
        <v>88</v>
      </c>
      <c r="D6" s="51"/>
      <c r="E6" s="11"/>
      <c r="I6" s="62"/>
      <c r="J6" s="19" t="str">
        <f>レビューシート!J6</f>
        <v>詳細設計</v>
      </c>
      <c r="K6" s="1">
        <f t="shared" si="0"/>
        <v>0</v>
      </c>
    </row>
    <row r="7" spans="1:11">
      <c r="E7" s="11"/>
      <c r="I7" s="62"/>
      <c r="J7" s="19" t="str">
        <f>レビューシート!J7</f>
        <v>プロ設計</v>
      </c>
      <c r="K7" s="1">
        <f t="shared" si="0"/>
        <v>0</v>
      </c>
    </row>
    <row r="8" spans="1:11">
      <c r="C8" s="3" t="s">
        <v>89</v>
      </c>
      <c r="D8" s="12"/>
      <c r="E8" s="11"/>
      <c r="I8" s="62"/>
      <c r="J8" s="19" t="str">
        <f>レビューシート!J8</f>
        <v>製作</v>
      </c>
      <c r="K8" s="1">
        <f t="shared" si="0"/>
        <v>0</v>
      </c>
    </row>
    <row r="9" spans="1:11">
      <c r="C9" s="3" t="s">
        <v>90</v>
      </c>
      <c r="D9" s="39"/>
      <c r="I9" s="62"/>
      <c r="J9" s="19" t="str">
        <f>レビューシート!J9</f>
        <v>試験要領</v>
      </c>
      <c r="K9" s="1">
        <f t="shared" si="0"/>
        <v>0</v>
      </c>
    </row>
    <row r="10" spans="1:11">
      <c r="C10" s="3" t="s">
        <v>92</v>
      </c>
      <c r="D10" s="12"/>
      <c r="I10" s="62"/>
      <c r="J10" s="20" t="str">
        <f>レビューシート!J10</f>
        <v>その他</v>
      </c>
      <c r="K10" s="1">
        <f t="shared" si="0"/>
        <v>0</v>
      </c>
    </row>
    <row r="11" spans="1:11" ht="12.75" thickBot="1">
      <c r="C11" t="s">
        <v>93</v>
      </c>
      <c r="D11" s="11">
        <f>SUM(D8:D10)</f>
        <v>0</v>
      </c>
      <c r="I11" s="62"/>
      <c r="J11" s="21" t="str">
        <f>レビューシート!J11</f>
        <v>運用移行保守</v>
      </c>
      <c r="K11" s="1">
        <f t="shared" si="0"/>
        <v>0</v>
      </c>
    </row>
    <row r="12" spans="1:11" ht="12.75" thickTop="1">
      <c r="I12" s="63"/>
      <c r="J12" s="2" t="s">
        <v>94</v>
      </c>
      <c r="K12" s="2">
        <f>SUM(K3:K11)</f>
        <v>0</v>
      </c>
    </row>
    <row r="14" spans="1:11" ht="37.5">
      <c r="A14" s="6" t="s">
        <v>95</v>
      </c>
      <c r="B14" s="7" t="s">
        <v>96</v>
      </c>
      <c r="C14" s="22" t="s">
        <v>97</v>
      </c>
      <c r="D14" s="18" t="s">
        <v>98</v>
      </c>
      <c r="E14" s="18" t="s">
        <v>99</v>
      </c>
      <c r="F14" s="6" t="s">
        <v>100</v>
      </c>
      <c r="G14" s="6" t="s">
        <v>101</v>
      </c>
      <c r="H14" s="6" t="s">
        <v>102</v>
      </c>
      <c r="I14" s="5" t="s">
        <v>103</v>
      </c>
      <c r="J14" s="6" t="s">
        <v>84</v>
      </c>
      <c r="K14" s="18" t="s">
        <v>104</v>
      </c>
    </row>
    <row r="15" spans="1:11" ht="24">
      <c r="A15" s="6">
        <v>1</v>
      </c>
      <c r="B15" s="4"/>
      <c r="C15" s="23" t="s">
        <v>105</v>
      </c>
      <c r="D15" s="28"/>
      <c r="E15" s="25"/>
      <c r="F15" s="24"/>
      <c r="G15" s="8"/>
      <c r="H15" s="27"/>
      <c r="I15" s="50"/>
      <c r="J15" s="9"/>
      <c r="K15" s="26"/>
    </row>
    <row r="16" spans="1:11" ht="24">
      <c r="A16" s="6">
        <v>2</v>
      </c>
      <c r="B16" s="4"/>
      <c r="C16" s="23" t="s">
        <v>105</v>
      </c>
      <c r="D16" s="28"/>
      <c r="E16" s="25"/>
      <c r="F16" s="24"/>
      <c r="G16" s="8"/>
      <c r="H16" s="27"/>
      <c r="I16" s="50"/>
      <c r="J16" s="9"/>
      <c r="K16" s="26"/>
    </row>
    <row r="17" spans="1:11" ht="24">
      <c r="A17" s="6">
        <v>3</v>
      </c>
      <c r="B17" s="4"/>
      <c r="C17" s="23" t="s">
        <v>105</v>
      </c>
      <c r="D17" s="28"/>
      <c r="E17" s="25"/>
      <c r="F17" s="24"/>
      <c r="G17" s="8"/>
      <c r="H17" s="27"/>
      <c r="I17" s="50"/>
      <c r="J17" s="9"/>
      <c r="K17" s="26"/>
    </row>
    <row r="18" spans="1:11" ht="24">
      <c r="A18" s="6">
        <v>4</v>
      </c>
      <c r="B18" s="4"/>
      <c r="C18" s="23" t="s">
        <v>105</v>
      </c>
      <c r="D18" s="28"/>
      <c r="E18" s="25"/>
      <c r="F18" s="24"/>
      <c r="G18" s="8"/>
      <c r="H18" s="27"/>
      <c r="I18" s="50"/>
      <c r="J18" s="9"/>
      <c r="K18" s="26"/>
    </row>
    <row r="19" spans="1:11" ht="24">
      <c r="A19" s="6">
        <v>5</v>
      </c>
      <c r="B19" s="4"/>
      <c r="C19" s="23" t="s">
        <v>105</v>
      </c>
      <c r="D19" s="28"/>
      <c r="E19" s="25"/>
      <c r="F19" s="24"/>
      <c r="G19" s="8"/>
      <c r="H19" s="27"/>
      <c r="I19" s="50"/>
      <c r="J19" s="9"/>
      <c r="K19" s="26"/>
    </row>
    <row r="20" spans="1:11" ht="24">
      <c r="A20" s="6">
        <v>6</v>
      </c>
      <c r="B20" s="4"/>
      <c r="C20" s="23" t="s">
        <v>105</v>
      </c>
      <c r="D20" s="28"/>
      <c r="E20" s="25"/>
      <c r="F20" s="24"/>
      <c r="G20" s="8"/>
      <c r="H20" s="27"/>
      <c r="I20" s="50"/>
      <c r="J20" s="9"/>
      <c r="K20" s="26"/>
    </row>
    <row r="21" spans="1:11" ht="24">
      <c r="A21" s="6">
        <v>7</v>
      </c>
      <c r="B21" s="4"/>
      <c r="C21" s="23" t="s">
        <v>105</v>
      </c>
      <c r="D21" s="28"/>
      <c r="E21" s="25"/>
      <c r="F21" s="24"/>
      <c r="G21" s="8"/>
      <c r="H21" s="27"/>
      <c r="I21" s="50"/>
      <c r="J21" s="9"/>
      <c r="K21" s="26"/>
    </row>
    <row r="22" spans="1:11" ht="24">
      <c r="A22" s="6">
        <v>8</v>
      </c>
      <c r="B22" s="4"/>
      <c r="C22" s="23" t="s">
        <v>105</v>
      </c>
      <c r="D22" s="28"/>
      <c r="E22" s="25"/>
      <c r="F22" s="24"/>
      <c r="G22" s="8"/>
      <c r="H22" s="27"/>
      <c r="I22" s="50"/>
      <c r="J22" s="9"/>
      <c r="K22" s="26"/>
    </row>
    <row r="23" spans="1:11" ht="24">
      <c r="A23" s="6">
        <v>9</v>
      </c>
      <c r="B23" s="4"/>
      <c r="C23" s="23" t="s">
        <v>105</v>
      </c>
      <c r="D23" s="28"/>
      <c r="E23" s="25"/>
      <c r="F23" s="24"/>
      <c r="G23" s="8"/>
      <c r="H23" s="27"/>
      <c r="I23" s="50"/>
      <c r="J23" s="9"/>
      <c r="K23" s="26"/>
    </row>
    <row r="24" spans="1:11" ht="24">
      <c r="A24" s="6">
        <v>10</v>
      </c>
      <c r="B24" s="4"/>
      <c r="C24" s="23" t="s">
        <v>105</v>
      </c>
      <c r="D24" s="28"/>
      <c r="E24" s="25"/>
      <c r="F24" s="24"/>
      <c r="G24" s="8"/>
      <c r="H24" s="27"/>
      <c r="I24" s="50"/>
      <c r="J24" s="9"/>
      <c r="K24" s="26"/>
    </row>
    <row r="25" spans="1:11" ht="24">
      <c r="A25" s="6">
        <v>11</v>
      </c>
      <c r="B25" s="4"/>
      <c r="C25" s="23" t="s">
        <v>105</v>
      </c>
      <c r="D25" s="28"/>
      <c r="E25" s="25"/>
      <c r="F25" s="24"/>
      <c r="G25" s="8"/>
      <c r="H25" s="27"/>
      <c r="I25" s="50"/>
      <c r="J25" s="9"/>
      <c r="K25" s="26"/>
    </row>
    <row r="26" spans="1:11" ht="24">
      <c r="A26" s="6">
        <v>12</v>
      </c>
      <c r="B26" s="4"/>
      <c r="C26" s="23" t="s">
        <v>105</v>
      </c>
      <c r="D26" s="28"/>
      <c r="E26" s="25"/>
      <c r="F26" s="24"/>
      <c r="G26" s="8"/>
      <c r="H26" s="27"/>
      <c r="I26" s="50"/>
      <c r="J26" s="9"/>
      <c r="K26" s="26"/>
    </row>
    <row r="27" spans="1:11" ht="24">
      <c r="A27" s="6">
        <v>13</v>
      </c>
      <c r="B27" s="4"/>
      <c r="C27" s="23" t="s">
        <v>105</v>
      </c>
      <c r="D27" s="28"/>
      <c r="E27" s="25"/>
      <c r="F27" s="24"/>
      <c r="G27" s="8"/>
      <c r="H27" s="27"/>
      <c r="I27" s="50"/>
      <c r="J27" s="9"/>
      <c r="K27" s="26"/>
    </row>
    <row r="28" spans="1:11" ht="24">
      <c r="A28" s="6">
        <v>14</v>
      </c>
      <c r="B28" s="4"/>
      <c r="C28" s="23" t="s">
        <v>105</v>
      </c>
      <c r="D28" s="28"/>
      <c r="E28" s="25"/>
      <c r="F28" s="24"/>
      <c r="G28" s="8"/>
      <c r="H28" s="27"/>
      <c r="I28" s="50"/>
      <c r="J28" s="9"/>
      <c r="K28" s="26"/>
    </row>
    <row r="29" spans="1:11" ht="24">
      <c r="A29" s="6">
        <v>15</v>
      </c>
      <c r="B29" s="4"/>
      <c r="C29" s="23" t="s">
        <v>105</v>
      </c>
      <c r="D29" s="28"/>
      <c r="E29" s="25"/>
      <c r="F29" s="24"/>
      <c r="G29" s="8"/>
      <c r="H29" s="27"/>
      <c r="I29" s="50"/>
      <c r="J29" s="9"/>
      <c r="K29" s="26"/>
    </row>
    <row r="30" spans="1:11" ht="24">
      <c r="A30" s="6">
        <v>16</v>
      </c>
      <c r="B30" s="4"/>
      <c r="C30" s="23" t="s">
        <v>105</v>
      </c>
      <c r="D30" s="28"/>
      <c r="E30" s="25"/>
      <c r="F30" s="24"/>
      <c r="G30" s="8"/>
      <c r="H30" s="27"/>
      <c r="I30" s="50"/>
      <c r="J30" s="9"/>
      <c r="K30" s="26"/>
    </row>
    <row r="31" spans="1:11" ht="24">
      <c r="A31" s="6">
        <v>17</v>
      </c>
      <c r="B31" s="4"/>
      <c r="C31" s="23" t="s">
        <v>105</v>
      </c>
      <c r="D31" s="28"/>
      <c r="E31" s="25"/>
      <c r="F31" s="24"/>
      <c r="G31" s="8"/>
      <c r="H31" s="27"/>
      <c r="I31" s="50"/>
      <c r="J31" s="9"/>
      <c r="K31" s="26"/>
    </row>
    <row r="32" spans="1:11" ht="24">
      <c r="A32" s="6">
        <v>18</v>
      </c>
      <c r="B32" s="4"/>
      <c r="C32" s="23" t="s">
        <v>105</v>
      </c>
      <c r="D32" s="28"/>
      <c r="E32" s="25"/>
      <c r="F32" s="24"/>
      <c r="G32" s="8"/>
      <c r="H32" s="27"/>
      <c r="I32" s="50"/>
      <c r="J32" s="9"/>
      <c r="K32" s="26"/>
    </row>
    <row r="33" spans="1:11" ht="24">
      <c r="A33" s="6">
        <v>19</v>
      </c>
      <c r="B33" s="4"/>
      <c r="C33" s="23" t="s">
        <v>105</v>
      </c>
      <c r="D33" s="28"/>
      <c r="E33" s="25"/>
      <c r="F33" s="24"/>
      <c r="G33" s="8"/>
      <c r="H33" s="27"/>
      <c r="I33" s="50"/>
      <c r="J33" s="9"/>
      <c r="K33" s="26"/>
    </row>
    <row r="34" spans="1:11" ht="24">
      <c r="A34" s="6">
        <v>20</v>
      </c>
      <c r="B34" s="4"/>
      <c r="C34" s="23" t="s">
        <v>105</v>
      </c>
      <c r="D34" s="28"/>
      <c r="E34" s="25"/>
      <c r="F34" s="24"/>
      <c r="G34" s="8"/>
      <c r="H34" s="27"/>
      <c r="I34" s="50"/>
      <c r="J34" s="9"/>
      <c r="K34" s="26"/>
    </row>
    <row r="35" spans="1:11" ht="24">
      <c r="A35" s="6">
        <v>21</v>
      </c>
      <c r="B35" s="4"/>
      <c r="C35" s="23" t="s">
        <v>105</v>
      </c>
      <c r="D35" s="28"/>
      <c r="E35" s="25"/>
      <c r="F35" s="24"/>
      <c r="G35" s="8"/>
      <c r="H35" s="27"/>
      <c r="I35" s="50"/>
      <c r="J35" s="9"/>
      <c r="K35" s="26"/>
    </row>
    <row r="36" spans="1:11" ht="24">
      <c r="A36" s="6">
        <v>22</v>
      </c>
      <c r="B36" s="4"/>
      <c r="C36" s="23" t="s">
        <v>105</v>
      </c>
      <c r="D36" s="28"/>
      <c r="E36" s="25"/>
      <c r="F36" s="24"/>
      <c r="G36" s="8"/>
      <c r="H36" s="27"/>
      <c r="I36" s="50"/>
      <c r="J36" s="9"/>
      <c r="K36" s="26"/>
    </row>
    <row r="37" spans="1:11" ht="24">
      <c r="A37" s="6">
        <v>23</v>
      </c>
      <c r="B37" s="4"/>
      <c r="C37" s="23" t="s">
        <v>105</v>
      </c>
      <c r="D37" s="28"/>
      <c r="E37" s="25"/>
      <c r="F37" s="24"/>
      <c r="G37" s="8"/>
      <c r="H37" s="27"/>
      <c r="I37" s="50"/>
      <c r="J37" s="9"/>
      <c r="K37" s="26"/>
    </row>
    <row r="38" spans="1:11" ht="24">
      <c r="A38" s="6">
        <v>24</v>
      </c>
      <c r="B38" s="4"/>
      <c r="C38" s="23" t="s">
        <v>105</v>
      </c>
      <c r="D38" s="28"/>
      <c r="E38" s="25"/>
      <c r="F38" s="24"/>
      <c r="G38" s="8"/>
      <c r="H38" s="27"/>
      <c r="I38" s="50"/>
      <c r="J38" s="9"/>
      <c r="K38" s="26"/>
    </row>
    <row r="39" spans="1:11" ht="24">
      <c r="A39" s="6">
        <v>25</v>
      </c>
      <c r="B39" s="4"/>
      <c r="C39" s="23" t="s">
        <v>105</v>
      </c>
      <c r="D39" s="28"/>
      <c r="E39" s="25"/>
      <c r="F39" s="24"/>
      <c r="G39" s="8"/>
      <c r="H39" s="27"/>
      <c r="I39" s="50"/>
      <c r="J39" s="9"/>
      <c r="K39" s="26"/>
    </row>
    <row r="40" spans="1:11">
      <c r="A40" s="6" t="s">
        <v>106</v>
      </c>
      <c r="B40" s="4"/>
      <c r="C40" s="23"/>
      <c r="D40" s="28"/>
      <c r="E40" s="25"/>
      <c r="F40" s="24"/>
      <c r="G40" s="8"/>
      <c r="H40" s="27"/>
      <c r="I40" s="50"/>
      <c r="J40" s="9"/>
      <c r="K40" s="26"/>
    </row>
    <row r="41" spans="1:11">
      <c r="A41" s="10" t="s">
        <v>107</v>
      </c>
    </row>
  </sheetData>
  <mergeCells count="1">
    <mergeCell ref="I3:I12"/>
  </mergeCells>
  <phoneticPr fontId="2"/>
  <dataValidations count="2">
    <dataValidation type="list" allowBlank="1" showInputMessage="1" showErrorMessage="1" sqref="J15:J40" xr:uid="{00000000-0002-0000-0200-000000000000}">
      <formula1>工程</formula1>
    </dataValidation>
    <dataValidation type="list" allowBlank="1" showInputMessage="1" showErrorMessage="1" sqref="I15:I40" xr:uid="{00000000-0002-0000-0200-000001000000}">
      <formula1>"重複,誤字,改善,他"</formula1>
    </dataValidation>
  </dataValidations>
  <printOptions horizontalCentered="1"/>
  <pageMargins left="0.19685039370078741" right="0.19685039370078741" top="0.39370078740157483" bottom="0.39370078740157483" header="0.19685039370078741" footer="0.19685039370078741"/>
  <pageSetup paperSize="9" scale="78" fitToHeight="0" orientation="portrait" verticalDpi="300" r:id="rId1"/>
  <headerFooter>
    <oddHeader>&amp;R&amp;"ＭＳ Ｐゴシック,太字"&amp;11【社外秘】</oddHeader>
    <oddFooter>&amp;P / &amp;N ページ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DDBD72CCDCB042BDF63871C064BF58" ma:contentTypeVersion="16" ma:contentTypeDescription="新しいドキュメントを作成します。" ma:contentTypeScope="" ma:versionID="55ecae9a3613a801fef51e36178657f4">
  <xsd:schema xmlns:xsd="http://www.w3.org/2001/XMLSchema" xmlns:xs="http://www.w3.org/2001/XMLSchema" xmlns:p="http://schemas.microsoft.com/office/2006/metadata/properties" xmlns:ns2="276bdb53-d102-4a67-8437-273e78fbb7dc" xmlns:ns3="761a324b-5d78-44cf-b9f7-03e8b2a8fda7" targetNamespace="http://schemas.microsoft.com/office/2006/metadata/properties" ma:root="true" ma:fieldsID="26567e7d53ebc34937c31979a3ce91ce" ns2:_="" ns3:_="">
    <xsd:import namespace="276bdb53-d102-4a67-8437-273e78fbb7dc"/>
    <xsd:import namespace="761a324b-5d78-44cf-b9f7-03e8b2a8fda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bdb53-d102-4a67-8437-273e78fbb7d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ドキュメント ID 値" ma:description="このアイテムに割り当てられているドキュメント ID の値です。" ma:indexed="true" ma:internalName="_dlc_DocId" ma:readOnly="true">
      <xsd:simpleType>
        <xsd:restriction base="dms:Text"/>
      </xsd:simpleType>
    </xsd:element>
    <xsd:element name="_dlc_DocIdUrl" ma:index="9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を保持" ma:description="追加時に ID を保持します。" ma:hidden="true" ma:internalName="_dlc_DocIdPersistId" ma:readOnly="true">
      <xsd:simpleType>
        <xsd:restriction base="dms:Boolean"/>
      </xsd:simpleType>
    </xsd:element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95f5552-8c0b-4e11-8abb-5e4d6c753bad}" ma:internalName="TaxCatchAll" ma:showField="CatchAllData" ma:web="276bdb53-d102-4a67-8437-273e78fbb7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a324b-5d78-44cf-b9f7-03e8b2a8f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9e8076fe-bb0c-488f-ac76-058e9f0b2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76bdb53-d102-4a67-8437-273e78fbb7dc">EVCTUWYQZQYC-538864054-22417</_dlc_DocId>
    <_dlc_DocIdUrl xmlns="276bdb53-d102-4a67-8437-273e78fbb7dc">
      <Url>https://mitsubishielectricgroup.sharepoint.com/sites/009989/_layouts/15/DocIdRedir.aspx?ID=EVCTUWYQZQYC-538864054-22417</Url>
      <Description>EVCTUWYQZQYC-538864054-22417</Description>
    </_dlc_DocIdUrl>
    <lcf76f155ced4ddcb4097134ff3c332f xmlns="761a324b-5d78-44cf-b9f7-03e8b2a8fda7">
      <Terms xmlns="http://schemas.microsoft.com/office/infopath/2007/PartnerControls"/>
    </lcf76f155ced4ddcb4097134ff3c332f>
    <TaxCatchAll xmlns="276bdb53-d102-4a67-8437-273e78fbb7dc" xsi:nil="true"/>
  </documentManagement>
</p:properties>
</file>

<file path=customXml/itemProps1.xml><?xml version="1.0" encoding="utf-8"?>
<ds:datastoreItem xmlns:ds="http://schemas.openxmlformats.org/officeDocument/2006/customXml" ds:itemID="{4AEB58EC-BC36-4047-AC75-59EDCBB430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BF6FC9-A01C-4382-89E0-CA31952F26EF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B6E3EA1-5BD8-43FF-BC3C-859F387F22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6bdb53-d102-4a67-8437-273e78fbb7dc"/>
    <ds:schemaRef ds:uri="761a324b-5d78-44cf-b9f7-03e8b2a8fd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624DD5E-719C-44B6-BCE8-06BD29CA8A5C}">
  <ds:schemaRefs>
    <ds:schemaRef ds:uri="http://schemas.microsoft.com/office/2006/metadata/properties"/>
    <ds:schemaRef ds:uri="http://schemas.microsoft.com/office/infopath/2007/PartnerControls"/>
    <ds:schemaRef ds:uri="276bdb53-d102-4a67-8437-273e78fbb7dc"/>
    <ds:schemaRef ds:uri="761a324b-5d78-44cf-b9f7-03e8b2a8fd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4</vt:i4>
      </vt:variant>
    </vt:vector>
  </HeadingPairs>
  <TitlesOfParts>
    <vt:vector size="7" baseType="lpstr">
      <vt:lpstr>改訂履歴</vt:lpstr>
      <vt:lpstr>レビューシート</vt:lpstr>
      <vt:lpstr>説明書</vt:lpstr>
      <vt:lpstr>レビューシート!Print_Area</vt:lpstr>
      <vt:lpstr>説明書!Print_Area</vt:lpstr>
      <vt:lpstr>説明書!工程</vt:lpstr>
      <vt:lpstr>工程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MB</dc:creator>
  <cp:keywords/>
  <dc:description/>
  <cp:lastModifiedBy>韓長志</cp:lastModifiedBy>
  <cp:revision/>
  <dcterms:created xsi:type="dcterms:W3CDTF">2012-09-03T06:57:17Z</dcterms:created>
  <dcterms:modified xsi:type="dcterms:W3CDTF">2023-03-09T00:27:10Z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0x010100A9DDBD72CCDCB042BDF63871C064BF58</vt:lpwstr>
  </property>
  <property fmtid="{D5CDD505-2E9C-101B-9397-08002B2CF9AE}" pid="3" name="_dlc_DocIdItemGuid">
    <vt:lpwstr>8f2683df-1598-4123-9b13-72362b98073a</vt:lpwstr>
  </property>
  <property fmtid="{D5CDD505-2E9C-101B-9397-08002B2CF9AE}" pid="4" name="MediaServiceImageTags">
    <vt:lpwstr/>
  </property>
</Properties>
</file>