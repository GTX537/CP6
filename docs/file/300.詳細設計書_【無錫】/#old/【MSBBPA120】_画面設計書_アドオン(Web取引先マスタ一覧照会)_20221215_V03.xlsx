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murama\Desktop\新しいフォルダー\"/>
    </mc:Choice>
  </mc:AlternateContent>
  <xr:revisionPtr revIDLastSave="0" documentId="13_ncr:1_{3588E0CE-DE6E-474B-92BE-FA7A75FF351C}" xr6:coauthVersionLast="47" xr6:coauthVersionMax="47" xr10:uidLastSave="{00000000-0000-0000-0000-000000000000}"/>
  <bookViews>
    <workbookView xWindow="-120" yWindow="-120" windowWidth="29040" windowHeight="15525" tabRatio="731" firstSheet="1" activeTab="9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画面イメージ" sheetId="102" r:id="rId5"/>
    <sheet name="項目説明" sheetId="100" r:id="rId6"/>
    <sheet name="引数説明" sheetId="114" state="hidden" r:id="rId7"/>
    <sheet name="画面遷移" sheetId="128" r:id="rId8"/>
    <sheet name="処理概要" sheetId="125" r:id="rId9"/>
    <sheet name="処理詳細" sheetId="129" r:id="rId10"/>
    <sheet name="処理・サービス関連図" sheetId="117" r:id="rId11"/>
    <sheet name="検索入出力仕様" sheetId="120" r:id="rId12"/>
    <sheet name="更新入出力仕様" sheetId="119" state="hidden" r:id="rId13"/>
    <sheet name="ファイル入出力仕様" sheetId="123" r:id="rId14"/>
    <sheet name="メッセージ一覧" sheetId="127" r:id="rId15"/>
    <sheet name="補足説明資料" sheetId="112" state="hidden" r:id="rId16"/>
  </sheets>
  <externalReferences>
    <externalReference r:id="rId17"/>
    <externalReference r:id="rId18"/>
    <externalReference r:id="rId19"/>
    <externalReference r:id="rId20"/>
    <externalReference r:id="rId21"/>
  </externalReferences>
  <definedNames>
    <definedName name="_____________a1" localSheetId="14" hidden="1">{"'Sheet1'!$A$3:$I$11"}</definedName>
    <definedName name="_____________a1" localSheetId="9" hidden="1">{"'Sheet1'!$A$3:$I$11"}</definedName>
    <definedName name="_____________a1" hidden="1">{"'Sheet1'!$A$3:$I$11"}</definedName>
    <definedName name="____________a1" localSheetId="14" hidden="1">{"'Sheet1'!$A$3:$I$11"}</definedName>
    <definedName name="____________a1" localSheetId="9" hidden="1">{"'Sheet1'!$A$3:$I$11"}</definedName>
    <definedName name="____________a1" hidden="1">{"'Sheet1'!$A$3:$I$11"}</definedName>
    <definedName name="___________a1" localSheetId="14" hidden="1">{"'Sheet1'!$A$3:$I$11"}</definedName>
    <definedName name="___________a1" localSheetId="9" hidden="1">{"'Sheet1'!$A$3:$I$11"}</definedName>
    <definedName name="___________a1" hidden="1">{"'Sheet1'!$A$3:$I$11"}</definedName>
    <definedName name="_________a1" localSheetId="14" hidden="1">{"'Sheet1'!$A$3:$I$11"}</definedName>
    <definedName name="_________a1" localSheetId="9" hidden="1">{"'Sheet1'!$A$3:$I$11"}</definedName>
    <definedName name="_________a1" hidden="1">{"'Sheet1'!$A$3:$I$11"}</definedName>
    <definedName name="________a1" localSheetId="14" hidden="1">{"'Sheet1'!$A$3:$I$11"}</definedName>
    <definedName name="________a1" localSheetId="9" hidden="1">{"'Sheet1'!$A$3:$I$11"}</definedName>
    <definedName name="________a1" hidden="1">{"'Sheet1'!$A$3:$I$11"}</definedName>
    <definedName name="______a1" localSheetId="14" hidden="1">{"'Sheet1'!$A$3:$I$11"}</definedName>
    <definedName name="______a1" localSheetId="9" hidden="1">{"'Sheet1'!$A$3:$I$11"}</definedName>
    <definedName name="______a1" hidden="1">{"'Sheet1'!$A$3:$I$11"}</definedName>
    <definedName name="_____a1" localSheetId="14" hidden="1">{"'Sheet1'!$A$3:$I$11"}</definedName>
    <definedName name="_____a1" localSheetId="9" hidden="1">{"'Sheet1'!$A$3:$I$11"}</definedName>
    <definedName name="_____a1" hidden="1">{"'Sheet1'!$A$3:$I$11"}</definedName>
    <definedName name="____a1" localSheetId="14" hidden="1">{"'Sheet1'!$A$3:$I$11"}</definedName>
    <definedName name="____a1" localSheetId="9" hidden="1">{"'Sheet1'!$A$3:$I$11"}</definedName>
    <definedName name="____a1" hidden="1">{"'Sheet1'!$A$3:$I$11"}</definedName>
    <definedName name="___a1" localSheetId="14" hidden="1">{"'Sheet1'!$A$3:$I$11"}</definedName>
    <definedName name="___a1" localSheetId="9" hidden="1">{"'Sheet1'!$A$3:$I$11"}</definedName>
    <definedName name="___a1" hidden="1">{"'Sheet1'!$A$3:$I$11"}</definedName>
    <definedName name="__a1" localSheetId="14" hidden="1">{"'Sheet1'!$A$3:$I$11"}</definedName>
    <definedName name="__a1" localSheetId="9" hidden="1">{"'Sheet1'!$A$3:$I$11"}</definedName>
    <definedName name="__a1" hidden="1">{"'Sheet1'!$A$3:$I$11"}</definedName>
    <definedName name="_xlnm._FilterDatabase" localSheetId="6">引数説明!$A$5:$BK$34</definedName>
    <definedName name="_xlnm._FilterDatabase" localSheetId="5">項目説明!$A$6:$BK$25</definedName>
    <definedName name="_Order1" hidden="1">255</definedName>
    <definedName name="_Table2_In1" localSheetId="14" hidden="1">[1]LIST!#REF!</definedName>
    <definedName name="_Table2_In1" localSheetId="9" hidden="1">[1]LIST!#REF!</definedName>
    <definedName name="_Table2_In1" hidden="1">[1]LIST!#REF!</definedName>
    <definedName name="_Table2_In2" localSheetId="14" hidden="1">[1]LIST!#REF!</definedName>
    <definedName name="_Table2_In2" localSheetId="9" hidden="1">[1]LIST!#REF!</definedName>
    <definedName name="_Table2_In2" hidden="1">[1]LIST!#REF!</definedName>
    <definedName name="A" localSheetId="14" hidden="1">#REF!</definedName>
    <definedName name="A" localSheetId="9" hidden="1">#REF!</definedName>
    <definedName name="A" hidden="1">#REF!</definedName>
    <definedName name="aa" localSheetId="14" hidden="1">{"'その他費用'!$B$3:$J$22"}</definedName>
    <definedName name="aa" localSheetId="9" hidden="1">{"'その他費用'!$B$3:$J$22"}</definedName>
    <definedName name="aa" hidden="1">{"'その他費用'!$B$3:$J$22"}</definedName>
    <definedName name="aaaaaaaaaaa" localSheetId="14" hidden="1">{"'Sheet1'!$A$3:$I$11"}</definedName>
    <definedName name="aaaaaaaaaaa" localSheetId="9" hidden="1">{"'Sheet1'!$A$3:$I$11"}</definedName>
    <definedName name="aaaaaaaaaaa" hidden="1">{"'Sheet1'!$A$3:$I$11"}</definedName>
    <definedName name="AB" localSheetId="14" hidden="1">#REF!</definedName>
    <definedName name="AB" hidden="1">#REF!</definedName>
    <definedName name="Access_Button" hidden="1">"価格H_hard_諸元___2__List"</definedName>
    <definedName name="AccessDatabase" hidden="1">"C:\MTAKAHAS\価格H.mdb"</definedName>
    <definedName name="ADDON" localSheetId="14" hidden="1">{"'その他費用'!$B$3:$J$22"}</definedName>
    <definedName name="ADDON" localSheetId="9" hidden="1">{"'その他費用'!$B$3:$J$22"}</definedName>
    <definedName name="ADDON" hidden="1">{"'その他費用'!$B$3:$J$22"}</definedName>
    <definedName name="ADDON_2" localSheetId="14" hidden="1">{"'その他費用'!$B$3:$J$22"}</definedName>
    <definedName name="ADDON_2" localSheetId="9" hidden="1">{"'その他費用'!$B$3:$J$22"}</definedName>
    <definedName name="ADDON_2" hidden="1">{"'その他費用'!$B$3:$J$22"}</definedName>
    <definedName name="B" localSheetId="14" hidden="1">{"'その他費用'!$B$3:$J$22"}</definedName>
    <definedName name="B" localSheetId="9" hidden="1">{"'その他費用'!$B$3:$J$22"}</definedName>
    <definedName name="B" hidden="1">{"'その他費用'!$B$3:$J$22"}</definedName>
    <definedName name="cc" localSheetId="14" hidden="1">{"'その他費用'!$B$3:$J$22"}</definedName>
    <definedName name="cc" localSheetId="9" hidden="1">{"'その他費用'!$B$3:$J$22"}</definedName>
    <definedName name="cc" hidden="1">{"'その他費用'!$B$3:$J$22"}</definedName>
    <definedName name="dd" localSheetId="14" hidden="1">{"'その他費用'!$B$3:$J$22"}</definedName>
    <definedName name="dd" localSheetId="9" hidden="1">{"'その他費用'!$B$3:$J$22"}</definedName>
    <definedName name="dd" hidden="1">{"'その他費用'!$B$3:$J$22"}</definedName>
    <definedName name="ee" localSheetId="14" hidden="1">{"'その他費用'!$B$3:$J$22"}</definedName>
    <definedName name="ee" localSheetId="9" hidden="1">{"'その他費用'!$B$3:$J$22"}</definedName>
    <definedName name="ee" hidden="1">{"'その他費用'!$B$3:$J$22"}</definedName>
    <definedName name="f" localSheetId="14" hidden="1">{"'その他費用'!$B$3:$J$22"}</definedName>
    <definedName name="f" localSheetId="9" hidden="1">{"'その他費用'!$B$3:$J$22"}</definedName>
    <definedName name="f" hidden="1">{"'その他費用'!$B$3:$J$22"}</definedName>
    <definedName name="ffff" localSheetId="14" hidden="1">{"'その他費用'!$B$3:$J$22"}</definedName>
    <definedName name="ffff" localSheetId="9" hidden="1">{"'その他費用'!$B$3:$J$22"}</definedName>
    <definedName name="ffff" hidden="1">{"'その他費用'!$B$3:$J$22"}</definedName>
    <definedName name="HTML_CodePage" hidden="1">932</definedName>
    <definedName name="HTML_Control" localSheetId="14" hidden="1">{"'その他費用'!$B$3:$J$22"}</definedName>
    <definedName name="HTML_Control" localSheetId="9" hidden="1">{"'その他費用'!$B$3:$J$22"}</definedName>
    <definedName name="HTML_Control" hidden="1">{"'その他費用'!$B$3:$J$22"}</definedName>
    <definedName name="HTML_Control1" localSheetId="14" hidden="1">{"'その他費用'!$B$3:$J$22"}</definedName>
    <definedName name="HTML_Control1" localSheetId="9" hidden="1">{"'その他費用'!$B$3:$J$22"}</definedName>
    <definedName name="HTML_Control1" hidden="1">{"'その他費用'!$B$3:$J$22"}</definedName>
    <definedName name="HTML_Control2" localSheetId="14" hidden="1">{"'その他費用'!$B$3:$J$22"}</definedName>
    <definedName name="HTML_Control2" localSheetId="9" hidden="1">{"'その他費用'!$B$3:$J$22"}</definedName>
    <definedName name="HTML_Control2" hidden="1">{"'その他費用'!$B$3:$J$22"}</definedName>
    <definedName name="HTML_Control3" localSheetId="14" hidden="1">{"'その他費用'!$B$3:$J$22"}</definedName>
    <definedName name="HTML_Control3" localSheetId="9" hidden="1">{"'その他費用'!$B$3:$J$22"}</definedName>
    <definedName name="HTML_Control3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InterFace" localSheetId="14" hidden="1">{"'その他費用'!$B$3:$J$22"}</definedName>
    <definedName name="InterFace" localSheetId="9" hidden="1">{"'その他費用'!$B$3:$J$22"}</definedName>
    <definedName name="InterFace" hidden="1">{"'その他費用'!$B$3:$J$22"}</definedName>
    <definedName name="_xlnm.Print_Area" localSheetId="13">ファイル入出力仕様!$A$1:$BK$43</definedName>
    <definedName name="_xlnm.Print_Area" localSheetId="14">メッセージ一覧!$A$1:$BK$29</definedName>
    <definedName name="_xlnm.Print_Area" localSheetId="6">引数説明!$A$1:$BK$35</definedName>
    <definedName name="_xlnm.Print_Area" localSheetId="4">画面イメージ!$A$1:$DB$66</definedName>
    <definedName name="_xlnm.Print_Area" localSheetId="7">画面遷移!$A$1:$CH$35</definedName>
    <definedName name="_xlnm.Print_Area" localSheetId="3">概要!$A$1:$CH$32</definedName>
    <definedName name="_xlnm.Print_Area" localSheetId="11">検索入出力仕様!$A$1:$BK$43</definedName>
    <definedName name="_xlnm.Print_Area" localSheetId="12">更新入出力仕様!$A$1:$BK$4</definedName>
    <definedName name="_xlnm.Print_Area" localSheetId="5">項目説明!$A$1:$BK$100</definedName>
    <definedName name="_xlnm.Print_Area" localSheetId="10">処理・サービス関連図!$A$1:$BK$30</definedName>
    <definedName name="_xlnm.Print_Area" localSheetId="8">処理概要!$A$1:$BK$41</definedName>
    <definedName name="_xlnm.Print_Area" localSheetId="9">処理詳細!$A$1:$BK$170</definedName>
    <definedName name="_xlnm.Print_Area" localSheetId="1">表紙!$A$1:$AV$45</definedName>
    <definedName name="_xlnm.Print_Area" localSheetId="15">補足説明資料!$A$1:$CH$5</definedName>
    <definedName name="_xlnm.Print_Titles" localSheetId="13">ファイル入出力仕様!$1:$4</definedName>
    <definedName name="_xlnm.Print_Titles" localSheetId="14">メッセージ一覧!$1:$3</definedName>
    <definedName name="_xlnm.Print_Titles" localSheetId="6">引数説明!$1:$4</definedName>
    <definedName name="_xlnm.Print_Titles" localSheetId="4">画面イメージ!$1:$4</definedName>
    <definedName name="_xlnm.Print_Titles" localSheetId="7">画面遷移!$1:$4</definedName>
    <definedName name="_xlnm.Print_Titles" localSheetId="3">概要!$1:$4</definedName>
    <definedName name="_xlnm.Print_Titles" localSheetId="11">検索入出力仕様!$1:$4</definedName>
    <definedName name="_xlnm.Print_Titles" localSheetId="12">更新入出力仕様!$1:$4</definedName>
    <definedName name="_xlnm.Print_Titles" localSheetId="5">項目説明!$1:$4</definedName>
    <definedName name="_xlnm.Print_Titles" localSheetId="10">処理・サービス関連図!$1:$4</definedName>
    <definedName name="_xlnm.Print_Titles" localSheetId="8">処理概要!$1:$4</definedName>
    <definedName name="_xlnm.Print_Titles" localSheetId="9">処理詳細!$1:$4</definedName>
    <definedName name="_xlnm.Print_Titles" localSheetId="15">補足説明資料!$1:$4</definedName>
    <definedName name="Rev.">表紙!$U$22</definedName>
    <definedName name="Revision" localSheetId="14">[2]表紙!$AP$5</definedName>
    <definedName name="Revision" localSheetId="9">[5]表紙!$AP$5</definedName>
    <definedName name="Revision">[3]表紙!$AP$5</definedName>
    <definedName name="RR" localSheetId="14" hidden="1">{"'その他費用'!$B$3:$J$22"}</definedName>
    <definedName name="RR" localSheetId="9" hidden="1">{"'その他費用'!$B$3:$J$22"}</definedName>
    <definedName name="RR" hidden="1">{"'その他費用'!$B$3:$J$22"}</definedName>
    <definedName name="sssss" localSheetId="14" hidden="1">{"'Sheet1'!$A$3:$I$11"}</definedName>
    <definedName name="sssss" localSheetId="9" hidden="1">{"'Sheet1'!$A$3:$I$11"}</definedName>
    <definedName name="sssss" hidden="1">{"'Sheet1'!$A$3:$I$11"}</definedName>
    <definedName name="Ver.">表紙!$AE$26</definedName>
    <definedName name="Version" localSheetId="14">[2]表紙!$AJ$5</definedName>
    <definedName name="Version" localSheetId="9">[5]表紙!$AJ$5</definedName>
    <definedName name="Version">[3]表紙!$AJ$5</definedName>
    <definedName name="weww" localSheetId="1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localSheetId="9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9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ああ" localSheetId="14" hidden="1">{"'その他費用'!$B$3:$J$22"}</definedName>
    <definedName name="ああ" localSheetId="9" hidden="1">{"'その他費用'!$B$3:$J$22"}</definedName>
    <definedName name="ああ" hidden="1">{"'その他費用'!$B$3:$J$22"}</definedName>
    <definedName name="アドオン" localSheetId="14" hidden="1">{"'その他費用'!$B$3:$J$22"}</definedName>
    <definedName name="アドオン" localSheetId="9" hidden="1">{"'その他費用'!$B$3:$J$22"}</definedName>
    <definedName name="アドオン" hidden="1">{"'その他費用'!$B$3:$J$22"}</definedName>
    <definedName name="こ" localSheetId="14" hidden="1">{"'その他費用'!$B$3:$J$22"}</definedName>
    <definedName name="こ" localSheetId="9" hidden="1">{"'その他費用'!$B$3:$J$22"}</definedName>
    <definedName name="こ" hidden="1">{"'その他費用'!$B$3:$J$22"}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番号" localSheetId="14">[2]表紙!$O$5</definedName>
    <definedName name="文書番号" localSheetId="9">[5]表紙!$O$5</definedName>
    <definedName name="文書番号">[3]表紙!$O$5</definedName>
    <definedName name="文書番号_カスタマイズ" localSheetId="9">'[5]表紙（カスタマイズ）'!$U$20</definedName>
    <definedName name="文書番号_カスタマイズ">'[3]表紙（カスタマイズ）'!$U$20</definedName>
    <definedName name="文書名" localSheetId="14">[2]表紙!$M$15</definedName>
    <definedName name="文書名" localSheetId="9">[5]表紙!$M$15</definedName>
    <definedName name="文書名" localSheetId="1">表紙!$M$10</definedName>
    <definedName name="文書名">[3]表紙!$M$15</definedName>
    <definedName name="文書名_カスタマイズ" localSheetId="9">'[5]表紙（カスタマイズ）'!$M$10</definedName>
    <definedName name="文書名_カスタマイズ">'[3]表紙（カスタマイズ）'!$M$10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129" l="1"/>
  <c r="Z3" i="129"/>
  <c r="K3" i="129"/>
  <c r="BF2" i="129"/>
  <c r="AZ2" i="129"/>
  <c r="AS2" i="129"/>
  <c r="AJ2" i="129"/>
  <c r="Z2" i="129"/>
  <c r="K2" i="129"/>
  <c r="AJ1" i="129"/>
  <c r="Z1" i="129"/>
  <c r="A1" i="129"/>
  <c r="AB42" i="106"/>
  <c r="BJ2" i="107"/>
  <c r="AZ2" i="107"/>
  <c r="AB40" i="106" s="1"/>
  <c r="AE3" i="128" l="1"/>
  <c r="K3" i="128"/>
  <c r="AZ2" i="128"/>
  <c r="AS2" i="128"/>
  <c r="AJ2" i="128"/>
  <c r="Z2" i="128"/>
  <c r="AJ1" i="128"/>
  <c r="Z1" i="128"/>
  <c r="A1" i="128"/>
  <c r="AE3" i="127" l="1"/>
  <c r="K3" i="127"/>
  <c r="AZ2" i="127"/>
  <c r="AS2" i="127"/>
  <c r="AJ2" i="127"/>
  <c r="Z2" i="127"/>
  <c r="AJ1" i="127"/>
  <c r="Z1" i="127"/>
  <c r="A1" i="127"/>
  <c r="AZ2" i="125" l="1"/>
  <c r="AS2" i="125"/>
  <c r="Z2" i="125"/>
  <c r="Z1" i="125"/>
  <c r="A1" i="125"/>
  <c r="K3" i="125"/>
  <c r="A1" i="112"/>
  <c r="A1" i="123"/>
  <c r="A1" i="119"/>
  <c r="A1" i="120"/>
  <c r="A1" i="117"/>
  <c r="A1" i="114"/>
  <c r="A1" i="100"/>
  <c r="A1" i="102"/>
  <c r="A1" i="98"/>
  <c r="K3" i="123"/>
  <c r="AZ2" i="123"/>
  <c r="K3" i="120" l="1"/>
  <c r="AZ2" i="120"/>
  <c r="K3" i="119"/>
  <c r="AZ2" i="119"/>
  <c r="K3" i="117" l="1"/>
  <c r="AZ2" i="117"/>
  <c r="K3" i="114"/>
  <c r="AZ2" i="114"/>
  <c r="AQ3" i="112" l="1"/>
  <c r="AJ3" i="112"/>
  <c r="CB2" i="112"/>
  <c r="BU2" i="112"/>
  <c r="BL2" i="112"/>
  <c r="AX2" i="112"/>
  <c r="O3" i="112"/>
  <c r="AZ2" i="100" l="1"/>
  <c r="AZ2" i="102"/>
  <c r="BU2" i="98"/>
  <c r="K3" i="100"/>
  <c r="K3" i="102"/>
  <c r="O3" i="98"/>
  <c r="BJ1" i="107" l="1"/>
  <c r="O65" i="106"/>
  <c r="O2" i="112" s="1"/>
  <c r="CB64" i="106" a="1"/>
  <c r="CB64" i="106" s="1"/>
  <c r="AE60" i="106"/>
  <c r="AQ65" i="106" s="1"/>
  <c r="Z60" i="106"/>
  <c r="AJ65" i="106" s="1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AJ58" i="106"/>
  <c r="AX63" i="106" s="1"/>
  <c r="Z58" i="106"/>
  <c r="AJ63" i="106" s="1"/>
  <c r="A58" i="106"/>
  <c r="A63" i="106" s="1"/>
  <c r="U32" i="106"/>
  <c r="U30" i="106"/>
  <c r="U22" i="106" a="1"/>
  <c r="U22" i="106" s="1"/>
  <c r="BF2" i="128" l="1"/>
  <c r="BF2" i="127"/>
  <c r="BF2" i="125"/>
  <c r="Z3" i="128"/>
  <c r="Z3" i="127"/>
  <c r="K2" i="127"/>
  <c r="K2" i="128"/>
  <c r="Z3" i="125"/>
  <c r="AJ2" i="125"/>
  <c r="AJ1" i="125"/>
  <c r="AE3" i="125"/>
  <c r="K2" i="125"/>
  <c r="BF2" i="123"/>
  <c r="BF2" i="120"/>
  <c r="BF2" i="119"/>
  <c r="BF2" i="114"/>
  <c r="BF2" i="117"/>
  <c r="Z3" i="123"/>
  <c r="Z3" i="120"/>
  <c r="Z3" i="119"/>
  <c r="Z3" i="114"/>
  <c r="Z3" i="117"/>
  <c r="AJ2" i="112"/>
  <c r="AE3" i="123"/>
  <c r="AE3" i="120"/>
  <c r="AE3" i="119"/>
  <c r="AE3" i="117"/>
  <c r="AE3" i="114"/>
  <c r="Z1" i="123"/>
  <c r="Z1" i="120"/>
  <c r="Z1" i="119"/>
  <c r="Z1" i="114"/>
  <c r="Z1" i="117"/>
  <c r="Z2" i="123"/>
  <c r="Z2" i="119"/>
  <c r="Z2" i="120"/>
  <c r="Z2" i="114"/>
  <c r="Z2" i="117"/>
  <c r="AJ1" i="112"/>
  <c r="AJ1" i="123"/>
  <c r="AJ1" i="120"/>
  <c r="AJ1" i="119"/>
  <c r="AJ1" i="117"/>
  <c r="AJ1" i="114"/>
  <c r="AJ2" i="123"/>
  <c r="AJ2" i="119"/>
  <c r="AJ2" i="120"/>
  <c r="AJ2" i="114"/>
  <c r="AJ2" i="117"/>
  <c r="AX1" i="112"/>
  <c r="AS2" i="123"/>
  <c r="AS2" i="120"/>
  <c r="AS2" i="119"/>
  <c r="AS2" i="114"/>
  <c r="AS2" i="117"/>
  <c r="K2" i="123"/>
  <c r="K2" i="119"/>
  <c r="K2" i="120"/>
  <c r="K2" i="117"/>
  <c r="K2" i="114"/>
  <c r="BL2" i="98"/>
  <c r="AS2" i="102"/>
  <c r="AS2" i="100"/>
  <c r="AJ2" i="98"/>
  <c r="Z2" i="102"/>
  <c r="Z2" i="100"/>
  <c r="AJ1" i="102"/>
  <c r="AJ1" i="100"/>
  <c r="AX1" i="98"/>
  <c r="Z3" i="100"/>
  <c r="Z3" i="102"/>
  <c r="AJ3" i="98"/>
  <c r="BP2" i="107"/>
  <c r="BF2" i="100"/>
  <c r="BF2" i="102"/>
  <c r="CB2" i="98"/>
  <c r="AX2" i="98"/>
  <c r="AJ2" i="100"/>
  <c r="AJ2" i="102"/>
  <c r="Z1" i="100"/>
  <c r="Z1" i="102"/>
  <c r="AJ1" i="98"/>
  <c r="AE3" i="100"/>
  <c r="AE3" i="102"/>
  <c r="AQ3" i="98"/>
  <c r="O2" i="98"/>
  <c r="K2" i="100"/>
  <c r="K2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AJ9" authorId="0" shapeId="0" xr:uid="{BE90258F-6029-47A1-B377-48EAE2961E61}">
      <text>
        <r>
          <rPr>
            <b/>
            <sz val="9"/>
            <color indexed="81"/>
            <rFont val="MS P ゴシック"/>
            <family val="3"/>
            <charset val="128"/>
          </rPr>
          <t>大分類見出し：緑
項目見出し：グレー</t>
        </r>
      </text>
    </comment>
    <comment ref="AP11" authorId="0" shapeId="0" xr:uid="{B133A575-D4FC-471B-8200-96B4071D621E}">
      <text>
        <r>
          <rPr>
            <b/>
            <sz val="9"/>
            <color indexed="81"/>
            <rFont val="MS P ゴシック"/>
            <family val="3"/>
            <charset val="128"/>
          </rPr>
          <t>入力項目：黄色
表示項目：白
ピンク：必須項目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DC0CFD18-2830-4150-B9C6-D7C3177BFF80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D460DC11-C08B-4DA4-B4B3-700D5B8135FF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F0FE3688-7D85-45EC-86FB-D0CA18A95805}">
      <text>
        <r>
          <rPr>
            <sz val="9"/>
            <rFont val="MS PGothic"/>
            <family val="3"/>
          </rPr>
          <t>＜画面・下り電文の場合＞
　</t>
        </r>
        <r>
          <rPr>
            <sz val="9"/>
            <color indexed="10"/>
            <rFont val="MS PGothic"/>
            <family val="3"/>
          </rPr>
          <t>ブロック名．項目名</t>
        </r>
        <r>
          <rPr>
            <sz val="9"/>
            <rFont val="MS PGothic"/>
            <family val="3"/>
          </rPr>
          <t xml:space="preserve">
　例）明細．消費税額
　もしくは
</t>
        </r>
        <r>
          <rPr>
            <sz val="9"/>
            <color indexed="10"/>
            <rFont val="MS PGothic"/>
            <family val="3"/>
          </rPr>
          <t>　検索入出力仕様No1．オブジェクト名．項目名
　更新入出力仕様No1．オブジェクト名．項目名</t>
        </r>
        <r>
          <rPr>
            <sz val="9"/>
            <rFont val="MS PGothic"/>
            <family val="3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MS PGothic"/>
            <family val="3"/>
          </rPr>
          <t>　【テーブル名】項目名</t>
        </r>
        <r>
          <rPr>
            <sz val="9"/>
            <rFont val="MS PGothic"/>
            <family val="3"/>
          </rPr>
          <t xml:space="preserve">
　例）受注明細．消費税額
＜サービスの場合＞
</t>
        </r>
        <r>
          <rPr>
            <sz val="9"/>
            <color indexed="10"/>
            <rFont val="MS PGothic"/>
            <family val="3"/>
          </rPr>
          <t>　呼出サービスNo．1</t>
        </r>
        <r>
          <rPr>
            <sz val="9"/>
            <rFont val="MS PGothic"/>
            <family val="3"/>
          </rPr>
          <t xml:space="preserve">
　例）呼出サービスNo．1
＜ファイルの場合＞
</t>
        </r>
        <r>
          <rPr>
            <sz val="9"/>
            <color indexed="10"/>
            <rFont val="MS PGothic"/>
            <family val="3"/>
          </rPr>
          <t>　[ファイル名（論理）]項目名</t>
        </r>
        <r>
          <rPr>
            <sz val="9"/>
            <rFont val="MS PGothic"/>
            <family val="3"/>
          </rPr>
          <t xml:space="preserve">
　例）[製造指図書ＣＳＶ]工程指図ＮＯ</t>
        </r>
      </text>
    </comment>
    <comment ref="BK5" authorId="0" shapeId="0" xr:uid="{90C634A5-AF5B-4D25-8955-F5109C712A5D}">
      <text>
        <r>
          <rPr>
            <sz val="9"/>
            <rFont val="MS PGothic"/>
            <family val="3"/>
          </rPr>
          <t>＜画面・下り電文の場合＞
　</t>
        </r>
        <r>
          <rPr>
            <sz val="9"/>
            <color indexed="10"/>
            <rFont val="MS PGothic"/>
            <family val="3"/>
          </rPr>
          <t>ブロック名．項目名</t>
        </r>
        <r>
          <rPr>
            <sz val="9"/>
            <rFont val="MS PGothic"/>
            <family val="3"/>
          </rPr>
          <t xml:space="preserve">
　例）明細．消費税額
　もしくは
</t>
        </r>
        <r>
          <rPr>
            <sz val="9"/>
            <color indexed="10"/>
            <rFont val="MS PGothic"/>
            <family val="3"/>
          </rPr>
          <t>　検索入出力仕様No1．オブジェクト名．項目名
　更新入出力仕様No1．オブジェクト名．項目名</t>
        </r>
        <r>
          <rPr>
            <sz val="9"/>
            <rFont val="MS PGothic"/>
            <family val="3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MS PGothic"/>
            <family val="3"/>
          </rPr>
          <t>　【テーブル名】項目名</t>
        </r>
        <r>
          <rPr>
            <sz val="9"/>
            <rFont val="MS PGothic"/>
            <family val="3"/>
          </rPr>
          <t xml:space="preserve">
　例）受注明細．消費税額
＜サービスの場合＞
</t>
        </r>
        <r>
          <rPr>
            <sz val="9"/>
            <color indexed="10"/>
            <rFont val="MS PGothic"/>
            <family val="3"/>
          </rPr>
          <t>　呼出サービスNo．1</t>
        </r>
        <r>
          <rPr>
            <sz val="9"/>
            <rFont val="MS PGothic"/>
            <family val="3"/>
          </rPr>
          <t xml:space="preserve">
　例）呼出サービスNo．1
＜ファイルの場合＞
</t>
        </r>
        <r>
          <rPr>
            <sz val="9"/>
            <color indexed="10"/>
            <rFont val="MS PGothic"/>
            <family val="3"/>
          </rPr>
          <t>　[ファイル名（論理）]項目名</t>
        </r>
        <r>
          <rPr>
            <sz val="9"/>
            <rFont val="MS PGothic"/>
            <family val="3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Itou Keita</author>
    <author>Nakanishi Kazunori</author>
  </authors>
  <commentList>
    <comment ref="D6" authorId="0" shapeId="0" xr:uid="{6135FF5B-67BB-43AA-8233-E4E058281C27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1" shapeId="0" xr:uid="{2CA7BE97-890A-4840-BD5A-B89B8CCCB94E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1" shapeId="0" xr:uid="{90720CA1-AEEB-40D2-9086-FA38D64ED9F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4539E1A6-5466-4FA1-870F-F7C5FF6A2D10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AB02221D-3603-4E8B-B06C-7916E73B0442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BCD4CEB7-D7DF-4AC0-8C4F-6B33157835D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79AD5EEB-4997-4B05-97D9-8C546AFA1E8A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F20D7C81-8B5A-4CC8-A95A-D6175DD6CF84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8EEC7969-7BB6-4094-B814-DEA77B0F75DB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83D9A45E-B636-49D1-9873-9A466D2AA3DB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5603C0F5-3E91-4895-9CA3-3B66821C824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<sst xmlns="http://schemas.openxmlformats.org/spreadsheetml/2006/main" count="2273" uniqueCount="895">
  <si>
    <t>アドオン設計書作成ガイド</t>
    <rPh sb="4" eb="7">
      <t>セッケイショ</t>
    </rPh>
    <rPh sb="7" eb="9">
      <t>サクセイ</t>
    </rPh>
    <phoneticPr fontId="72"/>
  </si>
  <si>
    <t>■アドオン設計と成果物について</t>
    <rPh sb="5" eb="7">
      <t>セッケイ</t>
    </rPh>
    <rPh sb="8" eb="11">
      <t>セイカブツ</t>
    </rPh>
    <phoneticPr fontId="72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</si>
  <si>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2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</si>
  <si>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2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</si>
  <si>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2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</si>
  <si>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2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</si>
  <si>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2"/>
  </si>
  <si>
    <t>◎</t>
  </si>
  <si>
    <t>…</t>
  </si>
  <si>
    <t>システム設計フェーズで作成</t>
    <rPh sb="4" eb="6">
      <t>セッケイ</t>
    </rPh>
    <rPh sb="11" eb="13">
      <t>サクセイ</t>
    </rPh>
    <phoneticPr fontId="8"/>
  </si>
  <si>
    <t>○</t>
    <phoneticPr fontId="72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</si>
  <si>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8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</si>
  <si>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</si>
  <si>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8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</si>
  <si>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</si>
  <si>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</si>
  <si>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8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</si>
  <si>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2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</si>
  <si>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2"/>
  </si>
  <si>
    <t>EXCELシート</t>
    <phoneticPr fontId="72"/>
  </si>
  <si>
    <t>画面設計書</t>
    <rPh sb="0" eb="2">
      <t>ガメン</t>
    </rPh>
    <rPh sb="2" eb="5">
      <t>セッケイショ</t>
    </rPh>
    <phoneticPr fontId="8"/>
  </si>
  <si>
    <t>バッチ設計書</t>
    <rPh sb="3" eb="6">
      <t>セッケイショ</t>
    </rPh>
    <phoneticPr fontId="8"/>
  </si>
  <si>
    <t>帳票設計書</t>
    <rPh sb="0" eb="2">
      <t>チョウヒョウ</t>
    </rPh>
    <rPh sb="2" eb="5">
      <t>セッケイショ</t>
    </rPh>
    <phoneticPr fontId="8"/>
  </si>
  <si>
    <t>ＢＩ設計書</t>
    <rPh sb="2" eb="5">
      <t>セッケイショ</t>
    </rPh>
    <phoneticPr fontId="8"/>
  </si>
  <si>
    <t>.Net設計書</t>
    <rPh sb="4" eb="7">
      <t>セッケイショ</t>
    </rPh>
    <phoneticPr fontId="8"/>
  </si>
  <si>
    <t>WebDB設計書</t>
    <rPh sb="5" eb="8">
      <t>セッケイショ</t>
    </rPh>
    <phoneticPr fontId="8"/>
  </si>
  <si>
    <t>帳票設計書</t>
    <rPh sb="0" eb="2">
      <t>チョウヒョウ</t>
    </rPh>
    <rPh sb="2" eb="5">
      <t>セッケイショ</t>
    </rPh>
    <phoneticPr fontId="72"/>
  </si>
  <si>
    <t>汎用申請設計書</t>
    <rPh sb="4" eb="7">
      <t>セッケイショ</t>
    </rPh>
    <phoneticPr fontId="8"/>
  </si>
  <si>
    <t>カスタマイズ</t>
    <phoneticPr fontId="8"/>
  </si>
  <si>
    <t>アドオン</t>
    <phoneticPr fontId="8"/>
  </si>
  <si>
    <t>アドオン</t>
    <phoneticPr fontId="72"/>
  </si>
  <si>
    <t>概要</t>
    <rPh sb="0" eb="2">
      <t>ガイヨウ</t>
    </rPh>
    <phoneticPr fontId="8"/>
  </si>
  <si>
    <t>◎</t>
    <phoneticPr fontId="8"/>
  </si>
  <si>
    <t>※1</t>
    <phoneticPr fontId="72"/>
  </si>
  <si>
    <t>機能概要</t>
  </si>
  <si>
    <t>◎</t>
    <phoneticPr fontId="72"/>
  </si>
  <si>
    <t>レイアウト</t>
    <phoneticPr fontId="8"/>
  </si>
  <si>
    <t>※2</t>
    <phoneticPr fontId="72"/>
  </si>
  <si>
    <t>‐</t>
    <phoneticPr fontId="8"/>
  </si>
  <si>
    <t>アプリケーションフロー</t>
  </si>
  <si>
    <t>ー</t>
    <phoneticPr fontId="72"/>
  </si>
  <si>
    <t>項目説明</t>
    <rPh sb="0" eb="2">
      <t>コウモク</t>
    </rPh>
    <rPh sb="2" eb="4">
      <t>セツメイ</t>
    </rPh>
    <phoneticPr fontId="8"/>
  </si>
  <si>
    <t>△</t>
    <phoneticPr fontId="8"/>
  </si>
  <si>
    <t>○</t>
    <phoneticPr fontId="8"/>
  </si>
  <si>
    <t>データベース設定</t>
  </si>
  <si>
    <t>引数説明</t>
    <rPh sb="0" eb="2">
      <t>ヒキスウ</t>
    </rPh>
    <rPh sb="2" eb="4">
      <t>セツメイ</t>
    </rPh>
    <phoneticPr fontId="8"/>
  </si>
  <si>
    <t>フィールド設定</t>
  </si>
  <si>
    <t>処理概要</t>
    <rPh sb="0" eb="2">
      <t>ショリ</t>
    </rPh>
    <rPh sb="2" eb="4">
      <t>ガイヨウ</t>
    </rPh>
    <phoneticPr fontId="72"/>
  </si>
  <si>
    <t>一覧表示画面設定</t>
  </si>
  <si>
    <t>処理詳細</t>
    <rPh sb="0" eb="2">
      <t>ショリ</t>
    </rPh>
    <rPh sb="2" eb="4">
      <t>ショウサイ</t>
    </rPh>
    <phoneticPr fontId="8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</si>
  <si>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</si>
  <si>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8"/>
  </si>
  <si>
    <t>明細画面設定</t>
  </si>
  <si>
    <t>△</t>
    <phoneticPr fontId="72"/>
  </si>
  <si>
    <t>※3</t>
    <phoneticPr fontId="72"/>
  </si>
  <si>
    <t>検索入出力仕様</t>
    <rPh sb="0" eb="2">
      <t>ケンサク</t>
    </rPh>
    <rPh sb="2" eb="5">
      <t>ニュウシュツリョク</t>
    </rPh>
    <rPh sb="5" eb="7">
      <t>シヨウ</t>
    </rPh>
    <phoneticPr fontId="8"/>
  </si>
  <si>
    <t>集計表示設定</t>
    <phoneticPr fontId="72"/>
  </si>
  <si>
    <t>※4</t>
    <phoneticPr fontId="72"/>
  </si>
  <si>
    <t>更新入出力仕様</t>
    <rPh sb="0" eb="2">
      <t>コウシン</t>
    </rPh>
    <rPh sb="2" eb="5">
      <t>ニュウシュツリョク</t>
    </rPh>
    <rPh sb="5" eb="7">
      <t>シヨウ</t>
    </rPh>
    <phoneticPr fontId="8"/>
  </si>
  <si>
    <t>絞り込み条件設定</t>
  </si>
  <si>
    <t>※5</t>
    <phoneticPr fontId="72"/>
  </si>
  <si>
    <t>ファイル入出力仕様</t>
    <rPh sb="4" eb="7">
      <t>ニュウシュツリョク</t>
    </rPh>
    <rPh sb="7" eb="9">
      <t>シヨウ</t>
    </rPh>
    <phoneticPr fontId="8"/>
  </si>
  <si>
    <t>その他設定</t>
  </si>
  <si>
    <t>画面遷移</t>
    <rPh sb="0" eb="2">
      <t>ガメン</t>
    </rPh>
    <rPh sb="2" eb="4">
      <t>センイ</t>
    </rPh>
    <phoneticPr fontId="8"/>
  </si>
  <si>
    <t>帳票イメージ</t>
    <rPh sb="0" eb="2">
      <t>チョウヒョウ</t>
    </rPh>
    <phoneticPr fontId="72"/>
  </si>
  <si>
    <t>メッセージ一覧</t>
    <rPh sb="5" eb="7">
      <t>イチラン</t>
    </rPh>
    <phoneticPr fontId="8"/>
  </si>
  <si>
    <t>項目設計</t>
    <rPh sb="0" eb="2">
      <t>コウモク</t>
    </rPh>
    <rPh sb="2" eb="4">
      <t>セッケイ</t>
    </rPh>
    <phoneticPr fontId="72"/>
  </si>
  <si>
    <t>補足説明</t>
    <rPh sb="0" eb="4">
      <t>ホソクセツメイ</t>
    </rPh>
    <phoneticPr fontId="8"/>
  </si>
  <si>
    <t>補足説明</t>
    <phoneticPr fontId="72"/>
  </si>
  <si>
    <t>サービス呼出編集仕様</t>
    <rPh sb="4" eb="6">
      <t>ヨビダシ</t>
    </rPh>
    <rPh sb="6" eb="8">
      <t>ヘンシュウ</t>
    </rPh>
    <rPh sb="8" eb="10">
      <t>シヨウ</t>
    </rPh>
    <phoneticPr fontId="8"/>
  </si>
  <si>
    <t>-</t>
    <phoneticPr fontId="8"/>
  </si>
  <si>
    <t>-</t>
    <phoneticPr fontId="72"/>
  </si>
  <si>
    <t>補足説明(詳細)</t>
    <rPh sb="5" eb="7">
      <t>ショウサイ</t>
    </rPh>
    <phoneticPr fontId="72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</si>
  <si>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2"/>
  </si>
  <si>
    <t>単票画面は記載しない</t>
    <rPh sb="0" eb="2">
      <t>タンピョウ</t>
    </rPh>
    <rPh sb="2" eb="4">
      <t>ガメン</t>
    </rPh>
    <rPh sb="5" eb="7">
      <t>キサイ</t>
    </rPh>
    <phoneticPr fontId="72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</si>
  <si>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2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</si>
  <si>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2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</si>
  <si>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2"/>
  </si>
  <si>
    <t>サブモジュール</t>
    <phoneticPr fontId="8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</si>
  <si>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</si>
  <si>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</si>
  <si>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</si>
  <si>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</si>
  <si>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8"/>
  </si>
  <si>
    <t>MSBB_販売管理</t>
  </si>
  <si>
    <t>MSBC_生産管理</t>
  </si>
  <si>
    <t>MSBD_購買管理</t>
  </si>
  <si>
    <t>アドオン設計書</t>
    <phoneticPr fontId="8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</si>
  <si>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</si>
  <si>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</si>
  <si>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</si>
  <si>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</si>
  <si>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</si>
  <si>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</si>
  <si>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8"/>
  </si>
  <si>
    <t>株式会社クラウン・パッケージ</t>
    <rPh sb="0" eb="4">
      <t>カブシキガイシャ</t>
    </rPh>
    <phoneticPr fontId="8"/>
  </si>
  <si>
    <t>PF_ESBアダプタ</t>
  </si>
  <si>
    <t>プロジェクト名</t>
    <rPh sb="6" eb="7">
      <t>メイ</t>
    </rPh>
    <phoneticPr fontId="8"/>
  </si>
  <si>
    <t>基幹システム刷新PJ</t>
    <rPh sb="0" eb="2">
      <t>キカン</t>
    </rPh>
    <rPh sb="6" eb="8">
      <t>サッシン</t>
    </rPh>
    <phoneticPr fontId="8"/>
  </si>
  <si>
    <t>機能区分</t>
    <rPh sb="0" eb="2">
      <t>キノウ</t>
    </rPh>
    <rPh sb="2" eb="4">
      <t>クブン</t>
    </rPh>
    <phoneticPr fontId="8"/>
  </si>
  <si>
    <t>画面</t>
    <rPh sb="0" eb="2">
      <t>ガメン</t>
    </rPh>
    <phoneticPr fontId="8"/>
  </si>
  <si>
    <t>文書番号</t>
    <rPh sb="0" eb="2">
      <t>ブンショ</t>
    </rPh>
    <rPh sb="2" eb="4">
      <t>バンゴウ</t>
    </rPh>
    <phoneticPr fontId="8"/>
  </si>
  <si>
    <t>帳票</t>
    <rPh sb="0" eb="2">
      <t>チョウヒョウ</t>
    </rPh>
    <phoneticPr fontId="8"/>
  </si>
  <si>
    <t>バッチ</t>
    <phoneticPr fontId="8"/>
  </si>
  <si>
    <t>Ｒｅｖ．</t>
    <phoneticPr fontId="8"/>
  </si>
  <si>
    <t>マスタ</t>
    <phoneticPr fontId="8"/>
  </si>
  <si>
    <t>機密性区分</t>
    <rPh sb="0" eb="2">
      <t>キミツ</t>
    </rPh>
    <rPh sb="2" eb="3">
      <t>セイ</t>
    </rPh>
    <rPh sb="3" eb="5">
      <t>クブン</t>
    </rPh>
    <phoneticPr fontId="8"/>
  </si>
  <si>
    <t>取扱注意（Ｃ）</t>
    <rPh sb="0" eb="2">
      <t>トリアツカ</t>
    </rPh>
    <rPh sb="2" eb="4">
      <t>チュウイ</t>
    </rPh>
    <phoneticPr fontId="8"/>
  </si>
  <si>
    <t>開発区分</t>
    <rPh sb="0" eb="2">
      <t>カイハツ</t>
    </rPh>
    <rPh sb="2" eb="4">
      <t>クブン</t>
    </rPh>
    <phoneticPr fontId="8"/>
  </si>
  <si>
    <t>システム名</t>
    <rPh sb="4" eb="5">
      <t>メイ</t>
    </rPh>
    <phoneticPr fontId="8"/>
  </si>
  <si>
    <t>Webシステム</t>
    <phoneticPr fontId="8"/>
  </si>
  <si>
    <t>Ver.</t>
    <phoneticPr fontId="8"/>
  </si>
  <si>
    <t>7.0.2</t>
    <phoneticPr fontId="8"/>
  </si>
  <si>
    <t>－</t>
    <phoneticPr fontId="8"/>
  </si>
  <si>
    <t>MSBB_販売管理</t>
    <phoneticPr fontId="8"/>
  </si>
  <si>
    <t>機能名</t>
    <rPh sb="0" eb="2">
      <t>キノウ</t>
    </rPh>
    <rPh sb="2" eb="3">
      <t>メイ</t>
    </rPh>
    <phoneticPr fontId="8"/>
  </si>
  <si>
    <t>機能ID</t>
    <rPh sb="0" eb="2">
      <t>キノウ</t>
    </rPh>
    <phoneticPr fontId="8"/>
  </si>
  <si>
    <t>アドオン</t>
  </si>
  <si>
    <t>作成</t>
    <rPh sb="0" eb="2">
      <t>サクセイ</t>
    </rPh>
    <phoneticPr fontId="8"/>
  </si>
  <si>
    <t>最終更新</t>
    <rPh sb="0" eb="2">
      <t>サイシュウ</t>
    </rPh>
    <rPh sb="2" eb="4">
      <t>コウシン</t>
    </rPh>
    <phoneticPr fontId="8"/>
  </si>
  <si>
    <t>ご確認</t>
    <rPh sb="1" eb="3">
      <t>カクニン</t>
    </rPh>
    <phoneticPr fontId="8"/>
  </si>
  <si>
    <t>MDSOL</t>
  </si>
  <si>
    <t>画面ID</t>
    <rPh sb="0" eb="2">
      <t>ガメン</t>
    </rPh>
    <phoneticPr fontId="8"/>
  </si>
  <si>
    <t>画面名</t>
    <rPh sb="0" eb="2">
      <t>ガメン</t>
    </rPh>
    <rPh sb="2" eb="3">
      <t>メイ</t>
    </rPh>
    <phoneticPr fontId="8"/>
  </si>
  <si>
    <t>Version</t>
    <phoneticPr fontId="8"/>
  </si>
  <si>
    <t>Revision</t>
    <phoneticPr fontId="8"/>
  </si>
  <si>
    <t>M7-US-1140</t>
    <phoneticPr fontId="8"/>
  </si>
  <si>
    <t>MSBBPA120</t>
  </si>
  <si>
    <t>Web取引先マスタ一覧照会</t>
  </si>
  <si>
    <t>1.0.0</t>
    <phoneticPr fontId="8"/>
  </si>
  <si>
    <t>r01.00</t>
    <phoneticPr fontId="8"/>
  </si>
  <si>
    <t>共通（元データ）</t>
    <rPh sb="0" eb="2">
      <t>キョウツウ</t>
    </rPh>
    <rPh sb="3" eb="4">
      <t>モト</t>
    </rPh>
    <phoneticPr fontId="8"/>
  </si>
  <si>
    <t>文書名</t>
    <rPh sb="0" eb="2">
      <t>ブンショ</t>
    </rPh>
    <rPh sb="2" eb="3">
      <t>メイ</t>
    </rPh>
    <phoneticPr fontId="8"/>
  </si>
  <si>
    <t>モジュールID</t>
  </si>
  <si>
    <t>MS</t>
    <phoneticPr fontId="8"/>
  </si>
  <si>
    <t>モジュール名</t>
    <rPh sb="5" eb="6">
      <t>メイ</t>
    </rPh>
    <phoneticPr fontId="8"/>
  </si>
  <si>
    <t>Version</t>
  </si>
  <si>
    <t>Rev.</t>
  </si>
  <si>
    <t>画面説明書</t>
  </si>
  <si>
    <t>ｻﾌﾞﾓｼﾞｭｰﾙID</t>
  </si>
  <si>
    <t>MSBB</t>
    <phoneticPr fontId="8"/>
  </si>
  <si>
    <t>ｻﾌﾞﾓｼﾞｭｰﾙ名</t>
    <rPh sb="9" eb="10">
      <t>メイ</t>
    </rPh>
    <phoneticPr fontId="8"/>
  </si>
  <si>
    <t>販売Webシステム</t>
    <rPh sb="0" eb="2">
      <t>ハンバイ</t>
    </rPh>
    <phoneticPr fontId="8"/>
  </si>
  <si>
    <t>M7-US-1140</t>
  </si>
  <si>
    <t>r00.00</t>
    <phoneticPr fontId="8"/>
  </si>
  <si>
    <t>表紙</t>
  </si>
  <si>
    <t>表題</t>
    <rPh sb="0" eb="2">
      <t>ヒョウダイ</t>
    </rPh>
    <phoneticPr fontId="8"/>
  </si>
  <si>
    <t>共通（リンク用）</t>
    <rPh sb="0" eb="2">
      <t>キョウツウ</t>
    </rPh>
    <rPh sb="6" eb="7">
      <t>ヨウ</t>
    </rPh>
    <phoneticPr fontId="8"/>
  </si>
  <si>
    <t>モジュールID</t>
    <phoneticPr fontId="8"/>
  </si>
  <si>
    <t>Rev.</t>
    <phoneticPr fontId="8"/>
  </si>
  <si>
    <t>ｻﾌﾞﾓｼﾞｭｰﾙID</t>
    <phoneticPr fontId="8"/>
  </si>
  <si>
    <t>概要シート用</t>
    <rPh sb="0" eb="2">
      <t>ガイヨウ</t>
    </rPh>
    <rPh sb="5" eb="6">
      <t>ヨウ</t>
    </rPh>
    <phoneticPr fontId="8"/>
  </si>
  <si>
    <t>サブモジュールID</t>
    <phoneticPr fontId="8"/>
  </si>
  <si>
    <t>サブモジュール名</t>
    <rPh sb="7" eb="8">
      <t>メイ</t>
    </rPh>
    <phoneticPr fontId="8"/>
  </si>
  <si>
    <t>7.0.2</t>
  </si>
  <si>
    <t>第7章</t>
    <rPh sb="2" eb="3">
      <t>ショウ</t>
    </rPh>
    <phoneticPr fontId="8"/>
  </si>
  <si>
    <t>改訂</t>
    <phoneticPr fontId="8"/>
  </si>
  <si>
    <t>作成者</t>
    <rPh sb="0" eb="3">
      <t>サクセイシャ</t>
    </rPh>
    <phoneticPr fontId="86"/>
  </si>
  <si>
    <t>MDSOL</t>
    <phoneticPr fontId="8"/>
  </si>
  <si>
    <t>作成日</t>
    <phoneticPr fontId="8"/>
  </si>
  <si>
    <t>修正者</t>
    <rPh sb="0" eb="2">
      <t>シュウセイ</t>
    </rPh>
    <rPh sb="2" eb="3">
      <t>シャ</t>
    </rPh>
    <phoneticPr fontId="8"/>
  </si>
  <si>
    <t>改訂日</t>
    <rPh sb="0" eb="2">
      <t>カイテイ</t>
    </rPh>
    <phoneticPr fontId="8"/>
  </si>
  <si>
    <t>改定内容</t>
    <phoneticPr fontId="8"/>
  </si>
  <si>
    <t>頁</t>
    <rPh sb="0" eb="1">
      <t>ページ</t>
    </rPh>
    <phoneticPr fontId="8"/>
  </si>
  <si>
    <t>変更日
変更者</t>
    <rPh sb="0" eb="3">
      <t>ヘンコウビ</t>
    </rPh>
    <rPh sb="4" eb="6">
      <t>ヘンコウ</t>
    </rPh>
    <rPh sb="6" eb="7">
      <t>シャ</t>
    </rPh>
    <phoneticPr fontId="8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</si>
  <si>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8"/>
  </si>
  <si>
    <t>新規作成</t>
    <rPh sb="0" eb="2">
      <t>シンキ</t>
    </rPh>
    <rPh sb="2" eb="4">
      <t>サクセイ</t>
    </rPh>
    <phoneticPr fontId="8"/>
  </si>
  <si>
    <t>【説明】</t>
    <rPh sb="1" eb="3">
      <t>セツメイ</t>
    </rPh>
    <phoneticPr fontId="8"/>
  </si>
  <si>
    <t>取引先マスタの一覧照会画面</t>
    <rPh sb="7" eb="9">
      <t>イチラン</t>
    </rPh>
    <rPh sb="9" eb="11">
      <t>ショウカイ</t>
    </rPh>
    <rPh sb="11" eb="13">
      <t>ガメン</t>
    </rPh>
    <phoneticPr fontId="8"/>
  </si>
  <si>
    <t>【目的】</t>
    <rPh sb="1" eb="3">
      <t>モクテキ</t>
    </rPh>
    <phoneticPr fontId="8"/>
  </si>
  <si>
    <t>取引先マスタを一覧照会する。取引先マスタ画面へ遷移する。(参照・訂正)</t>
    <rPh sb="7" eb="9">
      <t>イチラン</t>
    </rPh>
    <rPh sb="9" eb="11">
      <t>ショウカイ</t>
    </rPh>
    <rPh sb="20" eb="22">
      <t>ガメン</t>
    </rPh>
    <rPh sb="23" eb="25">
      <t>センイ</t>
    </rPh>
    <rPh sb="29" eb="31">
      <t>サンショウ</t>
    </rPh>
    <rPh sb="32" eb="34">
      <t>テイセイ</t>
    </rPh>
    <phoneticPr fontId="8"/>
  </si>
  <si>
    <t>【処理関連図/サービス関連図】</t>
    <phoneticPr fontId="8"/>
  </si>
  <si>
    <t>※処理・サービス関連図シートに詳細記載</t>
    <rPh sb="15" eb="17">
      <t>ショウサイ</t>
    </rPh>
    <rPh sb="17" eb="19">
      <t>キサイ</t>
    </rPh>
    <phoneticPr fontId="8"/>
  </si>
  <si>
    <t>【オペレーション一覧】</t>
    <rPh sb="8" eb="10">
      <t>イチラン</t>
    </rPh>
    <phoneticPr fontId="8"/>
  </si>
  <si>
    <t>取引先マスタの検索・照会処理を行う</t>
    <rPh sb="10" eb="12">
      <t>ショウカイ</t>
    </rPh>
    <phoneticPr fontId="8"/>
  </si>
  <si>
    <t>取引先マスタのCSV出力を行う</t>
    <rPh sb="10" eb="12">
      <t>シュツリョク</t>
    </rPh>
    <rPh sb="13" eb="14">
      <t>オコナ</t>
    </rPh>
    <phoneticPr fontId="8"/>
  </si>
  <si>
    <t>【SQLID一覧】</t>
    <rPh sb="6" eb="8">
      <t>イチラン</t>
    </rPh>
    <phoneticPr fontId="8"/>
  </si>
  <si>
    <t>なし</t>
    <phoneticPr fontId="8"/>
  </si>
  <si>
    <t>【ソート順】</t>
    <rPh sb="4" eb="5">
      <t>ジュン</t>
    </rPh>
    <phoneticPr fontId="8"/>
  </si>
  <si>
    <t>取引先CD</t>
    <phoneticPr fontId="8"/>
  </si>
  <si>
    <t>【データアクセスコントロール】</t>
    <phoneticPr fontId="8"/>
  </si>
  <si>
    <t>拠点による制御</t>
    <rPh sb="0" eb="2">
      <t>キョテン</t>
    </rPh>
    <rPh sb="5" eb="7">
      <t>セイギョ</t>
    </rPh>
    <phoneticPr fontId="8"/>
  </si>
  <si>
    <t>※詳細は、【MSBBPA000】_共通設計書_アドオン(Webシステム共通仕様)にて定義</t>
    <rPh sb="1" eb="3">
      <t>ショウサイ</t>
    </rPh>
    <rPh sb="42" eb="44">
      <t>テイギ</t>
    </rPh>
    <phoneticPr fontId="8"/>
  </si>
  <si>
    <t>【自由記述】</t>
    <rPh sb="1" eb="3">
      <t>ジユウ</t>
    </rPh>
    <rPh sb="3" eb="5">
      <t>キジュツ</t>
    </rPh>
    <phoneticPr fontId="8"/>
  </si>
  <si>
    <t>画面イメージ</t>
    <rPh sb="0" eb="2">
      <t>ガメン</t>
    </rPh>
    <phoneticPr fontId="8"/>
  </si>
  <si>
    <t>≫凡例</t>
    <rPh sb="1" eb="3">
      <t>ハンレイ</t>
    </rPh>
    <phoneticPr fontId="8"/>
  </si>
  <si>
    <t>・・・</t>
    <phoneticPr fontId="8"/>
  </si>
  <si>
    <t>ボタン</t>
    <phoneticPr fontId="8"/>
  </si>
  <si>
    <t>見積計算書№</t>
    <phoneticPr fontId="8"/>
  </si>
  <si>
    <t>検索項目(検索画面表示選択)</t>
    <rPh sb="0" eb="2">
      <t>ケンサク</t>
    </rPh>
    <rPh sb="2" eb="4">
      <t>コウモク</t>
    </rPh>
    <rPh sb="5" eb="7">
      <t>ケンサク</t>
    </rPh>
    <rPh sb="7" eb="9">
      <t>ガメン</t>
    </rPh>
    <rPh sb="9" eb="11">
      <t>ヒョウジ</t>
    </rPh>
    <rPh sb="11" eb="13">
      <t>センタク</t>
    </rPh>
    <phoneticPr fontId="8"/>
  </si>
  <si>
    <t>参照情報</t>
    <rPh sb="0" eb="4">
      <t>サンショウジョウホウ</t>
    </rPh>
    <phoneticPr fontId="8"/>
  </si>
  <si>
    <t>品名</t>
    <rPh sb="0" eb="2">
      <t>ヒンメイ</t>
    </rPh>
    <phoneticPr fontId="8"/>
  </si>
  <si>
    <t>入力項目</t>
    <rPh sb="0" eb="2">
      <t>ニュウリョク</t>
    </rPh>
    <rPh sb="2" eb="4">
      <t>コウモク</t>
    </rPh>
    <phoneticPr fontId="8"/>
  </si>
  <si>
    <t>取引先</t>
    <phoneticPr fontId="8"/>
  </si>
  <si>
    <t>表示項目(取引先名称、原紙名等)</t>
    <rPh sb="0" eb="2">
      <t>ヒョウジ</t>
    </rPh>
    <rPh sb="2" eb="4">
      <t>コウモク</t>
    </rPh>
    <rPh sb="8" eb="10">
      <t>メイショウ</t>
    </rPh>
    <rPh sb="11" eb="13">
      <t>ゲンシ</t>
    </rPh>
    <rPh sb="13" eb="14">
      <t>メイ</t>
    </rPh>
    <rPh sb="14" eb="15">
      <t>ナド</t>
    </rPh>
    <phoneticPr fontId="8"/>
  </si>
  <si>
    <t>担当者</t>
    <rPh sb="0" eb="3">
      <t>タントウシャ</t>
    </rPh>
    <phoneticPr fontId="8"/>
  </si>
  <si>
    <t>操作種別</t>
    <rPh sb="0" eb="2">
      <t>ソウサ</t>
    </rPh>
    <rPh sb="2" eb="4">
      <t>シュベツ</t>
    </rPh>
    <phoneticPr fontId="8"/>
  </si>
  <si>
    <t>●登録</t>
    <rPh sb="1" eb="3">
      <t>トウロク</t>
    </rPh>
    <phoneticPr fontId="8"/>
  </si>
  <si>
    <t>○訂正</t>
    <rPh sb="1" eb="3">
      <t>テイセイ</t>
    </rPh>
    <phoneticPr fontId="8"/>
  </si>
  <si>
    <t>選択項目(一つのみ選択可能)</t>
    <rPh sb="0" eb="2">
      <t>センタク</t>
    </rPh>
    <rPh sb="2" eb="4">
      <t>コウモク</t>
    </rPh>
    <rPh sb="5" eb="6">
      <t>ヒト</t>
    </rPh>
    <rPh sb="9" eb="11">
      <t>センタク</t>
    </rPh>
    <rPh sb="11" eb="13">
      <t>カノウ</t>
    </rPh>
    <phoneticPr fontId="8"/>
  </si>
  <si>
    <t>受注区分</t>
    <rPh sb="0" eb="2">
      <t>ジュチュウ</t>
    </rPh>
    <rPh sb="2" eb="4">
      <t>クブン</t>
    </rPh>
    <phoneticPr fontId="8"/>
  </si>
  <si>
    <t>作業順</t>
    <rPh sb="0" eb="2">
      <t>サギョウ</t>
    </rPh>
    <rPh sb="2" eb="3">
      <t>ジュン</t>
    </rPh>
    <phoneticPr fontId="8"/>
  </si>
  <si>
    <t>☑AAA</t>
    <phoneticPr fontId="8"/>
  </si>
  <si>
    <t>☑BBB</t>
    <phoneticPr fontId="8"/>
  </si>
  <si>
    <t>選択項目(複数選択可能)</t>
    <rPh sb="0" eb="2">
      <t>センタク</t>
    </rPh>
    <rPh sb="2" eb="4">
      <t>コウモク</t>
    </rPh>
    <rPh sb="5" eb="7">
      <t>フクスウ</t>
    </rPh>
    <rPh sb="7" eb="9">
      <t>センタク</t>
    </rPh>
    <rPh sb="9" eb="11">
      <t>カノウ</t>
    </rPh>
    <phoneticPr fontId="8"/>
  </si>
  <si>
    <t>見積作成日</t>
    <rPh sb="0" eb="2">
      <t>ミツモリ</t>
    </rPh>
    <rPh sb="2" eb="4">
      <t>サクセイ</t>
    </rPh>
    <rPh sb="4" eb="5">
      <t>ビ</t>
    </rPh>
    <phoneticPr fontId="8"/>
  </si>
  <si>
    <t>カレンダー形式</t>
    <rPh sb="5" eb="7">
      <t>ケイシキ</t>
    </rPh>
    <phoneticPr fontId="8"/>
  </si>
  <si>
    <t>■得意先</t>
    <rPh sb="1" eb="4">
      <t>トクイサキ</t>
    </rPh>
    <phoneticPr fontId="8"/>
  </si>
  <si>
    <t>■売掛先</t>
    <rPh sb="1" eb="4">
      <t>ウリカケサキ</t>
    </rPh>
    <phoneticPr fontId="8"/>
  </si>
  <si>
    <t>■請求先</t>
    <rPh sb="1" eb="4">
      <t>セイキュウサキ</t>
    </rPh>
    <phoneticPr fontId="8"/>
  </si>
  <si>
    <t>■入金先</t>
    <rPh sb="1" eb="4">
      <t>ニュウキンサキ</t>
    </rPh>
    <phoneticPr fontId="8"/>
  </si>
  <si>
    <t>■納品先</t>
    <rPh sb="1" eb="4">
      <t>ノウヒンサキ</t>
    </rPh>
    <phoneticPr fontId="8"/>
  </si>
  <si>
    <t>■与信管理先</t>
    <phoneticPr fontId="8"/>
  </si>
  <si>
    <t>*</t>
    <phoneticPr fontId="8"/>
  </si>
  <si>
    <t>あいまい検索可能</t>
    <rPh sb="4" eb="6">
      <t>ケンサク</t>
    </rPh>
    <rPh sb="6" eb="8">
      <t>カノウ</t>
    </rPh>
    <phoneticPr fontId="8"/>
  </si>
  <si>
    <t>■発注先</t>
    <rPh sb="1" eb="4">
      <t>ハッチュウサキ</t>
    </rPh>
    <phoneticPr fontId="8"/>
  </si>
  <si>
    <t>■買掛先</t>
    <rPh sb="1" eb="4">
      <t>カイカケサキ</t>
    </rPh>
    <phoneticPr fontId="8"/>
  </si>
  <si>
    <t>■支払予定管理先</t>
    <rPh sb="1" eb="5">
      <t>シハライヨテイ</t>
    </rPh>
    <rPh sb="5" eb="8">
      <t>カンリサキ</t>
    </rPh>
    <phoneticPr fontId="8"/>
  </si>
  <si>
    <t>■支払先</t>
    <rPh sb="1" eb="4">
      <t>シハライサキ</t>
    </rPh>
    <phoneticPr fontId="8"/>
  </si>
  <si>
    <t>■メーカ</t>
    <phoneticPr fontId="8"/>
  </si>
  <si>
    <t>登録日</t>
    <rPh sb="0" eb="3">
      <t>トウロクビ</t>
    </rPh>
    <phoneticPr fontId="8"/>
  </si>
  <si>
    <t>~</t>
    <phoneticPr fontId="8"/>
  </si>
  <si>
    <t>取引先</t>
    <rPh sb="0" eb="3">
      <t>トリヒキサキ</t>
    </rPh>
    <phoneticPr fontId="8"/>
  </si>
  <si>
    <t>取引先名</t>
    <rPh sb="0" eb="2">
      <t>トリヒキ</t>
    </rPh>
    <rPh sb="2" eb="3">
      <t>サキ</t>
    </rPh>
    <rPh sb="3" eb="4">
      <t>メイ</t>
    </rPh>
    <phoneticPr fontId="8"/>
  </si>
  <si>
    <t>標準企業コード</t>
    <rPh sb="0" eb="2">
      <t>ヒョウジュン</t>
    </rPh>
    <rPh sb="2" eb="4">
      <t>キギョウ</t>
    </rPh>
    <phoneticPr fontId="8"/>
  </si>
  <si>
    <t>法人番号</t>
    <rPh sb="0" eb="4">
      <t>ホウジンバンゴウ</t>
    </rPh>
    <phoneticPr fontId="8"/>
  </si>
  <si>
    <t>法人番号区分</t>
    <phoneticPr fontId="8"/>
  </si>
  <si>
    <t>0:法人,1:個人</t>
    <phoneticPr fontId="8"/>
  </si>
  <si>
    <t>郵便番号</t>
    <rPh sb="0" eb="2">
      <t>ユウビン</t>
    </rPh>
    <rPh sb="2" eb="4">
      <t>バンゴウ</t>
    </rPh>
    <phoneticPr fontId="8"/>
  </si>
  <si>
    <t>CP指摘　2022/10/20　本多　法人区分（0：法人　1：個人）での区分けにて検索を可能としてください。</t>
  </si>
  <si>
    <t>住所</t>
    <rPh sb="0" eb="2">
      <t>ジュウショ</t>
    </rPh>
    <phoneticPr fontId="8"/>
  </si>
  <si>
    <t>MDSOL 野村　2022/10/25 条件追加しました</t>
    <rPh sb="6" eb="8">
      <t>ノムラ</t>
    </rPh>
    <rPh sb="20" eb="24">
      <t>ジョウケンツイカ</t>
    </rPh>
    <phoneticPr fontId="8"/>
  </si>
  <si>
    <t>ＴＥＬ</t>
    <phoneticPr fontId="8"/>
  </si>
  <si>
    <t>ＦＡＸ</t>
    <phoneticPr fontId="8"/>
  </si>
  <si>
    <t>地域CD</t>
    <rPh sb="0" eb="2">
      <t>チイキ</t>
    </rPh>
    <phoneticPr fontId="8"/>
  </si>
  <si>
    <t>営業担当</t>
    <rPh sb="0" eb="2">
      <t>エイギョウ</t>
    </rPh>
    <rPh sb="2" eb="4">
      <t>タントウ</t>
    </rPh>
    <phoneticPr fontId="8"/>
  </si>
  <si>
    <t>業務担当</t>
    <rPh sb="0" eb="2">
      <t>ギョウム</t>
    </rPh>
    <rPh sb="2" eb="4">
      <t>タントウ</t>
    </rPh>
    <phoneticPr fontId="8"/>
  </si>
  <si>
    <t>取引先分類1</t>
    <phoneticPr fontId="8"/>
  </si>
  <si>
    <t>取引先区分</t>
  </si>
  <si>
    <t>取引先分類2</t>
    <phoneticPr fontId="8"/>
  </si>
  <si>
    <t>ユーザ・コンバータ</t>
  </si>
  <si>
    <t>取引先分類3</t>
    <phoneticPr fontId="8"/>
  </si>
  <si>
    <t>業種</t>
  </si>
  <si>
    <t>取引先分類4</t>
    <phoneticPr fontId="8"/>
  </si>
  <si>
    <t>顧客ランク</t>
  </si>
  <si>
    <t>取引先分類5</t>
    <phoneticPr fontId="8"/>
  </si>
  <si>
    <t>債権区分</t>
  </si>
  <si>
    <t>取引先分類6</t>
    <phoneticPr fontId="8"/>
  </si>
  <si>
    <t>締め日</t>
  </si>
  <si>
    <t>取引先分類7</t>
    <phoneticPr fontId="8"/>
  </si>
  <si>
    <t>取引先分類8</t>
    <phoneticPr fontId="8"/>
  </si>
  <si>
    <t>取引先分類9</t>
    <phoneticPr fontId="8"/>
  </si>
  <si>
    <t>取引先分類10</t>
    <phoneticPr fontId="8"/>
  </si>
  <si>
    <t>ステータス</t>
    <phoneticPr fontId="8"/>
  </si>
  <si>
    <t>■事前登録</t>
    <rPh sb="1" eb="5">
      <t>ジゼントウロク</t>
    </rPh>
    <phoneticPr fontId="8"/>
  </si>
  <si>
    <t>■本登録</t>
    <rPh sb="1" eb="4">
      <t>ホントウロク</t>
    </rPh>
    <phoneticPr fontId="8"/>
  </si>
  <si>
    <t>№</t>
    <phoneticPr fontId="8"/>
  </si>
  <si>
    <t>取引先名</t>
    <rPh sb="3" eb="4">
      <t>メイ</t>
    </rPh>
    <phoneticPr fontId="8"/>
  </si>
  <si>
    <t>取引先別名１</t>
    <phoneticPr fontId="8"/>
  </si>
  <si>
    <t>営業担当</t>
    <rPh sb="0" eb="4">
      <t>エイギョウタントウ</t>
    </rPh>
    <phoneticPr fontId="8"/>
  </si>
  <si>
    <t>業務担当</t>
    <rPh sb="0" eb="4">
      <t>ギョウムタントウ</t>
    </rPh>
    <phoneticPr fontId="8"/>
  </si>
  <si>
    <t>標準企業コード</t>
    <phoneticPr fontId="8"/>
  </si>
  <si>
    <t>住所(１～４)</t>
    <rPh sb="0" eb="2">
      <t>ジュウショ</t>
    </rPh>
    <phoneticPr fontId="8"/>
  </si>
  <si>
    <t>得意先</t>
    <phoneticPr fontId="8"/>
  </si>
  <si>
    <t>売掛先</t>
    <rPh sb="0" eb="3">
      <t>ウリカケサキ</t>
    </rPh>
    <phoneticPr fontId="8"/>
  </si>
  <si>
    <t>請求先</t>
    <rPh sb="0" eb="3">
      <t>セイキュウサキ</t>
    </rPh>
    <phoneticPr fontId="8"/>
  </si>
  <si>
    <t>入金先</t>
    <rPh sb="0" eb="3">
      <t>ニュウキンサキ</t>
    </rPh>
    <phoneticPr fontId="8"/>
  </si>
  <si>
    <t>納品先</t>
    <rPh sb="0" eb="3">
      <t>ノウヒンサキ</t>
    </rPh>
    <phoneticPr fontId="8"/>
  </si>
  <si>
    <t>与信
管理先</t>
    <rPh sb="0" eb="2">
      <t>ヨシン</t>
    </rPh>
    <rPh sb="3" eb="5">
      <t>カンリ</t>
    </rPh>
    <rPh sb="5" eb="6">
      <t>サキ</t>
    </rPh>
    <phoneticPr fontId="8"/>
  </si>
  <si>
    <t>発注先</t>
    <rPh sb="0" eb="3">
      <t>ハッチュウサキ</t>
    </rPh>
    <phoneticPr fontId="8"/>
  </si>
  <si>
    <t>買掛先</t>
    <rPh sb="0" eb="2">
      <t>カイカケ</t>
    </rPh>
    <rPh sb="2" eb="3">
      <t>サキ</t>
    </rPh>
    <phoneticPr fontId="8"/>
  </si>
  <si>
    <t>支払予定
管理先</t>
    <rPh sb="0" eb="4">
      <t>シハライヨテイ</t>
    </rPh>
    <rPh sb="5" eb="8">
      <t>カンリサキ</t>
    </rPh>
    <phoneticPr fontId="8"/>
  </si>
  <si>
    <t>支払先</t>
    <rPh sb="0" eb="3">
      <t>シハライサキ</t>
    </rPh>
    <phoneticPr fontId="8"/>
  </si>
  <si>
    <t>メーカ</t>
    <phoneticPr fontId="8"/>
  </si>
  <si>
    <t>登録</t>
    <rPh sb="0" eb="2">
      <t>トウロク</t>
    </rPh>
    <phoneticPr fontId="8"/>
  </si>
  <si>
    <t>担当</t>
    <rPh sb="0" eb="2">
      <t>タントウ</t>
    </rPh>
    <phoneticPr fontId="8"/>
  </si>
  <si>
    <t>担当者名</t>
    <phoneticPr fontId="8"/>
  </si>
  <si>
    <t>1</t>
    <phoneticPr fontId="8"/>
  </si>
  <si>
    <t>事前</t>
    <phoneticPr fontId="8"/>
  </si>
  <si>
    <t>12345</t>
    <phoneticPr fontId="8"/>
  </si>
  <si>
    <t>XXXXXXXXX1XXXXX6</t>
  </si>
  <si>
    <t>XXXXXXX8</t>
    <phoneticPr fontId="8"/>
  </si>
  <si>
    <t>1234</t>
    <phoneticPr fontId="8"/>
  </si>
  <si>
    <t>XXXXX6</t>
    <phoneticPr fontId="8"/>
  </si>
  <si>
    <t>XXXXXXXXX1XXXXX6</t>
    <phoneticPr fontId="8"/>
  </si>
  <si>
    <t>☑</t>
  </si>
  <si>
    <t>2022/7/1</t>
    <phoneticPr fontId="8"/>
  </si>
  <si>
    <t>2</t>
  </si>
  <si>
    <t>3</t>
  </si>
  <si>
    <t>XXXXX6</t>
  </si>
  <si>
    <t>4</t>
  </si>
  <si>
    <t>12345</t>
  </si>
  <si>
    <t>1234</t>
  </si>
  <si>
    <t>5</t>
  </si>
  <si>
    <t>6</t>
  </si>
  <si>
    <t>本登録</t>
  </si>
  <si>
    <t>YYYYYYYYY1XXXXX6</t>
  </si>
  <si>
    <t>YYYYYYYYY1XXXXX6</t>
    <phoneticPr fontId="8"/>
  </si>
  <si>
    <t>XXXXXX01</t>
    <phoneticPr fontId="8"/>
  </si>
  <si>
    <t>7</t>
  </si>
  <si>
    <t>XXXXXX02</t>
  </si>
  <si>
    <t>8</t>
  </si>
  <si>
    <t>XXXXXX03</t>
  </si>
  <si>
    <t>9</t>
  </si>
  <si>
    <t>XXXXXX04</t>
  </si>
  <si>
    <t>10</t>
  </si>
  <si>
    <t>XXXXXX05</t>
  </si>
  <si>
    <t>◁</t>
    <phoneticPr fontId="8"/>
  </si>
  <si>
    <t>▷</t>
    <phoneticPr fontId="8"/>
  </si>
  <si>
    <t>取引先マスタ一覧照会</t>
  </si>
  <si>
    <t>抽出条件</t>
    <rPh sb="0" eb="4">
      <t>チュウシュツジョウケン</t>
    </rPh>
    <phoneticPr fontId="8"/>
  </si>
  <si>
    <t>説明</t>
  </si>
  <si>
    <t>Ｗ</t>
    <phoneticPr fontId="8"/>
  </si>
  <si>
    <t>型</t>
  </si>
  <si>
    <t>参</t>
  </si>
  <si>
    <t>必</t>
    <rPh sb="0" eb="1">
      <t>ヒツ</t>
    </rPh>
    <phoneticPr fontId="8"/>
  </si>
  <si>
    <t>入</t>
  </si>
  <si>
    <t>非</t>
  </si>
  <si>
    <t>検</t>
    <phoneticPr fontId="8"/>
  </si>
  <si>
    <t>〇</t>
  </si>
  <si>
    <t>抽出条件として、取引先が[得意先]の属性を持つ場合にチェックします</t>
  </si>
  <si>
    <t>初期値☑有</t>
    <rPh sb="0" eb="3">
      <t>ショキチ</t>
    </rPh>
    <rPh sb="4" eb="5">
      <t>ア</t>
    </rPh>
    <phoneticPr fontId="8"/>
  </si>
  <si>
    <t>チ</t>
    <phoneticPr fontId="8"/>
  </si>
  <si>
    <t>F</t>
    <phoneticPr fontId="8"/>
  </si>
  <si>
    <t>売掛先</t>
    <phoneticPr fontId="8"/>
  </si>
  <si>
    <t>抽出条件として、取引先が[売掛先]の属性を持つ場合にチェックします</t>
  </si>
  <si>
    <t>請求先</t>
    <phoneticPr fontId="8"/>
  </si>
  <si>
    <t>抽出条件として、取引先が[請求先]の属性を持つ場合にチェックします</t>
  </si>
  <si>
    <t>入金先</t>
    <phoneticPr fontId="8"/>
  </si>
  <si>
    <t>抽出条件として、取引先が[入金先]の属性を持つ場合にチェックします</t>
  </si>
  <si>
    <t>納品先</t>
    <phoneticPr fontId="8"/>
  </si>
  <si>
    <t>抽出条件として、取引先が[納品先]の属性を持つ場合にチェックします</t>
  </si>
  <si>
    <t>与信管理先</t>
  </si>
  <si>
    <t>抽出条件として、取引先が[与信管理先]の属性を持つ場合にチェックします</t>
  </si>
  <si>
    <t>発注先</t>
    <phoneticPr fontId="8"/>
  </si>
  <si>
    <t>抽出条件として、取引先が[発注先]の属性を持つ場合にチェックします</t>
  </si>
  <si>
    <t>買掛先</t>
    <phoneticPr fontId="8"/>
  </si>
  <si>
    <t>抽出条件として、取引先が[買掛先]の属性を持つ場合にチェックします</t>
  </si>
  <si>
    <t>支払予定管理先</t>
    <phoneticPr fontId="8"/>
  </si>
  <si>
    <t>抽出条件として、取引先が[支払予定管理先]の属性を持つ場合にチェックします</t>
  </si>
  <si>
    <t>支払先</t>
    <phoneticPr fontId="8"/>
  </si>
  <si>
    <t>抽出条件として、取引先が[支払先]の属性を持つ場合にチェックします</t>
  </si>
  <si>
    <t>メーカ</t>
  </si>
  <si>
    <t>抽出条件として、取引先が[メーカ]の属性を持つ場合にチェックします</t>
  </si>
  <si>
    <t>登録日(From)</t>
    <phoneticPr fontId="8"/>
  </si>
  <si>
    <t>抽出条件として、登録日(From)を入力する</t>
  </si>
  <si>
    <t>カ</t>
    <phoneticPr fontId="8"/>
  </si>
  <si>
    <t>D</t>
    <phoneticPr fontId="8"/>
  </si>
  <si>
    <t>登録日(To)</t>
    <phoneticPr fontId="8"/>
  </si>
  <si>
    <t>抽出条件として、登録日(To)を入力する</t>
  </si>
  <si>
    <t>取引先</t>
  </si>
  <si>
    <t>抽出条件として、取引先を入力する</t>
  </si>
  <si>
    <t>あいまい検索可</t>
    <rPh sb="4" eb="6">
      <t>ケンサク</t>
    </rPh>
    <rPh sb="6" eb="7">
      <t>カ</t>
    </rPh>
    <phoneticPr fontId="8"/>
  </si>
  <si>
    <t>T</t>
    <phoneticPr fontId="8"/>
  </si>
  <si>
    <t>S</t>
    <phoneticPr fontId="8"/>
  </si>
  <si>
    <t>取引先名</t>
  </si>
  <si>
    <t>抽出条件として、取引先名を入力する</t>
  </si>
  <si>
    <t>法人番号</t>
  </si>
  <si>
    <t>抽出条件として、法人番号を入力する</t>
  </si>
  <si>
    <t>CP指摘　2022/10/20　本多　法人区分（0：法人　1：個人）にて区分けされた表示が必要です。現状、国税庁の法人番号を持たない取引先についてはCP独自で法人マスタへ採番しているためです。</t>
  </si>
  <si>
    <t>抽出条件として、法人番号区分を入力する</t>
    <phoneticPr fontId="8"/>
  </si>
  <si>
    <t>【MSBBPACOM】_共通設計書_アドオン(共通ロジック)にて定義</t>
    <phoneticPr fontId="8"/>
  </si>
  <si>
    <t>C</t>
    <phoneticPr fontId="8"/>
  </si>
  <si>
    <t>標準企業コード</t>
  </si>
  <si>
    <t>抽出条件として、標準企業コードを入力する</t>
  </si>
  <si>
    <t>郵便番号</t>
  </si>
  <si>
    <t>抽出条件として、郵便番号を入力する</t>
  </si>
  <si>
    <t>住所</t>
  </si>
  <si>
    <t>抽出条件として、住所を入力する</t>
  </si>
  <si>
    <t>ＴＥＬ</t>
  </si>
  <si>
    <t>抽出条件として、ＴＥＬを入力する</t>
  </si>
  <si>
    <t>ＦＡＸ</t>
  </si>
  <si>
    <t>抽出条件として、ＦＡＸを入力する</t>
  </si>
  <si>
    <t>地域CD</t>
  </si>
  <si>
    <t>営業担当</t>
    <phoneticPr fontId="8"/>
  </si>
  <si>
    <t>【MSBBPACOM】_共通設計書_アドオン(共通ロジック)にて定義</t>
  </si>
  <si>
    <t>検</t>
    <rPh sb="0" eb="1">
      <t>ケン</t>
    </rPh>
    <phoneticPr fontId="8"/>
  </si>
  <si>
    <t>営業担当名</t>
    <rPh sb="4" eb="5">
      <t>メイ</t>
    </rPh>
    <phoneticPr fontId="8"/>
  </si>
  <si>
    <t>営業担当選択後に営業担当名がセットされる</t>
    <phoneticPr fontId="8"/>
  </si>
  <si>
    <t>業務担当</t>
    <phoneticPr fontId="8"/>
  </si>
  <si>
    <t>業務担当名</t>
    <rPh sb="4" eb="5">
      <t>メイ</t>
    </rPh>
    <phoneticPr fontId="8"/>
  </si>
  <si>
    <t>業務担当選択後に業務担当名がセットされる</t>
    <rPh sb="4" eb="7">
      <t>センタクゴ</t>
    </rPh>
    <phoneticPr fontId="8"/>
  </si>
  <si>
    <t>取引先分類名1</t>
    <rPh sb="5" eb="6">
      <t>メイ</t>
    </rPh>
    <phoneticPr fontId="8"/>
  </si>
  <si>
    <t>取引先分類1選択後に取引先分類名1がセットされる</t>
    <rPh sb="6" eb="9">
      <t>センタクゴ</t>
    </rPh>
    <phoneticPr fontId="8"/>
  </si>
  <si>
    <t>取引先分類2</t>
  </si>
  <si>
    <t>取引先分類名2</t>
    <rPh sb="5" eb="6">
      <t>メイ</t>
    </rPh>
    <phoneticPr fontId="8"/>
  </si>
  <si>
    <t>取引先分類2選択後に取引先分類名2がセットされる</t>
    <rPh sb="6" eb="9">
      <t>センタクゴ</t>
    </rPh>
    <phoneticPr fontId="8"/>
  </si>
  <si>
    <t>取引先分類3</t>
  </si>
  <si>
    <t>取引先分類名3</t>
    <rPh sb="5" eb="6">
      <t>メイ</t>
    </rPh>
    <phoneticPr fontId="8"/>
  </si>
  <si>
    <t>取引先分類3選択後に取引先分類名3がセットされる</t>
    <rPh sb="6" eb="9">
      <t>センタクゴ</t>
    </rPh>
    <phoneticPr fontId="8"/>
  </si>
  <si>
    <t>取引先分類4</t>
  </si>
  <si>
    <t>取引先分類名4</t>
    <rPh sb="5" eb="6">
      <t>メイ</t>
    </rPh>
    <phoneticPr fontId="8"/>
  </si>
  <si>
    <t>取引先分類4選択後に取引先分類名4がセットされる</t>
    <rPh sb="6" eb="9">
      <t>センタクゴ</t>
    </rPh>
    <phoneticPr fontId="8"/>
  </si>
  <si>
    <t>取引先分類5</t>
  </si>
  <si>
    <t>取引先分類名5</t>
    <rPh sb="5" eb="6">
      <t>メイ</t>
    </rPh>
    <phoneticPr fontId="8"/>
  </si>
  <si>
    <t>取引先分類5選択後に取引先分類名5がセットされる</t>
    <rPh sb="6" eb="9">
      <t>センタクゴ</t>
    </rPh>
    <phoneticPr fontId="8"/>
  </si>
  <si>
    <t>取引先分類6</t>
  </si>
  <si>
    <t>取引先分類名6</t>
    <rPh sb="5" eb="6">
      <t>メイ</t>
    </rPh>
    <phoneticPr fontId="8"/>
  </si>
  <si>
    <t>取引先分類6選択後に取引先分類名6がセットされる</t>
    <rPh sb="6" eb="9">
      <t>センタクゴ</t>
    </rPh>
    <phoneticPr fontId="8"/>
  </si>
  <si>
    <t>取引先分類7</t>
  </si>
  <si>
    <t>取引先分類名7</t>
    <rPh sb="5" eb="6">
      <t>メイ</t>
    </rPh>
    <phoneticPr fontId="8"/>
  </si>
  <si>
    <t>取引先分類7選択後に取引先分類名7がセットされる</t>
    <rPh sb="6" eb="9">
      <t>センタクゴ</t>
    </rPh>
    <phoneticPr fontId="8"/>
  </si>
  <si>
    <t>取引先分類8</t>
  </si>
  <si>
    <t>取引先分類名8</t>
    <rPh sb="5" eb="6">
      <t>メイ</t>
    </rPh>
    <phoneticPr fontId="8"/>
  </si>
  <si>
    <t>取引先分類8選択後に取引先分類名8がセットされる</t>
    <rPh sb="6" eb="9">
      <t>センタクゴ</t>
    </rPh>
    <phoneticPr fontId="8"/>
  </si>
  <si>
    <t>取引先分類9</t>
  </si>
  <si>
    <t>取引先分類名9</t>
    <rPh sb="5" eb="6">
      <t>メイ</t>
    </rPh>
    <phoneticPr fontId="8"/>
  </si>
  <si>
    <t>取引先分類9選択後に取引先分類名9がセットされる</t>
    <rPh sb="6" eb="9">
      <t>センタクゴ</t>
    </rPh>
    <phoneticPr fontId="8"/>
  </si>
  <si>
    <t>取引先分類10</t>
  </si>
  <si>
    <t>取引先分類名10</t>
    <rPh sb="5" eb="6">
      <t>メイ</t>
    </rPh>
    <phoneticPr fontId="8"/>
  </si>
  <si>
    <t>取引先分類10選択後に取引先分類名10がセットされる</t>
    <rPh sb="7" eb="10">
      <t>センタクゴ</t>
    </rPh>
    <phoneticPr fontId="8"/>
  </si>
  <si>
    <t>□事前登録、□本登録</t>
    <rPh sb="1" eb="3">
      <t>ジゼン</t>
    </rPh>
    <rPh sb="3" eb="5">
      <t>トウロク</t>
    </rPh>
    <phoneticPr fontId="8"/>
  </si>
  <si>
    <t>取引先マスタ一覧</t>
  </si>
  <si>
    <t>№</t>
  </si>
  <si>
    <t>行番を表示</t>
    <phoneticPr fontId="8"/>
  </si>
  <si>
    <t>N</t>
    <phoneticPr fontId="8"/>
  </si>
  <si>
    <t>ステータス</t>
  </si>
  <si>
    <t>ステータスを表示</t>
  </si>
  <si>
    <t>取引先を表示</t>
  </si>
  <si>
    <t>取引先名を表示</t>
  </si>
  <si>
    <t>取引先別名１</t>
  </si>
  <si>
    <t>取引先別名１を表示</t>
  </si>
  <si>
    <t>営業担当</t>
  </si>
  <si>
    <t>営業担当を表示</t>
  </si>
  <si>
    <t>営業担当名を表示</t>
  </si>
  <si>
    <t>業務担当</t>
  </si>
  <si>
    <t>業務担当を表示</t>
  </si>
  <si>
    <t>業務担当名を表示</t>
  </si>
  <si>
    <t>法人番号を表示</t>
  </si>
  <si>
    <t>標準企業コードを表示</t>
  </si>
  <si>
    <t>住所１</t>
    <phoneticPr fontId="8"/>
  </si>
  <si>
    <t>住所１を表示</t>
  </si>
  <si>
    <t>住所２</t>
  </si>
  <si>
    <t>住所２を表示</t>
  </si>
  <si>
    <t>住所３</t>
  </si>
  <si>
    <t>住所３を表示</t>
  </si>
  <si>
    <t>住所４</t>
  </si>
  <si>
    <t>住所４を表示</t>
  </si>
  <si>
    <t>得意先</t>
  </si>
  <si>
    <t>得意先FLGを表示</t>
    <phoneticPr fontId="8"/>
  </si>
  <si>
    <t>売掛先</t>
  </si>
  <si>
    <t>売掛先FLGを表示</t>
    <phoneticPr fontId="8"/>
  </si>
  <si>
    <t>請求先</t>
  </si>
  <si>
    <t>請求先FLGを表示</t>
    <phoneticPr fontId="8"/>
  </si>
  <si>
    <t>入金先</t>
  </si>
  <si>
    <t>入金先FLGを表示</t>
    <phoneticPr fontId="8"/>
  </si>
  <si>
    <t>納品先</t>
  </si>
  <si>
    <t>納品先FLGを表示</t>
    <phoneticPr fontId="8"/>
  </si>
  <si>
    <t>与信管理先FLGを表示</t>
    <phoneticPr fontId="8"/>
  </si>
  <si>
    <t>発注先</t>
  </si>
  <si>
    <t>発注先FLGを表示</t>
    <phoneticPr fontId="8"/>
  </si>
  <si>
    <t>買掛先</t>
  </si>
  <si>
    <t>買掛先FLGを表示</t>
    <phoneticPr fontId="8"/>
  </si>
  <si>
    <t>支払予定管理先</t>
  </si>
  <si>
    <t>支払予定管理先FLGを表示</t>
    <phoneticPr fontId="8"/>
  </si>
  <si>
    <t>支払先</t>
  </si>
  <si>
    <t>支払先FLGを表示</t>
    <phoneticPr fontId="8"/>
  </si>
  <si>
    <t>メーカFLGを表示</t>
    <phoneticPr fontId="8"/>
  </si>
  <si>
    <t>登録日</t>
  </si>
  <si>
    <t>登録日を表示</t>
  </si>
  <si>
    <t>登録担当</t>
    <phoneticPr fontId="8"/>
  </si>
  <si>
    <t>登録担当を表示</t>
    <phoneticPr fontId="8"/>
  </si>
  <si>
    <t>指摘ＣＰ　2022/10/18 玉置　項目の確認
「画面イメージ」、「ファイル入出力仕様」
のシートからして、
登録者の社員コードと社員名の様ですので、　
登録担当、登録担当者名
とした方が明確と考えます。　</t>
  </si>
  <si>
    <t>指摘ＣＰ　2022/10/18 玉置　項目の確認
担当、担当者名が左記の用途としますと、
先方担当者名が別途に必要ではと考えます。</t>
  </si>
  <si>
    <t>登録担当者名</t>
    <phoneticPr fontId="8"/>
  </si>
  <si>
    <t>登録担当者名を表示</t>
    <phoneticPr fontId="8"/>
  </si>
  <si>
    <t>MDSOL 野村　2022/10/25 登録担当に変更しました</t>
    <rPh sb="6" eb="8">
      <t>ノムラ</t>
    </rPh>
    <rPh sb="20" eb="24">
      <t>トウロクタントウ</t>
    </rPh>
    <rPh sb="25" eb="27">
      <t>ヘンコウ</t>
    </rPh>
    <phoneticPr fontId="8"/>
  </si>
  <si>
    <t>MDSOL 野村　2022/10/25 取引先共通での先方担当は、フィールドとして持っていないため、得意先担当を表示するで良いでしょうか。</t>
    <rPh sb="6" eb="8">
      <t>ノムラ</t>
    </rPh>
    <rPh sb="20" eb="23">
      <t>トリヒキサキ</t>
    </rPh>
    <rPh sb="23" eb="25">
      <t>キョウツウ</t>
    </rPh>
    <rPh sb="27" eb="29">
      <t>センポウ</t>
    </rPh>
    <rPh sb="29" eb="31">
      <t>タントウ</t>
    </rPh>
    <rPh sb="41" eb="42">
      <t>モ</t>
    </rPh>
    <rPh sb="50" eb="53">
      <t>トクイサキ</t>
    </rPh>
    <rPh sb="53" eb="55">
      <t>タントウ</t>
    </rPh>
    <rPh sb="56" eb="58">
      <t>ヒョウジ</t>
    </rPh>
    <rPh sb="61" eb="62">
      <t>ヨ</t>
    </rPh>
    <phoneticPr fontId="8"/>
  </si>
  <si>
    <t>フッター</t>
    <phoneticPr fontId="8"/>
  </si>
  <si>
    <t>例:得意先・発注先としている場合、各々での設定が可能です。</t>
    <rPh sb="0" eb="1">
      <t>レイ</t>
    </rPh>
    <rPh sb="2" eb="5">
      <t>トクイサキ</t>
    </rPh>
    <rPh sb="6" eb="9">
      <t>ハッチュウサキ</t>
    </rPh>
    <rPh sb="14" eb="16">
      <t>バアイ</t>
    </rPh>
    <rPh sb="17" eb="19">
      <t>オノオノ</t>
    </rPh>
    <rPh sb="21" eb="23">
      <t>セッテイ</t>
    </rPh>
    <rPh sb="24" eb="26">
      <t>カノウ</t>
    </rPh>
    <phoneticPr fontId="8"/>
  </si>
  <si>
    <t>2022/10/27　玉置　問題なし</t>
  </si>
  <si>
    <t>クリア</t>
    <phoneticPr fontId="8"/>
  </si>
  <si>
    <t>画面を初期化する</t>
    <rPh sb="0" eb="2">
      <t>ガメン</t>
    </rPh>
    <rPh sb="3" eb="6">
      <t>ショキカ</t>
    </rPh>
    <phoneticPr fontId="8"/>
  </si>
  <si>
    <t>B</t>
    <phoneticPr fontId="8"/>
  </si>
  <si>
    <t>表示</t>
    <rPh sb="0" eb="2">
      <t>ヒョウジ</t>
    </rPh>
    <phoneticPr fontId="8"/>
  </si>
  <si>
    <t>抽出条件をもとに取引先マスタ一覧に結果を表示する</t>
    <rPh sb="0" eb="4">
      <t>チュウシュツジョウケン</t>
    </rPh>
    <rPh sb="17" eb="19">
      <t>ケッカ</t>
    </rPh>
    <rPh sb="20" eb="22">
      <t>ヒョウジ</t>
    </rPh>
    <phoneticPr fontId="8"/>
  </si>
  <si>
    <t>CSV出力</t>
    <phoneticPr fontId="8"/>
  </si>
  <si>
    <t>取引先マスタ一覧のデータをCSV出力する</t>
    <rPh sb="16" eb="18">
      <t>シュツリョク</t>
    </rPh>
    <phoneticPr fontId="8"/>
  </si>
  <si>
    <t>選択</t>
    <phoneticPr fontId="8"/>
  </si>
  <si>
    <t>検索モードで開いた場合に選択結果を遷移元画面に返す(Web取引先マスタ)</t>
    <rPh sb="0" eb="2">
      <t>ケンサク</t>
    </rPh>
    <rPh sb="6" eb="7">
      <t>ヒラ</t>
    </rPh>
    <rPh sb="9" eb="11">
      <t>バアイ</t>
    </rPh>
    <rPh sb="12" eb="14">
      <t>センタク</t>
    </rPh>
    <rPh sb="14" eb="16">
      <t>ケッカ</t>
    </rPh>
    <rPh sb="17" eb="22">
      <t>センイモトガメン</t>
    </rPh>
    <rPh sb="23" eb="24">
      <t>カエ</t>
    </rPh>
    <rPh sb="29" eb="31">
      <t>トリヒキ</t>
    </rPh>
    <rPh sb="31" eb="32">
      <t>サキ</t>
    </rPh>
    <phoneticPr fontId="8"/>
  </si>
  <si>
    <t>オペレーションＩＤ/名称：SloRecvIfImp_Upd01/取込</t>
    <rPh sb="10" eb="12">
      <t>メイショウ</t>
    </rPh>
    <rPh sb="32" eb="34">
      <t>トリコミ</t>
    </rPh>
    <phoneticPr fontId="8"/>
  </si>
  <si>
    <t>項目名</t>
    <rPh sb="0" eb="2">
      <t>コウモク</t>
    </rPh>
    <rPh sb="2" eb="3">
      <t>メイ</t>
    </rPh>
    <phoneticPr fontId="8"/>
  </si>
  <si>
    <t>説明</t>
    <rPh sb="0" eb="2">
      <t>セツメイ</t>
    </rPh>
    <phoneticPr fontId="8"/>
  </si>
  <si>
    <t>未設定時の振る舞い</t>
    <rPh sb="0" eb="3">
      <t>ミセッテイ</t>
    </rPh>
    <rPh sb="3" eb="4">
      <t>ジ</t>
    </rPh>
    <rPh sb="5" eb="6">
      <t>フ</t>
    </rPh>
    <rPh sb="7" eb="8">
      <t>マ</t>
    </rPh>
    <phoneticPr fontId="8"/>
  </si>
  <si>
    <t>No</t>
    <phoneticPr fontId="8"/>
  </si>
  <si>
    <t>入力</t>
    <rPh sb="0" eb="2">
      <t>ニュウリョク</t>
    </rPh>
    <phoneticPr fontId="8"/>
  </si>
  <si>
    <t>処理</t>
    <rPh sb="0" eb="2">
      <t>ショリ</t>
    </rPh>
    <phoneticPr fontId="8"/>
  </si>
  <si>
    <t>出力</t>
    <rPh sb="0" eb="2">
      <t>シュツリョク</t>
    </rPh>
    <phoneticPr fontId="8"/>
  </si>
  <si>
    <t>初期表示</t>
    <phoneticPr fontId="8"/>
  </si>
  <si>
    <t>1.処理概要</t>
    <rPh sb="2" eb="6">
      <t>ショリガイヨウ</t>
    </rPh>
    <phoneticPr fontId="8"/>
  </si>
  <si>
    <t>得意先～メーカ</t>
    <rPh sb="0" eb="3">
      <t>トクイサキ</t>
    </rPh>
    <phoneticPr fontId="8"/>
  </si>
  <si>
    <t>：</t>
    <phoneticPr fontId="8"/>
  </si>
  <si>
    <t>初期は全チェック</t>
  </si>
  <si>
    <t>登録日</t>
    <phoneticPr fontId="8"/>
  </si>
  <si>
    <t>登録日Fromに当日 - ログインマスタ.初期表示をセット、Toに当日をセットする</t>
    <phoneticPr fontId="8"/>
  </si>
  <si>
    <t>表示処理</t>
    <rPh sb="2" eb="4">
      <t>ショリ</t>
    </rPh>
    <phoneticPr fontId="8"/>
  </si>
  <si>
    <t>抽出条件をもとに取引先マスタ一覧に結果を表示する</t>
  </si>
  <si>
    <t>検索入出力仕様.NO1</t>
    <phoneticPr fontId="8"/>
  </si>
  <si>
    <t>フッターボタン表示・非表示切替</t>
    <rPh sb="7" eb="9">
      <t>ヒョウジ</t>
    </rPh>
    <rPh sb="10" eb="13">
      <t>ヒヒョウジ</t>
    </rPh>
    <rPh sb="13" eb="15">
      <t>キリカエ</t>
    </rPh>
    <phoneticPr fontId="8"/>
  </si>
  <si>
    <t>メニューから呼び出された場合(照会画面モード)</t>
    <rPh sb="6" eb="7">
      <t>ヨ</t>
    </rPh>
    <rPh sb="8" eb="9">
      <t>ダ</t>
    </rPh>
    <rPh sb="12" eb="14">
      <t>バアイ</t>
    </rPh>
    <rPh sb="15" eb="17">
      <t>ショウカイ</t>
    </rPh>
    <rPh sb="17" eb="19">
      <t>ガメン</t>
    </rPh>
    <phoneticPr fontId="8"/>
  </si>
  <si>
    <t>選択ボタンを非表示とする</t>
    <rPh sb="6" eb="9">
      <t>ヒヒョウジ</t>
    </rPh>
    <phoneticPr fontId="8"/>
  </si>
  <si>
    <t>検索画面として呼び出された場合(検索画面モード)</t>
    <rPh sb="7" eb="8">
      <t>ヨ</t>
    </rPh>
    <rPh sb="9" eb="10">
      <t>ダ</t>
    </rPh>
    <rPh sb="13" eb="15">
      <t>バアイ</t>
    </rPh>
    <rPh sb="16" eb="18">
      <t>ケンサク</t>
    </rPh>
    <phoneticPr fontId="8"/>
  </si>
  <si>
    <t>選択ボタンを表示とする</t>
    <rPh sb="6" eb="8">
      <t>ヒョウジ</t>
    </rPh>
    <phoneticPr fontId="8"/>
  </si>
  <si>
    <t>例)検索画面モード:Web取引先マスタから検索画面として呼び出され、選択行を返す場合</t>
    <rPh sb="0" eb="1">
      <t>レイ</t>
    </rPh>
    <rPh sb="13" eb="16">
      <t>トリヒキサキ</t>
    </rPh>
    <rPh sb="21" eb="25">
      <t>ケンサクガメン</t>
    </rPh>
    <rPh sb="28" eb="29">
      <t>ヨ</t>
    </rPh>
    <rPh sb="30" eb="31">
      <t>ダ</t>
    </rPh>
    <rPh sb="34" eb="37">
      <t>センタクギョウ</t>
    </rPh>
    <rPh sb="38" eb="39">
      <t>カエ</t>
    </rPh>
    <rPh sb="40" eb="42">
      <t>バアイ</t>
    </rPh>
    <phoneticPr fontId="8"/>
  </si>
  <si>
    <t>2</t>
    <phoneticPr fontId="8"/>
  </si>
  <si>
    <t>画面操作</t>
    <rPh sb="0" eb="2">
      <t>ガメン</t>
    </rPh>
    <rPh sb="2" eb="4">
      <t>ソウサ</t>
    </rPh>
    <phoneticPr fontId="8"/>
  </si>
  <si>
    <t>1.処理概要</t>
    <phoneticPr fontId="8"/>
  </si>
  <si>
    <t>ボタン処理</t>
    <rPh sb="3" eb="5">
      <t>ショリ</t>
    </rPh>
    <phoneticPr fontId="8"/>
  </si>
  <si>
    <t>クリアボタン押下</t>
    <rPh sb="6" eb="8">
      <t>オウカ</t>
    </rPh>
    <phoneticPr fontId="8"/>
  </si>
  <si>
    <t>：</t>
  </si>
  <si>
    <t>画面を初期化する(起動時の状態とする)</t>
    <rPh sb="0" eb="2">
      <t>ガメン</t>
    </rPh>
    <rPh sb="3" eb="6">
      <t>ショキカ</t>
    </rPh>
    <rPh sb="9" eb="12">
      <t>キドウジ</t>
    </rPh>
    <rPh sb="13" eb="15">
      <t>ジョウタイ</t>
    </rPh>
    <phoneticPr fontId="8"/>
  </si>
  <si>
    <t>表示ボタン押下</t>
    <rPh sb="0" eb="2">
      <t>ヒョウジ</t>
    </rPh>
    <rPh sb="5" eb="7">
      <t>オウカ</t>
    </rPh>
    <phoneticPr fontId="8"/>
  </si>
  <si>
    <t>チェック処理にてエラーとなった場合、後続処理をキャンセルする</t>
    <rPh sb="4" eb="6">
      <t>ショリ</t>
    </rPh>
    <rPh sb="15" eb="17">
      <t>バアイ</t>
    </rPh>
    <rPh sb="18" eb="22">
      <t>コウゾクショリ</t>
    </rPh>
    <phoneticPr fontId="8"/>
  </si>
  <si>
    <t>(チェック処理)</t>
    <phoneticPr fontId="8"/>
  </si>
  <si>
    <t>FROM～TOの整合性チェック</t>
    <rPh sb="8" eb="11">
      <t>セイゴウセイ</t>
    </rPh>
    <phoneticPr fontId="8"/>
  </si>
  <si>
    <t>…</t>
    <phoneticPr fontId="8"/>
  </si>
  <si>
    <t>エラーメッセージ：FROM≦TOの関係で指定してください。</t>
    <rPh sb="17" eb="19">
      <t>カンケイ</t>
    </rPh>
    <rPh sb="20" eb="22">
      <t>シテイ</t>
    </rPh>
    <phoneticPr fontId="8"/>
  </si>
  <si>
    <t>メッセージID.001</t>
    <phoneticPr fontId="8"/>
  </si>
  <si>
    <t>チェックボックスチェック有無</t>
    <rPh sb="12" eb="14">
      <t>ウム</t>
    </rPh>
    <phoneticPr fontId="8"/>
  </si>
  <si>
    <t>エラーメッセージ：いずれかを選択してください。</t>
    <rPh sb="14" eb="16">
      <t>センタク</t>
    </rPh>
    <phoneticPr fontId="8"/>
  </si>
  <si>
    <t>メッセージID.002</t>
    <phoneticPr fontId="8"/>
  </si>
  <si>
    <t>データ取得できなかった場合、下記メッセージを表示</t>
    <rPh sb="3" eb="5">
      <t>シュトク</t>
    </rPh>
    <rPh sb="11" eb="13">
      <t>バアイ</t>
    </rPh>
    <rPh sb="14" eb="16">
      <t>カキ</t>
    </rPh>
    <rPh sb="22" eb="24">
      <t>ヒョウジ</t>
    </rPh>
    <phoneticPr fontId="8"/>
  </si>
  <si>
    <t>エラーメッセージ：検索結果がありません。</t>
    <rPh sb="9" eb="13">
      <t>ケンサクケッカ</t>
    </rPh>
    <phoneticPr fontId="8"/>
  </si>
  <si>
    <t>メッセージID.003</t>
    <phoneticPr fontId="8"/>
  </si>
  <si>
    <t>ファイル入出力仕様.NO1</t>
    <phoneticPr fontId="8"/>
  </si>
  <si>
    <t>※1 CSV出力定義とファイル名は、【MSBBPACOM】_共通設計書_アドオン(共通ロジック)にて定義</t>
    <rPh sb="6" eb="10">
      <t>シュツリョクテイギ</t>
    </rPh>
    <rPh sb="15" eb="16">
      <t>メイ</t>
    </rPh>
    <phoneticPr fontId="8"/>
  </si>
  <si>
    <t>※2 画面に表示されたデータがCSVとして出力される</t>
    <rPh sb="3" eb="5">
      <t>ガメン</t>
    </rPh>
    <rPh sb="6" eb="8">
      <t>ヒョウジ</t>
    </rPh>
    <rPh sb="21" eb="23">
      <t>シュツリョク</t>
    </rPh>
    <phoneticPr fontId="8"/>
  </si>
  <si>
    <t>選択</t>
    <rPh sb="0" eb="2">
      <t>センタク</t>
    </rPh>
    <phoneticPr fontId="8"/>
  </si>
  <si>
    <t>検索モードで開いた場合に選択結果(1行)を遷移元画面に返す</t>
    <rPh sb="0" eb="2">
      <t>ケンサク</t>
    </rPh>
    <rPh sb="6" eb="7">
      <t>ヒラ</t>
    </rPh>
    <rPh sb="9" eb="11">
      <t>バアイ</t>
    </rPh>
    <rPh sb="12" eb="14">
      <t>センタク</t>
    </rPh>
    <rPh sb="14" eb="16">
      <t>ケッカ</t>
    </rPh>
    <rPh sb="18" eb="19">
      <t>ギョウ</t>
    </rPh>
    <rPh sb="21" eb="26">
      <t>センイモトガメン</t>
    </rPh>
    <rPh sb="27" eb="28">
      <t>カエ</t>
    </rPh>
    <phoneticPr fontId="8"/>
  </si>
  <si>
    <t>一覧にデータが無いもしくは対象行が選択されてない場合、下記メッセージを表示</t>
    <rPh sb="0" eb="2">
      <t>イチラン</t>
    </rPh>
    <rPh sb="7" eb="8">
      <t>ナ</t>
    </rPh>
    <rPh sb="13" eb="16">
      <t>タイショウギョウ</t>
    </rPh>
    <rPh sb="17" eb="19">
      <t>センタク</t>
    </rPh>
    <rPh sb="24" eb="26">
      <t>バアイ</t>
    </rPh>
    <phoneticPr fontId="8"/>
  </si>
  <si>
    <t>エラーメッセージ：選択行がありません。</t>
    <rPh sb="9" eb="12">
      <t>センタクギョウ</t>
    </rPh>
    <phoneticPr fontId="8"/>
  </si>
  <si>
    <t>メッセージID.004</t>
    <phoneticPr fontId="8"/>
  </si>
  <si>
    <t>※1 選択された取引先マスタの1レコードを呼出元に返す</t>
    <rPh sb="3" eb="5">
      <t>センタク</t>
    </rPh>
    <rPh sb="8" eb="10">
      <t>トリヒキ</t>
    </rPh>
    <rPh sb="10" eb="11">
      <t>サキ</t>
    </rPh>
    <rPh sb="21" eb="22">
      <t>ヨ</t>
    </rPh>
    <rPh sb="22" eb="23">
      <t>ダ</t>
    </rPh>
    <rPh sb="23" eb="24">
      <t>モト</t>
    </rPh>
    <rPh sb="25" eb="26">
      <t>カエ</t>
    </rPh>
    <phoneticPr fontId="8"/>
  </si>
  <si>
    <t>※2 複数選択は許可しない</t>
    <rPh sb="3" eb="5">
      <t>フクスウ</t>
    </rPh>
    <rPh sb="5" eb="7">
      <t>センタク</t>
    </rPh>
    <rPh sb="8" eb="10">
      <t>キョカ</t>
    </rPh>
    <phoneticPr fontId="8"/>
  </si>
  <si>
    <t>検索処理</t>
    <rPh sb="0" eb="2">
      <t>ケンサク</t>
    </rPh>
    <rPh sb="2" eb="4">
      <t>ショリ</t>
    </rPh>
    <phoneticPr fontId="8"/>
  </si>
  <si>
    <t>備考</t>
    <rPh sb="0" eb="2">
      <t>ビコウ</t>
    </rPh>
    <phoneticPr fontId="8"/>
  </si>
  <si>
    <t>表示ボタンクリック時処理</t>
    <rPh sb="0" eb="2">
      <t>ヒョウジ</t>
    </rPh>
    <rPh sb="9" eb="10">
      <t>ジ</t>
    </rPh>
    <rPh sb="10" eb="12">
      <t>ショリ</t>
    </rPh>
    <phoneticPr fontId="8"/>
  </si>
  <si>
    <t>処理分類</t>
    <rPh sb="0" eb="2">
      <t>ショリ</t>
    </rPh>
    <rPh sb="2" eb="4">
      <t>ブンルイ</t>
    </rPh>
    <phoneticPr fontId="8"/>
  </si>
  <si>
    <t>検索</t>
    <rPh sb="0" eb="2">
      <t>ケンサク</t>
    </rPh>
    <phoneticPr fontId="8"/>
  </si>
  <si>
    <t>ソート順</t>
    <rPh sb="3" eb="4">
      <t>ジュン</t>
    </rPh>
    <phoneticPr fontId="8"/>
  </si>
  <si>
    <t>取引先コード</t>
    <phoneticPr fontId="8"/>
  </si>
  <si>
    <t>転送先</t>
    <rPh sb="0" eb="2">
      <t>テンソウ</t>
    </rPh>
    <rPh sb="2" eb="3">
      <t>サキ</t>
    </rPh>
    <phoneticPr fontId="8"/>
  </si>
  <si>
    <t>転送元</t>
    <rPh sb="0" eb="2">
      <t>テンソウ</t>
    </rPh>
    <rPh sb="2" eb="3">
      <t>モト</t>
    </rPh>
    <phoneticPr fontId="8"/>
  </si>
  <si>
    <t>種</t>
    <rPh sb="0" eb="1">
      <t>タネ</t>
    </rPh>
    <phoneticPr fontId="8"/>
  </si>
  <si>
    <t>オブジェクト</t>
    <phoneticPr fontId="8"/>
  </si>
  <si>
    <t>画</t>
    <rPh sb="0" eb="1">
      <t>ガ</t>
    </rPh>
    <phoneticPr fontId="8"/>
  </si>
  <si>
    <t>行番</t>
    <rPh sb="0" eb="2">
      <t>ギョウバン</t>
    </rPh>
    <phoneticPr fontId="8"/>
  </si>
  <si>
    <t>画</t>
    <phoneticPr fontId="8"/>
  </si>
  <si>
    <t>取引先マスタ</t>
    <phoneticPr fontId="8"/>
  </si>
  <si>
    <t>営業担当</t>
    <rPh sb="0" eb="2">
      <t>エイギョウ</t>
    </rPh>
    <phoneticPr fontId="8"/>
  </si>
  <si>
    <t>得意先担当マスタ</t>
    <phoneticPr fontId="8"/>
  </si>
  <si>
    <t>担当者コード</t>
    <phoneticPr fontId="8"/>
  </si>
  <si>
    <t>現時点での営業担当：得意先担当マスタを参照</t>
    <phoneticPr fontId="8"/>
  </si>
  <si>
    <t>営業担当者名</t>
    <phoneticPr fontId="8"/>
  </si>
  <si>
    <t>担当者</t>
    <phoneticPr fontId="8"/>
  </si>
  <si>
    <t>業務担当者名</t>
    <phoneticPr fontId="8"/>
  </si>
  <si>
    <t>担当者名</t>
  </si>
  <si>
    <t>住所１</t>
  </si>
  <si>
    <t>得意先有効ＦＬＧ</t>
  </si>
  <si>
    <t>売掛先有効ＦＬＧ</t>
  </si>
  <si>
    <t>請求先有効ＦＬＧ</t>
  </si>
  <si>
    <t>入金先有効ＦＬＧ</t>
  </si>
  <si>
    <t>納品先有効ＦＬＧ</t>
  </si>
  <si>
    <t>与信管理先</t>
    <phoneticPr fontId="8"/>
  </si>
  <si>
    <t>発注先有効ＦＬＧ</t>
  </si>
  <si>
    <t>買掛先有効ＦＬＧ</t>
  </si>
  <si>
    <t>支払予定管理先有効ＦＬＧ</t>
  </si>
  <si>
    <t>支払先有効ＦＬＧ</t>
  </si>
  <si>
    <t>登録担当</t>
    <rPh sb="0" eb="2">
      <t>トウロク</t>
    </rPh>
    <phoneticPr fontId="8"/>
  </si>
  <si>
    <t>登録担当者</t>
    <rPh sb="0" eb="5">
      <t>トウロクタントウシャ</t>
    </rPh>
    <phoneticPr fontId="8"/>
  </si>
  <si>
    <t>ロジック名称</t>
    <rPh sb="4" eb="6">
      <t>メイショウ</t>
    </rPh>
    <phoneticPr fontId="8"/>
  </si>
  <si>
    <t>更新</t>
    <rPh sb="0" eb="2">
      <t>コウシン</t>
    </rPh>
    <phoneticPr fontId="8"/>
  </si>
  <si>
    <t>ファイル出力</t>
    <phoneticPr fontId="8"/>
  </si>
  <si>
    <t>ファイル出力</t>
    <rPh sb="4" eb="6">
      <t>シュツリョク</t>
    </rPh>
    <phoneticPr fontId="8"/>
  </si>
  <si>
    <t>フ</t>
    <phoneticPr fontId="8"/>
  </si>
  <si>
    <t>営業担当者名</t>
  </si>
  <si>
    <t>業務担当者名</t>
  </si>
  <si>
    <t>登録担当者名</t>
  </si>
  <si>
    <t>画面遷移フロー図</t>
    <rPh sb="0" eb="4">
      <t>ガメンセンイ</t>
    </rPh>
    <rPh sb="7" eb="8">
      <t>ズ</t>
    </rPh>
    <phoneticPr fontId="8"/>
  </si>
  <si>
    <t>ＩＤ</t>
    <phoneticPr fontId="8"/>
  </si>
  <si>
    <t>S01</t>
    <phoneticPr fontId="8"/>
  </si>
  <si>
    <t>Web取引先マスタ一覧照会から他画面の画面遷移</t>
    <rPh sb="15" eb="16">
      <t>ホカ</t>
    </rPh>
    <rPh sb="16" eb="18">
      <t>ガメン</t>
    </rPh>
    <rPh sb="19" eb="21">
      <t>ガメン</t>
    </rPh>
    <rPh sb="21" eb="23">
      <t>センイ</t>
    </rPh>
    <phoneticPr fontId="8"/>
  </si>
  <si>
    <t>NO1</t>
    <phoneticPr fontId="8"/>
  </si>
  <si>
    <t>Web汎用検索(共通検索)</t>
    <phoneticPr fontId="8"/>
  </si>
  <si>
    <t>Web取引先マスタ一覧照会</t>
    <phoneticPr fontId="8"/>
  </si>
  <si>
    <t>※Web取引先マスタ側で記述</t>
    <rPh sb="10" eb="11">
      <t>ガワ</t>
    </rPh>
    <rPh sb="12" eb="14">
      <t>キジュツ</t>
    </rPh>
    <phoneticPr fontId="8"/>
  </si>
  <si>
    <t>Web取引先マスタ(検索)</t>
    <rPh sb="10" eb="12">
      <t>ケンサク</t>
    </rPh>
    <phoneticPr fontId="8"/>
  </si>
  <si>
    <t>↓アドオン画面のため、基本全て[新]</t>
    <rPh sb="5" eb="7">
      <t>ガメン</t>
    </rPh>
    <rPh sb="11" eb="13">
      <t>キホン</t>
    </rPh>
    <rPh sb="13" eb="14">
      <t>スベ</t>
    </rPh>
    <rPh sb="16" eb="17">
      <t>シン</t>
    </rPh>
    <phoneticPr fontId="8"/>
  </si>
  <si>
    <t>新/変</t>
    <rPh sb="0" eb="1">
      <t>シン</t>
    </rPh>
    <rPh sb="2" eb="3">
      <t>ヘン</t>
    </rPh>
    <phoneticPr fontId="8"/>
  </si>
  <si>
    <t>種別</t>
    <rPh sb="0" eb="2">
      <t>シュベツ</t>
    </rPh>
    <phoneticPr fontId="8"/>
  </si>
  <si>
    <t>メッセージ内容</t>
    <rPh sb="5" eb="7">
      <t>ナイヨウ</t>
    </rPh>
    <phoneticPr fontId="8"/>
  </si>
  <si>
    <t>備考（パラメータ等）</t>
    <rPh sb="0" eb="2">
      <t>ビコウ</t>
    </rPh>
    <rPh sb="8" eb="9">
      <t>トウ</t>
    </rPh>
    <phoneticPr fontId="8"/>
  </si>
  <si>
    <t>メッセージID</t>
    <phoneticPr fontId="8"/>
  </si>
  <si>
    <t>新</t>
    <rPh sb="0" eb="1">
      <t>シン</t>
    </rPh>
    <phoneticPr fontId="8"/>
  </si>
  <si>
    <t>W</t>
    <phoneticPr fontId="8"/>
  </si>
  <si>
    <t>取引先属性(得意先、売掛先等)</t>
    <rPh sb="0" eb="3">
      <t>トリヒキサキ</t>
    </rPh>
    <rPh sb="3" eb="5">
      <t>ゾクセイ</t>
    </rPh>
    <rPh sb="6" eb="9">
      <t>トクイサキ</t>
    </rPh>
    <rPh sb="10" eb="13">
      <t>ウリカケサキ</t>
    </rPh>
    <rPh sb="13" eb="14">
      <t>ナド</t>
    </rPh>
    <phoneticPr fontId="8"/>
  </si>
  <si>
    <t>メッセージID.002</t>
  </si>
  <si>
    <t>「検索結果がありません。」</t>
  </si>
  <si>
    <t>メッセージID.003</t>
  </si>
  <si>
    <t>補足説明</t>
    <rPh sb="0" eb="2">
      <t>ホソク</t>
    </rPh>
    <rPh sb="2" eb="4">
      <t>セツメイ</t>
    </rPh>
    <phoneticPr fontId="8"/>
  </si>
  <si>
    <t>画面イメージ、項目説明、検索入出力仕様、ファイル入出力仕様</t>
    <rPh sb="7" eb="9">
      <t>コウモク</t>
    </rPh>
    <rPh sb="9" eb="11">
      <t>セツメイ</t>
    </rPh>
    <rPh sb="12" eb="14">
      <t>ケンサク</t>
    </rPh>
    <rPh sb="14" eb="17">
      <t>ニュウシュツリョク</t>
    </rPh>
    <rPh sb="17" eb="19">
      <t>シヨウ</t>
    </rPh>
    <phoneticPr fontId="8"/>
  </si>
  <si>
    <t>WG</t>
    <phoneticPr fontId="8"/>
  </si>
  <si>
    <t>WG名</t>
    <phoneticPr fontId="8"/>
  </si>
  <si>
    <t>12</t>
  </si>
  <si>
    <t>12</t>
    <phoneticPr fontId="8"/>
  </si>
  <si>
    <t>営業担当WG</t>
  </si>
  <si>
    <t>営業担当WG</t>
    <rPh sb="0" eb="2">
      <t>エイギョウ</t>
    </rPh>
    <rPh sb="2" eb="4">
      <t>タントウ</t>
    </rPh>
    <phoneticPr fontId="8"/>
  </si>
  <si>
    <t>業務担当WG</t>
  </si>
  <si>
    <t>業務担当WG</t>
    <rPh sb="0" eb="2">
      <t>ギョウム</t>
    </rPh>
    <rPh sb="2" eb="4">
      <t>タントウ</t>
    </rPh>
    <phoneticPr fontId="8"/>
  </si>
  <si>
    <t>営業担当WG</t>
    <phoneticPr fontId="8"/>
  </si>
  <si>
    <t>営業担当WG名</t>
  </si>
  <si>
    <t>営業担当WG名</t>
    <rPh sb="6" eb="7">
      <t>メイ</t>
    </rPh>
    <phoneticPr fontId="8"/>
  </si>
  <si>
    <t>業務担当WG</t>
    <phoneticPr fontId="8"/>
  </si>
  <si>
    <t>業務担当WG名</t>
  </si>
  <si>
    <t>業務担当WG名</t>
    <rPh sb="6" eb="7">
      <t>メイ</t>
    </rPh>
    <phoneticPr fontId="8"/>
  </si>
  <si>
    <t>業務担当選択後に業務担当WG名がセットされる</t>
    <rPh sb="4" eb="7">
      <t>センタクゴ</t>
    </rPh>
    <phoneticPr fontId="8"/>
  </si>
  <si>
    <t>営業担当選択後に営業担当WG名がセットされる</t>
    <phoneticPr fontId="8"/>
  </si>
  <si>
    <t>Rev2.0 営業担当WG 追加</t>
    <rPh sb="14" eb="16">
      <t>ツイカ</t>
    </rPh>
    <phoneticPr fontId="8"/>
  </si>
  <si>
    <t>Rev2.0 業務担当WG 追加</t>
    <phoneticPr fontId="8"/>
  </si>
  <si>
    <t>Rev2.0 営業/業務担当WG 追加</t>
    <phoneticPr fontId="8"/>
  </si>
  <si>
    <t>営業担当WGを表示</t>
  </si>
  <si>
    <t>営業担当WG名を表示</t>
  </si>
  <si>
    <t>業務担当WGを表示</t>
  </si>
  <si>
    <t>業務担当WG名を表示</t>
  </si>
  <si>
    <t>T</t>
  </si>
  <si>
    <t>WGマスタ</t>
    <phoneticPr fontId="8"/>
  </si>
  <si>
    <t>営業担当WG名</t>
    <phoneticPr fontId="8"/>
  </si>
  <si>
    <t>業務担当WG名</t>
    <phoneticPr fontId="8"/>
  </si>
  <si>
    <t>担当者権限/部門</t>
    <rPh sb="0" eb="3">
      <t>タントウシャ</t>
    </rPh>
    <rPh sb="3" eb="5">
      <t>ケンゲン</t>
    </rPh>
    <rPh sb="6" eb="8">
      <t>ブモン</t>
    </rPh>
    <phoneticPr fontId="8"/>
  </si>
  <si>
    <t>担当者権限/部門</t>
    <phoneticPr fontId="8"/>
  </si>
  <si>
    <t>現時点での営業担当の主部門のWG</t>
    <rPh sb="10" eb="13">
      <t>シュブモン</t>
    </rPh>
    <phoneticPr fontId="8"/>
  </si>
  <si>
    <t>現時点での業務担当の主部門のWG</t>
    <rPh sb="5" eb="7">
      <t>ギョウム</t>
    </rPh>
    <phoneticPr fontId="8"/>
  </si>
  <si>
    <t>MDSOL
奥本</t>
    <rPh sb="6" eb="8">
      <t>オクモト</t>
    </rPh>
    <phoneticPr fontId="8"/>
  </si>
  <si>
    <t>仕様連絡書：RCS-1091に伴う下記改定を実施
条件と一覧項目にWGを追加(営業担当/業務担当)、営業担当と営業WGの左右を入れ替え（業務も同様）、拠点＞部門＞担当者</t>
    <rPh sb="39" eb="43">
      <t>エイギョウタントウ</t>
    </rPh>
    <rPh sb="44" eb="48">
      <t>ギョウムタントウ</t>
    </rPh>
    <phoneticPr fontId="111"/>
  </si>
  <si>
    <t>MDSOL
野村</t>
    <rPh sb="6" eb="8">
      <t>ノムラ</t>
    </rPh>
    <phoneticPr fontId="111"/>
  </si>
  <si>
    <t>詳細設計の追加</t>
    <phoneticPr fontId="112" type="noConversion"/>
  </si>
  <si>
    <t>処理詳細
画面遷移</t>
    <phoneticPr fontId="112" type="noConversion"/>
  </si>
  <si>
    <t>TBK 華</t>
    <phoneticPr fontId="112" type="noConversion"/>
  </si>
  <si>
    <t>メッセージIDの採番</t>
    <phoneticPr fontId="112" type="noConversion"/>
  </si>
  <si>
    <t>メッセージ一覧</t>
    <phoneticPr fontId="112" type="noConversion"/>
  </si>
  <si>
    <t>ID</t>
  </si>
  <si>
    <t>処理名</t>
  </si>
  <si>
    <t>S01</t>
  </si>
  <si>
    <t>メニューから本画面遷移</t>
    <phoneticPr fontId="112" type="noConversion"/>
  </si>
  <si>
    <t>遷移処理</t>
  </si>
  <si>
    <t>遷移元画面ＩＤ</t>
  </si>
  <si>
    <t>なし</t>
  </si>
  <si>
    <t>遷移元画面名</t>
  </si>
  <si>
    <t>メニュー</t>
    <phoneticPr fontId="112" type="noConversion"/>
  </si>
  <si>
    <t>遷移先画面ＩＤ</t>
  </si>
  <si>
    <t>遷移先画面名</t>
  </si>
  <si>
    <t>遷移条件</t>
  </si>
  <si>
    <t>引継項目・種別</t>
  </si>
  <si>
    <t>遷移元画面項目</t>
  </si>
  <si>
    <t>遷移先画面項目</t>
  </si>
  <si>
    <t>遷移後のアクション</t>
  </si>
  <si>
    <t>検索</t>
  </si>
  <si>
    <t>備考</t>
  </si>
  <si>
    <t>No</t>
  </si>
  <si>
    <t>入力</t>
  </si>
  <si>
    <t>処理</t>
  </si>
  <si>
    <t>出力</t>
  </si>
  <si>
    <t>1</t>
  </si>
  <si>
    <t>初期表示</t>
  </si>
  <si>
    <t>1.1</t>
  </si>
  <si>
    <t>処理概要参照</t>
  </si>
  <si>
    <t>２</t>
  </si>
  <si>
    <t>画面操作</t>
  </si>
  <si>
    <t>2.1</t>
  </si>
  <si>
    <t>3.1</t>
  </si>
  <si>
    <t>コンボボックスの初期化</t>
  </si>
  <si>
    <t>営業担当者コンボボックスの初期化</t>
  </si>
  <si>
    <t>※</t>
  </si>
  <si>
    <t>営業担当者検索_SQLリソースの検索仕様</t>
  </si>
  <si>
    <t>【MSBBPACOM】_共通設計書_アドオン(Web共通ロジック)の「処理詳細(共通検索)」シート」を参照する。</t>
  </si>
  <si>
    <t>業務担当者コンボボックスの初期化</t>
  </si>
  <si>
    <t>業務担当者検索_SQLリソースの検索仕様</t>
  </si>
  <si>
    <t>取引先分類1～10コンボボックスの初期化</t>
  </si>
  <si>
    <t>取引先分類1～10検索_SQLリソースの検索仕様</t>
  </si>
  <si>
    <t>法人番号区分コンボボックスの初期化</t>
  </si>
  <si>
    <t>法人番号区分検索_SQLリソースの検索仕様</t>
  </si>
  <si>
    <t>地域コードコンボボックスの初期化</t>
  </si>
  <si>
    <t>地域コード検索_SQLリソースの検索仕様</t>
  </si>
  <si>
    <t>3.2</t>
  </si>
  <si>
    <t>表示の検索ボタン処理</t>
  </si>
  <si>
    <t>3.2.1</t>
  </si>
  <si>
    <t>入力チェック</t>
    <phoneticPr fontId="112" type="noConversion"/>
  </si>
  <si>
    <t>FROM～TOの整合性チェック：チェックエラーの場合　   メッセージを表示する</t>
    <phoneticPr fontId="112" type="noConversion"/>
  </si>
  <si>
    <t>メッセージNo.001</t>
    <phoneticPr fontId="112" type="noConversion"/>
  </si>
  <si>
    <t>チェックボックスチェック有無：チェックエラーの場合　   メッセージを表示する</t>
    <phoneticPr fontId="112" type="noConversion"/>
  </si>
  <si>
    <t>メッセージNo.002</t>
  </si>
  <si>
    <t>3.2.2</t>
  </si>
  <si>
    <t>抽出条件をもとにWeb取引先マスタ一覧照会に結果を表示する</t>
  </si>
  <si>
    <t>検索入出力仕様.No1</t>
  </si>
  <si>
    <t>検索結果が0件の場合、メッセージを表示する</t>
  </si>
  <si>
    <t>メッセージNo.003</t>
  </si>
  <si>
    <t>検索結果が0件の以外の場合、</t>
  </si>
  <si>
    <t>Web取引先マスタ一覧照会検索_SQLリソースの検索仕様</t>
  </si>
  <si>
    <t>【対象テーブル】</t>
  </si>
  <si>
    <t>・</t>
  </si>
  <si>
    <t>【取引先マスタ】</t>
  </si>
  <si>
    <t>【担当者】</t>
    <phoneticPr fontId="112" type="noConversion"/>
  </si>
  <si>
    <t>M2</t>
  </si>
  <si>
    <t>M3</t>
  </si>
  <si>
    <t>M4</t>
  </si>
  <si>
    <t>【得意先担当マスタ】</t>
    <phoneticPr fontId="112" type="noConversion"/>
  </si>
  <si>
    <t>MAM_CST_USR_ALL</t>
    <phoneticPr fontId="112" type="noConversion"/>
  </si>
  <si>
    <t>【結合条件】</t>
  </si>
  <si>
    <t>AND 取引先マスタ．業務担当</t>
    <phoneticPr fontId="112" type="noConversion"/>
  </si>
  <si>
    <t xml:space="preserve"> =    担当者(M2).担当者コード(+)</t>
    <phoneticPr fontId="112" type="noConversion"/>
  </si>
  <si>
    <t>AND 取引先マスタ．登録担当者</t>
    <phoneticPr fontId="112" type="noConversion"/>
  </si>
  <si>
    <t xml:space="preserve"> =    担当者(M3).担当者コード(+)</t>
    <phoneticPr fontId="112" type="noConversion"/>
  </si>
  <si>
    <t>AND 得意先担当マスタ.担当者コード</t>
    <phoneticPr fontId="112" type="noConversion"/>
  </si>
  <si>
    <t xml:space="preserve"> =    担当者(M4).担当者コード(+)</t>
    <phoneticPr fontId="112" type="noConversion"/>
  </si>
  <si>
    <t xml:space="preserve">AND 取引先マスタ．取引先コード       </t>
  </si>
  <si>
    <t xml:space="preserve"> =    得意先担当マスタ.得意先コード(+)</t>
    <phoneticPr fontId="112" type="noConversion"/>
  </si>
  <si>
    <t>[AND 取引先マスタ．登録日</t>
  </si>
  <si>
    <t>&gt;=</t>
  </si>
  <si>
    <t xml:space="preserve"> 画面．登録日(From)]</t>
  </si>
  <si>
    <t>&lt;=</t>
  </si>
  <si>
    <t xml:space="preserve"> 画面．登録日(To)]</t>
  </si>
  <si>
    <t>[AND 取引先マスタ．取引先コード</t>
  </si>
  <si>
    <t>LIKE</t>
  </si>
  <si>
    <t xml:space="preserve"> 画面．取引先コード]</t>
  </si>
  <si>
    <t>[AND 取引先マスタ．取引先名</t>
  </si>
  <si>
    <t xml:space="preserve"> 画面．取引先名]</t>
  </si>
  <si>
    <t>[AND 取引先マスタ．標準企業コード</t>
  </si>
  <si>
    <t xml:space="preserve"> 画面．標準企業コード]</t>
  </si>
  <si>
    <t>[AND 取引先マスタ．法人番号</t>
  </si>
  <si>
    <t xml:space="preserve"> 画面．法人番号]</t>
  </si>
  <si>
    <t>[AND 取引先マスタ．法人番号区分</t>
  </si>
  <si>
    <t>=</t>
  </si>
  <si>
    <t xml:space="preserve"> 画面．法人番号区分]</t>
  </si>
  <si>
    <t>[AND 取引先マスタ．郵便番号</t>
  </si>
  <si>
    <t xml:space="preserve"> 画面．郵便番号]</t>
  </si>
  <si>
    <t>[AND 取引先マスタ．住所</t>
  </si>
  <si>
    <t xml:space="preserve"> 画面．住所]</t>
  </si>
  <si>
    <t>[AND 取引先マスタ．ＴＥＬ</t>
  </si>
  <si>
    <t xml:space="preserve"> 画面．ＴＥＬ]</t>
  </si>
  <si>
    <t>[AND 取引先マスタ．ＦＡＸ</t>
  </si>
  <si>
    <t xml:space="preserve"> 画面．ＦＡＸ]</t>
  </si>
  <si>
    <t>[AND 取引先マスタ．地域コード</t>
  </si>
  <si>
    <t xml:space="preserve"> 画面．地域コード]</t>
  </si>
  <si>
    <t xml:space="preserve"> 画面．営業担当コード]</t>
  </si>
  <si>
    <t xml:space="preserve"> 画面．営業担当名]</t>
  </si>
  <si>
    <t xml:space="preserve"> 画面．業務担当コード]</t>
  </si>
  <si>
    <t xml:space="preserve"> 画面．業務担当名]</t>
  </si>
  <si>
    <t>[AND 取引先マスタ．取引先分類1コード</t>
  </si>
  <si>
    <t xml:space="preserve"> 画面．取引先分類1コード]</t>
  </si>
  <si>
    <t xml:space="preserve"> 画面．取引先分類1名]</t>
  </si>
  <si>
    <t>[AND 取引先マスタ．取引先分類2コード</t>
  </si>
  <si>
    <t xml:space="preserve"> 画面．取引先分類2コード]</t>
  </si>
  <si>
    <t>[AND 取引先マスタ．取引先分類2名</t>
  </si>
  <si>
    <t xml:space="preserve"> 画面．取引先分類2名]</t>
  </si>
  <si>
    <t>[AND 取引先マスタ．取引先分類3コード</t>
  </si>
  <si>
    <t xml:space="preserve"> 画面．取引先分類3コード]</t>
  </si>
  <si>
    <t>[AND 取引先マスタ．取引先分類3名</t>
  </si>
  <si>
    <t xml:space="preserve"> 画面．取引先分類3名]</t>
  </si>
  <si>
    <t>[AND 取引先マスタ．取引先分類4コード</t>
  </si>
  <si>
    <t xml:space="preserve"> 画面．取引先分類4コード]</t>
  </si>
  <si>
    <t>[AND 取引先マスタ．取引先分類4名</t>
  </si>
  <si>
    <t xml:space="preserve"> 画面．取引先分類4名]</t>
  </si>
  <si>
    <t>[AND 取引先マスタ．取引先分類5コード</t>
  </si>
  <si>
    <t xml:space="preserve"> 画面．取引先分類5コード]</t>
  </si>
  <si>
    <t>[AND 取引先マスタ．取引先分類5名</t>
  </si>
  <si>
    <t xml:space="preserve"> 画面．取引先分類5名]</t>
  </si>
  <si>
    <t>[AND 取引先マスタ．取引先分類6コード</t>
  </si>
  <si>
    <t xml:space="preserve"> 画面．取引先分類6コード]</t>
  </si>
  <si>
    <t>[AND 取引先マスタ．取引先分類6名</t>
  </si>
  <si>
    <t xml:space="preserve"> 画面．取引先分類6名]</t>
  </si>
  <si>
    <t>[AND 取引先マスタ．取引先分類7コード</t>
  </si>
  <si>
    <t xml:space="preserve"> 画面．取引先分類7コード]</t>
  </si>
  <si>
    <t>[AND 取引先マスタ．取引先分類7名</t>
  </si>
  <si>
    <t xml:space="preserve"> 画面．取引先分類7名]</t>
  </si>
  <si>
    <t>[AND 取引先マスタ．取引先分類8コード</t>
  </si>
  <si>
    <t xml:space="preserve"> 画面．取引先分類8コード]</t>
  </si>
  <si>
    <t>[AND 取引先マスタ．取引先分類8名</t>
  </si>
  <si>
    <t xml:space="preserve"> 画面．取引先分類8名]</t>
  </si>
  <si>
    <t>[AND 取引先マスタ．取引先分類9コード</t>
  </si>
  <si>
    <t xml:space="preserve"> 画面．取引先分類9コード]</t>
  </si>
  <si>
    <t>[AND 取引先マスタ．取引先分類9名</t>
  </si>
  <si>
    <t xml:space="preserve"> 画面．取引先分類9名]</t>
  </si>
  <si>
    <t>[AND 取引先マスタ．取引先分類10コード</t>
  </si>
  <si>
    <t xml:space="preserve"> 画面．取引先分類10コード]</t>
  </si>
  <si>
    <t>[AND 取引先マスタ．取引先分類10名</t>
  </si>
  <si>
    <t xml:space="preserve"> 画面．取引先分類10名]</t>
  </si>
  <si>
    <t>[AND 取引先マスタ．ステータス</t>
  </si>
  <si>
    <t xml:space="preserve"> 画面．事前登録コード]</t>
  </si>
  <si>
    <t>[AND 取引先マスタ．ステータス</t>
    <phoneticPr fontId="112" type="noConversion"/>
  </si>
  <si>
    <t xml:space="preserve"> 画面．本登録コード]</t>
  </si>
  <si>
    <t>AND (取引先マスタ．得意先FLG</t>
    <phoneticPr fontId="112" type="noConversion"/>
  </si>
  <si>
    <t xml:space="preserve"> 画面．得意先</t>
    <phoneticPr fontId="112" type="noConversion"/>
  </si>
  <si>
    <t>OR 取引先マスタ．売掛先FLG</t>
    <phoneticPr fontId="112" type="noConversion"/>
  </si>
  <si>
    <t xml:space="preserve"> 画面．売掛先</t>
    <phoneticPr fontId="112" type="noConversion"/>
  </si>
  <si>
    <t>OR 取引先マスタ．請求先FLG</t>
    <phoneticPr fontId="112" type="noConversion"/>
  </si>
  <si>
    <t xml:space="preserve"> 画面．請求先</t>
    <phoneticPr fontId="112" type="noConversion"/>
  </si>
  <si>
    <t>OR 取引先マスタ．入金先FLG</t>
    <phoneticPr fontId="112" type="noConversion"/>
  </si>
  <si>
    <t xml:space="preserve"> 画面．入金先</t>
    <phoneticPr fontId="112" type="noConversion"/>
  </si>
  <si>
    <t>OR 取引先マスタ．納品先FLG</t>
    <phoneticPr fontId="112" type="noConversion"/>
  </si>
  <si>
    <t xml:space="preserve"> 画面．納品先</t>
    <phoneticPr fontId="112" type="noConversion"/>
  </si>
  <si>
    <t>OR 取引先マスタ．発注先FLG</t>
    <phoneticPr fontId="112" type="noConversion"/>
  </si>
  <si>
    <t xml:space="preserve"> 画面．発注先</t>
    <phoneticPr fontId="112" type="noConversion"/>
  </si>
  <si>
    <t>OR 取引先マスタ．買掛先FLG</t>
    <phoneticPr fontId="112" type="noConversion"/>
  </si>
  <si>
    <t xml:space="preserve"> 画面．買掛先</t>
    <phoneticPr fontId="112" type="noConversion"/>
  </si>
  <si>
    <t>OR 取引先マスタ．支払予定管理先FLG</t>
    <phoneticPr fontId="112" type="noConversion"/>
  </si>
  <si>
    <t xml:space="preserve"> 画面．支払予定管理先</t>
    <phoneticPr fontId="112" type="noConversion"/>
  </si>
  <si>
    <t>OR 取引先マスタ．支払先FLG</t>
    <phoneticPr fontId="112" type="noConversion"/>
  </si>
  <si>
    <t xml:space="preserve"> 画面．支払先</t>
    <phoneticPr fontId="112" type="noConversion"/>
  </si>
  <si>
    <t>OR 取引先マスタ．与信管理先FLG</t>
    <phoneticPr fontId="112" type="noConversion"/>
  </si>
  <si>
    <t xml:space="preserve"> 画面．与信管理先</t>
    <phoneticPr fontId="112" type="noConversion"/>
  </si>
  <si>
    <t>OR 取引先マスタ．メーカFLG</t>
    <phoneticPr fontId="112" type="noConversion"/>
  </si>
  <si>
    <t xml:space="preserve"> 画面．メーカ)</t>
    <phoneticPr fontId="112" type="noConversion"/>
  </si>
  <si>
    <t>【ソート条件】</t>
  </si>
  <si>
    <t>取引先コード</t>
  </si>
  <si>
    <t>クリア</t>
  </si>
  <si>
    <t>画面初期状態を行う</t>
  </si>
  <si>
    <t>4.1</t>
  </si>
  <si>
    <t>初期表示に戻す</t>
  </si>
  <si>
    <t>処理概要に画面初期を参照すること。</t>
  </si>
  <si>
    <t>CSV出力</t>
  </si>
  <si>
    <t>CSV出力処理を行う。</t>
  </si>
  <si>
    <t>5.1</t>
  </si>
  <si>
    <t>発行☑が1行もチェックされていない場合、データが全部で出力された。</t>
  </si>
  <si>
    <t>5.2</t>
  </si>
  <si>
    <t>発行☑された行のラベル発行用のCSVファイルを出力する</t>
  </si>
  <si>
    <t>※設定情報のファイル名は、web.configファイルにて管理する</t>
  </si>
  <si>
    <t>【MSBBPACOM】_共通設計書_アドオン(Web共通ロジック)の「web.config」シート」を参照する</t>
  </si>
  <si>
    <t>①　CSVファイルの文字コード</t>
  </si>
  <si>
    <t>ファイル入出力仕様.NO1</t>
  </si>
  <si>
    <t>key   :　CsvFileEncoding</t>
  </si>
  <si>
    <t>value : 　utf-8</t>
  </si>
  <si>
    <t>②　CSV出力名を設定</t>
  </si>
  <si>
    <t>key   :</t>
  </si>
  <si>
    <t>CsvDefaultFileName_MSBBPA120　　　　　（CsvDefaultFileName_画面ID）</t>
  </si>
  <si>
    <t>value :   取引先マスタ一覧照会　　</t>
  </si>
  <si>
    <t>選択</t>
  </si>
  <si>
    <t>選択処理を行う。</t>
  </si>
  <si>
    <t>7.1</t>
  </si>
  <si>
    <t>検索モードで開いた場合に選択結果(1行)を遷移元画面に返す</t>
  </si>
  <si>
    <t>一覧にデータが無いもしくは対象行が選択されてない場合、下記メッセージを表示</t>
  </si>
  <si>
    <t>エラーメッセージ：選択行がありません。</t>
  </si>
  <si>
    <t>メッセージNo.004</t>
  </si>
  <si>
    <t>※1 選択された版型・木型マスタの1レコードを呼出元に返す</t>
  </si>
  <si>
    <t>※2 複数選択は許可しない</t>
  </si>
  <si>
    <t>E10030</t>
  </si>
  <si>
    <t>E10008</t>
  </si>
  <si>
    <t>E10009</t>
  </si>
  <si>
    <t>E10036</t>
    <phoneticPr fontId="8"/>
  </si>
  <si>
    <t>営業担当WGコンボボックスの初期化</t>
    <phoneticPr fontId="8"/>
  </si>
  <si>
    <t>業務担当WGコンボボックスの初期化</t>
    <phoneticPr fontId="8"/>
  </si>
  <si>
    <t>営業担当WG検索_SQLリソースの検索仕様</t>
    <phoneticPr fontId="8"/>
  </si>
  <si>
    <t>業務担当WG検索_SQLリソースの検索仕様</t>
    <phoneticPr fontId="8"/>
  </si>
  <si>
    <t>「FROM≦TOの関係で指定してください。項目名：{1} 」</t>
    <phoneticPr fontId="112" type="noConversion"/>
  </si>
  <si>
    <t>「いずれかを選択してください。項目名：{1} 」</t>
    <phoneticPr fontId="112" type="noConversion"/>
  </si>
  <si>
    <t>「選択行がありません。」</t>
  </si>
  <si>
    <t>【担当者権限マスタ】</t>
    <rPh sb="1" eb="4">
      <t>ﾀﾝﾄｳｼｬ</t>
    </rPh>
    <rPh sb="4" eb="6">
      <t>ｹﾝｹﾞﾝ</t>
    </rPh>
    <phoneticPr fontId="112" type="noConversion"/>
  </si>
  <si>
    <t>【部門マスタ】</t>
    <rPh sb="1" eb="3">
      <t>ﾌﾞﾓﾝ</t>
    </rPh>
    <phoneticPr fontId="112" type="noConversion"/>
  </si>
  <si>
    <t>【ワーキンググループ】</t>
    <phoneticPr fontId="112" type="noConversion"/>
  </si>
  <si>
    <t>得意先担当マスタ.適用開始日(+)</t>
    <phoneticPr fontId="8"/>
  </si>
  <si>
    <t>&gt;=</t>
    <phoneticPr fontId="8"/>
  </si>
  <si>
    <t>得意先担当マスタ.適用終了日(+)</t>
    <phoneticPr fontId="8"/>
  </si>
  <si>
    <t>AND 処理日付(現時点)</t>
  </si>
  <si>
    <t>AND 処理日付(現時点)</t>
    <rPh sb="4" eb="8">
      <t>ショリヒヅケ</t>
    </rPh>
    <rPh sb="9" eb="12">
      <t>ゲンジテン</t>
    </rPh>
    <phoneticPr fontId="8"/>
  </si>
  <si>
    <t>AND 処理日付(現時点)</t>
    <phoneticPr fontId="8"/>
  </si>
  <si>
    <t>MAM_USR_ACL_ALL</t>
  </si>
  <si>
    <t xml:space="preserve"> =    担当者権限マスタ(M2).担当者コード(+)</t>
    <phoneticPr fontId="112" type="noConversion"/>
  </si>
  <si>
    <t xml:space="preserve"> =    担当者権限マスタ(M3).担当者コード(+)</t>
    <phoneticPr fontId="112" type="noConversion"/>
  </si>
  <si>
    <t>担当者権限マスタ(M3).適用開始日(+)</t>
    <phoneticPr fontId="8"/>
  </si>
  <si>
    <t>担当者権限マスタ(M3).適用終了日(+)</t>
    <phoneticPr fontId="8"/>
  </si>
  <si>
    <t>担当者権限マスタ(M2).適用開始日(+)</t>
    <phoneticPr fontId="8"/>
  </si>
  <si>
    <t>担当者権限マスタ(M2).適用終了日(+)</t>
    <phoneticPr fontId="8"/>
  </si>
  <si>
    <t>AND 担当者権限マスタ(M2).主部門ＣＤ</t>
    <phoneticPr fontId="112" type="noConversion"/>
  </si>
  <si>
    <t>部門マスタ(M2).適用終了日(+)</t>
    <phoneticPr fontId="8"/>
  </si>
  <si>
    <t>部門マスタ(M2).適用開始日(+)</t>
    <phoneticPr fontId="8"/>
  </si>
  <si>
    <t xml:space="preserve"> =    部門マスタ(M2).部門コード(+)</t>
    <rPh sb="15" eb="17">
      <t>ﾌﾞﾓﾝ</t>
    </rPh>
    <phoneticPr fontId="112" type="noConversion"/>
  </si>
  <si>
    <t>部門マスタ(M3).適用開始日(+)</t>
  </si>
  <si>
    <t>部門マスタ(M3).適用終了日(+)</t>
  </si>
  <si>
    <t xml:space="preserve"> =    部門マスタ(M3).部門コード(+)</t>
    <phoneticPr fontId="8"/>
  </si>
  <si>
    <t>AND 担当者権限マスタ(M3).主部門ＣＤ</t>
    <phoneticPr fontId="8"/>
  </si>
  <si>
    <t>AND 部門マスタ(M3).ワーキンググループＣＤ</t>
    <phoneticPr fontId="8"/>
  </si>
  <si>
    <t>AND 部門マスタ(M2).ワーキンググループＣＤ</t>
    <phoneticPr fontId="8"/>
  </si>
  <si>
    <t xml:space="preserve"> =    ワーキンググループ(M2).ワーキンググループコード(+)</t>
    <phoneticPr fontId="112" type="noConversion"/>
  </si>
  <si>
    <t xml:space="preserve"> =    ワーキンググループ(M3).ワーキンググループコード(+)</t>
    <phoneticPr fontId="112" type="noConversion"/>
  </si>
  <si>
    <t>MAM_WG_CMN</t>
  </si>
  <si>
    <t>MAM_DPT_CMN</t>
  </si>
  <si>
    <t>[AND 部門マスタ(M2).ワーキンググループＣＤ</t>
    <phoneticPr fontId="8"/>
  </si>
  <si>
    <t>[AND 取引先マスタ．業務担当コード</t>
    <phoneticPr fontId="8"/>
  </si>
  <si>
    <t>[AND 部門マスタ(M3).ワーキンググループＣＤ</t>
    <phoneticPr fontId="8"/>
  </si>
  <si>
    <t xml:space="preserve"> 画面．営業担当WG]</t>
    <phoneticPr fontId="8"/>
  </si>
  <si>
    <t xml:space="preserve"> 画面．業務担当WG]</t>
    <phoneticPr fontId="8"/>
  </si>
  <si>
    <t>[AND 得意先担当マスタ.担当者コード</t>
    <phoneticPr fontId="8"/>
  </si>
  <si>
    <t>【抽出条件】</t>
    <phoneticPr fontId="8"/>
  </si>
  <si>
    <t>[AND 取引先マスタ．営業担当名</t>
    <phoneticPr fontId="8"/>
  </si>
  <si>
    <t>[AND 取引先マスタ．業務担当名</t>
    <phoneticPr fontId="8"/>
  </si>
  <si>
    <t>[AND 取引先マスタ．取引先分類1名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</si>
</sst>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  <numFmt numFmtId="183" formatCode="0_ "/>
    <numFmt numFmtId="184" formatCode="0.0"/>
  </numFmts>
  <fonts count="11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Ｐゴシック"/>
      <family val="3"/>
      <charset val="128"/>
    </font>
    <font>
      <strike/>
      <sz val="9"/>
      <color rgb="FFFF0000"/>
      <name val="Meiryo UI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rgb="FF003399"/>
      <name val="Meiryo UI"/>
      <family val="3"/>
      <charset val="128"/>
    </font>
    <font>
      <sz val="8"/>
      <color rgb="FFFFFFFF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7"/>
      <color rgb="FFFFFFFF"/>
      <name val="Meiryo UI"/>
      <family val="3"/>
      <charset val="128"/>
    </font>
    <font>
      <sz val="5"/>
      <color rgb="FFFFFFFF"/>
      <name val="Meiryo UI"/>
      <family val="3"/>
      <charset val="128"/>
    </font>
    <font>
      <sz val="7.5"/>
      <name val="Meiryo UI"/>
      <family val="3"/>
      <charset val="128"/>
    </font>
    <font>
      <b/>
      <sz val="7.5"/>
      <name val="Meiryo UI"/>
      <family val="3"/>
      <charset val="128"/>
    </font>
    <font>
      <sz val="9"/>
      <name val="Segoe UI Symbol"/>
      <family val="3"/>
    </font>
    <font>
      <b/>
      <sz val="8"/>
      <color rgb="FF0000FF"/>
      <name val="メイリオ"/>
      <family val="3"/>
      <charset val="128"/>
    </font>
    <font>
      <sz val="8"/>
      <name val="メイリオ"/>
      <family val="3"/>
      <charset val="128"/>
    </font>
    <font>
      <sz val="8"/>
      <color rgb="FFFF0000"/>
      <name val="メイリオ"/>
      <family val="3"/>
      <charset val="128"/>
    </font>
    <font>
      <b/>
      <sz val="8"/>
      <name val="メイリオ"/>
      <family val="3"/>
      <charset val="128"/>
    </font>
    <font>
      <sz val="9"/>
      <color rgb="FF0000FF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ＭＳ ゴシック"/>
      <family val="3"/>
      <charset val="128"/>
    </font>
    <font>
      <sz val="9"/>
      <name val="DengXian"/>
      <family val="3"/>
      <charset val="134"/>
    </font>
    <font>
      <sz val="9"/>
      <color rgb="FF0070C0"/>
      <name val="Meiryo UI"/>
      <family val="3"/>
      <charset val="128"/>
    </font>
    <font>
      <sz val="8"/>
      <color rgb="FFFF0000"/>
      <name val="Meiryo UI"/>
      <family val="3"/>
      <charset val="128"/>
    </font>
    <font>
      <b/>
      <sz val="8"/>
      <color rgb="FF0000FF"/>
      <name val="Meiryo UI"/>
      <family val="3"/>
      <charset val="128"/>
    </font>
    <font>
      <sz val="9"/>
      <name val="MS PGothic"/>
      <family val="3"/>
    </font>
    <font>
      <sz val="9"/>
      <color indexed="10"/>
      <name val="MS PGothic"/>
      <family val="3"/>
    </font>
    <font>
      <sz val="11"/>
      <color rgb="FFFF0000"/>
      <name val="Meiryo UI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DEF0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339966"/>
        <bgColor theme="0"/>
      </patternFill>
    </fill>
    <fill>
      <patternFill patternType="solid">
        <fgColor rgb="FFFFCCFF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indexed="65"/>
        <bgColor rgb="FFFFFFFF"/>
      </patternFill>
    </fill>
  </fills>
  <borders count="1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7519">
    <xf numFmtId="0" fontId="0" fillId="0" borderId="0"/>
    <xf numFmtId="0" fontId="7" fillId="0" borderId="0"/>
    <xf numFmtId="0" fontId="7" fillId="0" borderId="0"/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3" fillId="0" borderId="0"/>
    <xf numFmtId="0" fontId="6" fillId="0" borderId="0"/>
    <xf numFmtId="0" fontId="6" fillId="0" borderId="0">
      <alignment vertical="center"/>
    </xf>
    <xf numFmtId="0" fontId="23" fillId="0" borderId="0"/>
    <xf numFmtId="0" fontId="11" fillId="0" borderId="0">
      <alignment vertical="top" wrapText="1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179" fontId="36" fillId="0" borderId="0" applyFill="0" applyBorder="0" applyAlignment="0"/>
    <xf numFmtId="0" fontId="37" fillId="0" borderId="10" applyNumberFormat="0" applyAlignment="0" applyProtection="0">
      <alignment horizontal="left" vertical="center"/>
    </xf>
    <xf numFmtId="0" fontId="37" fillId="0" borderId="2">
      <alignment horizontal="left" vertical="center"/>
    </xf>
    <xf numFmtId="0" fontId="38" fillId="0" borderId="0"/>
    <xf numFmtId="0" fontId="39" fillId="0" borderId="0" applyNumberFormat="0" applyFont="0" applyFill="0" applyBorder="0" applyAlignment="0" applyProtection="0">
      <alignment horizontal="left"/>
    </xf>
    <xf numFmtId="0" fontId="40" fillId="0" borderId="7">
      <alignment horizontal="center"/>
    </xf>
    <xf numFmtId="0" fontId="20" fillId="0" borderId="0">
      <alignment wrapText="1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12" fillId="0" borderId="0"/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3" fillId="20" borderId="39" applyNumberFormat="0" applyAlignment="0" applyProtection="0">
      <alignment vertical="center"/>
    </xf>
    <xf numFmtId="0" fontId="43" fillId="20" borderId="39" applyNumberFormat="0" applyAlignment="0" applyProtection="0">
      <alignment vertical="center"/>
    </xf>
    <xf numFmtId="0" fontId="43" fillId="20" borderId="39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2" fillId="20" borderId="44" applyNumberFormat="0" applyAlignment="0" applyProtection="0">
      <alignment vertical="center"/>
    </xf>
    <xf numFmtId="0" fontId="32" fillId="20" borderId="44" applyNumberFormat="0" applyAlignment="0" applyProtection="0">
      <alignment vertical="center"/>
    </xf>
    <xf numFmtId="0" fontId="32" fillId="20" borderId="4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39" applyNumberFormat="0" applyAlignment="0" applyProtection="0">
      <alignment vertical="center"/>
    </xf>
    <xf numFmtId="0" fontId="34" fillId="12" borderId="39" applyNumberFormat="0" applyAlignment="0" applyProtection="0">
      <alignment vertical="center"/>
    </xf>
    <xf numFmtId="0" fontId="34" fillId="12" borderId="39" applyNumberFormat="0" applyAlignment="0" applyProtection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6" fillId="0" borderId="0"/>
    <xf numFmtId="0" fontId="47" fillId="0" borderId="0"/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8" fillId="0" borderId="0"/>
    <xf numFmtId="0" fontId="12" fillId="0" borderId="0"/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7" applyNumberFormat="0" applyFont="0" applyAlignment="0" applyProtection="0">
      <alignment vertical="center"/>
    </xf>
    <xf numFmtId="0" fontId="51" fillId="0" borderId="4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9" applyNumberFormat="0" applyAlignment="0" applyProtection="0">
      <alignment vertical="center"/>
    </xf>
    <xf numFmtId="0" fontId="53" fillId="0" borderId="46" applyNumberFormat="0" applyFill="0" applyAlignment="0" applyProtection="0">
      <alignment vertical="center"/>
    </xf>
    <xf numFmtId="0" fontId="54" fillId="0" borderId="47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9" applyNumberFormat="0" applyFill="0" applyAlignment="0" applyProtection="0">
      <alignment vertical="center"/>
    </xf>
    <xf numFmtId="0" fontId="32" fillId="29" borderId="44" applyNumberFormat="0" applyAlignment="0" applyProtection="0">
      <alignment vertical="center"/>
    </xf>
    <xf numFmtId="0" fontId="34" fillId="10" borderId="39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8" fillId="0" borderId="0"/>
    <xf numFmtId="0" fontId="12" fillId="0" borderId="0"/>
    <xf numFmtId="38" fontId="58" fillId="0" borderId="0" applyFont="0" applyFill="0" applyBorder="0" applyAlignment="0" applyProtection="0"/>
    <xf numFmtId="0" fontId="11" fillId="0" borderId="0">
      <alignment vertical="top"/>
    </xf>
    <xf numFmtId="0" fontId="56" fillId="0" borderId="0">
      <alignment vertical="center"/>
    </xf>
    <xf numFmtId="38" fontId="58" fillId="0" borderId="0" applyFont="0" applyFill="0" applyBorder="0" applyAlignment="0" applyProtection="0"/>
    <xf numFmtId="180" fontId="58" fillId="0" borderId="0" applyFont="0" applyFill="0" applyBorder="0" applyAlignment="0" applyProtection="0"/>
    <xf numFmtId="38" fontId="10" fillId="30" borderId="0" applyNumberFormat="0" applyBorder="0" applyAlignment="0" applyProtection="0"/>
    <xf numFmtId="10" fontId="10" fillId="2" borderId="3" applyNumberFormat="0" applyBorder="0" applyAlignment="0" applyProtection="0"/>
    <xf numFmtId="181" fontId="59" fillId="0" borderId="0"/>
    <xf numFmtId="10" fontId="3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11" fillId="0" borderId="0" applyNumberFormat="0"/>
    <xf numFmtId="0" fontId="57" fillId="0" borderId="0" applyBorder="0" applyAlignment="0"/>
    <xf numFmtId="0" fontId="11" fillId="0" borderId="0">
      <alignment vertical="top" wrapText="1"/>
    </xf>
    <xf numFmtId="0" fontId="25" fillId="0" borderId="0"/>
    <xf numFmtId="0" fontId="11" fillId="0" borderId="0" applyNumberFormat="0"/>
    <xf numFmtId="0" fontId="57" fillId="0" borderId="0">
      <alignment vertical="center"/>
    </xf>
    <xf numFmtId="0" fontId="11" fillId="0" borderId="0" applyNumberFormat="0"/>
    <xf numFmtId="0" fontId="12" fillId="0" borderId="0"/>
    <xf numFmtId="0" fontId="6" fillId="0" borderId="0"/>
    <xf numFmtId="0" fontId="11" fillId="0" borderId="0">
      <alignment vertical="top"/>
    </xf>
    <xf numFmtId="0" fontId="60" fillId="0" borderId="0">
      <alignment vertical="center"/>
    </xf>
    <xf numFmtId="38" fontId="6" fillId="0" borderId="0" applyFont="0" applyFill="0" applyBorder="0" applyAlignment="0" applyProtection="0"/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7" applyNumberFormat="0" applyFont="0" applyAlignment="0" applyProtection="0">
      <alignment vertical="center"/>
    </xf>
    <xf numFmtId="0" fontId="51" fillId="0" borderId="4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9" applyNumberFormat="0" applyAlignment="0" applyProtection="0">
      <alignment vertical="center"/>
    </xf>
    <xf numFmtId="0" fontId="53" fillId="0" borderId="46" applyNumberFormat="0" applyFill="0" applyAlignment="0" applyProtection="0">
      <alignment vertical="center"/>
    </xf>
    <xf numFmtId="0" fontId="54" fillId="0" borderId="47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9" applyNumberFormat="0" applyFill="0" applyAlignment="0" applyProtection="0">
      <alignment vertical="center"/>
    </xf>
    <xf numFmtId="0" fontId="32" fillId="29" borderId="44" applyNumberFormat="0" applyAlignment="0" applyProtection="0">
      <alignment vertical="center"/>
    </xf>
    <xf numFmtId="0" fontId="34" fillId="10" borderId="39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12" fillId="0" borderId="0"/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60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8" fillId="0" borderId="0"/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2" fillId="0" borderId="0"/>
    <xf numFmtId="0" fontId="12" fillId="0" borderId="0"/>
    <xf numFmtId="0" fontId="48" fillId="0" borderId="0"/>
    <xf numFmtId="0" fontId="48" fillId="0" borderId="0"/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2" fillId="0" borderId="0"/>
    <xf numFmtId="0" fontId="12" fillId="0" borderId="0"/>
    <xf numFmtId="0" fontId="60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" fillId="8" borderId="37" applyNumberFormat="0" applyFont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64" fillId="0" borderId="0"/>
    <xf numFmtId="0" fontId="56" fillId="0" borderId="0">
      <alignment vertical="center"/>
    </xf>
    <xf numFmtId="0" fontId="64" fillId="0" borderId="0"/>
    <xf numFmtId="0" fontId="64" fillId="0" borderId="0"/>
    <xf numFmtId="0" fontId="11" fillId="0" borderId="0">
      <alignment vertical="top" wrapText="1"/>
    </xf>
    <xf numFmtId="0" fontId="11" fillId="0" borderId="0">
      <alignment vertical="top"/>
    </xf>
    <xf numFmtId="0" fontId="64" fillId="0" borderId="0"/>
    <xf numFmtId="0" fontId="11" fillId="0" borderId="0">
      <alignment vertical="top"/>
    </xf>
    <xf numFmtId="0" fontId="64" fillId="0" borderId="0"/>
    <xf numFmtId="0" fontId="64" fillId="0" borderId="0"/>
    <xf numFmtId="0" fontId="25" fillId="0" borderId="0"/>
    <xf numFmtId="0" fontId="11" fillId="0" borderId="0">
      <alignment vertical="top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/>
    <xf numFmtId="0" fontId="11" fillId="0" borderId="0">
      <alignment vertical="top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3" fillId="0" borderId="0"/>
    <xf numFmtId="0" fontId="23" fillId="0" borderId="0"/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61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5" fillId="0" borderId="0" applyBorder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38" fontId="58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top" wrapText="1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9" fillId="0" borderId="0"/>
    <xf numFmtId="0" fontId="7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23" fillId="0" borderId="0"/>
    <xf numFmtId="0" fontId="6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6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34" fillId="12" borderId="149" applyNumberFormat="0" applyAlignment="0" applyProtection="0">
      <alignment vertical="center"/>
    </xf>
    <xf numFmtId="0" fontId="34" fillId="12" borderId="149" applyNumberFormat="0" applyAlignment="0" applyProtection="0">
      <alignment vertical="center"/>
    </xf>
    <xf numFmtId="0" fontId="34" fillId="12" borderId="149" applyNumberFormat="0" applyAlignment="0" applyProtection="0">
      <alignment vertical="center"/>
    </xf>
    <xf numFmtId="0" fontId="32" fillId="20" borderId="151" applyNumberFormat="0" applyAlignment="0" applyProtection="0">
      <alignment vertical="center"/>
    </xf>
    <xf numFmtId="0" fontId="32" fillId="20" borderId="151" applyNumberFormat="0" applyAlignment="0" applyProtection="0">
      <alignment vertical="center"/>
    </xf>
    <xf numFmtId="0" fontId="32" fillId="20" borderId="151" applyNumberFormat="0" applyAlignment="0" applyProtection="0">
      <alignment vertical="center"/>
    </xf>
    <xf numFmtId="0" fontId="31" fillId="0" borderId="150" applyNumberFormat="0" applyFill="0" applyAlignment="0" applyProtection="0">
      <alignment vertical="center"/>
    </xf>
    <xf numFmtId="0" fontId="31" fillId="0" borderId="150" applyNumberFormat="0" applyFill="0" applyAlignment="0" applyProtection="0">
      <alignment vertical="center"/>
    </xf>
    <xf numFmtId="0" fontId="31" fillId="0" borderId="150" applyNumberFormat="0" applyFill="0" applyAlignment="0" applyProtection="0">
      <alignment vertical="center"/>
    </xf>
    <xf numFmtId="0" fontId="43" fillId="20" borderId="149" applyNumberFormat="0" applyAlignment="0" applyProtection="0">
      <alignment vertical="center"/>
    </xf>
    <xf numFmtId="0" fontId="43" fillId="20" borderId="149" applyNumberFormat="0" applyAlignment="0" applyProtection="0">
      <alignment vertical="center"/>
    </xf>
    <xf numFmtId="0" fontId="43" fillId="20" borderId="149" applyNumberFormat="0" applyAlignment="0" applyProtection="0">
      <alignment vertical="center"/>
    </xf>
    <xf numFmtId="0" fontId="37" fillId="0" borderId="152">
      <alignment horizontal="left" vertical="center"/>
    </xf>
    <xf numFmtId="0" fontId="6" fillId="8" borderId="148" applyNumberFormat="0" applyFont="0" applyAlignment="0" applyProtection="0">
      <alignment vertical="center"/>
    </xf>
    <xf numFmtId="0" fontId="6" fillId="8" borderId="148" applyNumberFormat="0" applyFont="0" applyAlignment="0" applyProtection="0">
      <alignment vertical="center"/>
    </xf>
    <xf numFmtId="0" fontId="6" fillId="8" borderId="148" applyNumberFormat="0" applyFont="0" applyAlignment="0" applyProtection="0">
      <alignment vertical="center"/>
    </xf>
    <xf numFmtId="0" fontId="37" fillId="0" borderId="142">
      <alignment horizontal="left" vertical="center"/>
    </xf>
    <xf numFmtId="10" fontId="10" fillId="2" borderId="146" applyNumberFormat="0" applyBorder="0" applyAlignment="0" applyProtection="0"/>
    <xf numFmtId="0" fontId="40" fillId="0" borderId="66">
      <alignment horizontal="center"/>
    </xf>
    <xf numFmtId="0" fontId="37" fillId="0" borderId="113">
      <alignment horizontal="left" vertical="center"/>
    </xf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10" fontId="10" fillId="2" borderId="3" applyNumberFormat="0" applyBorder="0" applyAlignment="0" applyProtection="0"/>
  </cellStyleXfs>
  <cellXfs count="1025">
    <xf numFmtId="0" fontId="0" fillId="0" borderId="0" xfId="0"/>
    <xf numFmtId="0" fontId="17" fillId="0" borderId="0" xfId="0" applyFont="1" applyAlignment="1">
      <alignment vertical="center"/>
    </xf>
    <xf numFmtId="0" fontId="17" fillId="0" borderId="0" xfId="224" applyFont="1" applyAlignment="1">
      <alignment vertical="center"/>
    </xf>
    <xf numFmtId="0" fontId="17" fillId="0" borderId="27" xfId="0" applyFont="1" applyBorder="1" applyAlignment="1">
      <alignment vertical="center"/>
    </xf>
    <xf numFmtId="0" fontId="14" fillId="31" borderId="0" xfId="224" applyFont="1" applyFill="1"/>
    <xf numFmtId="0" fontId="14" fillId="31" borderId="0" xfId="224" applyFont="1" applyFill="1" applyAlignment="1">
      <alignment vertical="top"/>
    </xf>
    <xf numFmtId="0" fontId="14" fillId="31" borderId="0" xfId="224" applyFont="1" applyFill="1" applyAlignment="1">
      <alignment horizontal="center" vertical="center"/>
    </xf>
    <xf numFmtId="0" fontId="14" fillId="31" borderId="0" xfId="224" applyFont="1" applyFill="1" applyAlignment="1">
      <alignment vertical="center"/>
    </xf>
    <xf numFmtId="0" fontId="14" fillId="31" borderId="0" xfId="224" applyFont="1" applyFill="1" applyAlignment="1">
      <alignment vertical="center" wrapText="1"/>
    </xf>
    <xf numFmtId="0" fontId="15" fillId="34" borderId="11" xfId="7" applyFont="1" applyFill="1" applyBorder="1" applyAlignment="1">
      <alignment vertical="center"/>
    </xf>
    <xf numFmtId="0" fontId="15" fillId="34" borderId="13" xfId="7" applyFont="1" applyFill="1" applyBorder="1" applyAlignment="1">
      <alignment vertical="center"/>
    </xf>
    <xf numFmtId="0" fontId="15" fillId="34" borderId="14" xfId="7" applyFont="1" applyFill="1" applyBorder="1"/>
    <xf numFmtId="0" fontId="14" fillId="0" borderId="0" xfId="7" applyFont="1"/>
    <xf numFmtId="0" fontId="17" fillId="0" borderId="8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7" fillId="0" borderId="0" xfId="7" applyFont="1" applyAlignment="1">
      <alignment vertical="center" wrapText="1"/>
    </xf>
    <xf numFmtId="0" fontId="17" fillId="0" borderId="9" xfId="7" applyFont="1" applyBorder="1" applyAlignment="1">
      <alignment vertical="center"/>
    </xf>
    <xf numFmtId="0" fontId="18" fillId="0" borderId="0" xfId="224" applyFont="1" applyAlignment="1">
      <alignment vertical="center"/>
    </xf>
    <xf numFmtId="0" fontId="17" fillId="0" borderId="8" xfId="224" applyFont="1" applyBorder="1" applyAlignment="1">
      <alignment vertical="center"/>
    </xf>
    <xf numFmtId="0" fontId="17" fillId="0" borderId="9" xfId="224" applyFont="1" applyBorder="1" applyAlignment="1">
      <alignment vertical="center"/>
    </xf>
    <xf numFmtId="0" fontId="18" fillId="0" borderId="0" xfId="7" applyFont="1" applyAlignment="1">
      <alignment vertical="center"/>
    </xf>
    <xf numFmtId="0" fontId="19" fillId="0" borderId="0" xfId="224" applyFont="1" applyAlignment="1">
      <alignment vertical="center"/>
    </xf>
    <xf numFmtId="20" fontId="17" fillId="0" borderId="0" xfId="7" applyNumberFormat="1" applyFont="1" applyAlignment="1">
      <alignment vertical="center"/>
    </xf>
    <xf numFmtId="0" fontId="17" fillId="31" borderId="6" xfId="224" applyFont="1" applyFill="1" applyBorder="1" applyAlignment="1">
      <alignment vertical="center"/>
    </xf>
    <xf numFmtId="0" fontId="17" fillId="31" borderId="0" xfId="224" applyFont="1" applyFill="1" applyAlignment="1">
      <alignment vertical="center"/>
    </xf>
    <xf numFmtId="0" fontId="17" fillId="31" borderId="0" xfId="224" applyFont="1" applyFill="1" applyAlignment="1">
      <alignment horizontal="center" vertical="center"/>
    </xf>
    <xf numFmtId="0" fontId="17" fillId="31" borderId="0" xfId="224" applyFont="1" applyFill="1" applyAlignment="1">
      <alignment vertical="center" wrapText="1"/>
    </xf>
    <xf numFmtId="0" fontId="17" fillId="0" borderId="0" xfId="24894" applyFont="1">
      <alignment vertical="center"/>
    </xf>
    <xf numFmtId="0" fontId="17" fillId="0" borderId="0" xfId="24894" applyFont="1" applyAlignment="1">
      <alignment vertical="center" wrapText="1"/>
    </xf>
    <xf numFmtId="0" fontId="17" fillId="35" borderId="0" xfId="0" applyFont="1" applyFill="1" applyAlignment="1">
      <alignment vertical="center"/>
    </xf>
    <xf numFmtId="0" fontId="71" fillId="34" borderId="4" xfId="0" applyFont="1" applyFill="1" applyBorder="1" applyAlignment="1">
      <alignment vertical="center"/>
    </xf>
    <xf numFmtId="49" fontId="71" fillId="34" borderId="57" xfId="0" applyNumberFormat="1" applyFont="1" applyFill="1" applyBorder="1" applyAlignment="1">
      <alignment vertical="center"/>
    </xf>
    <xf numFmtId="0" fontId="71" fillId="34" borderId="5" xfId="0" applyFont="1" applyFill="1" applyBorder="1" applyAlignment="1">
      <alignment vertical="center"/>
    </xf>
    <xf numFmtId="0" fontId="71" fillId="34" borderId="35" xfId="0" applyFont="1" applyFill="1" applyBorder="1" applyAlignment="1">
      <alignment vertical="center"/>
    </xf>
    <xf numFmtId="49" fontId="71" fillId="34" borderId="5" xfId="0" applyNumberFormat="1" applyFont="1" applyFill="1" applyBorder="1" applyAlignment="1">
      <alignment vertical="center"/>
    </xf>
    <xf numFmtId="49" fontId="71" fillId="34" borderId="58" xfId="0" applyNumberFormat="1" applyFont="1" applyFill="1" applyBorder="1" applyAlignment="1">
      <alignment vertical="center"/>
    </xf>
    <xf numFmtId="49" fontId="71" fillId="34" borderId="59" xfId="0" applyNumberFormat="1" applyFont="1" applyFill="1" applyBorder="1" applyAlignment="1">
      <alignment vertical="center"/>
    </xf>
    <xf numFmtId="49" fontId="22" fillId="0" borderId="56" xfId="0" applyNumberFormat="1" applyFont="1" applyBorder="1" applyAlignment="1">
      <alignment vertical="center"/>
    </xf>
    <xf numFmtId="0" fontId="22" fillId="0" borderId="23" xfId="0" applyFont="1" applyBorder="1" applyAlignment="1">
      <alignment vertical="center"/>
    </xf>
    <xf numFmtId="0" fontId="22" fillId="0" borderId="6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22" fillId="0" borderId="56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0" borderId="28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0" fontId="22" fillId="0" borderId="61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62" xfId="0" applyFont="1" applyBorder="1" applyAlignment="1">
      <alignment vertical="center"/>
    </xf>
    <xf numFmtId="49" fontId="22" fillId="0" borderId="18" xfId="0" applyNumberFormat="1" applyFont="1" applyBorder="1" applyAlignment="1">
      <alignment vertical="center"/>
    </xf>
    <xf numFmtId="49" fontId="22" fillId="0" borderId="27" xfId="0" applyNumberFormat="1" applyFont="1" applyBorder="1" applyAlignment="1">
      <alignment vertical="center"/>
    </xf>
    <xf numFmtId="49" fontId="22" fillId="0" borderId="3" xfId="0" applyNumberFormat="1" applyFont="1" applyBorder="1" applyAlignment="1">
      <alignment vertical="center"/>
    </xf>
    <xf numFmtId="0" fontId="18" fillId="33" borderId="25" xfId="0" applyFont="1" applyFill="1" applyBorder="1" applyAlignment="1">
      <alignment vertical="center"/>
    </xf>
    <xf numFmtId="0" fontId="18" fillId="33" borderId="13" xfId="0" applyFont="1" applyFill="1" applyBorder="1" applyAlignment="1">
      <alignment vertical="center"/>
    </xf>
    <xf numFmtId="0" fontId="18" fillId="33" borderId="14" xfId="0" applyFont="1" applyFill="1" applyBorder="1" applyAlignment="1">
      <alignment vertical="center"/>
    </xf>
    <xf numFmtId="0" fontId="17" fillId="0" borderId="0" xfId="57482" applyFont="1" applyProtection="1">
      <protection locked="0"/>
    </xf>
    <xf numFmtId="0" fontId="13" fillId="0" borderId="0" xfId="57482" applyFont="1" applyProtection="1"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3" fillId="0" borderId="0" xfId="57482" applyFont="1" applyAlignment="1" applyProtection="1">
      <alignment vertical="center"/>
      <protection locked="0"/>
    </xf>
    <xf numFmtId="0" fontId="73" fillId="0" borderId="0" xfId="57482" applyFont="1" applyProtection="1">
      <protection locked="0"/>
    </xf>
    <xf numFmtId="0" fontId="74" fillId="0" borderId="0" xfId="57482" applyFont="1" applyProtection="1"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5" fillId="0" borderId="0" xfId="57482" applyFont="1" applyProtection="1">
      <protection locked="0"/>
    </xf>
    <xf numFmtId="0" fontId="76" fillId="0" borderId="1" xfId="57482" applyFont="1" applyBorder="1" applyAlignment="1" applyProtection="1">
      <alignment vertical="center" wrapText="1"/>
      <protection locked="0"/>
    </xf>
    <xf numFmtId="0" fontId="80" fillId="0" borderId="0" xfId="57483" applyFont="1"/>
    <xf numFmtId="182" fontId="81" fillId="0" borderId="0" xfId="57482" applyNumberFormat="1" applyFont="1" applyAlignment="1" applyProtection="1">
      <alignment vertical="center"/>
      <protection locked="0"/>
    </xf>
    <xf numFmtId="182" fontId="18" fillId="0" borderId="0" xfId="57482" applyNumberFormat="1" applyFont="1" applyAlignment="1" applyProtection="1">
      <alignment vertical="center"/>
      <protection locked="0"/>
    </xf>
    <xf numFmtId="182" fontId="79" fillId="0" borderId="33" xfId="57482" applyNumberFormat="1" applyFont="1" applyBorder="1" applyAlignment="1" applyProtection="1">
      <alignment vertical="center"/>
      <protection locked="0"/>
    </xf>
    <xf numFmtId="182" fontId="13" fillId="0" borderId="0" xfId="57482" applyNumberFormat="1" applyFont="1" applyAlignment="1" applyProtection="1">
      <alignment vertical="center"/>
      <protection locked="0"/>
    </xf>
    <xf numFmtId="182" fontId="18" fillId="0" borderId="33" xfId="57482" applyNumberFormat="1" applyFont="1" applyBorder="1" applyAlignment="1" applyProtection="1">
      <alignment vertical="center"/>
      <protection locked="0"/>
    </xf>
    <xf numFmtId="0" fontId="16" fillId="0" borderId="0" xfId="57482" applyFont="1" applyProtection="1">
      <protection locked="0"/>
    </xf>
    <xf numFmtId="0" fontId="82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/>
      <protection locked="0"/>
    </xf>
    <xf numFmtId="178" fontId="17" fillId="0" borderId="0" xfId="57482" applyNumberFormat="1" applyFont="1" applyAlignment="1" applyProtection="1">
      <alignment horizontal="center"/>
      <protection locked="0"/>
    </xf>
    <xf numFmtId="0" fontId="16" fillId="0" borderId="0" xfId="6" applyFont="1"/>
    <xf numFmtId="0" fontId="6" fillId="0" borderId="0" xfId="224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0" fontId="6" fillId="0" borderId="0" xfId="224" applyAlignment="1">
      <alignment horizontal="center" vertical="center"/>
    </xf>
    <xf numFmtId="0" fontId="6" fillId="0" borderId="0" xfId="224" applyAlignment="1">
      <alignment horizontal="center" shrinkToFit="1"/>
    </xf>
    <xf numFmtId="0" fontId="17" fillId="0" borderId="0" xfId="8" applyFont="1" applyAlignment="1">
      <alignment horizontal="center"/>
    </xf>
    <xf numFmtId="0" fontId="6" fillId="0" borderId="0" xfId="224" applyAlignment="1">
      <alignment horizontal="center"/>
    </xf>
    <xf numFmtId="0" fontId="17" fillId="0" borderId="0" xfId="8" applyFont="1" applyAlignment="1">
      <alignment horizontal="center" shrinkToFit="1"/>
    </xf>
    <xf numFmtId="14" fontId="16" fillId="0" borderId="0" xfId="9" applyNumberFormat="1" applyFont="1" applyAlignment="1">
      <alignment horizontal="center" vertical="center"/>
    </xf>
    <xf numFmtId="0" fontId="16" fillId="0" borderId="0" xfId="57485" applyFont="1">
      <alignment vertical="center"/>
    </xf>
    <xf numFmtId="0" fontId="16" fillId="41" borderId="0" xfId="57485" applyFont="1" applyFill="1">
      <alignment vertical="center"/>
    </xf>
    <xf numFmtId="0" fontId="16" fillId="41" borderId="0" xfId="57485" applyFont="1" applyFill="1" applyAlignment="1">
      <alignment horizontal="center" vertical="center"/>
    </xf>
    <xf numFmtId="0" fontId="78" fillId="41" borderId="0" xfId="57485" applyFont="1" applyFill="1">
      <alignment vertical="center"/>
    </xf>
    <xf numFmtId="0" fontId="15" fillId="44" borderId="11" xfId="224" applyFont="1" applyFill="1" applyBorder="1" applyAlignment="1">
      <alignment vertical="center"/>
    </xf>
    <xf numFmtId="0" fontId="15" fillId="44" borderId="13" xfId="224" applyFont="1" applyFill="1" applyBorder="1" applyAlignment="1">
      <alignment vertical="center"/>
    </xf>
    <xf numFmtId="0" fontId="15" fillId="44" borderId="14" xfId="224" applyFont="1" applyFill="1" applyBorder="1"/>
    <xf numFmtId="0" fontId="14" fillId="0" borderId="0" xfId="224" applyFont="1"/>
    <xf numFmtId="0" fontId="18" fillId="33" borderId="24" xfId="0" applyFont="1" applyFill="1" applyBorder="1" applyAlignment="1">
      <alignment vertical="center" shrinkToFit="1"/>
    </xf>
    <xf numFmtId="0" fontId="18" fillId="33" borderId="26" xfId="0" applyFont="1" applyFill="1" applyBorder="1" applyAlignment="1">
      <alignment vertical="center" shrinkToFit="1"/>
    </xf>
    <xf numFmtId="0" fontId="18" fillId="33" borderId="27" xfId="0" applyFont="1" applyFill="1" applyBorder="1" applyAlignment="1">
      <alignment vertical="center"/>
    </xf>
    <xf numFmtId="0" fontId="17" fillId="0" borderId="90" xfId="0" applyFont="1" applyBorder="1" applyAlignment="1">
      <alignment vertical="center" shrinkToFit="1"/>
    </xf>
    <xf numFmtId="0" fontId="17" fillId="0" borderId="56" xfId="0" applyFont="1" applyBorder="1" applyAlignment="1">
      <alignment vertical="center"/>
    </xf>
    <xf numFmtId="0" fontId="17" fillId="0" borderId="26" xfId="0" applyFont="1" applyBorder="1" applyAlignment="1">
      <alignment vertical="center" shrinkToFit="1"/>
    </xf>
    <xf numFmtId="0" fontId="17" fillId="0" borderId="91" xfId="0" applyFont="1" applyBorder="1" applyAlignment="1">
      <alignment vertical="center" shrinkToFit="1"/>
    </xf>
    <xf numFmtId="0" fontId="17" fillId="0" borderId="28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8" fillId="46" borderId="94" xfId="0" applyFont="1" applyFill="1" applyBorder="1" applyAlignment="1">
      <alignment vertical="center"/>
    </xf>
    <xf numFmtId="0" fontId="18" fillId="46" borderId="95" xfId="0" applyFont="1" applyFill="1" applyBorder="1" applyAlignment="1">
      <alignment vertical="center"/>
    </xf>
    <xf numFmtId="0" fontId="18" fillId="39" borderId="11" xfId="0" applyFont="1" applyFill="1" applyBorder="1" applyAlignment="1">
      <alignment vertical="center"/>
    </xf>
    <xf numFmtId="0" fontId="18" fillId="39" borderId="13" xfId="0" applyFont="1" applyFill="1" applyBorder="1" applyAlignment="1">
      <alignment vertical="center"/>
    </xf>
    <xf numFmtId="0" fontId="18" fillId="41" borderId="16" xfId="0" applyFont="1" applyFill="1" applyBorder="1" applyAlignment="1">
      <alignment vertical="center"/>
    </xf>
    <xf numFmtId="0" fontId="18" fillId="41" borderId="13" xfId="0" applyFont="1" applyFill="1" applyBorder="1" applyAlignment="1">
      <alignment vertical="center"/>
    </xf>
    <xf numFmtId="0" fontId="18" fillId="41" borderId="15" xfId="0" applyFont="1" applyFill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39" borderId="12" xfId="0" applyFont="1" applyFill="1" applyBorder="1" applyAlignment="1">
      <alignment horizontal="left" vertical="center"/>
    </xf>
    <xf numFmtId="0" fontId="18" fillId="39" borderId="13" xfId="0" applyFont="1" applyFill="1" applyBorder="1" applyAlignment="1">
      <alignment horizontal="left" vertical="center"/>
    </xf>
    <xf numFmtId="0" fontId="18" fillId="39" borderId="15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39" borderId="16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39" borderId="96" xfId="0" applyFont="1" applyFill="1" applyBorder="1" applyAlignment="1">
      <alignment horizontal="left" vertical="center"/>
    </xf>
    <xf numFmtId="0" fontId="18" fillId="39" borderId="1" xfId="0" applyFont="1" applyFill="1" applyBorder="1" applyAlignment="1">
      <alignment horizontal="left" vertical="center"/>
    </xf>
    <xf numFmtId="0" fontId="18" fillId="39" borderId="1" xfId="0" applyFont="1" applyFill="1" applyBorder="1" applyAlignment="1">
      <alignment vertical="center"/>
    </xf>
    <xf numFmtId="0" fontId="18" fillId="41" borderId="32" xfId="0" applyFont="1" applyFill="1" applyBorder="1" applyAlignment="1">
      <alignment vertical="center"/>
    </xf>
    <xf numFmtId="0" fontId="18" fillId="41" borderId="1" xfId="0" applyFont="1" applyFill="1" applyBorder="1" applyAlignment="1">
      <alignment vertical="center"/>
    </xf>
    <xf numFmtId="0" fontId="18" fillId="41" borderId="93" xfId="0" applyFont="1" applyFill="1" applyBorder="1" applyAlignment="1">
      <alignment vertical="center"/>
    </xf>
    <xf numFmtId="0" fontId="18" fillId="46" borderId="8" xfId="0" applyFont="1" applyFill="1" applyBorder="1" applyAlignment="1">
      <alignment vertical="center"/>
    </xf>
    <xf numFmtId="0" fontId="18" fillId="46" borderId="0" xfId="0" applyFont="1" applyFill="1" applyAlignment="1">
      <alignment vertical="center"/>
    </xf>
    <xf numFmtId="0" fontId="18" fillId="46" borderId="1" xfId="0" applyFont="1" applyFill="1" applyBorder="1" applyAlignment="1">
      <alignment vertical="center"/>
    </xf>
    <xf numFmtId="0" fontId="18" fillId="46" borderId="9" xfId="0" applyFont="1" applyFill="1" applyBorder="1" applyAlignment="1">
      <alignment vertical="center"/>
    </xf>
    <xf numFmtId="0" fontId="18" fillId="46" borderId="97" xfId="0" applyFont="1" applyFill="1" applyBorder="1" applyAlignment="1">
      <alignment vertical="center"/>
    </xf>
    <xf numFmtId="0" fontId="18" fillId="46" borderId="69" xfId="0" applyFont="1" applyFill="1" applyBorder="1" applyAlignment="1">
      <alignment horizontal="center" vertical="center"/>
    </xf>
    <xf numFmtId="0" fontId="18" fillId="46" borderId="98" xfId="0" applyFont="1" applyFill="1" applyBorder="1" applyAlignment="1">
      <alignment vertical="center"/>
    </xf>
    <xf numFmtId="0" fontId="18" fillId="46" borderId="69" xfId="0" applyFont="1" applyFill="1" applyBorder="1" applyAlignment="1">
      <alignment vertical="center"/>
    </xf>
    <xf numFmtId="0" fontId="18" fillId="46" borderId="99" xfId="0" applyFont="1" applyFill="1" applyBorder="1" applyAlignment="1">
      <alignment vertical="center"/>
    </xf>
    <xf numFmtId="0" fontId="89" fillId="0" borderId="22" xfId="0" applyFont="1" applyBorder="1" applyAlignment="1">
      <alignment horizontal="center" vertical="center" wrapText="1"/>
    </xf>
    <xf numFmtId="0" fontId="89" fillId="0" borderId="22" xfId="0" applyFont="1" applyBorder="1" applyAlignment="1">
      <alignment vertical="center"/>
    </xf>
    <xf numFmtId="0" fontId="89" fillId="0" borderId="20" xfId="0" applyFont="1" applyBorder="1" applyAlignment="1">
      <alignment vertical="center"/>
    </xf>
    <xf numFmtId="0" fontId="89" fillId="0" borderId="17" xfId="0" applyFont="1" applyBorder="1" applyAlignment="1">
      <alignment vertical="center"/>
    </xf>
    <xf numFmtId="0" fontId="89" fillId="0" borderId="22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 wrapText="1"/>
    </xf>
    <xf numFmtId="0" fontId="17" fillId="0" borderId="100" xfId="0" applyFont="1" applyBorder="1" applyAlignment="1">
      <alignment vertical="center"/>
    </xf>
    <xf numFmtId="0" fontId="17" fillId="0" borderId="101" xfId="0" applyFont="1" applyBorder="1" applyAlignment="1">
      <alignment vertical="center"/>
    </xf>
    <xf numFmtId="0" fontId="17" fillId="0" borderId="104" xfId="0" applyFont="1" applyBorder="1" applyAlignment="1">
      <alignment vertical="center"/>
    </xf>
    <xf numFmtId="0" fontId="17" fillId="0" borderId="100" xfId="0" applyFont="1" applyBorder="1" applyAlignment="1">
      <alignment horizontal="center" vertical="center"/>
    </xf>
    <xf numFmtId="0" fontId="18" fillId="39" borderId="92" xfId="0" applyFont="1" applyFill="1" applyBorder="1" applyAlignment="1">
      <alignment horizontal="left" vertical="center"/>
    </xf>
    <xf numFmtId="0" fontId="18" fillId="39" borderId="3" xfId="0" applyFont="1" applyFill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7" fillId="0" borderId="8" xfId="0" applyFont="1" applyBorder="1" applyAlignment="1">
      <alignment vertical="center"/>
    </xf>
    <xf numFmtId="0" fontId="90" fillId="0" borderId="0" xfId="57489" applyFont="1">
      <alignment vertical="center"/>
    </xf>
    <xf numFmtId="0" fontId="91" fillId="0" borderId="0" xfId="57489" applyFont="1">
      <alignment vertical="center"/>
    </xf>
    <xf numFmtId="0" fontId="92" fillId="0" borderId="0" xfId="57489" applyFont="1">
      <alignment vertical="center"/>
    </xf>
    <xf numFmtId="0" fontId="92" fillId="0" borderId="0" xfId="57489" quotePrefix="1" applyFont="1">
      <alignment vertical="center"/>
    </xf>
    <xf numFmtId="0" fontId="92" fillId="0" borderId="33" xfId="57489" applyFont="1" applyBorder="1">
      <alignment vertical="center"/>
    </xf>
    <xf numFmtId="0" fontId="91" fillId="0" borderId="34" xfId="57489" applyFont="1" applyBorder="1">
      <alignment vertical="center"/>
    </xf>
    <xf numFmtId="0" fontId="93" fillId="0" borderId="0" xfId="57489" applyFont="1">
      <alignment vertical="center"/>
    </xf>
    <xf numFmtId="0" fontId="92" fillId="45" borderId="32" xfId="57489" applyFont="1" applyFill="1" applyBorder="1">
      <alignment vertical="center"/>
    </xf>
    <xf numFmtId="0" fontId="92" fillId="45" borderId="1" xfId="57489" applyFont="1" applyFill="1" applyBorder="1">
      <alignment vertical="center"/>
    </xf>
    <xf numFmtId="0" fontId="92" fillId="0" borderId="1" xfId="57489" applyFont="1" applyBorder="1">
      <alignment vertical="center"/>
    </xf>
    <xf numFmtId="0" fontId="91" fillId="0" borderId="1" xfId="57489" applyFont="1" applyBorder="1">
      <alignment vertical="center"/>
    </xf>
    <xf numFmtId="0" fontId="91" fillId="0" borderId="31" xfId="57489" applyFont="1" applyBorder="1">
      <alignment vertical="center"/>
    </xf>
    <xf numFmtId="0" fontId="92" fillId="35" borderId="32" xfId="57489" applyFont="1" applyFill="1" applyBorder="1">
      <alignment vertical="center"/>
    </xf>
    <xf numFmtId="0" fontId="92" fillId="35" borderId="1" xfId="57489" applyFont="1" applyFill="1" applyBorder="1">
      <alignment vertical="center"/>
    </xf>
    <xf numFmtId="0" fontId="92" fillId="35" borderId="31" xfId="57489" applyFont="1" applyFill="1" applyBorder="1">
      <alignment vertical="center"/>
    </xf>
    <xf numFmtId="0" fontId="90" fillId="35" borderId="1" xfId="57489" applyFont="1" applyFill="1" applyBorder="1">
      <alignment vertical="center"/>
    </xf>
    <xf numFmtId="0" fontId="90" fillId="35" borderId="31" xfId="57489" applyFont="1" applyFill="1" applyBorder="1">
      <alignment vertical="center"/>
    </xf>
    <xf numFmtId="0" fontId="17" fillId="0" borderId="0" xfId="57482" quotePrefix="1" applyFont="1" applyProtection="1">
      <protection locked="0"/>
    </xf>
    <xf numFmtId="0" fontId="18" fillId="35" borderId="0" xfId="0" applyFont="1" applyFill="1" applyAlignment="1">
      <alignment vertical="center"/>
    </xf>
    <xf numFmtId="0" fontId="17" fillId="35" borderId="0" xfId="0" quotePrefix="1" applyFont="1" applyFill="1" applyAlignment="1">
      <alignment vertical="center"/>
    </xf>
    <xf numFmtId="0" fontId="17" fillId="31" borderId="33" xfId="224" applyFont="1" applyFill="1" applyBorder="1" applyAlignment="1">
      <alignment vertical="center"/>
    </xf>
    <xf numFmtId="0" fontId="17" fillId="31" borderId="106" xfId="224" applyFont="1" applyFill="1" applyBorder="1" applyAlignment="1">
      <alignment vertical="center"/>
    </xf>
    <xf numFmtId="0" fontId="17" fillId="31" borderId="107" xfId="224" applyFont="1" applyFill="1" applyBorder="1" applyAlignment="1">
      <alignment vertical="center"/>
    </xf>
    <xf numFmtId="0" fontId="17" fillId="31" borderId="108" xfId="224" applyFont="1" applyFill="1" applyBorder="1" applyAlignment="1">
      <alignment vertical="center"/>
    </xf>
    <xf numFmtId="0" fontId="17" fillId="31" borderId="32" xfId="224" applyFont="1" applyFill="1" applyBorder="1" applyAlignment="1">
      <alignment vertical="center"/>
    </xf>
    <xf numFmtId="0" fontId="17" fillId="31" borderId="1" xfId="224" applyFont="1" applyFill="1" applyBorder="1" applyAlignment="1">
      <alignment vertical="center"/>
    </xf>
    <xf numFmtId="0" fontId="17" fillId="31" borderId="1" xfId="224" applyFont="1" applyFill="1" applyBorder="1" applyAlignment="1">
      <alignment vertical="center" wrapText="1"/>
    </xf>
    <xf numFmtId="0" fontId="17" fillId="47" borderId="106" xfId="224" applyFont="1" applyFill="1" applyBorder="1" applyAlignment="1">
      <alignment vertical="center"/>
    </xf>
    <xf numFmtId="0" fontId="17" fillId="47" borderId="107" xfId="224" applyFont="1" applyFill="1" applyBorder="1" applyAlignment="1">
      <alignment vertical="center"/>
    </xf>
    <xf numFmtId="0" fontId="17" fillId="47" borderId="108" xfId="224" applyFont="1" applyFill="1" applyBorder="1" applyAlignment="1">
      <alignment vertical="center"/>
    </xf>
    <xf numFmtId="0" fontId="17" fillId="31" borderId="105" xfId="224" applyFont="1" applyFill="1" applyBorder="1" applyAlignment="1">
      <alignment vertical="center"/>
    </xf>
    <xf numFmtId="49" fontId="81" fillId="39" borderId="116" xfId="0" applyNumberFormat="1" applyFont="1" applyFill="1" applyBorder="1" applyAlignment="1">
      <alignment vertical="center" shrinkToFit="1"/>
    </xf>
    <xf numFmtId="49" fontId="18" fillId="39" borderId="117" xfId="0" applyNumberFormat="1" applyFont="1" applyFill="1" applyBorder="1" applyAlignment="1">
      <alignment vertical="center"/>
    </xf>
    <xf numFmtId="49" fontId="18" fillId="39" borderId="118" xfId="0" applyNumberFormat="1" applyFont="1" applyFill="1" applyBorder="1" applyAlignment="1">
      <alignment vertical="center"/>
    </xf>
    <xf numFmtId="49" fontId="18" fillId="39" borderId="119" xfId="0" applyNumberFormat="1" applyFont="1" applyFill="1" applyBorder="1" applyAlignment="1">
      <alignment vertical="center"/>
    </xf>
    <xf numFmtId="49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 shrinkToFit="1"/>
    </xf>
    <xf numFmtId="0" fontId="17" fillId="0" borderId="33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0" fontId="98" fillId="48" borderId="0" xfId="224" applyFont="1" applyFill="1" applyAlignment="1">
      <alignment vertical="center"/>
    </xf>
    <xf numFmtId="0" fontId="17" fillId="48" borderId="0" xfId="224" applyFont="1" applyFill="1" applyAlignment="1">
      <alignment vertical="center"/>
    </xf>
    <xf numFmtId="0" fontId="17" fillId="47" borderId="0" xfId="224" applyFont="1" applyFill="1" applyAlignment="1">
      <alignment vertical="center"/>
    </xf>
    <xf numFmtId="0" fontId="17" fillId="49" borderId="106" xfId="224" applyFont="1" applyFill="1" applyBorder="1" applyAlignment="1">
      <alignment vertical="center"/>
    </xf>
    <xf numFmtId="0" fontId="17" fillId="50" borderId="107" xfId="224" applyFont="1" applyFill="1" applyBorder="1" applyAlignment="1">
      <alignment vertical="center"/>
    </xf>
    <xf numFmtId="0" fontId="17" fillId="51" borderId="106" xfId="224" applyFont="1" applyFill="1" applyBorder="1" applyAlignment="1">
      <alignment vertical="center"/>
    </xf>
    <xf numFmtId="0" fontId="17" fillId="51" borderId="107" xfId="224" applyFont="1" applyFill="1" applyBorder="1" applyAlignment="1">
      <alignment vertical="center"/>
    </xf>
    <xf numFmtId="0" fontId="17" fillId="51" borderId="108" xfId="224" applyFont="1" applyFill="1" applyBorder="1" applyAlignment="1">
      <alignment vertical="center"/>
    </xf>
    <xf numFmtId="0" fontId="17" fillId="50" borderId="106" xfId="224" applyFont="1" applyFill="1" applyBorder="1" applyAlignment="1">
      <alignment vertical="center"/>
    </xf>
    <xf numFmtId="0" fontId="17" fillId="50" borderId="108" xfId="224" applyFont="1" applyFill="1" applyBorder="1" applyAlignment="1">
      <alignment vertical="center"/>
    </xf>
    <xf numFmtId="0" fontId="17" fillId="31" borderId="109" xfId="224" applyFont="1" applyFill="1" applyBorder="1" applyAlignment="1">
      <alignment vertical="center"/>
    </xf>
    <xf numFmtId="0" fontId="17" fillId="31" borderId="110" xfId="224" applyFont="1" applyFill="1" applyBorder="1" applyAlignment="1">
      <alignment vertical="center"/>
    </xf>
    <xf numFmtId="0" fontId="17" fillId="31" borderId="110" xfId="224" applyFont="1" applyFill="1" applyBorder="1" applyAlignment="1">
      <alignment vertical="center" wrapText="1"/>
    </xf>
    <xf numFmtId="0" fontId="95" fillId="48" borderId="114" xfId="224" applyFont="1" applyFill="1" applyBorder="1" applyAlignment="1">
      <alignment vertical="center"/>
    </xf>
    <xf numFmtId="0" fontId="95" fillId="48" borderId="113" xfId="224" applyFont="1" applyFill="1" applyBorder="1" applyAlignment="1">
      <alignment vertical="center"/>
    </xf>
    <xf numFmtId="0" fontId="13" fillId="31" borderId="112" xfId="224" quotePrefix="1" applyFont="1" applyFill="1" applyBorder="1" applyAlignment="1">
      <alignment vertical="center"/>
    </xf>
    <xf numFmtId="0" fontId="13" fillId="31" borderId="113" xfId="224" applyFont="1" applyFill="1" applyBorder="1" applyAlignment="1">
      <alignment vertical="center"/>
    </xf>
    <xf numFmtId="0" fontId="13" fillId="31" borderId="112" xfId="224" applyFont="1" applyFill="1" applyBorder="1" applyAlignment="1">
      <alignment vertical="center"/>
    </xf>
    <xf numFmtId="0" fontId="13" fillId="31" borderId="114" xfId="224" applyFont="1" applyFill="1" applyBorder="1" applyAlignment="1">
      <alignment vertical="center"/>
    </xf>
    <xf numFmtId="0" fontId="99" fillId="52" borderId="123" xfId="0" applyFont="1" applyFill="1" applyBorder="1" applyAlignment="1">
      <alignment vertical="center"/>
    </xf>
    <xf numFmtId="0" fontId="71" fillId="52" borderId="10" xfId="0" applyFont="1" applyFill="1" applyBorder="1" applyAlignment="1">
      <alignment vertical="center"/>
    </xf>
    <xf numFmtId="0" fontId="71" fillId="52" borderId="124" xfId="0" applyFont="1" applyFill="1" applyBorder="1" applyAlignment="1">
      <alignment vertical="center"/>
    </xf>
    <xf numFmtId="0" fontId="22" fillId="0" borderId="113" xfId="0" applyFont="1" applyBorder="1" applyAlignment="1">
      <alignment vertical="center"/>
    </xf>
    <xf numFmtId="0" fontId="22" fillId="0" borderId="114" xfId="0" applyFont="1" applyBorder="1" applyAlignment="1">
      <alignment vertical="center"/>
    </xf>
    <xf numFmtId="0" fontId="22" fillId="0" borderId="110" xfId="0" applyFont="1" applyBorder="1" applyAlignment="1">
      <alignment vertical="center"/>
    </xf>
    <xf numFmtId="0" fontId="22" fillId="0" borderId="111" xfId="0" applyFont="1" applyBorder="1" applyAlignment="1">
      <alignment vertical="center"/>
    </xf>
    <xf numFmtId="0" fontId="17" fillId="0" borderId="113" xfId="0" applyFont="1" applyBorder="1" applyAlignment="1">
      <alignment vertical="center"/>
    </xf>
    <xf numFmtId="0" fontId="22" fillId="0" borderId="112" xfId="0" applyFont="1" applyBorder="1" applyAlignment="1">
      <alignment vertical="center"/>
    </xf>
    <xf numFmtId="0" fontId="18" fillId="39" borderId="113" xfId="0" applyFont="1" applyFill="1" applyBorder="1" applyAlignment="1">
      <alignment horizontal="left" vertical="center"/>
    </xf>
    <xf numFmtId="0" fontId="18" fillId="39" borderId="113" xfId="0" applyFont="1" applyFill="1" applyBorder="1" applyAlignment="1">
      <alignment vertical="center"/>
    </xf>
    <xf numFmtId="0" fontId="18" fillId="41" borderId="112" xfId="0" applyFont="1" applyFill="1" applyBorder="1" applyAlignment="1">
      <alignment vertical="center"/>
    </xf>
    <xf numFmtId="0" fontId="18" fillId="41" borderId="113" xfId="0" applyFont="1" applyFill="1" applyBorder="1" applyAlignment="1">
      <alignment vertical="center"/>
    </xf>
    <xf numFmtId="0" fontId="18" fillId="0" borderId="113" xfId="0" applyFont="1" applyBorder="1" applyAlignment="1">
      <alignment horizontal="left" vertical="center"/>
    </xf>
    <xf numFmtId="0" fontId="18" fillId="0" borderId="113" xfId="0" applyFont="1" applyBorder="1" applyAlignment="1">
      <alignment vertical="center"/>
    </xf>
    <xf numFmtId="0" fontId="18" fillId="39" borderId="114" xfId="0" applyFont="1" applyFill="1" applyBorder="1" applyAlignment="1">
      <alignment horizontal="left" vertical="center"/>
    </xf>
    <xf numFmtId="0" fontId="18" fillId="41" borderId="121" xfId="0" applyFont="1" applyFill="1" applyBorder="1" applyAlignment="1">
      <alignment vertical="center"/>
    </xf>
    <xf numFmtId="0" fontId="18" fillId="46" borderId="112" xfId="0" applyFont="1" applyFill="1" applyBorder="1" applyAlignment="1">
      <alignment vertical="center"/>
    </xf>
    <xf numFmtId="0" fontId="18" fillId="46" borderId="113" xfId="0" applyFont="1" applyFill="1" applyBorder="1" applyAlignment="1">
      <alignment vertical="center"/>
    </xf>
    <xf numFmtId="0" fontId="18" fillId="46" borderId="109" xfId="0" applyFont="1" applyFill="1" applyBorder="1" applyAlignment="1">
      <alignment vertical="center"/>
    </xf>
    <xf numFmtId="0" fontId="18" fillId="46" borderId="127" xfId="0" applyFont="1" applyFill="1" applyBorder="1" applyAlignment="1">
      <alignment vertical="center"/>
    </xf>
    <xf numFmtId="0" fontId="17" fillId="0" borderId="112" xfId="0" applyFont="1" applyBorder="1" applyAlignment="1">
      <alignment horizontal="center" vertical="center" wrapText="1"/>
    </xf>
    <xf numFmtId="0" fontId="17" fillId="0" borderId="114" xfId="0" applyFont="1" applyBorder="1" applyAlignment="1">
      <alignment vertical="center"/>
    </xf>
    <xf numFmtId="0" fontId="17" fillId="0" borderId="112" xfId="0" applyFont="1" applyBorder="1" applyAlignment="1">
      <alignment vertical="center"/>
    </xf>
    <xf numFmtId="0" fontId="17" fillId="0" borderId="112" xfId="0" applyFont="1" applyBorder="1" applyAlignment="1">
      <alignment horizontal="center" vertical="center"/>
    </xf>
    <xf numFmtId="0" fontId="17" fillId="0" borderId="112" xfId="0" applyFont="1" applyBorder="1" applyAlignment="1">
      <alignment vertical="top"/>
    </xf>
    <xf numFmtId="0" fontId="17" fillId="0" borderId="113" xfId="0" applyFont="1" applyBorder="1" applyAlignment="1">
      <alignment vertical="top"/>
    </xf>
    <xf numFmtId="0" fontId="17" fillId="0" borderId="121" xfId="0" applyFont="1" applyBorder="1" applyAlignment="1">
      <alignment vertical="top"/>
    </xf>
    <xf numFmtId="0" fontId="17" fillId="0" borderId="2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vertical="top"/>
    </xf>
    <xf numFmtId="0" fontId="17" fillId="0" borderId="20" xfId="0" applyFont="1" applyBorder="1" applyAlignment="1">
      <alignment vertical="top"/>
    </xf>
    <xf numFmtId="0" fontId="17" fillId="0" borderId="21" xfId="0" applyFont="1" applyBorder="1" applyAlignment="1">
      <alignment vertical="top"/>
    </xf>
    <xf numFmtId="0" fontId="17" fillId="0" borderId="102" xfId="0" applyFont="1" applyBorder="1" applyAlignment="1">
      <alignment vertical="center"/>
    </xf>
    <xf numFmtId="0" fontId="13" fillId="31" borderId="129" xfId="224" applyFont="1" applyFill="1" applyBorder="1" applyAlignment="1">
      <alignment vertical="center"/>
    </xf>
    <xf numFmtId="0" fontId="13" fillId="31" borderId="130" xfId="224" applyFont="1" applyFill="1" applyBorder="1" applyAlignment="1">
      <alignment vertical="center"/>
    </xf>
    <xf numFmtId="0" fontId="94" fillId="31" borderId="0" xfId="224" applyFont="1" applyFill="1" applyAlignment="1">
      <alignment horizontal="center" vertical="center"/>
    </xf>
    <xf numFmtId="0" fontId="98" fillId="53" borderId="131" xfId="224" applyFont="1" applyFill="1" applyBorder="1" applyAlignment="1">
      <alignment horizontal="center" vertical="center"/>
    </xf>
    <xf numFmtId="0" fontId="17" fillId="54" borderId="110" xfId="224" applyFont="1" applyFill="1" applyBorder="1" applyAlignment="1">
      <alignment vertical="center"/>
    </xf>
    <xf numFmtId="0" fontId="13" fillId="55" borderId="106" xfId="224" quotePrefix="1" applyFont="1" applyFill="1" applyBorder="1" applyAlignment="1">
      <alignment vertical="center"/>
    </xf>
    <xf numFmtId="0" fontId="13" fillId="55" borderId="107" xfId="224" applyFont="1" applyFill="1" applyBorder="1" applyAlignment="1">
      <alignment vertical="center"/>
    </xf>
    <xf numFmtId="0" fontId="13" fillId="55" borderId="108" xfId="224" applyFont="1" applyFill="1" applyBorder="1" applyAlignment="1">
      <alignment vertical="center"/>
    </xf>
    <xf numFmtId="0" fontId="13" fillId="0" borderId="107" xfId="224" applyFont="1" applyBorder="1" applyAlignment="1">
      <alignment vertical="center"/>
    </xf>
    <xf numFmtId="0" fontId="13" fillId="0" borderId="108" xfId="224" applyFont="1" applyBorder="1" applyAlignment="1">
      <alignment vertical="center"/>
    </xf>
    <xf numFmtId="0" fontId="18" fillId="0" borderId="121" xfId="0" applyFont="1" applyBorder="1" applyAlignment="1">
      <alignment vertical="center"/>
    </xf>
    <xf numFmtId="0" fontId="95" fillId="48" borderId="109" xfId="224" applyFont="1" applyFill="1" applyBorder="1" applyAlignment="1">
      <alignment vertical="center"/>
    </xf>
    <xf numFmtId="0" fontId="95" fillId="48" borderId="111" xfId="224" applyFont="1" applyFill="1" applyBorder="1" applyAlignment="1">
      <alignment vertical="center"/>
    </xf>
    <xf numFmtId="0" fontId="95" fillId="48" borderId="110" xfId="224" applyFont="1" applyFill="1" applyBorder="1" applyAlignment="1">
      <alignment vertical="center"/>
    </xf>
    <xf numFmtId="0" fontId="95" fillId="48" borderId="32" xfId="224" applyFont="1" applyFill="1" applyBorder="1" applyAlignment="1">
      <alignment vertical="center"/>
    </xf>
    <xf numFmtId="0" fontId="95" fillId="48" borderId="31" xfId="224" applyFont="1" applyFill="1" applyBorder="1" applyAlignment="1">
      <alignment vertical="center"/>
    </xf>
    <xf numFmtId="0" fontId="95" fillId="48" borderId="1" xfId="224" applyFont="1" applyFill="1" applyBorder="1" applyAlignment="1">
      <alignment vertical="center"/>
    </xf>
    <xf numFmtId="0" fontId="95" fillId="48" borderId="32" xfId="224" applyFont="1" applyFill="1" applyBorder="1" applyAlignment="1">
      <alignment horizontal="center" vertical="center" shrinkToFit="1"/>
    </xf>
    <xf numFmtId="0" fontId="95" fillId="48" borderId="31" xfId="224" applyFont="1" applyFill="1" applyBorder="1" applyAlignment="1">
      <alignment horizontal="center" vertical="center" shrinkToFit="1"/>
    </xf>
    <xf numFmtId="0" fontId="13" fillId="31" borderId="113" xfId="224" quotePrefix="1" applyFont="1" applyFill="1" applyBorder="1" applyAlignment="1">
      <alignment vertical="center"/>
    </xf>
    <xf numFmtId="49" fontId="22" fillId="41" borderId="18" xfId="0" applyNumberFormat="1" applyFont="1" applyFill="1" applyBorder="1" applyAlignment="1">
      <alignment vertical="center"/>
    </xf>
    <xf numFmtId="49" fontId="22" fillId="41" borderId="56" xfId="0" applyNumberFormat="1" applyFont="1" applyFill="1" applyBorder="1" applyAlignment="1">
      <alignment vertical="center"/>
    </xf>
    <xf numFmtId="0" fontId="22" fillId="41" borderId="110" xfId="0" applyFont="1" applyFill="1" applyBorder="1" applyAlignment="1">
      <alignment vertical="center"/>
    </xf>
    <xf numFmtId="0" fontId="22" fillId="41" borderId="111" xfId="0" applyFont="1" applyFill="1" applyBorder="1" applyAlignment="1">
      <alignment vertical="center"/>
    </xf>
    <xf numFmtId="0" fontId="22" fillId="41" borderId="23" xfId="0" applyFont="1" applyFill="1" applyBorder="1" applyAlignment="1">
      <alignment vertical="center"/>
    </xf>
    <xf numFmtId="49" fontId="22" fillId="41" borderId="3" xfId="0" applyNumberFormat="1" applyFont="1" applyFill="1" applyBorder="1" applyAlignment="1">
      <alignment vertical="center"/>
    </xf>
    <xf numFmtId="0" fontId="22" fillId="41" borderId="3" xfId="0" applyFont="1" applyFill="1" applyBorder="1" applyAlignment="1">
      <alignment vertical="center"/>
    </xf>
    <xf numFmtId="0" fontId="22" fillId="41" borderId="62" xfId="0" applyFont="1" applyFill="1" applyBorder="1" applyAlignment="1">
      <alignment vertical="center"/>
    </xf>
    <xf numFmtId="0" fontId="22" fillId="41" borderId="56" xfId="0" applyFont="1" applyFill="1" applyBorder="1" applyAlignment="1">
      <alignment vertical="center"/>
    </xf>
    <xf numFmtId="49" fontId="22" fillId="41" borderId="27" xfId="0" applyNumberFormat="1" applyFont="1" applyFill="1" applyBorder="1" applyAlignment="1">
      <alignment vertical="center"/>
    </xf>
    <xf numFmtId="0" fontId="22" fillId="41" borderId="113" xfId="0" applyFont="1" applyFill="1" applyBorder="1" applyAlignment="1">
      <alignment vertical="center"/>
    </xf>
    <xf numFmtId="0" fontId="22" fillId="41" borderId="114" xfId="0" applyFont="1" applyFill="1" applyBorder="1" applyAlignment="1">
      <alignment vertical="center"/>
    </xf>
    <xf numFmtId="0" fontId="14" fillId="0" borderId="0" xfId="57481" applyFont="1"/>
    <xf numFmtId="0" fontId="13" fillId="0" borderId="0" xfId="57481" applyFont="1"/>
    <xf numFmtId="0" fontId="13" fillId="0" borderId="0" xfId="57481" applyFont="1" applyAlignment="1">
      <alignment vertical="top"/>
    </xf>
    <xf numFmtId="0" fontId="13" fillId="0" borderId="0" xfId="57481" applyFont="1" applyAlignment="1">
      <alignment vertical="center"/>
    </xf>
    <xf numFmtId="0" fontId="13" fillId="0" borderId="0" xfId="57481" applyFont="1" applyAlignment="1">
      <alignment vertical="center" wrapText="1"/>
    </xf>
    <xf numFmtId="0" fontId="13" fillId="0" borderId="9" xfId="57481" applyFont="1" applyBorder="1" applyAlignment="1">
      <alignment vertical="center"/>
    </xf>
    <xf numFmtId="0" fontId="103" fillId="39" borderId="16" xfId="57492" applyFont="1" applyFill="1" applyBorder="1">
      <alignment vertical="center"/>
    </xf>
    <xf numFmtId="0" fontId="103" fillId="39" borderId="13" xfId="57492" applyFont="1" applyFill="1" applyBorder="1">
      <alignment vertical="center"/>
    </xf>
    <xf numFmtId="0" fontId="103" fillId="39" borderId="15" xfId="57492" applyFont="1" applyFill="1" applyBorder="1">
      <alignment vertical="center"/>
    </xf>
    <xf numFmtId="0" fontId="103" fillId="39" borderId="14" xfId="57492" applyFont="1" applyFill="1" applyBorder="1">
      <alignment vertical="center"/>
    </xf>
    <xf numFmtId="0" fontId="102" fillId="0" borderId="0" xfId="57492" applyFont="1" applyAlignment="1"/>
    <xf numFmtId="0" fontId="13" fillId="0" borderId="113" xfId="57493" applyFont="1" applyBorder="1">
      <alignment vertical="center"/>
    </xf>
    <xf numFmtId="0" fontId="13" fillId="0" borderId="121" xfId="57493" applyFont="1" applyBorder="1">
      <alignment vertical="center"/>
    </xf>
    <xf numFmtId="0" fontId="13" fillId="0" borderId="0" xfId="57492" applyFont="1" applyAlignment="1">
      <alignment horizontal="right" vertical="center"/>
    </xf>
    <xf numFmtId="0" fontId="13" fillId="0" borderId="112" xfId="57492" applyFont="1" applyBorder="1">
      <alignment vertical="center"/>
    </xf>
    <xf numFmtId="0" fontId="13" fillId="0" borderId="113" xfId="57492" applyFont="1" applyBorder="1">
      <alignment vertical="center"/>
    </xf>
    <xf numFmtId="0" fontId="13" fillId="0" borderId="114" xfId="57492" applyFont="1" applyBorder="1">
      <alignment vertical="center"/>
    </xf>
    <xf numFmtId="0" fontId="13" fillId="0" borderId="0" xfId="57481" applyFont="1" applyAlignment="1">
      <alignment vertical="center" shrinkToFit="1"/>
    </xf>
    <xf numFmtId="0" fontId="17" fillId="57" borderId="0" xfId="224" applyFont="1" applyFill="1" applyAlignment="1">
      <alignment horizontal="center" vertical="center"/>
    </xf>
    <xf numFmtId="0" fontId="104" fillId="57" borderId="0" xfId="224" applyFont="1" applyFill="1" applyAlignment="1">
      <alignment horizontal="center" vertical="center"/>
    </xf>
    <xf numFmtId="0" fontId="13" fillId="0" borderId="113" xfId="0" applyFont="1" applyBorder="1" applyAlignment="1">
      <alignment vertical="center"/>
    </xf>
    <xf numFmtId="49" fontId="22" fillId="0" borderId="110" xfId="0" applyNumberFormat="1" applyFont="1" applyBorder="1" applyAlignment="1">
      <alignment vertical="center"/>
    </xf>
    <xf numFmtId="0" fontId="0" fillId="0" borderId="110" xfId="0" applyBorder="1" applyAlignment="1">
      <alignment vertical="center"/>
    </xf>
    <xf numFmtId="49" fontId="22" fillId="0" borderId="113" xfId="0" applyNumberFormat="1" applyFont="1" applyBorder="1" applyAlignment="1">
      <alignment vertical="center"/>
    </xf>
    <xf numFmtId="0" fontId="0" fillId="0" borderId="113" xfId="0" applyBorder="1" applyAlignment="1">
      <alignment vertical="center"/>
    </xf>
    <xf numFmtId="0" fontId="0" fillId="41" borderId="113" xfId="0" applyFill="1" applyBorder="1" applyAlignment="1">
      <alignment vertical="center"/>
    </xf>
    <xf numFmtId="49" fontId="22" fillId="41" borderId="110" xfId="0" applyNumberFormat="1" applyFont="1" applyFill="1" applyBorder="1" applyAlignment="1">
      <alignment vertical="center"/>
    </xf>
    <xf numFmtId="0" fontId="0" fillId="41" borderId="110" xfId="0" applyFill="1" applyBorder="1" applyAlignment="1">
      <alignment vertical="center"/>
    </xf>
    <xf numFmtId="49" fontId="22" fillId="0" borderId="23" xfId="0" applyNumberFormat="1" applyFont="1" applyBorder="1" applyAlignment="1">
      <alignment vertical="center"/>
    </xf>
    <xf numFmtId="49" fontId="105" fillId="0" borderId="0" xfId="57490" applyNumberFormat="1" applyFont="1">
      <alignment vertical="center"/>
    </xf>
    <xf numFmtId="0" fontId="13" fillId="0" borderId="112" xfId="57493" applyFont="1" applyBorder="1">
      <alignment vertical="center"/>
    </xf>
    <xf numFmtId="0" fontId="13" fillId="0" borderId="114" xfId="57493" applyFont="1" applyBorder="1">
      <alignment vertical="center"/>
    </xf>
    <xf numFmtId="49" fontId="106" fillId="0" borderId="0" xfId="57490" applyNumberFormat="1" applyFont="1">
      <alignment vertical="center"/>
    </xf>
    <xf numFmtId="49" fontId="106" fillId="0" borderId="0" xfId="0" applyNumberFormat="1" applyFont="1" applyAlignment="1">
      <alignment vertical="center"/>
    </xf>
    <xf numFmtId="49" fontId="107" fillId="0" borderId="0" xfId="57490" applyNumberFormat="1" applyFont="1">
      <alignment vertical="center"/>
    </xf>
    <xf numFmtId="0" fontId="13" fillId="0" borderId="109" xfId="57493" applyFont="1" applyBorder="1">
      <alignment vertical="center"/>
    </xf>
    <xf numFmtId="0" fontId="13" fillId="0" borderId="110" xfId="57493" applyFont="1" applyBorder="1">
      <alignment vertical="center"/>
    </xf>
    <xf numFmtId="0" fontId="13" fillId="0" borderId="111" xfId="57493" applyFont="1" applyBorder="1">
      <alignment vertical="center"/>
    </xf>
    <xf numFmtId="0" fontId="13" fillId="0" borderId="115" xfId="57493" applyFont="1" applyBorder="1">
      <alignment vertical="center"/>
    </xf>
    <xf numFmtId="0" fontId="13" fillId="0" borderId="121" xfId="57492" applyFont="1" applyBorder="1">
      <alignment vertical="center"/>
    </xf>
    <xf numFmtId="0" fontId="13" fillId="0" borderId="22" xfId="57493" applyFont="1" applyBorder="1">
      <alignment vertical="center"/>
    </xf>
    <xf numFmtId="0" fontId="13" fillId="0" borderId="20" xfId="57493" applyFont="1" applyBorder="1">
      <alignment vertical="center"/>
    </xf>
    <xf numFmtId="0" fontId="13" fillId="0" borderId="17" xfId="57493" applyFont="1" applyBorder="1">
      <alignment vertical="center"/>
    </xf>
    <xf numFmtId="0" fontId="13" fillId="0" borderId="22" xfId="57492" applyFont="1" applyBorder="1">
      <alignment vertical="center"/>
    </xf>
    <xf numFmtId="0" fontId="13" fillId="0" borderId="20" xfId="57492" applyFont="1" applyBorder="1">
      <alignment vertical="center"/>
    </xf>
    <xf numFmtId="0" fontId="13" fillId="0" borderId="17" xfId="57492" applyFont="1" applyBorder="1">
      <alignment vertical="center"/>
    </xf>
    <xf numFmtId="0" fontId="13" fillId="0" borderId="21" xfId="57492" applyFont="1" applyBorder="1">
      <alignment vertical="center"/>
    </xf>
    <xf numFmtId="49" fontId="108" fillId="39" borderId="116" xfId="0" applyNumberFormat="1" applyFont="1" applyFill="1" applyBorder="1" applyAlignment="1">
      <alignment vertical="center" shrinkToFit="1"/>
    </xf>
    <xf numFmtId="49" fontId="108" fillId="39" borderId="117" xfId="0" applyNumberFormat="1" applyFont="1" applyFill="1" applyBorder="1" applyAlignment="1">
      <alignment vertical="center"/>
    </xf>
    <xf numFmtId="49" fontId="108" fillId="39" borderId="118" xfId="0" applyNumberFormat="1" applyFont="1" applyFill="1" applyBorder="1" applyAlignment="1">
      <alignment vertical="center"/>
    </xf>
    <xf numFmtId="49" fontId="108" fillId="39" borderId="119" xfId="0" applyNumberFormat="1" applyFont="1" applyFill="1" applyBorder="1" applyAlignment="1">
      <alignment vertical="center"/>
    </xf>
    <xf numFmtId="49" fontId="106" fillId="0" borderId="120" xfId="0" applyNumberFormat="1" applyFont="1" applyBorder="1" applyAlignment="1">
      <alignment vertical="center" shrinkToFit="1"/>
    </xf>
    <xf numFmtId="49" fontId="108" fillId="40" borderId="113" xfId="0" applyNumberFormat="1" applyFont="1" applyFill="1" applyBorder="1" applyAlignment="1">
      <alignment vertical="center"/>
    </xf>
    <xf numFmtId="49" fontId="106" fillId="40" borderId="113" xfId="0" applyNumberFormat="1" applyFont="1" applyFill="1" applyBorder="1" applyAlignment="1">
      <alignment vertical="center"/>
    </xf>
    <xf numFmtId="49" fontId="106" fillId="40" borderId="121" xfId="0" applyNumberFormat="1" applyFont="1" applyFill="1" applyBorder="1" applyAlignment="1">
      <alignment vertical="center"/>
    </xf>
    <xf numFmtId="49" fontId="106" fillId="0" borderId="122" xfId="0" applyNumberFormat="1" applyFont="1" applyBorder="1" applyAlignment="1">
      <alignment vertical="center" shrinkToFit="1"/>
    </xf>
    <xf numFmtId="49" fontId="106" fillId="0" borderId="33" xfId="0" applyNumberFormat="1" applyFont="1" applyBorder="1" applyAlignment="1">
      <alignment vertical="center"/>
    </xf>
    <xf numFmtId="49" fontId="106" fillId="0" borderId="34" xfId="0" applyNumberFormat="1" applyFont="1" applyBorder="1" applyAlignment="1">
      <alignment vertical="center"/>
    </xf>
    <xf numFmtId="0" fontId="106" fillId="0" borderId="0" xfId="57491" applyFont="1" applyAlignment="1">
      <alignment vertical="center"/>
    </xf>
    <xf numFmtId="49" fontId="106" fillId="0" borderId="9" xfId="0" applyNumberFormat="1" applyFont="1" applyBorder="1" applyAlignment="1">
      <alignment vertical="center"/>
    </xf>
    <xf numFmtId="49" fontId="106" fillId="0" borderId="0" xfId="0" applyNumberFormat="1" applyFont="1" applyAlignment="1">
      <alignment horizontal="left" vertical="center"/>
    </xf>
    <xf numFmtId="49" fontId="105" fillId="0" borderId="0" xfId="0" applyNumberFormat="1" applyFont="1" applyAlignment="1">
      <alignment vertical="center"/>
    </xf>
    <xf numFmtId="49" fontId="106" fillId="0" borderId="96" xfId="0" applyNumberFormat="1" applyFont="1" applyBorder="1" applyAlignment="1">
      <alignment vertical="center" shrinkToFit="1"/>
    </xf>
    <xf numFmtId="49" fontId="106" fillId="0" borderId="32" xfId="0" applyNumberFormat="1" applyFont="1" applyBorder="1" applyAlignment="1">
      <alignment vertical="center"/>
    </xf>
    <xf numFmtId="49" fontId="106" fillId="0" borderId="1" xfId="0" applyNumberFormat="1" applyFont="1" applyBorder="1" applyAlignment="1">
      <alignment vertical="center"/>
    </xf>
    <xf numFmtId="49" fontId="106" fillId="0" borderId="31" xfId="0" applyNumberFormat="1" applyFont="1" applyBorder="1" applyAlignment="1">
      <alignment vertical="center"/>
    </xf>
    <xf numFmtId="49" fontId="106" fillId="0" borderId="33" xfId="57490" applyNumberFormat="1" applyFont="1" applyBorder="1">
      <alignment vertical="center"/>
    </xf>
    <xf numFmtId="0" fontId="106" fillId="0" borderId="0" xfId="0" applyFont="1" applyAlignment="1">
      <alignment vertical="center"/>
    </xf>
    <xf numFmtId="0" fontId="107" fillId="0" borderId="0" xfId="0" applyFont="1" applyAlignment="1">
      <alignment vertical="center"/>
    </xf>
    <xf numFmtId="0" fontId="106" fillId="0" borderId="6" xfId="0" applyFont="1" applyBorder="1" applyAlignment="1">
      <alignment vertical="center" shrinkToFit="1"/>
    </xf>
    <xf numFmtId="0" fontId="106" fillId="0" borderId="125" xfId="0" applyFont="1" applyBorder="1" applyAlignment="1">
      <alignment vertical="center"/>
    </xf>
    <xf numFmtId="0" fontId="106" fillId="0" borderId="66" xfId="0" applyFont="1" applyBorder="1" applyAlignment="1">
      <alignment vertical="center"/>
    </xf>
    <xf numFmtId="0" fontId="106" fillId="0" borderId="128" xfId="0" applyFont="1" applyBorder="1" applyAlignment="1">
      <alignment vertical="center"/>
    </xf>
    <xf numFmtId="0" fontId="106" fillId="0" borderId="126" xfId="0" applyFont="1" applyBorder="1" applyAlignment="1">
      <alignment vertical="center"/>
    </xf>
    <xf numFmtId="49" fontId="18" fillId="58" borderId="123" xfId="0" applyNumberFormat="1" applyFont="1" applyFill="1" applyBorder="1" applyAlignment="1">
      <alignment vertical="center"/>
    </xf>
    <xf numFmtId="0" fontId="17" fillId="58" borderId="10" xfId="0" applyFont="1" applyFill="1" applyBorder="1" applyAlignment="1">
      <alignment vertical="center"/>
    </xf>
    <xf numFmtId="49" fontId="18" fillId="58" borderId="10" xfId="0" applyNumberFormat="1" applyFont="1" applyFill="1" applyBorder="1" applyAlignment="1">
      <alignment vertical="center"/>
    </xf>
    <xf numFmtId="49" fontId="17" fillId="58" borderId="10" xfId="0" applyNumberFormat="1" applyFont="1" applyFill="1" applyBorder="1" applyAlignment="1">
      <alignment vertical="center"/>
    </xf>
    <xf numFmtId="49" fontId="17" fillId="58" borderId="124" xfId="0" applyNumberFormat="1" applyFont="1" applyFill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66" xfId="0" applyFont="1" applyBorder="1" applyAlignment="1">
      <alignment vertical="center"/>
    </xf>
    <xf numFmtId="0" fontId="17" fillId="0" borderId="126" xfId="0" applyFont="1" applyBorder="1" applyAlignment="1">
      <alignment vertical="center"/>
    </xf>
    <xf numFmtId="0" fontId="15" fillId="34" borderId="13" xfId="0" applyFont="1" applyFill="1" applyBorder="1" applyAlignment="1">
      <alignment vertical="center"/>
    </xf>
    <xf numFmtId="0" fontId="17" fillId="0" borderId="121" xfId="0" applyFont="1" applyBorder="1" applyAlignment="1">
      <alignment vertical="center"/>
    </xf>
    <xf numFmtId="0" fontId="17" fillId="0" borderId="11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7" fillId="0" borderId="115" xfId="0" applyFont="1" applyBorder="1" applyAlignment="1">
      <alignment vertical="center"/>
    </xf>
    <xf numFmtId="0" fontId="18" fillId="0" borderId="66" xfId="0" applyFont="1" applyBorder="1" applyAlignment="1">
      <alignment vertical="center"/>
    </xf>
    <xf numFmtId="0" fontId="17" fillId="0" borderId="66" xfId="0" applyFont="1" applyBorder="1" applyAlignment="1">
      <alignment horizontal="center" vertical="center"/>
    </xf>
    <xf numFmtId="0" fontId="17" fillId="0" borderId="66" xfId="0" applyFont="1" applyBorder="1" applyAlignment="1">
      <alignment vertical="center" wrapText="1"/>
    </xf>
    <xf numFmtId="0" fontId="92" fillId="0" borderId="109" xfId="57489" applyFont="1" applyBorder="1">
      <alignment vertical="center"/>
    </xf>
    <xf numFmtId="0" fontId="91" fillId="0" borderId="110" xfId="57489" applyFont="1" applyBorder="1">
      <alignment vertical="center"/>
    </xf>
    <xf numFmtId="0" fontId="92" fillId="0" borderId="110" xfId="57489" applyFont="1" applyBorder="1">
      <alignment vertical="center"/>
    </xf>
    <xf numFmtId="0" fontId="91" fillId="0" borderId="111" xfId="57489" applyFont="1" applyBorder="1">
      <alignment vertical="center"/>
    </xf>
    <xf numFmtId="0" fontId="92" fillId="35" borderId="109" xfId="57489" applyFont="1" applyFill="1" applyBorder="1">
      <alignment vertical="center"/>
    </xf>
    <xf numFmtId="0" fontId="92" fillId="35" borderId="110" xfId="57489" applyFont="1" applyFill="1" applyBorder="1">
      <alignment vertical="center"/>
    </xf>
    <xf numFmtId="0" fontId="92" fillId="35" borderId="111" xfId="57489" applyFont="1" applyFill="1" applyBorder="1">
      <alignment vertical="center"/>
    </xf>
    <xf numFmtId="0" fontId="92" fillId="35" borderId="112" xfId="57489" applyFont="1" applyFill="1" applyBorder="1">
      <alignment vertical="center"/>
    </xf>
    <xf numFmtId="0" fontId="92" fillId="35" borderId="113" xfId="57489" applyFont="1" applyFill="1" applyBorder="1">
      <alignment vertical="center"/>
    </xf>
    <xf numFmtId="0" fontId="92" fillId="35" borderId="114" xfId="57489" applyFont="1" applyFill="1" applyBorder="1">
      <alignment vertical="center"/>
    </xf>
    <xf numFmtId="0" fontId="90" fillId="35" borderId="113" xfId="57489" applyFont="1" applyFill="1" applyBorder="1">
      <alignment vertical="center"/>
    </xf>
    <xf numFmtId="0" fontId="90" fillId="35" borderId="114" xfId="57489" applyFont="1" applyFill="1" applyBorder="1">
      <alignment vertical="center"/>
    </xf>
    <xf numFmtId="0" fontId="92" fillId="0" borderId="112" xfId="57489" applyFont="1" applyBorder="1">
      <alignment vertical="center"/>
    </xf>
    <xf numFmtId="0" fontId="92" fillId="0" borderId="113" xfId="57489" applyFont="1" applyBorder="1">
      <alignment vertical="center"/>
    </xf>
    <xf numFmtId="0" fontId="92" fillId="0" borderId="114" xfId="57489" applyFont="1" applyBorder="1">
      <alignment vertical="center"/>
    </xf>
    <xf numFmtId="0" fontId="90" fillId="0" borderId="113" xfId="57489" applyFont="1" applyBorder="1">
      <alignment vertical="center"/>
    </xf>
    <xf numFmtId="0" fontId="90" fillId="0" borderId="114" xfId="57489" applyFont="1" applyBorder="1">
      <alignment vertical="center"/>
    </xf>
    <xf numFmtId="0" fontId="92" fillId="45" borderId="112" xfId="57489" applyFont="1" applyFill="1" applyBorder="1">
      <alignment vertical="center"/>
    </xf>
    <xf numFmtId="0" fontId="92" fillId="45" borderId="113" xfId="57489" applyFont="1" applyFill="1" applyBorder="1">
      <alignment vertical="center"/>
    </xf>
    <xf numFmtId="0" fontId="92" fillId="45" borderId="114" xfId="57489" applyFont="1" applyFill="1" applyBorder="1">
      <alignment vertical="center"/>
    </xf>
    <xf numFmtId="0" fontId="90" fillId="45" borderId="113" xfId="57489" applyFont="1" applyFill="1" applyBorder="1">
      <alignment vertical="center"/>
    </xf>
    <xf numFmtId="0" fontId="90" fillId="45" borderId="114" xfId="57489" applyFont="1" applyFill="1" applyBorder="1">
      <alignment vertical="center"/>
    </xf>
    <xf numFmtId="0" fontId="17" fillId="31" borderId="66" xfId="224" applyFont="1" applyFill="1" applyBorder="1" applyAlignment="1">
      <alignment vertical="center"/>
    </xf>
    <xf numFmtId="0" fontId="17" fillId="31" borderId="66" xfId="224" applyFont="1" applyFill="1" applyBorder="1" applyAlignment="1">
      <alignment horizontal="center" vertical="center"/>
    </xf>
    <xf numFmtId="0" fontId="17" fillId="31" borderId="66" xfId="224" applyFont="1" applyFill="1" applyBorder="1" applyAlignment="1">
      <alignment vertical="center" wrapText="1"/>
    </xf>
    <xf numFmtId="0" fontId="17" fillId="31" borderId="126" xfId="224" applyFont="1" applyFill="1" applyBorder="1" applyAlignment="1">
      <alignment vertical="center"/>
    </xf>
    <xf numFmtId="0" fontId="17" fillId="54" borderId="109" xfId="224" applyFont="1" applyFill="1" applyBorder="1" applyAlignment="1">
      <alignment vertical="center"/>
    </xf>
    <xf numFmtId="0" fontId="17" fillId="54" borderId="110" xfId="224" applyFont="1" applyFill="1" applyBorder="1" applyAlignment="1">
      <alignment vertical="center" wrapText="1"/>
    </xf>
    <xf numFmtId="0" fontId="17" fillId="33" borderId="113" xfId="0" applyFont="1" applyFill="1" applyBorder="1" applyAlignment="1">
      <alignment vertical="center"/>
    </xf>
    <xf numFmtId="0" fontId="17" fillId="33" borderId="114" xfId="0" applyFont="1" applyFill="1" applyBorder="1" applyAlignment="1">
      <alignment vertical="center"/>
    </xf>
    <xf numFmtId="0" fontId="18" fillId="33" borderId="113" xfId="0" applyFont="1" applyFill="1" applyBorder="1" applyAlignment="1">
      <alignment vertical="center"/>
    </xf>
    <xf numFmtId="0" fontId="18" fillId="33" borderId="112" xfId="0" applyFont="1" applyFill="1" applyBorder="1" applyAlignment="1">
      <alignment vertical="center"/>
    </xf>
    <xf numFmtId="0" fontId="17" fillId="33" borderId="121" xfId="0" applyFont="1" applyFill="1" applyBorder="1" applyAlignment="1">
      <alignment vertical="center"/>
    </xf>
    <xf numFmtId="0" fontId="17" fillId="0" borderId="111" xfId="0" applyFont="1" applyBorder="1" applyAlignment="1">
      <alignment vertical="center"/>
    </xf>
    <xf numFmtId="0" fontId="17" fillId="0" borderId="109" xfId="0" applyFont="1" applyBorder="1" applyAlignment="1">
      <alignment vertical="center"/>
    </xf>
    <xf numFmtId="0" fontId="89" fillId="0" borderId="112" xfId="0" applyFont="1" applyBorder="1" applyAlignment="1">
      <alignment horizontal="center" vertical="center" wrapText="1"/>
    </xf>
    <xf numFmtId="0" fontId="89" fillId="0" borderId="112" xfId="0" applyFont="1" applyBorder="1" applyAlignment="1">
      <alignment vertical="center"/>
    </xf>
    <xf numFmtId="0" fontId="89" fillId="0" borderId="113" xfId="0" applyFont="1" applyBorder="1" applyAlignment="1">
      <alignment vertical="center"/>
    </xf>
    <xf numFmtId="0" fontId="89" fillId="0" borderId="114" xfId="0" applyFont="1" applyBorder="1" applyAlignment="1">
      <alignment vertical="center"/>
    </xf>
    <xf numFmtId="0" fontId="89" fillId="0" borderId="112" xfId="0" applyFont="1" applyBorder="1" applyAlignment="1">
      <alignment horizontal="center" vertical="center"/>
    </xf>
    <xf numFmtId="0" fontId="19" fillId="31" borderId="0" xfId="224" applyFont="1" applyFill="1" applyAlignment="1">
      <alignment vertical="center"/>
    </xf>
    <xf numFmtId="0" fontId="109" fillId="31" borderId="0" xfId="224" applyFont="1" applyFill="1" applyAlignment="1">
      <alignment vertical="center"/>
    </xf>
    <xf numFmtId="0" fontId="110" fillId="31" borderId="0" xfId="224" applyFont="1" applyFill="1" applyAlignment="1">
      <alignment vertical="center"/>
    </xf>
    <xf numFmtId="0" fontId="19" fillId="0" borderId="0" xfId="6237" applyFont="1" applyAlignment="1">
      <alignment vertical="center"/>
    </xf>
    <xf numFmtId="0" fontId="101" fillId="48" borderId="109" xfId="224" applyFont="1" applyFill="1" applyBorder="1" applyAlignment="1">
      <alignment horizontal="center" vertical="center" wrapText="1" shrinkToFit="1"/>
    </xf>
    <xf numFmtId="0" fontId="101" fillId="48" borderId="111" xfId="224" applyFont="1" applyFill="1" applyBorder="1" applyAlignment="1">
      <alignment horizontal="center" vertical="center" shrinkToFit="1"/>
    </xf>
    <xf numFmtId="0" fontId="101" fillId="48" borderId="32" xfId="224" applyFont="1" applyFill="1" applyBorder="1" applyAlignment="1">
      <alignment horizontal="center" vertical="center" shrinkToFit="1"/>
    </xf>
    <xf numFmtId="0" fontId="101" fillId="48" borderId="31" xfId="224" applyFont="1" applyFill="1" applyBorder="1" applyAlignment="1">
      <alignment horizontal="center" vertical="center" shrinkToFit="1"/>
    </xf>
    <xf numFmtId="0" fontId="100" fillId="48" borderId="109" xfId="224" applyFont="1" applyFill="1" applyBorder="1" applyAlignment="1">
      <alignment horizontal="center" vertical="center" wrapText="1" shrinkToFit="1"/>
    </xf>
    <xf numFmtId="0" fontId="100" fillId="48" borderId="111" xfId="224" applyFont="1" applyFill="1" applyBorder="1" applyAlignment="1">
      <alignment horizontal="center" vertical="center" shrinkToFit="1"/>
    </xf>
    <xf numFmtId="0" fontId="100" fillId="48" borderId="32" xfId="224" applyFont="1" applyFill="1" applyBorder="1" applyAlignment="1">
      <alignment horizontal="center" vertical="center" shrinkToFit="1"/>
    </xf>
    <xf numFmtId="0" fontId="100" fillId="48" borderId="31" xfId="224" applyFont="1" applyFill="1" applyBorder="1" applyAlignment="1">
      <alignment horizontal="center" vertical="center" shrinkToFit="1"/>
    </xf>
    <xf numFmtId="0" fontId="15" fillId="33" borderId="16" xfId="9" applyFont="1" applyFill="1" applyBorder="1" applyAlignment="1">
      <alignment horizontal="center" wrapText="1"/>
    </xf>
    <xf numFmtId="0" fontId="6" fillId="0" borderId="13" xfId="224" applyBorder="1" applyAlignment="1">
      <alignment horizontal="center" wrapText="1"/>
    </xf>
    <xf numFmtId="0" fontId="6" fillId="0" borderId="15" xfId="224" applyBorder="1" applyAlignment="1">
      <alignment horizontal="center" wrapText="1"/>
    </xf>
    <xf numFmtId="0" fontId="15" fillId="33" borderId="16" xfId="9" applyFont="1" applyFill="1" applyBorder="1" applyAlignment="1">
      <alignment horizontal="center"/>
    </xf>
    <xf numFmtId="0" fontId="6" fillId="0" borderId="13" xfId="224" applyBorder="1" applyAlignment="1">
      <alignment horizontal="center"/>
    </xf>
    <xf numFmtId="0" fontId="6" fillId="0" borderId="15" xfId="224" applyBorder="1" applyAlignment="1">
      <alignment horizontal="center"/>
    </xf>
    <xf numFmtId="0" fontId="6" fillId="0" borderId="14" xfId="224" applyBorder="1" applyAlignment="1">
      <alignment horizontal="center"/>
    </xf>
    <xf numFmtId="0" fontId="15" fillId="0" borderId="109" xfId="8" applyFont="1" applyBorder="1" applyAlignment="1">
      <alignment horizontal="center" vertical="center" wrapText="1"/>
    </xf>
    <xf numFmtId="0" fontId="6" fillId="0" borderId="110" xfId="224" applyBorder="1" applyAlignment="1">
      <alignment horizontal="center" vertical="center" wrapText="1"/>
    </xf>
    <xf numFmtId="0" fontId="15" fillId="33" borderId="112" xfId="8" applyFont="1" applyFill="1" applyBorder="1" applyAlignment="1">
      <alignment horizontal="center" wrapText="1"/>
    </xf>
    <xf numFmtId="0" fontId="6" fillId="0" borderId="113" xfId="224" applyBorder="1" applyAlignment="1">
      <alignment horizontal="center" wrapText="1"/>
    </xf>
    <xf numFmtId="0" fontId="6" fillId="0" borderId="114" xfId="224" applyBorder="1" applyAlignment="1">
      <alignment horizontal="center" wrapText="1"/>
    </xf>
    <xf numFmtId="0" fontId="16" fillId="0" borderId="112" xfId="8" applyFont="1" applyBorder="1" applyAlignment="1">
      <alignment horizontal="center" wrapText="1"/>
    </xf>
    <xf numFmtId="0" fontId="16" fillId="0" borderId="113" xfId="8" applyFont="1" applyBorder="1" applyAlignment="1">
      <alignment horizontal="center" wrapText="1"/>
    </xf>
    <xf numFmtId="0" fontId="16" fillId="0" borderId="114" xfId="8" applyFont="1" applyBorder="1" applyAlignment="1">
      <alignment horizontal="center" wrapText="1"/>
    </xf>
    <xf numFmtId="0" fontId="16" fillId="0" borderId="112" xfId="224" applyFont="1" applyBorder="1" applyAlignment="1">
      <alignment horizontal="center" wrapText="1"/>
    </xf>
    <xf numFmtId="14" fontId="16" fillId="0" borderId="109" xfId="9" applyNumberFormat="1" applyFont="1" applyBorder="1" applyAlignment="1">
      <alignment horizontal="center" vertical="center" wrapText="1"/>
    </xf>
    <xf numFmtId="0" fontId="6" fillId="0" borderId="111" xfId="224" applyBorder="1" applyAlignment="1">
      <alignment horizontal="center" vertical="center" wrapText="1"/>
    </xf>
    <xf numFmtId="0" fontId="6" fillId="0" borderId="125" xfId="224" applyBorder="1" applyAlignment="1">
      <alignment horizontal="center" vertical="center" wrapText="1"/>
    </xf>
    <xf numFmtId="0" fontId="6" fillId="0" borderId="66" xfId="224" applyBorder="1" applyAlignment="1">
      <alignment horizontal="center" vertical="center" wrapText="1"/>
    </xf>
    <xf numFmtId="0" fontId="6" fillId="0" borderId="128" xfId="224" applyBorder="1" applyAlignment="1">
      <alignment horizontal="center" vertical="center" wrapText="1"/>
    </xf>
    <xf numFmtId="0" fontId="16" fillId="0" borderId="109" xfId="9" applyFont="1" applyBorder="1" applyAlignment="1">
      <alignment horizontal="center" vertical="center" wrapText="1"/>
    </xf>
    <xf numFmtId="0" fontId="16" fillId="0" borderId="16" xfId="8" applyFont="1" applyBorder="1" applyAlignment="1">
      <alignment horizontal="center" wrapText="1"/>
    </xf>
    <xf numFmtId="176" fontId="16" fillId="0" borderId="109" xfId="9" applyNumberFormat="1" applyFont="1" applyBorder="1" applyAlignment="1">
      <alignment horizontal="center" vertical="center" wrapText="1"/>
    </xf>
    <xf numFmtId="0" fontId="6" fillId="0" borderId="115" xfId="224" applyBorder="1" applyAlignment="1">
      <alignment horizontal="center" vertical="center" wrapText="1"/>
    </xf>
    <xf numFmtId="0" fontId="6" fillId="0" borderId="126" xfId="224" applyBorder="1" applyAlignment="1">
      <alignment horizontal="center" vertical="center" wrapText="1"/>
    </xf>
    <xf numFmtId="0" fontId="18" fillId="0" borderId="125" xfId="8" applyFont="1" applyBorder="1" applyAlignment="1">
      <alignment horizontal="center" vertical="center" shrinkToFit="1"/>
    </xf>
    <xf numFmtId="0" fontId="23" fillId="0" borderId="66" xfId="224" applyFont="1" applyBorder="1" applyAlignment="1">
      <alignment horizontal="center" vertical="center" shrinkToFit="1"/>
    </xf>
    <xf numFmtId="0" fontId="15" fillId="33" borderId="22" xfId="8" applyFont="1" applyFill="1" applyBorder="1" applyAlignment="1">
      <alignment horizontal="center" wrapText="1"/>
    </xf>
    <xf numFmtId="0" fontId="6" fillId="0" borderId="20" xfId="224" applyBorder="1" applyAlignment="1">
      <alignment horizontal="center" wrapText="1"/>
    </xf>
    <xf numFmtId="0" fontId="6" fillId="0" borderId="17" xfId="224" applyBorder="1" applyAlignment="1">
      <alignment horizontal="center" wrapText="1"/>
    </xf>
    <xf numFmtId="0" fontId="17" fillId="0" borderId="22" xfId="6" applyFont="1" applyBorder="1" applyAlignment="1">
      <alignment horizontal="center" wrapText="1"/>
    </xf>
    <xf numFmtId="0" fontId="17" fillId="0" borderId="20" xfId="6" applyFont="1" applyBorder="1" applyAlignment="1">
      <alignment horizontal="center" wrapText="1"/>
    </xf>
    <xf numFmtId="0" fontId="17" fillId="0" borderId="20" xfId="6" quotePrefix="1" applyFont="1" applyBorder="1" applyAlignment="1">
      <alignment wrapText="1"/>
    </xf>
    <xf numFmtId="0" fontId="23" fillId="0" borderId="20" xfId="224" applyFont="1" applyBorder="1" applyAlignment="1">
      <alignment wrapText="1"/>
    </xf>
    <xf numFmtId="0" fontId="23" fillId="0" borderId="17" xfId="224" applyFont="1" applyBorder="1" applyAlignment="1">
      <alignment wrapText="1"/>
    </xf>
    <xf numFmtId="0" fontId="24" fillId="0" borderId="4" xfId="8" applyFont="1" applyBorder="1" applyAlignment="1">
      <alignment horizontal="center" vertical="center" wrapText="1"/>
    </xf>
    <xf numFmtId="0" fontId="21" fillId="0" borderId="5" xfId="224" applyFont="1" applyBorder="1" applyAlignment="1">
      <alignment horizontal="center" vertical="center" wrapText="1"/>
    </xf>
    <xf numFmtId="0" fontId="21" fillId="0" borderId="35" xfId="224" applyFont="1" applyBorder="1" applyAlignment="1">
      <alignment horizontal="center" vertical="center" wrapText="1"/>
    </xf>
    <xf numFmtId="0" fontId="21" fillId="0" borderId="8" xfId="224" applyFont="1" applyBorder="1" applyAlignment="1">
      <alignment horizontal="center" vertical="center" wrapText="1"/>
    </xf>
    <xf numFmtId="0" fontId="21" fillId="0" borderId="0" xfId="224" applyFont="1" applyAlignment="1">
      <alignment horizontal="center" vertical="center" wrapText="1"/>
    </xf>
    <xf numFmtId="0" fontId="21" fillId="0" borderId="34" xfId="224" applyFont="1" applyBorder="1" applyAlignment="1">
      <alignment horizontal="center" vertical="center" wrapText="1"/>
    </xf>
    <xf numFmtId="0" fontId="21" fillId="0" borderId="6" xfId="224" applyFont="1" applyBorder="1" applyAlignment="1">
      <alignment horizontal="center" vertical="center" wrapText="1"/>
    </xf>
    <xf numFmtId="0" fontId="21" fillId="0" borderId="66" xfId="224" applyFont="1" applyBorder="1" applyAlignment="1">
      <alignment horizontal="center" vertical="center" wrapText="1"/>
    </xf>
    <xf numFmtId="0" fontId="21" fillId="0" borderId="128" xfId="224" applyFont="1" applyBorder="1" applyAlignment="1">
      <alignment horizontal="center" vertical="center" wrapText="1"/>
    </xf>
    <xf numFmtId="0" fontId="15" fillId="33" borderId="16" xfId="8" applyFont="1" applyFill="1" applyBorder="1" applyAlignment="1">
      <alignment horizontal="center" vertical="center" wrapText="1"/>
    </xf>
    <xf numFmtId="0" fontId="6" fillId="0" borderId="13" xfId="224" applyBorder="1" applyAlignment="1">
      <alignment horizontal="center" vertical="center" wrapText="1"/>
    </xf>
    <xf numFmtId="0" fontId="15" fillId="33" borderId="16" xfId="8" applyFont="1" applyFill="1" applyBorder="1" applyAlignment="1">
      <alignment horizontal="center" wrapText="1"/>
    </xf>
    <xf numFmtId="0" fontId="16" fillId="0" borderId="16" xfId="8" applyFont="1" applyBorder="1" applyAlignment="1">
      <alignment horizontal="center" shrinkToFit="1"/>
    </xf>
    <xf numFmtId="0" fontId="6" fillId="0" borderId="13" xfId="224" applyBorder="1" applyAlignment="1">
      <alignment horizontal="center" shrinkToFit="1"/>
    </xf>
    <xf numFmtId="0" fontId="6" fillId="0" borderId="15" xfId="224" applyBorder="1" applyAlignment="1">
      <alignment horizontal="center" shrinkToFit="1"/>
    </xf>
    <xf numFmtId="0" fontId="15" fillId="33" borderId="12" xfId="9" applyFont="1" applyFill="1" applyBorder="1" applyAlignment="1">
      <alignment horizontal="center"/>
    </xf>
    <xf numFmtId="0" fontId="6" fillId="0" borderId="14" xfId="224" applyBorder="1" applyAlignment="1">
      <alignment horizontal="center" wrapText="1"/>
    </xf>
    <xf numFmtId="0" fontId="15" fillId="33" borderId="112" xfId="8" applyFont="1" applyFill="1" applyBorder="1" applyAlignment="1">
      <alignment horizontal="center" shrinkToFit="1"/>
    </xf>
    <xf numFmtId="0" fontId="6" fillId="0" borderId="113" xfId="224" applyBorder="1" applyAlignment="1">
      <alignment horizontal="center" shrinkToFit="1"/>
    </xf>
    <xf numFmtId="0" fontId="6" fillId="0" borderId="114" xfId="224" applyBorder="1" applyAlignment="1">
      <alignment horizontal="center" shrinkToFit="1"/>
    </xf>
    <xf numFmtId="0" fontId="16" fillId="0" borderId="113" xfId="224" applyFont="1" applyBorder="1" applyAlignment="1">
      <alignment horizontal="center" wrapText="1"/>
    </xf>
    <xf numFmtId="0" fontId="16" fillId="0" borderId="114" xfId="224" applyFont="1" applyBorder="1" applyAlignment="1">
      <alignment horizontal="center" wrapText="1"/>
    </xf>
    <xf numFmtId="14" fontId="16" fillId="0" borderId="3" xfId="9" applyNumberFormat="1" applyFont="1" applyBorder="1" applyAlignment="1">
      <alignment horizontal="center" vertical="center"/>
    </xf>
    <xf numFmtId="0" fontId="16" fillId="0" borderId="3" xfId="9" applyFont="1" applyBorder="1" applyAlignment="1">
      <alignment horizontal="center" vertical="center"/>
    </xf>
    <xf numFmtId="0" fontId="16" fillId="0" borderId="29" xfId="9" applyFont="1" applyBorder="1" applyAlignment="1">
      <alignment horizontal="center" vertical="center"/>
    </xf>
    <xf numFmtId="0" fontId="23" fillId="0" borderId="128" xfId="224" applyFont="1" applyBorder="1" applyAlignment="1">
      <alignment horizontal="center" vertical="center" shrinkToFit="1"/>
    </xf>
    <xf numFmtId="0" fontId="15" fillId="33" borderId="22" xfId="8" applyFont="1" applyFill="1" applyBorder="1" applyAlignment="1">
      <alignment horizontal="center" shrinkToFit="1"/>
    </xf>
    <xf numFmtId="0" fontId="6" fillId="0" borderId="20" xfId="224" applyBorder="1" applyAlignment="1">
      <alignment horizontal="center" shrinkToFit="1"/>
    </xf>
    <xf numFmtId="0" fontId="6" fillId="0" borderId="17" xfId="224" applyBorder="1" applyAlignment="1">
      <alignment horizontal="center" shrinkToFit="1"/>
    </xf>
    <xf numFmtId="0" fontId="17" fillId="0" borderId="22" xfId="8" applyFont="1" applyBorder="1" applyAlignment="1">
      <alignment horizontal="center" wrapText="1"/>
    </xf>
    <xf numFmtId="0" fontId="17" fillId="0" borderId="20" xfId="8" applyFont="1" applyBorder="1" applyAlignment="1">
      <alignment horizontal="center" wrapText="1"/>
    </xf>
    <xf numFmtId="0" fontId="17" fillId="0" borderId="20" xfId="8" quotePrefix="1" applyFont="1" applyBorder="1" applyAlignment="1">
      <alignment horizontal="left" wrapText="1"/>
    </xf>
    <xf numFmtId="0" fontId="23" fillId="0" borderId="20" xfId="224" applyFont="1" applyBorder="1" applyAlignment="1">
      <alignment horizontal="left" wrapText="1"/>
    </xf>
    <xf numFmtId="0" fontId="23" fillId="0" borderId="17" xfId="224" applyFont="1" applyBorder="1" applyAlignment="1">
      <alignment horizontal="left" wrapText="1"/>
    </xf>
    <xf numFmtId="14" fontId="16" fillId="31" borderId="109" xfId="6" applyNumberFormat="1" applyFont="1" applyFill="1" applyBorder="1" applyAlignment="1">
      <alignment horizontal="center" vertical="center" wrapText="1"/>
    </xf>
    <xf numFmtId="14" fontId="16" fillId="31" borderId="110" xfId="6" applyNumberFormat="1" applyFont="1" applyFill="1" applyBorder="1" applyAlignment="1">
      <alignment horizontal="center" vertical="center" wrapText="1"/>
    </xf>
    <xf numFmtId="14" fontId="16" fillId="31" borderId="111" xfId="6" applyNumberFormat="1" applyFont="1" applyFill="1" applyBorder="1" applyAlignment="1">
      <alignment horizontal="center" vertical="center" wrapText="1"/>
    </xf>
    <xf numFmtId="14" fontId="16" fillId="31" borderId="32" xfId="6" applyNumberFormat="1" applyFont="1" applyFill="1" applyBorder="1" applyAlignment="1">
      <alignment horizontal="center" vertical="center" wrapText="1"/>
    </xf>
    <xf numFmtId="14" fontId="16" fillId="31" borderId="1" xfId="6" applyNumberFormat="1" applyFont="1" applyFill="1" applyBorder="1" applyAlignment="1">
      <alignment horizontal="center" vertical="center" wrapText="1"/>
    </xf>
    <xf numFmtId="14" fontId="16" fillId="31" borderId="31" xfId="6" applyNumberFormat="1" applyFont="1" applyFill="1" applyBorder="1" applyAlignment="1">
      <alignment horizontal="center" vertical="center" wrapText="1"/>
    </xf>
    <xf numFmtId="14" fontId="17" fillId="31" borderId="109" xfId="6" quotePrefix="1" applyNumberFormat="1" applyFont="1" applyFill="1" applyBorder="1" applyAlignment="1">
      <alignment horizontal="center" vertical="center" wrapText="1" shrinkToFit="1"/>
    </xf>
    <xf numFmtId="0" fontId="6" fillId="31" borderId="110" xfId="7" applyFill="1" applyBorder="1" applyAlignment="1">
      <alignment horizontal="center" vertical="center" wrapText="1" shrinkToFit="1"/>
    </xf>
    <xf numFmtId="0" fontId="6" fillId="31" borderId="111" xfId="7" applyFill="1" applyBorder="1" applyAlignment="1">
      <alignment horizontal="center" vertical="center" wrapText="1" shrinkToFit="1"/>
    </xf>
    <xf numFmtId="0" fontId="6" fillId="31" borderId="32" xfId="7" applyFill="1" applyBorder="1" applyAlignment="1">
      <alignment horizontal="center" vertical="center" wrapText="1" shrinkToFit="1"/>
    </xf>
    <xf numFmtId="0" fontId="6" fillId="31" borderId="1" xfId="7" applyFill="1" applyBorder="1" applyAlignment="1">
      <alignment horizontal="center" vertical="center" wrapText="1" shrinkToFit="1"/>
    </xf>
    <xf numFmtId="0" fontId="6" fillId="31" borderId="31" xfId="7" applyFill="1" applyBorder="1" applyAlignment="1">
      <alignment horizontal="center" vertical="center" wrapText="1" shrinkToFit="1"/>
    </xf>
    <xf numFmtId="0" fontId="16" fillId="31" borderId="109" xfId="6" applyFont="1" applyFill="1" applyBorder="1" applyAlignment="1">
      <align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Id="16" fillId="31" borderId="111" xfId="6" applyFont="1" applyFill="1" applyBorder="1" applyAlignment="1">
      <alignment horizontal="center" vertical="center"/>
    </xf>
    <xf numFmtId="0" fontId="16" fillId="31" borderId="32" xfId="6" applyFont="1" applyFill="1" applyBorder="1" applyAlignment="1">
      <alignment horizontal="center" vertical="center"/>
    </xf>
    <xf numFmtId="0" fontId="16" fillId="31" borderId="1" xfId="6" applyFont="1" applyFill="1" applyBorder="1" applyAlignment="1">
      <alignment horizontal="center" vertical="center"/>
    </xf>
    <xf numFmtId="0" fontId="16" fillId="31" borderId="31" xfId="6" applyFont="1" applyFill="1" applyBorder="1" applyAlignment="1">
      <alignment horizontal="center" vertical="center"/>
    </xf>
    <xf numFmtId="177" fontId="16" fillId="31" borderId="109" xfId="6" quotePrefix="1" applyNumberFormat="1" applyFont="1" applyFill="1" applyBorder="1" applyAlignment="1">
      <alignment horizontal="center" vertical="center"/>
    </xf>
    <xf numFmtId="177" fontId="16" fillId="31" borderId="110" xfId="6" quotePrefix="1" applyNumberFormat="1" applyFont="1" applyFill="1" applyBorder="1" applyAlignment="1">
      <alignment horizontal="center" vertical="center"/>
    </xf>
    <xf numFmtId="177" fontId="16" fillId="31" borderId="111" xfId="6" quotePrefix="1" applyNumberFormat="1" applyFont="1" applyFill="1" applyBorder="1" applyAlignment="1">
      <alignment horizontal="center" vertical="center"/>
    </xf>
    <xf numFmtId="177" fontId="16" fillId="31" borderId="32" xfId="6" quotePrefix="1" applyNumberFormat="1" applyFont="1" applyFill="1" applyBorder="1" applyAlignment="1">
      <alignment horizontal="center" vertical="center"/>
    </xf>
    <xf numFmtId="177" fontId="16" fillId="31" borderId="1" xfId="6" quotePrefix="1" applyNumberFormat="1" applyFont="1" applyFill="1" applyBorder="1" applyAlignment="1">
      <alignment horizontal="center" vertical="center"/>
    </xf>
    <xf numFmtId="177" fontId="16" fillId="31" borderId="31" xfId="6" quotePrefix="1" applyNumberFormat="1" applyFont="1" applyFill="1" applyBorder="1" applyAlignment="1">
      <alignment horizontal="center" vertical="center"/>
    </xf>
    <xf numFmtId="0" fontId="6" fillId="0" borderId="15" xfId="224" applyBorder="1" applyAlignment="1">
      <alignment horizontal="center" vertical="center" wrapText="1"/>
    </xf>
    <xf numFmtId="0" fontId="15" fillId="33" borderId="16" xfId="8" applyFont="1" applyFill="1" applyBorder="1" applyAlignment="1">
      <alignment horizontal="center" shrinkToFit="1"/>
    </xf>
    <xf numFmtId="178" fontId="13" fillId="0" borderId="50" xfId="57482" applyNumberFormat="1" applyFont="1" applyBorder="1" applyAlignment="1">
      <alignment horizontal="center" vertical="center"/>
    </xf>
    <xf numFmtId="178" fontId="13" fillId="0" borderId="51" xfId="57482" applyNumberFormat="1" applyFont="1" applyBorder="1" applyAlignment="1">
      <alignment horizontal="center" vertical="center"/>
    </xf>
    <xf numFmtId="178" fontId="13" fillId="0" borderId="52" xfId="57482" applyNumberFormat="1" applyFont="1" applyBorder="1" applyAlignment="1">
      <alignment horizontal="center" vertical="center"/>
    </xf>
    <xf numFmtId="178" fontId="13" fillId="0" borderId="53" xfId="57482" applyNumberFormat="1" applyFont="1" applyBorder="1" applyAlignment="1">
      <alignment horizontal="center" vertical="center"/>
    </xf>
    <xf numFmtId="178" fontId="13" fillId="0" borderId="54" xfId="57482" applyNumberFormat="1" applyFont="1" applyBorder="1" applyAlignment="1">
      <alignment horizontal="center" vertical="center"/>
    </xf>
    <xf numFmtId="178" fontId="13" fillId="0" borderId="55" xfId="57482" applyNumberFormat="1" applyFont="1" applyBorder="1" applyAlignment="1">
      <alignment horizontal="center" vertical="center"/>
    </xf>
    <xf numFmtId="178" fontId="17" fillId="0" borderId="50" xfId="57482" applyNumberFormat="1" applyFont="1" applyBorder="1" applyAlignment="1">
      <alignment horizontal="center" vertical="center"/>
    </xf>
    <xf numFmtId="178" fontId="17" fillId="0" borderId="51" xfId="57482" applyNumberFormat="1" applyFont="1" applyBorder="1" applyAlignment="1">
      <alignment horizontal="center" vertical="center"/>
    </xf>
    <xf numFmtId="178" fontId="17" fillId="0" borderId="52" xfId="57482" applyNumberFormat="1" applyFont="1" applyBorder="1" applyAlignment="1">
      <alignment horizontal="center" vertical="center"/>
    </xf>
    <xf numFmtId="178" fontId="17" fillId="0" borderId="53" xfId="57482" applyNumberFormat="1" applyFont="1" applyBorder="1" applyAlignment="1">
      <alignment horizontal="center" vertical="center"/>
    </xf>
    <xf numFmtId="178" fontId="17" fillId="0" borderId="54" xfId="57482" applyNumberFormat="1" applyFont="1" applyBorder="1" applyAlignment="1">
      <alignment horizontal="center" vertical="center"/>
    </xf>
    <xf numFmtId="178" fontId="17" fillId="0" borderId="55" xfId="57482" applyNumberFormat="1" applyFont="1" applyBorder="1" applyAlignment="1">
      <alignment horizontal="center" vertical="center"/>
    </xf>
    <xf numFmtId="178" fontId="17" fillId="2" borderId="50" xfId="57482" applyNumberFormat="1" applyFont="1" applyFill="1" applyBorder="1" applyAlignment="1" applyProtection="1">
      <alignment horizontal="center" vertical="center"/>
      <protection locked="0"/>
    </xf>
    <xf numFmtId="178" fontId="17" fillId="2" borderId="51" xfId="57482" applyNumberFormat="1" applyFont="1" applyFill="1" applyBorder="1" applyAlignment="1" applyProtection="1">
      <alignment horizontal="center" vertical="center"/>
      <protection locked="0"/>
    </xf>
    <xf numFmtId="178" fontId="17" fillId="2" borderId="52" xfId="57482" applyNumberFormat="1" applyFont="1" applyFill="1" applyBorder="1" applyAlignment="1" applyProtection="1">
      <alignment horizontal="center" vertical="center"/>
      <protection locked="0"/>
    </xf>
    <xf numFmtId="178" fontId="17" fillId="2" borderId="53" xfId="57482" applyNumberFormat="1" applyFont="1" applyFill="1" applyBorder="1" applyAlignment="1" applyProtection="1">
      <alignment horizontal="center" vertical="center"/>
      <protection locked="0"/>
    </xf>
    <xf numFmtId="178" fontId="17" fillId="2" borderId="54" xfId="57482" applyNumberFormat="1" applyFont="1" applyFill="1" applyBorder="1" applyAlignment="1" applyProtection="1">
      <alignment horizontal="center" vertical="center"/>
      <protection locked="0"/>
    </xf>
    <xf numFmtId="178" fontId="17" fillId="2" borderId="55" xfId="57482" applyNumberFormat="1" applyFont="1" applyFill="1" applyBorder="1" applyAlignment="1" applyProtection="1">
      <alignment horizontal="center" vertical="center"/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14" fontId="16" fillId="0" borderId="0" xfId="57482" applyNumberFormat="1" applyFont="1" applyAlignment="1" applyProtection="1">
      <alignment horizontal="center" vertical="center"/>
      <protection locked="0"/>
    </xf>
    <xf numFmtId="0" fontId="15" fillId="33" borderId="109" xfId="6" applyFont="1" applyFill="1" applyBorder="1" applyAlignment="1">
      <alignment horizontal="center" vertical="center" wrapText="1"/>
    </xf>
    <xf numFmtId="0" fontId="15" fillId="33" borderId="110" xfId="6" applyFont="1" applyFill="1" applyBorder="1" applyAlignment="1">
      <alignment horizontal="center" vertical="center" wrapText="1"/>
    </xf>
    <xf numFmtId="0" fontId="15" fillId="33" borderId="111" xfId="6" applyFont="1" applyFill="1" applyBorder="1" applyAlignment="1">
      <alignment horizontal="center" vertical="center" wrapText="1"/>
    </xf>
    <xf numFmtId="0" fontId="15" fillId="33" borderId="32" xfId="6" applyFont="1" applyFill="1" applyBorder="1" applyAlignment="1">
      <alignment horizontal="center" vertical="center" wrapText="1"/>
    </xf>
    <xf numFmtId="0" fontId="15" fillId="33" borderId="1" xfId="6" applyFont="1" applyFill="1" applyBorder="1" applyAlignment="1">
      <alignment horizontal="center" vertical="center" wrapText="1"/>
    </xf>
    <xf numFmtId="0" fontId="15" fillId="33" borderId="31" xfId="6" applyFont="1" applyFill="1" applyBorder="1" applyAlignment="1">
      <alignment horizontal="center" vertical="center" wrapText="1"/>
    </xf>
    <xf numFmtId="0" fontId="6" fillId="0" borderId="110" xfId="5" applyBorder="1" applyAlignment="1">
      <alignment horizontal="center" vertical="center" wrapText="1"/>
    </xf>
    <xf numFmtId="0" fontId="6" fillId="0" borderId="111" xfId="5" applyBorder="1" applyAlignment="1">
      <alignment horizontal="center" vertical="center" wrapText="1"/>
    </xf>
    <xf numFmtId="0" fontId="6" fillId="0" borderId="32" xfId="5" applyBorder="1" applyAlignment="1">
      <alignment horizontal="center" vertical="center" wrapText="1"/>
    </xf>
    <xf numFmtId="0" fontId="6" fillId="0" borderId="1" xfId="5" applyBorder="1" applyAlignment="1">
      <alignment horizontal="center" vertical="center" wrapText="1"/>
    </xf>
    <xf numFmtId="0" fontId="6" fillId="0" borderId="31" xfId="5" applyBorder="1" applyAlignment="1">
      <alignment horizontal="center" vertical="center" wrapText="1"/>
    </xf>
    <xf numFmtId="0" fontId="15" fillId="33" borderId="109" xfId="6" applyFont="1" applyFill="1" applyBorder="1" applyAlignment="1">
      <alignment horizontal="center" vertical="center"/>
    </xf>
    <xf numFmtId="0" fontId="15" fillId="33" borderId="110" xfId="6" applyFont="1" applyFill="1" applyBorder="1" applyAlignment="1">
      <alignment horizontal="center" vertical="center"/>
    </xf>
    <xf numFmtId="0" fontId="15" fillId="33" borderId="111" xfId="6" applyFont="1" applyFill="1" applyBorder="1" applyAlignment="1">
      <alignment horizontal="center" vertical="center"/>
    </xf>
    <xf numFmtId="0" fontId="15" fillId="33" borderId="32" xfId="6" applyFont="1" applyFill="1" applyBorder="1" applyAlignment="1">
      <alignment horizontal="center" vertical="center"/>
    </xf>
    <xf numFmtId="0" fontId="15" fillId="33" borderId="1" xfId="6" applyFont="1" applyFill="1" applyBorder="1" applyAlignment="1">
      <alignment horizontal="center" vertical="center"/>
    </xf>
    <xf numFmtId="0" fontId="15" fillId="33" borderId="31" xfId="6" applyFont="1" applyFill="1" applyBorder="1" applyAlignment="1">
      <alignment horizontal="center" vertical="center"/>
    </xf>
    <xf numFmtId="0" fontId="17" fillId="0" borderId="63" xfId="57482" applyFont="1" applyBorder="1" applyAlignment="1">
      <alignment horizontal="center" vertical="center"/>
    </xf>
    <xf numFmtId="0" fontId="17" fillId="0" borderId="64" xfId="57482" applyFont="1" applyBorder="1" applyAlignment="1">
      <alignment horizontal="center" vertical="center"/>
    </xf>
    <xf numFmtId="0" fontId="17" fillId="0" borderId="65" xfId="57482" applyFont="1" applyBorder="1" applyAlignment="1">
      <alignment horizontal="center" vertical="center"/>
    </xf>
    <xf numFmtId="0" fontId="17" fillId="0" borderId="50" xfId="57482" applyFont="1" applyBorder="1" applyAlignment="1">
      <alignment horizontal="center" vertical="center"/>
    </xf>
    <xf numFmtId="0" fontId="17" fillId="0" borderId="51" xfId="57482" applyFont="1" applyBorder="1" applyAlignment="1">
      <alignment horizontal="center" vertical="center"/>
    </xf>
    <xf numFmtId="0" fontId="17" fillId="0" borderId="52" xfId="57482" applyFont="1" applyBorder="1" applyAlignment="1">
      <alignment horizontal="center" vertical="center"/>
    </xf>
    <xf numFmtId="0" fontId="17" fillId="2" borderId="63" xfId="57482" applyFont="1" applyFill="1" applyBorder="1" applyAlignment="1" applyProtection="1">
      <alignment horizontal="center" vertical="center"/>
      <protection locked="0"/>
    </xf>
    <xf numFmtId="0" fontId="17" fillId="2" borderId="64" xfId="57482" applyFont="1" applyFill="1" applyBorder="1" applyAlignment="1" applyProtection="1">
      <alignment horizontal="center" vertical="center"/>
      <protection locked="0"/>
    </xf>
    <xf numFmtId="0" fontId="17" fillId="2" borderId="65" xfId="57482" applyFont="1" applyFill="1" applyBorder="1" applyAlignment="1" applyProtection="1">
      <alignment horizontal="center" vertical="center"/>
      <protection locked="0"/>
    </xf>
    <xf numFmtId="0" fontId="17" fillId="2" borderId="50" xfId="57482" applyFont="1" applyFill="1" applyBorder="1" applyAlignment="1" applyProtection="1">
      <alignment horizontal="center" vertical="center"/>
      <protection locked="0"/>
    </xf>
    <xf numFmtId="0" fontId="17" fillId="2" borderId="51" xfId="57482" applyFont="1" applyFill="1" applyBorder="1" applyAlignment="1" applyProtection="1">
      <alignment horizontal="center" vertical="center"/>
      <protection locked="0"/>
    </xf>
    <xf numFmtId="0" fontId="17" fillId="2" borderId="52" xfId="57482" applyFont="1" applyFill="1" applyBorder="1" applyAlignment="1" applyProtection="1">
      <alignment horizontal="center" vertical="center"/>
      <protection locked="0"/>
    </xf>
    <xf numFmtId="0" fontId="78" fillId="38" borderId="109" xfId="57482" applyFont="1" applyFill="1" applyBorder="1" applyAlignment="1" applyProtection="1">
      <alignment horizontal="left" vertical="center" indent="1"/>
      <protection locked="0"/>
    </xf>
    <xf numFmtId="0" fontId="78" fillId="38" borderId="110" xfId="57482" applyFont="1" applyFill="1" applyBorder="1" applyAlignment="1" applyProtection="1">
      <alignment horizontal="left" vertical="center" indent="1"/>
      <protection locked="0"/>
    </xf>
    <xf numFmtId="0" fontId="78" fillId="38" borderId="111" xfId="57482" applyFont="1" applyFill="1" applyBorder="1" applyAlignment="1" applyProtection="1">
      <alignment horizontal="left" vertical="center" indent="1"/>
      <protection locked="0"/>
    </xf>
    <xf numFmtId="0" fontId="78" fillId="38" borderId="32" xfId="57482" applyFont="1" applyFill="1" applyBorder="1" applyAlignment="1" applyProtection="1">
      <alignment horizontal="left" vertical="center" indent="1"/>
      <protection locked="0"/>
    </xf>
    <xf numFmtId="0" fontId="78" fillId="38" borderId="1" xfId="57482" applyFont="1" applyFill="1" applyBorder="1" applyAlignment="1" applyProtection="1">
      <alignment horizontal="left" vertical="center" indent="1"/>
      <protection locked="0"/>
    </xf>
    <xf numFmtId="0" fontId="78" fillId="38" borderId="31" xfId="57482" applyFont="1" applyFill="1" applyBorder="1" applyAlignment="1" applyProtection="1">
      <alignment horizontal="left" vertical="center" indent="1"/>
      <protection locked="0"/>
    </xf>
    <xf numFmtId="14" fontId="79" fillId="2" borderId="109" xfId="57482" applyNumberFormat="1" applyFont="1" applyFill="1" applyBorder="1" applyAlignment="1" applyProtection="1">
      <alignment horizontal="left" vertical="center" indent="1"/>
      <protection locked="0"/>
    </xf>
    <xf numFmtId="0" fontId="18" fillId="2" borderId="110" xfId="57482" applyFont="1" applyFill="1" applyBorder="1" applyAlignment="1" applyProtection="1">
      <alignment horizontal="left" vertical="center" indent="1"/>
      <protection locked="0"/>
    </xf>
    <xf numFmtId="0" fontId="18" fillId="2" borderId="111" xfId="57482" applyFont="1" applyFill="1" applyBorder="1" applyAlignment="1" applyProtection="1">
      <alignment horizontal="left" vertical="center" indent="1"/>
      <protection locked="0"/>
    </xf>
    <xf numFmtId="0" fontId="18" fillId="2" borderId="32" xfId="57482" applyFont="1" applyFill="1" applyBorder="1" applyAlignment="1" applyProtection="1">
      <alignment horizontal="left" vertical="center" indent="1"/>
      <protection locked="0"/>
    </xf>
    <xf numFmtId="0" fontId="18" fillId="2" borderId="1" xfId="57482" applyFont="1" applyFill="1" applyBorder="1" applyAlignment="1" applyProtection="1">
      <alignment horizontal="left" vertical="center" indent="1"/>
      <protection locked="0"/>
    </xf>
    <xf numFmtId="0" fontId="18" fillId="2" borderId="31" xfId="57482" applyFont="1" applyFill="1" applyBorder="1" applyAlignment="1" applyProtection="1">
      <alignment horizontal="left" vertical="center" indent="1"/>
      <protection locked="0"/>
    </xf>
    <xf numFmtId="182" fontId="79" fillId="2" borderId="109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10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11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32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31" xfId="57482" applyNumberFormat="1" applyFont="1" applyFill="1" applyBorder="1" applyAlignment="1" applyProtection="1">
      <alignment horizontal="left" vertical="center" indent="1"/>
      <protection locked="0"/>
    </xf>
    <xf numFmtId="0" fontId="17" fillId="37" borderId="112" xfId="57482" applyFont="1" applyFill="1" applyBorder="1" applyAlignment="1" applyProtection="1">
      <alignment horizontal="center" vertical="center"/>
      <protection locked="0"/>
    </xf>
    <xf numFmtId="0" fontId="17" fillId="37" borderId="113" xfId="57482" applyFont="1" applyFill="1" applyBorder="1" applyAlignment="1" applyProtection="1">
      <alignment horizontal="center" vertical="center"/>
      <protection locked="0"/>
    </xf>
    <xf numFmtId="0" fontId="17" fillId="37" borderId="114" xfId="57482" applyFont="1" applyFill="1" applyBorder="1" applyAlignment="1" applyProtection="1">
      <alignment horizontal="center" vertical="center"/>
      <protection locked="0"/>
    </xf>
    <xf numFmtId="182" fontId="79" fillId="0" borderId="109" xfId="57482" applyNumberFormat="1" applyFont="1" applyBorder="1" applyAlignment="1" applyProtection="1">
      <alignment horizontal="left" vertical="center" indent="1"/>
      <protection locked="0"/>
    </xf>
    <xf numFmtId="182" fontId="79" fillId="0" borderId="110" xfId="57482" applyNumberFormat="1" applyFont="1" applyBorder="1" applyAlignment="1" applyProtection="1">
      <alignment horizontal="left" vertical="center" indent="1"/>
      <protection locked="0"/>
    </xf>
    <xf numFmtId="182" fontId="79" fillId="0" borderId="111" xfId="57482" applyNumberFormat="1" applyFont="1" applyBorder="1" applyAlignment="1" applyProtection="1">
      <alignment horizontal="left" vertical="center" indent="1"/>
      <protection locked="0"/>
    </xf>
    <xf numFmtId="182" fontId="79" fillId="0" borderId="32" xfId="57482" applyNumberFormat="1" applyFont="1" applyBorder="1" applyAlignment="1" applyProtection="1">
      <alignment horizontal="left" vertical="center" indent="1"/>
      <protection locked="0"/>
    </xf>
    <xf numFmtId="182" fontId="79" fillId="0" borderId="1" xfId="57482" applyNumberFormat="1" applyFont="1" applyBorder="1" applyAlignment="1" applyProtection="1">
      <alignment horizontal="left" vertical="center" indent="1"/>
      <protection locked="0"/>
    </xf>
    <xf numFmtId="182" fontId="79" fillId="0" borderId="31" xfId="57482" applyNumberFormat="1" applyFont="1" applyBorder="1" applyAlignment="1" applyProtection="1">
      <alignment horizontal="left" vertical="center" indent="1"/>
      <protection locked="0"/>
    </xf>
    <xf numFmtId="182" fontId="78" fillId="37" borderId="109" xfId="57482" applyNumberFormat="1" applyFont="1" applyFill="1" applyBorder="1" applyAlignment="1" applyProtection="1">
      <alignment horizontal="center" vertical="center"/>
      <protection locked="0"/>
    </xf>
    <xf numFmtId="182" fontId="78" fillId="37" borderId="111" xfId="57482" applyNumberFormat="1" applyFont="1" applyFill="1" applyBorder="1" applyAlignment="1" applyProtection="1">
      <alignment horizontal="center" vertical="center"/>
      <protection locked="0"/>
    </xf>
    <xf numFmtId="182" fontId="78" fillId="37" borderId="32" xfId="57482" applyNumberFormat="1" applyFont="1" applyFill="1" applyBorder="1" applyAlignment="1" applyProtection="1">
      <alignment horizontal="center" vertical="center"/>
      <protection locked="0"/>
    </xf>
    <xf numFmtId="182" fontId="78" fillId="37" borderId="31" xfId="57482" applyNumberFormat="1" applyFont="1" applyFill="1" applyBorder="1" applyAlignment="1" applyProtection="1">
      <alignment horizontal="center" vertical="center"/>
      <protection locked="0"/>
    </xf>
    <xf numFmtId="0" fontId="79" fillId="2" borderId="109" xfId="57482" applyFont="1" applyFill="1" applyBorder="1" applyAlignment="1" applyProtection="1">
      <alignment horizontal="left" vertical="center" indent="1"/>
      <protection locked="0"/>
    </xf>
    <xf numFmtId="0" fontId="79" fillId="0" borderId="109" xfId="57482" applyFont="1" applyBorder="1" applyAlignment="1" applyProtection="1">
      <alignment horizontal="left" vertical="center" indent="1"/>
      <protection locked="0"/>
    </xf>
    <xf numFmtId="0" fontId="79" fillId="0" borderId="110" xfId="57482" applyFont="1" applyBorder="1" applyAlignment="1" applyProtection="1">
      <alignment horizontal="left" vertical="center" indent="1"/>
      <protection locked="0"/>
    </xf>
    <xf numFmtId="0" fontId="79" fillId="0" borderId="111" xfId="57482" applyFont="1" applyBorder="1" applyAlignment="1" applyProtection="1">
      <alignment horizontal="left" vertical="center" indent="1"/>
      <protection locked="0"/>
    </xf>
    <xf numFmtId="0" fontId="79" fillId="0" borderId="32" xfId="57482" applyFont="1" applyBorder="1" applyAlignment="1" applyProtection="1">
      <alignment horizontal="left" vertical="center" indent="1"/>
      <protection locked="0"/>
    </xf>
    <xf numFmtId="0" fontId="79" fillId="0" borderId="1" xfId="57482" applyFont="1" applyBorder="1" applyAlignment="1" applyProtection="1">
      <alignment horizontal="left" vertical="center" indent="1"/>
      <protection locked="0"/>
    </xf>
    <xf numFmtId="0" fontId="79" fillId="0" borderId="31" xfId="57482" applyFont="1" applyBorder="1" applyAlignment="1" applyProtection="1">
      <alignment horizontal="left" vertical="center" indent="1"/>
      <protection locked="0"/>
    </xf>
    <xf numFmtId="2" fontId="79" fillId="0" borderId="109" xfId="57482" applyNumberFormat="1" applyFont="1" applyBorder="1" applyAlignment="1">
      <alignment horizontal="left" vertical="center" indent="1"/>
    </xf>
    <xf numFmtId="2" fontId="18" fillId="0" borderId="110" xfId="57482" applyNumberFormat="1" applyFont="1" applyBorder="1" applyAlignment="1">
      <alignment horizontal="left" vertical="center" indent="1"/>
    </xf>
    <xf numFmtId="2" fontId="18" fillId="0" borderId="111" xfId="57482" applyNumberFormat="1" applyFont="1" applyBorder="1" applyAlignment="1">
      <alignment horizontal="left" vertical="center" indent="1"/>
    </xf>
    <xf numFmtId="2" fontId="18" fillId="0" borderId="32" xfId="57482" applyNumberFormat="1" applyFont="1" applyBorder="1" applyAlignment="1">
      <alignment horizontal="left" vertical="center" indent="1"/>
    </xf>
    <xf numFmtId="2" fontId="18" fillId="0" borderId="1" xfId="57482" applyNumberFormat="1" applyFont="1" applyBorder="1" applyAlignment="1">
      <alignment horizontal="left" vertical="center" indent="1"/>
    </xf>
    <xf numFmtId="2" fontId="18" fillId="0" borderId="31" xfId="57482" applyNumberFormat="1" applyFont="1" applyBorder="1" applyAlignment="1">
      <alignment horizontal="left" vertical="center" indent="1"/>
    </xf>
    <xf numFmtId="182" fontId="18" fillId="0" borderId="110" xfId="57482" applyNumberFormat="1" applyFont="1" applyBorder="1" applyAlignment="1" applyProtection="1">
      <alignment horizontal="left" vertical="center" indent="1"/>
      <protection locked="0"/>
    </xf>
    <xf numFmtId="182" fontId="18" fillId="0" borderId="111" xfId="57482" applyNumberFormat="1" applyFont="1" applyBorder="1" applyAlignment="1" applyProtection="1">
      <alignment horizontal="left" vertical="center" indent="1"/>
      <protection locked="0"/>
    </xf>
    <xf numFmtId="182" fontId="18" fillId="0" borderId="32" xfId="57482" applyNumberFormat="1" applyFont="1" applyBorder="1" applyAlignment="1" applyProtection="1">
      <alignment horizontal="left" vertical="center" indent="1"/>
      <protection locked="0"/>
    </xf>
    <xf numFmtId="182" fontId="18" fillId="0" borderId="1" xfId="57482" applyNumberFormat="1" applyFont="1" applyBorder="1" applyAlignment="1" applyProtection="1">
      <alignment horizontal="left" vertical="center" indent="1"/>
      <protection locked="0"/>
    </xf>
    <xf numFmtId="182" fontId="18" fillId="0" borderId="31" xfId="57482" applyNumberFormat="1" applyFont="1" applyBorder="1" applyAlignment="1" applyProtection="1">
      <alignment horizontal="left" vertical="center" indent="1"/>
      <protection locked="0"/>
    </xf>
    <xf numFmtId="0" fontId="76" fillId="0" borderId="33" xfId="57482" applyFont="1" applyBorder="1" applyAlignment="1" applyProtection="1">
      <alignment horizontal="center" vertical="center" wrapText="1"/>
      <protection locked="0"/>
    </xf>
    <xf numFmtId="0" fontId="76" fillId="0" borderId="0" xfId="57482" applyFont="1" applyAlignment="1" applyProtection="1">
      <alignment horizontal="center" vertical="center" wrapText="1"/>
      <protection locked="0"/>
    </xf>
    <xf numFmtId="0" fontId="76" fillId="0" borderId="34" xfId="57482" applyFont="1" applyBorder="1" applyAlignment="1" applyProtection="1">
      <alignment horizontal="center" vertical="center" wrapText="1"/>
      <protection locked="0"/>
    </xf>
    <xf numFmtId="0" fontId="77" fillId="0" borderId="33" xfId="57482" applyFont="1" applyBorder="1" applyAlignment="1" applyProtection="1">
      <alignment horizontal="center" vertical="center"/>
      <protection locked="0"/>
    </xf>
    <xf numFmtId="0" fontId="77" fillId="0" borderId="0" xfId="57482" applyFont="1" applyAlignment="1" applyProtection="1">
      <alignment horizontal="center" vertical="center"/>
      <protection locked="0"/>
    </xf>
    <xf numFmtId="0" fontId="77" fillId="0" borderId="34" xfId="57482" applyFont="1" applyBorder="1" applyAlignment="1" applyProtection="1">
      <alignment horizontal="center" vertical="center"/>
      <protection locked="0"/>
    </xf>
    <xf numFmtId="0" fontId="77" fillId="0" borderId="32" xfId="57482" applyFont="1" applyBorder="1" applyAlignment="1" applyProtection="1">
      <alignment horizontal="center" vertical="center"/>
      <protection locked="0"/>
    </xf>
    <xf numFmtId="0" fontId="77" fillId="0" borderId="1" xfId="57482" applyFont="1" applyBorder="1" applyAlignment="1" applyProtection="1">
      <alignment horizontal="center" vertical="center"/>
      <protection locked="0"/>
    </xf>
    <xf numFmtId="0" fontId="77" fillId="0" borderId="31" xfId="57482" applyFont="1" applyBorder="1" applyAlignment="1" applyProtection="1">
      <alignment horizontal="center" vertical="center"/>
      <protection locked="0"/>
    </xf>
    <xf numFmtId="0" fontId="18" fillId="0" borderId="110" xfId="57482" applyFont="1" applyBorder="1" applyAlignment="1" applyProtection="1">
      <alignment horizontal="left" vertical="center" indent="1"/>
      <protection locked="0"/>
    </xf>
    <xf numFmtId="0" fontId="18" fillId="0" borderId="111" xfId="57482" applyFont="1" applyBorder="1" applyAlignment="1" applyProtection="1">
      <alignment horizontal="left" vertical="center" indent="1"/>
      <protection locked="0"/>
    </xf>
    <xf numFmtId="0" fontId="18" fillId="0" borderId="32" xfId="57482" applyFont="1" applyBorder="1" applyAlignment="1" applyProtection="1">
      <alignment horizontal="left" vertical="center" indent="1"/>
      <protection locked="0"/>
    </xf>
    <xf numFmtId="0" fontId="18" fillId="0" borderId="1" xfId="57482" applyFont="1" applyBorder="1" applyAlignment="1" applyProtection="1">
      <alignment horizontal="left" vertical="center" indent="1"/>
      <protection locked="0"/>
    </xf>
    <xf numFmtId="0" fontId="18" fillId="0" borderId="31" xfId="57482" applyFont="1" applyBorder="1" applyAlignment="1" applyProtection="1">
      <alignment horizontal="left" vertical="center" indent="1"/>
      <protection locked="0"/>
    </xf>
    <xf numFmtId="0" fontId="15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 wrapText="1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16" fillId="0" borderId="30" xfId="57485" applyFont="1" applyBorder="1" applyAlignment="1">
      <alignment horizontal="center" vertical="center"/>
    </xf>
    <xf numFmtId="0" fontId="16" fillId="0" borderId="110" xfId="57485" applyFont="1" applyBorder="1" applyAlignment="1">
      <alignment horizontal="center" vertical="center"/>
    </xf>
    <xf numFmtId="0" fontId="16" fillId="0" borderId="111" xfId="57485" applyFont="1" applyBorder="1" applyAlignment="1">
      <alignment horizontal="center" vertical="center"/>
    </xf>
    <xf numFmtId="0" fontId="16" fillId="0" borderId="6" xfId="57485" applyFont="1" applyBorder="1" applyAlignment="1">
      <alignment horizontal="center" vertical="center"/>
    </xf>
    <xf numFmtId="0" fontId="16" fillId="0" borderId="66" xfId="57485" applyFont="1" applyBorder="1" applyAlignment="1">
      <alignment horizontal="center" vertical="center"/>
    </xf>
    <xf numFmtId="0" fontId="16" fillId="0" borderId="128" xfId="57485" applyFont="1" applyBorder="1" applyAlignment="1">
      <alignment horizontal="center" vertical="center"/>
    </xf>
    <xf numFmtId="0" fontId="16" fillId="0" borderId="109" xfId="57485" applyFont="1" applyBorder="1" applyAlignment="1">
      <alignment horizontal="center" vertical="center"/>
    </xf>
    <xf numFmtId="0" fontId="16" fillId="0" borderId="125" xfId="57485" applyFont="1" applyBorder="1" applyAlignment="1">
      <alignment horizontal="center" vertical="center"/>
    </xf>
    <xf numFmtId="0" fontId="16" fillId="0" borderId="63" xfId="57485" applyFont="1" applyBorder="1" applyAlignment="1">
      <alignment horizontal="center" vertical="center"/>
    </xf>
    <xf numFmtId="0" fontId="16" fillId="0" borderId="64" xfId="57485" applyFont="1" applyBorder="1" applyAlignment="1">
      <alignment horizontal="center" vertical="center"/>
    </xf>
    <xf numFmtId="0" fontId="16" fillId="0" borderId="65" xfId="57485" applyFont="1" applyBorder="1" applyAlignment="1">
      <alignment horizontal="center" vertical="center"/>
    </xf>
    <xf numFmtId="0" fontId="16" fillId="0" borderId="83" xfId="57485" applyFont="1" applyBorder="1" applyAlignment="1">
      <alignment horizontal="center" vertical="center"/>
    </xf>
    <xf numFmtId="0" fontId="16" fillId="0" borderId="86" xfId="57485" applyFont="1" applyBorder="1" applyAlignment="1">
      <alignment horizontal="center" vertical="center"/>
    </xf>
    <xf numFmtId="0" fontId="16" fillId="0" borderId="87" xfId="57485" applyFont="1" applyBorder="1" applyAlignment="1">
      <alignment horizontal="center" vertical="center"/>
    </xf>
    <xf numFmtId="0" fontId="16" fillId="0" borderId="88" xfId="57485" applyFont="1" applyBorder="1" applyAlignment="1">
      <alignment horizontal="center" vertical="center"/>
    </xf>
    <xf numFmtId="0" fontId="16" fillId="0" borderId="89" xfId="57485" applyFont="1" applyBorder="1" applyAlignment="1">
      <alignment horizontal="center" vertical="center"/>
    </xf>
    <xf numFmtId="0" fontId="16" fillId="0" borderId="8" xfId="57485" applyFont="1" applyBorder="1" applyAlignment="1">
      <alignment horizontal="center" vertical="center"/>
    </xf>
    <xf numFmtId="0" fontId="16" fillId="0" borderId="0" xfId="57485" applyFont="1" applyAlignment="1">
      <alignment horizontal="center" vertical="center"/>
    </xf>
    <xf numFmtId="0" fontId="16" fillId="0" borderId="34" xfId="57485" applyFont="1" applyBorder="1" applyAlignment="1">
      <alignment horizontal="center" vertical="center"/>
    </xf>
    <xf numFmtId="0" fontId="16" fillId="0" borderId="33" xfId="57485" applyFont="1" applyBorder="1" applyAlignment="1">
      <alignment horizontal="center" vertical="center"/>
    </xf>
    <xf numFmtId="0" fontId="16" fillId="0" borderId="79" xfId="57485" applyFont="1" applyBorder="1" applyAlignment="1">
      <alignment horizontal="center" vertical="center"/>
    </xf>
    <xf numFmtId="0" fontId="16" fillId="0" borderId="80" xfId="57485" applyFont="1" applyBorder="1" applyAlignment="1">
      <alignment horizontal="center" vertical="center"/>
    </xf>
    <xf numFmtId="0" fontId="16" fillId="0" borderId="81" xfId="57485" applyFont="1" applyBorder="1" applyAlignment="1">
      <alignment horizontal="center" vertical="center"/>
    </xf>
    <xf numFmtId="0" fontId="16" fillId="0" borderId="82" xfId="57485" applyFont="1" applyBorder="1" applyAlignment="1">
      <alignment horizontal="center" vertical="center"/>
    </xf>
    <xf numFmtId="0" fontId="16" fillId="0" borderId="84" xfId="57485" applyFont="1" applyBorder="1" applyAlignment="1">
      <alignment horizontal="center" vertical="center"/>
    </xf>
    <xf numFmtId="0" fontId="16" fillId="0" borderId="1" xfId="57485" applyFont="1" applyBorder="1" applyAlignment="1">
      <alignment horizontal="center" vertical="center"/>
    </xf>
    <xf numFmtId="0" fontId="16" fillId="0" borderId="31" xfId="57485" applyFont="1" applyBorder="1" applyAlignment="1">
      <alignment horizontal="center" vertical="center"/>
    </xf>
    <xf numFmtId="0" fontId="16" fillId="0" borderId="32" xfId="57485" applyFont="1" applyBorder="1" applyAlignment="1">
      <alignment horizontal="center" vertical="center"/>
    </xf>
    <xf numFmtId="0" fontId="16" fillId="0" borderId="53" xfId="57485" applyFont="1" applyBorder="1" applyAlignment="1">
      <alignment horizontal="center" vertical="center"/>
    </xf>
    <xf numFmtId="0" fontId="16" fillId="0" borderId="54" xfId="57485" applyFont="1" applyBorder="1" applyAlignment="1">
      <alignment horizontal="center" vertical="center"/>
    </xf>
    <xf numFmtId="0" fontId="16" fillId="0" borderId="55" xfId="57485" applyFont="1" applyBorder="1" applyAlignment="1">
      <alignment horizontal="center" vertical="center"/>
    </xf>
    <xf numFmtId="0" fontId="16" fillId="0" borderId="85" xfId="57485" applyFont="1" applyBorder="1" applyAlignment="1">
      <alignment horizontal="center" vertical="center"/>
    </xf>
    <xf numFmtId="0" fontId="16" fillId="0" borderId="109" xfId="57485" applyFont="1" applyBorder="1" applyAlignment="1">
      <alignment horizontal="left" vertical="center"/>
    </xf>
    <xf numFmtId="0" fontId="16" fillId="0" borderId="110" xfId="57485" applyFont="1" applyBorder="1" applyAlignment="1">
      <alignment horizontal="left" vertical="center"/>
    </xf>
    <xf numFmtId="0" fontId="16" fillId="0" borderId="111" xfId="57485" applyFont="1" applyBorder="1" applyAlignment="1">
      <alignment horizontal="left" vertical="center"/>
    </xf>
    <xf numFmtId="0" fontId="16" fillId="0" borderId="32" xfId="57485" applyFont="1" applyBorder="1" applyAlignment="1">
      <alignment horizontal="left" vertical="center"/>
    </xf>
    <xf numFmtId="0" fontId="16" fillId="0" borderId="1" xfId="57485" applyFont="1" applyBorder="1" applyAlignment="1">
      <alignment horizontal="left" vertical="center"/>
    </xf>
    <xf numFmtId="0" fontId="16" fillId="0" borderId="31" xfId="57485" applyFont="1" applyBorder="1" applyAlignment="1">
      <alignment horizontal="left" vertical="center"/>
    </xf>
    <xf numFmtId="56" fontId="16" fillId="0" borderId="63" xfId="57485" quotePrefix="1" applyNumberFormat="1" applyFont="1" applyBorder="1" applyAlignment="1">
      <alignment horizontal="center" vertical="center"/>
    </xf>
    <xf numFmtId="0" fontId="16" fillId="0" borderId="33" xfId="57485" applyFont="1" applyBorder="1" applyAlignment="1">
      <alignment horizontal="left" vertical="center"/>
    </xf>
    <xf numFmtId="0" fontId="16" fillId="0" borderId="0" xfId="57485" applyFont="1" applyAlignment="1">
      <alignment horizontal="left" vertical="center"/>
    </xf>
    <xf numFmtId="0" fontId="16" fillId="0" borderId="34" xfId="57485" applyFont="1" applyBorder="1" applyAlignment="1">
      <alignment horizontal="left" vertical="center"/>
    </xf>
    <xf numFmtId="56" fontId="16" fillId="0" borderId="63" xfId="57485" applyNumberFormat="1" applyFont="1" applyBorder="1" applyAlignment="1">
      <alignment horizontal="center" vertical="center"/>
    </xf>
    <xf numFmtId="176" fontId="16" fillId="0" borderId="30" xfId="57485" applyNumberFormat="1" applyFont="1" applyBorder="1" applyAlignment="1">
      <alignment horizontal="center" vertical="center"/>
    </xf>
    <xf numFmtId="176" fontId="16" fillId="0" borderId="110" xfId="57485" applyNumberFormat="1" applyFont="1" applyBorder="1" applyAlignment="1">
      <alignment horizontal="center" vertical="center"/>
    </xf>
    <xf numFmtId="176" fontId="16" fillId="0" borderId="111" xfId="57485" applyNumberFormat="1" applyFont="1" applyBorder="1" applyAlignment="1">
      <alignment horizontal="center" vertical="center"/>
    </xf>
    <xf numFmtId="176" fontId="16" fillId="0" borderId="84" xfId="57485" applyNumberFormat="1" applyFont="1" applyBorder="1" applyAlignment="1">
      <alignment horizontal="center" vertical="center"/>
    </xf>
    <xf numFmtId="176" fontId="16" fillId="0" borderId="1" xfId="57485" applyNumberFormat="1" applyFont="1" applyBorder="1" applyAlignment="1">
      <alignment horizontal="center" vertical="center"/>
    </xf>
    <xf numFmtId="176" fontId="16" fillId="0" borderId="31" xfId="57485" applyNumberFormat="1" applyFont="1" applyBorder="1" applyAlignment="1">
      <alignment horizontal="center" vertical="center"/>
    </xf>
    <xf numFmtId="0" fontId="16" fillId="0" borderId="109" xfId="57485" applyFont="1" applyBorder="1" applyAlignment="1">
      <alignment horizontal="left" vertical="center" wrapText="1"/>
    </xf>
    <xf numFmtId="0" fontId="16" fillId="0" borderId="109" xfId="57485" applyFont="1" applyBorder="1" applyAlignment="1">
      <alignment horizontal="left" vertical="top" wrapText="1"/>
    </xf>
    <xf numFmtId="0" fontId="16" fillId="0" borderId="110" xfId="57485" applyFont="1" applyBorder="1" applyAlignment="1">
      <alignment horizontal="left" vertical="top"/>
    </xf>
    <xf numFmtId="0" fontId="16" fillId="0" borderId="111" xfId="57485" applyFont="1" applyBorder="1" applyAlignment="1">
      <alignment horizontal="left" vertical="top"/>
    </xf>
    <xf numFmtId="0" fontId="16" fillId="0" borderId="33" xfId="57485" applyFont="1" applyBorder="1" applyAlignment="1">
      <alignment horizontal="left" vertical="top"/>
    </xf>
    <xf numFmtId="0" fontId="16" fillId="0" borderId="0" xfId="57485" applyFont="1" applyAlignment="1">
      <alignment horizontal="left" vertical="top"/>
    </xf>
    <xf numFmtId="0" fontId="16" fillId="0" borderId="34" xfId="57485" applyFont="1" applyBorder="1" applyAlignment="1">
      <alignment horizontal="left" vertical="top"/>
    </xf>
    <xf numFmtId="0" fontId="16" fillId="0" borderId="79" xfId="57485" applyFont="1" applyBorder="1" applyAlignment="1">
      <alignment horizontal="center" vertical="center" wrapText="1"/>
    </xf>
    <xf numFmtId="0" fontId="16" fillId="42" borderId="4" xfId="57482" applyFont="1" applyFill="1" applyBorder="1" applyAlignment="1">
      <alignment horizontal="center" vertical="center"/>
    </xf>
    <xf numFmtId="0" fontId="16" fillId="42" borderId="5" xfId="57482" applyFont="1" applyFill="1" applyBorder="1" applyAlignment="1">
      <alignment horizontal="center" vertical="center"/>
    </xf>
    <xf numFmtId="0" fontId="16" fillId="42" borderId="35" xfId="57482" applyFont="1" applyFill="1" applyBorder="1" applyAlignment="1">
      <alignment horizontal="center" vertical="center"/>
    </xf>
    <xf numFmtId="0" fontId="16" fillId="42" borderId="8" xfId="57482" applyFont="1" applyFill="1" applyBorder="1" applyAlignment="1">
      <alignment horizontal="center" vertical="center"/>
    </xf>
    <xf numFmtId="0" fontId="16" fillId="42" borderId="0" xfId="57482" applyFont="1" applyFill="1" applyAlignment="1">
      <alignment horizontal="center" vertical="center"/>
    </xf>
    <xf numFmtId="0" fontId="16" fillId="42" borderId="34" xfId="57482" applyFont="1" applyFill="1" applyBorder="1" applyAlignment="1">
      <alignment horizontal="center" vertical="center"/>
    </xf>
    <xf numFmtId="0" fontId="16" fillId="42" borderId="67" xfId="57485" applyFont="1" applyFill="1" applyBorder="1" applyAlignment="1">
      <alignment horizontal="center" vertical="center"/>
    </xf>
    <xf numFmtId="0" fontId="16" fillId="42" borderId="5" xfId="57485" applyFont="1" applyFill="1" applyBorder="1" applyAlignment="1">
      <alignment horizontal="center" vertical="center"/>
    </xf>
    <xf numFmtId="0" fontId="16" fillId="42" borderId="35" xfId="57485" applyFont="1" applyFill="1" applyBorder="1" applyAlignment="1">
      <alignment horizontal="center" vertical="center"/>
    </xf>
    <xf numFmtId="0" fontId="16" fillId="42" borderId="69" xfId="57485" applyFont="1" applyFill="1" applyBorder="1" applyAlignment="1">
      <alignment horizontal="center" vertical="center"/>
    </xf>
    <xf numFmtId="0" fontId="16" fillId="42" borderId="127" xfId="57485" applyFont="1" applyFill="1" applyBorder="1" applyAlignment="1">
      <alignment horizontal="center" vertical="center"/>
    </xf>
    <xf numFmtId="0" fontId="16" fillId="42" borderId="70" xfId="57485" applyFont="1" applyFill="1" applyBorder="1" applyAlignment="1">
      <alignment horizontal="center" vertical="center"/>
    </xf>
    <xf numFmtId="0" fontId="16" fillId="42" borderId="67" xfId="57482" applyFont="1" applyFill="1" applyBorder="1" applyAlignment="1">
      <alignment horizontal="center" vertical="center"/>
    </xf>
    <xf numFmtId="0" fontId="16" fillId="42" borderId="69" xfId="57482" applyFont="1" applyFill="1" applyBorder="1" applyAlignment="1">
      <alignment horizontal="center" vertical="center"/>
    </xf>
    <xf numFmtId="0" fontId="16" fillId="42" borderId="127" xfId="57482" applyFont="1" applyFill="1" applyBorder="1" applyAlignment="1">
      <alignment horizontal="center" vertical="center"/>
    </xf>
    <xf numFmtId="0" fontId="16" fillId="42" borderId="70" xfId="57482" applyFont="1" applyFill="1" applyBorder="1" applyAlignment="1">
      <alignment horizontal="center" vertical="center"/>
    </xf>
    <xf numFmtId="0" fontId="16" fillId="42" borderId="67" xfId="57482" applyFont="1" applyFill="1" applyBorder="1" applyAlignment="1">
      <alignment horizontal="center" vertical="center" wrapText="1"/>
    </xf>
    <xf numFmtId="0" fontId="16" fillId="42" borderId="33" xfId="57482" applyFont="1" applyFill="1" applyBorder="1" applyAlignment="1">
      <alignment horizontal="center" vertical="center"/>
    </xf>
    <xf numFmtId="0" fontId="16" fillId="42" borderId="68" xfId="57482" applyFont="1" applyFill="1" applyBorder="1" applyAlignment="1">
      <alignment horizontal="center" vertical="center"/>
    </xf>
    <xf numFmtId="0" fontId="16" fillId="42" borderId="9" xfId="57482" applyFont="1" applyFill="1" applyBorder="1" applyAlignment="1">
      <alignment horizontal="center" vertical="center"/>
    </xf>
    <xf numFmtId="176" fontId="16" fillId="0" borderId="71" xfId="57485" applyNumberFormat="1" applyFont="1" applyBorder="1" applyAlignment="1">
      <alignment horizontal="center" vertical="center"/>
    </xf>
    <xf numFmtId="176" fontId="16" fillId="0" borderId="72" xfId="57485" applyNumberFormat="1" applyFont="1" applyBorder="1" applyAlignment="1">
      <alignment horizontal="center" vertical="center"/>
    </xf>
    <xf numFmtId="176" fontId="16" fillId="0" borderId="73" xfId="57485" applyNumberFormat="1" applyFont="1" applyBorder="1" applyAlignment="1">
      <alignment horizontal="center" vertical="center"/>
    </xf>
    <xf numFmtId="176" fontId="16" fillId="0" borderId="8" xfId="57485" applyNumberFormat="1" applyFont="1" applyBorder="1" applyAlignment="1">
      <alignment horizontal="center" vertical="center"/>
    </xf>
    <xf numFmtId="176" fontId="16" fillId="0" borderId="0" xfId="57485" applyNumberFormat="1" applyFont="1" applyAlignment="1">
      <alignment horizontal="center" vertical="center"/>
    </xf>
    <xf numFmtId="176" fontId="16" fillId="0" borderId="34" xfId="57485" applyNumberFormat="1" applyFont="1" applyBorder="1" applyAlignment="1">
      <alignment horizontal="center" vertical="center"/>
    </xf>
    <xf numFmtId="0" fontId="16" fillId="0" borderId="74" xfId="57485" applyFont="1" applyBorder="1" applyAlignment="1">
      <alignment horizontal="left" vertical="center"/>
    </xf>
    <xf numFmtId="0" fontId="16" fillId="0" borderId="72" xfId="57485" applyFont="1" applyBorder="1" applyAlignment="1">
      <alignment horizontal="left" vertical="center"/>
    </xf>
    <xf numFmtId="0" fontId="16" fillId="0" borderId="73" xfId="57485" applyFont="1" applyBorder="1" applyAlignment="1">
      <alignment horizontal="left" vertical="center"/>
    </xf>
    <xf numFmtId="0" fontId="16" fillId="0" borderId="74" xfId="57485" applyFont="1" applyBorder="1" applyAlignment="1">
      <alignment horizontal="center" vertical="center"/>
    </xf>
    <xf numFmtId="0" fontId="16" fillId="0" borderId="72" xfId="57485" applyFont="1" applyBorder="1" applyAlignment="1">
      <alignment horizontal="center" vertical="center"/>
    </xf>
    <xf numFmtId="0" fontId="16" fillId="0" borderId="73" xfId="57485" applyFont="1" applyBorder="1" applyAlignment="1">
      <alignment horizontal="center" vertical="center"/>
    </xf>
    <xf numFmtId="56" fontId="16" fillId="0" borderId="75" xfId="57485" quotePrefix="1" applyNumberFormat="1" applyFont="1" applyBorder="1" applyAlignment="1">
      <alignment horizontal="center" vertical="center"/>
    </xf>
    <xf numFmtId="0" fontId="16" fillId="0" borderId="76" xfId="57485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/>
    </xf>
    <xf numFmtId="56" fontId="16" fillId="0" borderId="75" xfId="57485" applyNumberFormat="1" applyFont="1" applyBorder="1" applyAlignment="1">
      <alignment horizontal="center" vertical="center"/>
    </xf>
    <xf numFmtId="0" fontId="16" fillId="0" borderId="78" xfId="57485" applyFont="1" applyBorder="1" applyAlignment="1">
      <alignment horizontal="center" vertical="center"/>
    </xf>
    <xf numFmtId="0" fontId="79" fillId="40" borderId="16" xfId="57485" applyFont="1" applyFill="1" applyBorder="1" applyAlignment="1">
      <alignment horizontal="center" vertical="center"/>
    </xf>
    <xf numFmtId="0" fontId="79" fillId="40" borderId="13" xfId="57485" applyFont="1" applyFill="1" applyBorder="1" applyAlignment="1">
      <alignment horizontal="center" vertical="center"/>
    </xf>
    <xf numFmtId="0" fontId="79" fillId="40" borderId="14" xfId="57485" applyFont="1" applyFill="1" applyBorder="1" applyAlignment="1">
      <alignment horizontal="center" vertical="center"/>
    </xf>
    <xf numFmtId="0" fontId="79" fillId="40" borderId="22" xfId="57485" applyFont="1" applyFill="1" applyBorder="1" applyAlignment="1">
      <alignment horizontal="center" vertical="center"/>
    </xf>
    <xf numFmtId="0" fontId="79" fillId="40" borderId="20" xfId="57485" applyFont="1" applyFill="1" applyBorder="1" applyAlignment="1">
      <alignment horizontal="center" vertical="center"/>
    </xf>
    <xf numFmtId="0" fontId="79" fillId="40" borderId="17" xfId="57485" applyFont="1" applyFill="1" applyBorder="1" applyAlignment="1">
      <alignment horizontal="center" vertical="center"/>
    </xf>
    <xf numFmtId="0" fontId="78" fillId="0" borderId="22" xfId="57485" applyFont="1" applyBorder="1" applyAlignment="1">
      <alignment horizontal="center" vertical="center"/>
    </xf>
    <xf numFmtId="0" fontId="78" fillId="0" borderId="20" xfId="57485" applyFont="1" applyBorder="1" applyAlignment="1">
      <alignment horizontal="center" vertical="center"/>
    </xf>
    <xf numFmtId="0" fontId="78" fillId="0" borderId="17" xfId="57485" applyFont="1" applyBorder="1" applyAlignment="1">
      <alignment horizontal="center" vertical="center"/>
    </xf>
    <xf numFmtId="14" fontId="79" fillId="40" borderId="22" xfId="57485" applyNumberFormat="1" applyFont="1" applyFill="1" applyBorder="1" applyAlignment="1">
      <alignment horizontal="center" vertical="center"/>
    </xf>
    <xf numFmtId="14" fontId="79" fillId="40" borderId="20" xfId="57485" applyNumberFormat="1" applyFont="1" applyFill="1" applyBorder="1" applyAlignment="1">
      <alignment horizontal="center" vertical="center"/>
    </xf>
    <xf numFmtId="14" fontId="79" fillId="40" borderId="17" xfId="57485" applyNumberFormat="1" applyFont="1" applyFill="1" applyBorder="1" applyAlignment="1">
      <alignment horizontal="center" vertical="center"/>
    </xf>
    <xf numFmtId="14" fontId="78" fillId="0" borderId="22" xfId="57485" applyNumberFormat="1" applyFont="1" applyBorder="1" applyAlignment="1">
      <alignment horizontal="center" vertical="center" shrinkToFit="1"/>
    </xf>
    <xf numFmtId="14" fontId="78" fillId="0" borderId="20" xfId="57485" applyNumberFormat="1" applyFont="1" applyBorder="1" applyAlignment="1">
      <alignment horizontal="center" vertical="center" shrinkToFit="1"/>
    </xf>
    <xf numFmtId="14" fontId="78" fillId="0" borderId="17" xfId="57485" applyNumberFormat="1" applyFont="1" applyBorder="1" applyAlignment="1">
      <alignment horizontal="center" vertical="center" shrinkToFit="1"/>
    </xf>
    <xf numFmtId="184" fontId="78" fillId="0" borderId="22" xfId="57485" quotePrefix="1" applyNumberFormat="1" applyFont="1" applyBorder="1" applyAlignment="1">
      <alignment horizontal="center" vertical="center"/>
    </xf>
    <xf numFmtId="184" fontId="78" fillId="0" borderId="20" xfId="57485" applyNumberFormat="1" applyFont="1" applyBorder="1" applyAlignment="1">
      <alignment horizontal="center" vertical="center"/>
    </xf>
    <xf numFmtId="184" fontId="78" fillId="0" borderId="21" xfId="57485" applyNumberFormat="1" applyFont="1" applyBorder="1" applyAlignment="1">
      <alignment horizontal="center" vertical="center"/>
    </xf>
    <xf numFmtId="0" fontId="84" fillId="39" borderId="4" xfId="57484" applyFont="1" applyFill="1" applyBorder="1" applyAlignment="1" applyProtection="1">
      <alignment horizontal="center" vertical="center"/>
    </xf>
    <xf numFmtId="0" fontId="84" fillId="39" borderId="5" xfId="57484" applyFont="1" applyFill="1" applyBorder="1" applyAlignment="1" applyProtection="1">
      <alignment horizontal="center" vertical="center"/>
    </xf>
    <xf numFmtId="0" fontId="84" fillId="39" borderId="35" xfId="57484" applyFont="1" applyFill="1" applyBorder="1" applyAlignment="1" applyProtection="1">
      <alignment horizontal="center" vertical="center"/>
    </xf>
    <xf numFmtId="0" fontId="84" fillId="39" borderId="6" xfId="57484" applyFont="1" applyFill="1" applyBorder="1" applyAlignment="1" applyProtection="1">
      <alignment horizontal="center" vertical="center"/>
    </xf>
    <xf numFmtId="0" fontId="84" fillId="39" borderId="66" xfId="57484" applyFont="1" applyFill="1" applyBorder="1" applyAlignment="1" applyProtection="1">
      <alignment horizontal="center" vertical="center"/>
    </xf>
    <xf numFmtId="0" fontId="84" fillId="39" borderId="128" xfId="57484" applyFont="1" applyFill="1" applyBorder="1" applyAlignment="1" applyProtection="1">
      <alignment horizontal="center" vertical="center"/>
    </xf>
    <xf numFmtId="0" fontId="85" fillId="0" borderId="67" xfId="57485" applyFont="1" applyBorder="1" applyAlignment="1">
      <alignment horizontal="center" vertical="center" shrinkToFit="1"/>
    </xf>
    <xf numFmtId="0" fontId="85" fillId="0" borderId="5" xfId="57485" applyFont="1" applyBorder="1" applyAlignment="1">
      <alignment horizontal="center" vertical="center" shrinkToFit="1"/>
    </xf>
    <xf numFmtId="0" fontId="85" fillId="0" borderId="35" xfId="57485" applyFont="1" applyBorder="1" applyAlignment="1">
      <alignment horizontal="center" vertical="center" shrinkToFit="1"/>
    </xf>
    <xf numFmtId="0" fontId="85" fillId="0" borderId="125" xfId="57485" applyFont="1" applyBorder="1" applyAlignment="1">
      <alignment horizontal="center" vertical="center" shrinkToFit="1"/>
    </xf>
    <xf numFmtId="0" fontId="85" fillId="0" borderId="66" xfId="57485" applyFont="1" applyBorder="1" applyAlignment="1">
      <alignment horizontal="center" vertical="center" shrinkToFit="1"/>
    </xf>
    <xf numFmtId="0" fontId="85" fillId="0" borderId="128" xfId="57485" applyFont="1" applyBorder="1" applyAlignment="1">
      <alignment horizontal="center" vertical="center" shrinkToFit="1"/>
    </xf>
    <xf numFmtId="0" fontId="79" fillId="40" borderId="15" xfId="57485" applyFont="1" applyFill="1" applyBorder="1" applyAlignment="1">
      <alignment horizontal="center" vertical="center"/>
    </xf>
    <xf numFmtId="0" fontId="78" fillId="0" borderId="16" xfId="57485" applyFont="1" applyBorder="1" applyAlignment="1">
      <alignment horizontal="center" vertical="center" shrinkToFit="1"/>
    </xf>
    <xf numFmtId="0" fontId="78" fillId="0" borderId="13" xfId="57485" applyFont="1" applyBorder="1" applyAlignment="1">
      <alignment horizontal="center" vertical="center" shrinkToFit="1"/>
    </xf>
    <xf numFmtId="0" fontId="78" fillId="0" borderId="15" xfId="57485" applyFont="1" applyBorder="1" applyAlignment="1">
      <alignment horizontal="center" vertical="center" shrinkToFit="1"/>
    </xf>
    <xf numFmtId="14" fontId="78" fillId="0" borderId="16" xfId="57485" applyNumberFormat="1" applyFont="1" applyBorder="1" applyAlignment="1">
      <alignment horizontal="center" vertical="center"/>
    </xf>
    <xf numFmtId="14" fontId="78" fillId="0" borderId="13" xfId="57485" applyNumberFormat="1" applyFont="1" applyBorder="1" applyAlignment="1">
      <alignment horizontal="center" vertical="center"/>
    </xf>
    <xf numFmtId="14" fontId="78" fillId="0" borderId="15" xfId="57485" applyNumberFormat="1" applyFont="1" applyBorder="1" applyAlignment="1">
      <alignment horizontal="center" vertical="center"/>
    </xf>
    <xf numFmtId="0" fontId="24" fillId="0" borderId="5" xfId="8" applyFont="1" applyBorder="1" applyAlignment="1">
      <alignment horizontal="center" vertical="center" wrapText="1"/>
    </xf>
    <xf numFmtId="0" fontId="24" fillId="0" borderId="35" xfId="8" applyFont="1" applyBorder="1" applyAlignment="1">
      <alignment horizontal="center" vertical="center" wrapText="1"/>
    </xf>
    <xf numFmtId="0" fontId="24" fillId="0" borderId="8" xfId="8" applyFont="1" applyBorder="1" applyAlignment="1">
      <alignment horizontal="center" vertical="center" wrapText="1"/>
    </xf>
    <xf numFmtId="0" fontId="24" fillId="0" borderId="0" xfId="8" applyFont="1" applyAlignment="1">
      <alignment horizontal="center" vertical="center" wrapText="1"/>
    </xf>
    <xf numFmtId="0" fontId="24" fillId="0" borderId="34" xfId="8" applyFont="1" applyBorder="1" applyAlignment="1">
      <alignment horizontal="center" vertical="center" wrapText="1"/>
    </xf>
    <xf numFmtId="0" fontId="24" fillId="0" borderId="6" xfId="8" applyFont="1" applyBorder="1" applyAlignment="1">
      <alignment horizontal="center" vertical="center" wrapText="1"/>
    </xf>
    <xf numFmtId="0" fontId="24" fillId="0" borderId="66" xfId="8" applyFont="1" applyBorder="1" applyAlignment="1">
      <alignment horizontal="center" vertical="center" wrapText="1"/>
    </xf>
    <xf numFmtId="0" fontId="24" fillId="0" borderId="128" xfId="8" applyFont="1" applyBorder="1" applyAlignment="1">
      <alignment horizontal="center" vertical="center" wrapText="1"/>
    </xf>
    <xf numFmtId="0" fontId="15" fillId="43" borderId="16" xfId="8" applyFont="1" applyFill="1" applyBorder="1" applyAlignment="1">
      <alignment horizontal="center" vertical="center" wrapText="1"/>
    </xf>
    <xf numFmtId="0" fontId="15" fillId="43" borderId="13" xfId="8" applyFont="1" applyFill="1" applyBorder="1" applyAlignment="1">
      <alignment horizontal="center" vertical="center" wrapText="1"/>
    </xf>
    <xf numFmtId="0" fontId="15" fillId="43" borderId="15" xfId="8" applyFont="1" applyFill="1" applyBorder="1" applyAlignment="1">
      <alignment horizontal="center" vertical="center" wrapText="1"/>
    </xf>
    <xf numFmtId="0" fontId="15" fillId="43" borderId="16" xfId="8" applyFont="1" applyFill="1" applyBorder="1" applyAlignment="1">
      <alignment horizontal="center" wrapText="1"/>
    </xf>
    <xf numFmtId="0" fontId="15" fillId="43" borderId="13" xfId="8" applyFont="1" applyFill="1" applyBorder="1" applyAlignment="1">
      <alignment horizontal="center" wrapText="1"/>
    </xf>
    <xf numFmtId="0" fontId="15" fillId="43" borderId="15" xfId="8" applyFont="1" applyFill="1" applyBorder="1" applyAlignment="1">
      <alignment horizontal="center" wrapText="1"/>
    </xf>
    <xf numFmtId="0" fontId="15" fillId="0" borderId="110" xfId="8" applyFont="1" applyBorder="1" applyAlignment="1">
      <alignment horizontal="center" vertical="center" wrapText="1"/>
    </xf>
    <xf numFmtId="0" fontId="15" fillId="0" borderId="111" xfId="8" applyFont="1" applyBorder="1" applyAlignment="1">
      <alignment horizontal="center" vertical="center" wrapText="1"/>
    </xf>
    <xf numFmtId="0" fontId="15" fillId="43" borderId="112" xfId="8" applyFont="1" applyFill="1" applyBorder="1" applyAlignment="1">
      <alignment horizontal="center" wrapText="1"/>
    </xf>
    <xf numFmtId="0" fontId="15" fillId="43" borderId="113" xfId="8" applyFont="1" applyFill="1" applyBorder="1" applyAlignment="1">
      <alignment horizontal="center" wrapText="1"/>
    </xf>
    <xf numFmtId="0" fontId="15" fillId="43" borderId="114" xfId="8" applyFont="1" applyFill="1" applyBorder="1" applyAlignment="1">
      <alignment horizontal="center" wrapText="1"/>
    </xf>
    <xf numFmtId="0" fontId="16" fillId="0" borderId="13" xfId="8" applyFont="1" applyBorder="1" applyAlignment="1">
      <alignment horizontal="center" wrapText="1"/>
    </xf>
    <xf numFmtId="0" fontId="16" fillId="0" borderId="15" xfId="8" applyFont="1" applyBorder="1" applyAlignment="1">
      <alignment horizontal="center" wrapText="1"/>
    </xf>
    <xf numFmtId="0" fontId="15" fillId="43" borderId="16" xfId="9" applyFont="1" applyFill="1" applyBorder="1" applyAlignment="1">
      <alignment horizontal="center" wrapText="1"/>
    </xf>
    <xf numFmtId="0" fontId="6" fillId="43" borderId="13" xfId="224" applyFill="1" applyBorder="1" applyAlignment="1">
      <alignment horizontal="center" wrapText="1"/>
    </xf>
    <xf numFmtId="0" fontId="6" fillId="43" borderId="15" xfId="224" applyFill="1" applyBorder="1" applyAlignment="1">
      <alignment horizontal="center" wrapText="1"/>
    </xf>
    <xf numFmtId="0" fontId="15" fillId="43" borderId="16" xfId="9" applyFont="1" applyFill="1" applyBorder="1" applyAlignment="1">
      <alignment horizontal="center"/>
    </xf>
    <xf numFmtId="0" fontId="6" fillId="43" borderId="13" xfId="224" applyFill="1" applyBorder="1" applyAlignment="1">
      <alignment horizontal="center"/>
    </xf>
    <xf numFmtId="0" fontId="6" fillId="43" borderId="15" xfId="224" applyFill="1" applyBorder="1" applyAlignment="1">
      <alignment horizontal="center"/>
    </xf>
    <xf numFmtId="0" fontId="6" fillId="43" borderId="14" xfId="224" applyFill="1" applyBorder="1" applyAlignment="1">
      <alignment horizontal="center"/>
    </xf>
    <xf numFmtId="0" fontId="18" fillId="0" borderId="66" xfId="8" applyFont="1" applyBorder="1" applyAlignment="1">
      <alignment horizontal="center" vertical="center" shrinkToFit="1"/>
    </xf>
    <xf numFmtId="0" fontId="18" fillId="0" borderId="128" xfId="8" applyFont="1" applyBorder="1" applyAlignment="1">
      <alignment horizontal="center" vertical="center" shrinkToFit="1"/>
    </xf>
    <xf numFmtId="0" fontId="15" fillId="43" borderId="22" xfId="8" applyFont="1" applyFill="1" applyBorder="1" applyAlignment="1">
      <alignment horizontal="center" wrapText="1"/>
    </xf>
    <xf numFmtId="0" fontId="15" fillId="43" borderId="20" xfId="8" applyFont="1" applyFill="1" applyBorder="1" applyAlignment="1">
      <alignment horizontal="center" wrapText="1"/>
    </xf>
    <xf numFmtId="0" fontId="15" fillId="43" borderId="17" xfId="8" applyFont="1" applyFill="1" applyBorder="1" applyAlignment="1">
      <alignment horizontal="center" wrapText="1"/>
    </xf>
    <xf numFmtId="0" fontId="17" fillId="0" borderId="17" xfId="6" quotePrefix="1" applyFont="1" applyBorder="1" applyAlignment="1">
      <alignment wrapText="1"/>
    </xf>
    <xf numFmtId="0" fontId="13" fillId="31" borderId="112" xfId="224" applyFont="1" applyFill="1" applyBorder="1" applyAlignment="1">
      <alignment horizontal="center" vertical="center"/>
    </xf>
    <xf numFmtId="0" fontId="13" fillId="31" borderId="114" xfId="224" applyFont="1" applyFill="1" applyBorder="1" applyAlignment="1">
      <alignment horizontal="center" vertical="center"/>
    </xf>
    <xf numFmtId="0" fontId="95" fillId="48" borderId="32" xfId="224" applyFont="1" applyFill="1" applyBorder="1" applyAlignment="1">
      <alignment vertical="center" shrinkToFit="1"/>
    </xf>
    <xf numFmtId="0" fontId="0" fillId="56" borderId="31" xfId="0" applyFill="1" applyBorder="1" applyAlignment="1">
      <alignment vertical="center" shrinkToFit="1"/>
    </xf>
    <xf numFmtId="0" fontId="95" fillId="48" borderId="112" xfId="224" applyFont="1" applyFill="1" applyBorder="1" applyAlignment="1">
      <alignment horizontal="center" vertical="center" shrinkToFit="1"/>
    </xf>
    <xf numFmtId="0" fontId="95" fillId="48" borderId="113" xfId="224" applyFont="1" applyFill="1" applyBorder="1" applyAlignment="1">
      <alignment horizontal="center" vertical="center" shrinkToFit="1"/>
    </xf>
    <xf numFmtId="0" fontId="95" fillId="48" borderId="114" xfId="224" applyFont="1" applyFill="1" applyBorder="1" applyAlignment="1">
      <alignment horizontal="center" vertical="center" shrinkToFit="1"/>
    </xf>
    <xf numFmtId="0" fontId="95" fillId="48" borderId="112" xfId="224" applyFont="1" applyFill="1" applyBorder="1" applyAlignment="1">
      <alignment vertical="center" shrinkToFit="1"/>
    </xf>
    <xf numFmtId="0" fontId="0" fillId="56" borderId="113" xfId="0" applyFill="1" applyBorder="1" applyAlignment="1">
      <alignment vertical="center" shrinkToFit="1"/>
    </xf>
    <xf numFmtId="0" fontId="95" fillId="48" borderId="109" xfId="224" applyFont="1" applyFill="1" applyBorder="1" applyAlignment="1">
      <alignment horizontal="center" vertical="center" shrinkToFit="1"/>
    </xf>
    <xf numFmtId="0" fontId="95" fillId="48" borderId="111" xfId="224" applyFont="1" applyFill="1" applyBorder="1" applyAlignment="1">
      <alignment horizontal="center" vertical="center" shrinkToFit="1"/>
    </xf>
    <xf numFmtId="0" fontId="15" fillId="36" borderId="22" xfId="8" applyFont="1" applyFill="1" applyBorder="1" applyAlignment="1">
      <alignment horizontal="center" shrinkToFit="1"/>
    </xf>
    <xf numFmtId="0" fontId="6" fillId="36" borderId="20" xfId="224" applyFill="1" applyBorder="1" applyAlignment="1">
      <alignment horizontal="center" shrinkToFit="1"/>
    </xf>
    <xf numFmtId="0" fontId="6" fillId="36" borderId="17" xfId="224" applyFill="1" applyBorder="1" applyAlignment="1">
      <alignment horizontal="center" shrinkToFit="1"/>
    </xf>
    <xf numFmtId="0" fontId="17" fillId="31" borderId="22" xfId="8" applyFont="1" applyFill="1" applyBorder="1" applyAlignment="1">
      <alignment horizontal="center" wrapText="1"/>
    </xf>
    <xf numFmtId="0" fontId="6" fillId="31" borderId="20" xfId="224" applyFill="1" applyBorder="1" applyAlignment="1">
      <alignment horizontal="center" wrapText="1"/>
    </xf>
    <xf numFmtId="0" fontId="17" fillId="31" borderId="20" xfId="8" quotePrefix="1" applyFont="1" applyFill="1" applyBorder="1" applyAlignment="1">
      <alignment horizontal="left" wrapText="1"/>
    </xf>
    <xf numFmtId="0" fontId="23" fillId="31" borderId="20" xfId="224" applyFont="1" applyFill="1" applyBorder="1" applyAlignment="1">
      <alignment horizontal="left" wrapText="1"/>
    </xf>
    <xf numFmtId="0" fontId="23" fillId="31" borderId="17" xfId="224" applyFont="1" applyFill="1" applyBorder="1" applyAlignment="1">
      <alignment horizontal="left" wrapText="1"/>
    </xf>
    <xf numFmtId="0" fontId="15" fillId="32" borderId="11" xfId="224" applyFont="1" applyFill="1" applyBorder="1" applyAlignment="1">
      <alignment horizontal="center" vertical="center"/>
    </xf>
    <xf numFmtId="0" fontId="15" fillId="32" borderId="13" xfId="224" applyFont="1" applyFill="1" applyBorder="1" applyAlignment="1">
      <alignment horizontal="center" vertical="center"/>
    </xf>
    <xf numFmtId="0" fontId="15" fillId="32" borderId="14" xfId="224" applyFont="1" applyFill="1" applyBorder="1" applyAlignment="1">
      <alignment horizontal="center" vertical="center"/>
    </xf>
    <xf numFmtId="0" fontId="24" fillId="31" borderId="4" xfId="8" applyFont="1" applyFill="1" applyBorder="1" applyAlignment="1">
      <alignment horizontal="center" vertical="center" wrapText="1"/>
    </xf>
    <xf numFmtId="0" fontId="21" fillId="31" borderId="5" xfId="224" applyFont="1" applyFill="1" applyBorder="1" applyAlignment="1">
      <alignment horizontal="center" vertical="center" wrapText="1"/>
    </xf>
    <xf numFmtId="0" fontId="21" fillId="31" borderId="35" xfId="224" applyFont="1" applyFill="1" applyBorder="1" applyAlignment="1">
      <alignment horizontal="center" vertical="center" wrapText="1"/>
    </xf>
    <xf numFmtId="0" fontId="21" fillId="31" borderId="8" xfId="224" applyFont="1" applyFill="1" applyBorder="1" applyAlignment="1">
      <alignment horizontal="center" vertical="center" wrapText="1"/>
    </xf>
    <xf numFmtId="0" fontId="21" fillId="31" borderId="0" xfId="224" applyFont="1" applyFill="1" applyAlignment="1">
      <alignment horizontal="center" vertical="center" wrapText="1"/>
    </xf>
    <xf numFmtId="0" fontId="21" fillId="31" borderId="34" xfId="224" applyFont="1" applyFill="1" applyBorder="1" applyAlignment="1">
      <alignment horizontal="center" vertical="center" wrapText="1"/>
    </xf>
    <xf numFmtId="0" fontId="21" fillId="31" borderId="6" xfId="224" applyFont="1" applyFill="1" applyBorder="1" applyAlignment="1">
      <alignment horizontal="center" vertical="center" wrapText="1"/>
    </xf>
    <xf numFmtId="0" fontId="21" fillId="31" borderId="66" xfId="224" applyFont="1" applyFill="1" applyBorder="1" applyAlignment="1">
      <alignment horizontal="center" vertical="center" wrapText="1"/>
    </xf>
    <xf numFmtId="0" fontId="21" fillId="31" borderId="128" xfId="224" applyFont="1" applyFill="1" applyBorder="1" applyAlignment="1">
      <alignment horizontal="center" vertical="center" wrapText="1"/>
    </xf>
    <xf numFmtId="0" fontId="15" fillId="36" borderId="12" xfId="9" applyFont="1" applyFill="1" applyBorder="1" applyAlignment="1">
      <alignment horizontal="center"/>
    </xf>
    <xf numFmtId="0" fontId="15" fillId="36" borderId="16" xfId="9" applyFont="1" applyFill="1" applyBorder="1" applyAlignment="1">
      <alignment horizontal="center" wrapText="1"/>
    </xf>
    <xf numFmtId="0" fontId="6" fillId="36" borderId="13" xfId="224" applyFill="1" applyBorder="1" applyAlignment="1">
      <alignment horizontal="center" wrapText="1"/>
    </xf>
    <xf numFmtId="0" fontId="6" fillId="36" borderId="15" xfId="224" applyFill="1" applyBorder="1" applyAlignment="1">
      <alignment horizontal="center" wrapText="1"/>
    </xf>
    <xf numFmtId="0" fontId="6" fillId="36" borderId="14" xfId="224" applyFill="1" applyBorder="1" applyAlignment="1">
      <alignment horizontal="center" wrapText="1"/>
    </xf>
    <xf numFmtId="0" fontId="15" fillId="31" borderId="109" xfId="8" applyFont="1" applyFill="1" applyBorder="1" applyAlignment="1">
      <alignment horizontal="center" vertical="center" wrapText="1"/>
    </xf>
    <xf numFmtId="0" fontId="6" fillId="31" borderId="110" xfId="224" applyFill="1" applyBorder="1" applyAlignment="1">
      <alignment horizontal="center" vertical="center" wrapText="1"/>
    </xf>
    <xf numFmtId="0" fontId="6" fillId="31" borderId="111" xfId="224" applyFill="1" applyBorder="1" applyAlignment="1">
      <alignment horizontal="center" vertical="center" wrapText="1"/>
    </xf>
    <xf numFmtId="0" fontId="15" fillId="36" borderId="112" xfId="8" applyFont="1" applyFill="1" applyBorder="1" applyAlignment="1">
      <alignment horizontal="center" shrinkToFit="1"/>
    </xf>
    <xf numFmtId="0" fontId="6" fillId="36" borderId="113" xfId="224" applyFill="1" applyBorder="1" applyAlignment="1">
      <alignment horizontal="center" shrinkToFit="1"/>
    </xf>
    <xf numFmtId="0" fontId="6" fillId="36" borderId="114" xfId="224" applyFill="1" applyBorder="1" applyAlignment="1">
      <alignment horizontal="center" shrinkToFit="1"/>
    </xf>
    <xf numFmtId="0" fontId="16" fillId="31" borderId="112" xfId="8" applyFont="1" applyFill="1" applyBorder="1" applyAlignment="1">
      <alignment horizontal="center" wrapText="1"/>
    </xf>
    <xf numFmtId="0" fontId="6" fillId="31" borderId="113" xfId="224" applyFill="1" applyBorder="1" applyAlignment="1">
      <alignment horizontal="center" wrapText="1"/>
    </xf>
    <xf numFmtId="0" fontId="6" fillId="31" borderId="114" xfId="224" applyFill="1" applyBorder="1" applyAlignment="1">
      <alignment horizontal="center" wrapText="1"/>
    </xf>
    <xf numFmtId="0" fontId="15" fillId="36" borderId="112" xfId="8" applyFont="1" applyFill="1" applyBorder="1" applyAlignment="1">
      <alignment horizontal="center" wrapText="1"/>
    </xf>
    <xf numFmtId="0" fontId="6" fillId="36" borderId="113" xfId="224" applyFill="1" applyBorder="1" applyAlignment="1">
      <alignment horizontal="center" wrapText="1"/>
    </xf>
    <xf numFmtId="0" fontId="6" fillId="36" borderId="114" xfId="224" applyFill="1" applyBorder="1" applyAlignment="1">
      <alignment horizontal="center" wrapText="1"/>
    </xf>
    <xf numFmtId="0" fontId="16" fillId="31" borderId="112" xfId="224" applyFont="1" applyFill="1" applyBorder="1" applyAlignment="1">
      <alignment horizontal="center" wrapText="1"/>
    </xf>
    <xf numFmtId="0" fontId="16" fillId="31" borderId="113" xfId="224" applyFont="1" applyFill="1" applyBorder="1" applyAlignment="1">
      <alignment horizontal="center" wrapText="1"/>
    </xf>
    <xf numFmtId="0" fontId="16" fillId="31" borderId="114" xfId="224" applyFont="1" applyFill="1" applyBorder="1" applyAlignment="1">
      <alignment horizontal="center" wrapText="1"/>
    </xf>
    <xf numFmtId="14" fontId="16" fillId="31" borderId="3" xfId="9" applyNumberFormat="1" applyFont="1" applyFill="1" applyBorder="1" applyAlignment="1">
      <alignment horizontal="center" vertical="center"/>
    </xf>
    <xf numFmtId="0" fontId="16" fillId="31" borderId="3" xfId="9" applyFont="1" applyFill="1" applyBorder="1" applyAlignment="1">
      <alignment horizontal="center" vertical="center"/>
    </xf>
    <xf numFmtId="0" fontId="16" fillId="31" borderId="29" xfId="9" applyFont="1" applyFill="1" applyBorder="1" applyAlignment="1">
      <alignment horizontal="center" vertical="center"/>
    </xf>
    <xf numFmtId="0" fontId="16" fillId="31" borderId="109" xfId="9" applyFont="1" applyFill="1" applyBorder="1" applyAlignment="1">
      <alignment horizontal="center" vertical="center" wrapText="1"/>
    </xf>
    <xf numFmtId="0" fontId="6" fillId="31" borderId="125" xfId="224" applyFill="1" applyBorder="1" applyAlignment="1">
      <alignment horizontal="center" vertical="center" wrapText="1"/>
    </xf>
    <xf numFmtId="0" fontId="6" fillId="31" borderId="66" xfId="224" applyFill="1" applyBorder="1" applyAlignment="1">
      <alignment horizontal="center" vertical="center" wrapText="1"/>
    </xf>
    <xf numFmtId="0" fontId="6" fillId="31" borderId="128" xfId="224" applyFill="1" applyBorder="1" applyAlignment="1">
      <alignment horizontal="center" vertical="center" wrapText="1"/>
    </xf>
    <xf numFmtId="0" fontId="15" fillId="36" borderId="16" xfId="8" applyFont="1" applyFill="1" applyBorder="1" applyAlignment="1">
      <alignment horizontal="center" vertical="center" wrapText="1"/>
    </xf>
    <xf numFmtId="0" fontId="6" fillId="36" borderId="13" xfId="224" applyFill="1" applyBorder="1" applyAlignment="1">
      <alignment horizontal="center" vertical="center" wrapText="1"/>
    </xf>
    <xf numFmtId="0" fontId="6" fillId="36" borderId="15" xfId="224" applyFill="1" applyBorder="1" applyAlignment="1">
      <alignment horizontal="center" vertical="center" wrapText="1"/>
    </xf>
    <xf numFmtId="0" fontId="15" fillId="36" borderId="16" xfId="8" applyFont="1" applyFill="1" applyBorder="1" applyAlignment="1">
      <alignment horizontal="center" shrinkToFit="1"/>
    </xf>
    <xf numFmtId="0" fontId="6" fillId="36" borderId="13" xfId="224" applyFill="1" applyBorder="1" applyAlignment="1">
      <alignment horizontal="center" shrinkToFit="1"/>
    </xf>
    <xf numFmtId="0" fontId="6" fillId="36" borderId="15" xfId="224" applyFill="1" applyBorder="1" applyAlignment="1">
      <alignment horizontal="center" shrinkToFit="1"/>
    </xf>
    <xf numFmtId="0" fontId="16" fillId="31" borderId="16" xfId="8" applyFont="1" applyFill="1" applyBorder="1" applyAlignment="1">
      <alignment horizontal="center" wrapText="1"/>
    </xf>
    <xf numFmtId="0" fontId="6" fillId="31" borderId="13" xfId="224" applyFill="1" applyBorder="1" applyAlignment="1">
      <alignment horizontal="center" wrapText="1"/>
    </xf>
    <xf numFmtId="0" fontId="6" fillId="31" borderId="15" xfId="224" applyFill="1" applyBorder="1" applyAlignment="1">
      <alignment horizontal="center" wrapText="1"/>
    </xf>
    <xf numFmtId="0" fontId="15" fillId="36" borderId="16" xfId="8" applyFont="1" applyFill="1" applyBorder="1" applyAlignment="1">
      <alignment horizontal="center" wrapText="1"/>
    </xf>
    <xf numFmtId="0" fontId="16" fillId="31" borderId="16" xfId="8" applyFont="1" applyFill="1" applyBorder="1" applyAlignment="1">
      <alignment horizontal="center" shrinkToFit="1"/>
    </xf>
    <xf numFmtId="0" fontId="6" fillId="31" borderId="13" xfId="224" applyFill="1" applyBorder="1" applyAlignment="1">
      <alignment horizontal="center" shrinkToFit="1"/>
    </xf>
    <xf numFmtId="0" fontId="6" fillId="31" borderId="15" xfId="224" applyFill="1" applyBorder="1" applyAlignment="1">
      <alignment horizontal="center" shrinkToFit="1"/>
    </xf>
    <xf numFmtId="176" fontId="16" fillId="31" borderId="109" xfId="9" applyNumberFormat="1" applyFont="1" applyFill="1" applyBorder="1" applyAlignment="1">
      <alignment horizontal="center" vertical="center" wrapText="1"/>
    </xf>
    <xf numFmtId="0" fontId="6" fillId="31" borderId="115" xfId="224" applyFill="1" applyBorder="1" applyAlignment="1">
      <alignment horizontal="center" vertical="center" wrapText="1"/>
    </xf>
    <xf numFmtId="0" fontId="6" fillId="31" borderId="126" xfId="224" applyFill="1" applyBorder="1" applyAlignment="1">
      <alignment horizontal="center" vertical="center" wrapText="1"/>
    </xf>
    <xf numFmtId="0" fontId="18" fillId="31" borderId="125" xfId="8" applyFont="1" applyFill="1" applyBorder="1" applyAlignment="1">
      <alignment horizontal="center" vertical="center" shrinkToFit="1"/>
    </xf>
    <xf numFmtId="0" fontId="23" fillId="31" borderId="66" xfId="224" applyFont="1" applyFill="1" applyBorder="1" applyAlignment="1">
      <alignment horizontal="center" vertical="center" shrinkToFit="1"/>
    </xf>
    <xf numFmtId="0" fontId="23" fillId="31" borderId="128" xfId="224" applyFont="1" applyFill="1" applyBorder="1" applyAlignment="1">
      <alignment horizontal="center" vertical="center" shrinkToFit="1"/>
    </xf>
    <xf numFmtId="0" fontId="17" fillId="31" borderId="132" xfId="224" applyFont="1" applyFill="1" applyBorder="1" applyAlignment="1">
      <alignment horizontal="center" vertical="center"/>
    </xf>
    <xf numFmtId="0" fontId="17" fillId="31" borderId="0" xfId="224" applyFont="1" applyFill="1" applyAlignment="1">
      <alignment horizontal="center" vertical="center"/>
    </xf>
    <xf numFmtId="0" fontId="19" fillId="31" borderId="8" xfId="224" applyFont="1" applyFill="1" applyBorder="1" applyAlignment="1">
      <alignment vertical="center" wrapText="1"/>
    </xf>
    <xf numFmtId="0" fontId="19" fillId="31" borderId="0" xfId="224" applyFont="1" applyFill="1" applyAlignment="1">
      <alignment vertical="center" wrapText="1"/>
    </xf>
    <xf numFmtId="0" fontId="14" fillId="31" borderId="0" xfId="224" applyFont="1" applyFill="1" applyAlignment="1">
      <alignment vertical="center" wrapText="1"/>
    </xf>
    <xf numFmtId="0" fontId="17" fillId="0" borderId="19" xfId="0" applyFont="1" applyBorder="1" applyAlignment="1">
      <alignment horizontal="right" vertical="center" wrapText="1"/>
    </xf>
    <xf numFmtId="0" fontId="17" fillId="0" borderId="17" xfId="0" applyFont="1" applyBorder="1" applyAlignment="1">
      <alignment horizontal="right" vertical="center" wrapText="1"/>
    </xf>
    <xf numFmtId="0" fontId="17" fillId="0" borderId="18" xfId="0" applyFont="1" applyBorder="1" applyAlignment="1">
      <alignment horizontal="right" vertical="center" wrapText="1"/>
    </xf>
    <xf numFmtId="0" fontId="17" fillId="0" borderId="114" xfId="0" applyFont="1" applyBorder="1" applyAlignment="1">
      <alignment horizontal="right" vertical="center" wrapText="1"/>
    </xf>
    <xf numFmtId="0" fontId="17" fillId="0" borderId="103" xfId="0" applyFont="1" applyBorder="1" applyAlignment="1">
      <alignment horizontal="right" vertical="center" wrapText="1"/>
    </xf>
    <xf numFmtId="0" fontId="17" fillId="0" borderId="104" xfId="0" applyFont="1" applyBorder="1" applyAlignment="1">
      <alignment horizontal="right" vertical="center" wrapText="1"/>
    </xf>
    <xf numFmtId="0" fontId="17" fillId="0" borderId="100" xfId="0" applyFont="1" applyBorder="1" applyAlignment="1">
      <alignment vertical="center" wrapText="1"/>
    </xf>
    <xf numFmtId="0" fontId="0" fillId="0" borderId="101" xfId="0" applyBorder="1" applyAlignment="1">
      <alignment vertical="center" wrapText="1"/>
    </xf>
    <xf numFmtId="0" fontId="0" fillId="0" borderId="102" xfId="0" applyBorder="1" applyAlignment="1">
      <alignment vertical="center" wrapText="1"/>
    </xf>
    <xf numFmtId="0" fontId="89" fillId="0" borderId="19" xfId="0" applyFont="1" applyBorder="1" applyAlignment="1">
      <alignment horizontal="right" vertical="center" wrapText="1"/>
    </xf>
    <xf numFmtId="0" fontId="89" fillId="0" borderId="17" xfId="0" applyFont="1" applyBorder="1" applyAlignment="1">
      <alignment horizontal="right" vertical="center" wrapText="1"/>
    </xf>
    <xf numFmtId="0" fontId="89" fillId="0" borderId="22" xfId="0" applyFont="1" applyBorder="1" applyAlignment="1">
      <alignment horizontal="left" vertical="top" wrapText="1"/>
    </xf>
    <xf numFmtId="0" fontId="89" fillId="0" borderId="20" xfId="0" applyFont="1" applyBorder="1" applyAlignment="1">
      <alignment horizontal="left" vertical="top"/>
    </xf>
    <xf numFmtId="0" fontId="89" fillId="0" borderId="21" xfId="0" applyFont="1" applyBorder="1" applyAlignment="1">
      <alignment horizontal="left" vertical="top"/>
    </xf>
    <xf numFmtId="0" fontId="89" fillId="0" borderId="18" xfId="0" applyFont="1" applyBorder="1" applyAlignment="1">
      <alignment horizontal="right" vertical="center" wrapText="1"/>
    </xf>
    <xf numFmtId="0" fontId="89" fillId="0" borderId="114" xfId="0" applyFont="1" applyBorder="1" applyAlignment="1">
      <alignment horizontal="right" vertical="center" wrapText="1"/>
    </xf>
    <xf numFmtId="0" fontId="89" fillId="0" borderId="112" xfId="0" applyFont="1" applyBorder="1" applyAlignment="1">
      <alignment horizontal="left" vertical="top" wrapText="1"/>
    </xf>
    <xf numFmtId="0" fontId="89" fillId="0" borderId="113" xfId="0" applyFont="1" applyBorder="1" applyAlignment="1">
      <alignment horizontal="left" vertical="top"/>
    </xf>
    <xf numFmtId="0" fontId="89" fillId="0" borderId="121" xfId="0" applyFont="1" applyBorder="1" applyAlignment="1">
      <alignment horizontal="left" vertical="top"/>
    </xf>
    <xf numFmtId="183" fontId="13" fillId="0" borderId="135" xfId="57492" applyNumberFormat="1" applyFont="1" applyBorder="1" applyAlignment="1">
      <alignment horizontal="right" vertical="center"/>
    </xf>
    <xf numFmtId="183" fontId="13" fillId="0" borderId="29" xfId="57492" applyNumberFormat="1" applyFont="1" applyBorder="1" applyAlignment="1">
      <alignment horizontal="right" vertical="center"/>
    </xf>
    <xf numFmtId="0" fontId="13" fillId="0" borderId="22" xfId="57493" applyFont="1" applyBorder="1" applyAlignment="1">
      <alignment vertical="center"/>
    </xf>
    <xf numFmtId="0" fontId="13" fillId="0" borderId="17" xfId="57493" applyFont="1" applyBorder="1" applyAlignment="1">
      <alignment vertical="center"/>
    </xf>
    <xf numFmtId="183" fontId="13" fillId="0" borderId="92" xfId="57492" applyNumberFormat="1" applyFont="1" applyBorder="1" applyAlignment="1">
      <alignment horizontal="right" vertical="center"/>
    </xf>
    <xf numFmtId="183" fontId="13" fillId="0" borderId="3" xfId="57492" applyNumberFormat="1" applyFont="1" applyBorder="1" applyAlignment="1">
      <alignment horizontal="right" vertical="center"/>
    </xf>
    <xf numFmtId="0" fontId="13" fillId="0" borderId="3" xfId="57493" applyFont="1" applyBorder="1" applyAlignment="1">
      <alignment vertical="center"/>
    </xf>
    <xf numFmtId="183" fontId="13" fillId="0" borderId="92" xfId="57493" applyNumberFormat="1" applyFont="1" applyBorder="1" applyAlignment="1">
      <alignment horizontal="right" vertical="center"/>
    </xf>
    <xf numFmtId="183" fontId="13" fillId="0" borderId="3" xfId="57493" applyNumberFormat="1" applyFont="1" applyBorder="1" applyAlignment="1">
      <alignment horizontal="right" vertical="center"/>
    </xf>
    <xf numFmtId="0" fontId="13" fillId="0" borderId="112" xfId="57493" applyFont="1" applyBorder="1" applyAlignment="1">
      <alignment vertical="center"/>
    </xf>
    <xf numFmtId="0" fontId="13" fillId="0" borderId="114" xfId="57493" applyFont="1" applyBorder="1" applyAlignment="1">
      <alignment vertical="center"/>
    </xf>
    <xf numFmtId="0" fontId="103" fillId="39" borderId="133" xfId="57492" applyFont="1" applyFill="1" applyBorder="1" applyAlignment="1">
      <alignment vertical="center"/>
    </xf>
    <xf numFmtId="0" fontId="102" fillId="0" borderId="16" xfId="57492" applyFont="1" applyBorder="1" applyAlignment="1">
      <alignment vertical="center"/>
    </xf>
    <xf numFmtId="0" fontId="103" fillId="39" borderId="12" xfId="57492" applyFont="1" applyFill="1" applyBorder="1" applyAlignment="1">
      <alignment vertical="center"/>
    </xf>
    <xf numFmtId="0" fontId="102" fillId="0" borderId="12" xfId="57492" applyFont="1" applyBorder="1" applyAlignment="1">
      <alignment vertical="center"/>
    </xf>
    <xf numFmtId="183" fontId="13" fillId="0" borderId="134" xfId="57493" applyNumberFormat="1" applyFont="1" applyBorder="1" applyAlignment="1">
      <alignment horizontal="right" vertical="center"/>
    </xf>
    <xf numFmtId="183" fontId="13" fillId="0" borderId="23" xfId="57493" applyNumberFormat="1" applyFont="1" applyBorder="1" applyAlignment="1">
      <alignment horizontal="right" vertical="center"/>
    </xf>
    <xf numFmtId="0" fontId="13" fillId="0" borderId="23" xfId="57493" applyFont="1" applyBorder="1" applyAlignment="1">
      <alignment vertical="center"/>
    </xf>
    <xf numFmtId="0" fontId="15" fillId="44" borderId="16" xfId="8" applyFont="1" applyFill="1" applyBorder="1" applyAlignment="1">
      <alignment horizontal="center" wrapText="1"/>
    </xf>
    <xf numFmtId="0" fontId="15" fillId="44" borderId="13" xfId="8" applyFont="1" applyFill="1" applyBorder="1" applyAlignment="1">
      <alignment horizontal="center" wrapText="1"/>
    </xf>
    <xf numFmtId="0" fontId="15" fillId="44" borderId="15" xfId="8" applyFont="1" applyFill="1" applyBorder="1" applyAlignment="1">
      <alignment horizontal="center" wrapText="1"/>
    </xf>
    <xf numFmtId="0" fontId="15" fillId="44" borderId="16" xfId="9" applyFont="1" applyFill="1" applyBorder="1" applyAlignment="1">
      <alignment horizontal="center" wrapText="1"/>
    </xf>
    <xf numFmtId="0" fontId="6" fillId="44" borderId="13" xfId="224" applyFill="1" applyBorder="1" applyAlignment="1">
      <alignment horizontal="center" wrapText="1"/>
    </xf>
    <xf numFmtId="0" fontId="6" fillId="44" borderId="15" xfId="224" applyFill="1" applyBorder="1" applyAlignment="1">
      <alignment horizontal="center" wrapText="1"/>
    </xf>
    <xf numFmtId="0" fontId="15" fillId="44" borderId="16" xfId="9" applyFont="1" applyFill="1" applyBorder="1" applyAlignment="1">
      <alignment horizontal="center"/>
    </xf>
    <xf numFmtId="0" fontId="6" fillId="44" borderId="13" xfId="224" applyFill="1" applyBorder="1" applyAlignment="1">
      <alignment horizontal="center"/>
    </xf>
    <xf numFmtId="0" fontId="6" fillId="44" borderId="15" xfId="224" applyFill="1" applyBorder="1" applyAlignment="1">
      <alignment horizontal="center"/>
    </xf>
    <xf numFmtId="0" fontId="6" fillId="44" borderId="14" xfId="224" applyFill="1" applyBorder="1" applyAlignment="1">
      <alignment horizontal="center"/>
    </xf>
    <xf numFmtId="0" fontId="15" fillId="44" borderId="112" xfId="8" applyFont="1" applyFill="1" applyBorder="1" applyAlignment="1">
      <alignment horizontal="center" wrapText="1"/>
    </xf>
    <xf numFmtId="0" fontId="15" fillId="44" borderId="113" xfId="8" applyFont="1" applyFill="1" applyBorder="1" applyAlignment="1">
      <alignment horizontal="center" wrapText="1"/>
    </xf>
    <xf numFmtId="0" fontId="15" fillId="44" borderId="114" xfId="8" applyFont="1" applyFill="1" applyBorder="1" applyAlignment="1">
      <alignment horizontal="center" wrapText="1"/>
    </xf>
    <xf numFmtId="0" fontId="15" fillId="44" borderId="16" xfId="8" applyFont="1" applyFill="1" applyBorder="1" applyAlignment="1">
      <alignment horizontal="center" vertical="center" wrapText="1"/>
    </xf>
    <xf numFmtId="0" fontId="15" fillId="44" borderId="13" xfId="8" applyFont="1" applyFill="1" applyBorder="1" applyAlignment="1">
      <alignment horizontal="center" vertical="center" wrapText="1"/>
    </xf>
    <xf numFmtId="0" fontId="15" fillId="44" borderId="15" xfId="8" applyFont="1" applyFill="1" applyBorder="1" applyAlignment="1">
      <alignment horizontal="center" vertical="center" wrapText="1"/>
    </xf>
    <xf numFmtId="0" fontId="15" fillId="44" borderId="22" xfId="8" applyFont="1" applyFill="1" applyBorder="1" applyAlignment="1">
      <alignment horizontal="center" wrapText="1"/>
    </xf>
    <xf numFmtId="0" fontId="15" fillId="44" borderId="20" xfId="8" applyFont="1" applyFill="1" applyBorder="1" applyAlignment="1">
      <alignment horizontal="center" wrapText="1"/>
    </xf>
    <xf numFmtId="0" fontId="15" fillId="44" borderId="17" xfId="8" applyFont="1" applyFill="1" applyBorder="1" applyAlignment="1">
      <alignment horizontal="center" wrapText="1"/>
    </xf>
    <xf numFmtId="176" fontId="16" fillId="0" borderId="136" xfId="57485" applyNumberFormat="1" applyFont="1" applyBorder="1" applyAlignment="1">
      <alignment horizontal="center" vertical="center"/>
    </xf>
    <xf numFmtId="0" fontId="16" fillId="0" borderId="109" xfId="57485" applyFont="1" applyBorder="1" applyAlignment="1">
      <alignment horizontal="center" vertical="center" wrapText="1"/>
    </xf>
    <xf numFmtId="0" fontId="16" fillId="0" borderId="138" xfId="57485" applyFont="1" applyBorder="1" applyAlignment="1">
      <alignment horizontal="center" vertical="center"/>
    </xf>
    <xf numFmtId="56" fontId="16" fillId="0" borderId="137" xfId="57485" applyNumberFormat="1" applyFont="1" applyBorder="1" applyAlignment="1">
      <alignment horizontal="center" vertical="center"/>
    </xf>
    <xf numFmtId="0" fontId="16" fillId="0" borderId="140" xfId="57485" applyFont="1" applyBorder="1" applyAlignment="1">
      <alignment horizontal="center" vertical="center"/>
    </xf>
    <xf numFmtId="0" fontId="16" fillId="0" borderId="137" xfId="57485" applyFont="1" applyBorder="1" applyAlignment="1">
      <alignment horizontal="center" vertical="center"/>
    </xf>
    <xf numFmtId="58" fontId="16" fillId="0" borderId="137" xfId="57485" applyNumberFormat="1" applyFont="1" applyBorder="1" applyAlignment="1">
      <alignment horizontal="center" vertical="center" shrinkToFit="1"/>
    </xf>
    <xf numFmtId="0" fontId="16" fillId="0" borderId="138" xfId="57485" applyFont="1" applyBorder="1" applyAlignment="1">
      <alignment horizontal="center" vertical="center" shrinkToFit="1"/>
    </xf>
    <xf numFmtId="0" fontId="16" fillId="0" borderId="139" xfId="57485" applyFont="1" applyBorder="1" applyAlignment="1">
      <alignment horizontal="center" vertical="center" shrinkToFit="1"/>
    </xf>
    <xf numFmtId="0" fontId="15" fillId="60" borderId="11" xfId="0" applyFont="1" applyFill="1" applyBorder="1" applyAlignment="1">
      <alignment vertical="center"/>
    </xf>
    <xf numFmtId="0" fontId="15" fillId="60" borderId="13" xfId="0" applyFont="1" applyFill="1" applyBorder="1" applyAlignment="1">
      <alignment vertical="center"/>
    </xf>
    <xf numFmtId="0" fontId="15" fillId="60" borderId="16" xfId="0" applyFont="1" applyFill="1" applyBorder="1" applyAlignment="1">
      <alignment vertical="center"/>
    </xf>
    <xf numFmtId="0" fontId="15" fillId="34" borderId="14" xfId="0" applyFont="1" applyFill="1" applyBorder="1"/>
    <xf numFmtId="0" fontId="17" fillId="0" borderId="141" xfId="0" applyFont="1" applyBorder="1" applyAlignment="1">
      <alignment vertical="center"/>
    </xf>
    <xf numFmtId="0" fontId="17" fillId="0" borderId="142" xfId="0" applyFont="1" applyBorder="1" applyAlignment="1">
      <alignment vertical="center"/>
    </xf>
    <xf numFmtId="0" fontId="18" fillId="0" borderId="142" xfId="0" applyFont="1" applyBorder="1" applyAlignment="1">
      <alignment vertical="center"/>
    </xf>
    <xf numFmtId="0" fontId="17" fillId="0" borderId="143" xfId="0" applyFont="1" applyBorder="1" applyAlignment="1">
      <alignment vertical="center"/>
    </xf>
    <xf numFmtId="0" fontId="17" fillId="0" borderId="144" xfId="0" applyFont="1" applyBorder="1" applyAlignment="1">
      <alignment vertical="center"/>
    </xf>
    <xf numFmtId="0" fontId="17" fillId="0" borderId="136" xfId="6273" applyFont="1" applyBorder="1">
      <alignment vertical="center"/>
    </xf>
    <xf numFmtId="0" fontId="17" fillId="0" borderId="110" xfId="6273" applyFont="1" applyBorder="1">
      <alignment vertical="center"/>
    </xf>
    <xf numFmtId="0" fontId="17" fillId="0" borderId="0" xfId="6273" applyFont="1">
      <alignment vertical="center"/>
    </xf>
    <xf numFmtId="0" fontId="19" fillId="0" borderId="0" xfId="0" applyFont="1"/>
    <xf numFmtId="0" fontId="17" fillId="0" borderId="0" xfId="0" applyFont="1"/>
    <xf numFmtId="0" fontId="113" fillId="0" borderId="0" xfId="6273" applyFont="1">
      <alignment vertical="center"/>
    </xf>
    <xf numFmtId="0" fontId="17" fillId="0" borderId="8" xfId="6273" applyFont="1" applyBorder="1">
      <alignment vertical="center"/>
    </xf>
    <xf numFmtId="0" fontId="18" fillId="0" borderId="0" xfId="6273" applyFont="1">
      <alignment vertical="center"/>
    </xf>
    <xf numFmtId="0" fontId="18" fillId="59" borderId="143" xfId="6273" applyFont="1" applyFill="1" applyBorder="1">
      <alignment vertical="center"/>
    </xf>
    <xf numFmtId="0" fontId="17" fillId="59" borderId="142" xfId="6273" applyFont="1" applyFill="1" applyBorder="1">
      <alignment vertical="center"/>
    </xf>
    <xf numFmtId="0" fontId="17" fillId="59" borderId="145" xfId="6273" applyFont="1" applyFill="1" applyBorder="1">
      <alignment vertical="center"/>
    </xf>
    <xf numFmtId="0" fontId="17" fillId="0" borderId="143" xfId="6273" applyFont="1" applyBorder="1">
      <alignment vertical="center"/>
    </xf>
    <xf numFmtId="0" fontId="17" fillId="0" borderId="142" xfId="6273" applyFont="1" applyBorder="1">
      <alignment vertical="center"/>
    </xf>
    <xf numFmtId="0" fontId="17" fillId="0" borderId="142" xfId="0" applyFont="1" applyBorder="1"/>
    <xf numFmtId="0" fontId="17" fillId="0" borderId="145" xfId="6273" applyFont="1" applyBorder="1">
      <alignment vertical="center"/>
    </xf>
    <xf numFmtId="0" fontId="17" fillId="0" borderId="1" xfId="6273" applyFont="1" applyBorder="1">
      <alignment vertical="center"/>
    </xf>
    <xf numFmtId="0" fontId="17" fillId="0" borderId="110" xfId="0" applyFont="1" applyBorder="1"/>
    <xf numFmtId="0" fontId="18" fillId="59" borderId="109" xfId="6273" applyFont="1" applyFill="1" applyBorder="1">
      <alignment vertical="center"/>
    </xf>
    <xf numFmtId="0" fontId="17" fillId="59" borderId="110" xfId="6273" applyFont="1" applyFill="1" applyBorder="1">
      <alignment vertical="center"/>
    </xf>
    <xf numFmtId="0" fontId="17" fillId="59" borderId="111" xfId="6273" applyFont="1" applyFill="1" applyBorder="1">
      <alignment vertical="center"/>
    </xf>
    <xf numFmtId="0" fontId="17" fillId="59" borderId="33" xfId="6273" applyFont="1" applyFill="1" applyBorder="1">
      <alignment vertical="center"/>
    </xf>
    <xf numFmtId="0" fontId="17" fillId="59" borderId="0" xfId="6273" applyFont="1" applyFill="1">
      <alignment vertical="center"/>
    </xf>
    <xf numFmtId="0" fontId="17" fillId="59" borderId="34" xfId="6273" applyFont="1" applyFill="1" applyBorder="1">
      <alignment vertical="center"/>
    </xf>
    <xf numFmtId="0" fontId="17" fillId="59" borderId="32" xfId="6273" applyFont="1" applyFill="1" applyBorder="1">
      <alignment vertical="center"/>
    </xf>
    <xf numFmtId="0" fontId="17" fillId="59" borderId="1" xfId="6273" applyFont="1" applyFill="1" applyBorder="1">
      <alignment vertical="center"/>
    </xf>
    <xf numFmtId="0" fontId="17" fillId="59" borderId="31" xfId="6273" applyFont="1" applyFill="1" applyBorder="1">
      <alignment vertical="center"/>
    </xf>
    <xf numFmtId="0" fontId="16" fillId="0" borderId="0" xfId="0" applyFont="1"/>
    <xf numFmtId="49" fontId="13" fillId="0" borderId="120" xfId="0" applyNumberFormat="1" applyFont="1" applyBorder="1" applyAlignment="1">
      <alignment vertical="center" shrinkToFit="1"/>
    </xf>
    <xf numFmtId="49" fontId="81" fillId="40" borderId="142" xfId="0" applyNumberFormat="1" applyFont="1" applyFill="1" applyBorder="1" applyAlignment="1">
      <alignment vertical="center"/>
    </xf>
    <xf numFmtId="49" fontId="13" fillId="40" borderId="142" xfId="0" applyNumberFormat="1" applyFont="1" applyFill="1" applyBorder="1" applyAlignment="1">
      <alignment vertical="center"/>
    </xf>
    <xf numFmtId="49" fontId="13" fillId="40" borderId="144" xfId="0" applyNumberFormat="1" applyFont="1" applyFill="1" applyBorder="1" applyAlignment="1">
      <alignment vertical="center"/>
    </xf>
    <xf numFmtId="49" fontId="13" fillId="0" borderId="122" xfId="0" applyNumberFormat="1" applyFont="1" applyBorder="1" applyAlignment="1">
      <alignment vertical="center" shrinkToFit="1"/>
    </xf>
    <xf numFmtId="49" fontId="13" fillId="0" borderId="33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13" fillId="0" borderId="34" xfId="0" applyNumberFormat="1" applyFont="1" applyBorder="1" applyAlignment="1">
      <alignment vertical="center"/>
    </xf>
    <xf numFmtId="49" fontId="13" fillId="0" borderId="0" xfId="57490" applyNumberFormat="1" applyFont="1">
      <alignment vertical="center"/>
    </xf>
    <xf numFmtId="49" fontId="13" fillId="0" borderId="9" xfId="0" applyNumberFormat="1" applyFont="1" applyBorder="1" applyAlignment="1">
      <alignment vertical="center"/>
    </xf>
    <xf numFmtId="49" fontId="13" fillId="0" borderId="96" xfId="0" applyNumberFormat="1" applyFont="1" applyBorder="1" applyAlignment="1">
      <alignment vertical="center" shrinkToFit="1"/>
    </xf>
    <xf numFmtId="49" fontId="13" fillId="0" borderId="1" xfId="0" applyNumberFormat="1" applyFont="1" applyBorder="1" applyAlignment="1">
      <alignment vertical="center"/>
    </xf>
    <xf numFmtId="49" fontId="13" fillId="0" borderId="31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7" fillId="0" borderId="147" xfId="0" applyFont="1" applyBorder="1" applyAlignment="1">
      <alignment vertical="center" shrinkToFit="1"/>
    </xf>
    <xf numFmtId="49" fontId="18" fillId="40" borderId="142" xfId="0" applyNumberFormat="1" applyFont="1" applyFill="1" applyBorder="1" applyAlignment="1">
      <alignment vertical="center"/>
    </xf>
    <xf numFmtId="49" fontId="17" fillId="40" borderId="142" xfId="0" applyNumberFormat="1" applyFont="1" applyFill="1" applyBorder="1" applyAlignment="1">
      <alignment vertical="center"/>
    </xf>
    <xf numFmtId="49" fontId="17" fillId="40" borderId="144" xfId="0" applyNumberFormat="1" applyFont="1" applyFill="1" applyBorder="1" applyAlignment="1">
      <alignment vertical="center"/>
    </xf>
    <xf numFmtId="0" fontId="17" fillId="61" borderId="0" xfId="0" applyFont="1" applyFill="1"/>
    <xf numFmtId="0" fontId="114" fillId="0" borderId="0" xfId="0" applyFont="1" applyAlignment="1">
      <alignment vertical="center"/>
    </xf>
    <xf numFmtId="49" fontId="114" fillId="0" borderId="0" xfId="57490" applyNumberFormat="1" applyFont="1">
      <alignment vertical="center"/>
    </xf>
    <xf numFmtId="49" fontId="114" fillId="0" borderId="0" xfId="0" applyNumberFormat="1" applyFont="1" applyAlignment="1">
      <alignment vertical="center"/>
    </xf>
    <xf numFmtId="49" fontId="115" fillId="0" borderId="0" xfId="57490" applyNumberFormat="1" applyFont="1">
      <alignment vertical="center"/>
    </xf>
    <xf numFmtId="49" fontId="80" fillId="0" borderId="0" xfId="57490" applyNumberFormat="1" applyFont="1">
      <alignment vertical="center"/>
    </xf>
    <xf numFmtId="0" fontId="19" fillId="61" borderId="0" xfId="0" applyFont="1" applyFill="1"/>
    <xf numFmtId="0" fontId="17" fillId="0" borderId="122" xfId="0" applyFont="1" applyBorder="1" applyAlignment="1">
      <alignment vertical="center" shrinkToFit="1"/>
    </xf>
    <xf numFmtId="49" fontId="17" fillId="0" borderId="0" xfId="0" applyNumberFormat="1" applyFont="1" applyAlignment="1">
      <alignment horizontal="left" vertical="center"/>
    </xf>
    <xf numFmtId="0" fontId="13" fillId="0" borderId="6" xfId="0" applyFont="1" applyBorder="1" applyAlignment="1">
      <alignment vertical="center" shrinkToFit="1"/>
    </xf>
    <xf numFmtId="0" fontId="13" fillId="0" borderId="125" xfId="0" applyFont="1" applyBorder="1" applyAlignment="1">
      <alignment vertical="center"/>
    </xf>
    <xf numFmtId="0" fontId="13" fillId="0" borderId="66" xfId="0" applyFont="1" applyBorder="1" applyAlignment="1">
      <alignment vertical="center"/>
    </xf>
    <xf numFmtId="0" fontId="13" fillId="0" borderId="128" xfId="0" applyFont="1" applyBorder="1" applyAlignment="1">
      <alignment vertical="center"/>
    </xf>
    <xf numFmtId="0" fontId="13" fillId="0" borderId="126" xfId="0" applyFont="1" applyBorder="1" applyAlignment="1">
      <alignment vertical="center"/>
    </xf>
    <xf numFmtId="0" fontId="13" fillId="0" borderId="143" xfId="57493" applyFont="1" applyBorder="1">
      <alignment vertical="center"/>
    </xf>
    <xf numFmtId="0" fontId="13" fillId="0" borderId="108" xfId="224" applyFont="1" applyFill="1" applyBorder="1" applyAlignment="1">
      <alignment vertical="center"/>
    </xf>
    <xf numFmtId="49" fontId="114" fillId="0" borderId="9" xfId="0" applyNumberFormat="1" applyFont="1" applyBorder="1" applyAlignment="1">
      <alignment vertical="center"/>
    </xf>
    <xf numFmtId="0" fontId="118" fillId="0" borderId="0" xfId="0" applyFont="1"/>
    <xf numFmtId="49" fontId="114" fillId="0" borderId="34" xfId="0" applyNumberFormat="1" applyFont="1" applyBorder="1" applyAlignment="1">
      <alignment vertical="center"/>
    </xf>
    <xf numFmtId="49" fontId="114" fillId="0" borderId="33" xfId="0" applyNumberFormat="1" applyFont="1" applyBorder="1" applyAlignment="1">
      <alignment vertical="center"/>
    </xf>
    <xf numFmtId="49" fontId="114" fillId="0" borderId="122" xfId="0" applyNumberFormat="1" applyFont="1" applyBorder="1" applyAlignment="1">
      <alignment vertical="center" shrinkToFit="1"/>
    </xf>
    <xf numFmtId="0" fontId="13" fillId="0" borderId="107" xfId="224" applyFont="1" applyFill="1" applyBorder="1" applyAlignment="1">
      <alignment vertical="center"/>
    </xf>
    <xf numFmtId="0" fontId="16" fillId="0" borderId="1" xfId="829" applyFont="1" applyFill="1" applyBorder="1" applyAlignment="1">
      <alignment vertical="top"/>
    </xf>
    <xf numFmtId="0" fontId="16" fillId="0" borderId="1" xfId="829" applyFont="1" applyFill="1" applyBorder="1" applyAlignment="1">
      <alignment vertical="top"/>
    </xf>
    <xf numFmtId="0" fontId="16" fillId="0" borderId="1" xfId="829" applyFont="1" applyFill="1" applyBorder="1" applyAlignment="1">
      <alignment vertical="top"/>
    </xf>
  </cellXfs>
  <cellStyles count="57519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Header2 2" xfId="57510" xr:uid="{DD70F5D2-3251-4C4E-8664-6B63FACD6962}"/>
    <cellStyle name="Header2 3" xfId="57513" xr:uid="{411A55EC-9E69-4AB3-92B3-AE4946A76B63}"/>
    <cellStyle name="Header2 4" xfId="57506" xr:uid="{E4DC50BB-C88A-4DF2-976F-2A641DF6A7DA}"/>
    <cellStyle name="Input [yellow]" xfId="193" xr:uid="{00000000-0005-0000-0000-000062000000}"/>
    <cellStyle name="Input [yellow] 2" xfId="57518" xr:uid="{DB3451E4-BDED-4836-8E9F-3436AB0A1A17}"/>
    <cellStyle name="Input [yellow] 3" xfId="57511" xr:uid="{D2BB4E6C-2B48-4EFA-9D71-30E66F52530F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PSHeading 7" xfId="57512" xr:uid="{76A8AD95-D6C1-4F15-B3E4-768D8BA3FA7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2 3" xfId="57509" xr:uid="{0D944C5B-D2F6-4716-8BEE-1D560BBD7DBB}"/>
    <cellStyle name="メモ 3" xfId="100" xr:uid="{00000000-0005-0000-0000-0000A6010000}"/>
    <cellStyle name="メモ 3 2" xfId="6543" xr:uid="{00000000-0005-0000-0000-0000A7010000}"/>
    <cellStyle name="メモ 3 3" xfId="57508" xr:uid="{544715BF-E342-4826-9BC8-E2383B163074}"/>
    <cellStyle name="メモ 4" xfId="101" xr:uid="{00000000-0005-0000-0000-0000A8010000}"/>
    <cellStyle name="メモ 4 2" xfId="6544" xr:uid="{00000000-0005-0000-0000-0000A9010000}"/>
    <cellStyle name="メモ 4 3" xfId="57507" xr:uid="{0CD6C21D-2C21-47D5-954A-971F6EF27C63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2 2" xfId="57505" xr:uid="{5D8E1755-B007-41D7-A110-9EA4D87ADCA2}"/>
    <cellStyle name="計算 3" xfId="110" xr:uid="{00000000-0005-0000-0000-00000A020000}"/>
    <cellStyle name="計算 3 2" xfId="57504" xr:uid="{1082DAB1-42DE-4660-B247-781FC1BD4F15}"/>
    <cellStyle name="計算 4" xfId="111" xr:uid="{00000000-0005-0000-0000-00000B020000}"/>
    <cellStyle name="計算 4 2" xfId="57503" xr:uid="{731AB956-23AC-4F86-BFBB-39029459180E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2 2" xfId="57502" xr:uid="{6C08964F-E8AD-4873-B5CA-41D804A6C663}"/>
    <cellStyle name="集計 3" xfId="128" xr:uid="{00000000-0005-0000-0000-000029050000}"/>
    <cellStyle name="集計 3 2" xfId="57501" xr:uid="{7C2F9CBF-34D9-4BB7-9261-C2811FAA4918}"/>
    <cellStyle name="集計 4" xfId="129" xr:uid="{00000000-0005-0000-0000-00002A050000}"/>
    <cellStyle name="集計 4 2" xfId="57500" xr:uid="{C5AF95F0-F51E-4D0B-B04A-59054E4EEC2D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2 2" xfId="57499" xr:uid="{4B395DDB-A6B2-4FCD-8DC6-1068A5AAC743}"/>
    <cellStyle name="出力 3" xfId="131" xr:uid="{00000000-0005-0000-0000-00002E050000}"/>
    <cellStyle name="出力 3 2" xfId="57498" xr:uid="{5A237C61-0969-4D17-98FA-D5C75C3073E3}"/>
    <cellStyle name="出力 4" xfId="132" xr:uid="{00000000-0005-0000-0000-00002F050000}"/>
    <cellStyle name="出力 4 2" xfId="57497" xr:uid="{115BDCC5-6515-4C21-B81E-CAA4F8926B9B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2 2" xfId="57496" xr:uid="{56124FF2-3AE3-46EC-9CA0-DED8185CE126}"/>
    <cellStyle name="入力 3" xfId="137" xr:uid="{00000000-0005-0000-0000-000037050000}"/>
    <cellStyle name="入力 3 2" xfId="57495" xr:uid="{35D6668A-2042-4D63-802E-DC1FE0CDF63E}"/>
    <cellStyle name="入力 4" xfId="138" xr:uid="{00000000-0005-0000-0000-000038050000}"/>
    <cellStyle name="入力 4 2" xfId="57494" xr:uid="{3DC18AEA-F4A7-457B-8259-5135B23DF00E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2 9" xfId="57516" xr:uid="{53B1DC3A-B1E3-4BEA-A47B-C33225441BAF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10" xfId="57492" xr:uid="{BFA9C529-FDEA-4BEF-AE0F-4D5357289689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28" xfId="57515" xr:uid="{CD30BCAA-BB02-4EA8-9410-69A2E5EC07E9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16" xfId="57514" xr:uid="{DE83A79E-20A6-402F-A3E7-21183B8E71E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78C078AD-8635-45B4-8EA4-55E746A05F38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1" xr:uid="{47B694C5-D410-47E3-9BEB-4270D284012C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1 2" xfId="57493" xr:uid="{53A725B6-2C28-4FE7-A43E-464A85E1B606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10" xfId="57517" xr:uid="{7CC50339-895E-45A9-9E93-5AD521DC9208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0"/>
  <tableStyles count="0" defaultTableStyle="TableStyleMedium9" defaultPivotStyle="PivotStyleLight16"/>
  <colors>
    <mruColors>
      <color rgb="FFFFFFCC"/>
      <color rgb="FF0000FF"/>
      <color rgb="FF339966"/>
      <color rgb="FFFF6600"/>
      <color rgb="FF003399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8</xdr:row>
      <xdr:rowOff>7327</xdr:rowOff>
    </xdr:from>
    <xdr:ext cx="154736" cy="144000"/>
    <xdr:pic>
      <xdr:nvPicPr>
        <xdr:cNvPr id="47" name="図 46">
          <a:extLst>
            <a:ext uri="{FF2B5EF4-FFF2-40B4-BE49-F238E27FC236}">
              <a16:creationId xmlns:a16="http://schemas.microsoft.com/office/drawing/2014/main" id="{0CDC8E4D-A77F-4F20-A887-D9488AEA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192" y="25790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12</xdr:row>
      <xdr:rowOff>7327</xdr:rowOff>
    </xdr:from>
    <xdr:ext cx="121422" cy="146538"/>
    <xdr:pic>
      <xdr:nvPicPr>
        <xdr:cNvPr id="50" name="図 49">
          <a:extLst>
            <a:ext uri="{FF2B5EF4-FFF2-40B4-BE49-F238E27FC236}">
              <a16:creationId xmlns:a16="http://schemas.microsoft.com/office/drawing/2014/main" id="{C5E676CD-54CD-4655-8C68-5D1A71971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981" y="4117731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6</xdr:row>
      <xdr:rowOff>133351</xdr:rowOff>
    </xdr:from>
    <xdr:to>
      <xdr:col>12</xdr:col>
      <xdr:colOff>66675</xdr:colOff>
      <xdr:row>7</xdr:row>
      <xdr:rowOff>133351</xdr:rowOff>
    </xdr:to>
    <xdr:sp macro="" textlink="">
      <xdr:nvSpPr>
        <xdr:cNvPr id="98" name="フローチャート: 代替処理 97">
          <a:extLst>
            <a:ext uri="{FF2B5EF4-FFF2-40B4-BE49-F238E27FC236}">
              <a16:creationId xmlns:a16="http://schemas.microsoft.com/office/drawing/2014/main" id="{80F71168-67A3-4214-A658-E79AA2C90F19}"/>
            </a:ext>
          </a:extLst>
        </xdr:cNvPr>
        <xdr:cNvSpPr/>
      </xdr:nvSpPr>
      <xdr:spPr bwMode="auto">
        <a:xfrm>
          <a:off x="1333500" y="1171576"/>
          <a:ext cx="695325" cy="15240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13</xdr:col>
      <xdr:colOff>0</xdr:colOff>
      <xdr:row>15</xdr:row>
      <xdr:rowOff>0</xdr:rowOff>
    </xdr:from>
    <xdr:ext cx="152400" cy="152400"/>
    <xdr:pic>
      <xdr:nvPicPr>
        <xdr:cNvPr id="88" name="図 87">
          <a:extLst>
            <a:ext uri="{FF2B5EF4-FFF2-40B4-BE49-F238E27FC236}">
              <a16:creationId xmlns:a16="http://schemas.microsoft.com/office/drawing/2014/main" id="{0EAEFA0C-7B9A-4D06-BCAA-140CAD00E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00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38100</xdr:colOff>
      <xdr:row>14</xdr:row>
      <xdr:rowOff>123826</xdr:rowOff>
    </xdr:from>
    <xdr:to>
      <xdr:col>30</xdr:col>
      <xdr:colOff>6928</xdr:colOff>
      <xdr:row>17</xdr:row>
      <xdr:rowOff>123825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9C33F30F-4AC0-4EE0-A7DA-63487C6D1C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4178"/>
        <a:stretch/>
      </xdr:blipFill>
      <xdr:spPr bwMode="auto">
        <a:xfrm>
          <a:off x="3781425" y="2381251"/>
          <a:ext cx="1102303" cy="457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76</xdr:col>
      <xdr:colOff>67408</xdr:colOff>
      <xdr:row>20</xdr:row>
      <xdr:rowOff>19050</xdr:rowOff>
    </xdr:from>
    <xdr:to>
      <xdr:col>79</xdr:col>
      <xdr:colOff>1465</xdr:colOff>
      <xdr:row>45</xdr:row>
      <xdr:rowOff>123825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7F8CFCA1-F51A-45AC-984D-BF9F30D428CD}"/>
            </a:ext>
          </a:extLst>
        </xdr:cNvPr>
        <xdr:cNvSpPr/>
      </xdr:nvSpPr>
      <xdr:spPr bwMode="auto">
        <a:xfrm>
          <a:off x="12354658" y="3648075"/>
          <a:ext cx="448407" cy="4676775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79</xdr:col>
      <xdr:colOff>104775</xdr:colOff>
      <xdr:row>25</xdr:row>
      <xdr:rowOff>57151</xdr:rowOff>
    </xdr:from>
    <xdr:ext cx="648000" cy="190565"/>
    <xdr:sp macro="" textlink="">
      <xdr:nvSpPr>
        <xdr:cNvPr id="201" name="正方形/長方形 200">
          <a:extLst>
            <a:ext uri="{FF2B5EF4-FFF2-40B4-BE49-F238E27FC236}">
              <a16:creationId xmlns:a16="http://schemas.microsoft.com/office/drawing/2014/main" id="{27A92346-85C9-4D40-B56F-B87442BFEF6A}"/>
            </a:ext>
          </a:extLst>
        </xdr:cNvPr>
        <xdr:cNvSpPr/>
      </xdr:nvSpPr>
      <xdr:spPr bwMode="auto">
        <a:xfrm>
          <a:off x="13077825" y="4448176"/>
          <a:ext cx="648000" cy="1905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抽出条件</a:t>
          </a:r>
        </a:p>
      </xdr:txBody>
    </xdr:sp>
    <xdr:clientData/>
  </xdr:oneCellAnchor>
  <xdr:oneCellAnchor>
    <xdr:from>
      <xdr:col>46</xdr:col>
      <xdr:colOff>24849</xdr:colOff>
      <xdr:row>10</xdr:row>
      <xdr:rowOff>0</xdr:rowOff>
    </xdr:from>
    <xdr:ext cx="121422" cy="146538"/>
    <xdr:pic>
      <xdr:nvPicPr>
        <xdr:cNvPr id="95" name="図 94">
          <a:extLst>
            <a:ext uri="{FF2B5EF4-FFF2-40B4-BE49-F238E27FC236}">
              <a16:creationId xmlns:a16="http://schemas.microsoft.com/office/drawing/2014/main" id="{D18C226D-8974-4C7A-976E-2874CCF8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599" y="1447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17808</xdr:colOff>
      <xdr:row>61</xdr:row>
      <xdr:rowOff>38100</xdr:rowOff>
    </xdr:from>
    <xdr:to>
      <xdr:col>7</xdr:col>
      <xdr:colOff>65432</xdr:colOff>
      <xdr:row>62</xdr:row>
      <xdr:rowOff>119940</xdr:rowOff>
    </xdr:to>
    <xdr:sp macro="" textlink="">
      <xdr:nvSpPr>
        <xdr:cNvPr id="149" name="フローチャート: 代替処理 148">
          <a:extLst>
            <a:ext uri="{FF2B5EF4-FFF2-40B4-BE49-F238E27FC236}">
              <a16:creationId xmlns:a16="http://schemas.microsoft.com/office/drawing/2014/main" id="{205FE3D6-23D8-4048-882A-6EB43DF31018}"/>
            </a:ext>
          </a:extLst>
        </xdr:cNvPr>
        <xdr:cNvSpPr/>
      </xdr:nvSpPr>
      <xdr:spPr bwMode="auto">
        <a:xfrm>
          <a:off x="522633" y="8953500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56</xdr:col>
      <xdr:colOff>15876</xdr:colOff>
      <xdr:row>61</xdr:row>
      <xdr:rowOff>38100</xdr:rowOff>
    </xdr:from>
    <xdr:to>
      <xdr:col>60</xdr:col>
      <xdr:colOff>63500</xdr:colOff>
      <xdr:row>62</xdr:row>
      <xdr:rowOff>119940</xdr:rowOff>
    </xdr:to>
    <xdr:sp macro="" textlink="">
      <xdr:nvSpPr>
        <xdr:cNvPr id="150" name="フローチャート: 代替処理 149">
          <a:extLst>
            <a:ext uri="{FF2B5EF4-FFF2-40B4-BE49-F238E27FC236}">
              <a16:creationId xmlns:a16="http://schemas.microsoft.com/office/drawing/2014/main" id="{AEF82021-D89E-4190-806C-6F6EEE40A75C}"/>
            </a:ext>
          </a:extLst>
        </xdr:cNvPr>
        <xdr:cNvSpPr/>
      </xdr:nvSpPr>
      <xdr:spPr bwMode="auto">
        <a:xfrm>
          <a:off x="9102726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CSV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62</xdr:col>
      <xdr:colOff>9525</xdr:colOff>
      <xdr:row>61</xdr:row>
      <xdr:rowOff>38100</xdr:rowOff>
    </xdr:from>
    <xdr:to>
      <xdr:col>66</xdr:col>
      <xdr:colOff>66674</xdr:colOff>
      <xdr:row>62</xdr:row>
      <xdr:rowOff>119940</xdr:rowOff>
    </xdr:to>
    <xdr:sp macro="" textlink="">
      <xdr:nvSpPr>
        <xdr:cNvPr id="158" name="フローチャート: 代替処理 157">
          <a:extLst>
            <a:ext uri="{FF2B5EF4-FFF2-40B4-BE49-F238E27FC236}">
              <a16:creationId xmlns:a16="http://schemas.microsoft.com/office/drawing/2014/main" id="{EEE2C7F6-485F-4A22-A13E-E47BAF1EA89F}"/>
            </a:ext>
          </a:extLst>
        </xdr:cNvPr>
        <xdr:cNvSpPr/>
      </xdr:nvSpPr>
      <xdr:spPr bwMode="auto">
        <a:xfrm>
          <a:off x="10067925" y="10372725"/>
          <a:ext cx="7429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選択</a:t>
          </a:r>
        </a:p>
      </xdr:txBody>
    </xdr:sp>
    <xdr:clientData/>
  </xdr:twoCellAnchor>
  <xdr:twoCellAnchor>
    <xdr:from>
      <xdr:col>8</xdr:col>
      <xdr:colOff>84483</xdr:colOff>
      <xdr:row>61</xdr:row>
      <xdr:rowOff>38100</xdr:rowOff>
    </xdr:from>
    <xdr:to>
      <xdr:col>12</xdr:col>
      <xdr:colOff>132107</xdr:colOff>
      <xdr:row>62</xdr:row>
      <xdr:rowOff>119940</xdr:rowOff>
    </xdr:to>
    <xdr:sp macro="" textlink="">
      <xdr:nvSpPr>
        <xdr:cNvPr id="172" name="フローチャート: 代替処理 171">
          <a:extLst>
            <a:ext uri="{FF2B5EF4-FFF2-40B4-BE49-F238E27FC236}">
              <a16:creationId xmlns:a16="http://schemas.microsoft.com/office/drawing/2014/main" id="{C8CFE21D-DEE9-4EC2-87B9-DFBB2B4CBEBD}"/>
            </a:ext>
          </a:extLst>
        </xdr:cNvPr>
        <xdr:cNvSpPr/>
      </xdr:nvSpPr>
      <xdr:spPr bwMode="auto">
        <a:xfrm>
          <a:off x="1398933" y="100679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oneCellAnchor>
    <xdr:from>
      <xdr:col>28</xdr:col>
      <xdr:colOff>133350</xdr:colOff>
      <xdr:row>21</xdr:row>
      <xdr:rowOff>114300</xdr:rowOff>
    </xdr:from>
    <xdr:ext cx="1590675" cy="263983"/>
    <xdr:sp macro="" textlink="">
      <xdr:nvSpPr>
        <xdr:cNvPr id="23" name="吹き出し: 四角形 22">
          <a:extLst>
            <a:ext uri="{FF2B5EF4-FFF2-40B4-BE49-F238E27FC236}">
              <a16:creationId xmlns:a16="http://schemas.microsoft.com/office/drawing/2014/main" id="{C854F600-7FEE-4CE0-B595-582F6D4C88BF}"/>
            </a:ext>
          </a:extLst>
        </xdr:cNvPr>
        <xdr:cNvSpPr/>
      </xdr:nvSpPr>
      <xdr:spPr>
        <a:xfrm>
          <a:off x="4686300" y="3895725"/>
          <a:ext cx="1590675" cy="263983"/>
        </a:xfrm>
        <a:prstGeom prst="wedgeRectCallout">
          <a:avLst>
            <a:gd name="adj1" fmla="val -55851"/>
            <a:gd name="adj2" fmla="val 25637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初期は全チェック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13</xdr:col>
      <xdr:colOff>29308</xdr:colOff>
      <xdr:row>33</xdr:row>
      <xdr:rowOff>7327</xdr:rowOff>
    </xdr:from>
    <xdr:ext cx="117463" cy="141760"/>
    <xdr:pic>
      <xdr:nvPicPr>
        <xdr:cNvPr id="24" name="図 23">
          <a:extLst>
            <a:ext uri="{FF2B5EF4-FFF2-40B4-BE49-F238E27FC236}">
              <a16:creationId xmlns:a16="http://schemas.microsoft.com/office/drawing/2014/main" id="{F8059B4F-E890-4085-87B8-BDAF1E49B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5308" y="57509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7327</xdr:colOff>
      <xdr:row>35</xdr:row>
      <xdr:rowOff>7327</xdr:rowOff>
    </xdr:from>
    <xdr:ext cx="154736" cy="144000"/>
    <xdr:pic>
      <xdr:nvPicPr>
        <xdr:cNvPr id="26" name="図 25">
          <a:extLst>
            <a:ext uri="{FF2B5EF4-FFF2-40B4-BE49-F238E27FC236}">
              <a16:creationId xmlns:a16="http://schemas.microsoft.com/office/drawing/2014/main" id="{9E3D57B8-C979-4298-9EE1-100E5CD1A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7732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7327</xdr:colOff>
      <xdr:row>36</xdr:row>
      <xdr:rowOff>7327</xdr:rowOff>
    </xdr:from>
    <xdr:ext cx="154736" cy="144000"/>
    <xdr:pic>
      <xdr:nvPicPr>
        <xdr:cNvPr id="27" name="図 26">
          <a:extLst>
            <a:ext uri="{FF2B5EF4-FFF2-40B4-BE49-F238E27FC236}">
              <a16:creationId xmlns:a16="http://schemas.microsoft.com/office/drawing/2014/main" id="{400B7457-D7B2-4359-ACDA-2012BEDA2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7732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22412</xdr:colOff>
      <xdr:row>34</xdr:row>
      <xdr:rowOff>146236</xdr:rowOff>
    </xdr:from>
    <xdr:to>
      <xdr:col>41</xdr:col>
      <xdr:colOff>22412</xdr:colOff>
      <xdr:row>36</xdr:row>
      <xdr:rowOff>22411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4D1A1A0-33A5-4FEF-BEBD-C615E3BCC35E}"/>
            </a:ext>
          </a:extLst>
        </xdr:cNvPr>
        <xdr:cNvSpPr/>
      </xdr:nvSpPr>
      <xdr:spPr bwMode="auto">
        <a:xfrm>
          <a:off x="3653118" y="5592295"/>
          <a:ext cx="2823882" cy="189940"/>
        </a:xfrm>
        <a:prstGeom prst="rect">
          <a:avLst/>
        </a:prstGeom>
        <a:noFill/>
        <a:ln w="12700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38</xdr:col>
      <xdr:colOff>95251</xdr:colOff>
      <xdr:row>32</xdr:row>
      <xdr:rowOff>149598</xdr:rowOff>
    </xdr:from>
    <xdr:ext cx="2419350" cy="263983"/>
    <xdr:sp macro="" textlink="">
      <xdr:nvSpPr>
        <xdr:cNvPr id="30" name="吹き出し: 四角形 29">
          <a:extLst>
            <a:ext uri="{FF2B5EF4-FFF2-40B4-BE49-F238E27FC236}">
              <a16:creationId xmlns:a16="http://schemas.microsoft.com/office/drawing/2014/main" id="{588C8C7E-8876-4C3F-87B3-BC9F33897521}"/>
            </a:ext>
          </a:extLst>
        </xdr:cNvPr>
        <xdr:cNvSpPr/>
      </xdr:nvSpPr>
      <xdr:spPr>
        <a:xfrm>
          <a:off x="6079192" y="5281892"/>
          <a:ext cx="2419350" cy="263983"/>
        </a:xfrm>
        <a:prstGeom prst="wedgeRectCallout">
          <a:avLst>
            <a:gd name="adj1" fmla="val -45352"/>
            <a:gd name="adj2" fmla="val 100084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現時点での営業担当：得意先担当マスタを参照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13</xdr:col>
      <xdr:colOff>29308</xdr:colOff>
      <xdr:row>38</xdr:row>
      <xdr:rowOff>7327</xdr:rowOff>
    </xdr:from>
    <xdr:ext cx="117463" cy="141760"/>
    <xdr:pic>
      <xdr:nvPicPr>
        <xdr:cNvPr id="31" name="図 30">
          <a:extLst>
            <a:ext uri="{FF2B5EF4-FFF2-40B4-BE49-F238E27FC236}">
              <a16:creationId xmlns:a16="http://schemas.microsoft.com/office/drawing/2014/main" id="{35076B8B-4A9F-43C9-BFFB-E3571A37F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48365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39</xdr:row>
      <xdr:rowOff>7327</xdr:rowOff>
    </xdr:from>
    <xdr:ext cx="117463" cy="141760"/>
    <xdr:pic>
      <xdr:nvPicPr>
        <xdr:cNvPr id="32" name="図 31">
          <a:extLst>
            <a:ext uri="{FF2B5EF4-FFF2-40B4-BE49-F238E27FC236}">
              <a16:creationId xmlns:a16="http://schemas.microsoft.com/office/drawing/2014/main" id="{9836993C-BDBA-4207-A606-8701E0F08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49889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40</xdr:row>
      <xdr:rowOff>7327</xdr:rowOff>
    </xdr:from>
    <xdr:ext cx="117463" cy="141760"/>
    <xdr:pic>
      <xdr:nvPicPr>
        <xdr:cNvPr id="33" name="図 32">
          <a:extLst>
            <a:ext uri="{FF2B5EF4-FFF2-40B4-BE49-F238E27FC236}">
              <a16:creationId xmlns:a16="http://schemas.microsoft.com/office/drawing/2014/main" id="{ADD4D53F-8D9B-464D-B2E5-80562A53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51413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41</xdr:row>
      <xdr:rowOff>7327</xdr:rowOff>
    </xdr:from>
    <xdr:ext cx="117463" cy="141760"/>
    <xdr:pic>
      <xdr:nvPicPr>
        <xdr:cNvPr id="34" name="図 33">
          <a:extLst>
            <a:ext uri="{FF2B5EF4-FFF2-40B4-BE49-F238E27FC236}">
              <a16:creationId xmlns:a16="http://schemas.microsoft.com/office/drawing/2014/main" id="{8E173DA6-CB3C-4C7C-BEB2-977809AC5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52937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42</xdr:row>
      <xdr:rowOff>7327</xdr:rowOff>
    </xdr:from>
    <xdr:ext cx="117463" cy="141760"/>
    <xdr:pic>
      <xdr:nvPicPr>
        <xdr:cNvPr id="35" name="図 34">
          <a:extLst>
            <a:ext uri="{FF2B5EF4-FFF2-40B4-BE49-F238E27FC236}">
              <a16:creationId xmlns:a16="http://schemas.microsoft.com/office/drawing/2014/main" id="{6841BED6-624B-4A01-ACFD-A59CC23EB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54461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38</xdr:row>
      <xdr:rowOff>7327</xdr:rowOff>
    </xdr:from>
    <xdr:ext cx="117463" cy="141760"/>
    <xdr:pic>
      <xdr:nvPicPr>
        <xdr:cNvPr id="36" name="図 35">
          <a:extLst>
            <a:ext uri="{FF2B5EF4-FFF2-40B4-BE49-F238E27FC236}">
              <a16:creationId xmlns:a16="http://schemas.microsoft.com/office/drawing/2014/main" id="{38205375-B310-46CF-A321-40BDC0C0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48365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39</xdr:row>
      <xdr:rowOff>7327</xdr:rowOff>
    </xdr:from>
    <xdr:ext cx="117463" cy="141760"/>
    <xdr:pic>
      <xdr:nvPicPr>
        <xdr:cNvPr id="37" name="図 36">
          <a:extLst>
            <a:ext uri="{FF2B5EF4-FFF2-40B4-BE49-F238E27FC236}">
              <a16:creationId xmlns:a16="http://schemas.microsoft.com/office/drawing/2014/main" id="{EC25B88B-DA71-422F-A9F4-BC0CCC3A5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49889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40</xdr:row>
      <xdr:rowOff>7327</xdr:rowOff>
    </xdr:from>
    <xdr:ext cx="117463" cy="141760"/>
    <xdr:pic>
      <xdr:nvPicPr>
        <xdr:cNvPr id="38" name="図 37">
          <a:extLst>
            <a:ext uri="{FF2B5EF4-FFF2-40B4-BE49-F238E27FC236}">
              <a16:creationId xmlns:a16="http://schemas.microsoft.com/office/drawing/2014/main" id="{CC1DC133-7E4D-4D73-B9D7-840F95AFB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51413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41</xdr:row>
      <xdr:rowOff>7327</xdr:rowOff>
    </xdr:from>
    <xdr:ext cx="117463" cy="141760"/>
    <xdr:pic>
      <xdr:nvPicPr>
        <xdr:cNvPr id="39" name="図 38">
          <a:extLst>
            <a:ext uri="{FF2B5EF4-FFF2-40B4-BE49-F238E27FC236}">
              <a16:creationId xmlns:a16="http://schemas.microsoft.com/office/drawing/2014/main" id="{09DFD34C-D393-41A8-8697-DFEE17A9C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52937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42</xdr:row>
      <xdr:rowOff>7327</xdr:rowOff>
    </xdr:from>
    <xdr:ext cx="117463" cy="141760"/>
    <xdr:pic>
      <xdr:nvPicPr>
        <xdr:cNvPr id="40" name="図 39">
          <a:extLst>
            <a:ext uri="{FF2B5EF4-FFF2-40B4-BE49-F238E27FC236}">
              <a16:creationId xmlns:a16="http://schemas.microsoft.com/office/drawing/2014/main" id="{070C4A6D-A0D1-4EAF-B513-71697AB50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54461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80</xdr:col>
      <xdr:colOff>78441</xdr:colOff>
      <xdr:row>60</xdr:row>
      <xdr:rowOff>67235</xdr:rowOff>
    </xdr:from>
    <xdr:ext cx="2819400" cy="416002"/>
    <xdr:sp macro="" textlink="">
      <xdr:nvSpPr>
        <xdr:cNvPr id="41" name="吹き出し: 四角形 40">
          <a:extLst>
            <a:ext uri="{FF2B5EF4-FFF2-40B4-BE49-F238E27FC236}">
              <a16:creationId xmlns:a16="http://schemas.microsoft.com/office/drawing/2014/main" id="{8D1BD90C-3362-48ED-9760-98999CADE337}"/>
            </a:ext>
          </a:extLst>
        </xdr:cNvPr>
        <xdr:cNvSpPr/>
      </xdr:nvSpPr>
      <xdr:spPr>
        <a:xfrm>
          <a:off x="12853147" y="9592235"/>
          <a:ext cx="2819400" cy="416002"/>
        </a:xfrm>
        <a:prstGeom prst="wedgeRectCallout">
          <a:avLst>
            <a:gd name="adj1" fmla="val -34056"/>
            <a:gd name="adj2" fmla="val -76091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表示項目数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項目長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により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1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画面に収まりきらない場合、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横スクロールバーを表示する。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34</xdr:col>
      <xdr:colOff>29308</xdr:colOff>
      <xdr:row>29</xdr:row>
      <xdr:rowOff>7327</xdr:rowOff>
    </xdr:from>
    <xdr:ext cx="117463" cy="141760"/>
    <xdr:pic>
      <xdr:nvPicPr>
        <xdr:cNvPr id="42" name="図 41">
          <a:extLst>
            <a:ext uri="{FF2B5EF4-FFF2-40B4-BE49-F238E27FC236}">
              <a16:creationId xmlns:a16="http://schemas.microsoft.com/office/drawing/2014/main" id="{B3C1CA78-EA71-4C22-AE40-A7836BA21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808" y="45317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34374</xdr:colOff>
      <xdr:row>35</xdr:row>
      <xdr:rowOff>9525</xdr:rowOff>
    </xdr:from>
    <xdr:ext cx="121422" cy="146538"/>
    <xdr:pic>
      <xdr:nvPicPr>
        <xdr:cNvPr id="46" name="図 45">
          <a:extLst>
            <a:ext uri="{FF2B5EF4-FFF2-40B4-BE49-F238E27FC236}">
              <a16:creationId xmlns:a16="http://schemas.microsoft.com/office/drawing/2014/main" id="{A17BA34B-641D-4D70-8710-0B6C7E36A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6949" y="40481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34374</xdr:colOff>
      <xdr:row>36</xdr:row>
      <xdr:rowOff>9525</xdr:rowOff>
    </xdr:from>
    <xdr:ext cx="121422" cy="146538"/>
    <xdr:pic>
      <xdr:nvPicPr>
        <xdr:cNvPr id="48" name="図 47">
          <a:extLst>
            <a:ext uri="{FF2B5EF4-FFF2-40B4-BE49-F238E27FC236}">
              <a16:creationId xmlns:a16="http://schemas.microsoft.com/office/drawing/2014/main" id="{27C1EE3E-4D26-4FD9-A50C-4A4835FA3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6949" y="40481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94</xdr:row>
      <xdr:rowOff>0</xdr:rowOff>
    </xdr:from>
    <xdr:to>
      <xdr:col>1</xdr:col>
      <xdr:colOff>5024</xdr:colOff>
      <xdr:row>94</xdr:row>
      <xdr:rowOff>152381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5165050"/>
          <a:ext cx="152381" cy="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94</xdr:row>
      <xdr:rowOff>0</xdr:rowOff>
    </xdr:from>
    <xdr:to>
      <xdr:col>0</xdr:col>
      <xdr:colOff>144762</xdr:colOff>
      <xdr:row>94</xdr:row>
      <xdr:rowOff>160000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5376281"/>
          <a:ext cx="142857" cy="1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20</xdr:col>
      <xdr:colOff>93637</xdr:colOff>
      <xdr:row>13</xdr:row>
      <xdr:rowOff>42007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3DD5EFEF-39DA-449D-B082-0F0FDD3A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6</xdr:col>
      <xdr:colOff>26962</xdr:colOff>
      <xdr:row>13</xdr:row>
      <xdr:rowOff>42007</xdr:rowOff>
    </xdr:to>
    <xdr:pic>
      <xdr:nvPicPr>
        <xdr:cNvPr id="5" name="Picture 20">
          <a:extLst>
            <a:ext uri="{FF2B5EF4-FFF2-40B4-BE49-F238E27FC236}">
              <a16:creationId xmlns:a16="http://schemas.microsoft.com/office/drawing/2014/main" id="{50895E81-4045-4732-B178-C891F4FA8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26962</xdr:colOff>
      <xdr:row>12</xdr:row>
      <xdr:rowOff>21004</xdr:rowOff>
    </xdr:from>
    <xdr:to>
      <xdr:col>17</xdr:col>
      <xdr:colOff>0</xdr:colOff>
      <xdr:row>12</xdr:row>
      <xdr:rowOff>21004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0B36BFD-B7B1-4B90-A61F-482B715E208E}"/>
            </a:ext>
          </a:extLst>
        </xdr:cNvPr>
        <xdr:cNvCxnSpPr>
          <a:stCxn id="5" idx="3"/>
          <a:endCxn id="2" idx="1"/>
        </xdr:cNvCxnSpPr>
      </xdr:nvCxnSpPr>
      <xdr:spPr bwMode="auto">
        <a:xfrm>
          <a:off x="1084237" y="2507029"/>
          <a:ext cx="1754213" cy="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  <xdr:twoCellAnchor>
    <xdr:from>
      <xdr:col>29</xdr:col>
      <xdr:colOff>0</xdr:colOff>
      <xdr:row>15</xdr:row>
      <xdr:rowOff>0</xdr:rowOff>
    </xdr:from>
    <xdr:to>
      <xdr:col>32</xdr:col>
      <xdr:colOff>93637</xdr:colOff>
      <xdr:row>17</xdr:row>
      <xdr:rowOff>42007</xdr:rowOff>
    </xdr:to>
    <xdr:pic>
      <xdr:nvPicPr>
        <xdr:cNvPr id="11" name="Picture 20">
          <a:extLst>
            <a:ext uri="{FF2B5EF4-FFF2-40B4-BE49-F238E27FC236}">
              <a16:creationId xmlns:a16="http://schemas.microsoft.com/office/drawing/2014/main" id="{186B86C8-739F-4F9D-B9AA-2A7731F0E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2886075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20</xdr:col>
      <xdr:colOff>93637</xdr:colOff>
      <xdr:row>12</xdr:row>
      <xdr:rowOff>21004</xdr:rowOff>
    </xdr:from>
    <xdr:to>
      <xdr:col>29</xdr:col>
      <xdr:colOff>0</xdr:colOff>
      <xdr:row>16</xdr:row>
      <xdr:rowOff>21004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DB9CE54E-B012-450D-B421-4F0EA68CC972}"/>
            </a:ext>
          </a:extLst>
        </xdr:cNvPr>
        <xdr:cNvCxnSpPr>
          <a:stCxn id="2" idx="3"/>
          <a:endCxn id="11" idx="1"/>
        </xdr:cNvCxnSpPr>
      </xdr:nvCxnSpPr>
      <xdr:spPr bwMode="auto">
        <a:xfrm>
          <a:off x="3417862" y="2307004"/>
          <a:ext cx="1363688" cy="80010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123825</xdr:rowOff>
    </xdr:from>
    <xdr:to>
      <xdr:col>17</xdr:col>
      <xdr:colOff>0</xdr:colOff>
      <xdr:row>17</xdr:row>
      <xdr:rowOff>123825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93AAF8BA-6422-470D-A60D-9B3087BC4E6F}"/>
            </a:ext>
          </a:extLst>
        </xdr:cNvPr>
        <xdr:cNvSpPr/>
      </xdr:nvSpPr>
      <xdr:spPr bwMode="auto">
        <a:xfrm>
          <a:off x="666750" y="2809875"/>
          <a:ext cx="2171700" cy="60007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Web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取引先マスタ一覧照会</a:t>
          </a:r>
        </a:p>
      </xdr:txBody>
    </xdr:sp>
    <xdr:clientData/>
  </xdr:twoCellAnchor>
  <xdr:twoCellAnchor>
    <xdr:from>
      <xdr:col>3</xdr:col>
      <xdr:colOff>161924</xdr:colOff>
      <xdr:row>7</xdr:row>
      <xdr:rowOff>0</xdr:rowOff>
    </xdr:from>
    <xdr:to>
      <xdr:col>29</xdr:col>
      <xdr:colOff>0</xdr:colOff>
      <xdr:row>12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81F0245-28FB-46AB-AE7B-3F9986B9308B}"/>
            </a:ext>
          </a:extLst>
        </xdr:cNvPr>
        <xdr:cNvSpPr/>
      </xdr:nvSpPr>
      <xdr:spPr bwMode="auto">
        <a:xfrm>
          <a:off x="666749" y="1285875"/>
          <a:ext cx="4114801" cy="10001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104775</xdr:colOff>
      <xdr:row>8</xdr:row>
      <xdr:rowOff>0</xdr:rowOff>
    </xdr:from>
    <xdr:to>
      <xdr:col>15</xdr:col>
      <xdr:colOff>104775</xdr:colOff>
      <xdr:row>11</xdr:row>
      <xdr:rowOff>0</xdr:rowOff>
    </xdr:to>
    <xdr:sp macro="" textlink="">
      <xdr:nvSpPr>
        <xdr:cNvPr id="24" name="Text Box 56">
          <a:extLst>
            <a:ext uri="{FF2B5EF4-FFF2-40B4-BE49-F238E27FC236}">
              <a16:creationId xmlns:a16="http://schemas.microsoft.com/office/drawing/2014/main" id="{ABAF15D1-A92B-4A77-9457-AA907CB9DDBD}"/>
            </a:ext>
          </a:extLst>
        </xdr:cNvPr>
        <xdr:cNvSpPr txBox="1">
          <a:spLocks noChangeArrowheads="1"/>
        </xdr:cNvSpPr>
      </xdr:nvSpPr>
      <xdr:spPr bwMode="auto">
        <a:xfrm>
          <a:off x="5372100" y="1485900"/>
          <a:ext cx="1781175" cy="6000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取引先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47625</xdr:colOff>
      <xdr:row>12</xdr:row>
      <xdr:rowOff>0</xdr:rowOff>
    </xdr:from>
    <xdr:to>
      <xdr:col>10</xdr:col>
      <xdr:colOff>47625</xdr:colOff>
      <xdr:row>14</xdr:row>
      <xdr:rowOff>123825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46D34571-DF2E-49DF-A7E2-37B7CBF0E031}"/>
            </a:ext>
          </a:extLst>
        </xdr:cNvPr>
        <xdr:cNvCxnSpPr>
          <a:endCxn id="7" idx="0"/>
        </xdr:cNvCxnSpPr>
      </xdr:nvCxnSpPr>
      <xdr:spPr bwMode="auto">
        <a:xfrm>
          <a:off x="1752600" y="2286000"/>
          <a:ext cx="0" cy="5238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bk/OneDrive/&#12487;&#12473;&#12463;&#12488;&#12483;&#12503;/&#36009;&#22770;&#12481;&#12540;&#12512;&#20381;&#38972;&#20316;&#26989;/M7-US-1102_MSBBP1210_r01.02_&#30011;&#38754;&#35500;&#26126;&#26360;&#65288;&#21463;&#27880;&#30331;&#37682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id/Desktop/608_&#35069;&#21697;&#12510;&#12473;&#12479;&#36899;&#25658;/&#12496;&#12483;&#12481;&#27231;&#33021;_MGBGB0020_&#12510;&#12473;&#12479;&#36899;&#25658;&#12496;&#12483;&#12481;_Rev0.0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MSBBPA120&#12305;_&#30011;&#38754;&#35373;&#35336;&#26360;_&#12450;&#12489;&#12458;&#12531;(Web&#21462;&#24341;&#20808;&#12510;&#12473;&#12479;&#19968;&#35239;&#29031;&#20250;)_20221222_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ishid\Desktop\608_&#35069;&#21697;&#12510;&#12473;&#12479;&#36899;&#25658;\&#12496;&#12483;&#12481;&#27231;&#33021;_MGBGB0020_&#12510;&#12473;&#12479;&#36899;&#25658;&#12496;&#12483;&#12481;_Rev0.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社員リスト"/>
      <sheetName val="承認票"/>
      <sheetName val="１．InfoCube (YKCH0010)案１"/>
      <sheetName val="１．InfoCube (YKCH0010) 案２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来歴"/>
      <sheetName val="概要"/>
      <sheetName val="画面イメージ"/>
      <sheetName val="項目説明"/>
      <sheetName val="画面遷移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（カスタマイズ）"/>
      <sheetName val="表紙"/>
      <sheetName val="変更来歴（カスタマイズ）"/>
      <sheetName val="変更来歴"/>
      <sheetName val="概要"/>
      <sheetName val="概要（カスタマイズ）"/>
      <sheetName val="引数説明"/>
      <sheetName val="処理・サービス関連図"/>
      <sheetName val="処理詳細"/>
      <sheetName val="更新入出力仕様"/>
      <sheetName val="メッセージ一覧"/>
      <sheetName val="バッチ・ＩＦデータ確認"/>
      <sheetName val="補足説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表紙"/>
      <sheetName val="改訂"/>
      <sheetName val="概要"/>
      <sheetName val="画面イメージ"/>
      <sheetName val="項目説明"/>
      <sheetName val="引数説明"/>
      <sheetName val="画面遷移"/>
      <sheetName val="処理概要"/>
      <sheetName val="処理詳細"/>
      <sheetName val="処理・サービス関連図"/>
      <sheetName val="検索入出力仕様"/>
      <sheetName val="更新入出力仕様"/>
      <sheetName val="ファイル入出力仕様"/>
      <sheetName val="メッセージ一覧"/>
      <sheetName val="補足説明資料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（カスタマイズ）"/>
      <sheetName val="表紙"/>
      <sheetName val="変更来歴（カスタマイズ）"/>
      <sheetName val="変更来歴"/>
      <sheetName val="概要"/>
      <sheetName val="概要（カスタマイズ）"/>
      <sheetName val="引数説明"/>
      <sheetName val="処理・サービス関連図"/>
      <sheetName val="処理詳細"/>
      <sheetName val="更新入出力仕様"/>
      <sheetName val="メッセージ一覧"/>
      <sheetName val="バッチ・ＩＦデータ確認"/>
      <sheetName val="補足説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75" defaultRowHeight="16.5"/>
  <cols>
    <col min="1" max="16384" width="2.375" style="155"/>
  </cols>
  <sheetData>
    <row r="1" spans="1:48">
      <c r="A1" s="155" t="s">
        <v>0</v>
      </c>
    </row>
    <row r="3" spans="1:48">
      <c r="C3" s="155" t="s">
        <v>1</v>
      </c>
    </row>
    <row r="4" spans="1:48">
      <c r="D4" s="155" t="s">
        <v>2</v>
      </c>
    </row>
    <row r="5" spans="1:48">
      <c r="D5" s="155" t="s">
        <v>3</v>
      </c>
    </row>
    <row r="7" spans="1:48">
      <c r="C7" s="155" t="s">
        <v>4</v>
      </c>
    </row>
    <row r="8" spans="1:48">
      <c r="D8" s="155" t="s">
        <v>5</v>
      </c>
    </row>
    <row r="9" spans="1:48">
      <c r="D9" s="155" t="s">
        <v>6</v>
      </c>
    </row>
    <row r="10" spans="1:48">
      <c r="B10" s="156"/>
      <c r="C10" s="157"/>
      <c r="D10" s="156"/>
      <c r="E10" s="156"/>
      <c r="F10" s="156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6"/>
      <c r="AT10" s="156"/>
      <c r="AU10" s="156"/>
    </row>
    <row r="11" spans="1:48">
      <c r="B11" s="156"/>
      <c r="C11" s="157"/>
      <c r="D11" s="156"/>
      <c r="E11" s="156"/>
      <c r="F11" s="156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370" t="s">
        <v>7</v>
      </c>
      <c r="V11" s="371"/>
      <c r="W11" s="372" t="s">
        <v>8</v>
      </c>
      <c r="X11" s="372" t="s">
        <v>9</v>
      </c>
      <c r="Y11" s="372"/>
      <c r="Z11" s="372"/>
      <c r="AA11" s="372"/>
      <c r="AB11" s="372"/>
      <c r="AC11" s="372"/>
      <c r="AD11" s="372"/>
      <c r="AE11" s="372"/>
      <c r="AF11" s="372"/>
      <c r="AG11" s="372"/>
      <c r="AH11" s="372"/>
      <c r="AI11" s="372"/>
      <c r="AJ11" s="372"/>
      <c r="AK11" s="372"/>
      <c r="AL11" s="371"/>
      <c r="AM11" s="371"/>
      <c r="AN11" s="371"/>
      <c r="AO11" s="371"/>
      <c r="AP11" s="371"/>
      <c r="AQ11" s="371"/>
      <c r="AR11" s="371"/>
      <c r="AS11" s="371"/>
      <c r="AT11" s="371"/>
      <c r="AU11" s="371"/>
      <c r="AV11" s="373"/>
    </row>
    <row r="12" spans="1:48">
      <c r="B12" s="156"/>
      <c r="C12" s="158"/>
      <c r="D12" s="156"/>
      <c r="E12" s="156"/>
      <c r="F12" s="156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9" t="s">
        <v>10</v>
      </c>
      <c r="V12" s="156"/>
      <c r="W12" s="157" t="s">
        <v>8</v>
      </c>
      <c r="X12" s="157" t="s">
        <v>11</v>
      </c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60"/>
    </row>
    <row r="13" spans="1:48">
      <c r="B13" s="156"/>
      <c r="C13" s="157"/>
      <c r="D13" s="156"/>
      <c r="E13" s="156"/>
      <c r="F13" s="156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9" t="s">
        <v>12</v>
      </c>
      <c r="V13" s="156"/>
      <c r="W13" s="157" t="s">
        <v>8</v>
      </c>
      <c r="X13" s="157" t="s">
        <v>13</v>
      </c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60"/>
    </row>
    <row r="14" spans="1:48">
      <c r="B14" s="156"/>
      <c r="C14" s="161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9" t="s">
        <v>14</v>
      </c>
      <c r="V14" s="156"/>
      <c r="W14" s="157" t="s">
        <v>8</v>
      </c>
      <c r="X14" s="157" t="s">
        <v>15</v>
      </c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60"/>
    </row>
    <row r="15" spans="1:48">
      <c r="B15" s="156"/>
      <c r="C15" s="158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62"/>
      <c r="V15" s="163"/>
      <c r="W15" s="164" t="s">
        <v>8</v>
      </c>
      <c r="X15" s="164" t="s">
        <v>16</v>
      </c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6"/>
    </row>
    <row r="16" spans="1:48">
      <c r="B16" s="156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</row>
    <row r="17" spans="2:81">
      <c r="B17" s="156"/>
      <c r="C17" s="158"/>
      <c r="D17" s="157" t="s">
        <v>17</v>
      </c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 t="s">
        <v>18</v>
      </c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6"/>
      <c r="AT17" s="156"/>
      <c r="AU17" s="156"/>
    </row>
    <row r="18" spans="2:81">
      <c r="B18" s="156"/>
      <c r="C18" s="158"/>
      <c r="D18" s="374" t="s">
        <v>19</v>
      </c>
      <c r="E18" s="375"/>
      <c r="F18" s="375"/>
      <c r="G18" s="375"/>
      <c r="H18" s="375"/>
      <c r="I18" s="375"/>
      <c r="J18" s="375"/>
      <c r="K18" s="375"/>
      <c r="L18" s="375"/>
      <c r="M18" s="376"/>
      <c r="N18" s="377" t="s">
        <v>20</v>
      </c>
      <c r="O18" s="378"/>
      <c r="P18" s="378"/>
      <c r="Q18" s="378"/>
      <c r="R18" s="378"/>
      <c r="S18" s="378"/>
      <c r="T18" s="378"/>
      <c r="U18" s="378"/>
      <c r="V18" s="379"/>
      <c r="W18" s="377" t="s">
        <v>21</v>
      </c>
      <c r="X18" s="378"/>
      <c r="Y18" s="378"/>
      <c r="Z18" s="378"/>
      <c r="AA18" s="378"/>
      <c r="AB18" s="378"/>
      <c r="AC18" s="378"/>
      <c r="AD18" s="378"/>
      <c r="AE18" s="379"/>
      <c r="AF18" s="377" t="s">
        <v>22</v>
      </c>
      <c r="AG18" s="378"/>
      <c r="AH18" s="378"/>
      <c r="AI18" s="378"/>
      <c r="AJ18" s="378"/>
      <c r="AK18" s="378"/>
      <c r="AL18" s="378"/>
      <c r="AM18" s="378"/>
      <c r="AN18" s="379"/>
      <c r="AO18" s="377" t="s">
        <v>23</v>
      </c>
      <c r="AP18" s="378"/>
      <c r="AQ18" s="378"/>
      <c r="AR18" s="378"/>
      <c r="AS18" s="379"/>
      <c r="AT18" s="377" t="s">
        <v>24</v>
      </c>
      <c r="AU18" s="378"/>
      <c r="AV18" s="378"/>
      <c r="AW18" s="378"/>
      <c r="AX18" s="379"/>
      <c r="BB18" s="374" t="s">
        <v>19</v>
      </c>
      <c r="BC18" s="375"/>
      <c r="BD18" s="375"/>
      <c r="BE18" s="375"/>
      <c r="BF18" s="375"/>
      <c r="BG18" s="375"/>
      <c r="BH18" s="375"/>
      <c r="BI18" s="375"/>
      <c r="BJ18" s="375"/>
      <c r="BK18" s="376"/>
      <c r="BL18" s="377" t="s">
        <v>25</v>
      </c>
      <c r="BM18" s="378"/>
      <c r="BN18" s="378"/>
      <c r="BO18" s="378"/>
      <c r="BP18" s="378"/>
      <c r="BQ18" s="378"/>
      <c r="BR18" s="377" t="s">
        <v>26</v>
      </c>
      <c r="BS18" s="378"/>
      <c r="BT18" s="378"/>
      <c r="BU18" s="380"/>
      <c r="BV18" s="380"/>
      <c r="BW18" s="381"/>
      <c r="BX18" s="377" t="s">
        <v>27</v>
      </c>
      <c r="BY18" s="378"/>
      <c r="BZ18" s="378"/>
      <c r="CA18" s="378"/>
      <c r="CB18" s="378"/>
      <c r="CC18" s="379"/>
    </row>
    <row r="19" spans="2:81">
      <c r="B19" s="156"/>
      <c r="C19" s="157"/>
      <c r="D19" s="167"/>
      <c r="E19" s="168"/>
      <c r="F19" s="168"/>
      <c r="G19" s="168"/>
      <c r="H19" s="168"/>
      <c r="I19" s="168"/>
      <c r="J19" s="168"/>
      <c r="K19" s="168"/>
      <c r="L19" s="168"/>
      <c r="M19" s="169"/>
      <c r="N19" s="377" t="s">
        <v>28</v>
      </c>
      <c r="O19" s="378"/>
      <c r="P19" s="378"/>
      <c r="Q19" s="378"/>
      <c r="R19" s="379"/>
      <c r="S19" s="377" t="s">
        <v>29</v>
      </c>
      <c r="T19" s="378"/>
      <c r="U19" s="378"/>
      <c r="V19" s="379"/>
      <c r="W19" s="377" t="s">
        <v>28</v>
      </c>
      <c r="X19" s="378"/>
      <c r="Y19" s="378"/>
      <c r="Z19" s="378"/>
      <c r="AA19" s="379"/>
      <c r="AB19" s="377" t="s">
        <v>29</v>
      </c>
      <c r="AC19" s="378"/>
      <c r="AD19" s="378"/>
      <c r="AE19" s="379"/>
      <c r="AF19" s="377" t="s">
        <v>28</v>
      </c>
      <c r="AG19" s="378"/>
      <c r="AH19" s="378"/>
      <c r="AI19" s="378"/>
      <c r="AJ19" s="379"/>
      <c r="AK19" s="377" t="s">
        <v>29</v>
      </c>
      <c r="AL19" s="378"/>
      <c r="AM19" s="378"/>
      <c r="AN19" s="379"/>
      <c r="AO19" s="377" t="s">
        <v>29</v>
      </c>
      <c r="AP19" s="378"/>
      <c r="AQ19" s="378"/>
      <c r="AR19" s="378"/>
      <c r="AS19" s="379"/>
      <c r="AT19" s="377" t="s">
        <v>29</v>
      </c>
      <c r="AU19" s="378"/>
      <c r="AV19" s="378"/>
      <c r="AW19" s="378"/>
      <c r="AX19" s="379"/>
      <c r="BB19" s="167"/>
      <c r="BC19" s="168"/>
      <c r="BD19" s="168"/>
      <c r="BE19" s="168"/>
      <c r="BF19" s="168"/>
      <c r="BG19" s="168"/>
      <c r="BH19" s="168"/>
      <c r="BI19" s="168"/>
      <c r="BJ19" s="168"/>
      <c r="BK19" s="169"/>
      <c r="BL19" s="167" t="s">
        <v>30</v>
      </c>
      <c r="BM19" s="168"/>
      <c r="BN19" s="168"/>
      <c r="BO19" s="168"/>
      <c r="BP19" s="168"/>
      <c r="BQ19" s="168"/>
      <c r="BR19" s="167" t="s">
        <v>30</v>
      </c>
      <c r="BS19" s="168"/>
      <c r="BT19" s="168"/>
      <c r="BU19" s="170"/>
      <c r="BV19" s="170"/>
      <c r="BW19" s="171"/>
      <c r="BX19" s="167" t="s">
        <v>30</v>
      </c>
      <c r="BY19" s="168"/>
      <c r="BZ19" s="168"/>
      <c r="CA19" s="168"/>
      <c r="CB19" s="168"/>
      <c r="CC19" s="169"/>
    </row>
    <row r="20" spans="2:81">
      <c r="B20" s="156"/>
      <c r="C20" s="157"/>
      <c r="D20" s="377" t="s">
        <v>31</v>
      </c>
      <c r="E20" s="378"/>
      <c r="F20" s="378"/>
      <c r="G20" s="378"/>
      <c r="H20" s="378"/>
      <c r="I20" s="378"/>
      <c r="J20" s="378"/>
      <c r="K20" s="378"/>
      <c r="L20" s="378"/>
      <c r="M20" s="379"/>
      <c r="N20" s="382" t="s">
        <v>32</v>
      </c>
      <c r="O20" s="383" t="s">
        <v>33</v>
      </c>
      <c r="P20" s="383"/>
      <c r="Q20" s="383"/>
      <c r="R20" s="383"/>
      <c r="S20" s="382" t="s">
        <v>32</v>
      </c>
      <c r="T20" s="383"/>
      <c r="U20" s="383"/>
      <c r="V20" s="384"/>
      <c r="W20" s="382" t="s">
        <v>32</v>
      </c>
      <c r="X20" s="383" t="s">
        <v>33</v>
      </c>
      <c r="Y20" s="383"/>
      <c r="Z20" s="383"/>
      <c r="AA20" s="384"/>
      <c r="AB20" s="382" t="s">
        <v>32</v>
      </c>
      <c r="AC20" s="383"/>
      <c r="AD20" s="383"/>
      <c r="AE20" s="384"/>
      <c r="AF20" s="382" t="s">
        <v>32</v>
      </c>
      <c r="AG20" s="383" t="s">
        <v>33</v>
      </c>
      <c r="AH20" s="383"/>
      <c r="AI20" s="383"/>
      <c r="AJ20" s="384"/>
      <c r="AK20" s="382" t="s">
        <v>32</v>
      </c>
      <c r="AL20" s="383"/>
      <c r="AM20" s="383"/>
      <c r="AN20" s="384"/>
      <c r="AO20" s="382" t="s">
        <v>32</v>
      </c>
      <c r="AP20" s="383"/>
      <c r="AQ20" s="383"/>
      <c r="AR20" s="383"/>
      <c r="AS20" s="384"/>
      <c r="AT20" s="382" t="s">
        <v>32</v>
      </c>
      <c r="AU20" s="383"/>
      <c r="AV20" s="383"/>
      <c r="AW20" s="383"/>
      <c r="AX20" s="384"/>
      <c r="BB20" s="377" t="s">
        <v>34</v>
      </c>
      <c r="BC20" s="378"/>
      <c r="BD20" s="378"/>
      <c r="BE20" s="378"/>
      <c r="BF20" s="378"/>
      <c r="BG20" s="378"/>
      <c r="BH20" s="378"/>
      <c r="BI20" s="378"/>
      <c r="BJ20" s="378"/>
      <c r="BK20" s="379"/>
      <c r="BL20" s="382" t="s">
        <v>35</v>
      </c>
      <c r="BM20" s="383"/>
      <c r="BN20" s="383"/>
      <c r="BO20" s="383"/>
      <c r="BP20" s="383"/>
      <c r="BQ20" s="383"/>
      <c r="BR20" s="382" t="s">
        <v>35</v>
      </c>
      <c r="BS20" s="383"/>
      <c r="BT20" s="383"/>
      <c r="BU20" s="385"/>
      <c r="BV20" s="385"/>
      <c r="BW20" s="386"/>
      <c r="BX20" s="382" t="s">
        <v>35</v>
      </c>
      <c r="BY20" s="383"/>
      <c r="BZ20" s="383"/>
      <c r="CA20" s="383"/>
      <c r="CB20" s="383"/>
      <c r="CC20" s="384"/>
    </row>
    <row r="21" spans="2:81">
      <c r="B21" s="156"/>
      <c r="C21" s="157"/>
      <c r="D21" s="377" t="s">
        <v>36</v>
      </c>
      <c r="E21" s="378"/>
      <c r="F21" s="378"/>
      <c r="G21" s="378"/>
      <c r="H21" s="378"/>
      <c r="I21" s="378"/>
      <c r="J21" s="378"/>
      <c r="K21" s="378"/>
      <c r="L21" s="378"/>
      <c r="M21" s="379"/>
      <c r="N21" s="382" t="s">
        <v>32</v>
      </c>
      <c r="O21" s="383" t="s">
        <v>37</v>
      </c>
      <c r="P21" s="383"/>
      <c r="Q21" s="383"/>
      <c r="R21" s="383"/>
      <c r="S21" s="382" t="s">
        <v>32</v>
      </c>
      <c r="T21" s="383"/>
      <c r="U21" s="383"/>
      <c r="V21" s="384"/>
      <c r="W21" s="382" t="s">
        <v>38</v>
      </c>
      <c r="X21" s="383"/>
      <c r="Y21" s="383"/>
      <c r="Z21" s="383"/>
      <c r="AA21" s="384"/>
      <c r="AB21" s="382" t="s">
        <v>38</v>
      </c>
      <c r="AC21" s="383"/>
      <c r="AD21" s="383"/>
      <c r="AE21" s="384"/>
      <c r="AF21" s="382" t="s">
        <v>32</v>
      </c>
      <c r="AG21" s="383" t="s">
        <v>37</v>
      </c>
      <c r="AH21" s="383"/>
      <c r="AI21" s="383"/>
      <c r="AJ21" s="384"/>
      <c r="AK21" s="382" t="s">
        <v>32</v>
      </c>
      <c r="AL21" s="383"/>
      <c r="AM21" s="383"/>
      <c r="AN21" s="384"/>
      <c r="AO21" s="382" t="s">
        <v>32</v>
      </c>
      <c r="AP21" s="383"/>
      <c r="AQ21" s="383"/>
      <c r="AR21" s="383"/>
      <c r="AS21" s="384"/>
      <c r="AT21" s="382" t="s">
        <v>32</v>
      </c>
      <c r="AU21" s="383"/>
      <c r="AV21" s="383"/>
      <c r="AW21" s="383"/>
      <c r="AX21" s="384"/>
      <c r="BB21" s="377" t="s">
        <v>39</v>
      </c>
      <c r="BC21" s="378"/>
      <c r="BD21" s="378"/>
      <c r="BE21" s="378"/>
      <c r="BF21" s="378"/>
      <c r="BG21" s="378"/>
      <c r="BH21" s="378"/>
      <c r="BI21" s="378"/>
      <c r="BJ21" s="378"/>
      <c r="BK21" s="379"/>
      <c r="BL21" s="382" t="s">
        <v>35</v>
      </c>
      <c r="BM21" s="383"/>
      <c r="BN21" s="383"/>
      <c r="BO21" s="383"/>
      <c r="BP21" s="383"/>
      <c r="BQ21" s="383"/>
      <c r="BR21" s="382" t="s">
        <v>40</v>
      </c>
      <c r="BS21" s="383"/>
      <c r="BT21" s="383"/>
      <c r="BU21" s="385"/>
      <c r="BV21" s="385"/>
      <c r="BW21" s="386"/>
      <c r="BX21" s="382" t="s">
        <v>35</v>
      </c>
      <c r="BY21" s="383"/>
      <c r="BZ21" s="383"/>
      <c r="CA21" s="383"/>
      <c r="CB21" s="383"/>
      <c r="CC21" s="384"/>
    </row>
    <row r="22" spans="2:81">
      <c r="B22" s="156"/>
      <c r="C22" s="157"/>
      <c r="D22" s="377" t="s">
        <v>41</v>
      </c>
      <c r="E22" s="378"/>
      <c r="F22" s="378"/>
      <c r="G22" s="378"/>
      <c r="H22" s="378"/>
      <c r="I22" s="378"/>
      <c r="J22" s="378"/>
      <c r="K22" s="378"/>
      <c r="L22" s="378"/>
      <c r="M22" s="379"/>
      <c r="N22" s="382" t="s">
        <v>42</v>
      </c>
      <c r="O22" s="383"/>
      <c r="P22" s="383"/>
      <c r="Q22" s="383"/>
      <c r="R22" s="383"/>
      <c r="S22" s="382" t="s">
        <v>43</v>
      </c>
      <c r="T22" s="383"/>
      <c r="U22" s="383"/>
      <c r="V22" s="384"/>
      <c r="W22" s="382" t="s">
        <v>38</v>
      </c>
      <c r="X22" s="383"/>
      <c r="Y22" s="383"/>
      <c r="Z22" s="383"/>
      <c r="AA22" s="384"/>
      <c r="AB22" s="382" t="s">
        <v>38</v>
      </c>
      <c r="AC22" s="383"/>
      <c r="AD22" s="383"/>
      <c r="AE22" s="384"/>
      <c r="AF22" s="382" t="s">
        <v>42</v>
      </c>
      <c r="AG22" s="383"/>
      <c r="AH22" s="383"/>
      <c r="AI22" s="383"/>
      <c r="AJ22" s="384"/>
      <c r="AK22" s="382" t="s">
        <v>43</v>
      </c>
      <c r="AL22" s="383"/>
      <c r="AM22" s="383"/>
      <c r="AN22" s="384"/>
      <c r="AO22" s="382" t="s">
        <v>43</v>
      </c>
      <c r="AP22" s="383"/>
      <c r="AQ22" s="383"/>
      <c r="AR22" s="383"/>
      <c r="AS22" s="384"/>
      <c r="AT22" s="382" t="s">
        <v>43</v>
      </c>
      <c r="AU22" s="383"/>
      <c r="AV22" s="383"/>
      <c r="AW22" s="383"/>
      <c r="AX22" s="384"/>
      <c r="BB22" s="377" t="s">
        <v>44</v>
      </c>
      <c r="BC22" s="378"/>
      <c r="BD22" s="378"/>
      <c r="BE22" s="378"/>
      <c r="BF22" s="378"/>
      <c r="BG22" s="378"/>
      <c r="BH22" s="378"/>
      <c r="BI22" s="378"/>
      <c r="BJ22" s="378"/>
      <c r="BK22" s="379"/>
      <c r="BL22" s="382" t="s">
        <v>35</v>
      </c>
      <c r="BM22" s="383"/>
      <c r="BN22" s="383"/>
      <c r="BO22" s="383"/>
      <c r="BP22" s="383"/>
      <c r="BQ22" s="383"/>
      <c r="BR22" s="382" t="s">
        <v>40</v>
      </c>
      <c r="BS22" s="383"/>
      <c r="BT22" s="383"/>
      <c r="BU22" s="385"/>
      <c r="BV22" s="385"/>
      <c r="BW22" s="386"/>
      <c r="BX22" s="382" t="s">
        <v>35</v>
      </c>
      <c r="BY22" s="383"/>
      <c r="BZ22" s="383"/>
      <c r="CA22" s="383"/>
      <c r="CB22" s="383"/>
      <c r="CC22" s="384"/>
    </row>
    <row r="23" spans="2:81">
      <c r="B23" s="156"/>
      <c r="C23" s="157"/>
      <c r="D23" s="377" t="s">
        <v>45</v>
      </c>
      <c r="E23" s="378"/>
      <c r="F23" s="378"/>
      <c r="G23" s="378"/>
      <c r="H23" s="378"/>
      <c r="I23" s="378"/>
      <c r="J23" s="378"/>
      <c r="K23" s="378"/>
      <c r="L23" s="378"/>
      <c r="M23" s="379"/>
      <c r="N23" s="382" t="s">
        <v>38</v>
      </c>
      <c r="O23" s="383"/>
      <c r="P23" s="383"/>
      <c r="Q23" s="383"/>
      <c r="R23" s="383"/>
      <c r="S23" s="382" t="s">
        <v>38</v>
      </c>
      <c r="T23" s="383"/>
      <c r="U23" s="383"/>
      <c r="V23" s="384"/>
      <c r="W23" s="382" t="s">
        <v>42</v>
      </c>
      <c r="X23" s="383"/>
      <c r="Y23" s="383"/>
      <c r="Z23" s="383"/>
      <c r="AA23" s="384"/>
      <c r="AB23" s="382" t="s">
        <v>32</v>
      </c>
      <c r="AC23" s="383"/>
      <c r="AD23" s="383"/>
      <c r="AE23" s="384"/>
      <c r="AF23" s="382" t="s">
        <v>38</v>
      </c>
      <c r="AG23" s="383"/>
      <c r="AH23" s="383"/>
      <c r="AI23" s="383"/>
      <c r="AJ23" s="384"/>
      <c r="AK23" s="382" t="s">
        <v>38</v>
      </c>
      <c r="AL23" s="383"/>
      <c r="AM23" s="383"/>
      <c r="AN23" s="384"/>
      <c r="AO23" s="382" t="s">
        <v>38</v>
      </c>
      <c r="AP23" s="383"/>
      <c r="AQ23" s="383"/>
      <c r="AR23" s="383"/>
      <c r="AS23" s="384"/>
      <c r="AT23" s="382" t="s">
        <v>32</v>
      </c>
      <c r="AU23" s="383"/>
      <c r="AV23" s="383"/>
      <c r="AW23" s="383"/>
      <c r="AX23" s="384"/>
      <c r="BB23" s="377" t="s">
        <v>46</v>
      </c>
      <c r="BC23" s="378"/>
      <c r="BD23" s="378"/>
      <c r="BE23" s="378"/>
      <c r="BF23" s="378"/>
      <c r="BG23" s="378"/>
      <c r="BH23" s="378"/>
      <c r="BI23" s="378"/>
      <c r="BJ23" s="378"/>
      <c r="BK23" s="379"/>
      <c r="BL23" s="382" t="s">
        <v>35</v>
      </c>
      <c r="BM23" s="383"/>
      <c r="BN23" s="383"/>
      <c r="BO23" s="383"/>
      <c r="BP23" s="383"/>
      <c r="BQ23" s="383"/>
      <c r="BR23" s="382" t="s">
        <v>40</v>
      </c>
      <c r="BS23" s="383"/>
      <c r="BT23" s="383"/>
      <c r="BU23" s="385"/>
      <c r="BV23" s="385"/>
      <c r="BW23" s="386"/>
      <c r="BX23" s="382" t="s">
        <v>35</v>
      </c>
      <c r="BY23" s="383"/>
      <c r="BZ23" s="383"/>
      <c r="CA23" s="383"/>
      <c r="CB23" s="383"/>
      <c r="CC23" s="384"/>
    </row>
    <row r="24" spans="2:81">
      <c r="B24" s="156"/>
      <c r="C24" s="157"/>
      <c r="D24" s="377" t="s">
        <v>47</v>
      </c>
      <c r="E24" s="378"/>
      <c r="F24" s="378"/>
      <c r="G24" s="378"/>
      <c r="H24" s="378"/>
      <c r="I24" s="378"/>
      <c r="J24" s="378"/>
      <c r="K24" s="378"/>
      <c r="L24" s="378"/>
      <c r="M24" s="379"/>
      <c r="N24" s="382" t="s">
        <v>32</v>
      </c>
      <c r="O24" s="383"/>
      <c r="P24" s="383"/>
      <c r="Q24" s="383"/>
      <c r="R24" s="383"/>
      <c r="S24" s="382" t="s">
        <v>32</v>
      </c>
      <c r="T24" s="383"/>
      <c r="U24" s="383"/>
      <c r="V24" s="384"/>
      <c r="W24" s="382" t="s">
        <v>32</v>
      </c>
      <c r="X24" s="383"/>
      <c r="Y24" s="383"/>
      <c r="Z24" s="383"/>
      <c r="AA24" s="384"/>
      <c r="AB24" s="382" t="s">
        <v>32</v>
      </c>
      <c r="AC24" s="383"/>
      <c r="AD24" s="383"/>
      <c r="AE24" s="384"/>
      <c r="AF24" s="382" t="s">
        <v>32</v>
      </c>
      <c r="AG24" s="383"/>
      <c r="AH24" s="383"/>
      <c r="AI24" s="383"/>
      <c r="AJ24" s="384"/>
      <c r="AK24" s="382" t="s">
        <v>32</v>
      </c>
      <c r="AL24" s="383"/>
      <c r="AM24" s="383"/>
      <c r="AN24" s="384"/>
      <c r="AO24" s="382" t="s">
        <v>32</v>
      </c>
      <c r="AP24" s="383"/>
      <c r="AQ24" s="383"/>
      <c r="AR24" s="383"/>
      <c r="AS24" s="384"/>
      <c r="AT24" s="382" t="s">
        <v>32</v>
      </c>
      <c r="AU24" s="383"/>
      <c r="AV24" s="383"/>
      <c r="AW24" s="383"/>
      <c r="AX24" s="384"/>
      <c r="BB24" s="377" t="s">
        <v>48</v>
      </c>
      <c r="BC24" s="378"/>
      <c r="BD24" s="378"/>
      <c r="BE24" s="378"/>
      <c r="BF24" s="378"/>
      <c r="BG24" s="378"/>
      <c r="BH24" s="378"/>
      <c r="BI24" s="378"/>
      <c r="BJ24" s="378"/>
      <c r="BK24" s="379"/>
      <c r="BL24" s="382" t="s">
        <v>35</v>
      </c>
      <c r="BM24" s="383"/>
      <c r="BN24" s="383"/>
      <c r="BO24" s="383"/>
      <c r="BP24" s="383"/>
      <c r="BQ24" s="383"/>
      <c r="BR24" s="382" t="s">
        <v>40</v>
      </c>
      <c r="BS24" s="383"/>
      <c r="BT24" s="383"/>
      <c r="BU24" s="385"/>
      <c r="BV24" s="385"/>
      <c r="BW24" s="386"/>
      <c r="BX24" s="382" t="s">
        <v>35</v>
      </c>
      <c r="BY24" s="383"/>
      <c r="BZ24" s="383"/>
      <c r="CA24" s="383"/>
      <c r="CB24" s="383"/>
      <c r="CC24" s="384"/>
    </row>
    <row r="25" spans="2:81">
      <c r="B25" s="156"/>
      <c r="C25" s="157"/>
      <c r="D25" s="377" t="s">
        <v>49</v>
      </c>
      <c r="E25" s="378"/>
      <c r="F25" s="378"/>
      <c r="G25" s="378"/>
      <c r="H25" s="378"/>
      <c r="I25" s="378"/>
      <c r="J25" s="378"/>
      <c r="K25" s="378"/>
      <c r="L25" s="378"/>
      <c r="M25" s="379"/>
      <c r="N25" s="387"/>
      <c r="O25" s="388"/>
      <c r="P25" s="388"/>
      <c r="Q25" s="388"/>
      <c r="R25" s="388"/>
      <c r="S25" s="387"/>
      <c r="T25" s="388"/>
      <c r="U25" s="388"/>
      <c r="V25" s="389"/>
      <c r="W25" s="387"/>
      <c r="X25" s="388"/>
      <c r="Y25" s="388"/>
      <c r="Z25" s="388"/>
      <c r="AA25" s="389"/>
      <c r="AB25" s="387"/>
      <c r="AC25" s="388"/>
      <c r="AD25" s="388"/>
      <c r="AE25" s="389"/>
      <c r="AF25" s="387"/>
      <c r="AG25" s="388"/>
      <c r="AH25" s="388"/>
      <c r="AI25" s="388"/>
      <c r="AJ25" s="389"/>
      <c r="AK25" s="387"/>
      <c r="AL25" s="388"/>
      <c r="AM25" s="388"/>
      <c r="AN25" s="389"/>
      <c r="AO25" s="387"/>
      <c r="AP25" s="388"/>
      <c r="AQ25" s="388"/>
      <c r="AR25" s="388"/>
      <c r="AS25" s="389"/>
      <c r="AT25" s="387"/>
      <c r="AU25" s="388"/>
      <c r="AV25" s="388"/>
      <c r="AW25" s="388"/>
      <c r="AX25" s="389"/>
      <c r="BB25" s="377" t="s">
        <v>50</v>
      </c>
      <c r="BC25" s="378"/>
      <c r="BD25" s="378"/>
      <c r="BE25" s="378"/>
      <c r="BF25" s="378"/>
      <c r="BG25" s="378"/>
      <c r="BH25" s="378"/>
      <c r="BI25" s="378"/>
      <c r="BJ25" s="378"/>
      <c r="BK25" s="379"/>
      <c r="BL25" s="382" t="s">
        <v>35</v>
      </c>
      <c r="BM25" s="383"/>
      <c r="BN25" s="383"/>
      <c r="BO25" s="383"/>
      <c r="BP25" s="383"/>
      <c r="BQ25" s="383"/>
      <c r="BR25" s="382" t="s">
        <v>40</v>
      </c>
      <c r="BS25" s="383"/>
      <c r="BT25" s="383"/>
      <c r="BU25" s="385"/>
      <c r="BV25" s="385"/>
      <c r="BW25" s="386"/>
      <c r="BX25" s="382" t="s">
        <v>35</v>
      </c>
      <c r="BY25" s="383"/>
      <c r="BZ25" s="383"/>
      <c r="CA25" s="383"/>
      <c r="CB25" s="383"/>
      <c r="CC25" s="384"/>
    </row>
    <row r="26" spans="2:81">
      <c r="B26" s="156"/>
      <c r="C26" s="157"/>
      <c r="D26" s="377" t="s">
        <v>51</v>
      </c>
      <c r="E26" s="378"/>
      <c r="F26" s="378"/>
      <c r="G26" s="378"/>
      <c r="H26" s="378"/>
      <c r="I26" s="378"/>
      <c r="J26" s="378"/>
      <c r="K26" s="378"/>
      <c r="L26" s="378"/>
      <c r="M26" s="379"/>
      <c r="N26" s="382" t="s">
        <v>42</v>
      </c>
      <c r="O26" s="383"/>
      <c r="P26" s="383"/>
      <c r="Q26" s="383"/>
      <c r="R26" s="383"/>
      <c r="S26" s="382" t="s">
        <v>32</v>
      </c>
      <c r="T26" s="383"/>
      <c r="U26" s="383"/>
      <c r="V26" s="384"/>
      <c r="W26" s="382" t="s">
        <v>42</v>
      </c>
      <c r="X26" s="383"/>
      <c r="Y26" s="383"/>
      <c r="Z26" s="383"/>
      <c r="AA26" s="384"/>
      <c r="AB26" s="382" t="s">
        <v>32</v>
      </c>
      <c r="AC26" s="383"/>
      <c r="AD26" s="383"/>
      <c r="AE26" s="384"/>
      <c r="AF26" s="382" t="s">
        <v>38</v>
      </c>
      <c r="AG26" s="383"/>
      <c r="AH26" s="383"/>
      <c r="AI26" s="383"/>
      <c r="AJ26" s="384"/>
      <c r="AK26" s="382" t="s">
        <v>38</v>
      </c>
      <c r="AL26" s="383"/>
      <c r="AM26" s="383"/>
      <c r="AN26" s="384"/>
      <c r="AO26" s="382" t="s">
        <v>38</v>
      </c>
      <c r="AP26" s="383"/>
      <c r="AQ26" s="383"/>
      <c r="AR26" s="383"/>
      <c r="AS26" s="384"/>
      <c r="AT26" s="382" t="s">
        <v>32</v>
      </c>
      <c r="AU26" s="383"/>
      <c r="AV26" s="383"/>
      <c r="AW26" s="383"/>
      <c r="AX26" s="384"/>
      <c r="BB26" s="377" t="s">
        <v>52</v>
      </c>
      <c r="BC26" s="378"/>
      <c r="BD26" s="378"/>
      <c r="BE26" s="378"/>
      <c r="BF26" s="378"/>
      <c r="BG26" s="378"/>
      <c r="BH26" s="378"/>
      <c r="BI26" s="378"/>
      <c r="BJ26" s="378"/>
      <c r="BK26" s="379"/>
      <c r="BL26" s="382" t="s">
        <v>53</v>
      </c>
      <c r="BM26" s="383"/>
      <c r="BN26" s="383" t="s">
        <v>54</v>
      </c>
      <c r="BO26" s="383"/>
      <c r="BP26" s="383"/>
      <c r="BQ26" s="383"/>
      <c r="BR26" s="382" t="s">
        <v>40</v>
      </c>
      <c r="BS26" s="383"/>
      <c r="BT26" s="383"/>
      <c r="BU26" s="385"/>
      <c r="BV26" s="385"/>
      <c r="BW26" s="386"/>
      <c r="BX26" s="382" t="s">
        <v>53</v>
      </c>
      <c r="BY26" s="383"/>
      <c r="BZ26" s="383" t="s">
        <v>54</v>
      </c>
      <c r="CA26" s="383"/>
      <c r="CB26" s="383"/>
      <c r="CC26" s="384"/>
    </row>
    <row r="27" spans="2:81">
      <c r="B27" s="156"/>
      <c r="C27" s="157"/>
      <c r="D27" s="377" t="s">
        <v>55</v>
      </c>
      <c r="E27" s="378"/>
      <c r="F27" s="378"/>
      <c r="G27" s="378"/>
      <c r="H27" s="378"/>
      <c r="I27" s="378"/>
      <c r="J27" s="378"/>
      <c r="K27" s="378"/>
      <c r="L27" s="378"/>
      <c r="M27" s="379"/>
      <c r="N27" s="382" t="s">
        <v>42</v>
      </c>
      <c r="O27" s="383"/>
      <c r="P27" s="383"/>
      <c r="Q27" s="383"/>
      <c r="R27" s="383"/>
      <c r="S27" s="382" t="s">
        <v>43</v>
      </c>
      <c r="T27" s="383"/>
      <c r="U27" s="383"/>
      <c r="V27" s="384"/>
      <c r="W27" s="382" t="s">
        <v>42</v>
      </c>
      <c r="X27" s="383"/>
      <c r="Y27" s="383"/>
      <c r="Z27" s="383"/>
      <c r="AA27" s="384"/>
      <c r="AB27" s="382" t="s">
        <v>43</v>
      </c>
      <c r="AC27" s="383"/>
      <c r="AD27" s="383"/>
      <c r="AE27" s="384"/>
      <c r="AF27" s="382" t="s">
        <v>38</v>
      </c>
      <c r="AG27" s="383"/>
      <c r="AH27" s="383"/>
      <c r="AI27" s="383"/>
      <c r="AJ27" s="384"/>
      <c r="AK27" s="382" t="s">
        <v>38</v>
      </c>
      <c r="AL27" s="383"/>
      <c r="AM27" s="383"/>
      <c r="AN27" s="384"/>
      <c r="AO27" s="382" t="s">
        <v>38</v>
      </c>
      <c r="AP27" s="383"/>
      <c r="AQ27" s="383"/>
      <c r="AR27" s="383"/>
      <c r="AS27" s="384"/>
      <c r="AT27" s="382" t="s">
        <v>43</v>
      </c>
      <c r="AU27" s="383"/>
      <c r="AV27" s="383"/>
      <c r="AW27" s="383"/>
      <c r="AX27" s="384"/>
      <c r="BB27" s="377" t="s">
        <v>56</v>
      </c>
      <c r="BC27" s="378"/>
      <c r="BD27" s="378"/>
      <c r="BE27" s="378"/>
      <c r="BF27" s="378"/>
      <c r="BG27" s="378"/>
      <c r="BH27" s="378"/>
      <c r="BI27" s="378"/>
      <c r="BJ27" s="378"/>
      <c r="BK27" s="379"/>
      <c r="BL27" s="382" t="s">
        <v>53</v>
      </c>
      <c r="BM27" s="383"/>
      <c r="BN27" s="383" t="s">
        <v>57</v>
      </c>
      <c r="BO27" s="383"/>
      <c r="BP27" s="383"/>
      <c r="BQ27" s="383"/>
      <c r="BR27" s="382" t="s">
        <v>40</v>
      </c>
      <c r="BS27" s="383"/>
      <c r="BT27" s="383"/>
      <c r="BU27" s="385"/>
      <c r="BV27" s="385"/>
      <c r="BW27" s="386"/>
      <c r="BX27" s="382" t="s">
        <v>53</v>
      </c>
      <c r="BY27" s="383"/>
      <c r="BZ27" s="383" t="s">
        <v>57</v>
      </c>
      <c r="CA27" s="383"/>
      <c r="CB27" s="383"/>
      <c r="CC27" s="384"/>
    </row>
    <row r="28" spans="2:81">
      <c r="B28" s="156"/>
      <c r="C28" s="157"/>
      <c r="D28" s="377" t="s">
        <v>58</v>
      </c>
      <c r="E28" s="378"/>
      <c r="F28" s="378"/>
      <c r="G28" s="378"/>
      <c r="H28" s="378"/>
      <c r="I28" s="378"/>
      <c r="J28" s="378"/>
      <c r="K28" s="378"/>
      <c r="L28" s="378"/>
      <c r="M28" s="379"/>
      <c r="N28" s="382" t="s">
        <v>42</v>
      </c>
      <c r="O28" s="383"/>
      <c r="P28" s="383"/>
      <c r="Q28" s="383"/>
      <c r="R28" s="383"/>
      <c r="S28" s="382" t="s">
        <v>43</v>
      </c>
      <c r="T28" s="383"/>
      <c r="U28" s="383"/>
      <c r="V28" s="384"/>
      <c r="W28" s="382" t="s">
        <v>42</v>
      </c>
      <c r="X28" s="383"/>
      <c r="Y28" s="383"/>
      <c r="Z28" s="383"/>
      <c r="AA28" s="384"/>
      <c r="AB28" s="382" t="s">
        <v>43</v>
      </c>
      <c r="AC28" s="383"/>
      <c r="AD28" s="383"/>
      <c r="AE28" s="384"/>
      <c r="AF28" s="382" t="s">
        <v>38</v>
      </c>
      <c r="AG28" s="383"/>
      <c r="AH28" s="383"/>
      <c r="AI28" s="383"/>
      <c r="AJ28" s="384"/>
      <c r="AK28" s="382" t="s">
        <v>38</v>
      </c>
      <c r="AL28" s="383"/>
      <c r="AM28" s="383"/>
      <c r="AN28" s="384"/>
      <c r="AO28" s="382" t="s">
        <v>38</v>
      </c>
      <c r="AP28" s="383"/>
      <c r="AQ28" s="383"/>
      <c r="AR28" s="383"/>
      <c r="AS28" s="384"/>
      <c r="AT28" s="382" t="s">
        <v>43</v>
      </c>
      <c r="AU28" s="383"/>
      <c r="AV28" s="383"/>
      <c r="AW28" s="383"/>
      <c r="AX28" s="384"/>
      <c r="BB28" s="377" t="s">
        <v>59</v>
      </c>
      <c r="BC28" s="378"/>
      <c r="BD28" s="378"/>
      <c r="BE28" s="378"/>
      <c r="BF28" s="378"/>
      <c r="BG28" s="378"/>
      <c r="BH28" s="378"/>
      <c r="BI28" s="378"/>
      <c r="BJ28" s="378"/>
      <c r="BK28" s="379"/>
      <c r="BL28" s="382" t="s">
        <v>53</v>
      </c>
      <c r="BM28" s="383"/>
      <c r="BN28" s="383" t="s">
        <v>60</v>
      </c>
      <c r="BO28" s="383"/>
      <c r="BP28" s="383"/>
      <c r="BQ28" s="383"/>
      <c r="BR28" s="382" t="s">
        <v>40</v>
      </c>
      <c r="BS28" s="383"/>
      <c r="BT28" s="383"/>
      <c r="BU28" s="385"/>
      <c r="BV28" s="385"/>
      <c r="BW28" s="386"/>
      <c r="BX28" s="382" t="s">
        <v>53</v>
      </c>
      <c r="BY28" s="383"/>
      <c r="BZ28" s="383" t="s">
        <v>60</v>
      </c>
      <c r="CA28" s="383"/>
      <c r="CB28" s="383"/>
      <c r="CC28" s="384"/>
    </row>
    <row r="29" spans="2:81">
      <c r="B29" s="156"/>
      <c r="C29" s="157"/>
      <c r="D29" s="377" t="s">
        <v>61</v>
      </c>
      <c r="E29" s="378"/>
      <c r="F29" s="378"/>
      <c r="G29" s="378"/>
      <c r="H29" s="378"/>
      <c r="I29" s="378"/>
      <c r="J29" s="378"/>
      <c r="K29" s="378"/>
      <c r="L29" s="378"/>
      <c r="M29" s="379"/>
      <c r="N29" s="382" t="s">
        <v>42</v>
      </c>
      <c r="O29" s="383"/>
      <c r="P29" s="383"/>
      <c r="Q29" s="383"/>
      <c r="R29" s="383"/>
      <c r="S29" s="382" t="s">
        <v>42</v>
      </c>
      <c r="T29" s="383"/>
      <c r="U29" s="383"/>
      <c r="V29" s="384"/>
      <c r="W29" s="382" t="s">
        <v>38</v>
      </c>
      <c r="X29" s="383"/>
      <c r="Y29" s="383"/>
      <c r="Z29" s="383"/>
      <c r="AA29" s="384"/>
      <c r="AB29" s="382" t="s">
        <v>38</v>
      </c>
      <c r="AC29" s="383"/>
      <c r="AD29" s="383"/>
      <c r="AE29" s="384"/>
      <c r="AF29" s="382" t="s">
        <v>38</v>
      </c>
      <c r="AG29" s="383"/>
      <c r="AH29" s="383"/>
      <c r="AI29" s="383"/>
      <c r="AJ29" s="384"/>
      <c r="AK29" s="382" t="s">
        <v>38</v>
      </c>
      <c r="AL29" s="383"/>
      <c r="AM29" s="383"/>
      <c r="AN29" s="384"/>
      <c r="AO29" s="382" t="s">
        <v>38</v>
      </c>
      <c r="AP29" s="383"/>
      <c r="AQ29" s="383"/>
      <c r="AR29" s="383"/>
      <c r="AS29" s="384"/>
      <c r="AT29" s="382" t="s">
        <v>42</v>
      </c>
      <c r="AU29" s="383"/>
      <c r="AV29" s="383"/>
      <c r="AW29" s="383"/>
      <c r="AX29" s="384"/>
      <c r="BB29" s="377" t="s">
        <v>62</v>
      </c>
      <c r="BC29" s="378"/>
      <c r="BD29" s="378"/>
      <c r="BE29" s="378"/>
      <c r="BF29" s="378"/>
      <c r="BG29" s="378"/>
      <c r="BH29" s="378"/>
      <c r="BI29" s="378"/>
      <c r="BJ29" s="378"/>
      <c r="BK29" s="379"/>
      <c r="BL29" s="387"/>
      <c r="BM29" s="388"/>
      <c r="BN29" s="388"/>
      <c r="BO29" s="388"/>
      <c r="BP29" s="388"/>
      <c r="BQ29" s="388"/>
      <c r="BR29" s="382" t="s">
        <v>40</v>
      </c>
      <c r="BS29" s="383"/>
      <c r="BT29" s="383"/>
      <c r="BU29" s="385"/>
      <c r="BV29" s="385"/>
      <c r="BW29" s="386"/>
      <c r="BX29" s="387"/>
      <c r="BY29" s="388"/>
      <c r="BZ29" s="388"/>
      <c r="CA29" s="388"/>
      <c r="CB29" s="388"/>
      <c r="CC29" s="389"/>
    </row>
    <row r="30" spans="2:81">
      <c r="B30" s="156"/>
      <c r="C30" s="157"/>
      <c r="D30" s="377" t="s">
        <v>63</v>
      </c>
      <c r="E30" s="378"/>
      <c r="F30" s="378"/>
      <c r="G30" s="378"/>
      <c r="H30" s="378"/>
      <c r="I30" s="378"/>
      <c r="J30" s="378"/>
      <c r="K30" s="378"/>
      <c r="L30" s="378"/>
      <c r="M30" s="379"/>
      <c r="N30" s="382" t="s">
        <v>42</v>
      </c>
      <c r="O30" s="383"/>
      <c r="P30" s="383"/>
      <c r="Q30" s="383"/>
      <c r="R30" s="383"/>
      <c r="S30" s="382" t="s">
        <v>32</v>
      </c>
      <c r="T30" s="383"/>
      <c r="U30" s="383"/>
      <c r="V30" s="384"/>
      <c r="W30" s="382" t="s">
        <v>38</v>
      </c>
      <c r="X30" s="383"/>
      <c r="Y30" s="383"/>
      <c r="Z30" s="383"/>
      <c r="AA30" s="384"/>
      <c r="AB30" s="382" t="s">
        <v>38</v>
      </c>
      <c r="AC30" s="383"/>
      <c r="AD30" s="383"/>
      <c r="AE30" s="384"/>
      <c r="AF30" s="382" t="s">
        <v>38</v>
      </c>
      <c r="AG30" s="383"/>
      <c r="AH30" s="383"/>
      <c r="AI30" s="383"/>
      <c r="AJ30" s="384"/>
      <c r="AK30" s="382" t="s">
        <v>38</v>
      </c>
      <c r="AL30" s="383"/>
      <c r="AM30" s="383"/>
      <c r="AN30" s="384"/>
      <c r="AO30" s="382" t="s">
        <v>38</v>
      </c>
      <c r="AP30" s="383"/>
      <c r="AQ30" s="383"/>
      <c r="AR30" s="383"/>
      <c r="AS30" s="384"/>
      <c r="AT30" s="382" t="s">
        <v>32</v>
      </c>
      <c r="AU30" s="383"/>
      <c r="AV30" s="383"/>
      <c r="AW30" s="383"/>
      <c r="AX30" s="384"/>
      <c r="BB30" s="377" t="s">
        <v>64</v>
      </c>
      <c r="BC30" s="378"/>
      <c r="BD30" s="378"/>
      <c r="BE30" s="378"/>
      <c r="BF30" s="378"/>
      <c r="BG30" s="378"/>
      <c r="BH30" s="378"/>
      <c r="BI30" s="378"/>
      <c r="BJ30" s="378"/>
      <c r="BK30" s="379"/>
      <c r="BL30" s="382" t="s">
        <v>40</v>
      </c>
      <c r="BM30" s="383"/>
      <c r="BN30" s="383"/>
      <c r="BO30" s="383"/>
      <c r="BP30" s="383"/>
      <c r="BQ30" s="383"/>
      <c r="BR30" s="382" t="s">
        <v>35</v>
      </c>
      <c r="BS30" s="383"/>
      <c r="BT30" s="383"/>
      <c r="BU30" s="385"/>
      <c r="BV30" s="385"/>
      <c r="BW30" s="386"/>
      <c r="BX30" s="382" t="s">
        <v>40</v>
      </c>
      <c r="BY30" s="383"/>
      <c r="BZ30" s="383"/>
      <c r="CA30" s="383"/>
      <c r="CB30" s="383"/>
      <c r="CC30" s="384"/>
    </row>
    <row r="31" spans="2:81">
      <c r="B31" s="156"/>
      <c r="C31" s="157"/>
      <c r="D31" s="377" t="s">
        <v>65</v>
      </c>
      <c r="E31" s="378"/>
      <c r="F31" s="378"/>
      <c r="G31" s="378"/>
      <c r="H31" s="378"/>
      <c r="I31" s="378"/>
      <c r="J31" s="378"/>
      <c r="K31" s="378"/>
      <c r="L31" s="378"/>
      <c r="M31" s="379"/>
      <c r="N31" s="382" t="s">
        <v>42</v>
      </c>
      <c r="O31" s="383"/>
      <c r="P31" s="383"/>
      <c r="Q31" s="383"/>
      <c r="R31" s="383"/>
      <c r="S31" s="382" t="s">
        <v>42</v>
      </c>
      <c r="T31" s="383"/>
      <c r="U31" s="383"/>
      <c r="V31" s="384"/>
      <c r="W31" s="382" t="s">
        <v>42</v>
      </c>
      <c r="X31" s="383"/>
      <c r="Y31" s="383"/>
      <c r="Z31" s="383"/>
      <c r="AA31" s="384"/>
      <c r="AB31" s="382" t="s">
        <v>42</v>
      </c>
      <c r="AC31" s="383"/>
      <c r="AD31" s="383"/>
      <c r="AE31" s="384"/>
      <c r="AF31" s="382" t="s">
        <v>38</v>
      </c>
      <c r="AG31" s="383"/>
      <c r="AH31" s="383"/>
      <c r="AI31" s="383"/>
      <c r="AJ31" s="384"/>
      <c r="AK31" s="382" t="s">
        <v>38</v>
      </c>
      <c r="AL31" s="383"/>
      <c r="AM31" s="383"/>
      <c r="AN31" s="384"/>
      <c r="AO31" s="382" t="s">
        <v>38</v>
      </c>
      <c r="AP31" s="383"/>
      <c r="AQ31" s="383"/>
      <c r="AR31" s="383"/>
      <c r="AS31" s="384"/>
      <c r="AT31" s="382" t="s">
        <v>42</v>
      </c>
      <c r="AU31" s="383"/>
      <c r="AV31" s="383"/>
      <c r="AW31" s="383"/>
      <c r="AX31" s="384"/>
      <c r="BB31" s="377" t="s">
        <v>66</v>
      </c>
      <c r="BC31" s="378"/>
      <c r="BD31" s="378"/>
      <c r="BE31" s="378"/>
      <c r="BF31" s="378"/>
      <c r="BG31" s="378"/>
      <c r="BH31" s="378"/>
      <c r="BI31" s="378"/>
      <c r="BJ31" s="378"/>
      <c r="BK31" s="379"/>
      <c r="BL31" s="382" t="s">
        <v>40</v>
      </c>
      <c r="BM31" s="383"/>
      <c r="BN31" s="383"/>
      <c r="BO31" s="383"/>
      <c r="BP31" s="383"/>
      <c r="BQ31" s="383"/>
      <c r="BR31" s="382" t="s">
        <v>35</v>
      </c>
      <c r="BS31" s="383"/>
      <c r="BT31" s="383"/>
      <c r="BU31" s="385"/>
      <c r="BV31" s="385"/>
      <c r="BW31" s="386"/>
      <c r="BX31" s="382" t="s">
        <v>40</v>
      </c>
      <c r="BY31" s="383"/>
      <c r="BZ31" s="383"/>
      <c r="CA31" s="383"/>
      <c r="CB31" s="383"/>
      <c r="CC31" s="384"/>
    </row>
    <row r="32" spans="2:81">
      <c r="B32" s="156"/>
      <c r="C32" s="157"/>
      <c r="D32" s="377" t="s">
        <v>67</v>
      </c>
      <c r="E32" s="378"/>
      <c r="F32" s="378"/>
      <c r="G32" s="378"/>
      <c r="H32" s="378"/>
      <c r="I32" s="378"/>
      <c r="J32" s="378"/>
      <c r="K32" s="378"/>
      <c r="L32" s="378"/>
      <c r="M32" s="379"/>
      <c r="N32" s="382" t="s">
        <v>42</v>
      </c>
      <c r="O32" s="383"/>
      <c r="P32" s="383"/>
      <c r="Q32" s="383"/>
      <c r="R32" s="383"/>
      <c r="S32" s="382" t="s">
        <v>42</v>
      </c>
      <c r="T32" s="383"/>
      <c r="U32" s="383"/>
      <c r="V32" s="384"/>
      <c r="W32" s="382" t="s">
        <v>42</v>
      </c>
      <c r="X32" s="383"/>
      <c r="Y32" s="383"/>
      <c r="Z32" s="383"/>
      <c r="AA32" s="384"/>
      <c r="AB32" s="382" t="s">
        <v>42</v>
      </c>
      <c r="AC32" s="383"/>
      <c r="AD32" s="383"/>
      <c r="AE32" s="384"/>
      <c r="AF32" s="382" t="s">
        <v>42</v>
      </c>
      <c r="AG32" s="383"/>
      <c r="AH32" s="383"/>
      <c r="AI32" s="383"/>
      <c r="AJ32" s="384"/>
      <c r="AK32" s="382" t="s">
        <v>42</v>
      </c>
      <c r="AL32" s="383"/>
      <c r="AM32" s="383"/>
      <c r="AN32" s="384"/>
      <c r="AO32" s="382" t="s">
        <v>42</v>
      </c>
      <c r="AP32" s="383"/>
      <c r="AQ32" s="383"/>
      <c r="AR32" s="383"/>
      <c r="AS32" s="384"/>
      <c r="AT32" s="382" t="s">
        <v>42</v>
      </c>
      <c r="AU32" s="383"/>
      <c r="AV32" s="383"/>
      <c r="AW32" s="383"/>
      <c r="AX32" s="384"/>
      <c r="BB32" s="377" t="s">
        <v>68</v>
      </c>
      <c r="BC32" s="378"/>
      <c r="BD32" s="378"/>
      <c r="BE32" s="378"/>
      <c r="BF32" s="378"/>
      <c r="BG32" s="378"/>
      <c r="BH32" s="378"/>
      <c r="BI32" s="378"/>
      <c r="BJ32" s="378"/>
      <c r="BK32" s="379"/>
      <c r="BL32" s="382" t="s">
        <v>42</v>
      </c>
      <c r="BM32" s="383"/>
      <c r="BN32" s="383"/>
      <c r="BO32" s="383"/>
      <c r="BP32" s="383"/>
      <c r="BQ32" s="383"/>
      <c r="BR32" s="382" t="s">
        <v>42</v>
      </c>
      <c r="BS32" s="383"/>
      <c r="BT32" s="383"/>
      <c r="BU32" s="385"/>
      <c r="BV32" s="385"/>
      <c r="BW32" s="386"/>
      <c r="BX32" s="382" t="s">
        <v>42</v>
      </c>
      <c r="BY32" s="383"/>
      <c r="BZ32" s="383"/>
      <c r="CA32" s="383"/>
      <c r="CB32" s="383"/>
      <c r="CC32" s="384"/>
    </row>
    <row r="33" spans="2:81">
      <c r="B33" s="157"/>
      <c r="C33" s="157"/>
      <c r="D33" s="377" t="s">
        <v>69</v>
      </c>
      <c r="E33" s="378"/>
      <c r="F33" s="378"/>
      <c r="G33" s="378"/>
      <c r="H33" s="378"/>
      <c r="I33" s="378"/>
      <c r="J33" s="378"/>
      <c r="K33" s="378"/>
      <c r="L33" s="378"/>
      <c r="M33" s="379"/>
      <c r="N33" s="387" t="s">
        <v>70</v>
      </c>
      <c r="O33" s="388"/>
      <c r="P33" s="388"/>
      <c r="Q33" s="388"/>
      <c r="R33" s="388"/>
      <c r="S33" s="387" t="s">
        <v>70</v>
      </c>
      <c r="T33" s="388"/>
      <c r="U33" s="388"/>
      <c r="V33" s="389"/>
      <c r="W33" s="387" t="s">
        <v>70</v>
      </c>
      <c r="X33" s="388"/>
      <c r="Y33" s="388"/>
      <c r="Z33" s="388"/>
      <c r="AA33" s="389"/>
      <c r="AB33" s="387" t="s">
        <v>70</v>
      </c>
      <c r="AC33" s="388"/>
      <c r="AD33" s="388"/>
      <c r="AE33" s="389"/>
      <c r="AF33" s="387" t="s">
        <v>70</v>
      </c>
      <c r="AG33" s="388"/>
      <c r="AH33" s="388"/>
      <c r="AI33" s="388"/>
      <c r="AJ33" s="389"/>
      <c r="AK33" s="387" t="s">
        <v>70</v>
      </c>
      <c r="AL33" s="388"/>
      <c r="AM33" s="388"/>
      <c r="AN33" s="389"/>
      <c r="AO33" s="387" t="s">
        <v>70</v>
      </c>
      <c r="AP33" s="388"/>
      <c r="AQ33" s="388"/>
      <c r="AR33" s="388"/>
      <c r="AS33" s="389"/>
      <c r="AT33" s="387" t="s">
        <v>71</v>
      </c>
      <c r="AU33" s="388"/>
      <c r="AV33" s="388"/>
      <c r="AW33" s="388"/>
      <c r="AX33" s="389"/>
      <c r="BB33" s="377" t="s">
        <v>72</v>
      </c>
      <c r="BC33" s="378"/>
      <c r="BD33" s="378"/>
      <c r="BE33" s="378"/>
      <c r="BF33" s="378"/>
      <c r="BG33" s="378"/>
      <c r="BH33" s="378"/>
      <c r="BI33" s="378"/>
      <c r="BJ33" s="378"/>
      <c r="BK33" s="379"/>
      <c r="BL33" s="387"/>
      <c r="BM33" s="388"/>
      <c r="BN33" s="388"/>
      <c r="BO33" s="388"/>
      <c r="BP33" s="388"/>
      <c r="BQ33" s="388"/>
      <c r="BR33" s="387"/>
      <c r="BS33" s="388"/>
      <c r="BT33" s="388"/>
      <c r="BU33" s="390"/>
      <c r="BV33" s="390"/>
      <c r="BW33" s="391"/>
      <c r="BX33" s="387"/>
      <c r="BY33" s="388"/>
      <c r="BZ33" s="388"/>
      <c r="CA33" s="388"/>
      <c r="CB33" s="388"/>
      <c r="CC33" s="389"/>
    </row>
    <row r="35" spans="2:81">
      <c r="D35" s="157" t="s">
        <v>33</v>
      </c>
      <c r="G35" s="155" t="s">
        <v>73</v>
      </c>
      <c r="BB35" s="157" t="s">
        <v>54</v>
      </c>
      <c r="BE35" s="155" t="s">
        <v>74</v>
      </c>
    </row>
    <row r="36" spans="2:81">
      <c r="D36" s="157" t="s">
        <v>37</v>
      </c>
      <c r="G36" s="155" t="s">
        <v>75</v>
      </c>
      <c r="BB36" s="157" t="s">
        <v>57</v>
      </c>
      <c r="BE36" s="155" t="s">
        <v>76</v>
      </c>
    </row>
    <row r="37" spans="2:81">
      <c r="BB37" s="157" t="s">
        <v>60</v>
      </c>
      <c r="BE37" s="155" t="s">
        <v>77</v>
      </c>
    </row>
    <row r="39" spans="2:81" ht="17.45" customHeight="1"/>
  </sheetData>
  <phoneticPr fontId="8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zoomScaleNormal="100" zoomScaleSheetLayoutView="100" workbookViewId="0">
      <selection activeCell="AB44" sqref="AB44"/>
    </sheetView>
  </sheetViews>
  <sheetFormatPr defaultRowHeight="12"/>
  <cols>
    <col min="1" max="48" width="2.5" style="57" customWidth="1"/>
    <col min="49" max="49" width="9.625" style="57" hidden="1" customWidth="1"/>
    <col min="50" max="50" width="8.75" style="57" hidden="1" customWidth="1"/>
    <col min="51" max="86" width="2.5" style="57" customWidth="1"/>
    <col min="87" max="256" width="9" style="57"/>
    <col min="257" max="305" width="2.5" style="57" customWidth="1"/>
    <col min="306" max="306" width="0" style="57" hidden="1" customWidth="1"/>
    <col min="307" max="512" width="9" style="57"/>
    <col min="513" max="561" width="2.5" style="57" customWidth="1"/>
    <col min="562" max="562" width="0" style="57" hidden="1" customWidth="1"/>
    <col min="563" max="768" width="9" style="57"/>
    <col min="769" max="817" width="2.5" style="57" customWidth="1"/>
    <col min="818" max="818" width="0" style="57" hidden="1" customWidth="1"/>
    <col min="819" max="1024" width="9" style="57"/>
    <col min="1025" max="1073" width="2.5" style="57" customWidth="1"/>
    <col min="1074" max="1074" width="0" style="57" hidden="1" customWidth="1"/>
    <col min="1075" max="1280" width="9" style="57"/>
    <col min="1281" max="1329" width="2.5" style="57" customWidth="1"/>
    <col min="1330" max="1330" width="0" style="57" hidden="1" customWidth="1"/>
    <col min="1331" max="1536" width="9" style="57"/>
    <col min="1537" max="1585" width="2.5" style="57" customWidth="1"/>
    <col min="1586" max="1586" width="0" style="57" hidden="1" customWidth="1"/>
    <col min="1587" max="1792" width="9" style="57"/>
    <col min="1793" max="1841" width="2.5" style="57" customWidth="1"/>
    <col min="1842" max="1842" width="0" style="57" hidden="1" customWidth="1"/>
    <col min="1843" max="2048" width="9" style="57"/>
    <col min="2049" max="2097" width="2.5" style="57" customWidth="1"/>
    <col min="2098" max="2098" width="0" style="57" hidden="1" customWidth="1"/>
    <col min="2099" max="2304" width="9" style="57"/>
    <col min="2305" max="2353" width="2.5" style="57" customWidth="1"/>
    <col min="2354" max="2354" width="0" style="57" hidden="1" customWidth="1"/>
    <col min="2355" max="2560" width="9" style="57"/>
    <col min="2561" max="2609" width="2.5" style="57" customWidth="1"/>
    <col min="2610" max="2610" width="0" style="57" hidden="1" customWidth="1"/>
    <col min="2611" max="2816" width="9" style="57"/>
    <col min="2817" max="2865" width="2.5" style="57" customWidth="1"/>
    <col min="2866" max="2866" width="0" style="57" hidden="1" customWidth="1"/>
    <col min="2867" max="3072" width="9" style="57"/>
    <col min="3073" max="3121" width="2.5" style="57" customWidth="1"/>
    <col min="3122" max="3122" width="0" style="57" hidden="1" customWidth="1"/>
    <col min="3123" max="3328" width="9" style="57"/>
    <col min="3329" max="3377" width="2.5" style="57" customWidth="1"/>
    <col min="3378" max="3378" width="0" style="57" hidden="1" customWidth="1"/>
    <col min="3379" max="3584" width="9" style="57"/>
    <col min="3585" max="3633" width="2.5" style="57" customWidth="1"/>
    <col min="3634" max="3634" width="0" style="57" hidden="1" customWidth="1"/>
    <col min="3635" max="3840" width="9" style="57"/>
    <col min="3841" max="3889" width="2.5" style="57" customWidth="1"/>
    <col min="3890" max="3890" width="0" style="57" hidden="1" customWidth="1"/>
    <col min="3891" max="4096" width="9" style="57"/>
    <col min="4097" max="4145" width="2.5" style="57" customWidth="1"/>
    <col min="4146" max="4146" width="0" style="57" hidden="1" customWidth="1"/>
    <col min="4147" max="4352" width="9" style="57"/>
    <col min="4353" max="4401" width="2.5" style="57" customWidth="1"/>
    <col min="4402" max="4402" width="0" style="57" hidden="1" customWidth="1"/>
    <col min="4403" max="4608" width="9" style="57"/>
    <col min="4609" max="4657" width="2.5" style="57" customWidth="1"/>
    <col min="4658" max="4658" width="0" style="57" hidden="1" customWidth="1"/>
    <col min="4659" max="4864" width="9" style="57"/>
    <col min="4865" max="4913" width="2.5" style="57" customWidth="1"/>
    <col min="4914" max="4914" width="0" style="57" hidden="1" customWidth="1"/>
    <col min="4915" max="5120" width="9" style="57"/>
    <col min="5121" max="5169" width="2.5" style="57" customWidth="1"/>
    <col min="5170" max="5170" width="0" style="57" hidden="1" customWidth="1"/>
    <col min="5171" max="5376" width="9" style="57"/>
    <col min="5377" max="5425" width="2.5" style="57" customWidth="1"/>
    <col min="5426" max="5426" width="0" style="57" hidden="1" customWidth="1"/>
    <col min="5427" max="5632" width="9" style="57"/>
    <col min="5633" max="5681" width="2.5" style="57" customWidth="1"/>
    <col min="5682" max="5682" width="0" style="57" hidden="1" customWidth="1"/>
    <col min="5683" max="5888" width="9" style="57"/>
    <col min="5889" max="5937" width="2.5" style="57" customWidth="1"/>
    <col min="5938" max="5938" width="0" style="57" hidden="1" customWidth="1"/>
    <col min="5939" max="6144" width="9" style="57"/>
    <col min="6145" max="6193" width="2.5" style="57" customWidth="1"/>
    <col min="6194" max="6194" width="0" style="57" hidden="1" customWidth="1"/>
    <col min="6195" max="6400" width="9" style="57"/>
    <col min="6401" max="6449" width="2.5" style="57" customWidth="1"/>
    <col min="6450" max="6450" width="0" style="57" hidden="1" customWidth="1"/>
    <col min="6451" max="6656" width="9" style="57"/>
    <col min="6657" max="6705" width="2.5" style="57" customWidth="1"/>
    <col min="6706" max="6706" width="0" style="57" hidden="1" customWidth="1"/>
    <col min="6707" max="6912" width="9" style="57"/>
    <col min="6913" max="6961" width="2.5" style="57" customWidth="1"/>
    <col min="6962" max="6962" width="0" style="57" hidden="1" customWidth="1"/>
    <col min="6963" max="7168" width="9" style="57"/>
    <col min="7169" max="7217" width="2.5" style="57" customWidth="1"/>
    <col min="7218" max="7218" width="0" style="57" hidden="1" customWidth="1"/>
    <col min="7219" max="7424" width="9" style="57"/>
    <col min="7425" max="7473" width="2.5" style="57" customWidth="1"/>
    <col min="7474" max="7474" width="0" style="57" hidden="1" customWidth="1"/>
    <col min="7475" max="7680" width="9" style="57"/>
    <col min="7681" max="7729" width="2.5" style="57" customWidth="1"/>
    <col min="7730" max="7730" width="0" style="57" hidden="1" customWidth="1"/>
    <col min="7731" max="7936" width="9" style="57"/>
    <col min="7937" max="7985" width="2.5" style="57" customWidth="1"/>
    <col min="7986" max="7986" width="0" style="57" hidden="1" customWidth="1"/>
    <col min="7987" max="8192" width="9" style="57"/>
    <col min="8193" max="8241" width="2.5" style="57" customWidth="1"/>
    <col min="8242" max="8242" width="0" style="57" hidden="1" customWidth="1"/>
    <col min="8243" max="8448" width="9" style="57"/>
    <col min="8449" max="8497" width="2.5" style="57" customWidth="1"/>
    <col min="8498" max="8498" width="0" style="57" hidden="1" customWidth="1"/>
    <col min="8499" max="8704" width="9" style="57"/>
    <col min="8705" max="8753" width="2.5" style="57" customWidth="1"/>
    <col min="8754" max="8754" width="0" style="57" hidden="1" customWidth="1"/>
    <col min="8755" max="8960" width="9" style="57"/>
    <col min="8961" max="9009" width="2.5" style="57" customWidth="1"/>
    <col min="9010" max="9010" width="0" style="57" hidden="1" customWidth="1"/>
    <col min="9011" max="9216" width="9" style="57"/>
    <col min="9217" max="9265" width="2.5" style="57" customWidth="1"/>
    <col min="9266" max="9266" width="0" style="57" hidden="1" customWidth="1"/>
    <col min="9267" max="9472" width="9" style="57"/>
    <col min="9473" max="9521" width="2.5" style="57" customWidth="1"/>
    <col min="9522" max="9522" width="0" style="57" hidden="1" customWidth="1"/>
    <col min="9523" max="9728" width="9" style="57"/>
    <col min="9729" max="9777" width="2.5" style="57" customWidth="1"/>
    <col min="9778" max="9778" width="0" style="57" hidden="1" customWidth="1"/>
    <col min="9779" max="9984" width="9" style="57"/>
    <col min="9985" max="10033" width="2.5" style="57" customWidth="1"/>
    <col min="10034" max="10034" width="0" style="57" hidden="1" customWidth="1"/>
    <col min="10035" max="10240" width="9" style="57"/>
    <col min="10241" max="10289" width="2.5" style="57" customWidth="1"/>
    <col min="10290" max="10290" width="0" style="57" hidden="1" customWidth="1"/>
    <col min="10291" max="10496" width="9" style="57"/>
    <col min="10497" max="10545" width="2.5" style="57" customWidth="1"/>
    <col min="10546" max="10546" width="0" style="57" hidden="1" customWidth="1"/>
    <col min="10547" max="10752" width="9" style="57"/>
    <col min="10753" max="10801" width="2.5" style="57" customWidth="1"/>
    <col min="10802" max="10802" width="0" style="57" hidden="1" customWidth="1"/>
    <col min="10803" max="11008" width="9" style="57"/>
    <col min="11009" max="11057" width="2.5" style="57" customWidth="1"/>
    <col min="11058" max="11058" width="0" style="57" hidden="1" customWidth="1"/>
    <col min="11059" max="11264" width="9" style="57"/>
    <col min="11265" max="11313" width="2.5" style="57" customWidth="1"/>
    <col min="11314" max="11314" width="0" style="57" hidden="1" customWidth="1"/>
    <col min="11315" max="11520" width="9" style="57"/>
    <col min="11521" max="11569" width="2.5" style="57" customWidth="1"/>
    <col min="11570" max="11570" width="0" style="57" hidden="1" customWidth="1"/>
    <col min="11571" max="11776" width="9" style="57"/>
    <col min="11777" max="11825" width="2.5" style="57" customWidth="1"/>
    <col min="11826" max="11826" width="0" style="57" hidden="1" customWidth="1"/>
    <col min="11827" max="12032" width="9" style="57"/>
    <col min="12033" max="12081" width="2.5" style="57" customWidth="1"/>
    <col min="12082" max="12082" width="0" style="57" hidden="1" customWidth="1"/>
    <col min="12083" max="12288" width="9" style="57"/>
    <col min="12289" max="12337" width="2.5" style="57" customWidth="1"/>
    <col min="12338" max="12338" width="0" style="57" hidden="1" customWidth="1"/>
    <col min="12339" max="12544" width="9" style="57"/>
    <col min="12545" max="12593" width="2.5" style="57" customWidth="1"/>
    <col min="12594" max="12594" width="0" style="57" hidden="1" customWidth="1"/>
    <col min="12595" max="12800" width="9" style="57"/>
    <col min="12801" max="12849" width="2.5" style="57" customWidth="1"/>
    <col min="12850" max="12850" width="0" style="57" hidden="1" customWidth="1"/>
    <col min="12851" max="13056" width="9" style="57"/>
    <col min="13057" max="13105" width="2.5" style="57" customWidth="1"/>
    <col min="13106" max="13106" width="0" style="57" hidden="1" customWidth="1"/>
    <col min="13107" max="13312" width="9" style="57"/>
    <col min="13313" max="13361" width="2.5" style="57" customWidth="1"/>
    <col min="13362" max="13362" width="0" style="57" hidden="1" customWidth="1"/>
    <col min="13363" max="13568" width="9" style="57"/>
    <col min="13569" max="13617" width="2.5" style="57" customWidth="1"/>
    <col min="13618" max="13618" width="0" style="57" hidden="1" customWidth="1"/>
    <col min="13619" max="13824" width="9" style="57"/>
    <col min="13825" max="13873" width="2.5" style="57" customWidth="1"/>
    <col min="13874" max="13874" width="0" style="57" hidden="1" customWidth="1"/>
    <col min="13875" max="14080" width="9" style="57"/>
    <col min="14081" max="14129" width="2.5" style="57" customWidth="1"/>
    <col min="14130" max="14130" width="0" style="57" hidden="1" customWidth="1"/>
    <col min="14131" max="14336" width="9" style="57"/>
    <col min="14337" max="14385" width="2.5" style="57" customWidth="1"/>
    <col min="14386" max="14386" width="0" style="57" hidden="1" customWidth="1"/>
    <col min="14387" max="14592" width="9" style="57"/>
    <col min="14593" max="14641" width="2.5" style="57" customWidth="1"/>
    <col min="14642" max="14642" width="0" style="57" hidden="1" customWidth="1"/>
    <col min="14643" max="14848" width="9" style="57"/>
    <col min="14849" max="14897" width="2.5" style="57" customWidth="1"/>
    <col min="14898" max="14898" width="0" style="57" hidden="1" customWidth="1"/>
    <col min="14899" max="15104" width="9" style="57"/>
    <col min="15105" max="15153" width="2.5" style="57" customWidth="1"/>
    <col min="15154" max="15154" width="0" style="57" hidden="1" customWidth="1"/>
    <col min="15155" max="15360" width="9" style="57"/>
    <col min="15361" max="15409" width="2.5" style="57" customWidth="1"/>
    <col min="15410" max="15410" width="0" style="57" hidden="1" customWidth="1"/>
    <col min="15411" max="15616" width="9" style="57"/>
    <col min="15617" max="15665" width="2.5" style="57" customWidth="1"/>
    <col min="15666" max="15666" width="0" style="57" hidden="1" customWidth="1"/>
    <col min="15667" max="15872" width="9" style="57"/>
    <col min="15873" max="15921" width="2.5" style="57" customWidth="1"/>
    <col min="15922" max="15922" width="0" style="57" hidden="1" customWidth="1"/>
    <col min="15923" max="16128" width="9" style="57"/>
    <col min="16129" max="16177" width="2.5" style="57" customWidth="1"/>
    <col min="16178" max="16178" width="0" style="57" hidden="1" customWidth="1"/>
    <col min="16179" max="16384" width="9" style="57"/>
  </cols>
  <sheetData>
    <row r="2" spans="2:49">
      <c r="AW2" s="58" t="s">
        <v>78</v>
      </c>
    </row>
    <row r="3" spans="2:49" ht="11.25" customHeight="1">
      <c r="AC3" s="630"/>
      <c r="AD3" s="631"/>
      <c r="AE3" s="631"/>
      <c r="AF3" s="631"/>
      <c r="AG3" s="631"/>
      <c r="AH3" s="631"/>
      <c r="AI3" s="630"/>
      <c r="AJ3" s="630"/>
      <c r="AK3" s="630"/>
      <c r="AL3" s="630"/>
      <c r="AM3" s="630"/>
      <c r="AN3" s="536"/>
      <c r="AO3" s="536"/>
      <c r="AP3" s="536"/>
      <c r="AQ3" s="536"/>
      <c r="AR3" s="536"/>
      <c r="AS3" s="536"/>
      <c r="AT3" s="536"/>
      <c r="AU3" s="59"/>
      <c r="AW3" s="60" t="s">
        <v>79</v>
      </c>
    </row>
    <row r="4" spans="2:49" ht="11.1" customHeight="1">
      <c r="B4" s="61"/>
      <c r="C4" s="62"/>
      <c r="D4" s="62"/>
      <c r="E4" s="62"/>
      <c r="F4" s="62"/>
      <c r="G4" s="62"/>
      <c r="H4" s="62"/>
      <c r="I4" s="62"/>
      <c r="J4" s="62"/>
      <c r="AC4" s="631"/>
      <c r="AD4" s="631"/>
      <c r="AE4" s="631"/>
      <c r="AF4" s="631"/>
      <c r="AG4" s="631"/>
      <c r="AH4" s="631"/>
      <c r="AI4" s="630"/>
      <c r="AJ4" s="630"/>
      <c r="AK4" s="630"/>
      <c r="AL4" s="630"/>
      <c r="AM4" s="630"/>
      <c r="AN4" s="536"/>
      <c r="AO4" s="536"/>
      <c r="AP4" s="536"/>
      <c r="AQ4" s="536"/>
      <c r="AR4" s="536"/>
      <c r="AS4" s="536"/>
      <c r="AT4" s="536"/>
      <c r="AU4" s="59"/>
      <c r="AW4" s="60" t="s">
        <v>80</v>
      </c>
    </row>
    <row r="5" spans="2:49" ht="11.25" customHeight="1">
      <c r="AC5" s="631"/>
      <c r="AD5" s="631"/>
      <c r="AE5" s="631"/>
      <c r="AF5" s="631"/>
      <c r="AG5" s="631"/>
      <c r="AH5" s="631"/>
      <c r="AI5" s="632"/>
      <c r="AJ5" s="632"/>
      <c r="AK5" s="632"/>
      <c r="AL5" s="632"/>
      <c r="AM5" s="632"/>
      <c r="AN5" s="633"/>
      <c r="AO5" s="633"/>
      <c r="AP5" s="633"/>
      <c r="AQ5" s="633"/>
      <c r="AR5" s="633"/>
      <c r="AS5" s="633"/>
      <c r="AT5" s="633"/>
      <c r="AU5" s="63"/>
      <c r="AW5" s="60" t="s">
        <v>81</v>
      </c>
    </row>
    <row r="6" spans="2:49" ht="12.75" customHeight="1">
      <c r="B6" s="64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W6" s="60" t="s">
        <v>82</v>
      </c>
    </row>
    <row r="7" spans="2:49" ht="11.25" customHeight="1">
      <c r="M7" s="616" t="s">
        <v>83</v>
      </c>
      <c r="N7" s="617"/>
      <c r="O7" s="617"/>
      <c r="P7" s="617"/>
      <c r="Q7" s="617"/>
      <c r="R7" s="617"/>
      <c r="S7" s="617"/>
      <c r="T7" s="617"/>
      <c r="U7" s="617"/>
      <c r="V7" s="617"/>
      <c r="W7" s="617"/>
      <c r="X7" s="617"/>
      <c r="Y7" s="617"/>
      <c r="Z7" s="617"/>
      <c r="AA7" s="617"/>
      <c r="AB7" s="617"/>
      <c r="AC7" s="617"/>
      <c r="AD7" s="617"/>
      <c r="AE7" s="617"/>
      <c r="AF7" s="617"/>
      <c r="AG7" s="617"/>
      <c r="AH7" s="617"/>
      <c r="AI7" s="617"/>
      <c r="AJ7" s="618"/>
      <c r="AW7" s="60" t="s">
        <v>84</v>
      </c>
    </row>
    <row r="8" spans="2:49" ht="11.25" customHeight="1">
      <c r="M8" s="616"/>
      <c r="N8" s="617"/>
      <c r="O8" s="617"/>
      <c r="P8" s="617"/>
      <c r="Q8" s="617"/>
      <c r="R8" s="617"/>
      <c r="S8" s="617"/>
      <c r="T8" s="617"/>
      <c r="U8" s="617"/>
      <c r="V8" s="617"/>
      <c r="W8" s="617"/>
      <c r="X8" s="617"/>
      <c r="Y8" s="617"/>
      <c r="Z8" s="617"/>
      <c r="AA8" s="617"/>
      <c r="AB8" s="617"/>
      <c r="AC8" s="617"/>
      <c r="AD8" s="617"/>
      <c r="AE8" s="617"/>
      <c r="AF8" s="617"/>
      <c r="AG8" s="617"/>
      <c r="AH8" s="617"/>
      <c r="AI8" s="617"/>
      <c r="AJ8" s="618"/>
      <c r="AW8" s="60" t="s">
        <v>85</v>
      </c>
    </row>
    <row r="9" spans="2:49" ht="11.25" customHeight="1">
      <c r="M9" s="616"/>
      <c r="N9" s="617"/>
      <c r="O9" s="617"/>
      <c r="P9" s="617"/>
      <c r="Q9" s="617"/>
      <c r="R9" s="617"/>
      <c r="S9" s="617"/>
      <c r="T9" s="617"/>
      <c r="U9" s="617"/>
      <c r="V9" s="617"/>
      <c r="W9" s="617"/>
      <c r="X9" s="617"/>
      <c r="Y9" s="617"/>
      <c r="Z9" s="617"/>
      <c r="AA9" s="617"/>
      <c r="AB9" s="617"/>
      <c r="AC9" s="617"/>
      <c r="AD9" s="617"/>
      <c r="AE9" s="617"/>
      <c r="AF9" s="617"/>
      <c r="AG9" s="617"/>
      <c r="AH9" s="617"/>
      <c r="AI9" s="617"/>
      <c r="AJ9" s="618"/>
      <c r="AW9" s="60" t="s">
        <v>86</v>
      </c>
    </row>
    <row r="10" spans="2:49" ht="11.25" customHeight="1">
      <c r="M10" s="619" t="s">
        <v>87</v>
      </c>
      <c r="N10" s="620"/>
      <c r="O10" s="620"/>
      <c r="P10" s="620"/>
      <c r="Q10" s="620"/>
      <c r="R10" s="620"/>
      <c r="S10" s="620"/>
      <c r="T10" s="620"/>
      <c r="U10" s="620"/>
      <c r="V10" s="620"/>
      <c r="W10" s="620"/>
      <c r="X10" s="620"/>
      <c r="Y10" s="620"/>
      <c r="Z10" s="620"/>
      <c r="AA10" s="620"/>
      <c r="AB10" s="620"/>
      <c r="AC10" s="620"/>
      <c r="AD10" s="620"/>
      <c r="AE10" s="620"/>
      <c r="AF10" s="620"/>
      <c r="AG10" s="620"/>
      <c r="AH10" s="620"/>
      <c r="AI10" s="620"/>
      <c r="AJ10" s="621"/>
      <c r="AW10" s="60" t="s">
        <v>88</v>
      </c>
    </row>
    <row r="11" spans="2:49" ht="11.25" customHeight="1">
      <c r="M11" s="619"/>
      <c r="N11" s="620"/>
      <c r="O11" s="620"/>
      <c r="P11" s="620"/>
      <c r="Q11" s="620"/>
      <c r="R11" s="620"/>
      <c r="S11" s="620"/>
      <c r="T11" s="620"/>
      <c r="U11" s="620"/>
      <c r="V11" s="620"/>
      <c r="W11" s="620"/>
      <c r="X11" s="620"/>
      <c r="Y11" s="620"/>
      <c r="Z11" s="620"/>
      <c r="AA11" s="620"/>
      <c r="AB11" s="620"/>
      <c r="AC11" s="620"/>
      <c r="AD11" s="620"/>
      <c r="AE11" s="620"/>
      <c r="AF11" s="620"/>
      <c r="AG11" s="620"/>
      <c r="AH11" s="620"/>
      <c r="AI11" s="620"/>
      <c r="AJ11" s="621"/>
      <c r="AW11" s="60" t="s">
        <v>89</v>
      </c>
    </row>
    <row r="12" spans="2:49" ht="11.25" customHeight="1">
      <c r="M12" s="622"/>
      <c r="N12" s="623"/>
      <c r="O12" s="623"/>
      <c r="P12" s="623"/>
      <c r="Q12" s="623"/>
      <c r="R12" s="623"/>
      <c r="S12" s="623"/>
      <c r="T12" s="623"/>
      <c r="U12" s="623"/>
      <c r="V12" s="623"/>
      <c r="W12" s="623"/>
      <c r="X12" s="623"/>
      <c r="Y12" s="623"/>
      <c r="Z12" s="623"/>
      <c r="AA12" s="623"/>
      <c r="AB12" s="623"/>
      <c r="AC12" s="623"/>
      <c r="AD12" s="623"/>
      <c r="AE12" s="623"/>
      <c r="AF12" s="623"/>
      <c r="AG12" s="623"/>
      <c r="AH12" s="623"/>
      <c r="AI12" s="623"/>
      <c r="AJ12" s="624"/>
      <c r="AW12" s="60" t="s">
        <v>90</v>
      </c>
    </row>
    <row r="13" spans="2:49">
      <c r="AW13" s="60" t="s">
        <v>91</v>
      </c>
    </row>
    <row r="14" spans="2:49">
      <c r="AW14" s="60" t="s">
        <v>92</v>
      </c>
    </row>
    <row r="15" spans="2:49">
      <c r="AW15" s="60" t="s">
        <v>93</v>
      </c>
    </row>
    <row r="16" spans="2:49">
      <c r="M16" s="567" t="s">
        <v>94</v>
      </c>
      <c r="N16" s="568"/>
      <c r="O16" s="568"/>
      <c r="P16" s="568"/>
      <c r="Q16" s="568"/>
      <c r="R16" s="568"/>
      <c r="S16" s="568"/>
      <c r="T16" s="569"/>
      <c r="U16" s="599" t="s">
        <v>95</v>
      </c>
      <c r="V16" s="625"/>
      <c r="W16" s="625"/>
      <c r="X16" s="625"/>
      <c r="Y16" s="625"/>
      <c r="Z16" s="625"/>
      <c r="AA16" s="625"/>
      <c r="AB16" s="625"/>
      <c r="AC16" s="625"/>
      <c r="AD16" s="625"/>
      <c r="AE16" s="625"/>
      <c r="AF16" s="625"/>
      <c r="AG16" s="625"/>
      <c r="AH16" s="625"/>
      <c r="AI16" s="625"/>
      <c r="AJ16" s="626"/>
      <c r="AW16" s="60" t="s">
        <v>96</v>
      </c>
    </row>
    <row r="17" spans="13:52">
      <c r="M17" s="570"/>
      <c r="N17" s="571"/>
      <c r="O17" s="571"/>
      <c r="P17" s="571"/>
      <c r="Q17" s="571"/>
      <c r="R17" s="571"/>
      <c r="S17" s="571"/>
      <c r="T17" s="572"/>
      <c r="U17" s="627"/>
      <c r="V17" s="628"/>
      <c r="W17" s="628"/>
      <c r="X17" s="628"/>
      <c r="Y17" s="628"/>
      <c r="Z17" s="628"/>
      <c r="AA17" s="628"/>
      <c r="AB17" s="628"/>
      <c r="AC17" s="628"/>
      <c r="AD17" s="628"/>
      <c r="AE17" s="628"/>
      <c r="AF17" s="628"/>
      <c r="AG17" s="628"/>
      <c r="AH17" s="628"/>
      <c r="AI17" s="628"/>
      <c r="AJ17" s="629"/>
      <c r="AL17" s="66"/>
      <c r="AM17" s="58"/>
      <c r="AN17" s="58"/>
      <c r="AO17" s="58"/>
      <c r="AP17" s="58"/>
      <c r="AQ17" s="58"/>
      <c r="AR17" s="58"/>
      <c r="AW17" s="58"/>
    </row>
    <row r="18" spans="13:52">
      <c r="M18" s="567" t="s">
        <v>97</v>
      </c>
      <c r="N18" s="568"/>
      <c r="O18" s="568"/>
      <c r="P18" s="568"/>
      <c r="Q18" s="568"/>
      <c r="R18" s="568"/>
      <c r="S18" s="568"/>
      <c r="T18" s="569"/>
      <c r="U18" s="599" t="s">
        <v>98</v>
      </c>
      <c r="V18" s="625"/>
      <c r="W18" s="625"/>
      <c r="X18" s="625"/>
      <c r="Y18" s="625"/>
      <c r="Z18" s="625"/>
      <c r="AA18" s="625"/>
      <c r="AB18" s="625"/>
      <c r="AC18" s="625"/>
      <c r="AD18" s="625"/>
      <c r="AE18" s="625"/>
      <c r="AF18" s="625"/>
      <c r="AG18" s="625"/>
      <c r="AH18" s="625"/>
      <c r="AI18" s="625"/>
      <c r="AJ18" s="626"/>
      <c r="AL18" s="66"/>
      <c r="AM18" s="58"/>
      <c r="AN18" s="58"/>
      <c r="AO18" s="58"/>
      <c r="AP18" s="58"/>
      <c r="AQ18" s="58"/>
      <c r="AR18" s="58"/>
      <c r="AW18" s="58" t="s">
        <v>99</v>
      </c>
    </row>
    <row r="19" spans="13:52">
      <c r="M19" s="570"/>
      <c r="N19" s="571"/>
      <c r="O19" s="571"/>
      <c r="P19" s="571"/>
      <c r="Q19" s="571"/>
      <c r="R19" s="571"/>
      <c r="S19" s="571"/>
      <c r="T19" s="572"/>
      <c r="U19" s="627"/>
      <c r="V19" s="628"/>
      <c r="W19" s="628"/>
      <c r="X19" s="628"/>
      <c r="Y19" s="628"/>
      <c r="Z19" s="628"/>
      <c r="AA19" s="628"/>
      <c r="AB19" s="628"/>
      <c r="AC19" s="628"/>
      <c r="AD19" s="628"/>
      <c r="AE19" s="628"/>
      <c r="AF19" s="628"/>
      <c r="AG19" s="628"/>
      <c r="AH19" s="628"/>
      <c r="AI19" s="628"/>
      <c r="AJ19" s="629"/>
      <c r="AL19" s="66"/>
      <c r="AM19" s="58"/>
      <c r="AN19" s="58"/>
      <c r="AO19" s="58"/>
      <c r="AP19" s="58"/>
      <c r="AQ19" s="58"/>
      <c r="AR19" s="58"/>
      <c r="AW19" s="58" t="s">
        <v>100</v>
      </c>
    </row>
    <row r="20" spans="13:52" ht="11.25" customHeight="1">
      <c r="M20" s="567" t="s">
        <v>101</v>
      </c>
      <c r="N20" s="568"/>
      <c r="O20" s="568"/>
      <c r="P20" s="568"/>
      <c r="Q20" s="568"/>
      <c r="R20" s="568"/>
      <c r="S20" s="568"/>
      <c r="T20" s="569"/>
      <c r="U20" s="599"/>
      <c r="V20" s="600"/>
      <c r="W20" s="600"/>
      <c r="X20" s="600"/>
      <c r="Y20" s="600"/>
      <c r="Z20" s="600"/>
      <c r="AA20" s="600"/>
      <c r="AB20" s="600"/>
      <c r="AC20" s="600"/>
      <c r="AD20" s="600"/>
      <c r="AE20" s="600"/>
      <c r="AF20" s="600"/>
      <c r="AG20" s="600"/>
      <c r="AH20" s="600"/>
      <c r="AI20" s="600"/>
      <c r="AJ20" s="601"/>
      <c r="AL20" s="66"/>
      <c r="AM20" s="58"/>
      <c r="AN20" s="58"/>
      <c r="AO20" s="58"/>
      <c r="AP20" s="58"/>
      <c r="AQ20" s="58"/>
      <c r="AR20" s="58"/>
      <c r="AW20" s="58" t="s">
        <v>102</v>
      </c>
    </row>
    <row r="21" spans="13:52" ht="11.25" customHeight="1">
      <c r="M21" s="570"/>
      <c r="N21" s="571"/>
      <c r="O21" s="571"/>
      <c r="P21" s="571"/>
      <c r="Q21" s="571"/>
      <c r="R21" s="571"/>
      <c r="S21" s="571"/>
      <c r="T21" s="572"/>
      <c r="U21" s="602"/>
      <c r="V21" s="603"/>
      <c r="W21" s="603"/>
      <c r="X21" s="603"/>
      <c r="Y21" s="603"/>
      <c r="Z21" s="603"/>
      <c r="AA21" s="603"/>
      <c r="AB21" s="603"/>
      <c r="AC21" s="603"/>
      <c r="AD21" s="603"/>
      <c r="AE21" s="603"/>
      <c r="AF21" s="603"/>
      <c r="AG21" s="603"/>
      <c r="AH21" s="603"/>
      <c r="AI21" s="603"/>
      <c r="AJ21" s="604"/>
      <c r="AL21" s="66"/>
      <c r="AM21" s="58"/>
      <c r="AN21" s="58"/>
      <c r="AO21" s="58"/>
      <c r="AP21" s="58"/>
      <c r="AQ21" s="58"/>
      <c r="AR21" s="58"/>
      <c r="AW21" s="58" t="s">
        <v>103</v>
      </c>
    </row>
    <row r="22" spans="13:52">
      <c r="M22" s="567" t="s">
        <v>104</v>
      </c>
      <c r="N22" s="568"/>
      <c r="O22" s="568"/>
      <c r="P22" s="568"/>
      <c r="Q22" s="568"/>
      <c r="R22" s="568"/>
      <c r="S22" s="568"/>
      <c r="T22" s="569"/>
      <c r="U22" s="605" cm="1">
        <f t="array" ref="U22">MAX(_xlfn.NUMBERVALUE(改訂!A7:E50))</f>
        <v>2</v>
      </c>
      <c r="V22" s="606"/>
      <c r="W22" s="606"/>
      <c r="X22" s="606"/>
      <c r="Y22" s="606"/>
      <c r="Z22" s="606"/>
      <c r="AA22" s="606"/>
      <c r="AB22" s="606"/>
      <c r="AC22" s="606"/>
      <c r="AD22" s="606"/>
      <c r="AE22" s="606"/>
      <c r="AF22" s="606"/>
      <c r="AG22" s="606"/>
      <c r="AH22" s="606"/>
      <c r="AI22" s="606"/>
      <c r="AJ22" s="607"/>
      <c r="AL22" s="66"/>
      <c r="AM22" s="58"/>
      <c r="AN22" s="58"/>
      <c r="AO22" s="58"/>
      <c r="AP22" s="58"/>
      <c r="AQ22" s="58"/>
      <c r="AR22" s="58"/>
      <c r="AW22" s="58" t="s">
        <v>105</v>
      </c>
    </row>
    <row r="23" spans="13:52">
      <c r="M23" s="570"/>
      <c r="N23" s="571"/>
      <c r="O23" s="571"/>
      <c r="P23" s="571"/>
      <c r="Q23" s="571"/>
      <c r="R23" s="571"/>
      <c r="S23" s="571"/>
      <c r="T23" s="572"/>
      <c r="U23" s="608"/>
      <c r="V23" s="609"/>
      <c r="W23" s="609"/>
      <c r="X23" s="609"/>
      <c r="Y23" s="609"/>
      <c r="Z23" s="609"/>
      <c r="AA23" s="609"/>
      <c r="AB23" s="609"/>
      <c r="AC23" s="609"/>
      <c r="AD23" s="609"/>
      <c r="AE23" s="609"/>
      <c r="AF23" s="609"/>
      <c r="AG23" s="609"/>
      <c r="AH23" s="609"/>
      <c r="AI23" s="609"/>
      <c r="AJ23" s="610"/>
      <c r="AL23" s="66"/>
      <c r="AM23" s="58"/>
      <c r="AN23" s="58"/>
      <c r="AO23" s="58"/>
      <c r="AP23" s="58"/>
      <c r="AQ23" s="58"/>
      <c r="AR23" s="58"/>
      <c r="AW23" s="58"/>
    </row>
    <row r="24" spans="13:52">
      <c r="M24" s="567" t="s">
        <v>106</v>
      </c>
      <c r="N24" s="568"/>
      <c r="O24" s="568"/>
      <c r="P24" s="568"/>
      <c r="Q24" s="568"/>
      <c r="R24" s="568"/>
      <c r="S24" s="568"/>
      <c r="T24" s="569"/>
      <c r="U24" s="588" t="s">
        <v>107</v>
      </c>
      <c r="V24" s="611"/>
      <c r="W24" s="611"/>
      <c r="X24" s="611"/>
      <c r="Y24" s="611"/>
      <c r="Z24" s="611"/>
      <c r="AA24" s="611"/>
      <c r="AB24" s="611"/>
      <c r="AC24" s="611"/>
      <c r="AD24" s="611"/>
      <c r="AE24" s="611"/>
      <c r="AF24" s="611"/>
      <c r="AG24" s="611"/>
      <c r="AH24" s="611"/>
      <c r="AI24" s="611"/>
      <c r="AJ24" s="612"/>
      <c r="AL24" s="66"/>
      <c r="AM24" s="58"/>
      <c r="AN24" s="58"/>
      <c r="AO24" s="58"/>
      <c r="AP24" s="58"/>
      <c r="AQ24" s="58"/>
      <c r="AR24" s="58"/>
      <c r="AW24" s="58" t="s">
        <v>108</v>
      </c>
    </row>
    <row r="25" spans="13:52">
      <c r="M25" s="570"/>
      <c r="N25" s="571"/>
      <c r="O25" s="571"/>
      <c r="P25" s="571"/>
      <c r="Q25" s="571"/>
      <c r="R25" s="571"/>
      <c r="S25" s="571"/>
      <c r="T25" s="572"/>
      <c r="U25" s="613"/>
      <c r="V25" s="614"/>
      <c r="W25" s="614"/>
      <c r="X25" s="614"/>
      <c r="Y25" s="614"/>
      <c r="Z25" s="614"/>
      <c r="AA25" s="614"/>
      <c r="AB25" s="614"/>
      <c r="AC25" s="614"/>
      <c r="AD25" s="614"/>
      <c r="AE25" s="614"/>
      <c r="AF25" s="614"/>
      <c r="AG25" s="614"/>
      <c r="AH25" s="614"/>
      <c r="AI25" s="614"/>
      <c r="AJ25" s="615"/>
      <c r="AL25" s="66"/>
      <c r="AM25" s="67"/>
      <c r="AN25" s="67"/>
      <c r="AO25" s="67"/>
      <c r="AP25" s="67"/>
      <c r="AQ25" s="67"/>
      <c r="AR25" s="67"/>
      <c r="AS25" s="68"/>
      <c r="AU25" s="68"/>
      <c r="AW25" s="58" t="s">
        <v>28</v>
      </c>
    </row>
    <row r="26" spans="13:52" ht="11.25" customHeight="1">
      <c r="M26" s="567" t="s">
        <v>109</v>
      </c>
      <c r="N26" s="568"/>
      <c r="O26" s="568"/>
      <c r="P26" s="568"/>
      <c r="Q26" s="568"/>
      <c r="R26" s="568"/>
      <c r="S26" s="568"/>
      <c r="T26" s="569"/>
      <c r="U26" s="588" t="s">
        <v>110</v>
      </c>
      <c r="V26" s="589"/>
      <c r="W26" s="589"/>
      <c r="X26" s="589"/>
      <c r="Y26" s="589"/>
      <c r="Z26" s="589"/>
      <c r="AA26" s="589"/>
      <c r="AB26" s="590"/>
      <c r="AC26" s="594" t="s">
        <v>111</v>
      </c>
      <c r="AD26" s="595"/>
      <c r="AE26" s="588" t="s">
        <v>112</v>
      </c>
      <c r="AF26" s="589"/>
      <c r="AG26" s="589"/>
      <c r="AH26" s="589"/>
      <c r="AI26" s="589"/>
      <c r="AJ26" s="590"/>
      <c r="AK26" s="69"/>
      <c r="AL26" s="66"/>
      <c r="AM26" s="67"/>
      <c r="AN26" s="67"/>
      <c r="AO26" s="67"/>
      <c r="AP26" s="67"/>
      <c r="AQ26" s="67"/>
      <c r="AR26" s="67"/>
      <c r="AS26" s="68"/>
      <c r="AU26" s="68"/>
      <c r="AV26" s="68"/>
      <c r="AW26" s="70" t="s">
        <v>29</v>
      </c>
      <c r="AX26" s="68"/>
      <c r="AY26" s="68"/>
      <c r="AZ26" s="68"/>
    </row>
    <row r="27" spans="13:52" ht="12" customHeight="1">
      <c r="M27" s="570"/>
      <c r="N27" s="571"/>
      <c r="O27" s="571"/>
      <c r="P27" s="571"/>
      <c r="Q27" s="571"/>
      <c r="R27" s="571"/>
      <c r="S27" s="571"/>
      <c r="T27" s="572"/>
      <c r="U27" s="591"/>
      <c r="V27" s="592"/>
      <c r="W27" s="592"/>
      <c r="X27" s="592"/>
      <c r="Y27" s="592"/>
      <c r="Z27" s="592"/>
      <c r="AA27" s="592"/>
      <c r="AB27" s="593"/>
      <c r="AC27" s="596"/>
      <c r="AD27" s="597"/>
      <c r="AE27" s="591"/>
      <c r="AF27" s="592"/>
      <c r="AG27" s="592"/>
      <c r="AH27" s="592"/>
      <c r="AI27" s="592"/>
      <c r="AJ27" s="593"/>
      <c r="AK27" s="71"/>
      <c r="AL27" s="66"/>
      <c r="AM27" s="58"/>
      <c r="AN27" s="58"/>
      <c r="AO27" s="58"/>
      <c r="AP27" s="58"/>
      <c r="AQ27" s="58"/>
      <c r="AR27" s="58"/>
      <c r="AV27" s="68"/>
      <c r="AW27" s="70" t="s">
        <v>113</v>
      </c>
      <c r="AX27" s="68"/>
      <c r="AY27" s="68"/>
      <c r="AZ27" s="68"/>
    </row>
    <row r="28" spans="13:52">
      <c r="M28" s="567" t="s">
        <v>78</v>
      </c>
      <c r="N28" s="568"/>
      <c r="O28" s="568"/>
      <c r="P28" s="568"/>
      <c r="Q28" s="568"/>
      <c r="R28" s="568"/>
      <c r="S28" s="568"/>
      <c r="T28" s="569"/>
      <c r="U28" s="598" t="s">
        <v>114</v>
      </c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5"/>
      <c r="AL28" s="66"/>
      <c r="AM28" s="58"/>
      <c r="AN28" s="58"/>
      <c r="AO28" s="58"/>
      <c r="AP28" s="58"/>
      <c r="AQ28" s="58"/>
      <c r="AR28" s="58"/>
    </row>
    <row r="29" spans="13:52" ht="11.25" customHeight="1">
      <c r="M29" s="570"/>
      <c r="N29" s="571"/>
      <c r="O29" s="571"/>
      <c r="P29" s="571"/>
      <c r="Q29" s="571"/>
      <c r="R29" s="571"/>
      <c r="S29" s="571"/>
      <c r="T29" s="572"/>
      <c r="U29" s="576"/>
      <c r="V29" s="577"/>
      <c r="W29" s="577"/>
      <c r="X29" s="577"/>
      <c r="Y29" s="577"/>
      <c r="Z29" s="577"/>
      <c r="AA29" s="577"/>
      <c r="AB29" s="577"/>
      <c r="AC29" s="577"/>
      <c r="AD29" s="577"/>
      <c r="AE29" s="577"/>
      <c r="AF29" s="577"/>
      <c r="AG29" s="577"/>
      <c r="AH29" s="577"/>
      <c r="AI29" s="577"/>
      <c r="AJ29" s="578"/>
      <c r="AL29" s="66"/>
      <c r="AM29" s="58"/>
      <c r="AN29" s="58"/>
      <c r="AO29" s="58"/>
      <c r="AP29" s="58"/>
      <c r="AQ29" s="58"/>
      <c r="AR29" s="58"/>
      <c r="AX29" s="72"/>
    </row>
    <row r="30" spans="13:52" ht="11.25" customHeight="1">
      <c r="M30" s="567" t="s">
        <v>115</v>
      </c>
      <c r="N30" s="568"/>
      <c r="O30" s="568"/>
      <c r="P30" s="568"/>
      <c r="Q30" s="568"/>
      <c r="R30" s="568"/>
      <c r="S30" s="568"/>
      <c r="T30" s="569"/>
      <c r="U30" s="573" t="str">
        <f>M50</f>
        <v>Web取引先マスタ一覧照会</v>
      </c>
      <c r="V30" s="574"/>
      <c r="W30" s="574"/>
      <c r="X30" s="574"/>
      <c r="Y30" s="574"/>
      <c r="Z30" s="574"/>
      <c r="AA30" s="574"/>
      <c r="AB30" s="574"/>
      <c r="AC30" s="574"/>
      <c r="AD30" s="574"/>
      <c r="AE30" s="574"/>
      <c r="AF30" s="574"/>
      <c r="AG30" s="574"/>
      <c r="AH30" s="574"/>
      <c r="AI30" s="574"/>
      <c r="AJ30" s="575"/>
      <c r="AL30" s="66"/>
      <c r="AM30" s="58"/>
      <c r="AN30" s="58"/>
      <c r="AO30" s="58"/>
      <c r="AP30" s="58"/>
      <c r="AQ30" s="58"/>
      <c r="AR30" s="58"/>
      <c r="AW30" s="72"/>
      <c r="AX30" s="72"/>
    </row>
    <row r="31" spans="13:52" ht="11.25" customHeight="1">
      <c r="M31" s="570"/>
      <c r="N31" s="571"/>
      <c r="O31" s="571"/>
      <c r="P31" s="571"/>
      <c r="Q31" s="571"/>
      <c r="R31" s="571"/>
      <c r="S31" s="571"/>
      <c r="T31" s="572"/>
      <c r="U31" s="576"/>
      <c r="V31" s="577"/>
      <c r="W31" s="577"/>
      <c r="X31" s="577"/>
      <c r="Y31" s="577"/>
      <c r="Z31" s="577"/>
      <c r="AA31" s="577"/>
      <c r="AB31" s="577"/>
      <c r="AC31" s="577"/>
      <c r="AD31" s="577"/>
      <c r="AE31" s="577"/>
      <c r="AF31" s="577"/>
      <c r="AG31" s="577"/>
      <c r="AH31" s="577"/>
      <c r="AI31" s="577"/>
      <c r="AJ31" s="578"/>
      <c r="AL31" s="66"/>
      <c r="AM31" s="58"/>
      <c r="AN31" s="58"/>
      <c r="AO31" s="58"/>
      <c r="AP31" s="58"/>
      <c r="AQ31" s="58"/>
      <c r="AR31" s="58"/>
      <c r="AW31" s="72"/>
    </row>
    <row r="32" spans="13:52" ht="11.25" customHeight="1">
      <c r="M32" s="567" t="s">
        <v>116</v>
      </c>
      <c r="N32" s="568"/>
      <c r="O32" s="568"/>
      <c r="P32" s="568"/>
      <c r="Q32" s="568"/>
      <c r="R32" s="568"/>
      <c r="S32" s="568"/>
      <c r="T32" s="569"/>
      <c r="U32" s="573" t="str">
        <f>G50</f>
        <v>MSBBPA120</v>
      </c>
      <c r="V32" s="574"/>
      <c r="W32" s="574"/>
      <c r="X32" s="574"/>
      <c r="Y32" s="574"/>
      <c r="Z32" s="574"/>
      <c r="AA32" s="574"/>
      <c r="AB32" s="574"/>
      <c r="AC32" s="574"/>
      <c r="AD32" s="574"/>
      <c r="AE32" s="574"/>
      <c r="AF32" s="574"/>
      <c r="AG32" s="574"/>
      <c r="AH32" s="574"/>
      <c r="AI32" s="574"/>
      <c r="AJ32" s="575"/>
      <c r="AL32" s="66"/>
      <c r="AM32" s="58"/>
      <c r="AN32" s="58"/>
      <c r="AO32" s="58"/>
      <c r="AP32" s="58"/>
      <c r="AQ32" s="58"/>
      <c r="AR32" s="58"/>
    </row>
    <row r="33" spans="1:49" ht="11.25" customHeight="1">
      <c r="M33" s="570"/>
      <c r="N33" s="571"/>
      <c r="O33" s="571"/>
      <c r="P33" s="571"/>
      <c r="Q33" s="571"/>
      <c r="R33" s="571"/>
      <c r="S33" s="571"/>
      <c r="T33" s="572"/>
      <c r="U33" s="576"/>
      <c r="V33" s="577"/>
      <c r="W33" s="577"/>
      <c r="X33" s="577"/>
      <c r="Y33" s="577"/>
      <c r="Z33" s="577"/>
      <c r="AA33" s="577"/>
      <c r="AB33" s="577"/>
      <c r="AC33" s="577"/>
      <c r="AD33" s="577"/>
      <c r="AE33" s="577"/>
      <c r="AF33" s="577"/>
      <c r="AG33" s="577"/>
      <c r="AH33" s="577"/>
      <c r="AI33" s="577"/>
      <c r="AJ33" s="578"/>
      <c r="AL33" s="66"/>
      <c r="AM33" s="58"/>
      <c r="AN33" s="58"/>
      <c r="AO33" s="58"/>
      <c r="AP33" s="58"/>
      <c r="AQ33" s="58"/>
      <c r="AR33" s="58"/>
    </row>
    <row r="34" spans="1:49" ht="13.5" customHeight="1">
      <c r="M34" s="567" t="s">
        <v>99</v>
      </c>
      <c r="N34" s="568"/>
      <c r="O34" s="568"/>
      <c r="P34" s="568"/>
      <c r="Q34" s="568"/>
      <c r="R34" s="568"/>
      <c r="S34" s="568"/>
      <c r="T34" s="569"/>
      <c r="U34" s="579" t="s">
        <v>100</v>
      </c>
      <c r="V34" s="580"/>
      <c r="W34" s="580"/>
      <c r="X34" s="580"/>
      <c r="Y34" s="580"/>
      <c r="Z34" s="580"/>
      <c r="AA34" s="580"/>
      <c r="AB34" s="580"/>
      <c r="AC34" s="580"/>
      <c r="AD34" s="580"/>
      <c r="AE34" s="580"/>
      <c r="AF34" s="580"/>
      <c r="AG34" s="580"/>
      <c r="AH34" s="580"/>
      <c r="AI34" s="580"/>
      <c r="AJ34" s="581"/>
      <c r="AL34" s="66"/>
      <c r="AM34" s="58"/>
      <c r="AN34" s="58"/>
      <c r="AO34" s="58"/>
      <c r="AP34" s="58"/>
      <c r="AQ34" s="58"/>
      <c r="AR34" s="58"/>
      <c r="AW34" s="72"/>
    </row>
    <row r="35" spans="1:49" ht="11.25" customHeight="1">
      <c r="M35" s="570"/>
      <c r="N35" s="571"/>
      <c r="O35" s="571"/>
      <c r="P35" s="571"/>
      <c r="Q35" s="571"/>
      <c r="R35" s="571"/>
      <c r="S35" s="571"/>
      <c r="T35" s="572"/>
      <c r="U35" s="582"/>
      <c r="V35" s="583"/>
      <c r="W35" s="583"/>
      <c r="X35" s="583"/>
      <c r="Y35" s="583"/>
      <c r="Z35" s="583"/>
      <c r="AA35" s="583"/>
      <c r="AB35" s="583"/>
      <c r="AC35" s="583"/>
      <c r="AD35" s="583"/>
      <c r="AE35" s="583"/>
      <c r="AF35" s="583"/>
      <c r="AG35" s="583"/>
      <c r="AH35" s="583"/>
      <c r="AI35" s="583"/>
      <c r="AJ35" s="584"/>
      <c r="AL35" s="66"/>
      <c r="AM35" s="58"/>
      <c r="AN35" s="58"/>
      <c r="AO35" s="58"/>
      <c r="AP35" s="58"/>
      <c r="AQ35" s="58"/>
      <c r="AR35" s="58"/>
      <c r="AW35" s="72"/>
    </row>
    <row r="36" spans="1:49" ht="11.25" customHeight="1">
      <c r="M36" s="567" t="s">
        <v>108</v>
      </c>
      <c r="N36" s="568"/>
      <c r="O36" s="568"/>
      <c r="P36" s="568"/>
      <c r="Q36" s="568"/>
      <c r="R36" s="568"/>
      <c r="S36" s="568"/>
      <c r="T36" s="569"/>
      <c r="U36" s="579" t="s">
        <v>117</v>
      </c>
      <c r="V36" s="580"/>
      <c r="W36" s="580"/>
      <c r="X36" s="580"/>
      <c r="Y36" s="580"/>
      <c r="Z36" s="580"/>
      <c r="AA36" s="580"/>
      <c r="AB36" s="580"/>
      <c r="AC36" s="580"/>
      <c r="AD36" s="580"/>
      <c r="AE36" s="580"/>
      <c r="AF36" s="580"/>
      <c r="AG36" s="580"/>
      <c r="AH36" s="580"/>
      <c r="AI36" s="580"/>
      <c r="AJ36" s="581"/>
      <c r="AL36" s="66"/>
      <c r="AM36" s="58"/>
      <c r="AN36" s="58"/>
      <c r="AO36" s="58"/>
      <c r="AP36" s="58"/>
      <c r="AQ36" s="58"/>
      <c r="AR36" s="58"/>
      <c r="AW36" s="72"/>
    </row>
    <row r="37" spans="1:49" ht="11.25" customHeight="1">
      <c r="B37" s="73"/>
      <c r="C37" s="73"/>
      <c r="D37" s="73"/>
      <c r="M37" s="570"/>
      <c r="N37" s="571"/>
      <c r="O37" s="571"/>
      <c r="P37" s="571"/>
      <c r="Q37" s="571"/>
      <c r="R37" s="571"/>
      <c r="S37" s="571"/>
      <c r="T37" s="572"/>
      <c r="U37" s="582"/>
      <c r="V37" s="583"/>
      <c r="W37" s="583"/>
      <c r="X37" s="583"/>
      <c r="Y37" s="583"/>
      <c r="Z37" s="583"/>
      <c r="AA37" s="583"/>
      <c r="AB37" s="583"/>
      <c r="AC37" s="583"/>
      <c r="AD37" s="583"/>
      <c r="AE37" s="583"/>
      <c r="AF37" s="583"/>
      <c r="AG37" s="583"/>
      <c r="AH37" s="583"/>
      <c r="AI37" s="583"/>
      <c r="AJ37" s="584"/>
      <c r="AL37" s="66"/>
      <c r="AM37" s="58"/>
      <c r="AN37" s="58"/>
      <c r="AO37" s="58"/>
      <c r="AP37" s="58"/>
      <c r="AQ37" s="58"/>
      <c r="AR37" s="58"/>
    </row>
    <row r="38" spans="1:49" ht="13.5" customHeight="1"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</row>
    <row r="39" spans="1:49" ht="13.5" customHeight="1">
      <c r="M39" s="75"/>
      <c r="N39" s="75"/>
      <c r="O39" s="75"/>
      <c r="P39" s="75"/>
      <c r="R39" s="75"/>
      <c r="S39" s="75"/>
      <c r="T39" s="75"/>
      <c r="U39" s="75"/>
      <c r="W39" s="585" t="s">
        <v>118</v>
      </c>
      <c r="X39" s="586"/>
      <c r="Y39" s="586"/>
      <c r="Z39" s="587"/>
      <c r="AB39" s="585" t="s">
        <v>119</v>
      </c>
      <c r="AC39" s="586"/>
      <c r="AD39" s="586"/>
      <c r="AE39" s="587"/>
      <c r="AG39" s="585" t="s">
        <v>120</v>
      </c>
      <c r="AH39" s="586"/>
      <c r="AI39" s="586"/>
      <c r="AJ39" s="587"/>
    </row>
    <row r="40" spans="1:49" ht="11.25" customHeight="1">
      <c r="M40" s="75"/>
      <c r="N40" s="75"/>
      <c r="O40" s="75"/>
      <c r="P40" s="75"/>
      <c r="R40" s="75"/>
      <c r="S40" s="75"/>
      <c r="T40" s="75"/>
      <c r="U40" s="75"/>
      <c r="W40" s="555" t="s">
        <v>121</v>
      </c>
      <c r="X40" s="556"/>
      <c r="Y40" s="556"/>
      <c r="Z40" s="557"/>
      <c r="AB40" s="555" t="str">
        <f>改訂!AZ2</f>
        <v>MDSOL
野村</v>
      </c>
      <c r="AC40" s="556"/>
      <c r="AD40" s="556"/>
      <c r="AE40" s="557"/>
      <c r="AG40" s="561"/>
      <c r="AH40" s="562"/>
      <c r="AI40" s="562"/>
      <c r="AJ40" s="563"/>
    </row>
    <row r="41" spans="1:49">
      <c r="M41" s="75"/>
      <c r="N41" s="75"/>
      <c r="O41" s="75"/>
      <c r="P41" s="75"/>
      <c r="R41" s="75"/>
      <c r="S41" s="75"/>
      <c r="T41" s="75"/>
      <c r="U41" s="75"/>
      <c r="W41" s="558"/>
      <c r="X41" s="559"/>
      <c r="Y41" s="559"/>
      <c r="Z41" s="560"/>
      <c r="AB41" s="558"/>
      <c r="AC41" s="559"/>
      <c r="AD41" s="559"/>
      <c r="AE41" s="560"/>
      <c r="AG41" s="564"/>
      <c r="AH41" s="565"/>
      <c r="AI41" s="565"/>
      <c r="AJ41" s="566"/>
    </row>
    <row r="42" spans="1:49">
      <c r="M42" s="76"/>
      <c r="N42" s="76"/>
      <c r="O42" s="76"/>
      <c r="P42" s="76"/>
      <c r="R42" s="76"/>
      <c r="S42" s="76"/>
      <c r="T42" s="76"/>
      <c r="U42" s="76"/>
      <c r="W42" s="518">
        <v>44805</v>
      </c>
      <c r="X42" s="519"/>
      <c r="Y42" s="519"/>
      <c r="Z42" s="520"/>
      <c r="AB42" s="524">
        <f>改訂!BJ2</f>
        <v>44910</v>
      </c>
      <c r="AC42" s="525"/>
      <c r="AD42" s="525"/>
      <c r="AE42" s="526"/>
      <c r="AG42" s="530"/>
      <c r="AH42" s="531"/>
      <c r="AI42" s="531"/>
      <c r="AJ42" s="532"/>
    </row>
    <row r="43" spans="1:49">
      <c r="C43" s="536"/>
      <c r="D43" s="536"/>
      <c r="E43" s="536"/>
      <c r="F43" s="536"/>
      <c r="G43" s="536"/>
      <c r="H43" s="536"/>
      <c r="M43" s="76"/>
      <c r="N43" s="76"/>
      <c r="O43" s="76"/>
      <c r="P43" s="76"/>
      <c r="R43" s="76"/>
      <c r="S43" s="76"/>
      <c r="T43" s="76"/>
      <c r="U43" s="76"/>
      <c r="W43" s="521"/>
      <c r="X43" s="522"/>
      <c r="Y43" s="522"/>
      <c r="Z43" s="523"/>
      <c r="AB43" s="527"/>
      <c r="AC43" s="528"/>
      <c r="AD43" s="528"/>
      <c r="AE43" s="529"/>
      <c r="AG43" s="533"/>
      <c r="AH43" s="534"/>
      <c r="AI43" s="534"/>
      <c r="AJ43" s="535"/>
    </row>
    <row r="44" spans="1:49">
      <c r="C44" s="536"/>
      <c r="D44" s="536"/>
      <c r="E44" s="536"/>
      <c r="F44" s="536"/>
      <c r="G44" s="536"/>
      <c r="H44" s="536"/>
    </row>
    <row r="45" spans="1:49" ht="15.75">
      <c r="C45" s="537"/>
      <c r="D45" s="537"/>
      <c r="E45" s="537"/>
      <c r="F45" s="537"/>
      <c r="G45" s="537"/>
      <c r="H45" s="537"/>
    </row>
    <row r="48" spans="1:49" ht="12" customHeight="1">
      <c r="A48" s="538" t="s">
        <v>101</v>
      </c>
      <c r="B48" s="539"/>
      <c r="C48" s="539"/>
      <c r="D48" s="539"/>
      <c r="E48" s="539"/>
      <c r="F48" s="540"/>
      <c r="G48" s="538" t="s">
        <v>122</v>
      </c>
      <c r="H48" s="539"/>
      <c r="I48" s="539"/>
      <c r="J48" s="539"/>
      <c r="K48" s="539"/>
      <c r="L48" s="540"/>
      <c r="M48" s="538" t="s">
        <v>123</v>
      </c>
      <c r="N48" s="544"/>
      <c r="O48" s="544"/>
      <c r="P48" s="544"/>
      <c r="Q48" s="544"/>
      <c r="R48" s="544"/>
      <c r="S48" s="544"/>
      <c r="T48" s="544"/>
      <c r="U48" s="545"/>
      <c r="V48" s="538" t="s">
        <v>124</v>
      </c>
      <c r="W48" s="539"/>
      <c r="X48" s="539"/>
      <c r="Y48" s="539"/>
      <c r="Z48" s="539"/>
      <c r="AA48" s="540"/>
      <c r="AB48" s="549" t="s">
        <v>125</v>
      </c>
      <c r="AC48" s="550"/>
      <c r="AD48" s="550"/>
      <c r="AE48" s="550"/>
      <c r="AF48" s="550"/>
      <c r="AG48" s="551"/>
    </row>
    <row r="49" spans="1:86" ht="12" customHeight="1">
      <c r="A49" s="541"/>
      <c r="B49" s="542"/>
      <c r="C49" s="542"/>
      <c r="D49" s="542"/>
      <c r="E49" s="542"/>
      <c r="F49" s="543"/>
      <c r="G49" s="541"/>
      <c r="H49" s="542"/>
      <c r="I49" s="542"/>
      <c r="J49" s="542"/>
      <c r="K49" s="542"/>
      <c r="L49" s="543"/>
      <c r="M49" s="546"/>
      <c r="N49" s="547"/>
      <c r="O49" s="547"/>
      <c r="P49" s="547"/>
      <c r="Q49" s="547"/>
      <c r="R49" s="547"/>
      <c r="S49" s="547"/>
      <c r="T49" s="547"/>
      <c r="U49" s="548"/>
      <c r="V49" s="541"/>
      <c r="W49" s="542"/>
      <c r="X49" s="542"/>
      <c r="Y49" s="542"/>
      <c r="Z49" s="542"/>
      <c r="AA49" s="543"/>
      <c r="AB49" s="552"/>
      <c r="AC49" s="553"/>
      <c r="AD49" s="553"/>
      <c r="AE49" s="553"/>
      <c r="AF49" s="553"/>
      <c r="AG49" s="554"/>
    </row>
    <row r="50" spans="1:86" ht="12" customHeight="1">
      <c r="A50" s="492" t="s">
        <v>126</v>
      </c>
      <c r="B50" s="493"/>
      <c r="C50" s="493"/>
      <c r="D50" s="493"/>
      <c r="E50" s="493"/>
      <c r="F50" s="494"/>
      <c r="G50" s="492" t="s">
        <v>127</v>
      </c>
      <c r="H50" s="493"/>
      <c r="I50" s="493"/>
      <c r="J50" s="493"/>
      <c r="K50" s="493"/>
      <c r="L50" s="494"/>
      <c r="M50" s="498" t="s">
        <v>128</v>
      </c>
      <c r="N50" s="499"/>
      <c r="O50" s="499"/>
      <c r="P50" s="499"/>
      <c r="Q50" s="499"/>
      <c r="R50" s="499"/>
      <c r="S50" s="499"/>
      <c r="T50" s="499"/>
      <c r="U50" s="500"/>
      <c r="V50" s="504" t="s">
        <v>129</v>
      </c>
      <c r="W50" s="505"/>
      <c r="X50" s="505"/>
      <c r="Y50" s="505"/>
      <c r="Z50" s="505"/>
      <c r="AA50" s="506"/>
      <c r="AB50" s="510" t="s">
        <v>130</v>
      </c>
      <c r="AC50" s="511"/>
      <c r="AD50" s="511"/>
      <c r="AE50" s="511"/>
      <c r="AF50" s="511"/>
      <c r="AG50" s="512"/>
    </row>
    <row r="51" spans="1:86" ht="12" customHeight="1">
      <c r="A51" s="495"/>
      <c r="B51" s="496"/>
      <c r="C51" s="496"/>
      <c r="D51" s="496"/>
      <c r="E51" s="496"/>
      <c r="F51" s="497"/>
      <c r="G51" s="495"/>
      <c r="H51" s="496"/>
      <c r="I51" s="496"/>
      <c r="J51" s="496"/>
      <c r="K51" s="496"/>
      <c r="L51" s="497"/>
      <c r="M51" s="501"/>
      <c r="N51" s="502"/>
      <c r="O51" s="502"/>
      <c r="P51" s="502"/>
      <c r="Q51" s="502"/>
      <c r="R51" s="502"/>
      <c r="S51" s="502"/>
      <c r="T51" s="502"/>
      <c r="U51" s="503"/>
      <c r="V51" s="507"/>
      <c r="W51" s="508"/>
      <c r="X51" s="508"/>
      <c r="Y51" s="508"/>
      <c r="Z51" s="508"/>
      <c r="AA51" s="509"/>
      <c r="AB51" s="513"/>
      <c r="AC51" s="514"/>
      <c r="AD51" s="514"/>
      <c r="AE51" s="514"/>
      <c r="AF51" s="514"/>
      <c r="AG51" s="515"/>
    </row>
    <row r="53" spans="1:86" s="77" customFormat="1" ht="15.75">
      <c r="A53" s="77" t="s">
        <v>131</v>
      </c>
    </row>
    <row r="54" spans="1:86" s="77" customFormat="1" ht="15.75" customHeight="1">
      <c r="A54" s="57" t="s">
        <v>110</v>
      </c>
      <c r="B54" s="57"/>
      <c r="C54" s="57"/>
      <c r="D54" s="57"/>
      <c r="E54" s="57"/>
      <c r="F54" s="57"/>
      <c r="G54" s="57"/>
      <c r="H54" s="57"/>
      <c r="I54" s="57"/>
      <c r="J54" s="57"/>
      <c r="K54" s="57" t="s">
        <v>132</v>
      </c>
      <c r="L54" s="57"/>
      <c r="M54" s="57"/>
      <c r="N54" s="57"/>
      <c r="O54" s="57"/>
      <c r="P54" s="57"/>
      <c r="Q54" s="57"/>
      <c r="R54" s="57"/>
      <c r="S54" s="57"/>
      <c r="T54" s="57"/>
      <c r="U54" s="57" t="s">
        <v>133</v>
      </c>
      <c r="V54" s="57"/>
      <c r="W54" s="57"/>
      <c r="X54" s="57"/>
      <c r="Y54" s="57"/>
      <c r="Z54" s="57" t="s">
        <v>134</v>
      </c>
      <c r="AA54" s="57"/>
      <c r="AB54" s="57"/>
      <c r="AC54" s="57"/>
      <c r="AD54" s="57"/>
      <c r="AE54" s="57" t="s">
        <v>135</v>
      </c>
      <c r="AF54" s="57"/>
      <c r="AG54" s="57"/>
      <c r="AH54" s="57"/>
      <c r="AI54" s="57"/>
      <c r="AJ54" s="57" t="s">
        <v>110</v>
      </c>
      <c r="AK54" s="57"/>
      <c r="AL54" s="57"/>
      <c r="AM54" s="57"/>
      <c r="AN54" s="57"/>
      <c r="AO54" s="57"/>
      <c r="AP54" s="57"/>
      <c r="AQ54" s="57"/>
      <c r="AR54" s="57"/>
      <c r="AS54" s="57" t="s">
        <v>101</v>
      </c>
      <c r="AT54" s="57"/>
      <c r="AU54" s="57"/>
      <c r="AV54" s="57"/>
      <c r="AW54" s="57"/>
      <c r="AX54" s="57"/>
      <c r="AY54" s="57"/>
      <c r="AZ54" s="57" t="s">
        <v>136</v>
      </c>
      <c r="BA54" s="57"/>
      <c r="BB54" s="57"/>
      <c r="BC54" s="57"/>
      <c r="BD54" s="57"/>
      <c r="BE54" s="57"/>
      <c r="BF54" s="57" t="s">
        <v>137</v>
      </c>
      <c r="BG54" s="57"/>
      <c r="BH54" s="57"/>
      <c r="BI54" s="57"/>
      <c r="BJ54" s="57"/>
      <c r="BK54" s="57"/>
    </row>
    <row r="55" spans="1:86" s="77" customFormat="1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 t="s">
        <v>138</v>
      </c>
      <c r="L55" s="57"/>
      <c r="M55" s="57"/>
      <c r="N55" s="57"/>
      <c r="O55" s="57"/>
      <c r="P55" s="57"/>
      <c r="Q55" s="57"/>
      <c r="R55" s="57"/>
      <c r="S55" s="57"/>
      <c r="T55" s="57"/>
      <c r="U55" s="57" t="s">
        <v>139</v>
      </c>
      <c r="V55" s="57"/>
      <c r="W55" s="57"/>
      <c r="X55" s="57"/>
      <c r="Y55" s="57"/>
      <c r="Z55" s="57" t="s">
        <v>140</v>
      </c>
      <c r="AA55" s="57"/>
      <c r="AB55" s="57"/>
      <c r="AC55" s="57"/>
      <c r="AD55" s="57"/>
      <c r="AE55" s="57" t="s">
        <v>141</v>
      </c>
      <c r="AF55" s="57"/>
      <c r="AG55" s="57"/>
      <c r="AH55" s="57"/>
      <c r="AI55" s="57"/>
      <c r="AJ55" s="57" t="s">
        <v>142</v>
      </c>
      <c r="AK55" s="57"/>
      <c r="AL55" s="57"/>
      <c r="AM55" s="57"/>
      <c r="AN55" s="57"/>
      <c r="AO55" s="57"/>
      <c r="AP55" s="57"/>
      <c r="AQ55" s="57"/>
      <c r="AR55" s="57"/>
      <c r="AS55" s="57" t="s">
        <v>143</v>
      </c>
      <c r="AT55" s="57"/>
      <c r="AU55" s="57"/>
      <c r="AV55" s="57"/>
      <c r="AW55" s="57"/>
      <c r="AX55" s="57"/>
      <c r="AY55" s="57"/>
      <c r="AZ55" s="57" t="s">
        <v>129</v>
      </c>
      <c r="BA55" s="57"/>
      <c r="BB55" s="57"/>
      <c r="BC55" s="57"/>
      <c r="BD55" s="57"/>
      <c r="BE55" s="57"/>
      <c r="BF55" s="57" t="s">
        <v>144</v>
      </c>
      <c r="BG55" s="57"/>
      <c r="BH55" s="57"/>
      <c r="BI55" s="57"/>
      <c r="BJ55" s="57"/>
      <c r="BK55" s="57"/>
    </row>
    <row r="56" spans="1:86" s="77" customFormat="1" ht="16.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 t="s">
        <v>145</v>
      </c>
      <c r="L56" s="57"/>
      <c r="M56" s="57"/>
      <c r="N56" s="57"/>
      <c r="O56" s="57"/>
      <c r="P56" s="57"/>
      <c r="Q56" s="57"/>
      <c r="R56" s="57"/>
      <c r="S56" s="57"/>
      <c r="T56" s="57"/>
      <c r="U56" s="57" t="s">
        <v>146</v>
      </c>
      <c r="V56" s="57"/>
      <c r="W56" s="57"/>
      <c r="X56" s="57"/>
      <c r="Y56" s="57"/>
      <c r="Z56" s="57" t="s">
        <v>127</v>
      </c>
      <c r="AA56" s="57"/>
      <c r="AB56" s="57"/>
      <c r="AC56" s="57"/>
      <c r="AD56" s="57"/>
      <c r="AE56" s="172" t="s">
        <v>128</v>
      </c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</row>
    <row r="57" spans="1:86" s="77" customFormat="1" ht="16.5" thickBot="1">
      <c r="A57" s="77" t="s">
        <v>147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9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1"/>
      <c r="AB57" s="82"/>
      <c r="AC57" s="83"/>
      <c r="AD57" s="83"/>
      <c r="AE57" s="83"/>
      <c r="AF57" s="83"/>
      <c r="AG57" s="83"/>
      <c r="AH57" s="84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5"/>
      <c r="AV57" s="85"/>
      <c r="AW57" s="85"/>
      <c r="AX57" s="85"/>
      <c r="AY57" s="85"/>
      <c r="AZ57" s="85"/>
      <c r="BA57" s="85"/>
      <c r="BB57" s="78"/>
      <c r="BC57" s="78"/>
      <c r="BD57" s="78"/>
      <c r="BE57" s="78"/>
      <c r="BF57" s="78"/>
      <c r="BG57" s="80"/>
      <c r="BH57" s="80"/>
      <c r="BI57" s="80"/>
      <c r="BJ57" s="80"/>
      <c r="BK57" s="80"/>
    </row>
    <row r="58" spans="1:86" s="77" customFormat="1" ht="15.75">
      <c r="A58" s="458" t="str">
        <f>A54</f>
        <v>Webシステム</v>
      </c>
      <c r="B58" s="459"/>
      <c r="C58" s="459"/>
      <c r="D58" s="459"/>
      <c r="E58" s="459"/>
      <c r="F58" s="459"/>
      <c r="G58" s="459"/>
      <c r="H58" s="459"/>
      <c r="I58" s="459"/>
      <c r="J58" s="460"/>
      <c r="K58" s="467" t="s">
        <v>132</v>
      </c>
      <c r="L58" s="468"/>
      <c r="M58" s="468"/>
      <c r="N58" s="468"/>
      <c r="O58" s="468"/>
      <c r="P58" s="468"/>
      <c r="Q58" s="468"/>
      <c r="R58" s="468"/>
      <c r="S58" s="468"/>
      <c r="T58" s="516"/>
      <c r="U58" s="517" t="s">
        <v>148</v>
      </c>
      <c r="V58" s="471"/>
      <c r="W58" s="471"/>
      <c r="X58" s="471"/>
      <c r="Y58" s="472"/>
      <c r="Z58" s="444" t="str">
        <f>Z54</f>
        <v>MS</v>
      </c>
      <c r="AA58" s="423"/>
      <c r="AB58" s="423"/>
      <c r="AC58" s="423"/>
      <c r="AD58" s="424"/>
      <c r="AE58" s="469" t="s">
        <v>135</v>
      </c>
      <c r="AF58" s="423"/>
      <c r="AG58" s="423"/>
      <c r="AH58" s="423"/>
      <c r="AI58" s="424"/>
      <c r="AJ58" s="470" t="str">
        <f>AJ54</f>
        <v>Webシステム</v>
      </c>
      <c r="AK58" s="471"/>
      <c r="AL58" s="471"/>
      <c r="AM58" s="471"/>
      <c r="AN58" s="471"/>
      <c r="AO58" s="471"/>
      <c r="AP58" s="471"/>
      <c r="AQ58" s="471"/>
      <c r="AR58" s="472"/>
      <c r="AS58" s="473" t="s">
        <v>101</v>
      </c>
      <c r="AT58" s="473"/>
      <c r="AU58" s="473"/>
      <c r="AV58" s="473"/>
      <c r="AW58" s="473"/>
      <c r="AX58" s="473"/>
      <c r="AY58" s="473"/>
      <c r="AZ58" s="422" t="s">
        <v>124</v>
      </c>
      <c r="BA58" s="423"/>
      <c r="BB58" s="423"/>
      <c r="BC58" s="423"/>
      <c r="BD58" s="423"/>
      <c r="BE58" s="424"/>
      <c r="BF58" s="422" t="s">
        <v>149</v>
      </c>
      <c r="BG58" s="423"/>
      <c r="BH58" s="423"/>
      <c r="BI58" s="423"/>
      <c r="BJ58" s="423"/>
      <c r="BK58" s="474"/>
    </row>
    <row r="59" spans="1:86" s="77" customFormat="1" ht="15.75" customHeight="1">
      <c r="A59" s="461"/>
      <c r="B59" s="462"/>
      <c r="C59" s="462"/>
      <c r="D59" s="462"/>
      <c r="E59" s="462"/>
      <c r="F59" s="462"/>
      <c r="G59" s="462"/>
      <c r="H59" s="462"/>
      <c r="I59" s="462"/>
      <c r="J59" s="463"/>
      <c r="K59" s="429" t="str">
        <f>文書名</f>
        <v>アドオン設計書</v>
      </c>
      <c r="L59" s="430"/>
      <c r="M59" s="430"/>
      <c r="N59" s="430"/>
      <c r="O59" s="430"/>
      <c r="P59" s="430"/>
      <c r="Q59" s="430"/>
      <c r="R59" s="430"/>
      <c r="S59" s="430"/>
      <c r="T59" s="439"/>
      <c r="U59" s="475" t="s">
        <v>150</v>
      </c>
      <c r="V59" s="476"/>
      <c r="W59" s="476"/>
      <c r="X59" s="476"/>
      <c r="Y59" s="477"/>
      <c r="Z59" s="434" t="str">
        <f>Z55</f>
        <v>MSBB</v>
      </c>
      <c r="AA59" s="435"/>
      <c r="AB59" s="435"/>
      <c r="AC59" s="435"/>
      <c r="AD59" s="436"/>
      <c r="AE59" s="431" t="s">
        <v>141</v>
      </c>
      <c r="AF59" s="432"/>
      <c r="AG59" s="432"/>
      <c r="AH59" s="432"/>
      <c r="AI59" s="433"/>
      <c r="AJ59" s="437" t="str">
        <f>AJ55</f>
        <v>販売Webシステム</v>
      </c>
      <c r="AK59" s="478"/>
      <c r="AL59" s="478"/>
      <c r="AM59" s="478"/>
      <c r="AN59" s="478"/>
      <c r="AO59" s="478"/>
      <c r="AP59" s="478"/>
      <c r="AQ59" s="478"/>
      <c r="AR59" s="479"/>
      <c r="AS59" s="480" t="str">
        <f>AS55</f>
        <v>M7-US-1140</v>
      </c>
      <c r="AT59" s="481"/>
      <c r="AU59" s="481"/>
      <c r="AV59" s="481"/>
      <c r="AW59" s="481"/>
      <c r="AX59" s="481"/>
      <c r="AY59" s="481"/>
      <c r="AZ59" s="443" t="str">
        <f>AZ55</f>
        <v>1.0.0</v>
      </c>
      <c r="BA59" s="430"/>
      <c r="BB59" s="430"/>
      <c r="BC59" s="430"/>
      <c r="BD59" s="430"/>
      <c r="BE59" s="439"/>
      <c r="BF59" s="445" t="str">
        <f>BF55</f>
        <v>r00.00</v>
      </c>
      <c r="BG59" s="430"/>
      <c r="BH59" s="430"/>
      <c r="BI59" s="430"/>
      <c r="BJ59" s="430"/>
      <c r="BK59" s="446"/>
    </row>
    <row r="60" spans="1:86" s="77" customFormat="1" ht="16.5" customHeight="1" thickBot="1">
      <c r="A60" s="464"/>
      <c r="B60" s="465"/>
      <c r="C60" s="465"/>
      <c r="D60" s="465"/>
      <c r="E60" s="465"/>
      <c r="F60" s="465"/>
      <c r="G60" s="465"/>
      <c r="H60" s="465"/>
      <c r="I60" s="465"/>
      <c r="J60" s="466"/>
      <c r="K60" s="448" t="str">
        <f ca="1">RIGHT(CELL("filename",$A$1),LEN(CELL("filename",$A$1))-FIND("]",CELL("filename",$A$1)))</f>
        <v>表紙</v>
      </c>
      <c r="L60" s="449"/>
      <c r="M60" s="449"/>
      <c r="N60" s="449"/>
      <c r="O60" s="449"/>
      <c r="P60" s="449"/>
      <c r="Q60" s="449"/>
      <c r="R60" s="449"/>
      <c r="S60" s="449"/>
      <c r="T60" s="483"/>
      <c r="U60" s="484" t="s">
        <v>146</v>
      </c>
      <c r="V60" s="485"/>
      <c r="W60" s="485"/>
      <c r="X60" s="485"/>
      <c r="Y60" s="486"/>
      <c r="Z60" s="487" t="str">
        <f>Z56</f>
        <v>MSBBPA120</v>
      </c>
      <c r="AA60" s="488"/>
      <c r="AB60" s="488"/>
      <c r="AC60" s="488"/>
      <c r="AD60" s="488"/>
      <c r="AE60" s="489" t="str">
        <f>AE56</f>
        <v>Web取引先マスタ一覧照会</v>
      </c>
      <c r="AF60" s="490"/>
      <c r="AG60" s="490"/>
      <c r="AH60" s="490"/>
      <c r="AI60" s="490"/>
      <c r="AJ60" s="490"/>
      <c r="AK60" s="490"/>
      <c r="AL60" s="490"/>
      <c r="AM60" s="490"/>
      <c r="AN60" s="490"/>
      <c r="AO60" s="490"/>
      <c r="AP60" s="490"/>
      <c r="AQ60" s="490"/>
      <c r="AR60" s="491"/>
      <c r="AS60" s="482"/>
      <c r="AT60" s="482"/>
      <c r="AU60" s="482"/>
      <c r="AV60" s="482"/>
      <c r="AW60" s="482"/>
      <c r="AX60" s="482"/>
      <c r="AY60" s="482"/>
      <c r="AZ60" s="440"/>
      <c r="BA60" s="441"/>
      <c r="BB60" s="441"/>
      <c r="BC60" s="441"/>
      <c r="BD60" s="441"/>
      <c r="BE60" s="442"/>
      <c r="BF60" s="440"/>
      <c r="BG60" s="441"/>
      <c r="BH60" s="441"/>
      <c r="BI60" s="441"/>
      <c r="BJ60" s="441"/>
      <c r="BK60" s="447"/>
    </row>
    <row r="61" spans="1:86" s="77" customFormat="1" ht="15.7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9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1"/>
      <c r="AB61" s="82"/>
      <c r="AC61" s="83"/>
      <c r="AD61" s="83"/>
      <c r="AE61" s="83"/>
      <c r="AF61" s="83"/>
      <c r="AG61" s="83"/>
      <c r="AH61" s="84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5"/>
      <c r="AV61" s="85"/>
      <c r="AW61" s="85"/>
      <c r="AX61" s="85"/>
      <c r="AY61" s="85"/>
      <c r="AZ61" s="85"/>
      <c r="BA61" s="85"/>
      <c r="BB61" s="78"/>
      <c r="BC61" s="78"/>
      <c r="BD61" s="78"/>
      <c r="BE61" s="78"/>
      <c r="BF61" s="78"/>
      <c r="BG61" s="80"/>
      <c r="BH61" s="80"/>
      <c r="BI61" s="80"/>
      <c r="BJ61" s="80"/>
      <c r="BK61" s="80"/>
    </row>
    <row r="62" spans="1:86" s="77" customFormat="1" ht="16.5" thickBot="1">
      <c r="A62" s="77" t="s">
        <v>151</v>
      </c>
    </row>
    <row r="63" spans="1:86" s="77" customFormat="1" ht="15.75" customHeight="1">
      <c r="A63" s="458" t="str">
        <f>A58</f>
        <v>Webシステム</v>
      </c>
      <c r="B63" s="459"/>
      <c r="C63" s="459"/>
      <c r="D63" s="459"/>
      <c r="E63" s="459"/>
      <c r="F63" s="459"/>
      <c r="G63" s="459"/>
      <c r="H63" s="459"/>
      <c r="I63" s="459"/>
      <c r="J63" s="459"/>
      <c r="K63" s="459"/>
      <c r="L63" s="459"/>
      <c r="M63" s="459"/>
      <c r="N63" s="460"/>
      <c r="O63" s="467" t="s">
        <v>132</v>
      </c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9" t="s">
        <v>148</v>
      </c>
      <c r="AD63" s="423"/>
      <c r="AE63" s="423"/>
      <c r="AF63" s="423"/>
      <c r="AG63" s="423"/>
      <c r="AH63" s="423"/>
      <c r="AI63" s="424"/>
      <c r="AJ63" s="444" t="str">
        <f>Z58</f>
        <v>MS</v>
      </c>
      <c r="AK63" s="423"/>
      <c r="AL63" s="423"/>
      <c r="AM63" s="423"/>
      <c r="AN63" s="423"/>
      <c r="AO63" s="423"/>
      <c r="AP63" s="424"/>
      <c r="AQ63" s="469" t="s">
        <v>135</v>
      </c>
      <c r="AR63" s="423"/>
      <c r="AS63" s="423"/>
      <c r="AT63" s="423"/>
      <c r="AU63" s="423"/>
      <c r="AV63" s="423"/>
      <c r="AW63" s="424"/>
      <c r="AX63" s="444" t="str">
        <f>AJ58</f>
        <v>Webシステム</v>
      </c>
      <c r="AY63" s="423"/>
      <c r="AZ63" s="423"/>
      <c r="BA63" s="423"/>
      <c r="BB63" s="423"/>
      <c r="BC63" s="423"/>
      <c r="BD63" s="423"/>
      <c r="BE63" s="423"/>
      <c r="BF63" s="423"/>
      <c r="BG63" s="423"/>
      <c r="BH63" s="423"/>
      <c r="BI63" s="423"/>
      <c r="BJ63" s="423"/>
      <c r="BK63" s="424"/>
      <c r="BL63" s="422" t="s">
        <v>101</v>
      </c>
      <c r="BM63" s="423"/>
      <c r="BN63" s="423"/>
      <c r="BO63" s="423"/>
      <c r="BP63" s="423"/>
      <c r="BQ63" s="423"/>
      <c r="BR63" s="423"/>
      <c r="BS63" s="423"/>
      <c r="BT63" s="424"/>
      <c r="BU63" s="425" t="s">
        <v>124</v>
      </c>
      <c r="BV63" s="426"/>
      <c r="BW63" s="426"/>
      <c r="BX63" s="426"/>
      <c r="BY63" s="426"/>
      <c r="BZ63" s="426"/>
      <c r="CA63" s="427"/>
      <c r="CB63" s="425" t="s">
        <v>149</v>
      </c>
      <c r="CC63" s="426"/>
      <c r="CD63" s="426"/>
      <c r="CE63" s="426"/>
      <c r="CF63" s="426"/>
      <c r="CG63" s="426"/>
      <c r="CH63" s="428"/>
    </row>
    <row r="64" spans="1:86" s="77" customFormat="1" ht="15.75" customHeight="1">
      <c r="A64" s="461"/>
      <c r="B64" s="462"/>
      <c r="C64" s="462"/>
      <c r="D64" s="462"/>
      <c r="E64" s="462"/>
      <c r="F64" s="462"/>
      <c r="G64" s="462"/>
      <c r="H64" s="462"/>
      <c r="I64" s="462"/>
      <c r="J64" s="462"/>
      <c r="K64" s="462"/>
      <c r="L64" s="462"/>
      <c r="M64" s="462"/>
      <c r="N64" s="463"/>
      <c r="O64" s="429" t="str">
        <f>K59</f>
        <v>アドオン設計書</v>
      </c>
      <c r="P64" s="430"/>
      <c r="Q64" s="430"/>
      <c r="R64" s="430"/>
      <c r="S64" s="430"/>
      <c r="T64" s="430"/>
      <c r="U64" s="430"/>
      <c r="V64" s="430"/>
      <c r="W64" s="430"/>
      <c r="X64" s="430"/>
      <c r="Y64" s="430"/>
      <c r="Z64" s="430"/>
      <c r="AA64" s="430"/>
      <c r="AB64" s="430"/>
      <c r="AC64" s="431" t="s">
        <v>152</v>
      </c>
      <c r="AD64" s="432"/>
      <c r="AE64" s="432"/>
      <c r="AF64" s="432"/>
      <c r="AG64" s="432"/>
      <c r="AH64" s="432"/>
      <c r="AI64" s="433"/>
      <c r="AJ64" s="434" t="str">
        <f>Z59</f>
        <v>MSBB</v>
      </c>
      <c r="AK64" s="435"/>
      <c r="AL64" s="435"/>
      <c r="AM64" s="435"/>
      <c r="AN64" s="435"/>
      <c r="AO64" s="435"/>
      <c r="AP64" s="436"/>
      <c r="AQ64" s="431" t="s">
        <v>153</v>
      </c>
      <c r="AR64" s="432"/>
      <c r="AS64" s="432"/>
      <c r="AT64" s="432"/>
      <c r="AU64" s="432"/>
      <c r="AV64" s="432"/>
      <c r="AW64" s="433"/>
      <c r="AX64" s="437" t="str">
        <f>AJ59</f>
        <v>販売Webシステム</v>
      </c>
      <c r="AY64" s="432"/>
      <c r="AZ64" s="432"/>
      <c r="BA64" s="432"/>
      <c r="BB64" s="432"/>
      <c r="BC64" s="432"/>
      <c r="BD64" s="432"/>
      <c r="BE64" s="432"/>
      <c r="BF64" s="432"/>
      <c r="BG64" s="432"/>
      <c r="BH64" s="432"/>
      <c r="BI64" s="432"/>
      <c r="BJ64" s="432"/>
      <c r="BK64" s="433"/>
      <c r="BL64" s="438" t="str">
        <f>AS59</f>
        <v>M7-US-1140</v>
      </c>
      <c r="BM64" s="430"/>
      <c r="BN64" s="430"/>
      <c r="BO64" s="430"/>
      <c r="BP64" s="430"/>
      <c r="BQ64" s="430"/>
      <c r="BR64" s="430"/>
      <c r="BS64" s="430"/>
      <c r="BT64" s="439"/>
      <c r="BU64" s="443" t="s">
        <v>154</v>
      </c>
      <c r="BV64" s="430"/>
      <c r="BW64" s="430"/>
      <c r="BX64" s="430"/>
      <c r="BY64" s="430"/>
      <c r="BZ64" s="430"/>
      <c r="CA64" s="439"/>
      <c r="CB64" s="445" cm="1">
        <f t="array" ref="CB64">MAX(_xlfn.NUMBERVALUE(改訂!A7:E50))</f>
        <v>2</v>
      </c>
      <c r="CC64" s="430"/>
      <c r="CD64" s="430"/>
      <c r="CE64" s="430"/>
      <c r="CF64" s="430"/>
      <c r="CG64" s="430"/>
      <c r="CH64" s="446"/>
    </row>
    <row r="65" spans="1:86" s="77" customFormat="1" ht="16.5" customHeight="1" thickBot="1">
      <c r="A65" s="464"/>
      <c r="B65" s="465"/>
      <c r="C65" s="465"/>
      <c r="D65" s="465"/>
      <c r="E65" s="465"/>
      <c r="F65" s="465"/>
      <c r="G65" s="465"/>
      <c r="H65" s="465"/>
      <c r="I65" s="465"/>
      <c r="J65" s="465"/>
      <c r="K65" s="465"/>
      <c r="L65" s="465"/>
      <c r="M65" s="465"/>
      <c r="N65" s="466"/>
      <c r="O65" s="448" t="str">
        <f ca="1">RIGHT(CELL("filename",$A$1),LEN(CELL("filename",$A$1))-FIND("]",CELL("filename",$A$1)))</f>
        <v>表紙</v>
      </c>
      <c r="P65" s="449"/>
      <c r="Q65" s="449"/>
      <c r="R65" s="449"/>
      <c r="S65" s="449"/>
      <c r="T65" s="449"/>
      <c r="U65" s="449"/>
      <c r="V65" s="449"/>
      <c r="W65" s="449"/>
      <c r="X65" s="449"/>
      <c r="Y65" s="449"/>
      <c r="Z65" s="449"/>
      <c r="AA65" s="449"/>
      <c r="AB65" s="449"/>
      <c r="AC65" s="450" t="s">
        <v>146</v>
      </c>
      <c r="AD65" s="451"/>
      <c r="AE65" s="451"/>
      <c r="AF65" s="451"/>
      <c r="AG65" s="451"/>
      <c r="AH65" s="451"/>
      <c r="AI65" s="452"/>
      <c r="AJ65" s="453" t="str">
        <f>Z60</f>
        <v>MSBBPA120</v>
      </c>
      <c r="AK65" s="454"/>
      <c r="AL65" s="454"/>
      <c r="AM65" s="454"/>
      <c r="AN65" s="454"/>
      <c r="AO65" s="454"/>
      <c r="AP65" s="454"/>
      <c r="AQ65" s="455" t="str">
        <f>AE60</f>
        <v>Web取引先マスタ一覧照会</v>
      </c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7"/>
      <c r="BL65" s="440"/>
      <c r="BM65" s="441"/>
      <c r="BN65" s="441"/>
      <c r="BO65" s="441"/>
      <c r="BP65" s="441"/>
      <c r="BQ65" s="441"/>
      <c r="BR65" s="441"/>
      <c r="BS65" s="441"/>
      <c r="BT65" s="442"/>
      <c r="BU65" s="440"/>
      <c r="BV65" s="441"/>
      <c r="BW65" s="441"/>
      <c r="BX65" s="441"/>
      <c r="BY65" s="441"/>
      <c r="BZ65" s="441"/>
      <c r="CA65" s="442"/>
      <c r="CB65" s="440"/>
      <c r="CC65" s="441"/>
      <c r="CD65" s="441"/>
      <c r="CE65" s="441"/>
      <c r="CF65" s="441"/>
      <c r="CG65" s="441"/>
      <c r="CH65" s="447"/>
    </row>
  </sheetData>
  <mergeCells count="95">
    <mergeCell ref="AC3:AH4"/>
    <mergeCell ref="AI3:AM4"/>
    <mergeCell ref="AN3:AT4"/>
    <mergeCell ref="AC5:AH5"/>
    <mergeCell ref="AI5:AM5"/>
    <mergeCell ref="AN5:AT5"/>
    <mergeCell ref="M7:AJ9"/>
    <mergeCell ref="M10:AJ12"/>
    <mergeCell ref="M16:T17"/>
    <mergeCell ref="U16:AJ17"/>
    <mergeCell ref="M18:T19"/>
    <mergeCell ref="U18:AJ19"/>
    <mergeCell ref="M20:T21"/>
    <mergeCell ref="U20:AJ21"/>
    <mergeCell ref="M22:T23"/>
    <mergeCell ref="U22:AJ23"/>
    <mergeCell ref="M24:T25"/>
    <mergeCell ref="U24:AJ25"/>
    <mergeCell ref="M26:T27"/>
    <mergeCell ref="U26:AB27"/>
    <mergeCell ref="AC26:AD27"/>
    <mergeCell ref="AE26:AJ27"/>
    <mergeCell ref="M28:T29"/>
    <mergeCell ref="U28:AJ2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A48:F49"/>
    <mergeCell ref="G48:L49"/>
    <mergeCell ref="M48:U49"/>
    <mergeCell ref="V48:AA49"/>
    <mergeCell ref="AB48:AG49"/>
    <mergeCell ref="W42:Z43"/>
    <mergeCell ref="AB42:AE43"/>
    <mergeCell ref="AG42:AJ43"/>
    <mergeCell ref="C43:H44"/>
    <mergeCell ref="C45:H45"/>
    <mergeCell ref="A58:J60"/>
    <mergeCell ref="K58:T58"/>
    <mergeCell ref="U58:Y58"/>
    <mergeCell ref="Z58:AD58"/>
    <mergeCell ref="AE58:AI58"/>
    <mergeCell ref="A50:F51"/>
    <mergeCell ref="G50:L51"/>
    <mergeCell ref="M50:U51"/>
    <mergeCell ref="V50:AA51"/>
    <mergeCell ref="AB50:AG51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63:N65"/>
    <mergeCell ref="O63:AB63"/>
    <mergeCell ref="AC63:AI63"/>
    <mergeCell ref="AJ63:AP63"/>
    <mergeCell ref="AQ63:AW63"/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</mergeCells>
  <phoneticPr fontId="8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9B25FFAA-EAB6-46C2-BC05-BBB38D11C4C7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84"/>
  <sheetViews>
    <sheetView view="pageBreakPreview" zoomScale="85" zoomScaleNormal="55" zoomScaleSheetLayoutView="85" zoomScalePageLayoutView="70" workbookViewId="0">
      <selection activeCell="F29" sqref="F29:BB30"/>
    </sheetView>
  </sheetViews>
  <sheetFormatPr defaultColWidth="2.125" defaultRowHeight="15.75"/>
  <cols>
    <col min="1" max="56" width="2.125" style="86" customWidth="1"/>
    <col min="57" max="16384" width="2.125" style="86"/>
  </cols>
  <sheetData>
    <row r="1" spans="1:74" ht="19.5" customHeight="1">
      <c r="A1" s="746" t="s">
        <v>155</v>
      </c>
      <c r="B1" s="747"/>
      <c r="C1" s="747"/>
      <c r="D1" s="747"/>
      <c r="E1" s="747"/>
      <c r="F1" s="747"/>
      <c r="G1" s="747"/>
      <c r="H1" s="747"/>
      <c r="I1" s="747"/>
      <c r="J1" s="748"/>
      <c r="K1" s="752" t="s">
        <v>156</v>
      </c>
      <c r="L1" s="753"/>
      <c r="M1" s="753"/>
      <c r="N1" s="753"/>
      <c r="O1" s="753"/>
      <c r="P1" s="753"/>
      <c r="Q1" s="753"/>
      <c r="R1" s="753"/>
      <c r="S1" s="753"/>
      <c r="T1" s="753"/>
      <c r="U1" s="753"/>
      <c r="V1" s="753"/>
      <c r="W1" s="753"/>
      <c r="X1" s="753"/>
      <c r="Y1" s="753"/>
      <c r="Z1" s="753"/>
      <c r="AA1" s="753"/>
      <c r="AB1" s="753"/>
      <c r="AC1" s="753"/>
      <c r="AD1" s="753"/>
      <c r="AE1" s="753"/>
      <c r="AF1" s="753"/>
      <c r="AG1" s="753"/>
      <c r="AH1" s="753"/>
      <c r="AI1" s="753"/>
      <c r="AJ1" s="753"/>
      <c r="AK1" s="753"/>
      <c r="AL1" s="753"/>
      <c r="AM1" s="753"/>
      <c r="AN1" s="753"/>
      <c r="AO1" s="753"/>
      <c r="AP1" s="753"/>
      <c r="AQ1" s="753"/>
      <c r="AR1" s="753"/>
      <c r="AS1" s="753"/>
      <c r="AT1" s="754"/>
      <c r="AU1" s="728" t="s">
        <v>157</v>
      </c>
      <c r="AV1" s="729"/>
      <c r="AW1" s="729"/>
      <c r="AX1" s="729"/>
      <c r="AY1" s="758"/>
      <c r="AZ1" s="759" t="s">
        <v>158</v>
      </c>
      <c r="BA1" s="760"/>
      <c r="BB1" s="760"/>
      <c r="BC1" s="760"/>
      <c r="BD1" s="761"/>
      <c r="BE1" s="728" t="s">
        <v>159</v>
      </c>
      <c r="BF1" s="729"/>
      <c r="BG1" s="729"/>
      <c r="BH1" s="729"/>
      <c r="BI1" s="758"/>
      <c r="BJ1" s="762">
        <f>表紙!W42</f>
        <v>44805</v>
      </c>
      <c r="BK1" s="763"/>
      <c r="BL1" s="763"/>
      <c r="BM1" s="763"/>
      <c r="BN1" s="763"/>
      <c r="BO1" s="764"/>
      <c r="BP1" s="728" t="s">
        <v>149</v>
      </c>
      <c r="BQ1" s="729"/>
      <c r="BR1" s="729"/>
      <c r="BS1" s="729"/>
      <c r="BT1" s="729"/>
      <c r="BU1" s="729"/>
      <c r="BV1" s="730"/>
    </row>
    <row r="2" spans="1:74" ht="19.5" customHeight="1" thickBot="1">
      <c r="A2" s="749"/>
      <c r="B2" s="750"/>
      <c r="C2" s="750"/>
      <c r="D2" s="750"/>
      <c r="E2" s="750"/>
      <c r="F2" s="750"/>
      <c r="G2" s="750"/>
      <c r="H2" s="750"/>
      <c r="I2" s="750"/>
      <c r="J2" s="751"/>
      <c r="K2" s="755"/>
      <c r="L2" s="756"/>
      <c r="M2" s="756"/>
      <c r="N2" s="756"/>
      <c r="O2" s="756"/>
      <c r="P2" s="756"/>
      <c r="Q2" s="756"/>
      <c r="R2" s="756"/>
      <c r="S2" s="756"/>
      <c r="T2" s="756"/>
      <c r="U2" s="756"/>
      <c r="V2" s="756"/>
      <c r="W2" s="756"/>
      <c r="X2" s="756"/>
      <c r="Y2" s="756"/>
      <c r="Z2" s="756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56"/>
      <c r="AL2" s="756"/>
      <c r="AM2" s="756"/>
      <c r="AN2" s="756"/>
      <c r="AO2" s="756"/>
      <c r="AP2" s="756"/>
      <c r="AQ2" s="756"/>
      <c r="AR2" s="756"/>
      <c r="AS2" s="756"/>
      <c r="AT2" s="757"/>
      <c r="AU2" s="731" t="s">
        <v>160</v>
      </c>
      <c r="AV2" s="732"/>
      <c r="AW2" s="732"/>
      <c r="AX2" s="732"/>
      <c r="AY2" s="733"/>
      <c r="AZ2" s="734" t="str">
        <f>BM10</f>
        <v>MDSOL
野村</v>
      </c>
      <c r="BA2" s="735"/>
      <c r="BB2" s="735"/>
      <c r="BC2" s="735"/>
      <c r="BD2" s="736"/>
      <c r="BE2" s="737" t="s">
        <v>161</v>
      </c>
      <c r="BF2" s="738"/>
      <c r="BG2" s="738"/>
      <c r="BH2" s="738"/>
      <c r="BI2" s="739"/>
      <c r="BJ2" s="740">
        <f>BM9</f>
        <v>44910</v>
      </c>
      <c r="BK2" s="741"/>
      <c r="BL2" s="741"/>
      <c r="BM2" s="741"/>
      <c r="BN2" s="741"/>
      <c r="BO2" s="742"/>
      <c r="BP2" s="743">
        <f>表紙!CB64</f>
        <v>2</v>
      </c>
      <c r="BQ2" s="744"/>
      <c r="BR2" s="744"/>
      <c r="BS2" s="744"/>
      <c r="BT2" s="744"/>
      <c r="BU2" s="744"/>
      <c r="BV2" s="745"/>
    </row>
    <row r="3" spans="1:74" ht="6.75" customHeight="1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8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</row>
    <row r="4" spans="1:74" ht="17.25" thickBot="1">
      <c r="A4" s="89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8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</row>
    <row r="5" spans="1:74" ht="13.5" customHeight="1">
      <c r="A5" s="691" t="s">
        <v>149</v>
      </c>
      <c r="B5" s="692"/>
      <c r="C5" s="692"/>
      <c r="D5" s="692"/>
      <c r="E5" s="693"/>
      <c r="F5" s="697" t="s">
        <v>162</v>
      </c>
      <c r="G5" s="698"/>
      <c r="H5" s="698"/>
      <c r="I5" s="698"/>
      <c r="J5" s="698"/>
      <c r="K5" s="698"/>
      <c r="L5" s="698"/>
      <c r="M5" s="698"/>
      <c r="N5" s="698"/>
      <c r="O5" s="698"/>
      <c r="P5" s="698"/>
      <c r="Q5" s="698"/>
      <c r="R5" s="698"/>
      <c r="S5" s="698"/>
      <c r="T5" s="698"/>
      <c r="U5" s="698"/>
      <c r="V5" s="698"/>
      <c r="W5" s="698"/>
      <c r="X5" s="698"/>
      <c r="Y5" s="698"/>
      <c r="Z5" s="698"/>
      <c r="AA5" s="698"/>
      <c r="AB5" s="698"/>
      <c r="AC5" s="698"/>
      <c r="AD5" s="698"/>
      <c r="AE5" s="698"/>
      <c r="AF5" s="698"/>
      <c r="AG5" s="698"/>
      <c r="AH5" s="698"/>
      <c r="AI5" s="698"/>
      <c r="AJ5" s="698"/>
      <c r="AK5" s="698"/>
      <c r="AL5" s="698"/>
      <c r="AM5" s="698"/>
      <c r="AN5" s="698"/>
      <c r="AO5" s="698"/>
      <c r="AP5" s="698"/>
      <c r="AQ5" s="698"/>
      <c r="AR5" s="698"/>
      <c r="AS5" s="698"/>
      <c r="AT5" s="698"/>
      <c r="AU5" s="698"/>
      <c r="AV5" s="698"/>
      <c r="AW5" s="698"/>
      <c r="AX5" s="698"/>
      <c r="AY5" s="698"/>
      <c r="AZ5" s="698"/>
      <c r="BA5" s="698"/>
      <c r="BB5" s="699"/>
      <c r="BC5" s="703" t="s">
        <v>163</v>
      </c>
      <c r="BD5" s="692"/>
      <c r="BE5" s="692"/>
      <c r="BF5" s="692"/>
      <c r="BG5" s="692"/>
      <c r="BH5" s="692"/>
      <c r="BI5" s="692"/>
      <c r="BJ5" s="692"/>
      <c r="BK5" s="692"/>
      <c r="BL5" s="693"/>
      <c r="BM5" s="707" t="s">
        <v>164</v>
      </c>
      <c r="BN5" s="692"/>
      <c r="BO5" s="692"/>
      <c r="BP5" s="692"/>
      <c r="BQ5" s="693"/>
      <c r="BR5" s="707" t="s">
        <v>165</v>
      </c>
      <c r="BS5" s="692"/>
      <c r="BT5" s="692"/>
      <c r="BU5" s="692"/>
      <c r="BV5" s="709"/>
    </row>
    <row r="6" spans="1:74" ht="13.5" customHeight="1" thickBot="1">
      <c r="A6" s="694"/>
      <c r="B6" s="695"/>
      <c r="C6" s="695"/>
      <c r="D6" s="695"/>
      <c r="E6" s="696"/>
      <c r="F6" s="700"/>
      <c r="G6" s="701"/>
      <c r="H6" s="701"/>
      <c r="I6" s="701"/>
      <c r="J6" s="701"/>
      <c r="K6" s="701"/>
      <c r="L6" s="701"/>
      <c r="M6" s="701"/>
      <c r="N6" s="701"/>
      <c r="O6" s="701"/>
      <c r="P6" s="701"/>
      <c r="Q6" s="701"/>
      <c r="R6" s="701"/>
      <c r="S6" s="701"/>
      <c r="T6" s="701"/>
      <c r="U6" s="701"/>
      <c r="V6" s="701"/>
      <c r="W6" s="701"/>
      <c r="X6" s="701"/>
      <c r="Y6" s="701"/>
      <c r="Z6" s="701"/>
      <c r="AA6" s="701"/>
      <c r="AB6" s="701"/>
      <c r="AC6" s="701"/>
      <c r="AD6" s="701"/>
      <c r="AE6" s="701"/>
      <c r="AF6" s="701"/>
      <c r="AG6" s="701"/>
      <c r="AH6" s="701"/>
      <c r="AI6" s="701"/>
      <c r="AJ6" s="701"/>
      <c r="AK6" s="701"/>
      <c r="AL6" s="701"/>
      <c r="AM6" s="701"/>
      <c r="AN6" s="701"/>
      <c r="AO6" s="701"/>
      <c r="AP6" s="701"/>
      <c r="AQ6" s="701"/>
      <c r="AR6" s="701"/>
      <c r="AS6" s="701"/>
      <c r="AT6" s="701"/>
      <c r="AU6" s="701"/>
      <c r="AV6" s="701"/>
      <c r="AW6" s="701"/>
      <c r="AX6" s="701"/>
      <c r="AY6" s="701"/>
      <c r="AZ6" s="701"/>
      <c r="BA6" s="701"/>
      <c r="BB6" s="702"/>
      <c r="BC6" s="704"/>
      <c r="BD6" s="705"/>
      <c r="BE6" s="705"/>
      <c r="BF6" s="705"/>
      <c r="BG6" s="705"/>
      <c r="BH6" s="705"/>
      <c r="BI6" s="705"/>
      <c r="BJ6" s="705"/>
      <c r="BK6" s="705"/>
      <c r="BL6" s="706"/>
      <c r="BM6" s="708"/>
      <c r="BN6" s="695"/>
      <c r="BO6" s="695"/>
      <c r="BP6" s="695"/>
      <c r="BQ6" s="696"/>
      <c r="BR6" s="708"/>
      <c r="BS6" s="695"/>
      <c r="BT6" s="695"/>
      <c r="BU6" s="695"/>
      <c r="BV6" s="710"/>
    </row>
    <row r="7" spans="1:74" ht="13.5" customHeight="1" thickTop="1">
      <c r="A7" s="711">
        <v>1</v>
      </c>
      <c r="B7" s="712"/>
      <c r="C7" s="712"/>
      <c r="D7" s="712"/>
      <c r="E7" s="713"/>
      <c r="F7" s="717" t="s">
        <v>166</v>
      </c>
      <c r="G7" s="718"/>
      <c r="H7" s="718"/>
      <c r="I7" s="718"/>
      <c r="J7" s="718"/>
      <c r="K7" s="718"/>
      <c r="L7" s="718"/>
      <c r="M7" s="718"/>
      <c r="N7" s="718"/>
      <c r="O7" s="718"/>
      <c r="P7" s="718"/>
      <c r="Q7" s="718"/>
      <c r="R7" s="718"/>
      <c r="S7" s="718"/>
      <c r="T7" s="718"/>
      <c r="U7" s="718"/>
      <c r="V7" s="718"/>
      <c r="W7" s="718"/>
      <c r="X7" s="718"/>
      <c r="Y7" s="718"/>
      <c r="Z7" s="718"/>
      <c r="AA7" s="718"/>
      <c r="AB7" s="718"/>
      <c r="AC7" s="718"/>
      <c r="AD7" s="718"/>
      <c r="AE7" s="718"/>
      <c r="AF7" s="718"/>
      <c r="AG7" s="718"/>
      <c r="AH7" s="718"/>
      <c r="AI7" s="718"/>
      <c r="AJ7" s="718"/>
      <c r="AK7" s="718"/>
      <c r="AL7" s="718"/>
      <c r="AM7" s="718"/>
      <c r="AN7" s="718"/>
      <c r="AO7" s="718"/>
      <c r="AP7" s="718"/>
      <c r="AQ7" s="718"/>
      <c r="AR7" s="718"/>
      <c r="AS7" s="718"/>
      <c r="AT7" s="718"/>
      <c r="AU7" s="718"/>
      <c r="AV7" s="718"/>
      <c r="AW7" s="718"/>
      <c r="AX7" s="718"/>
      <c r="AY7" s="718"/>
      <c r="AZ7" s="718"/>
      <c r="BA7" s="718"/>
      <c r="BB7" s="719"/>
      <c r="BC7" s="720"/>
      <c r="BD7" s="721"/>
      <c r="BE7" s="721"/>
      <c r="BF7" s="721"/>
      <c r="BG7" s="721"/>
      <c r="BH7" s="721"/>
      <c r="BI7" s="721"/>
      <c r="BJ7" s="721"/>
      <c r="BK7" s="721"/>
      <c r="BL7" s="722"/>
      <c r="BM7" s="723"/>
      <c r="BN7" s="724"/>
      <c r="BO7" s="724"/>
      <c r="BP7" s="724"/>
      <c r="BQ7" s="725"/>
      <c r="BR7" s="726"/>
      <c r="BS7" s="724"/>
      <c r="BT7" s="724"/>
      <c r="BU7" s="724"/>
      <c r="BV7" s="727"/>
    </row>
    <row r="8" spans="1:74" ht="13.5" customHeight="1">
      <c r="A8" s="714"/>
      <c r="B8" s="715"/>
      <c r="C8" s="715"/>
      <c r="D8" s="715"/>
      <c r="E8" s="716"/>
      <c r="F8" s="673"/>
      <c r="G8" s="674"/>
      <c r="H8" s="674"/>
      <c r="I8" s="674"/>
      <c r="J8" s="674"/>
      <c r="K8" s="674"/>
      <c r="L8" s="674"/>
      <c r="M8" s="674"/>
      <c r="N8" s="674"/>
      <c r="O8" s="674"/>
      <c r="P8" s="674"/>
      <c r="Q8" s="674"/>
      <c r="R8" s="674"/>
      <c r="S8" s="674"/>
      <c r="T8" s="674"/>
      <c r="U8" s="674"/>
      <c r="V8" s="674"/>
      <c r="W8" s="674"/>
      <c r="X8" s="674"/>
      <c r="Y8" s="674"/>
      <c r="Z8" s="674"/>
      <c r="AA8" s="674"/>
      <c r="AB8" s="674"/>
      <c r="AC8" s="674"/>
      <c r="AD8" s="674"/>
      <c r="AE8" s="674"/>
      <c r="AF8" s="674"/>
      <c r="AG8" s="674"/>
      <c r="AH8" s="674"/>
      <c r="AI8" s="674"/>
      <c r="AJ8" s="674"/>
      <c r="AK8" s="674"/>
      <c r="AL8" s="674"/>
      <c r="AM8" s="674"/>
      <c r="AN8" s="674"/>
      <c r="AO8" s="674"/>
      <c r="AP8" s="674"/>
      <c r="AQ8" s="674"/>
      <c r="AR8" s="674"/>
      <c r="AS8" s="674"/>
      <c r="AT8" s="674"/>
      <c r="AU8" s="674"/>
      <c r="AV8" s="674"/>
      <c r="AW8" s="674"/>
      <c r="AX8" s="674"/>
      <c r="AY8" s="674"/>
      <c r="AZ8" s="674"/>
      <c r="BA8" s="674"/>
      <c r="BB8" s="675"/>
      <c r="BC8" s="653"/>
      <c r="BD8" s="651"/>
      <c r="BE8" s="651"/>
      <c r="BF8" s="651"/>
      <c r="BG8" s="651"/>
      <c r="BH8" s="651"/>
      <c r="BI8" s="651"/>
      <c r="BJ8" s="651"/>
      <c r="BK8" s="651"/>
      <c r="BL8" s="652"/>
      <c r="BM8" s="654"/>
      <c r="BN8" s="655"/>
      <c r="BO8" s="655"/>
      <c r="BP8" s="655"/>
      <c r="BQ8" s="656"/>
      <c r="BR8" s="654"/>
      <c r="BS8" s="655"/>
      <c r="BT8" s="655"/>
      <c r="BU8" s="655"/>
      <c r="BV8" s="657"/>
    </row>
    <row r="9" spans="1:74" ht="18" customHeight="1">
      <c r="A9" s="677">
        <v>2</v>
      </c>
      <c r="B9" s="678"/>
      <c r="C9" s="678"/>
      <c r="D9" s="678"/>
      <c r="E9" s="679"/>
      <c r="F9" s="683" t="s">
        <v>633</v>
      </c>
      <c r="G9" s="667"/>
      <c r="H9" s="667"/>
      <c r="I9" s="667"/>
      <c r="J9" s="667"/>
      <c r="K9" s="667"/>
      <c r="L9" s="667"/>
      <c r="M9" s="667"/>
      <c r="N9" s="667"/>
      <c r="O9" s="667"/>
      <c r="P9" s="667"/>
      <c r="Q9" s="667"/>
      <c r="R9" s="667"/>
      <c r="S9" s="667"/>
      <c r="T9" s="667"/>
      <c r="U9" s="667"/>
      <c r="V9" s="667"/>
      <c r="W9" s="667"/>
      <c r="X9" s="667"/>
      <c r="Y9" s="667"/>
      <c r="Z9" s="667"/>
      <c r="AA9" s="667"/>
      <c r="AB9" s="667"/>
      <c r="AC9" s="667"/>
      <c r="AD9" s="667"/>
      <c r="AE9" s="667"/>
      <c r="AF9" s="667"/>
      <c r="AG9" s="667"/>
      <c r="AH9" s="667"/>
      <c r="AI9" s="667"/>
      <c r="AJ9" s="667"/>
      <c r="AK9" s="667"/>
      <c r="AL9" s="667"/>
      <c r="AM9" s="667"/>
      <c r="AN9" s="667"/>
      <c r="AO9" s="667"/>
      <c r="AP9" s="667"/>
      <c r="AQ9" s="667"/>
      <c r="AR9" s="667"/>
      <c r="AS9" s="667"/>
      <c r="AT9" s="667"/>
      <c r="AU9" s="667"/>
      <c r="AV9" s="667"/>
      <c r="AW9" s="667"/>
      <c r="AX9" s="667"/>
      <c r="AY9" s="667"/>
      <c r="AZ9" s="667"/>
      <c r="BA9" s="667"/>
      <c r="BB9" s="668"/>
      <c r="BC9" s="684" t="s">
        <v>600</v>
      </c>
      <c r="BD9" s="685"/>
      <c r="BE9" s="685"/>
      <c r="BF9" s="685"/>
      <c r="BG9" s="685"/>
      <c r="BH9" s="685"/>
      <c r="BI9" s="685"/>
      <c r="BJ9" s="685"/>
      <c r="BK9" s="685"/>
      <c r="BL9" s="686"/>
      <c r="BM9" s="672">
        <v>44910</v>
      </c>
      <c r="BN9" s="643"/>
      <c r="BO9" s="643"/>
      <c r="BP9" s="643"/>
      <c r="BQ9" s="644"/>
      <c r="BR9" s="676">
        <v>44911</v>
      </c>
      <c r="BS9" s="643"/>
      <c r="BT9" s="643"/>
      <c r="BU9" s="643"/>
      <c r="BV9" s="645"/>
    </row>
    <row r="10" spans="1:74" ht="32.1" customHeight="1">
      <c r="A10" s="680"/>
      <c r="B10" s="681"/>
      <c r="C10" s="681"/>
      <c r="D10" s="681"/>
      <c r="E10" s="682"/>
      <c r="F10" s="669"/>
      <c r="G10" s="670"/>
      <c r="H10" s="670"/>
      <c r="I10" s="670"/>
      <c r="J10" s="670"/>
      <c r="K10" s="670"/>
      <c r="L10" s="670"/>
      <c r="M10" s="670"/>
      <c r="N10" s="670"/>
      <c r="O10" s="670"/>
      <c r="P10" s="670"/>
      <c r="Q10" s="670"/>
      <c r="R10" s="670"/>
      <c r="S10" s="670"/>
      <c r="T10" s="670"/>
      <c r="U10" s="670"/>
      <c r="V10" s="670"/>
      <c r="W10" s="670"/>
      <c r="X10" s="670"/>
      <c r="Y10" s="670"/>
      <c r="Z10" s="670"/>
      <c r="AA10" s="670"/>
      <c r="AB10" s="670"/>
      <c r="AC10" s="670"/>
      <c r="AD10" s="670"/>
      <c r="AE10" s="670"/>
      <c r="AF10" s="670"/>
      <c r="AG10" s="670"/>
      <c r="AH10" s="670"/>
      <c r="AI10" s="670"/>
      <c r="AJ10" s="670"/>
      <c r="AK10" s="670"/>
      <c r="AL10" s="670"/>
      <c r="AM10" s="670"/>
      <c r="AN10" s="670"/>
      <c r="AO10" s="670"/>
      <c r="AP10" s="670"/>
      <c r="AQ10" s="670"/>
      <c r="AR10" s="670"/>
      <c r="AS10" s="670"/>
      <c r="AT10" s="670"/>
      <c r="AU10" s="670"/>
      <c r="AV10" s="670"/>
      <c r="AW10" s="670"/>
      <c r="AX10" s="670"/>
      <c r="AY10" s="670"/>
      <c r="AZ10" s="670"/>
      <c r="BA10" s="670"/>
      <c r="BB10" s="671"/>
      <c r="BC10" s="687"/>
      <c r="BD10" s="688"/>
      <c r="BE10" s="688"/>
      <c r="BF10" s="688"/>
      <c r="BG10" s="688"/>
      <c r="BH10" s="688"/>
      <c r="BI10" s="688"/>
      <c r="BJ10" s="688"/>
      <c r="BK10" s="688"/>
      <c r="BL10" s="689"/>
      <c r="BM10" s="690" t="s">
        <v>634</v>
      </c>
      <c r="BN10" s="655"/>
      <c r="BO10" s="655"/>
      <c r="BP10" s="655"/>
      <c r="BQ10" s="656"/>
      <c r="BR10" s="690" t="s">
        <v>632</v>
      </c>
      <c r="BS10" s="655"/>
      <c r="BT10" s="655"/>
      <c r="BU10" s="655"/>
      <c r="BV10" s="657"/>
    </row>
    <row r="11" spans="1:74" ht="13.5" customHeight="1">
      <c r="A11" s="937">
        <v>2</v>
      </c>
      <c r="B11" s="678"/>
      <c r="C11" s="678"/>
      <c r="D11" s="678"/>
      <c r="E11" s="679"/>
      <c r="F11" s="666" t="s">
        <v>635</v>
      </c>
      <c r="G11" s="667"/>
      <c r="H11" s="667"/>
      <c r="I11" s="667"/>
      <c r="J11" s="667"/>
      <c r="K11" s="667"/>
      <c r="L11" s="667"/>
      <c r="M11" s="667"/>
      <c r="N11" s="667"/>
      <c r="O11" s="667"/>
      <c r="P11" s="667"/>
      <c r="Q11" s="667"/>
      <c r="R11" s="667"/>
      <c r="S11" s="667"/>
      <c r="T11" s="667"/>
      <c r="U11" s="667"/>
      <c r="V11" s="667"/>
      <c r="W11" s="667"/>
      <c r="X11" s="667"/>
      <c r="Y11" s="667"/>
      <c r="Z11" s="667"/>
      <c r="AA11" s="667"/>
      <c r="AB11" s="667"/>
      <c r="AC11" s="667"/>
      <c r="AD11" s="667"/>
      <c r="AE11" s="667"/>
      <c r="AF11" s="667"/>
      <c r="AG11" s="667"/>
      <c r="AH11" s="667"/>
      <c r="AI11" s="667"/>
      <c r="AJ11" s="667"/>
      <c r="AK11" s="667"/>
      <c r="AL11" s="667"/>
      <c r="AM11" s="667"/>
      <c r="AN11" s="667"/>
      <c r="AO11" s="667"/>
      <c r="AP11" s="667"/>
      <c r="AQ11" s="667"/>
      <c r="AR11" s="667"/>
      <c r="AS11" s="667"/>
      <c r="AT11" s="667"/>
      <c r="AU11" s="667"/>
      <c r="AV11" s="667"/>
      <c r="AW11" s="667"/>
      <c r="AX11" s="667"/>
      <c r="AY11" s="667"/>
      <c r="AZ11" s="667"/>
      <c r="BA11" s="667"/>
      <c r="BB11" s="668"/>
      <c r="BC11" s="938" t="s">
        <v>636</v>
      </c>
      <c r="BD11" s="635"/>
      <c r="BE11" s="635"/>
      <c r="BF11" s="635"/>
      <c r="BG11" s="635"/>
      <c r="BH11" s="635"/>
      <c r="BI11" s="635"/>
      <c r="BJ11" s="635"/>
      <c r="BK11" s="635"/>
      <c r="BL11" s="636"/>
      <c r="BM11" s="943">
        <v>44917</v>
      </c>
      <c r="BN11" s="944"/>
      <c r="BO11" s="944"/>
      <c r="BP11" s="944"/>
      <c r="BQ11" s="945"/>
      <c r="BR11" s="940"/>
      <c r="BS11" s="939"/>
      <c r="BT11" s="939"/>
      <c r="BU11" s="939"/>
      <c r="BV11" s="941"/>
    </row>
    <row r="12" spans="1:74" ht="13.5" customHeight="1">
      <c r="A12" s="680"/>
      <c r="B12" s="681"/>
      <c r="C12" s="681"/>
      <c r="D12" s="681"/>
      <c r="E12" s="682"/>
      <c r="F12" s="673"/>
      <c r="G12" s="674"/>
      <c r="H12" s="674"/>
      <c r="I12" s="674"/>
      <c r="J12" s="674"/>
      <c r="K12" s="674"/>
      <c r="L12" s="674"/>
      <c r="M12" s="674"/>
      <c r="N12" s="674"/>
      <c r="O12" s="674"/>
      <c r="P12" s="674"/>
      <c r="Q12" s="674"/>
      <c r="R12" s="674"/>
      <c r="S12" s="674"/>
      <c r="T12" s="674"/>
      <c r="U12" s="674"/>
      <c r="V12" s="674"/>
      <c r="W12" s="674"/>
      <c r="X12" s="674"/>
      <c r="Y12" s="674"/>
      <c r="Z12" s="674"/>
      <c r="AA12" s="674"/>
      <c r="AB12" s="674"/>
      <c r="AC12" s="674"/>
      <c r="AD12" s="674"/>
      <c r="AE12" s="674"/>
      <c r="AF12" s="674"/>
      <c r="AG12" s="674"/>
      <c r="AH12" s="674"/>
      <c r="AI12" s="674"/>
      <c r="AJ12" s="674"/>
      <c r="AK12" s="674"/>
      <c r="AL12" s="674"/>
      <c r="AM12" s="674"/>
      <c r="AN12" s="674"/>
      <c r="AO12" s="674"/>
      <c r="AP12" s="674"/>
      <c r="AQ12" s="674"/>
      <c r="AR12" s="674"/>
      <c r="AS12" s="674"/>
      <c r="AT12" s="674"/>
      <c r="AU12" s="674"/>
      <c r="AV12" s="674"/>
      <c r="AW12" s="674"/>
      <c r="AX12" s="674"/>
      <c r="AY12" s="674"/>
      <c r="AZ12" s="674"/>
      <c r="BA12" s="674"/>
      <c r="BB12" s="675"/>
      <c r="BC12" s="653"/>
      <c r="BD12" s="651"/>
      <c r="BE12" s="651"/>
      <c r="BF12" s="651"/>
      <c r="BG12" s="651"/>
      <c r="BH12" s="651"/>
      <c r="BI12" s="651"/>
      <c r="BJ12" s="651"/>
      <c r="BK12" s="651"/>
      <c r="BL12" s="652"/>
      <c r="BM12" s="654" t="s">
        <v>637</v>
      </c>
      <c r="BN12" s="655"/>
      <c r="BO12" s="655"/>
      <c r="BP12" s="655"/>
      <c r="BQ12" s="656"/>
      <c r="BR12" s="654"/>
      <c r="BS12" s="655"/>
      <c r="BT12" s="655"/>
      <c r="BU12" s="655"/>
      <c r="BV12" s="657"/>
    </row>
    <row r="13" spans="1:74" ht="13.5" customHeight="1">
      <c r="A13" s="937">
        <v>2</v>
      </c>
      <c r="B13" s="678"/>
      <c r="C13" s="678"/>
      <c r="D13" s="678"/>
      <c r="E13" s="679"/>
      <c r="F13" s="666" t="s">
        <v>638</v>
      </c>
      <c r="G13" s="667"/>
      <c r="H13" s="667"/>
      <c r="I13" s="667"/>
      <c r="J13" s="667"/>
      <c r="K13" s="667"/>
      <c r="L13" s="667"/>
      <c r="M13" s="667"/>
      <c r="N13" s="667"/>
      <c r="O13" s="667"/>
      <c r="P13" s="667"/>
      <c r="Q13" s="667"/>
      <c r="R13" s="667"/>
      <c r="S13" s="667"/>
      <c r="T13" s="667"/>
      <c r="U13" s="667"/>
      <c r="V13" s="667"/>
      <c r="W13" s="667"/>
      <c r="X13" s="667"/>
      <c r="Y13" s="667"/>
      <c r="Z13" s="667"/>
      <c r="AA13" s="667"/>
      <c r="AB13" s="667"/>
      <c r="AC13" s="667"/>
      <c r="AD13" s="667"/>
      <c r="AE13" s="667"/>
      <c r="AF13" s="667"/>
      <c r="AG13" s="667"/>
      <c r="AH13" s="667"/>
      <c r="AI13" s="667"/>
      <c r="AJ13" s="667"/>
      <c r="AK13" s="667"/>
      <c r="AL13" s="667"/>
      <c r="AM13" s="667"/>
      <c r="AN13" s="667"/>
      <c r="AO13" s="667"/>
      <c r="AP13" s="667"/>
      <c r="AQ13" s="667"/>
      <c r="AR13" s="667"/>
      <c r="AS13" s="667"/>
      <c r="AT13" s="667"/>
      <c r="AU13" s="667"/>
      <c r="AV13" s="667"/>
      <c r="AW13" s="667"/>
      <c r="AX13" s="667"/>
      <c r="AY13" s="667"/>
      <c r="AZ13" s="667"/>
      <c r="BA13" s="667"/>
      <c r="BB13" s="668"/>
      <c r="BC13" s="938" t="s">
        <v>639</v>
      </c>
      <c r="BD13" s="635"/>
      <c r="BE13" s="635"/>
      <c r="BF13" s="635"/>
      <c r="BG13" s="635"/>
      <c r="BH13" s="635"/>
      <c r="BI13" s="635"/>
      <c r="BJ13" s="635"/>
      <c r="BK13" s="635"/>
      <c r="BL13" s="636"/>
      <c r="BM13" s="943">
        <v>44931</v>
      </c>
      <c r="BN13" s="944"/>
      <c r="BO13" s="944"/>
      <c r="BP13" s="944"/>
      <c r="BQ13" s="945"/>
      <c r="BR13" s="942"/>
      <c r="BS13" s="939"/>
      <c r="BT13" s="939"/>
      <c r="BU13" s="939"/>
      <c r="BV13" s="941"/>
    </row>
    <row r="14" spans="1:74" ht="13.5" customHeight="1">
      <c r="A14" s="680"/>
      <c r="B14" s="681"/>
      <c r="C14" s="681"/>
      <c r="D14" s="681"/>
      <c r="E14" s="682"/>
      <c r="F14" s="673"/>
      <c r="G14" s="674"/>
      <c r="H14" s="674"/>
      <c r="I14" s="674"/>
      <c r="J14" s="674"/>
      <c r="K14" s="674"/>
      <c r="L14" s="674"/>
      <c r="M14" s="674"/>
      <c r="N14" s="674"/>
      <c r="O14" s="674"/>
      <c r="P14" s="674"/>
      <c r="Q14" s="674"/>
      <c r="R14" s="674"/>
      <c r="S14" s="674"/>
      <c r="T14" s="674"/>
      <c r="U14" s="674"/>
      <c r="V14" s="674"/>
      <c r="W14" s="674"/>
      <c r="X14" s="674"/>
      <c r="Y14" s="674"/>
      <c r="Z14" s="674"/>
      <c r="AA14" s="674"/>
      <c r="AB14" s="674"/>
      <c r="AC14" s="674"/>
      <c r="AD14" s="674"/>
      <c r="AE14" s="674"/>
      <c r="AF14" s="674"/>
      <c r="AG14" s="674"/>
      <c r="AH14" s="674"/>
      <c r="AI14" s="674"/>
      <c r="AJ14" s="674"/>
      <c r="AK14" s="674"/>
      <c r="AL14" s="674"/>
      <c r="AM14" s="674"/>
      <c r="AN14" s="674"/>
      <c r="AO14" s="674"/>
      <c r="AP14" s="674"/>
      <c r="AQ14" s="674"/>
      <c r="AR14" s="674"/>
      <c r="AS14" s="674"/>
      <c r="AT14" s="674"/>
      <c r="AU14" s="674"/>
      <c r="AV14" s="674"/>
      <c r="AW14" s="674"/>
      <c r="AX14" s="674"/>
      <c r="AY14" s="674"/>
      <c r="AZ14" s="674"/>
      <c r="BA14" s="674"/>
      <c r="BB14" s="675"/>
      <c r="BC14" s="653"/>
      <c r="BD14" s="651"/>
      <c r="BE14" s="651"/>
      <c r="BF14" s="651"/>
      <c r="BG14" s="651"/>
      <c r="BH14" s="651"/>
      <c r="BI14" s="651"/>
      <c r="BJ14" s="651"/>
      <c r="BK14" s="651"/>
      <c r="BL14" s="652"/>
      <c r="BM14" s="654" t="s">
        <v>637</v>
      </c>
      <c r="BN14" s="655"/>
      <c r="BO14" s="655"/>
      <c r="BP14" s="655"/>
      <c r="BQ14" s="656"/>
      <c r="BR14" s="662"/>
      <c r="BS14" s="663"/>
      <c r="BT14" s="663"/>
      <c r="BU14" s="663"/>
      <c r="BV14" s="665"/>
    </row>
    <row r="15" spans="1:74" ht="13.5" customHeight="1">
      <c r="A15" s="634"/>
      <c r="B15" s="635"/>
      <c r="C15" s="635"/>
      <c r="D15" s="635"/>
      <c r="E15" s="636"/>
      <c r="F15" s="640"/>
      <c r="G15" s="635"/>
      <c r="H15" s="635"/>
      <c r="I15" s="635"/>
      <c r="J15" s="635"/>
      <c r="K15" s="635"/>
      <c r="L15" s="635"/>
      <c r="M15" s="635"/>
      <c r="N15" s="635"/>
      <c r="O15" s="635"/>
      <c r="P15" s="635"/>
      <c r="Q15" s="635"/>
      <c r="R15" s="635"/>
      <c r="S15" s="635"/>
      <c r="T15" s="635"/>
      <c r="U15" s="635"/>
      <c r="V15" s="635"/>
      <c r="W15" s="635"/>
      <c r="X15" s="635"/>
      <c r="Y15" s="635"/>
      <c r="Z15" s="635"/>
      <c r="AA15" s="635"/>
      <c r="AB15" s="635"/>
      <c r="AC15" s="635"/>
      <c r="AD15" s="635"/>
      <c r="AE15" s="635"/>
      <c r="AF15" s="635"/>
      <c r="AG15" s="635"/>
      <c r="AH15" s="635"/>
      <c r="AI15" s="635"/>
      <c r="AJ15" s="635"/>
      <c r="AK15" s="635"/>
      <c r="AL15" s="635"/>
      <c r="AM15" s="635"/>
      <c r="AN15" s="635"/>
      <c r="AO15" s="635"/>
      <c r="AP15" s="635"/>
      <c r="AQ15" s="635"/>
      <c r="AR15" s="635"/>
      <c r="AS15" s="635"/>
      <c r="AT15" s="635"/>
      <c r="AU15" s="635"/>
      <c r="AV15" s="635"/>
      <c r="AW15" s="635"/>
      <c r="AX15" s="635"/>
      <c r="AY15" s="635"/>
      <c r="AZ15" s="635"/>
      <c r="BA15" s="635"/>
      <c r="BB15" s="636"/>
      <c r="BC15" s="640"/>
      <c r="BD15" s="635"/>
      <c r="BE15" s="635"/>
      <c r="BF15" s="635"/>
      <c r="BG15" s="635"/>
      <c r="BH15" s="635"/>
      <c r="BI15" s="635"/>
      <c r="BJ15" s="635"/>
      <c r="BK15" s="635"/>
      <c r="BL15" s="636"/>
      <c r="BM15" s="642"/>
      <c r="BN15" s="643"/>
      <c r="BO15" s="643"/>
      <c r="BP15" s="643"/>
      <c r="BQ15" s="644"/>
      <c r="BR15" s="642"/>
      <c r="BS15" s="643"/>
      <c r="BT15" s="643"/>
      <c r="BU15" s="643"/>
      <c r="BV15" s="645"/>
    </row>
    <row r="16" spans="1:74" ht="13.5" customHeight="1">
      <c r="A16" s="650"/>
      <c r="B16" s="651"/>
      <c r="C16" s="651"/>
      <c r="D16" s="651"/>
      <c r="E16" s="652"/>
      <c r="F16" s="653"/>
      <c r="G16" s="651"/>
      <c r="H16" s="651"/>
      <c r="I16" s="651"/>
      <c r="J16" s="651"/>
      <c r="K16" s="651"/>
      <c r="L16" s="651"/>
      <c r="M16" s="651"/>
      <c r="N16" s="651"/>
      <c r="O16" s="651"/>
      <c r="P16" s="651"/>
      <c r="Q16" s="651"/>
      <c r="R16" s="651"/>
      <c r="S16" s="651"/>
      <c r="T16" s="651"/>
      <c r="U16" s="651"/>
      <c r="V16" s="651"/>
      <c r="W16" s="651"/>
      <c r="X16" s="651"/>
      <c r="Y16" s="651"/>
      <c r="Z16" s="651"/>
      <c r="AA16" s="651"/>
      <c r="AB16" s="651"/>
      <c r="AC16" s="651"/>
      <c r="AD16" s="651"/>
      <c r="AE16" s="651"/>
      <c r="AF16" s="651"/>
      <c r="AG16" s="651"/>
      <c r="AH16" s="651"/>
      <c r="AI16" s="651"/>
      <c r="AJ16" s="651"/>
      <c r="AK16" s="651"/>
      <c r="AL16" s="651"/>
      <c r="AM16" s="651"/>
      <c r="AN16" s="651"/>
      <c r="AO16" s="651"/>
      <c r="AP16" s="651"/>
      <c r="AQ16" s="651"/>
      <c r="AR16" s="651"/>
      <c r="AS16" s="651"/>
      <c r="AT16" s="651"/>
      <c r="AU16" s="651"/>
      <c r="AV16" s="651"/>
      <c r="AW16" s="651"/>
      <c r="AX16" s="651"/>
      <c r="AY16" s="651"/>
      <c r="AZ16" s="651"/>
      <c r="BA16" s="651"/>
      <c r="BB16" s="652"/>
      <c r="BC16" s="653"/>
      <c r="BD16" s="651"/>
      <c r="BE16" s="651"/>
      <c r="BF16" s="651"/>
      <c r="BG16" s="651"/>
      <c r="BH16" s="651"/>
      <c r="BI16" s="651"/>
      <c r="BJ16" s="651"/>
      <c r="BK16" s="651"/>
      <c r="BL16" s="652"/>
      <c r="BM16" s="654"/>
      <c r="BN16" s="655"/>
      <c r="BO16" s="655"/>
      <c r="BP16" s="655"/>
      <c r="BQ16" s="656"/>
      <c r="BR16" s="654"/>
      <c r="BS16" s="655"/>
      <c r="BT16" s="655"/>
      <c r="BU16" s="655"/>
      <c r="BV16" s="657"/>
    </row>
    <row r="17" spans="1:74" ht="13.5" customHeight="1">
      <c r="A17" s="634"/>
      <c r="B17" s="635"/>
      <c r="C17" s="635"/>
      <c r="D17" s="635"/>
      <c r="E17" s="636"/>
      <c r="F17" s="640"/>
      <c r="G17" s="635"/>
      <c r="H17" s="635"/>
      <c r="I17" s="635"/>
      <c r="J17" s="635"/>
      <c r="K17" s="635"/>
      <c r="L17" s="635"/>
      <c r="M17" s="635"/>
      <c r="N17" s="635"/>
      <c r="O17" s="635"/>
      <c r="P17" s="635"/>
      <c r="Q17" s="635"/>
      <c r="R17" s="635"/>
      <c r="S17" s="635"/>
      <c r="T17" s="635"/>
      <c r="U17" s="635"/>
      <c r="V17" s="635"/>
      <c r="W17" s="635"/>
      <c r="X17" s="635"/>
      <c r="Y17" s="635"/>
      <c r="Z17" s="635"/>
      <c r="AA17" s="635"/>
      <c r="AB17" s="635"/>
      <c r="AC17" s="635"/>
      <c r="AD17" s="635"/>
      <c r="AE17" s="635"/>
      <c r="AF17" s="635"/>
      <c r="AG17" s="635"/>
      <c r="AH17" s="635"/>
      <c r="AI17" s="635"/>
      <c r="AJ17" s="635"/>
      <c r="AK17" s="635"/>
      <c r="AL17" s="635"/>
      <c r="AM17" s="635"/>
      <c r="AN17" s="635"/>
      <c r="AO17" s="635"/>
      <c r="AP17" s="635"/>
      <c r="AQ17" s="635"/>
      <c r="AR17" s="635"/>
      <c r="AS17" s="635"/>
      <c r="AT17" s="635"/>
      <c r="AU17" s="635"/>
      <c r="AV17" s="635"/>
      <c r="AW17" s="635"/>
      <c r="AX17" s="635"/>
      <c r="AY17" s="635"/>
      <c r="AZ17" s="635"/>
      <c r="BA17" s="635"/>
      <c r="BB17" s="636"/>
      <c r="BC17" s="640"/>
      <c r="BD17" s="635"/>
      <c r="BE17" s="635"/>
      <c r="BF17" s="635"/>
      <c r="BG17" s="635"/>
      <c r="BH17" s="635"/>
      <c r="BI17" s="635"/>
      <c r="BJ17" s="635"/>
      <c r="BK17" s="635"/>
      <c r="BL17" s="636"/>
      <c r="BM17" s="642"/>
      <c r="BN17" s="643"/>
      <c r="BO17" s="643"/>
      <c r="BP17" s="643"/>
      <c r="BQ17" s="644"/>
      <c r="BR17" s="642"/>
      <c r="BS17" s="643"/>
      <c r="BT17" s="643"/>
      <c r="BU17" s="643"/>
      <c r="BV17" s="645"/>
    </row>
    <row r="18" spans="1:74" ht="13.5" customHeight="1">
      <c r="A18" s="658"/>
      <c r="B18" s="659"/>
      <c r="C18" s="659"/>
      <c r="D18" s="659"/>
      <c r="E18" s="660"/>
      <c r="F18" s="661"/>
      <c r="G18" s="659"/>
      <c r="H18" s="659"/>
      <c r="I18" s="659"/>
      <c r="J18" s="659"/>
      <c r="K18" s="659"/>
      <c r="L18" s="659"/>
      <c r="M18" s="659"/>
      <c r="N18" s="659"/>
      <c r="O18" s="659"/>
      <c r="P18" s="659"/>
      <c r="Q18" s="659"/>
      <c r="R18" s="659"/>
      <c r="S18" s="659"/>
      <c r="T18" s="659"/>
      <c r="U18" s="659"/>
      <c r="V18" s="659"/>
      <c r="W18" s="659"/>
      <c r="X18" s="659"/>
      <c r="Y18" s="659"/>
      <c r="Z18" s="659"/>
      <c r="AA18" s="659"/>
      <c r="AB18" s="659"/>
      <c r="AC18" s="659"/>
      <c r="AD18" s="659"/>
      <c r="AE18" s="659"/>
      <c r="AF18" s="659"/>
      <c r="AG18" s="659"/>
      <c r="AH18" s="659"/>
      <c r="AI18" s="659"/>
      <c r="AJ18" s="659"/>
      <c r="AK18" s="659"/>
      <c r="AL18" s="659"/>
      <c r="AM18" s="659"/>
      <c r="AN18" s="659"/>
      <c r="AO18" s="659"/>
      <c r="AP18" s="659"/>
      <c r="AQ18" s="659"/>
      <c r="AR18" s="659"/>
      <c r="AS18" s="659"/>
      <c r="AT18" s="659"/>
      <c r="AU18" s="659"/>
      <c r="AV18" s="659"/>
      <c r="AW18" s="659"/>
      <c r="AX18" s="659"/>
      <c r="AY18" s="659"/>
      <c r="AZ18" s="659"/>
      <c r="BA18" s="659"/>
      <c r="BB18" s="660"/>
      <c r="BC18" s="661"/>
      <c r="BD18" s="659"/>
      <c r="BE18" s="659"/>
      <c r="BF18" s="659"/>
      <c r="BG18" s="659"/>
      <c r="BH18" s="659"/>
      <c r="BI18" s="659"/>
      <c r="BJ18" s="659"/>
      <c r="BK18" s="659"/>
      <c r="BL18" s="660"/>
      <c r="BM18" s="662"/>
      <c r="BN18" s="663"/>
      <c r="BO18" s="663"/>
      <c r="BP18" s="663"/>
      <c r="BQ18" s="664"/>
      <c r="BR18" s="662"/>
      <c r="BS18" s="663"/>
      <c r="BT18" s="663"/>
      <c r="BU18" s="663"/>
      <c r="BV18" s="665"/>
    </row>
    <row r="19" spans="1:74" ht="13.5" customHeight="1">
      <c r="A19" s="634"/>
      <c r="B19" s="635"/>
      <c r="C19" s="635"/>
      <c r="D19" s="635"/>
      <c r="E19" s="636"/>
      <c r="F19" s="640"/>
      <c r="G19" s="635"/>
      <c r="H19" s="635"/>
      <c r="I19" s="635"/>
      <c r="J19" s="635"/>
      <c r="K19" s="635"/>
      <c r="L19" s="635"/>
      <c r="M19" s="635"/>
      <c r="N19" s="635"/>
      <c r="O19" s="635"/>
      <c r="P19" s="635"/>
      <c r="Q19" s="635"/>
      <c r="R19" s="635"/>
      <c r="S19" s="635"/>
      <c r="T19" s="635"/>
      <c r="U19" s="635"/>
      <c r="V19" s="635"/>
      <c r="W19" s="635"/>
      <c r="X19" s="635"/>
      <c r="Y19" s="635"/>
      <c r="Z19" s="635"/>
      <c r="AA19" s="635"/>
      <c r="AB19" s="635"/>
      <c r="AC19" s="635"/>
      <c r="AD19" s="635"/>
      <c r="AE19" s="635"/>
      <c r="AF19" s="635"/>
      <c r="AG19" s="635"/>
      <c r="AH19" s="635"/>
      <c r="AI19" s="635"/>
      <c r="AJ19" s="635"/>
      <c r="AK19" s="635"/>
      <c r="AL19" s="635"/>
      <c r="AM19" s="635"/>
      <c r="AN19" s="635"/>
      <c r="AO19" s="635"/>
      <c r="AP19" s="635"/>
      <c r="AQ19" s="635"/>
      <c r="AR19" s="635"/>
      <c r="AS19" s="635"/>
      <c r="AT19" s="635"/>
      <c r="AU19" s="635"/>
      <c r="AV19" s="635"/>
      <c r="AW19" s="635"/>
      <c r="AX19" s="635"/>
      <c r="AY19" s="635"/>
      <c r="AZ19" s="635"/>
      <c r="BA19" s="635"/>
      <c r="BB19" s="636"/>
      <c r="BC19" s="640"/>
      <c r="BD19" s="635"/>
      <c r="BE19" s="635"/>
      <c r="BF19" s="635"/>
      <c r="BG19" s="635"/>
      <c r="BH19" s="635"/>
      <c r="BI19" s="635"/>
      <c r="BJ19" s="635"/>
      <c r="BK19" s="635"/>
      <c r="BL19" s="636"/>
      <c r="BM19" s="642"/>
      <c r="BN19" s="643"/>
      <c r="BO19" s="643"/>
      <c r="BP19" s="643"/>
      <c r="BQ19" s="644"/>
      <c r="BR19" s="642"/>
      <c r="BS19" s="643"/>
      <c r="BT19" s="643"/>
      <c r="BU19" s="643"/>
      <c r="BV19" s="645"/>
    </row>
    <row r="20" spans="1:74" ht="13.5" customHeight="1">
      <c r="A20" s="650"/>
      <c r="B20" s="651"/>
      <c r="C20" s="651"/>
      <c r="D20" s="651"/>
      <c r="E20" s="652"/>
      <c r="F20" s="653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1"/>
      <c r="AB20" s="651"/>
      <c r="AC20" s="651"/>
      <c r="AD20" s="651"/>
      <c r="AE20" s="651"/>
      <c r="AF20" s="651"/>
      <c r="AG20" s="651"/>
      <c r="AH20" s="651"/>
      <c r="AI20" s="651"/>
      <c r="AJ20" s="651"/>
      <c r="AK20" s="651"/>
      <c r="AL20" s="651"/>
      <c r="AM20" s="651"/>
      <c r="AN20" s="651"/>
      <c r="AO20" s="651"/>
      <c r="AP20" s="651"/>
      <c r="AQ20" s="651"/>
      <c r="AR20" s="651"/>
      <c r="AS20" s="651"/>
      <c r="AT20" s="651"/>
      <c r="AU20" s="651"/>
      <c r="AV20" s="651"/>
      <c r="AW20" s="651"/>
      <c r="AX20" s="651"/>
      <c r="AY20" s="651"/>
      <c r="AZ20" s="651"/>
      <c r="BA20" s="651"/>
      <c r="BB20" s="652"/>
      <c r="BC20" s="653"/>
      <c r="BD20" s="651"/>
      <c r="BE20" s="651"/>
      <c r="BF20" s="651"/>
      <c r="BG20" s="651"/>
      <c r="BH20" s="651"/>
      <c r="BI20" s="651"/>
      <c r="BJ20" s="651"/>
      <c r="BK20" s="651"/>
      <c r="BL20" s="652"/>
      <c r="BM20" s="654"/>
      <c r="BN20" s="655"/>
      <c r="BO20" s="655"/>
      <c r="BP20" s="655"/>
      <c r="BQ20" s="656"/>
      <c r="BR20" s="654"/>
      <c r="BS20" s="655"/>
      <c r="BT20" s="655"/>
      <c r="BU20" s="655"/>
      <c r="BV20" s="657"/>
    </row>
    <row r="21" spans="1:74" ht="13.5" customHeight="1">
      <c r="A21" s="634"/>
      <c r="B21" s="635"/>
      <c r="C21" s="635"/>
      <c r="D21" s="635"/>
      <c r="E21" s="636"/>
      <c r="F21" s="640"/>
      <c r="G21" s="635"/>
      <c r="H21" s="635"/>
      <c r="I21" s="635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5"/>
      <c r="W21" s="635"/>
      <c r="X21" s="635"/>
      <c r="Y21" s="635"/>
      <c r="Z21" s="635"/>
      <c r="AA21" s="635"/>
      <c r="AB21" s="635"/>
      <c r="AC21" s="635"/>
      <c r="AD21" s="635"/>
      <c r="AE21" s="635"/>
      <c r="AF21" s="635"/>
      <c r="AG21" s="635"/>
      <c r="AH21" s="635"/>
      <c r="AI21" s="635"/>
      <c r="AJ21" s="635"/>
      <c r="AK21" s="635"/>
      <c r="AL21" s="635"/>
      <c r="AM21" s="635"/>
      <c r="AN21" s="635"/>
      <c r="AO21" s="635"/>
      <c r="AP21" s="635"/>
      <c r="AQ21" s="635"/>
      <c r="AR21" s="635"/>
      <c r="AS21" s="635"/>
      <c r="AT21" s="635"/>
      <c r="AU21" s="635"/>
      <c r="AV21" s="635"/>
      <c r="AW21" s="635"/>
      <c r="AX21" s="635"/>
      <c r="AY21" s="635"/>
      <c r="AZ21" s="635"/>
      <c r="BA21" s="635"/>
      <c r="BB21" s="636"/>
      <c r="BC21" s="640"/>
      <c r="BD21" s="635"/>
      <c r="BE21" s="635"/>
      <c r="BF21" s="635"/>
      <c r="BG21" s="635"/>
      <c r="BH21" s="635"/>
      <c r="BI21" s="635"/>
      <c r="BJ21" s="635"/>
      <c r="BK21" s="635"/>
      <c r="BL21" s="636"/>
      <c r="BM21" s="642"/>
      <c r="BN21" s="643"/>
      <c r="BO21" s="643"/>
      <c r="BP21" s="643"/>
      <c r="BQ21" s="644"/>
      <c r="BR21" s="642"/>
      <c r="BS21" s="643"/>
      <c r="BT21" s="643"/>
      <c r="BU21" s="643"/>
      <c r="BV21" s="645"/>
    </row>
    <row r="22" spans="1:74" ht="13.5" customHeight="1">
      <c r="A22" s="658"/>
      <c r="B22" s="659"/>
      <c r="C22" s="659"/>
      <c r="D22" s="659"/>
      <c r="E22" s="660"/>
      <c r="F22" s="661"/>
      <c r="G22" s="659"/>
      <c r="H22" s="659"/>
      <c r="I22" s="659"/>
      <c r="J22" s="659"/>
      <c r="K22" s="659"/>
      <c r="L22" s="659"/>
      <c r="M22" s="659"/>
      <c r="N22" s="659"/>
      <c r="O22" s="659"/>
      <c r="P22" s="659"/>
      <c r="Q22" s="659"/>
      <c r="R22" s="659"/>
      <c r="S22" s="659"/>
      <c r="T22" s="659"/>
      <c r="U22" s="659"/>
      <c r="V22" s="659"/>
      <c r="W22" s="659"/>
      <c r="X22" s="659"/>
      <c r="Y22" s="659"/>
      <c r="Z22" s="659"/>
      <c r="AA22" s="659"/>
      <c r="AB22" s="659"/>
      <c r="AC22" s="659"/>
      <c r="AD22" s="659"/>
      <c r="AE22" s="659"/>
      <c r="AF22" s="659"/>
      <c r="AG22" s="659"/>
      <c r="AH22" s="659"/>
      <c r="AI22" s="659"/>
      <c r="AJ22" s="659"/>
      <c r="AK22" s="659"/>
      <c r="AL22" s="659"/>
      <c r="AM22" s="659"/>
      <c r="AN22" s="659"/>
      <c r="AO22" s="659"/>
      <c r="AP22" s="659"/>
      <c r="AQ22" s="659"/>
      <c r="AR22" s="659"/>
      <c r="AS22" s="659"/>
      <c r="AT22" s="659"/>
      <c r="AU22" s="659"/>
      <c r="AV22" s="659"/>
      <c r="AW22" s="659"/>
      <c r="AX22" s="659"/>
      <c r="AY22" s="659"/>
      <c r="AZ22" s="659"/>
      <c r="BA22" s="659"/>
      <c r="BB22" s="660"/>
      <c r="BC22" s="661"/>
      <c r="BD22" s="659"/>
      <c r="BE22" s="659"/>
      <c r="BF22" s="659"/>
      <c r="BG22" s="659"/>
      <c r="BH22" s="659"/>
      <c r="BI22" s="659"/>
      <c r="BJ22" s="659"/>
      <c r="BK22" s="659"/>
      <c r="BL22" s="660"/>
      <c r="BM22" s="662"/>
      <c r="BN22" s="663"/>
      <c r="BO22" s="663"/>
      <c r="BP22" s="663"/>
      <c r="BQ22" s="664"/>
      <c r="BR22" s="662"/>
      <c r="BS22" s="663"/>
      <c r="BT22" s="663"/>
      <c r="BU22" s="663"/>
      <c r="BV22" s="665"/>
    </row>
    <row r="23" spans="1:74" ht="13.5" customHeight="1">
      <c r="A23" s="634"/>
      <c r="B23" s="635"/>
      <c r="C23" s="635"/>
      <c r="D23" s="635"/>
      <c r="E23" s="636"/>
      <c r="F23" s="640"/>
      <c r="G23" s="635"/>
      <c r="H23" s="635"/>
      <c r="I23" s="635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5"/>
      <c r="W23" s="635"/>
      <c r="X23" s="635"/>
      <c r="Y23" s="635"/>
      <c r="Z23" s="635"/>
      <c r="AA23" s="635"/>
      <c r="AB23" s="635"/>
      <c r="AC23" s="635"/>
      <c r="AD23" s="635"/>
      <c r="AE23" s="635"/>
      <c r="AF23" s="635"/>
      <c r="AG23" s="635"/>
      <c r="AH23" s="635"/>
      <c r="AI23" s="635"/>
      <c r="AJ23" s="635"/>
      <c r="AK23" s="635"/>
      <c r="AL23" s="635"/>
      <c r="AM23" s="635"/>
      <c r="AN23" s="635"/>
      <c r="AO23" s="635"/>
      <c r="AP23" s="635"/>
      <c r="AQ23" s="635"/>
      <c r="AR23" s="635"/>
      <c r="AS23" s="635"/>
      <c r="AT23" s="635"/>
      <c r="AU23" s="635"/>
      <c r="AV23" s="635"/>
      <c r="AW23" s="635"/>
      <c r="AX23" s="635"/>
      <c r="AY23" s="635"/>
      <c r="AZ23" s="635"/>
      <c r="BA23" s="635"/>
      <c r="BB23" s="636"/>
      <c r="BC23" s="640"/>
      <c r="BD23" s="635"/>
      <c r="BE23" s="635"/>
      <c r="BF23" s="635"/>
      <c r="BG23" s="635"/>
      <c r="BH23" s="635"/>
      <c r="BI23" s="635"/>
      <c r="BJ23" s="635"/>
      <c r="BK23" s="635"/>
      <c r="BL23" s="636"/>
      <c r="BM23" s="642"/>
      <c r="BN23" s="643"/>
      <c r="BO23" s="643"/>
      <c r="BP23" s="643"/>
      <c r="BQ23" s="644"/>
      <c r="BR23" s="642"/>
      <c r="BS23" s="643"/>
      <c r="BT23" s="643"/>
      <c r="BU23" s="643"/>
      <c r="BV23" s="645"/>
    </row>
    <row r="24" spans="1:74" ht="13.5" customHeight="1">
      <c r="A24" s="650"/>
      <c r="B24" s="651"/>
      <c r="C24" s="651"/>
      <c r="D24" s="651"/>
      <c r="E24" s="652"/>
      <c r="F24" s="653"/>
      <c r="G24" s="651"/>
      <c r="H24" s="651"/>
      <c r="I24" s="651"/>
      <c r="J24" s="651"/>
      <c r="K24" s="651"/>
      <c r="L24" s="651"/>
      <c r="M24" s="651"/>
      <c r="N24" s="651"/>
      <c r="O24" s="651"/>
      <c r="P24" s="651"/>
      <c r="Q24" s="651"/>
      <c r="R24" s="651"/>
      <c r="S24" s="651"/>
      <c r="T24" s="651"/>
      <c r="U24" s="651"/>
      <c r="V24" s="651"/>
      <c r="W24" s="651"/>
      <c r="X24" s="651"/>
      <c r="Y24" s="651"/>
      <c r="Z24" s="651"/>
      <c r="AA24" s="651"/>
      <c r="AB24" s="651"/>
      <c r="AC24" s="651"/>
      <c r="AD24" s="651"/>
      <c r="AE24" s="651"/>
      <c r="AF24" s="651"/>
      <c r="AG24" s="651"/>
      <c r="AH24" s="651"/>
      <c r="AI24" s="651"/>
      <c r="AJ24" s="651"/>
      <c r="AK24" s="651"/>
      <c r="AL24" s="651"/>
      <c r="AM24" s="651"/>
      <c r="AN24" s="651"/>
      <c r="AO24" s="651"/>
      <c r="AP24" s="651"/>
      <c r="AQ24" s="651"/>
      <c r="AR24" s="651"/>
      <c r="AS24" s="651"/>
      <c r="AT24" s="651"/>
      <c r="AU24" s="651"/>
      <c r="AV24" s="651"/>
      <c r="AW24" s="651"/>
      <c r="AX24" s="651"/>
      <c r="AY24" s="651"/>
      <c r="AZ24" s="651"/>
      <c r="BA24" s="651"/>
      <c r="BB24" s="652"/>
      <c r="BC24" s="653"/>
      <c r="BD24" s="651"/>
      <c r="BE24" s="651"/>
      <c r="BF24" s="651"/>
      <c r="BG24" s="651"/>
      <c r="BH24" s="651"/>
      <c r="BI24" s="651"/>
      <c r="BJ24" s="651"/>
      <c r="BK24" s="651"/>
      <c r="BL24" s="652"/>
      <c r="BM24" s="654"/>
      <c r="BN24" s="655"/>
      <c r="BO24" s="655"/>
      <c r="BP24" s="655"/>
      <c r="BQ24" s="656"/>
      <c r="BR24" s="654"/>
      <c r="BS24" s="655"/>
      <c r="BT24" s="655"/>
      <c r="BU24" s="655"/>
      <c r="BV24" s="657"/>
    </row>
    <row r="25" spans="1:74" ht="13.5" customHeight="1">
      <c r="A25" s="634"/>
      <c r="B25" s="635"/>
      <c r="C25" s="635"/>
      <c r="D25" s="635"/>
      <c r="E25" s="636"/>
      <c r="F25" s="640"/>
      <c r="G25" s="635"/>
      <c r="H25" s="635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Y25" s="635"/>
      <c r="Z25" s="635"/>
      <c r="AA25" s="635"/>
      <c r="AB25" s="635"/>
      <c r="AC25" s="635"/>
      <c r="AD25" s="635"/>
      <c r="AE25" s="635"/>
      <c r="AF25" s="635"/>
      <c r="AG25" s="635"/>
      <c r="AH25" s="635"/>
      <c r="AI25" s="635"/>
      <c r="AJ25" s="635"/>
      <c r="AK25" s="635"/>
      <c r="AL25" s="635"/>
      <c r="AM25" s="635"/>
      <c r="AN25" s="635"/>
      <c r="AO25" s="635"/>
      <c r="AP25" s="635"/>
      <c r="AQ25" s="635"/>
      <c r="AR25" s="635"/>
      <c r="AS25" s="635"/>
      <c r="AT25" s="635"/>
      <c r="AU25" s="635"/>
      <c r="AV25" s="635"/>
      <c r="AW25" s="635"/>
      <c r="AX25" s="635"/>
      <c r="AY25" s="635"/>
      <c r="AZ25" s="635"/>
      <c r="BA25" s="635"/>
      <c r="BB25" s="636"/>
      <c r="BC25" s="640"/>
      <c r="BD25" s="635"/>
      <c r="BE25" s="635"/>
      <c r="BF25" s="635"/>
      <c r="BG25" s="635"/>
      <c r="BH25" s="635"/>
      <c r="BI25" s="635"/>
      <c r="BJ25" s="635"/>
      <c r="BK25" s="635"/>
      <c r="BL25" s="636"/>
      <c r="BM25" s="642"/>
      <c r="BN25" s="643"/>
      <c r="BO25" s="643"/>
      <c r="BP25" s="643"/>
      <c r="BQ25" s="644"/>
      <c r="BR25" s="642"/>
      <c r="BS25" s="643"/>
      <c r="BT25" s="643"/>
      <c r="BU25" s="643"/>
      <c r="BV25" s="645"/>
    </row>
    <row r="26" spans="1:74" ht="13.5" customHeight="1">
      <c r="A26" s="658"/>
      <c r="B26" s="659"/>
      <c r="C26" s="659"/>
      <c r="D26" s="659"/>
      <c r="E26" s="660"/>
      <c r="F26" s="661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59"/>
      <c r="AB26" s="659"/>
      <c r="AC26" s="659"/>
      <c r="AD26" s="659"/>
      <c r="AE26" s="659"/>
      <c r="AF26" s="659"/>
      <c r="AG26" s="659"/>
      <c r="AH26" s="659"/>
      <c r="AI26" s="659"/>
      <c r="AJ26" s="659"/>
      <c r="AK26" s="659"/>
      <c r="AL26" s="659"/>
      <c r="AM26" s="659"/>
      <c r="AN26" s="659"/>
      <c r="AO26" s="659"/>
      <c r="AP26" s="659"/>
      <c r="AQ26" s="659"/>
      <c r="AR26" s="659"/>
      <c r="AS26" s="659"/>
      <c r="AT26" s="659"/>
      <c r="AU26" s="659"/>
      <c r="AV26" s="659"/>
      <c r="AW26" s="659"/>
      <c r="AX26" s="659"/>
      <c r="AY26" s="659"/>
      <c r="AZ26" s="659"/>
      <c r="BA26" s="659"/>
      <c r="BB26" s="660"/>
      <c r="BC26" s="661"/>
      <c r="BD26" s="659"/>
      <c r="BE26" s="659"/>
      <c r="BF26" s="659"/>
      <c r="BG26" s="659"/>
      <c r="BH26" s="659"/>
      <c r="BI26" s="659"/>
      <c r="BJ26" s="659"/>
      <c r="BK26" s="659"/>
      <c r="BL26" s="660"/>
      <c r="BM26" s="662"/>
      <c r="BN26" s="663"/>
      <c r="BO26" s="663"/>
      <c r="BP26" s="663"/>
      <c r="BQ26" s="664"/>
      <c r="BR26" s="662"/>
      <c r="BS26" s="663"/>
      <c r="BT26" s="663"/>
      <c r="BU26" s="663"/>
      <c r="BV26" s="665"/>
    </row>
    <row r="27" spans="1:74" ht="13.5" customHeight="1">
      <c r="A27" s="634"/>
      <c r="B27" s="635"/>
      <c r="C27" s="635"/>
      <c r="D27" s="635"/>
      <c r="E27" s="636"/>
      <c r="F27" s="640"/>
      <c r="G27" s="635"/>
      <c r="H27" s="635"/>
      <c r="I27" s="635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5"/>
      <c r="W27" s="635"/>
      <c r="X27" s="635"/>
      <c r="Y27" s="635"/>
      <c r="Z27" s="635"/>
      <c r="AA27" s="635"/>
      <c r="AB27" s="635"/>
      <c r="AC27" s="635"/>
      <c r="AD27" s="635"/>
      <c r="AE27" s="635"/>
      <c r="AF27" s="635"/>
      <c r="AG27" s="635"/>
      <c r="AH27" s="635"/>
      <c r="AI27" s="635"/>
      <c r="AJ27" s="635"/>
      <c r="AK27" s="635"/>
      <c r="AL27" s="635"/>
      <c r="AM27" s="635"/>
      <c r="AN27" s="635"/>
      <c r="AO27" s="635"/>
      <c r="AP27" s="635"/>
      <c r="AQ27" s="635"/>
      <c r="AR27" s="635"/>
      <c r="AS27" s="635"/>
      <c r="AT27" s="635"/>
      <c r="AU27" s="635"/>
      <c r="AV27" s="635"/>
      <c r="AW27" s="635"/>
      <c r="AX27" s="635"/>
      <c r="AY27" s="635"/>
      <c r="AZ27" s="635"/>
      <c r="BA27" s="635"/>
      <c r="BB27" s="636"/>
      <c r="BC27" s="640"/>
      <c r="BD27" s="635"/>
      <c r="BE27" s="635"/>
      <c r="BF27" s="635"/>
      <c r="BG27" s="635"/>
      <c r="BH27" s="635"/>
      <c r="BI27" s="635"/>
      <c r="BJ27" s="635"/>
      <c r="BK27" s="635"/>
      <c r="BL27" s="636"/>
      <c r="BM27" s="642"/>
      <c r="BN27" s="643"/>
      <c r="BO27" s="643"/>
      <c r="BP27" s="643"/>
      <c r="BQ27" s="644"/>
      <c r="BR27" s="642"/>
      <c r="BS27" s="643"/>
      <c r="BT27" s="643"/>
      <c r="BU27" s="643"/>
      <c r="BV27" s="645"/>
    </row>
    <row r="28" spans="1:74" ht="13.5" customHeight="1">
      <c r="A28" s="650"/>
      <c r="B28" s="651"/>
      <c r="C28" s="651"/>
      <c r="D28" s="651"/>
      <c r="E28" s="652"/>
      <c r="F28" s="653"/>
      <c r="G28" s="651"/>
      <c r="H28" s="651"/>
      <c r="I28" s="651"/>
      <c r="J28" s="651"/>
      <c r="K28" s="651"/>
      <c r="L28" s="651"/>
      <c r="M28" s="651"/>
      <c r="N28" s="651"/>
      <c r="O28" s="651"/>
      <c r="P28" s="651"/>
      <c r="Q28" s="651"/>
      <c r="R28" s="651"/>
      <c r="S28" s="651"/>
      <c r="T28" s="651"/>
      <c r="U28" s="651"/>
      <c r="V28" s="651"/>
      <c r="W28" s="651"/>
      <c r="X28" s="651"/>
      <c r="Y28" s="651"/>
      <c r="Z28" s="651"/>
      <c r="AA28" s="651"/>
      <c r="AB28" s="651"/>
      <c r="AC28" s="651"/>
      <c r="AD28" s="651"/>
      <c r="AE28" s="651"/>
      <c r="AF28" s="651"/>
      <c r="AG28" s="651"/>
      <c r="AH28" s="651"/>
      <c r="AI28" s="651"/>
      <c r="AJ28" s="651"/>
      <c r="AK28" s="651"/>
      <c r="AL28" s="651"/>
      <c r="AM28" s="651"/>
      <c r="AN28" s="651"/>
      <c r="AO28" s="651"/>
      <c r="AP28" s="651"/>
      <c r="AQ28" s="651"/>
      <c r="AR28" s="651"/>
      <c r="AS28" s="651"/>
      <c r="AT28" s="651"/>
      <c r="AU28" s="651"/>
      <c r="AV28" s="651"/>
      <c r="AW28" s="651"/>
      <c r="AX28" s="651"/>
      <c r="AY28" s="651"/>
      <c r="AZ28" s="651"/>
      <c r="BA28" s="651"/>
      <c r="BB28" s="652"/>
      <c r="BC28" s="653"/>
      <c r="BD28" s="651"/>
      <c r="BE28" s="651"/>
      <c r="BF28" s="651"/>
      <c r="BG28" s="651"/>
      <c r="BH28" s="651"/>
      <c r="BI28" s="651"/>
      <c r="BJ28" s="651"/>
      <c r="BK28" s="651"/>
      <c r="BL28" s="652"/>
      <c r="BM28" s="654"/>
      <c r="BN28" s="655"/>
      <c r="BO28" s="655"/>
      <c r="BP28" s="655"/>
      <c r="BQ28" s="656"/>
      <c r="BR28" s="654"/>
      <c r="BS28" s="655"/>
      <c r="BT28" s="655"/>
      <c r="BU28" s="655"/>
      <c r="BV28" s="657"/>
    </row>
    <row r="29" spans="1:74" ht="13.5" customHeight="1">
      <c r="A29" s="634"/>
      <c r="B29" s="635"/>
      <c r="C29" s="635"/>
      <c r="D29" s="635"/>
      <c r="E29" s="636"/>
      <c r="F29" s="640"/>
      <c r="G29" s="635"/>
      <c r="H29" s="635"/>
      <c r="I29" s="635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5"/>
      <c r="W29" s="635"/>
      <c r="X29" s="635"/>
      <c r="Y29" s="635"/>
      <c r="Z29" s="635"/>
      <c r="AA29" s="635"/>
      <c r="AB29" s="635"/>
      <c r="AC29" s="635"/>
      <c r="AD29" s="635"/>
      <c r="AE29" s="635"/>
      <c r="AF29" s="635"/>
      <c r="AG29" s="635"/>
      <c r="AH29" s="635"/>
      <c r="AI29" s="635"/>
      <c r="AJ29" s="635"/>
      <c r="AK29" s="635"/>
      <c r="AL29" s="635"/>
      <c r="AM29" s="635"/>
      <c r="AN29" s="635"/>
      <c r="AO29" s="635"/>
      <c r="AP29" s="635"/>
      <c r="AQ29" s="635"/>
      <c r="AR29" s="635"/>
      <c r="AS29" s="635"/>
      <c r="AT29" s="635"/>
      <c r="AU29" s="635"/>
      <c r="AV29" s="635"/>
      <c r="AW29" s="635"/>
      <c r="AX29" s="635"/>
      <c r="AY29" s="635"/>
      <c r="AZ29" s="635"/>
      <c r="BA29" s="635"/>
      <c r="BB29" s="636"/>
      <c r="BC29" s="640"/>
      <c r="BD29" s="635"/>
      <c r="BE29" s="635"/>
      <c r="BF29" s="635"/>
      <c r="BG29" s="635"/>
      <c r="BH29" s="635"/>
      <c r="BI29" s="635"/>
      <c r="BJ29" s="635"/>
      <c r="BK29" s="635"/>
      <c r="BL29" s="636"/>
      <c r="BM29" s="642"/>
      <c r="BN29" s="643"/>
      <c r="BO29" s="643"/>
      <c r="BP29" s="643"/>
      <c r="BQ29" s="644"/>
      <c r="BR29" s="642"/>
      <c r="BS29" s="643"/>
      <c r="BT29" s="643"/>
      <c r="BU29" s="643"/>
      <c r="BV29" s="645"/>
    </row>
    <row r="30" spans="1:74" ht="13.5" customHeight="1">
      <c r="A30" s="658"/>
      <c r="B30" s="659"/>
      <c r="C30" s="659"/>
      <c r="D30" s="659"/>
      <c r="E30" s="660"/>
      <c r="F30" s="661"/>
      <c r="G30" s="659"/>
      <c r="H30" s="659"/>
      <c r="I30" s="659"/>
      <c r="J30" s="659"/>
      <c r="K30" s="659"/>
      <c r="L30" s="659"/>
      <c r="M30" s="659"/>
      <c r="N30" s="659"/>
      <c r="O30" s="659"/>
      <c r="P30" s="659"/>
      <c r="Q30" s="659"/>
      <c r="R30" s="659"/>
      <c r="S30" s="659"/>
      <c r="T30" s="659"/>
      <c r="U30" s="659"/>
      <c r="V30" s="659"/>
      <c r="W30" s="659"/>
      <c r="X30" s="659"/>
      <c r="Y30" s="659"/>
      <c r="Z30" s="659"/>
      <c r="AA30" s="659"/>
      <c r="AB30" s="659"/>
      <c r="AC30" s="659"/>
      <c r="AD30" s="659"/>
      <c r="AE30" s="659"/>
      <c r="AF30" s="659"/>
      <c r="AG30" s="659"/>
      <c r="AH30" s="659"/>
      <c r="AI30" s="659"/>
      <c r="AJ30" s="659"/>
      <c r="AK30" s="659"/>
      <c r="AL30" s="659"/>
      <c r="AM30" s="659"/>
      <c r="AN30" s="659"/>
      <c r="AO30" s="659"/>
      <c r="AP30" s="659"/>
      <c r="AQ30" s="659"/>
      <c r="AR30" s="659"/>
      <c r="AS30" s="659"/>
      <c r="AT30" s="659"/>
      <c r="AU30" s="659"/>
      <c r="AV30" s="659"/>
      <c r="AW30" s="659"/>
      <c r="AX30" s="659"/>
      <c r="AY30" s="659"/>
      <c r="AZ30" s="659"/>
      <c r="BA30" s="659"/>
      <c r="BB30" s="660"/>
      <c r="BC30" s="661"/>
      <c r="BD30" s="659"/>
      <c r="BE30" s="659"/>
      <c r="BF30" s="659"/>
      <c r="BG30" s="659"/>
      <c r="BH30" s="659"/>
      <c r="BI30" s="659"/>
      <c r="BJ30" s="659"/>
      <c r="BK30" s="659"/>
      <c r="BL30" s="660"/>
      <c r="BM30" s="662"/>
      <c r="BN30" s="663"/>
      <c r="BO30" s="663"/>
      <c r="BP30" s="663"/>
      <c r="BQ30" s="664"/>
      <c r="BR30" s="662"/>
      <c r="BS30" s="663"/>
      <c r="BT30" s="663"/>
      <c r="BU30" s="663"/>
      <c r="BV30" s="665"/>
    </row>
    <row r="31" spans="1:74" ht="13.5" customHeight="1">
      <c r="A31" s="634"/>
      <c r="B31" s="635"/>
      <c r="C31" s="635"/>
      <c r="D31" s="635"/>
      <c r="E31" s="636"/>
      <c r="F31" s="640"/>
      <c r="G31" s="635"/>
      <c r="H31" s="635"/>
      <c r="I31" s="635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5"/>
      <c r="W31" s="635"/>
      <c r="X31" s="635"/>
      <c r="Y31" s="635"/>
      <c r="Z31" s="635"/>
      <c r="AA31" s="635"/>
      <c r="AB31" s="635"/>
      <c r="AC31" s="635"/>
      <c r="AD31" s="635"/>
      <c r="AE31" s="635"/>
      <c r="AF31" s="635"/>
      <c r="AG31" s="635"/>
      <c r="AH31" s="635"/>
      <c r="AI31" s="635"/>
      <c r="AJ31" s="635"/>
      <c r="AK31" s="635"/>
      <c r="AL31" s="635"/>
      <c r="AM31" s="635"/>
      <c r="AN31" s="635"/>
      <c r="AO31" s="635"/>
      <c r="AP31" s="635"/>
      <c r="AQ31" s="635"/>
      <c r="AR31" s="635"/>
      <c r="AS31" s="635"/>
      <c r="AT31" s="635"/>
      <c r="AU31" s="635"/>
      <c r="AV31" s="635"/>
      <c r="AW31" s="635"/>
      <c r="AX31" s="635"/>
      <c r="AY31" s="635"/>
      <c r="AZ31" s="635"/>
      <c r="BA31" s="635"/>
      <c r="BB31" s="636"/>
      <c r="BC31" s="640"/>
      <c r="BD31" s="635"/>
      <c r="BE31" s="635"/>
      <c r="BF31" s="635"/>
      <c r="BG31" s="635"/>
      <c r="BH31" s="635"/>
      <c r="BI31" s="635"/>
      <c r="BJ31" s="635"/>
      <c r="BK31" s="635"/>
      <c r="BL31" s="636"/>
      <c r="BM31" s="642"/>
      <c r="BN31" s="643"/>
      <c r="BO31" s="643"/>
      <c r="BP31" s="643"/>
      <c r="BQ31" s="644"/>
      <c r="BR31" s="642"/>
      <c r="BS31" s="643"/>
      <c r="BT31" s="643"/>
      <c r="BU31" s="643"/>
      <c r="BV31" s="645"/>
    </row>
    <row r="32" spans="1:74" ht="13.5" customHeight="1">
      <c r="A32" s="650"/>
      <c r="B32" s="651"/>
      <c r="C32" s="651"/>
      <c r="D32" s="651"/>
      <c r="E32" s="652"/>
      <c r="F32" s="653"/>
      <c r="G32" s="651"/>
      <c r="H32" s="651"/>
      <c r="I32" s="651"/>
      <c r="J32" s="651"/>
      <c r="K32" s="651"/>
      <c r="L32" s="651"/>
      <c r="M32" s="651"/>
      <c r="N32" s="651"/>
      <c r="O32" s="651"/>
      <c r="P32" s="651"/>
      <c r="Q32" s="651"/>
      <c r="R32" s="651"/>
      <c r="S32" s="651"/>
      <c r="T32" s="651"/>
      <c r="U32" s="651"/>
      <c r="V32" s="651"/>
      <c r="W32" s="651"/>
      <c r="X32" s="651"/>
      <c r="Y32" s="651"/>
      <c r="Z32" s="651"/>
      <c r="AA32" s="651"/>
      <c r="AB32" s="651"/>
      <c r="AC32" s="651"/>
      <c r="AD32" s="651"/>
      <c r="AE32" s="651"/>
      <c r="AF32" s="651"/>
      <c r="AG32" s="651"/>
      <c r="AH32" s="651"/>
      <c r="AI32" s="651"/>
      <c r="AJ32" s="651"/>
      <c r="AK32" s="651"/>
      <c r="AL32" s="651"/>
      <c r="AM32" s="651"/>
      <c r="AN32" s="651"/>
      <c r="AO32" s="651"/>
      <c r="AP32" s="651"/>
      <c r="AQ32" s="651"/>
      <c r="AR32" s="651"/>
      <c r="AS32" s="651"/>
      <c r="AT32" s="651"/>
      <c r="AU32" s="651"/>
      <c r="AV32" s="651"/>
      <c r="AW32" s="651"/>
      <c r="AX32" s="651"/>
      <c r="AY32" s="651"/>
      <c r="AZ32" s="651"/>
      <c r="BA32" s="651"/>
      <c r="BB32" s="652"/>
      <c r="BC32" s="653"/>
      <c r="BD32" s="651"/>
      <c r="BE32" s="651"/>
      <c r="BF32" s="651"/>
      <c r="BG32" s="651"/>
      <c r="BH32" s="651"/>
      <c r="BI32" s="651"/>
      <c r="BJ32" s="651"/>
      <c r="BK32" s="651"/>
      <c r="BL32" s="652"/>
      <c r="BM32" s="654"/>
      <c r="BN32" s="655"/>
      <c r="BO32" s="655"/>
      <c r="BP32" s="655"/>
      <c r="BQ32" s="656"/>
      <c r="BR32" s="654"/>
      <c r="BS32" s="655"/>
      <c r="BT32" s="655"/>
      <c r="BU32" s="655"/>
      <c r="BV32" s="657"/>
    </row>
    <row r="33" spans="1:74" ht="13.5" customHeight="1">
      <c r="A33" s="634"/>
      <c r="B33" s="635"/>
      <c r="C33" s="635"/>
      <c r="D33" s="635"/>
      <c r="E33" s="636"/>
      <c r="F33" s="640"/>
      <c r="G33" s="635"/>
      <c r="H33" s="635"/>
      <c r="I33" s="635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5"/>
      <c r="W33" s="635"/>
      <c r="X33" s="635"/>
      <c r="Y33" s="635"/>
      <c r="Z33" s="635"/>
      <c r="AA33" s="635"/>
      <c r="AB33" s="635"/>
      <c r="AC33" s="635"/>
      <c r="AD33" s="635"/>
      <c r="AE33" s="635"/>
      <c r="AF33" s="635"/>
      <c r="AG33" s="635"/>
      <c r="AH33" s="635"/>
      <c r="AI33" s="635"/>
      <c r="AJ33" s="635"/>
      <c r="AK33" s="635"/>
      <c r="AL33" s="635"/>
      <c r="AM33" s="635"/>
      <c r="AN33" s="635"/>
      <c r="AO33" s="635"/>
      <c r="AP33" s="635"/>
      <c r="AQ33" s="635"/>
      <c r="AR33" s="635"/>
      <c r="AS33" s="635"/>
      <c r="AT33" s="635"/>
      <c r="AU33" s="635"/>
      <c r="AV33" s="635"/>
      <c r="AW33" s="635"/>
      <c r="AX33" s="635"/>
      <c r="AY33" s="635"/>
      <c r="AZ33" s="635"/>
      <c r="BA33" s="635"/>
      <c r="BB33" s="636"/>
      <c r="BC33" s="640"/>
      <c r="BD33" s="635"/>
      <c r="BE33" s="635"/>
      <c r="BF33" s="635"/>
      <c r="BG33" s="635"/>
      <c r="BH33" s="635"/>
      <c r="BI33" s="635"/>
      <c r="BJ33" s="635"/>
      <c r="BK33" s="635"/>
      <c r="BL33" s="636"/>
      <c r="BM33" s="642"/>
      <c r="BN33" s="643"/>
      <c r="BO33" s="643"/>
      <c r="BP33" s="643"/>
      <c r="BQ33" s="644"/>
      <c r="BR33" s="642"/>
      <c r="BS33" s="643"/>
      <c r="BT33" s="643"/>
      <c r="BU33" s="643"/>
      <c r="BV33" s="645"/>
    </row>
    <row r="34" spans="1:74" ht="13.5" customHeight="1">
      <c r="A34" s="658"/>
      <c r="B34" s="659"/>
      <c r="C34" s="659"/>
      <c r="D34" s="659"/>
      <c r="E34" s="660"/>
      <c r="F34" s="661"/>
      <c r="G34" s="659"/>
      <c r="H34" s="659"/>
      <c r="I34" s="659"/>
      <c r="J34" s="659"/>
      <c r="K34" s="659"/>
      <c r="L34" s="659"/>
      <c r="M34" s="659"/>
      <c r="N34" s="659"/>
      <c r="O34" s="659"/>
      <c r="P34" s="659"/>
      <c r="Q34" s="659"/>
      <c r="R34" s="659"/>
      <c r="S34" s="659"/>
      <c r="T34" s="659"/>
      <c r="U34" s="659"/>
      <c r="V34" s="659"/>
      <c r="W34" s="659"/>
      <c r="X34" s="659"/>
      <c r="Y34" s="659"/>
      <c r="Z34" s="659"/>
      <c r="AA34" s="659"/>
      <c r="AB34" s="659"/>
      <c r="AC34" s="659"/>
      <c r="AD34" s="659"/>
      <c r="AE34" s="659"/>
      <c r="AF34" s="659"/>
      <c r="AG34" s="659"/>
      <c r="AH34" s="659"/>
      <c r="AI34" s="659"/>
      <c r="AJ34" s="659"/>
      <c r="AK34" s="659"/>
      <c r="AL34" s="659"/>
      <c r="AM34" s="659"/>
      <c r="AN34" s="659"/>
      <c r="AO34" s="659"/>
      <c r="AP34" s="659"/>
      <c r="AQ34" s="659"/>
      <c r="AR34" s="659"/>
      <c r="AS34" s="659"/>
      <c r="AT34" s="659"/>
      <c r="AU34" s="659"/>
      <c r="AV34" s="659"/>
      <c r="AW34" s="659"/>
      <c r="AX34" s="659"/>
      <c r="AY34" s="659"/>
      <c r="AZ34" s="659"/>
      <c r="BA34" s="659"/>
      <c r="BB34" s="660"/>
      <c r="BC34" s="661"/>
      <c r="BD34" s="659"/>
      <c r="BE34" s="659"/>
      <c r="BF34" s="659"/>
      <c r="BG34" s="659"/>
      <c r="BH34" s="659"/>
      <c r="BI34" s="659"/>
      <c r="BJ34" s="659"/>
      <c r="BK34" s="659"/>
      <c r="BL34" s="660"/>
      <c r="BM34" s="662"/>
      <c r="BN34" s="663"/>
      <c r="BO34" s="663"/>
      <c r="BP34" s="663"/>
      <c r="BQ34" s="664"/>
      <c r="BR34" s="662"/>
      <c r="BS34" s="663"/>
      <c r="BT34" s="663"/>
      <c r="BU34" s="663"/>
      <c r="BV34" s="665"/>
    </row>
    <row r="35" spans="1:74" ht="13.5" customHeight="1">
      <c r="A35" s="634"/>
      <c r="B35" s="635"/>
      <c r="C35" s="635"/>
      <c r="D35" s="635"/>
      <c r="E35" s="636"/>
      <c r="F35" s="640"/>
      <c r="G35" s="635"/>
      <c r="H35" s="635"/>
      <c r="I35" s="635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5"/>
      <c r="W35" s="635"/>
      <c r="X35" s="635"/>
      <c r="Y35" s="635"/>
      <c r="Z35" s="635"/>
      <c r="AA35" s="635"/>
      <c r="AB35" s="635"/>
      <c r="AC35" s="635"/>
      <c r="AD35" s="635"/>
      <c r="AE35" s="635"/>
      <c r="AF35" s="635"/>
      <c r="AG35" s="635"/>
      <c r="AH35" s="635"/>
      <c r="AI35" s="635"/>
      <c r="AJ35" s="635"/>
      <c r="AK35" s="635"/>
      <c r="AL35" s="635"/>
      <c r="AM35" s="635"/>
      <c r="AN35" s="635"/>
      <c r="AO35" s="635"/>
      <c r="AP35" s="635"/>
      <c r="AQ35" s="635"/>
      <c r="AR35" s="635"/>
      <c r="AS35" s="635"/>
      <c r="AT35" s="635"/>
      <c r="AU35" s="635"/>
      <c r="AV35" s="635"/>
      <c r="AW35" s="635"/>
      <c r="AX35" s="635"/>
      <c r="AY35" s="635"/>
      <c r="AZ35" s="635"/>
      <c r="BA35" s="635"/>
      <c r="BB35" s="636"/>
      <c r="BC35" s="640"/>
      <c r="BD35" s="635"/>
      <c r="BE35" s="635"/>
      <c r="BF35" s="635"/>
      <c r="BG35" s="635"/>
      <c r="BH35" s="635"/>
      <c r="BI35" s="635"/>
      <c r="BJ35" s="635"/>
      <c r="BK35" s="635"/>
      <c r="BL35" s="636"/>
      <c r="BM35" s="642"/>
      <c r="BN35" s="643"/>
      <c r="BO35" s="643"/>
      <c r="BP35" s="643"/>
      <c r="BQ35" s="644"/>
      <c r="BR35" s="642"/>
      <c r="BS35" s="643"/>
      <c r="BT35" s="643"/>
      <c r="BU35" s="643"/>
      <c r="BV35" s="645"/>
    </row>
    <row r="36" spans="1:74" ht="13.5" customHeight="1">
      <c r="A36" s="650"/>
      <c r="B36" s="651"/>
      <c r="C36" s="651"/>
      <c r="D36" s="651"/>
      <c r="E36" s="652"/>
      <c r="F36" s="653"/>
      <c r="G36" s="651"/>
      <c r="H36" s="651"/>
      <c r="I36" s="651"/>
      <c r="J36" s="651"/>
      <c r="K36" s="651"/>
      <c r="L36" s="651"/>
      <c r="M36" s="651"/>
      <c r="N36" s="651"/>
      <c r="O36" s="651"/>
      <c r="P36" s="651"/>
      <c r="Q36" s="651"/>
      <c r="R36" s="651"/>
      <c r="S36" s="651"/>
      <c r="T36" s="651"/>
      <c r="U36" s="651"/>
      <c r="V36" s="651"/>
      <c r="W36" s="651"/>
      <c r="X36" s="651"/>
      <c r="Y36" s="651"/>
      <c r="Z36" s="651"/>
      <c r="AA36" s="651"/>
      <c r="AB36" s="651"/>
      <c r="AC36" s="651"/>
      <c r="AD36" s="651"/>
      <c r="AE36" s="651"/>
      <c r="AF36" s="651"/>
      <c r="AG36" s="651"/>
      <c r="AH36" s="651"/>
      <c r="AI36" s="651"/>
      <c r="AJ36" s="651"/>
      <c r="AK36" s="651"/>
      <c r="AL36" s="651"/>
      <c r="AM36" s="651"/>
      <c r="AN36" s="651"/>
      <c r="AO36" s="651"/>
      <c r="AP36" s="651"/>
      <c r="AQ36" s="651"/>
      <c r="AR36" s="651"/>
      <c r="AS36" s="651"/>
      <c r="AT36" s="651"/>
      <c r="AU36" s="651"/>
      <c r="AV36" s="651"/>
      <c r="AW36" s="651"/>
      <c r="AX36" s="651"/>
      <c r="AY36" s="651"/>
      <c r="AZ36" s="651"/>
      <c r="BA36" s="651"/>
      <c r="BB36" s="652"/>
      <c r="BC36" s="653"/>
      <c r="BD36" s="651"/>
      <c r="BE36" s="651"/>
      <c r="BF36" s="651"/>
      <c r="BG36" s="651"/>
      <c r="BH36" s="651"/>
      <c r="BI36" s="651"/>
      <c r="BJ36" s="651"/>
      <c r="BK36" s="651"/>
      <c r="BL36" s="652"/>
      <c r="BM36" s="654"/>
      <c r="BN36" s="655"/>
      <c r="BO36" s="655"/>
      <c r="BP36" s="655"/>
      <c r="BQ36" s="656"/>
      <c r="BR36" s="654"/>
      <c r="BS36" s="655"/>
      <c r="BT36" s="655"/>
      <c r="BU36" s="655"/>
      <c r="BV36" s="657"/>
    </row>
    <row r="37" spans="1:74" ht="13.5" customHeight="1">
      <c r="A37" s="634"/>
      <c r="B37" s="635"/>
      <c r="C37" s="635"/>
      <c r="D37" s="635"/>
      <c r="E37" s="636"/>
      <c r="F37" s="640"/>
      <c r="G37" s="635"/>
      <c r="H37" s="635"/>
      <c r="I37" s="635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5"/>
      <c r="W37" s="635"/>
      <c r="X37" s="635"/>
      <c r="Y37" s="635"/>
      <c r="Z37" s="635"/>
      <c r="AA37" s="635"/>
      <c r="AB37" s="635"/>
      <c r="AC37" s="635"/>
      <c r="AD37" s="635"/>
      <c r="AE37" s="635"/>
      <c r="AF37" s="635"/>
      <c r="AG37" s="635"/>
      <c r="AH37" s="635"/>
      <c r="AI37" s="635"/>
      <c r="AJ37" s="635"/>
      <c r="AK37" s="635"/>
      <c r="AL37" s="635"/>
      <c r="AM37" s="635"/>
      <c r="AN37" s="635"/>
      <c r="AO37" s="635"/>
      <c r="AP37" s="635"/>
      <c r="AQ37" s="635"/>
      <c r="AR37" s="635"/>
      <c r="AS37" s="635"/>
      <c r="AT37" s="635"/>
      <c r="AU37" s="635"/>
      <c r="AV37" s="635"/>
      <c r="AW37" s="635"/>
      <c r="AX37" s="635"/>
      <c r="AY37" s="635"/>
      <c r="AZ37" s="635"/>
      <c r="BA37" s="635"/>
      <c r="BB37" s="636"/>
      <c r="BC37" s="640"/>
      <c r="BD37" s="635"/>
      <c r="BE37" s="635"/>
      <c r="BF37" s="635"/>
      <c r="BG37" s="635"/>
      <c r="BH37" s="635"/>
      <c r="BI37" s="635"/>
      <c r="BJ37" s="635"/>
      <c r="BK37" s="635"/>
      <c r="BL37" s="636"/>
      <c r="BM37" s="642"/>
      <c r="BN37" s="643"/>
      <c r="BO37" s="643"/>
      <c r="BP37" s="643"/>
      <c r="BQ37" s="644"/>
      <c r="BR37" s="642"/>
      <c r="BS37" s="643"/>
      <c r="BT37" s="643"/>
      <c r="BU37" s="643"/>
      <c r="BV37" s="645"/>
    </row>
    <row r="38" spans="1:74" ht="13.5" customHeight="1">
      <c r="A38" s="658"/>
      <c r="B38" s="659"/>
      <c r="C38" s="659"/>
      <c r="D38" s="659"/>
      <c r="E38" s="660"/>
      <c r="F38" s="661"/>
      <c r="G38" s="659"/>
      <c r="H38" s="659"/>
      <c r="I38" s="659"/>
      <c r="J38" s="659"/>
      <c r="K38" s="659"/>
      <c r="L38" s="659"/>
      <c r="M38" s="659"/>
      <c r="N38" s="659"/>
      <c r="O38" s="659"/>
      <c r="P38" s="659"/>
      <c r="Q38" s="659"/>
      <c r="R38" s="659"/>
      <c r="S38" s="659"/>
      <c r="T38" s="659"/>
      <c r="U38" s="659"/>
      <c r="V38" s="659"/>
      <c r="W38" s="659"/>
      <c r="X38" s="659"/>
      <c r="Y38" s="659"/>
      <c r="Z38" s="659"/>
      <c r="AA38" s="659"/>
      <c r="AB38" s="659"/>
      <c r="AC38" s="659"/>
      <c r="AD38" s="659"/>
      <c r="AE38" s="659"/>
      <c r="AF38" s="659"/>
      <c r="AG38" s="659"/>
      <c r="AH38" s="659"/>
      <c r="AI38" s="659"/>
      <c r="AJ38" s="659"/>
      <c r="AK38" s="659"/>
      <c r="AL38" s="659"/>
      <c r="AM38" s="659"/>
      <c r="AN38" s="659"/>
      <c r="AO38" s="659"/>
      <c r="AP38" s="659"/>
      <c r="AQ38" s="659"/>
      <c r="AR38" s="659"/>
      <c r="AS38" s="659"/>
      <c r="AT38" s="659"/>
      <c r="AU38" s="659"/>
      <c r="AV38" s="659"/>
      <c r="AW38" s="659"/>
      <c r="AX38" s="659"/>
      <c r="AY38" s="659"/>
      <c r="AZ38" s="659"/>
      <c r="BA38" s="659"/>
      <c r="BB38" s="660"/>
      <c r="BC38" s="661"/>
      <c r="BD38" s="659"/>
      <c r="BE38" s="659"/>
      <c r="BF38" s="659"/>
      <c r="BG38" s="659"/>
      <c r="BH38" s="659"/>
      <c r="BI38" s="659"/>
      <c r="BJ38" s="659"/>
      <c r="BK38" s="659"/>
      <c r="BL38" s="660"/>
      <c r="BM38" s="662"/>
      <c r="BN38" s="663"/>
      <c r="BO38" s="663"/>
      <c r="BP38" s="663"/>
      <c r="BQ38" s="664"/>
      <c r="BR38" s="662"/>
      <c r="BS38" s="663"/>
      <c r="BT38" s="663"/>
      <c r="BU38" s="663"/>
      <c r="BV38" s="665"/>
    </row>
    <row r="39" spans="1:74" ht="13.5" customHeight="1">
      <c r="A39" s="634"/>
      <c r="B39" s="635"/>
      <c r="C39" s="635"/>
      <c r="D39" s="635"/>
      <c r="E39" s="636"/>
      <c r="F39" s="640"/>
      <c r="G39" s="635"/>
      <c r="H39" s="635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6"/>
      <c r="BC39" s="640"/>
      <c r="BD39" s="635"/>
      <c r="BE39" s="635"/>
      <c r="BF39" s="635"/>
      <c r="BG39" s="635"/>
      <c r="BH39" s="635"/>
      <c r="BI39" s="635"/>
      <c r="BJ39" s="635"/>
      <c r="BK39" s="635"/>
      <c r="BL39" s="636"/>
      <c r="BM39" s="642"/>
      <c r="BN39" s="643"/>
      <c r="BO39" s="643"/>
      <c r="BP39" s="643"/>
      <c r="BQ39" s="644"/>
      <c r="BR39" s="642"/>
      <c r="BS39" s="643"/>
      <c r="BT39" s="643"/>
      <c r="BU39" s="643"/>
      <c r="BV39" s="645"/>
    </row>
    <row r="40" spans="1:74" ht="13.5" customHeight="1">
      <c r="A40" s="650"/>
      <c r="B40" s="651"/>
      <c r="C40" s="651"/>
      <c r="D40" s="651"/>
      <c r="E40" s="652"/>
      <c r="F40" s="653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51"/>
      <c r="AB40" s="651"/>
      <c r="AC40" s="651"/>
      <c r="AD40" s="651"/>
      <c r="AE40" s="651"/>
      <c r="AF40" s="651"/>
      <c r="AG40" s="651"/>
      <c r="AH40" s="651"/>
      <c r="AI40" s="651"/>
      <c r="AJ40" s="651"/>
      <c r="AK40" s="651"/>
      <c r="AL40" s="651"/>
      <c r="AM40" s="651"/>
      <c r="AN40" s="651"/>
      <c r="AO40" s="651"/>
      <c r="AP40" s="651"/>
      <c r="AQ40" s="651"/>
      <c r="AR40" s="651"/>
      <c r="AS40" s="651"/>
      <c r="AT40" s="651"/>
      <c r="AU40" s="651"/>
      <c r="AV40" s="651"/>
      <c r="AW40" s="651"/>
      <c r="AX40" s="651"/>
      <c r="AY40" s="651"/>
      <c r="AZ40" s="651"/>
      <c r="BA40" s="651"/>
      <c r="BB40" s="652"/>
      <c r="BC40" s="653"/>
      <c r="BD40" s="651"/>
      <c r="BE40" s="651"/>
      <c r="BF40" s="651"/>
      <c r="BG40" s="651"/>
      <c r="BH40" s="651"/>
      <c r="BI40" s="651"/>
      <c r="BJ40" s="651"/>
      <c r="BK40" s="651"/>
      <c r="BL40" s="652"/>
      <c r="BM40" s="654"/>
      <c r="BN40" s="655"/>
      <c r="BO40" s="655"/>
      <c r="BP40" s="655"/>
      <c r="BQ40" s="656"/>
      <c r="BR40" s="654"/>
      <c r="BS40" s="655"/>
      <c r="BT40" s="655"/>
      <c r="BU40" s="655"/>
      <c r="BV40" s="657"/>
    </row>
    <row r="41" spans="1:74" ht="13.5" customHeight="1">
      <c r="A41" s="634"/>
      <c r="B41" s="635"/>
      <c r="C41" s="635"/>
      <c r="D41" s="635"/>
      <c r="E41" s="636"/>
      <c r="F41" s="640"/>
      <c r="G41" s="635"/>
      <c r="H41" s="635"/>
      <c r="I41" s="635"/>
      <c r="J41" s="635"/>
      <c r="K41" s="635"/>
      <c r="L41" s="635"/>
      <c r="M41" s="635"/>
      <c r="N41" s="635"/>
      <c r="O41" s="635"/>
      <c r="P41" s="635"/>
      <c r="Q41" s="635"/>
      <c r="R41" s="635"/>
      <c r="S41" s="635"/>
      <c r="T41" s="635"/>
      <c r="U41" s="635"/>
      <c r="V41" s="635"/>
      <c r="W41" s="635"/>
      <c r="X41" s="635"/>
      <c r="Y41" s="635"/>
      <c r="Z41" s="635"/>
      <c r="AA41" s="635"/>
      <c r="AB41" s="635"/>
      <c r="AC41" s="635"/>
      <c r="AD41" s="635"/>
      <c r="AE41" s="635"/>
      <c r="AF41" s="635"/>
      <c r="AG41" s="635"/>
      <c r="AH41" s="635"/>
      <c r="AI41" s="635"/>
      <c r="AJ41" s="635"/>
      <c r="AK41" s="635"/>
      <c r="AL41" s="635"/>
      <c r="AM41" s="635"/>
      <c r="AN41" s="635"/>
      <c r="AO41" s="635"/>
      <c r="AP41" s="635"/>
      <c r="AQ41" s="635"/>
      <c r="AR41" s="635"/>
      <c r="AS41" s="635"/>
      <c r="AT41" s="635"/>
      <c r="AU41" s="635"/>
      <c r="AV41" s="635"/>
      <c r="AW41" s="635"/>
      <c r="AX41" s="635"/>
      <c r="AY41" s="635"/>
      <c r="AZ41" s="635"/>
      <c r="BA41" s="635"/>
      <c r="BB41" s="636"/>
      <c r="BC41" s="640"/>
      <c r="BD41" s="635"/>
      <c r="BE41" s="635"/>
      <c r="BF41" s="635"/>
      <c r="BG41" s="635"/>
      <c r="BH41" s="635"/>
      <c r="BI41" s="635"/>
      <c r="BJ41" s="635"/>
      <c r="BK41" s="635"/>
      <c r="BL41" s="636"/>
      <c r="BM41" s="642"/>
      <c r="BN41" s="643"/>
      <c r="BO41" s="643"/>
      <c r="BP41" s="643"/>
      <c r="BQ41" s="644"/>
      <c r="BR41" s="642"/>
      <c r="BS41" s="643"/>
      <c r="BT41" s="643"/>
      <c r="BU41" s="643"/>
      <c r="BV41" s="645"/>
    </row>
    <row r="42" spans="1:74" ht="13.5" customHeight="1">
      <c r="A42" s="658"/>
      <c r="B42" s="659"/>
      <c r="C42" s="659"/>
      <c r="D42" s="659"/>
      <c r="E42" s="660"/>
      <c r="F42" s="661"/>
      <c r="G42" s="659"/>
      <c r="H42" s="659"/>
      <c r="I42" s="659"/>
      <c r="J42" s="659"/>
      <c r="K42" s="659"/>
      <c r="L42" s="659"/>
      <c r="M42" s="659"/>
      <c r="N42" s="659"/>
      <c r="O42" s="659"/>
      <c r="P42" s="659"/>
      <c r="Q42" s="659"/>
      <c r="R42" s="659"/>
      <c r="S42" s="659"/>
      <c r="T42" s="659"/>
      <c r="U42" s="659"/>
      <c r="V42" s="659"/>
      <c r="W42" s="659"/>
      <c r="X42" s="659"/>
      <c r="Y42" s="659"/>
      <c r="Z42" s="659"/>
      <c r="AA42" s="659"/>
      <c r="AB42" s="659"/>
      <c r="AC42" s="659"/>
      <c r="AD42" s="659"/>
      <c r="AE42" s="659"/>
      <c r="AF42" s="659"/>
      <c r="AG42" s="659"/>
      <c r="AH42" s="659"/>
      <c r="AI42" s="659"/>
      <c r="AJ42" s="659"/>
      <c r="AK42" s="659"/>
      <c r="AL42" s="659"/>
      <c r="AM42" s="659"/>
      <c r="AN42" s="659"/>
      <c r="AO42" s="659"/>
      <c r="AP42" s="659"/>
      <c r="AQ42" s="659"/>
      <c r="AR42" s="659"/>
      <c r="AS42" s="659"/>
      <c r="AT42" s="659"/>
      <c r="AU42" s="659"/>
      <c r="AV42" s="659"/>
      <c r="AW42" s="659"/>
      <c r="AX42" s="659"/>
      <c r="AY42" s="659"/>
      <c r="AZ42" s="659"/>
      <c r="BA42" s="659"/>
      <c r="BB42" s="660"/>
      <c r="BC42" s="661"/>
      <c r="BD42" s="659"/>
      <c r="BE42" s="659"/>
      <c r="BF42" s="659"/>
      <c r="BG42" s="659"/>
      <c r="BH42" s="659"/>
      <c r="BI42" s="659"/>
      <c r="BJ42" s="659"/>
      <c r="BK42" s="659"/>
      <c r="BL42" s="660"/>
      <c r="BM42" s="662"/>
      <c r="BN42" s="663"/>
      <c r="BO42" s="663"/>
      <c r="BP42" s="663"/>
      <c r="BQ42" s="664"/>
      <c r="BR42" s="662"/>
      <c r="BS42" s="663"/>
      <c r="BT42" s="663"/>
      <c r="BU42" s="663"/>
      <c r="BV42" s="665"/>
    </row>
    <row r="43" spans="1:74" ht="13.5" customHeight="1">
      <c r="A43" s="634"/>
      <c r="B43" s="635"/>
      <c r="C43" s="635"/>
      <c r="D43" s="635"/>
      <c r="E43" s="636"/>
      <c r="F43" s="640"/>
      <c r="G43" s="635"/>
      <c r="H43" s="635"/>
      <c r="I43" s="635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5"/>
      <c r="W43" s="635"/>
      <c r="X43" s="635"/>
      <c r="Y43" s="635"/>
      <c r="Z43" s="635"/>
      <c r="AA43" s="635"/>
      <c r="AB43" s="635"/>
      <c r="AC43" s="635"/>
      <c r="AD43" s="635"/>
      <c r="AE43" s="635"/>
      <c r="AF43" s="635"/>
      <c r="AG43" s="635"/>
      <c r="AH43" s="635"/>
      <c r="AI43" s="635"/>
      <c r="AJ43" s="635"/>
      <c r="AK43" s="635"/>
      <c r="AL43" s="635"/>
      <c r="AM43" s="635"/>
      <c r="AN43" s="635"/>
      <c r="AO43" s="635"/>
      <c r="AP43" s="635"/>
      <c r="AQ43" s="635"/>
      <c r="AR43" s="635"/>
      <c r="AS43" s="635"/>
      <c r="AT43" s="635"/>
      <c r="AU43" s="635"/>
      <c r="AV43" s="635"/>
      <c r="AW43" s="635"/>
      <c r="AX43" s="635"/>
      <c r="AY43" s="635"/>
      <c r="AZ43" s="635"/>
      <c r="BA43" s="635"/>
      <c r="BB43" s="636"/>
      <c r="BC43" s="640"/>
      <c r="BD43" s="635"/>
      <c r="BE43" s="635"/>
      <c r="BF43" s="635"/>
      <c r="BG43" s="635"/>
      <c r="BH43" s="635"/>
      <c r="BI43" s="635"/>
      <c r="BJ43" s="635"/>
      <c r="BK43" s="635"/>
      <c r="BL43" s="636"/>
      <c r="BM43" s="642"/>
      <c r="BN43" s="643"/>
      <c r="BO43" s="643"/>
      <c r="BP43" s="643"/>
      <c r="BQ43" s="644"/>
      <c r="BR43" s="642"/>
      <c r="BS43" s="643"/>
      <c r="BT43" s="643"/>
      <c r="BU43" s="643"/>
      <c r="BV43" s="645"/>
    </row>
    <row r="44" spans="1:74" ht="13.5" customHeight="1">
      <c r="A44" s="650"/>
      <c r="B44" s="651"/>
      <c r="C44" s="651"/>
      <c r="D44" s="651"/>
      <c r="E44" s="652"/>
      <c r="F44" s="653"/>
      <c r="G44" s="651"/>
      <c r="H44" s="651"/>
      <c r="I44" s="651"/>
      <c r="J44" s="651"/>
      <c r="K44" s="651"/>
      <c r="L44" s="651"/>
      <c r="M44" s="651"/>
      <c r="N44" s="651"/>
      <c r="O44" s="651"/>
      <c r="P44" s="651"/>
      <c r="Q44" s="651"/>
      <c r="R44" s="651"/>
      <c r="S44" s="651"/>
      <c r="T44" s="651"/>
      <c r="U44" s="651"/>
      <c r="V44" s="651"/>
      <c r="W44" s="651"/>
      <c r="X44" s="651"/>
      <c r="Y44" s="651"/>
      <c r="Z44" s="651"/>
      <c r="AA44" s="651"/>
      <c r="AB44" s="651"/>
      <c r="AC44" s="651"/>
      <c r="AD44" s="651"/>
      <c r="AE44" s="651"/>
      <c r="AF44" s="651"/>
      <c r="AG44" s="651"/>
      <c r="AH44" s="651"/>
      <c r="AI44" s="651"/>
      <c r="AJ44" s="651"/>
      <c r="AK44" s="651"/>
      <c r="AL44" s="651"/>
      <c r="AM44" s="651"/>
      <c r="AN44" s="651"/>
      <c r="AO44" s="651"/>
      <c r="AP44" s="651"/>
      <c r="AQ44" s="651"/>
      <c r="AR44" s="651"/>
      <c r="AS44" s="651"/>
      <c r="AT44" s="651"/>
      <c r="AU44" s="651"/>
      <c r="AV44" s="651"/>
      <c r="AW44" s="651"/>
      <c r="AX44" s="651"/>
      <c r="AY44" s="651"/>
      <c r="AZ44" s="651"/>
      <c r="BA44" s="651"/>
      <c r="BB44" s="652"/>
      <c r="BC44" s="653"/>
      <c r="BD44" s="651"/>
      <c r="BE44" s="651"/>
      <c r="BF44" s="651"/>
      <c r="BG44" s="651"/>
      <c r="BH44" s="651"/>
      <c r="BI44" s="651"/>
      <c r="BJ44" s="651"/>
      <c r="BK44" s="651"/>
      <c r="BL44" s="652"/>
      <c r="BM44" s="654"/>
      <c r="BN44" s="655"/>
      <c r="BO44" s="655"/>
      <c r="BP44" s="655"/>
      <c r="BQ44" s="656"/>
      <c r="BR44" s="654"/>
      <c r="BS44" s="655"/>
      <c r="BT44" s="655"/>
      <c r="BU44" s="655"/>
      <c r="BV44" s="657"/>
    </row>
    <row r="45" spans="1:74" ht="13.5" customHeight="1">
      <c r="A45" s="634"/>
      <c r="B45" s="635"/>
      <c r="C45" s="635"/>
      <c r="D45" s="635"/>
      <c r="E45" s="636"/>
      <c r="F45" s="640"/>
      <c r="G45" s="635"/>
      <c r="H45" s="635"/>
      <c r="I45" s="635"/>
      <c r="J45" s="635"/>
      <c r="K45" s="635"/>
      <c r="L45" s="635"/>
      <c r="M45" s="635"/>
      <c r="N45" s="635"/>
      <c r="O45" s="635"/>
      <c r="P45" s="635"/>
      <c r="Q45" s="635"/>
      <c r="R45" s="635"/>
      <c r="S45" s="635"/>
      <c r="T45" s="635"/>
      <c r="U45" s="635"/>
      <c r="V45" s="635"/>
      <c r="W45" s="635"/>
      <c r="X45" s="635"/>
      <c r="Y45" s="635"/>
      <c r="Z45" s="635"/>
      <c r="AA45" s="635"/>
      <c r="AB45" s="635"/>
      <c r="AC45" s="635"/>
      <c r="AD45" s="635"/>
      <c r="AE45" s="635"/>
      <c r="AF45" s="635"/>
      <c r="AG45" s="635"/>
      <c r="AH45" s="635"/>
      <c r="AI45" s="635"/>
      <c r="AJ45" s="635"/>
      <c r="AK45" s="635"/>
      <c r="AL45" s="635"/>
      <c r="AM45" s="635"/>
      <c r="AN45" s="635"/>
      <c r="AO45" s="635"/>
      <c r="AP45" s="635"/>
      <c r="AQ45" s="635"/>
      <c r="AR45" s="635"/>
      <c r="AS45" s="635"/>
      <c r="AT45" s="635"/>
      <c r="AU45" s="635"/>
      <c r="AV45" s="635"/>
      <c r="AW45" s="635"/>
      <c r="AX45" s="635"/>
      <c r="AY45" s="635"/>
      <c r="AZ45" s="635"/>
      <c r="BA45" s="635"/>
      <c r="BB45" s="636"/>
      <c r="BC45" s="640"/>
      <c r="BD45" s="635"/>
      <c r="BE45" s="635"/>
      <c r="BF45" s="635"/>
      <c r="BG45" s="635"/>
      <c r="BH45" s="635"/>
      <c r="BI45" s="635"/>
      <c r="BJ45" s="635"/>
      <c r="BK45" s="635"/>
      <c r="BL45" s="636"/>
      <c r="BM45" s="642"/>
      <c r="BN45" s="643"/>
      <c r="BO45" s="643"/>
      <c r="BP45" s="643"/>
      <c r="BQ45" s="644"/>
      <c r="BR45" s="642"/>
      <c r="BS45" s="643"/>
      <c r="BT45" s="643"/>
      <c r="BU45" s="643"/>
      <c r="BV45" s="645"/>
    </row>
    <row r="46" spans="1:74" ht="13.5" customHeight="1">
      <c r="A46" s="658"/>
      <c r="B46" s="659"/>
      <c r="C46" s="659"/>
      <c r="D46" s="659"/>
      <c r="E46" s="660"/>
      <c r="F46" s="661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59"/>
      <c r="AB46" s="659"/>
      <c r="AC46" s="659"/>
      <c r="AD46" s="659"/>
      <c r="AE46" s="659"/>
      <c r="AF46" s="659"/>
      <c r="AG46" s="659"/>
      <c r="AH46" s="659"/>
      <c r="AI46" s="659"/>
      <c r="AJ46" s="659"/>
      <c r="AK46" s="659"/>
      <c r="AL46" s="659"/>
      <c r="AM46" s="659"/>
      <c r="AN46" s="659"/>
      <c r="AO46" s="659"/>
      <c r="AP46" s="659"/>
      <c r="AQ46" s="659"/>
      <c r="AR46" s="659"/>
      <c r="AS46" s="659"/>
      <c r="AT46" s="659"/>
      <c r="AU46" s="659"/>
      <c r="AV46" s="659"/>
      <c r="AW46" s="659"/>
      <c r="AX46" s="659"/>
      <c r="AY46" s="659"/>
      <c r="AZ46" s="659"/>
      <c r="BA46" s="659"/>
      <c r="BB46" s="660"/>
      <c r="BC46" s="661"/>
      <c r="BD46" s="659"/>
      <c r="BE46" s="659"/>
      <c r="BF46" s="659"/>
      <c r="BG46" s="659"/>
      <c r="BH46" s="659"/>
      <c r="BI46" s="659"/>
      <c r="BJ46" s="659"/>
      <c r="BK46" s="659"/>
      <c r="BL46" s="660"/>
      <c r="BM46" s="662"/>
      <c r="BN46" s="663"/>
      <c r="BO46" s="663"/>
      <c r="BP46" s="663"/>
      <c r="BQ46" s="664"/>
      <c r="BR46" s="662"/>
      <c r="BS46" s="663"/>
      <c r="BT46" s="663"/>
      <c r="BU46" s="663"/>
      <c r="BV46" s="665"/>
    </row>
    <row r="47" spans="1:74" ht="13.5" customHeight="1">
      <c r="A47" s="634"/>
      <c r="B47" s="635"/>
      <c r="C47" s="635"/>
      <c r="D47" s="635"/>
      <c r="E47" s="636"/>
      <c r="F47" s="640"/>
      <c r="G47" s="635"/>
      <c r="H47" s="635"/>
      <c r="I47" s="635"/>
      <c r="J47" s="635"/>
      <c r="K47" s="635"/>
      <c r="L47" s="635"/>
      <c r="M47" s="635"/>
      <c r="N47" s="635"/>
      <c r="O47" s="635"/>
      <c r="P47" s="635"/>
      <c r="Q47" s="635"/>
      <c r="R47" s="635"/>
      <c r="S47" s="635"/>
      <c r="T47" s="635"/>
      <c r="U47" s="635"/>
      <c r="V47" s="635"/>
      <c r="W47" s="635"/>
      <c r="X47" s="635"/>
      <c r="Y47" s="635"/>
      <c r="Z47" s="635"/>
      <c r="AA47" s="635"/>
      <c r="AB47" s="635"/>
      <c r="AC47" s="635"/>
      <c r="AD47" s="635"/>
      <c r="AE47" s="635"/>
      <c r="AF47" s="635"/>
      <c r="AG47" s="635"/>
      <c r="AH47" s="635"/>
      <c r="AI47" s="635"/>
      <c r="AJ47" s="635"/>
      <c r="AK47" s="635"/>
      <c r="AL47" s="635"/>
      <c r="AM47" s="635"/>
      <c r="AN47" s="635"/>
      <c r="AO47" s="635"/>
      <c r="AP47" s="635"/>
      <c r="AQ47" s="635"/>
      <c r="AR47" s="635"/>
      <c r="AS47" s="635"/>
      <c r="AT47" s="635"/>
      <c r="AU47" s="635"/>
      <c r="AV47" s="635"/>
      <c r="AW47" s="635"/>
      <c r="AX47" s="635"/>
      <c r="AY47" s="635"/>
      <c r="AZ47" s="635"/>
      <c r="BA47" s="635"/>
      <c r="BB47" s="636"/>
      <c r="BC47" s="640"/>
      <c r="BD47" s="635"/>
      <c r="BE47" s="635"/>
      <c r="BF47" s="635"/>
      <c r="BG47" s="635"/>
      <c r="BH47" s="635"/>
      <c r="BI47" s="635"/>
      <c r="BJ47" s="635"/>
      <c r="BK47" s="635"/>
      <c r="BL47" s="636"/>
      <c r="BM47" s="642"/>
      <c r="BN47" s="643"/>
      <c r="BO47" s="643"/>
      <c r="BP47" s="643"/>
      <c r="BQ47" s="644"/>
      <c r="BR47" s="642"/>
      <c r="BS47" s="643"/>
      <c r="BT47" s="643"/>
      <c r="BU47" s="643"/>
      <c r="BV47" s="645"/>
    </row>
    <row r="48" spans="1:74" ht="13.5" customHeight="1">
      <c r="A48" s="650"/>
      <c r="B48" s="651"/>
      <c r="C48" s="651"/>
      <c r="D48" s="651"/>
      <c r="E48" s="652"/>
      <c r="F48" s="653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651"/>
      <c r="AB48" s="651"/>
      <c r="AC48" s="651"/>
      <c r="AD48" s="651"/>
      <c r="AE48" s="651"/>
      <c r="AF48" s="651"/>
      <c r="AG48" s="651"/>
      <c r="AH48" s="651"/>
      <c r="AI48" s="651"/>
      <c r="AJ48" s="651"/>
      <c r="AK48" s="651"/>
      <c r="AL48" s="651"/>
      <c r="AM48" s="651"/>
      <c r="AN48" s="651"/>
      <c r="AO48" s="651"/>
      <c r="AP48" s="651"/>
      <c r="AQ48" s="651"/>
      <c r="AR48" s="651"/>
      <c r="AS48" s="651"/>
      <c r="AT48" s="651"/>
      <c r="AU48" s="651"/>
      <c r="AV48" s="651"/>
      <c r="AW48" s="651"/>
      <c r="AX48" s="651"/>
      <c r="AY48" s="651"/>
      <c r="AZ48" s="651"/>
      <c r="BA48" s="651"/>
      <c r="BB48" s="652"/>
      <c r="BC48" s="653"/>
      <c r="BD48" s="651"/>
      <c r="BE48" s="651"/>
      <c r="BF48" s="651"/>
      <c r="BG48" s="651"/>
      <c r="BH48" s="651"/>
      <c r="BI48" s="651"/>
      <c r="BJ48" s="651"/>
      <c r="BK48" s="651"/>
      <c r="BL48" s="652"/>
      <c r="BM48" s="654"/>
      <c r="BN48" s="655"/>
      <c r="BO48" s="655"/>
      <c r="BP48" s="655"/>
      <c r="BQ48" s="656"/>
      <c r="BR48" s="654"/>
      <c r="BS48" s="655"/>
      <c r="BT48" s="655"/>
      <c r="BU48" s="655"/>
      <c r="BV48" s="657"/>
    </row>
    <row r="49" spans="1:74" ht="13.5" customHeight="1">
      <c r="A49" s="634"/>
      <c r="B49" s="635"/>
      <c r="C49" s="635"/>
      <c r="D49" s="635"/>
      <c r="E49" s="636"/>
      <c r="F49" s="640"/>
      <c r="G49" s="635"/>
      <c r="H49" s="635"/>
      <c r="I49" s="635"/>
      <c r="J49" s="635"/>
      <c r="K49" s="635"/>
      <c r="L49" s="635"/>
      <c r="M49" s="635"/>
      <c r="N49" s="635"/>
      <c r="O49" s="635"/>
      <c r="P49" s="635"/>
      <c r="Q49" s="635"/>
      <c r="R49" s="635"/>
      <c r="S49" s="635"/>
      <c r="T49" s="635"/>
      <c r="U49" s="635"/>
      <c r="V49" s="635"/>
      <c r="W49" s="635"/>
      <c r="X49" s="635"/>
      <c r="Y49" s="635"/>
      <c r="Z49" s="635"/>
      <c r="AA49" s="635"/>
      <c r="AB49" s="635"/>
      <c r="AC49" s="635"/>
      <c r="AD49" s="635"/>
      <c r="AE49" s="635"/>
      <c r="AF49" s="635"/>
      <c r="AG49" s="635"/>
      <c r="AH49" s="635"/>
      <c r="AI49" s="635"/>
      <c r="AJ49" s="635"/>
      <c r="AK49" s="635"/>
      <c r="AL49" s="635"/>
      <c r="AM49" s="635"/>
      <c r="AN49" s="635"/>
      <c r="AO49" s="635"/>
      <c r="AP49" s="635"/>
      <c r="AQ49" s="635"/>
      <c r="AR49" s="635"/>
      <c r="AS49" s="635"/>
      <c r="AT49" s="635"/>
      <c r="AU49" s="635"/>
      <c r="AV49" s="635"/>
      <c r="AW49" s="635"/>
      <c r="AX49" s="635"/>
      <c r="AY49" s="635"/>
      <c r="AZ49" s="635"/>
      <c r="BA49" s="635"/>
      <c r="BB49" s="636"/>
      <c r="BC49" s="640"/>
      <c r="BD49" s="635"/>
      <c r="BE49" s="635"/>
      <c r="BF49" s="635"/>
      <c r="BG49" s="635"/>
      <c r="BH49" s="635"/>
      <c r="BI49" s="635"/>
      <c r="BJ49" s="635"/>
      <c r="BK49" s="635"/>
      <c r="BL49" s="636"/>
      <c r="BM49" s="642"/>
      <c r="BN49" s="643"/>
      <c r="BO49" s="643"/>
      <c r="BP49" s="643"/>
      <c r="BQ49" s="644"/>
      <c r="BR49" s="642"/>
      <c r="BS49" s="643"/>
      <c r="BT49" s="643"/>
      <c r="BU49" s="643"/>
      <c r="BV49" s="645"/>
    </row>
    <row r="50" spans="1:74" ht="13.5" customHeight="1" thickBot="1">
      <c r="A50" s="637"/>
      <c r="B50" s="638"/>
      <c r="C50" s="638"/>
      <c r="D50" s="638"/>
      <c r="E50" s="639"/>
      <c r="F50" s="641"/>
      <c r="G50" s="638"/>
      <c r="H50" s="638"/>
      <c r="I50" s="638"/>
      <c r="J50" s="638"/>
      <c r="K50" s="638"/>
      <c r="L50" s="638"/>
      <c r="M50" s="638"/>
      <c r="N50" s="638"/>
      <c r="O50" s="638"/>
      <c r="P50" s="638"/>
      <c r="Q50" s="638"/>
      <c r="R50" s="638"/>
      <c r="S50" s="638"/>
      <c r="T50" s="638"/>
      <c r="U50" s="638"/>
      <c r="V50" s="638"/>
      <c r="W50" s="638"/>
      <c r="X50" s="638"/>
      <c r="Y50" s="638"/>
      <c r="Z50" s="638"/>
      <c r="AA50" s="638"/>
      <c r="AB50" s="638"/>
      <c r="AC50" s="638"/>
      <c r="AD50" s="638"/>
      <c r="AE50" s="638"/>
      <c r="AF50" s="638"/>
      <c r="AG50" s="638"/>
      <c r="AH50" s="638"/>
      <c r="AI50" s="638"/>
      <c r="AJ50" s="638"/>
      <c r="AK50" s="638"/>
      <c r="AL50" s="638"/>
      <c r="AM50" s="638"/>
      <c r="AN50" s="638"/>
      <c r="AO50" s="638"/>
      <c r="AP50" s="638"/>
      <c r="AQ50" s="638"/>
      <c r="AR50" s="638"/>
      <c r="AS50" s="638"/>
      <c r="AT50" s="638"/>
      <c r="AU50" s="638"/>
      <c r="AV50" s="638"/>
      <c r="AW50" s="638"/>
      <c r="AX50" s="638"/>
      <c r="AY50" s="638"/>
      <c r="AZ50" s="638"/>
      <c r="BA50" s="638"/>
      <c r="BB50" s="639"/>
      <c r="BC50" s="641"/>
      <c r="BD50" s="638"/>
      <c r="BE50" s="638"/>
      <c r="BF50" s="638"/>
      <c r="BG50" s="638"/>
      <c r="BH50" s="638"/>
      <c r="BI50" s="638"/>
      <c r="BJ50" s="638"/>
      <c r="BK50" s="638"/>
      <c r="BL50" s="639"/>
      <c r="BM50" s="646"/>
      <c r="BN50" s="647"/>
      <c r="BO50" s="647"/>
      <c r="BP50" s="647"/>
      <c r="BQ50" s="648"/>
      <c r="BR50" s="646"/>
      <c r="BS50" s="647"/>
      <c r="BT50" s="647"/>
      <c r="BU50" s="647"/>
      <c r="BV50" s="649"/>
    </row>
    <row r="51" spans="1:74" ht="13.5" customHeight="1"/>
    <row r="52" spans="1:74" ht="13.5" customHeight="1"/>
    <row r="53" spans="1:74" ht="13.5" customHeight="1"/>
    <row r="54" spans="1:74" ht="13.5" customHeight="1"/>
    <row r="55" spans="1:74" ht="13.5" customHeight="1"/>
    <row r="56" spans="1:74" ht="13.5" customHeight="1"/>
    <row r="57" spans="1:74" ht="13.5" customHeight="1"/>
    <row r="58" spans="1:74" ht="13.5" customHeight="1"/>
    <row r="59" spans="1:74" ht="13.5" customHeight="1"/>
    <row r="60" spans="1:74" ht="13.5" customHeight="1"/>
    <row r="61" spans="1:74" ht="13.5" customHeight="1"/>
    <row r="62" spans="1:74" ht="13.5" customHeight="1"/>
    <row r="63" spans="1:74" ht="13.5" customHeight="1"/>
    <row r="64" spans="1:7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</sheetData>
  <mergeCells count="171"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A13:E14"/>
    <mergeCell ref="F13:BB14"/>
    <mergeCell ref="BC13:BL14"/>
    <mergeCell ref="BM13:BQ13"/>
    <mergeCell ref="BR13:BV13"/>
    <mergeCell ref="BM14:BQ14"/>
    <mergeCell ref="BR14:BV14"/>
    <mergeCell ref="BM8:BQ8"/>
    <mergeCell ref="BR8:BV8"/>
    <mergeCell ref="A11:E12"/>
    <mergeCell ref="F11:BB12"/>
    <mergeCell ref="BC11:BL12"/>
    <mergeCell ref="BM11:BQ11"/>
    <mergeCell ref="BR11:BV11"/>
    <mergeCell ref="BM12:BQ12"/>
    <mergeCell ref="BR12:BV12"/>
    <mergeCell ref="A9:E10"/>
    <mergeCell ref="F9:BB10"/>
    <mergeCell ref="BC9:BL10"/>
    <mergeCell ref="BM9:BQ9"/>
    <mergeCell ref="BR9:BV9"/>
    <mergeCell ref="BM10:BQ10"/>
    <mergeCell ref="BR10:BV10"/>
    <mergeCell ref="A17:E18"/>
    <mergeCell ref="F17:BB18"/>
    <mergeCell ref="BC17:BL18"/>
    <mergeCell ref="BM17:BQ17"/>
    <mergeCell ref="BR17:BV17"/>
    <mergeCell ref="BM18:BQ18"/>
    <mergeCell ref="BR18:BV18"/>
    <mergeCell ref="A15:E16"/>
    <mergeCell ref="F15:BB16"/>
    <mergeCell ref="BC15:BL16"/>
    <mergeCell ref="BM15:BQ15"/>
    <mergeCell ref="BR15:BV15"/>
    <mergeCell ref="BM16:BQ16"/>
    <mergeCell ref="BR16:BV16"/>
    <mergeCell ref="A21:E22"/>
    <mergeCell ref="F21:BB22"/>
    <mergeCell ref="BC21:BL22"/>
    <mergeCell ref="BM21:BQ21"/>
    <mergeCell ref="BR21:BV21"/>
    <mergeCell ref="BM22:BQ22"/>
    <mergeCell ref="BR22:BV22"/>
    <mergeCell ref="A19:E20"/>
    <mergeCell ref="F19:BB20"/>
    <mergeCell ref="BC19:BL20"/>
    <mergeCell ref="BM19:BQ19"/>
    <mergeCell ref="BR19:BV19"/>
    <mergeCell ref="BM20:BQ20"/>
    <mergeCell ref="BR20:BV20"/>
    <mergeCell ref="A25:E26"/>
    <mergeCell ref="F25:BB26"/>
    <mergeCell ref="BC25:BL26"/>
    <mergeCell ref="BM25:BQ25"/>
    <mergeCell ref="BR25:BV25"/>
    <mergeCell ref="BM26:BQ26"/>
    <mergeCell ref="BR26:BV26"/>
    <mergeCell ref="A23:E24"/>
    <mergeCell ref="F23:BB24"/>
    <mergeCell ref="BC23:BL24"/>
    <mergeCell ref="BM23:BQ23"/>
    <mergeCell ref="BR23:BV23"/>
    <mergeCell ref="BM24:BQ24"/>
    <mergeCell ref="BR24:BV24"/>
    <mergeCell ref="A29:E30"/>
    <mergeCell ref="F29:BB30"/>
    <mergeCell ref="BC29:BL30"/>
    <mergeCell ref="BM29:BQ29"/>
    <mergeCell ref="BR29:BV29"/>
    <mergeCell ref="BM30:BQ30"/>
    <mergeCell ref="BR30:BV30"/>
    <mergeCell ref="A27:E28"/>
    <mergeCell ref="F27:BB28"/>
    <mergeCell ref="BC27:BL28"/>
    <mergeCell ref="BM27:BQ27"/>
    <mergeCell ref="BR27:BV27"/>
    <mergeCell ref="BM28:BQ28"/>
    <mergeCell ref="BR28:BV28"/>
    <mergeCell ref="A33:E34"/>
    <mergeCell ref="F33:BB34"/>
    <mergeCell ref="BC33:BL34"/>
    <mergeCell ref="BM33:BQ33"/>
    <mergeCell ref="BR33:BV33"/>
    <mergeCell ref="BM34:BQ34"/>
    <mergeCell ref="BR34:BV34"/>
    <mergeCell ref="A31:E32"/>
    <mergeCell ref="F31:BB32"/>
    <mergeCell ref="BC31:BL32"/>
    <mergeCell ref="BM31:BQ31"/>
    <mergeCell ref="BR31:BV31"/>
    <mergeCell ref="BM32:BQ32"/>
    <mergeCell ref="BR32:BV32"/>
    <mergeCell ref="A37:E38"/>
    <mergeCell ref="F37:BB38"/>
    <mergeCell ref="BC37:BL38"/>
    <mergeCell ref="BM37:BQ37"/>
    <mergeCell ref="BR37:BV37"/>
    <mergeCell ref="BM38:BQ38"/>
    <mergeCell ref="BR38:BV38"/>
    <mergeCell ref="A35:E36"/>
    <mergeCell ref="F35:BB36"/>
    <mergeCell ref="BC35:BL36"/>
    <mergeCell ref="BM35:BQ35"/>
    <mergeCell ref="BR35:BV35"/>
    <mergeCell ref="BM36:BQ36"/>
    <mergeCell ref="BR36:BV36"/>
    <mergeCell ref="A41:E42"/>
    <mergeCell ref="F41:BB42"/>
    <mergeCell ref="BC41:BL42"/>
    <mergeCell ref="BM41:BQ41"/>
    <mergeCell ref="BR41:BV41"/>
    <mergeCell ref="BM42:BQ42"/>
    <mergeCell ref="BR42:BV42"/>
    <mergeCell ref="A39:E40"/>
    <mergeCell ref="F39:BB40"/>
    <mergeCell ref="BC39:BL40"/>
    <mergeCell ref="BM39:BQ39"/>
    <mergeCell ref="BR39:BV39"/>
    <mergeCell ref="BM40:BQ40"/>
    <mergeCell ref="BR40:BV40"/>
    <mergeCell ref="A45:E46"/>
    <mergeCell ref="F45:BB46"/>
    <mergeCell ref="BC45:BL46"/>
    <mergeCell ref="BM45:BQ45"/>
    <mergeCell ref="BR45:BV45"/>
    <mergeCell ref="BM46:BQ46"/>
    <mergeCell ref="BR46:BV46"/>
    <mergeCell ref="A43:E44"/>
    <mergeCell ref="F43:BB44"/>
    <mergeCell ref="BC43:BL44"/>
    <mergeCell ref="BM43:BQ43"/>
    <mergeCell ref="BR43:BV43"/>
    <mergeCell ref="BM44:BQ44"/>
    <mergeCell ref="BR44:BV44"/>
    <mergeCell ref="A49:E50"/>
    <mergeCell ref="F49:BB50"/>
    <mergeCell ref="BC49:BL50"/>
    <mergeCell ref="BM49:BQ49"/>
    <mergeCell ref="BR49:BV49"/>
    <mergeCell ref="BM50:BQ50"/>
    <mergeCell ref="BR50:BV50"/>
    <mergeCell ref="A47:E48"/>
    <mergeCell ref="F47:BB48"/>
    <mergeCell ref="BC47:BL48"/>
    <mergeCell ref="BM47:BQ47"/>
    <mergeCell ref="BR47:BV47"/>
    <mergeCell ref="BM48:BQ48"/>
    <mergeCell ref="BR48:BV48"/>
  </mergeCells>
  <phoneticPr fontId="8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J32"/>
  <sheetViews>
    <sheetView showGridLines="0" showZeros="0" view="pageBreakPreview" zoomScaleNormal="100" zoomScaleSheetLayoutView="100" workbookViewId="0">
      <pane ySplit="4" topLeftCell="A5" activePane="bottomLeft" state="frozen"/>
      <selection activeCell="AJ54" sqref="AJ54:AJ55"/>
      <selection pane="bottomLeft" sqref="A1:N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125" style="24"/>
  </cols>
  <sheetData>
    <row r="1" spans="1:88" s="4" customFormat="1" ht="15.75" customHeight="1">
      <c r="A1" s="458" t="str">
        <f>表紙!A54</f>
        <v>Webシステム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6"/>
      <c r="O1" s="773" t="s">
        <v>132</v>
      </c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5"/>
      <c r="AC1" s="776" t="s">
        <v>148</v>
      </c>
      <c r="AD1" s="777"/>
      <c r="AE1" s="777"/>
      <c r="AF1" s="777"/>
      <c r="AG1" s="777"/>
      <c r="AH1" s="777"/>
      <c r="AI1" s="778"/>
      <c r="AJ1" s="444" t="str">
        <f>表紙!AJ63</f>
        <v>MS</v>
      </c>
      <c r="AK1" s="784"/>
      <c r="AL1" s="784"/>
      <c r="AM1" s="784"/>
      <c r="AN1" s="784"/>
      <c r="AO1" s="784"/>
      <c r="AP1" s="785"/>
      <c r="AQ1" s="776" t="s">
        <v>135</v>
      </c>
      <c r="AR1" s="777"/>
      <c r="AS1" s="777"/>
      <c r="AT1" s="777"/>
      <c r="AU1" s="777"/>
      <c r="AV1" s="777"/>
      <c r="AW1" s="778"/>
      <c r="AX1" s="444" t="str">
        <f>表紙!AX63</f>
        <v>Webシステム</v>
      </c>
      <c r="AY1" s="784"/>
      <c r="AZ1" s="784"/>
      <c r="BA1" s="784"/>
      <c r="BB1" s="784"/>
      <c r="BC1" s="784"/>
      <c r="BD1" s="784"/>
      <c r="BE1" s="784"/>
      <c r="BF1" s="784"/>
      <c r="BG1" s="784"/>
      <c r="BH1" s="784"/>
      <c r="BI1" s="784"/>
      <c r="BJ1" s="784"/>
      <c r="BK1" s="785"/>
      <c r="BL1" s="786" t="s">
        <v>101</v>
      </c>
      <c r="BM1" s="787"/>
      <c r="BN1" s="787"/>
      <c r="BO1" s="787"/>
      <c r="BP1" s="787"/>
      <c r="BQ1" s="787"/>
      <c r="BR1" s="787"/>
      <c r="BS1" s="787"/>
      <c r="BT1" s="788"/>
      <c r="BU1" s="789" t="s">
        <v>124</v>
      </c>
      <c r="BV1" s="790"/>
      <c r="BW1" s="790"/>
      <c r="BX1" s="790"/>
      <c r="BY1" s="790"/>
      <c r="BZ1" s="790"/>
      <c r="CA1" s="791"/>
      <c r="CB1" s="789" t="s">
        <v>149</v>
      </c>
      <c r="CC1" s="790"/>
      <c r="CD1" s="790"/>
      <c r="CE1" s="790"/>
      <c r="CF1" s="790"/>
      <c r="CG1" s="790"/>
      <c r="CH1" s="792"/>
    </row>
    <row r="2" spans="1:88" s="4" customFormat="1" ht="15.75" customHeight="1">
      <c r="A2" s="767"/>
      <c r="B2" s="768"/>
      <c r="C2" s="768"/>
      <c r="D2" s="768"/>
      <c r="E2" s="768"/>
      <c r="F2" s="768"/>
      <c r="G2" s="768"/>
      <c r="H2" s="768"/>
      <c r="I2" s="768"/>
      <c r="J2" s="768"/>
      <c r="K2" s="768"/>
      <c r="L2" s="768"/>
      <c r="M2" s="768"/>
      <c r="N2" s="769"/>
      <c r="O2" s="429" t="str">
        <f>表紙!O64</f>
        <v>アドオン設計書</v>
      </c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80"/>
      <c r="AC2" s="781" t="s">
        <v>152</v>
      </c>
      <c r="AD2" s="782"/>
      <c r="AE2" s="782"/>
      <c r="AF2" s="782"/>
      <c r="AG2" s="782"/>
      <c r="AH2" s="782"/>
      <c r="AI2" s="783"/>
      <c r="AJ2" s="434" t="str">
        <f>表紙!AJ64</f>
        <v>MSBB</v>
      </c>
      <c r="AK2" s="435"/>
      <c r="AL2" s="435"/>
      <c r="AM2" s="435"/>
      <c r="AN2" s="435"/>
      <c r="AO2" s="435"/>
      <c r="AP2" s="436"/>
      <c r="AQ2" s="781" t="s">
        <v>153</v>
      </c>
      <c r="AR2" s="782"/>
      <c r="AS2" s="782"/>
      <c r="AT2" s="782"/>
      <c r="AU2" s="782"/>
      <c r="AV2" s="782"/>
      <c r="AW2" s="783"/>
      <c r="AX2" s="437" t="str">
        <f>表紙!AX64</f>
        <v>販売Webシステム</v>
      </c>
      <c r="AY2" s="478"/>
      <c r="AZ2" s="478"/>
      <c r="BA2" s="478"/>
      <c r="BB2" s="478"/>
      <c r="BC2" s="478"/>
      <c r="BD2" s="478"/>
      <c r="BE2" s="478"/>
      <c r="BF2" s="478"/>
      <c r="BG2" s="478"/>
      <c r="BH2" s="478"/>
      <c r="BI2" s="478"/>
      <c r="BJ2" s="478"/>
      <c r="BK2" s="479"/>
      <c r="BL2" s="438" t="str">
        <f>表紙!BL64</f>
        <v>M7-US-1140</v>
      </c>
      <c r="BM2" s="430"/>
      <c r="BN2" s="430"/>
      <c r="BO2" s="430"/>
      <c r="BP2" s="430"/>
      <c r="BQ2" s="430"/>
      <c r="BR2" s="430"/>
      <c r="BS2" s="430"/>
      <c r="BT2" s="439"/>
      <c r="BU2" s="443" t="str">
        <f>表紙!BU64</f>
        <v>7.0.2</v>
      </c>
      <c r="BV2" s="430"/>
      <c r="BW2" s="430"/>
      <c r="BX2" s="430"/>
      <c r="BY2" s="430"/>
      <c r="BZ2" s="430"/>
      <c r="CA2" s="439"/>
      <c r="CB2" s="445">
        <f>表紙!CB64</f>
        <v>2</v>
      </c>
      <c r="CC2" s="430"/>
      <c r="CD2" s="430"/>
      <c r="CE2" s="430"/>
      <c r="CF2" s="430"/>
      <c r="CG2" s="430"/>
      <c r="CH2" s="446"/>
    </row>
    <row r="3" spans="1:88" s="4" customFormat="1" ht="15.75" customHeight="1" thickBot="1">
      <c r="A3" s="770"/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71"/>
      <c r="N3" s="772"/>
      <c r="O3" s="448" t="str">
        <f ca="1">RIGHT(CELL("filename",$A$1),LEN(CELL("filename",$A$1))-FIND("]",CELL("filename",$A$1)))</f>
        <v>概要</v>
      </c>
      <c r="P3" s="793"/>
      <c r="Q3" s="793"/>
      <c r="R3" s="793"/>
      <c r="S3" s="793"/>
      <c r="T3" s="793"/>
      <c r="U3" s="793"/>
      <c r="V3" s="793"/>
      <c r="W3" s="793"/>
      <c r="X3" s="793"/>
      <c r="Y3" s="793"/>
      <c r="Z3" s="793"/>
      <c r="AA3" s="793"/>
      <c r="AB3" s="794"/>
      <c r="AC3" s="795" t="s">
        <v>146</v>
      </c>
      <c r="AD3" s="796"/>
      <c r="AE3" s="796"/>
      <c r="AF3" s="796"/>
      <c r="AG3" s="796"/>
      <c r="AH3" s="796"/>
      <c r="AI3" s="797"/>
      <c r="AJ3" s="453" t="str">
        <f>表紙!AJ65</f>
        <v>MSBBPA120</v>
      </c>
      <c r="AK3" s="454"/>
      <c r="AL3" s="454"/>
      <c r="AM3" s="454"/>
      <c r="AN3" s="454"/>
      <c r="AO3" s="454"/>
      <c r="AP3" s="454"/>
      <c r="AQ3" s="455" t="str">
        <f>表紙!AQ65</f>
        <v>Web取引先マスタ一覧照会</v>
      </c>
      <c r="AR3" s="455"/>
      <c r="AS3" s="455"/>
      <c r="AT3" s="455"/>
      <c r="AU3" s="455"/>
      <c r="AV3" s="455"/>
      <c r="AW3" s="455"/>
      <c r="AX3" s="455"/>
      <c r="AY3" s="455"/>
      <c r="AZ3" s="455"/>
      <c r="BA3" s="455"/>
      <c r="BB3" s="455"/>
      <c r="BC3" s="455"/>
      <c r="BD3" s="455"/>
      <c r="BE3" s="455"/>
      <c r="BF3" s="455"/>
      <c r="BG3" s="455"/>
      <c r="BH3" s="455"/>
      <c r="BI3" s="455"/>
      <c r="BJ3" s="455"/>
      <c r="BK3" s="798"/>
      <c r="BL3" s="440"/>
      <c r="BM3" s="441"/>
      <c r="BN3" s="441"/>
      <c r="BO3" s="441"/>
      <c r="BP3" s="441"/>
      <c r="BQ3" s="441"/>
      <c r="BR3" s="441"/>
      <c r="BS3" s="441"/>
      <c r="BT3" s="442"/>
      <c r="BU3" s="440"/>
      <c r="BV3" s="441"/>
      <c r="BW3" s="441"/>
      <c r="BX3" s="441"/>
      <c r="BY3" s="441"/>
      <c r="BZ3" s="441"/>
      <c r="CA3" s="442"/>
      <c r="CB3" s="440"/>
      <c r="CC3" s="441"/>
      <c r="CD3" s="441"/>
      <c r="CE3" s="441"/>
      <c r="CF3" s="441"/>
      <c r="CG3" s="441"/>
      <c r="CH3" s="447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2" customForma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 t="s">
        <v>31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1"/>
    </row>
    <row r="6" spans="1:88" s="14" customFormat="1" ht="15.75" customHeight="1">
      <c r="A6" s="13"/>
      <c r="S6" s="15"/>
      <c r="CH6" s="16"/>
    </row>
    <row r="7" spans="1:88" s="14" customFormat="1" ht="15.75" customHeight="1">
      <c r="A7" s="13"/>
      <c r="B7" s="17" t="s">
        <v>167</v>
      </c>
      <c r="C7" s="2"/>
      <c r="D7" s="2"/>
      <c r="Q7" s="15"/>
      <c r="CH7" s="16"/>
    </row>
    <row r="8" spans="1:88" s="14" customFormat="1" ht="15.75" customHeight="1">
      <c r="A8" s="13"/>
      <c r="B8" s="2"/>
      <c r="C8" s="2" t="s">
        <v>168</v>
      </c>
      <c r="D8" s="2"/>
      <c r="Q8" s="15"/>
      <c r="CH8" s="16"/>
    </row>
    <row r="9" spans="1:88" s="14" customFormat="1" ht="15.75" customHeight="1">
      <c r="A9" s="13"/>
      <c r="B9" s="2"/>
      <c r="C9" s="2"/>
      <c r="D9" s="2"/>
      <c r="Q9" s="15"/>
      <c r="CH9" s="16"/>
    </row>
    <row r="10" spans="1:88" s="14" customFormat="1" ht="15.75" customHeight="1">
      <c r="A10" s="13"/>
      <c r="B10" s="17" t="s">
        <v>169</v>
      </c>
      <c r="C10" s="2"/>
      <c r="D10" s="2"/>
      <c r="Q10" s="15"/>
      <c r="CH10" s="16"/>
    </row>
    <row r="11" spans="1:88" s="14" customFormat="1" ht="15.75" customHeight="1">
      <c r="A11" s="13"/>
      <c r="B11" s="2"/>
      <c r="C11" s="2" t="s">
        <v>170</v>
      </c>
      <c r="D11" s="2"/>
      <c r="Q11" s="15"/>
      <c r="CH11" s="16"/>
    </row>
    <row r="12" spans="1:88" s="14" customFormat="1" ht="15.75" customHeight="1">
      <c r="A12" s="13"/>
      <c r="B12" s="2"/>
      <c r="C12" s="2"/>
      <c r="D12" s="2"/>
      <c r="Q12" s="15"/>
      <c r="CH12" s="16"/>
    </row>
    <row r="13" spans="1:88" s="14" customFormat="1" ht="15.75" customHeight="1">
      <c r="A13" s="13"/>
      <c r="B13" s="17" t="s">
        <v>171</v>
      </c>
      <c r="C13" s="2"/>
      <c r="D13" s="2"/>
      <c r="Q13" s="15"/>
      <c r="CH13" s="16"/>
      <c r="CJ13" s="17"/>
    </row>
    <row r="14" spans="1:88" s="14" customFormat="1" ht="15.75" customHeight="1">
      <c r="A14" s="13"/>
      <c r="B14" s="17"/>
      <c r="C14" s="27" t="s">
        <v>172</v>
      </c>
      <c r="D14" s="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27"/>
      <c r="CH14" s="16"/>
    </row>
    <row r="15" spans="1:88" s="14" customFormat="1" ht="15.75" customHeight="1">
      <c r="A15" s="13"/>
      <c r="Q15" s="15"/>
      <c r="CH15" s="16"/>
    </row>
    <row r="16" spans="1:88" s="14" customFormat="1" ht="15.75" customHeight="1">
      <c r="A16" s="18"/>
      <c r="B16" s="20" t="s">
        <v>173</v>
      </c>
      <c r="C16" s="2"/>
      <c r="D16" s="2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19"/>
      <c r="CJ16" s="20"/>
    </row>
    <row r="17" spans="1:86" s="14" customFormat="1" ht="15.75" customHeight="1">
      <c r="A17" s="18"/>
      <c r="B17" s="2"/>
      <c r="C17" s="2" t="s">
        <v>174</v>
      </c>
      <c r="D17" s="2"/>
      <c r="E17" s="21"/>
      <c r="F17" s="21"/>
      <c r="G17" s="21"/>
      <c r="H17" s="2"/>
      <c r="I17" s="2"/>
      <c r="J17" s="2"/>
      <c r="K17" s="2"/>
      <c r="L17" s="2"/>
      <c r="M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19"/>
    </row>
    <row r="18" spans="1:86" s="14" customFormat="1" ht="15.75" customHeight="1">
      <c r="A18" s="18"/>
      <c r="B18" s="2"/>
      <c r="C18" s="2" t="s">
        <v>175</v>
      </c>
      <c r="D18" s="2"/>
      <c r="E18" s="21"/>
      <c r="F18" s="21"/>
      <c r="G18" s="21"/>
      <c r="H18" s="2"/>
      <c r="I18" s="2"/>
      <c r="J18" s="2"/>
      <c r="K18" s="2"/>
      <c r="L18" s="2"/>
      <c r="M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19"/>
    </row>
    <row r="19" spans="1:86" s="14" customFormat="1" ht="15.75" customHeight="1">
      <c r="A19" s="18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19"/>
    </row>
    <row r="20" spans="1:86" s="14" customFormat="1" ht="15.75" customHeight="1">
      <c r="A20" s="18"/>
      <c r="B20" s="20" t="s">
        <v>176</v>
      </c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19"/>
    </row>
    <row r="21" spans="1:86" s="14" customFormat="1" ht="15.75" customHeight="1">
      <c r="A21" s="18"/>
      <c r="B21" s="2"/>
      <c r="C21" s="2" t="s">
        <v>177</v>
      </c>
      <c r="D21" s="2"/>
      <c r="E21" s="21"/>
      <c r="F21" s="21"/>
      <c r="G21" s="21"/>
      <c r="H21" s="2"/>
      <c r="I21" s="2"/>
      <c r="J21" s="2"/>
      <c r="K21" s="2"/>
      <c r="L21" s="2"/>
      <c r="M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19"/>
    </row>
    <row r="22" spans="1:86" s="14" customFormat="1" ht="15.75" customHeight="1">
      <c r="A22" s="13"/>
      <c r="Q22" s="15"/>
      <c r="CH22" s="16"/>
    </row>
    <row r="23" spans="1:86" s="14" customFormat="1" ht="15.75" customHeight="1">
      <c r="A23" s="13"/>
      <c r="B23" s="20" t="s">
        <v>178</v>
      </c>
      <c r="Q23" s="15"/>
      <c r="CH23" s="16"/>
    </row>
    <row r="24" spans="1:86" s="14" customFormat="1" ht="15.75" customHeight="1">
      <c r="A24" s="13"/>
      <c r="C24" s="14" t="s">
        <v>179</v>
      </c>
      <c r="Q24" s="15"/>
      <c r="CH24" s="16"/>
    </row>
    <row r="25" spans="1:86" s="14" customFormat="1" ht="15.75" customHeight="1">
      <c r="A25" s="13"/>
      <c r="B25" s="20"/>
      <c r="E25" s="22"/>
      <c r="Q25" s="15"/>
      <c r="CH25" s="16"/>
    </row>
    <row r="26" spans="1:86" s="14" customFormat="1" ht="15.75" customHeight="1">
      <c r="A26" s="13"/>
      <c r="B26" s="20" t="s">
        <v>180</v>
      </c>
      <c r="E26" s="22"/>
      <c r="Q26" s="15"/>
      <c r="CH26" s="16"/>
    </row>
    <row r="27" spans="1:86" s="14" customFormat="1" ht="15.75" customHeight="1">
      <c r="A27" s="13"/>
      <c r="C27" s="14" t="s">
        <v>181</v>
      </c>
      <c r="Q27" s="15"/>
      <c r="CH27" s="16"/>
    </row>
    <row r="28" spans="1:86" s="14" customFormat="1" ht="15.75" customHeight="1">
      <c r="A28" s="13"/>
      <c r="C28" s="14" t="s">
        <v>182</v>
      </c>
      <c r="Q28" s="15"/>
      <c r="CH28" s="16"/>
    </row>
    <row r="29" spans="1:86" s="14" customFormat="1" ht="15.75" customHeight="1">
      <c r="A29" s="13"/>
      <c r="E29" s="22"/>
      <c r="Q29" s="15"/>
      <c r="CH29" s="16"/>
    </row>
    <row r="30" spans="1:86" s="14" customFormat="1" ht="15.75" customHeight="1">
      <c r="A30" s="13"/>
      <c r="B30" s="20" t="s">
        <v>183</v>
      </c>
      <c r="E30" s="22"/>
      <c r="Q30" s="15"/>
      <c r="CH30" s="16"/>
    </row>
    <row r="31" spans="1:86" s="14" customFormat="1" ht="15.75" customHeight="1">
      <c r="A31" s="13"/>
      <c r="C31" s="14" t="s">
        <v>177</v>
      </c>
      <c r="Q31" s="15"/>
      <c r="CH31" s="16"/>
    </row>
    <row r="32" spans="1:86" ht="15.75" customHeight="1" thickBot="1">
      <c r="A32" s="23"/>
      <c r="B32" s="392"/>
      <c r="C32" s="393"/>
      <c r="D32" s="393"/>
      <c r="E32" s="393"/>
      <c r="F32" s="392"/>
      <c r="G32" s="392"/>
      <c r="H32" s="392"/>
      <c r="I32" s="392"/>
      <c r="J32" s="393"/>
      <c r="K32" s="392"/>
      <c r="L32" s="392"/>
      <c r="M32" s="392"/>
      <c r="N32" s="392"/>
      <c r="O32" s="392"/>
      <c r="P32" s="392"/>
      <c r="Q32" s="394"/>
      <c r="R32" s="392"/>
      <c r="S32" s="392"/>
      <c r="T32" s="392"/>
      <c r="U32" s="392"/>
      <c r="V32" s="392"/>
      <c r="W32" s="392"/>
      <c r="X32" s="392"/>
      <c r="Y32" s="392"/>
      <c r="Z32" s="392"/>
      <c r="AA32" s="392"/>
      <c r="AB32" s="392"/>
      <c r="AC32" s="392"/>
      <c r="AD32" s="392"/>
      <c r="AE32" s="392"/>
      <c r="AF32" s="392"/>
      <c r="AG32" s="392"/>
      <c r="AH32" s="392"/>
      <c r="AI32" s="392"/>
      <c r="AJ32" s="392"/>
      <c r="AK32" s="392"/>
      <c r="AL32" s="392"/>
      <c r="AM32" s="392"/>
      <c r="AN32" s="392"/>
      <c r="AO32" s="392"/>
      <c r="AP32" s="392"/>
      <c r="AQ32" s="392"/>
      <c r="AR32" s="392"/>
      <c r="AS32" s="392"/>
      <c r="AT32" s="392"/>
      <c r="AU32" s="392"/>
      <c r="AV32" s="392"/>
      <c r="AW32" s="392"/>
      <c r="AX32" s="392"/>
      <c r="AY32" s="392"/>
      <c r="AZ32" s="392"/>
      <c r="BA32" s="392"/>
      <c r="BB32" s="392"/>
      <c r="BC32" s="392"/>
      <c r="BD32" s="392"/>
      <c r="BE32" s="392"/>
      <c r="BF32" s="392"/>
      <c r="BG32" s="392"/>
      <c r="BH32" s="392"/>
      <c r="BI32" s="392"/>
      <c r="BJ32" s="392"/>
      <c r="BK32" s="392"/>
      <c r="BL32" s="392"/>
      <c r="BM32" s="392"/>
      <c r="BN32" s="392"/>
      <c r="BO32" s="392"/>
      <c r="BP32" s="392"/>
      <c r="BQ32" s="392"/>
      <c r="BR32" s="392"/>
      <c r="BS32" s="392"/>
      <c r="BT32" s="392"/>
      <c r="BU32" s="392"/>
      <c r="BV32" s="392"/>
      <c r="BW32" s="392"/>
      <c r="BX32" s="392"/>
      <c r="BY32" s="392"/>
      <c r="BZ32" s="392"/>
      <c r="CA32" s="392"/>
      <c r="CB32" s="392"/>
      <c r="CC32" s="392"/>
      <c r="CD32" s="392"/>
      <c r="CE32" s="392"/>
      <c r="CF32" s="392"/>
      <c r="CG32" s="392"/>
      <c r="CH32" s="395"/>
    </row>
  </sheetData>
  <mergeCells count="21"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  <mergeCell ref="AJ1:AP1"/>
    <mergeCell ref="AQ1:AW1"/>
    <mergeCell ref="BL1:BT1"/>
    <mergeCell ref="BU1:CA1"/>
    <mergeCell ref="CB1:CH1"/>
    <mergeCell ref="AX1:BK1"/>
    <mergeCell ref="A1:N3"/>
    <mergeCell ref="O1:AB1"/>
    <mergeCell ref="AC1:AI1"/>
    <mergeCell ref="O2:AB2"/>
    <mergeCell ref="AC2:AI2"/>
  </mergeCells>
  <phoneticPr fontId="8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D63"/>
  <sheetViews>
    <sheetView showGridLines="0" showZeros="0" view="pageBreakPreview" topLeftCell="A19" zoomScale="85" zoomScaleNormal="100" zoomScaleSheetLayoutView="85" workbookViewId="0">
      <selection activeCell="AD39" activeCellId="1" sqref="I39:M43 AD39:AH43"/>
    </sheetView>
  </sheetViews>
  <sheetFormatPr defaultColWidth="2.25" defaultRowHeight="12" customHeight="1"/>
  <cols>
    <col min="1" max="2" width="2.125" style="24" customWidth="1"/>
    <col min="3" max="3" width="2.375" style="24" customWidth="1"/>
    <col min="4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25" style="24"/>
  </cols>
  <sheetData>
    <row r="1" spans="1:63" s="4" customFormat="1" ht="15.75" customHeight="1">
      <c r="A1" s="821" t="str">
        <f>表紙!A54</f>
        <v>Webシステム</v>
      </c>
      <c r="B1" s="822"/>
      <c r="C1" s="822"/>
      <c r="D1" s="822"/>
      <c r="E1" s="822"/>
      <c r="F1" s="822"/>
      <c r="G1" s="822"/>
      <c r="H1" s="822"/>
      <c r="I1" s="822"/>
      <c r="J1" s="823"/>
      <c r="K1" s="857" t="s">
        <v>132</v>
      </c>
      <c r="L1" s="858"/>
      <c r="M1" s="858"/>
      <c r="N1" s="858"/>
      <c r="O1" s="858"/>
      <c r="P1" s="858"/>
      <c r="Q1" s="858"/>
      <c r="R1" s="858"/>
      <c r="S1" s="858"/>
      <c r="T1" s="859"/>
      <c r="U1" s="860" t="s">
        <v>148</v>
      </c>
      <c r="V1" s="861"/>
      <c r="W1" s="861"/>
      <c r="X1" s="861"/>
      <c r="Y1" s="862"/>
      <c r="Z1" s="863" t="str">
        <f>表紙!$AJ$63</f>
        <v>MS</v>
      </c>
      <c r="AA1" s="864"/>
      <c r="AB1" s="864"/>
      <c r="AC1" s="864"/>
      <c r="AD1" s="865"/>
      <c r="AE1" s="866" t="s">
        <v>135</v>
      </c>
      <c r="AF1" s="832"/>
      <c r="AG1" s="832"/>
      <c r="AH1" s="832"/>
      <c r="AI1" s="833"/>
      <c r="AJ1" s="867" t="str">
        <f>表紙!$AX$63</f>
        <v>Webシステム</v>
      </c>
      <c r="AK1" s="868"/>
      <c r="AL1" s="868"/>
      <c r="AM1" s="868"/>
      <c r="AN1" s="868"/>
      <c r="AO1" s="868"/>
      <c r="AP1" s="868"/>
      <c r="AQ1" s="868"/>
      <c r="AR1" s="869"/>
      <c r="AS1" s="830" t="s">
        <v>101</v>
      </c>
      <c r="AT1" s="830"/>
      <c r="AU1" s="830"/>
      <c r="AV1" s="830"/>
      <c r="AW1" s="830"/>
      <c r="AX1" s="830"/>
      <c r="AY1" s="830"/>
      <c r="AZ1" s="831" t="s">
        <v>124</v>
      </c>
      <c r="BA1" s="832"/>
      <c r="BB1" s="832"/>
      <c r="BC1" s="832"/>
      <c r="BD1" s="832"/>
      <c r="BE1" s="833"/>
      <c r="BF1" s="831" t="s">
        <v>149</v>
      </c>
      <c r="BG1" s="832"/>
      <c r="BH1" s="832"/>
      <c r="BI1" s="832"/>
      <c r="BJ1" s="832"/>
      <c r="BK1" s="834"/>
    </row>
    <row r="2" spans="1:63" s="4" customFormat="1" ht="15.75" customHeight="1">
      <c r="A2" s="824"/>
      <c r="B2" s="825"/>
      <c r="C2" s="825"/>
      <c r="D2" s="825"/>
      <c r="E2" s="825"/>
      <c r="F2" s="825"/>
      <c r="G2" s="825"/>
      <c r="H2" s="825"/>
      <c r="I2" s="825"/>
      <c r="J2" s="826"/>
      <c r="K2" s="835" t="str">
        <f>表紙!O64</f>
        <v>アドオン設計書</v>
      </c>
      <c r="L2" s="836"/>
      <c r="M2" s="836"/>
      <c r="N2" s="836"/>
      <c r="O2" s="836"/>
      <c r="P2" s="836"/>
      <c r="Q2" s="836"/>
      <c r="R2" s="836"/>
      <c r="S2" s="836"/>
      <c r="T2" s="837"/>
      <c r="U2" s="838" t="s">
        <v>150</v>
      </c>
      <c r="V2" s="839"/>
      <c r="W2" s="839"/>
      <c r="X2" s="839"/>
      <c r="Y2" s="840"/>
      <c r="Z2" s="841" t="str">
        <f>表紙!$AJ$64</f>
        <v>MSBB</v>
      </c>
      <c r="AA2" s="842"/>
      <c r="AB2" s="842"/>
      <c r="AC2" s="842"/>
      <c r="AD2" s="843"/>
      <c r="AE2" s="844" t="s">
        <v>141</v>
      </c>
      <c r="AF2" s="845"/>
      <c r="AG2" s="845"/>
      <c r="AH2" s="845"/>
      <c r="AI2" s="846"/>
      <c r="AJ2" s="847" t="str">
        <f>表紙!$AX$64</f>
        <v>販売Webシステム</v>
      </c>
      <c r="AK2" s="848"/>
      <c r="AL2" s="848"/>
      <c r="AM2" s="848"/>
      <c r="AN2" s="848"/>
      <c r="AO2" s="848"/>
      <c r="AP2" s="848"/>
      <c r="AQ2" s="848"/>
      <c r="AR2" s="849"/>
      <c r="AS2" s="850" t="str">
        <f>表紙!$BL$64</f>
        <v>M7-US-1140</v>
      </c>
      <c r="AT2" s="851"/>
      <c r="AU2" s="851"/>
      <c r="AV2" s="851"/>
      <c r="AW2" s="851"/>
      <c r="AX2" s="851"/>
      <c r="AY2" s="851"/>
      <c r="AZ2" s="853" t="str">
        <f>表紙!$BU$64</f>
        <v>7.0.2</v>
      </c>
      <c r="BA2" s="836"/>
      <c r="BB2" s="836"/>
      <c r="BC2" s="836"/>
      <c r="BD2" s="836"/>
      <c r="BE2" s="837"/>
      <c r="BF2" s="870">
        <f>表紙!$CB$64</f>
        <v>2</v>
      </c>
      <c r="BG2" s="836"/>
      <c r="BH2" s="836"/>
      <c r="BI2" s="836"/>
      <c r="BJ2" s="836"/>
      <c r="BK2" s="871"/>
    </row>
    <row r="3" spans="1:63" s="4" customFormat="1" ht="15.75" customHeight="1" thickBot="1">
      <c r="A3" s="827"/>
      <c r="B3" s="828"/>
      <c r="C3" s="828"/>
      <c r="D3" s="828"/>
      <c r="E3" s="828"/>
      <c r="F3" s="828"/>
      <c r="G3" s="828"/>
      <c r="H3" s="828"/>
      <c r="I3" s="828"/>
      <c r="J3" s="829"/>
      <c r="K3" s="873" t="str">
        <f ca="1">RIGHT(CELL("filename",$A$1),LEN(CELL("filename",$A$1))-FIND("]",CELL("filename",$A$1)))</f>
        <v>画面イメージ</v>
      </c>
      <c r="L3" s="874"/>
      <c r="M3" s="874"/>
      <c r="N3" s="874"/>
      <c r="O3" s="874"/>
      <c r="P3" s="874"/>
      <c r="Q3" s="874"/>
      <c r="R3" s="874"/>
      <c r="S3" s="874"/>
      <c r="T3" s="875"/>
      <c r="U3" s="810" t="s">
        <v>146</v>
      </c>
      <c r="V3" s="811"/>
      <c r="W3" s="811"/>
      <c r="X3" s="811"/>
      <c r="Y3" s="812"/>
      <c r="Z3" s="813" t="str">
        <f>表紙!$AJ$65</f>
        <v>MSBBPA120</v>
      </c>
      <c r="AA3" s="814"/>
      <c r="AB3" s="814"/>
      <c r="AC3" s="814"/>
      <c r="AD3" s="814"/>
      <c r="AE3" s="815" t="str">
        <f>表紙!$AQ$65</f>
        <v>Web取引先マスタ一覧照会</v>
      </c>
      <c r="AF3" s="816"/>
      <c r="AG3" s="816"/>
      <c r="AH3" s="816"/>
      <c r="AI3" s="816"/>
      <c r="AJ3" s="816"/>
      <c r="AK3" s="816"/>
      <c r="AL3" s="816"/>
      <c r="AM3" s="816"/>
      <c r="AN3" s="816"/>
      <c r="AO3" s="816"/>
      <c r="AP3" s="816"/>
      <c r="AQ3" s="816"/>
      <c r="AR3" s="817"/>
      <c r="AS3" s="852"/>
      <c r="AT3" s="852"/>
      <c r="AU3" s="852"/>
      <c r="AV3" s="852"/>
      <c r="AW3" s="852"/>
      <c r="AX3" s="852"/>
      <c r="AY3" s="852"/>
      <c r="AZ3" s="854"/>
      <c r="BA3" s="855"/>
      <c r="BB3" s="855"/>
      <c r="BC3" s="855"/>
      <c r="BD3" s="855"/>
      <c r="BE3" s="856"/>
      <c r="BF3" s="854"/>
      <c r="BG3" s="855"/>
      <c r="BH3" s="855"/>
      <c r="BI3" s="855"/>
      <c r="BJ3" s="855"/>
      <c r="BK3" s="872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" customFormat="1" ht="15.75" customHeight="1">
      <c r="A5" s="818" t="s">
        <v>184</v>
      </c>
      <c r="B5" s="819"/>
      <c r="C5" s="819"/>
      <c r="D5" s="819"/>
      <c r="E5" s="819"/>
      <c r="F5" s="819"/>
      <c r="G5" s="819"/>
      <c r="H5" s="819"/>
      <c r="I5" s="819"/>
      <c r="J5" s="819"/>
      <c r="K5" s="819"/>
      <c r="L5" s="819"/>
      <c r="M5" s="819"/>
      <c r="N5" s="819"/>
      <c r="O5" s="819"/>
      <c r="P5" s="819"/>
      <c r="Q5" s="819"/>
      <c r="R5" s="819"/>
      <c r="S5" s="819"/>
      <c r="T5" s="819"/>
      <c r="U5" s="819"/>
      <c r="V5" s="819"/>
      <c r="W5" s="819"/>
      <c r="X5" s="819"/>
      <c r="Y5" s="819"/>
      <c r="Z5" s="819"/>
      <c r="AA5" s="819"/>
      <c r="AB5" s="819"/>
      <c r="AC5" s="819"/>
      <c r="AD5" s="819"/>
      <c r="AE5" s="819"/>
      <c r="AF5" s="819"/>
      <c r="AG5" s="819"/>
      <c r="AH5" s="819"/>
      <c r="AI5" s="819"/>
      <c r="AJ5" s="819"/>
      <c r="AK5" s="819"/>
      <c r="AL5" s="819"/>
      <c r="AM5" s="819"/>
      <c r="AN5" s="819"/>
      <c r="AO5" s="819"/>
      <c r="AP5" s="819"/>
      <c r="AQ5" s="819"/>
      <c r="AR5" s="819"/>
      <c r="AS5" s="819"/>
      <c r="AT5" s="819"/>
      <c r="AU5" s="819"/>
      <c r="AV5" s="819"/>
      <c r="AW5" s="819"/>
      <c r="AX5" s="819"/>
      <c r="AY5" s="819"/>
      <c r="AZ5" s="819"/>
      <c r="BA5" s="819"/>
      <c r="BB5" s="819"/>
      <c r="BC5" s="819"/>
      <c r="BD5" s="819"/>
      <c r="BE5" s="819"/>
      <c r="BF5" s="819"/>
      <c r="BG5" s="819"/>
      <c r="BH5" s="819"/>
      <c r="BI5" s="819"/>
      <c r="BJ5" s="819"/>
      <c r="BK5" s="820"/>
    </row>
    <row r="7" spans="1:63" ht="12" customHeight="1">
      <c r="B7" s="24" t="s">
        <v>185</v>
      </c>
    </row>
    <row r="8" spans="1:63" ht="12" customHeight="1">
      <c r="Q8" s="24" t="s">
        <v>186</v>
      </c>
      <c r="S8" s="24" t="s">
        <v>187</v>
      </c>
    </row>
    <row r="9" spans="1:63" ht="12" customHeight="1">
      <c r="C9" s="24" t="s">
        <v>188</v>
      </c>
      <c r="I9" s="176"/>
      <c r="J9" s="177"/>
      <c r="K9" s="177"/>
      <c r="L9" s="177"/>
      <c r="M9" s="177"/>
      <c r="N9" s="178"/>
      <c r="O9" s="185"/>
      <c r="Q9" s="24" t="s">
        <v>186</v>
      </c>
      <c r="S9" s="24" t="s">
        <v>189</v>
      </c>
      <c r="AJ9" s="194" t="s">
        <v>190</v>
      </c>
      <c r="AK9" s="195"/>
      <c r="AL9" s="195"/>
      <c r="AM9" s="195"/>
      <c r="AN9" s="195"/>
      <c r="AO9" s="195"/>
    </row>
    <row r="10" spans="1:63" ht="12" customHeight="1">
      <c r="C10" s="24" t="s">
        <v>191</v>
      </c>
      <c r="I10" s="176"/>
      <c r="J10" s="177"/>
      <c r="K10" s="177"/>
      <c r="L10" s="177"/>
      <c r="M10" s="177"/>
      <c r="N10" s="178"/>
      <c r="Q10" s="24" t="s">
        <v>186</v>
      </c>
      <c r="S10" s="24" t="s">
        <v>192</v>
      </c>
    </row>
    <row r="11" spans="1:63" ht="12" customHeight="1">
      <c r="C11" s="24" t="s">
        <v>193</v>
      </c>
      <c r="I11" s="182"/>
      <c r="J11" s="183"/>
      <c r="K11" s="183"/>
      <c r="L11" s="183"/>
      <c r="M11" s="183"/>
      <c r="N11" s="184"/>
      <c r="Q11" s="24" t="s">
        <v>186</v>
      </c>
      <c r="S11" s="24" t="s">
        <v>194</v>
      </c>
      <c r="AJ11" s="196" t="s">
        <v>195</v>
      </c>
      <c r="AK11" s="196"/>
      <c r="AL11" s="196"/>
      <c r="AM11" s="196"/>
      <c r="AN11" s="196"/>
      <c r="AO11" s="196"/>
      <c r="AP11" s="197"/>
      <c r="AQ11" s="198"/>
      <c r="AR11" s="198"/>
      <c r="AS11" s="198"/>
      <c r="AT11" s="198"/>
      <c r="AU11" s="178"/>
      <c r="AV11" s="199"/>
      <c r="AW11" s="200"/>
      <c r="AX11" s="200"/>
      <c r="AY11" s="200"/>
      <c r="AZ11" s="200"/>
      <c r="BA11" s="201"/>
    </row>
    <row r="12" spans="1:63" ht="12" customHeight="1">
      <c r="C12" s="24" t="s">
        <v>196</v>
      </c>
      <c r="I12" s="24" t="s">
        <v>197</v>
      </c>
      <c r="M12" s="24" t="s">
        <v>198</v>
      </c>
      <c r="Q12" s="24" t="s">
        <v>186</v>
      </c>
      <c r="S12" s="24" t="s">
        <v>199</v>
      </c>
    </row>
    <row r="13" spans="1:63" ht="12" customHeight="1">
      <c r="C13" s="24" t="s">
        <v>200</v>
      </c>
      <c r="I13" s="176"/>
      <c r="J13" s="177"/>
      <c r="K13" s="177"/>
      <c r="L13" s="177"/>
      <c r="M13" s="177"/>
      <c r="N13" s="185"/>
      <c r="Q13" s="24" t="s">
        <v>186</v>
      </c>
      <c r="S13" s="24" t="s">
        <v>199</v>
      </c>
    </row>
    <row r="14" spans="1:63" ht="12" customHeight="1">
      <c r="C14" s="24" t="s">
        <v>201</v>
      </c>
      <c r="I14" s="24" t="s">
        <v>202</v>
      </c>
      <c r="M14" s="24" t="s">
        <v>203</v>
      </c>
      <c r="Q14" s="24" t="s">
        <v>186</v>
      </c>
      <c r="S14" s="24" t="s">
        <v>204</v>
      </c>
    </row>
    <row r="16" spans="1:63" ht="12" customHeight="1">
      <c r="C16" s="24" t="s">
        <v>205</v>
      </c>
      <c r="I16" s="176"/>
      <c r="J16" s="177"/>
      <c r="K16" s="177"/>
      <c r="L16" s="177"/>
      <c r="M16" s="177"/>
      <c r="N16" s="178"/>
      <c r="Q16" s="24" t="s">
        <v>186</v>
      </c>
      <c r="S16" s="24" t="s">
        <v>206</v>
      </c>
    </row>
    <row r="17" spans="3:81" ht="12" customHeight="1">
      <c r="Q17" s="24"/>
    </row>
    <row r="18" spans="3:81" ht="12" customHeight="1">
      <c r="Q18" s="24"/>
    </row>
    <row r="19" spans="3:81" ht="12" customHeight="1">
      <c r="Q19" s="24"/>
    </row>
    <row r="21" spans="3:81" ht="12" customHeight="1">
      <c r="C21" s="396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397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51"/>
      <c r="AL21" s="251"/>
      <c r="AM21" s="251"/>
      <c r="AN21" s="251"/>
      <c r="AO21" s="251"/>
      <c r="AP21" s="251"/>
      <c r="AQ21" s="251"/>
      <c r="AR21" s="251"/>
      <c r="AS21" s="251"/>
      <c r="AT21" s="251"/>
      <c r="AU21" s="251"/>
      <c r="AV21" s="251"/>
      <c r="AW21" s="251"/>
      <c r="AX21" s="251"/>
      <c r="AY21" s="251"/>
      <c r="AZ21" s="251"/>
      <c r="BA21" s="251"/>
      <c r="BB21" s="251"/>
      <c r="BC21" s="251"/>
      <c r="BD21" s="251"/>
      <c r="BE21" s="251"/>
      <c r="BF21" s="251"/>
      <c r="BG21" s="251"/>
      <c r="BH21" s="251"/>
      <c r="BI21" s="251"/>
      <c r="BJ21" s="251"/>
      <c r="BK21" s="251"/>
      <c r="BL21" s="251"/>
      <c r="BM21" s="251"/>
      <c r="BN21" s="251"/>
      <c r="BO21" s="251"/>
      <c r="BP21" s="251"/>
      <c r="BQ21" s="251"/>
      <c r="BR21" s="251"/>
      <c r="BS21" s="251"/>
      <c r="BT21" s="251"/>
      <c r="BU21" s="251"/>
      <c r="BV21" s="251"/>
      <c r="BW21" s="251"/>
      <c r="BX21" s="250" t="s">
        <v>113</v>
      </c>
    </row>
    <row r="22" spans="3:81" ht="12" customHeight="1">
      <c r="C22" s="175"/>
    </row>
    <row r="23" spans="3:81" ht="12" customHeight="1">
      <c r="C23" s="175"/>
      <c r="D23" s="24" t="s">
        <v>207</v>
      </c>
      <c r="H23" s="24" t="s">
        <v>208</v>
      </c>
      <c r="L23" s="24" t="s">
        <v>209</v>
      </c>
      <c r="P23" s="24" t="s">
        <v>210</v>
      </c>
      <c r="T23" s="24" t="s">
        <v>211</v>
      </c>
      <c r="X23" s="24" t="s">
        <v>212</v>
      </c>
      <c r="BR23" s="249" t="s">
        <v>213</v>
      </c>
      <c r="BS23" s="24" t="s">
        <v>214</v>
      </c>
    </row>
    <row r="24" spans="3:81" ht="12" customHeight="1">
      <c r="C24" s="175"/>
      <c r="D24" s="24" t="s">
        <v>215</v>
      </c>
      <c r="H24" s="24" t="s">
        <v>216</v>
      </c>
      <c r="L24" s="24" t="s">
        <v>217</v>
      </c>
      <c r="T24" s="24" t="s">
        <v>218</v>
      </c>
      <c r="X24" s="24" t="s">
        <v>219</v>
      </c>
    </row>
    <row r="25" spans="3:81" ht="12" customHeight="1">
      <c r="C25" s="175"/>
    </row>
    <row r="26" spans="3:81" ht="12" customHeight="1">
      <c r="C26" s="175"/>
      <c r="Q26" s="24"/>
    </row>
    <row r="27" spans="3:81" ht="12" customHeight="1">
      <c r="C27" s="175"/>
      <c r="D27" s="196" t="s">
        <v>220</v>
      </c>
      <c r="E27" s="196"/>
      <c r="F27" s="196"/>
      <c r="G27" s="196"/>
      <c r="H27" s="196"/>
      <c r="I27" s="202"/>
      <c r="J27" s="198"/>
      <c r="K27" s="198"/>
      <c r="L27" s="198"/>
      <c r="M27" s="198"/>
      <c r="N27" s="203"/>
      <c r="O27" s="876" t="s">
        <v>221</v>
      </c>
      <c r="P27" s="877"/>
      <c r="Q27" s="202"/>
      <c r="R27" s="198"/>
      <c r="S27" s="198"/>
      <c r="T27" s="198"/>
      <c r="U27" s="198"/>
      <c r="V27" s="203"/>
    </row>
    <row r="28" spans="3:81" ht="12" customHeight="1">
      <c r="C28" s="175"/>
      <c r="D28" s="196" t="s">
        <v>222</v>
      </c>
      <c r="E28" s="196"/>
      <c r="F28" s="196"/>
      <c r="G28" s="196"/>
      <c r="H28" s="196"/>
      <c r="I28" s="202"/>
      <c r="J28" s="198"/>
      <c r="K28" s="198"/>
      <c r="L28" s="198"/>
      <c r="M28" s="198"/>
      <c r="N28" s="203"/>
      <c r="O28" s="249" t="s">
        <v>213</v>
      </c>
      <c r="Q28" s="24"/>
    </row>
    <row r="29" spans="3:81" ht="12" customHeight="1">
      <c r="C29" s="175"/>
      <c r="D29" s="196" t="s">
        <v>223</v>
      </c>
      <c r="E29" s="196"/>
      <c r="F29" s="196"/>
      <c r="G29" s="196"/>
      <c r="H29" s="196"/>
      <c r="I29" s="252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4"/>
      <c r="U29" s="249" t="s">
        <v>213</v>
      </c>
      <c r="X29" s="196" t="s">
        <v>224</v>
      </c>
      <c r="Y29" s="196"/>
      <c r="Z29" s="196"/>
      <c r="AA29" s="196"/>
      <c r="AB29" s="196"/>
      <c r="AC29" s="196"/>
      <c r="AD29" s="252"/>
      <c r="AE29" s="253"/>
      <c r="AF29" s="253"/>
      <c r="AG29" s="253"/>
      <c r="AH29" s="253"/>
      <c r="AI29" s="253"/>
      <c r="AJ29" s="253"/>
      <c r="AK29" s="254"/>
      <c r="AL29" s="249" t="s">
        <v>213</v>
      </c>
    </row>
    <row r="30" spans="3:81" ht="12" customHeight="1">
      <c r="C30" s="175"/>
      <c r="D30" s="196" t="s">
        <v>225</v>
      </c>
      <c r="E30" s="196"/>
      <c r="F30" s="196"/>
      <c r="G30" s="196"/>
      <c r="H30" s="196"/>
      <c r="I30" s="252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249" t="s">
        <v>213</v>
      </c>
      <c r="X30" s="196" t="s">
        <v>226</v>
      </c>
      <c r="Y30" s="196"/>
      <c r="Z30" s="196"/>
      <c r="AA30" s="196"/>
      <c r="AB30" s="196"/>
      <c r="AC30" s="196"/>
      <c r="AD30" s="252" t="s">
        <v>227</v>
      </c>
      <c r="AE30" s="253"/>
      <c r="AF30" s="253"/>
      <c r="AG30" s="253"/>
      <c r="AH30" s="253"/>
      <c r="AI30" s="185"/>
    </row>
    <row r="31" spans="3:81" ht="12" customHeight="1">
      <c r="C31" s="175"/>
      <c r="D31" s="196" t="s">
        <v>228</v>
      </c>
      <c r="E31" s="196"/>
      <c r="F31" s="196"/>
      <c r="G31" s="196"/>
      <c r="H31" s="196"/>
      <c r="I31" s="252"/>
      <c r="J31" s="253"/>
      <c r="K31" s="253"/>
      <c r="L31" s="253"/>
      <c r="M31" s="254"/>
      <c r="Q31" s="24"/>
      <c r="U31" s="249" t="s">
        <v>213</v>
      </c>
      <c r="CC31" s="410" t="s">
        <v>229</v>
      </c>
    </row>
    <row r="32" spans="3:81" ht="12" customHeight="1">
      <c r="C32" s="175"/>
      <c r="D32" s="196" t="s">
        <v>230</v>
      </c>
      <c r="E32" s="196"/>
      <c r="F32" s="196"/>
      <c r="G32" s="196"/>
      <c r="H32" s="196"/>
      <c r="I32" s="252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4"/>
      <c r="U32" s="249" t="s">
        <v>213</v>
      </c>
      <c r="CC32" s="411" t="s">
        <v>231</v>
      </c>
    </row>
    <row r="33" spans="3:108" ht="12" customHeight="1">
      <c r="C33" s="175"/>
      <c r="D33" s="196" t="s">
        <v>232</v>
      </c>
      <c r="E33" s="196"/>
      <c r="F33" s="196"/>
      <c r="G33" s="196"/>
      <c r="H33" s="196"/>
      <c r="I33" s="252"/>
      <c r="J33" s="253"/>
      <c r="K33" s="253"/>
      <c r="L33" s="253"/>
      <c r="M33" s="253"/>
      <c r="N33" s="253"/>
      <c r="O33" s="253"/>
      <c r="P33" s="254"/>
      <c r="U33" s="249" t="s">
        <v>213</v>
      </c>
      <c r="X33" s="196" t="s">
        <v>233</v>
      </c>
      <c r="Y33" s="196"/>
      <c r="Z33" s="196"/>
      <c r="AA33" s="196"/>
      <c r="AB33" s="196"/>
      <c r="AC33" s="196"/>
      <c r="AD33" s="252"/>
      <c r="AE33" s="253"/>
      <c r="AF33" s="253"/>
      <c r="AG33" s="253"/>
      <c r="AH33" s="253"/>
      <c r="AI33" s="253"/>
      <c r="AJ33" s="253"/>
      <c r="AK33" s="254"/>
      <c r="AL33" s="249" t="s">
        <v>213</v>
      </c>
    </row>
    <row r="34" spans="3:108" ht="12" customHeight="1">
      <c r="C34" s="175"/>
      <c r="D34" s="196" t="s">
        <v>234</v>
      </c>
      <c r="E34" s="196"/>
      <c r="F34" s="196"/>
      <c r="G34" s="196"/>
      <c r="H34" s="196"/>
      <c r="I34" s="202"/>
      <c r="J34" s="198"/>
      <c r="K34" s="198"/>
      <c r="L34" s="198"/>
      <c r="M34" s="198"/>
      <c r="N34" s="185"/>
      <c r="P34" s="26"/>
      <c r="Q34" s="24"/>
    </row>
    <row r="35" spans="3:108" ht="12" customHeight="1">
      <c r="C35" s="175"/>
      <c r="Q35" s="24"/>
    </row>
    <row r="36" spans="3:108" ht="12" customHeight="1">
      <c r="C36" s="175"/>
      <c r="D36" s="196" t="s">
        <v>606</v>
      </c>
      <c r="E36" s="196"/>
      <c r="F36" s="196"/>
      <c r="G36" s="196"/>
      <c r="H36" s="196"/>
      <c r="I36" s="252"/>
      <c r="J36" s="253"/>
      <c r="K36" s="253"/>
      <c r="L36" s="253"/>
      <c r="M36" s="254"/>
      <c r="N36" s="178"/>
      <c r="O36" s="255"/>
      <c r="P36" s="255"/>
      <c r="Q36" s="255"/>
      <c r="R36" s="255"/>
      <c r="S36" s="255"/>
      <c r="T36" s="256"/>
      <c r="X36" s="196" t="s">
        <v>235</v>
      </c>
      <c r="Y36" s="196"/>
      <c r="Z36" s="196"/>
      <c r="AA36" s="196"/>
      <c r="AB36" s="196"/>
      <c r="AC36" s="196"/>
      <c r="AD36" s="252"/>
      <c r="AE36" s="253"/>
      <c r="AF36" s="253"/>
      <c r="AG36" s="253"/>
      <c r="AH36" s="254"/>
      <c r="AI36" s="185"/>
      <c r="AJ36" s="255"/>
      <c r="AK36" s="255"/>
      <c r="AL36" s="255"/>
      <c r="AM36" s="255"/>
      <c r="AN36" s="255"/>
      <c r="AO36" s="256"/>
      <c r="DD36" s="413" t="s">
        <v>617</v>
      </c>
    </row>
    <row r="37" spans="3:108" ht="12" customHeight="1">
      <c r="C37" s="175"/>
      <c r="D37" s="196" t="s">
        <v>608</v>
      </c>
      <c r="E37" s="196"/>
      <c r="F37" s="196"/>
      <c r="G37" s="196"/>
      <c r="H37" s="196"/>
      <c r="I37" s="252"/>
      <c r="J37" s="253"/>
      <c r="K37" s="253"/>
      <c r="L37" s="253"/>
      <c r="M37" s="254"/>
      <c r="N37" s="178"/>
      <c r="O37" s="255"/>
      <c r="P37" s="255"/>
      <c r="Q37" s="255"/>
      <c r="R37" s="255"/>
      <c r="S37" s="255"/>
      <c r="T37" s="256"/>
      <c r="X37" s="196" t="s">
        <v>236</v>
      </c>
      <c r="Y37" s="196"/>
      <c r="Z37" s="196"/>
      <c r="AA37" s="196"/>
      <c r="AB37" s="196"/>
      <c r="AC37" s="196"/>
      <c r="AD37" s="252"/>
      <c r="AE37" s="253"/>
      <c r="AF37" s="253"/>
      <c r="AG37" s="253"/>
      <c r="AH37" s="254"/>
      <c r="AI37" s="185"/>
      <c r="AJ37" s="255"/>
      <c r="AK37" s="255"/>
      <c r="AL37" s="255"/>
      <c r="AM37" s="255"/>
      <c r="AN37" s="255"/>
      <c r="AO37" s="256"/>
      <c r="DD37" s="413" t="s">
        <v>618</v>
      </c>
    </row>
    <row r="38" spans="3:108" ht="12" customHeight="1">
      <c r="C38" s="175"/>
      <c r="Q38" s="24"/>
    </row>
    <row r="39" spans="3:108" ht="12" customHeight="1">
      <c r="C39" s="175"/>
      <c r="D39" s="196" t="s">
        <v>237</v>
      </c>
      <c r="E39" s="196"/>
      <c r="F39" s="196"/>
      <c r="G39" s="196"/>
      <c r="H39" s="196"/>
      <c r="I39" s="202" t="s">
        <v>238</v>
      </c>
      <c r="J39" s="198"/>
      <c r="K39" s="198"/>
      <c r="L39" s="198"/>
      <c r="M39" s="198"/>
      <c r="N39" s="185"/>
      <c r="O39" s="1021"/>
      <c r="P39" s="1021"/>
      <c r="Q39" s="1021"/>
      <c r="R39" s="1021"/>
      <c r="S39" s="1021"/>
      <c r="T39" s="1015"/>
      <c r="X39" s="196" t="s">
        <v>239</v>
      </c>
      <c r="Y39" s="196"/>
      <c r="Z39" s="196"/>
      <c r="AA39" s="196"/>
      <c r="AB39" s="196"/>
      <c r="AC39" s="196"/>
      <c r="AD39" s="202" t="s">
        <v>240</v>
      </c>
      <c r="AE39" s="198"/>
      <c r="AF39" s="198"/>
      <c r="AG39" s="198"/>
      <c r="AH39" s="198"/>
      <c r="AI39" s="185"/>
      <c r="AJ39" s="1021"/>
      <c r="AK39" s="1021"/>
      <c r="AL39" s="1021"/>
      <c r="AM39" s="1021"/>
      <c r="AN39" s="1021"/>
      <c r="AO39" s="1015"/>
    </row>
    <row r="40" spans="3:108" ht="12" customHeight="1">
      <c r="C40" s="175"/>
      <c r="D40" s="196" t="s">
        <v>241</v>
      </c>
      <c r="E40" s="196"/>
      <c r="F40" s="196"/>
      <c r="G40" s="196"/>
      <c r="H40" s="196"/>
      <c r="I40" s="202" t="s">
        <v>242</v>
      </c>
      <c r="J40" s="198"/>
      <c r="K40" s="198"/>
      <c r="L40" s="198"/>
      <c r="M40" s="198"/>
      <c r="N40" s="185"/>
      <c r="O40" s="1021"/>
      <c r="P40" s="1021"/>
      <c r="Q40" s="1021"/>
      <c r="R40" s="1021"/>
      <c r="S40" s="1021"/>
      <c r="T40" s="1015"/>
      <c r="X40" s="196" t="s">
        <v>243</v>
      </c>
      <c r="Y40" s="196"/>
      <c r="Z40" s="196"/>
      <c r="AA40" s="196"/>
      <c r="AB40" s="196"/>
      <c r="AC40" s="196"/>
      <c r="AD40" s="202" t="s">
        <v>244</v>
      </c>
      <c r="AE40" s="198"/>
      <c r="AF40" s="198"/>
      <c r="AG40" s="198"/>
      <c r="AH40" s="198"/>
      <c r="AI40" s="185"/>
      <c r="AJ40" s="1021"/>
      <c r="AK40" s="1021"/>
      <c r="AL40" s="1021"/>
      <c r="AM40" s="1021"/>
      <c r="AN40" s="1021"/>
      <c r="AO40" s="1015"/>
    </row>
    <row r="41" spans="3:108" ht="12" customHeight="1">
      <c r="C41" s="175"/>
      <c r="D41" s="196" t="s">
        <v>245</v>
      </c>
      <c r="E41" s="196"/>
      <c r="F41" s="196"/>
      <c r="G41" s="196"/>
      <c r="H41" s="196"/>
      <c r="I41" s="202" t="s">
        <v>246</v>
      </c>
      <c r="J41" s="198"/>
      <c r="K41" s="198"/>
      <c r="L41" s="198"/>
      <c r="M41" s="198"/>
      <c r="N41" s="185"/>
      <c r="O41" s="1021"/>
      <c r="P41" s="1021"/>
      <c r="Q41" s="1021"/>
      <c r="R41" s="1021"/>
      <c r="S41" s="1021"/>
      <c r="T41" s="1015"/>
      <c r="X41" s="196" t="s">
        <v>247</v>
      </c>
      <c r="Y41" s="196"/>
      <c r="Z41" s="196"/>
      <c r="AA41" s="196"/>
      <c r="AB41" s="196"/>
      <c r="AC41" s="196"/>
      <c r="AD41" s="202" t="s">
        <v>248</v>
      </c>
      <c r="AE41" s="198"/>
      <c r="AF41" s="198"/>
      <c r="AG41" s="198"/>
      <c r="AH41" s="198"/>
      <c r="AI41" s="185"/>
      <c r="AJ41" s="1021"/>
      <c r="AK41" s="1021"/>
      <c r="AL41" s="1021"/>
      <c r="AM41" s="1021"/>
      <c r="AN41" s="1021"/>
      <c r="AO41" s="1015"/>
    </row>
    <row r="42" spans="3:108" ht="12" customHeight="1">
      <c r="C42" s="175"/>
      <c r="D42" s="196" t="s">
        <v>249</v>
      </c>
      <c r="E42" s="196"/>
      <c r="F42" s="196"/>
      <c r="G42" s="196"/>
      <c r="H42" s="196"/>
      <c r="I42" s="202"/>
      <c r="J42" s="198"/>
      <c r="K42" s="198"/>
      <c r="L42" s="198"/>
      <c r="M42" s="198"/>
      <c r="N42" s="185"/>
      <c r="O42" s="1021"/>
      <c r="P42" s="1021"/>
      <c r="Q42" s="1021"/>
      <c r="R42" s="1021"/>
      <c r="S42" s="1021"/>
      <c r="T42" s="1015"/>
      <c r="X42" s="196" t="s">
        <v>250</v>
      </c>
      <c r="Y42" s="196"/>
      <c r="Z42" s="196"/>
      <c r="AA42" s="196"/>
      <c r="AB42" s="196"/>
      <c r="AC42" s="196"/>
      <c r="AD42" s="202"/>
      <c r="AE42" s="198"/>
      <c r="AF42" s="198"/>
      <c r="AG42" s="198"/>
      <c r="AH42" s="198"/>
      <c r="AI42" s="185"/>
      <c r="AJ42" s="1021"/>
      <c r="AK42" s="1021"/>
      <c r="AL42" s="1021"/>
      <c r="AM42" s="1021"/>
      <c r="AN42" s="1021"/>
      <c r="AO42" s="1015"/>
    </row>
    <row r="43" spans="3:108" ht="12" customHeight="1">
      <c r="C43" s="175"/>
      <c r="D43" s="196" t="s">
        <v>251</v>
      </c>
      <c r="E43" s="196"/>
      <c r="F43" s="196"/>
      <c r="G43" s="196"/>
      <c r="H43" s="196"/>
      <c r="I43" s="202"/>
      <c r="J43" s="198"/>
      <c r="K43" s="198"/>
      <c r="L43" s="198"/>
      <c r="M43" s="198"/>
      <c r="N43" s="185"/>
      <c r="O43" s="1021"/>
      <c r="P43" s="1021"/>
      <c r="Q43" s="1021"/>
      <c r="R43" s="1021"/>
      <c r="S43" s="1021"/>
      <c r="T43" s="1015"/>
      <c r="X43" s="196" t="s">
        <v>252</v>
      </c>
      <c r="Y43" s="196"/>
      <c r="Z43" s="196"/>
      <c r="AA43" s="196"/>
      <c r="AB43" s="196"/>
      <c r="AC43" s="196"/>
      <c r="AD43" s="202"/>
      <c r="AE43" s="198"/>
      <c r="AF43" s="198"/>
      <c r="AG43" s="198"/>
      <c r="AH43" s="198"/>
      <c r="AI43" s="185"/>
      <c r="AJ43" s="1021"/>
      <c r="AK43" s="1021"/>
      <c r="AL43" s="1021"/>
      <c r="AM43" s="1021"/>
      <c r="AN43" s="1021"/>
      <c r="AO43" s="1015"/>
    </row>
    <row r="44" spans="3:108" ht="12" customHeight="1">
      <c r="C44" s="175"/>
      <c r="Q44" s="24"/>
    </row>
    <row r="45" spans="3:108" ht="12" customHeight="1">
      <c r="C45" s="175"/>
      <c r="D45" s="196" t="s">
        <v>253</v>
      </c>
      <c r="E45" s="196"/>
      <c r="F45" s="196"/>
      <c r="G45" s="196"/>
      <c r="H45" s="196"/>
      <c r="J45" s="24" t="s">
        <v>254</v>
      </c>
      <c r="N45" s="24" t="s">
        <v>255</v>
      </c>
      <c r="Q45" s="24"/>
    </row>
    <row r="46" spans="3:108" ht="12" customHeight="1">
      <c r="C46" s="179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1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80"/>
      <c r="BX46" s="180"/>
    </row>
    <row r="47" spans="3:108" ht="12" customHeight="1">
      <c r="C47" s="175"/>
    </row>
    <row r="48" spans="3:108" ht="12" customHeight="1">
      <c r="C48" s="175"/>
      <c r="D48" s="258" t="s">
        <v>256</v>
      </c>
      <c r="E48" s="259"/>
      <c r="F48" s="258" t="s">
        <v>253</v>
      </c>
      <c r="G48" s="260"/>
      <c r="H48" s="260"/>
      <c r="I48" s="258" t="s">
        <v>193</v>
      </c>
      <c r="J48" s="260"/>
      <c r="K48" s="259"/>
      <c r="L48" s="260" t="s">
        <v>257</v>
      </c>
      <c r="M48" s="260"/>
      <c r="N48" s="260"/>
      <c r="O48" s="260"/>
      <c r="P48" s="260"/>
      <c r="Q48" s="260"/>
      <c r="R48" s="259"/>
      <c r="S48" s="258" t="s">
        <v>258</v>
      </c>
      <c r="T48" s="260"/>
      <c r="U48" s="260"/>
      <c r="V48" s="260"/>
      <c r="W48" s="803" t="s">
        <v>259</v>
      </c>
      <c r="X48" s="804"/>
      <c r="Y48" s="804"/>
      <c r="Z48" s="804"/>
      <c r="AA48" s="804"/>
      <c r="AB48" s="804"/>
      <c r="AC48" s="804"/>
      <c r="AD48" s="804"/>
      <c r="AE48" s="804"/>
      <c r="AF48" s="805"/>
      <c r="AG48" s="803" t="s">
        <v>260</v>
      </c>
      <c r="AH48" s="804"/>
      <c r="AI48" s="804"/>
      <c r="AJ48" s="804"/>
      <c r="AK48" s="804"/>
      <c r="AL48" s="804"/>
      <c r="AM48" s="804"/>
      <c r="AN48" s="804"/>
      <c r="AO48" s="804"/>
      <c r="AP48" s="805"/>
      <c r="AQ48" s="258" t="s">
        <v>225</v>
      </c>
      <c r="AR48" s="260"/>
      <c r="AS48" s="260"/>
      <c r="AT48" s="259"/>
      <c r="AU48" s="258" t="s">
        <v>261</v>
      </c>
      <c r="AV48" s="260"/>
      <c r="AW48" s="260"/>
      <c r="AX48" s="260"/>
      <c r="AY48" s="259"/>
      <c r="AZ48" s="258" t="s">
        <v>262</v>
      </c>
      <c r="BA48" s="260"/>
      <c r="BB48" s="260"/>
      <c r="BC48" s="260"/>
      <c r="BD48" s="260"/>
      <c r="BE48" s="260"/>
      <c r="BF48" s="260"/>
      <c r="BG48" s="260"/>
      <c r="BH48" s="260"/>
      <c r="BI48" s="260"/>
      <c r="BJ48" s="260"/>
      <c r="BK48" s="260"/>
      <c r="BL48" s="260"/>
      <c r="BM48" s="260"/>
      <c r="BN48" s="260"/>
      <c r="BO48" s="260"/>
      <c r="BP48" s="260"/>
      <c r="BQ48" s="260"/>
      <c r="BR48" s="260"/>
      <c r="BS48" s="808" t="s">
        <v>263</v>
      </c>
      <c r="BT48" s="809"/>
      <c r="BU48" s="808" t="s">
        <v>264</v>
      </c>
      <c r="BV48" s="809"/>
      <c r="BW48" s="808" t="s">
        <v>265</v>
      </c>
      <c r="BX48" s="809"/>
      <c r="BY48" s="808" t="s">
        <v>266</v>
      </c>
      <c r="BZ48" s="809"/>
      <c r="CA48" s="808" t="s">
        <v>267</v>
      </c>
      <c r="CB48" s="809"/>
      <c r="CC48" s="418" t="s">
        <v>268</v>
      </c>
      <c r="CD48" s="419"/>
      <c r="CE48" s="808" t="s">
        <v>269</v>
      </c>
      <c r="CF48" s="809"/>
      <c r="CG48" s="808" t="s">
        <v>270</v>
      </c>
      <c r="CH48" s="809"/>
      <c r="CI48" s="414" t="s">
        <v>271</v>
      </c>
      <c r="CJ48" s="415"/>
      <c r="CK48" s="808" t="s">
        <v>272</v>
      </c>
      <c r="CL48" s="809"/>
      <c r="CM48" s="808" t="s">
        <v>273</v>
      </c>
      <c r="CN48" s="809"/>
      <c r="CO48" s="258" t="s">
        <v>220</v>
      </c>
      <c r="CP48" s="260"/>
      <c r="CQ48" s="260"/>
      <c r="CR48" s="259"/>
      <c r="CS48" s="806" t="s">
        <v>274</v>
      </c>
      <c r="CT48" s="807"/>
      <c r="CU48" s="208"/>
      <c r="CV48" s="208"/>
      <c r="CW48" s="207"/>
      <c r="DD48" s="413" t="s">
        <v>619</v>
      </c>
    </row>
    <row r="49" spans="3:101" ht="12" customHeight="1">
      <c r="C49" s="175"/>
      <c r="D49" s="261"/>
      <c r="E49" s="262"/>
      <c r="F49" s="261"/>
      <c r="G49" s="263"/>
      <c r="H49" s="263"/>
      <c r="I49" s="261"/>
      <c r="J49" s="263"/>
      <c r="K49" s="262"/>
      <c r="L49" s="263"/>
      <c r="M49" s="263"/>
      <c r="N49" s="263"/>
      <c r="O49" s="263"/>
      <c r="P49" s="263"/>
      <c r="Q49" s="263"/>
      <c r="R49" s="262"/>
      <c r="S49" s="263"/>
      <c r="T49" s="263"/>
      <c r="U49" s="263"/>
      <c r="V49" s="263"/>
      <c r="W49" s="801" t="s">
        <v>601</v>
      </c>
      <c r="X49" s="802"/>
      <c r="Y49" s="263" t="s">
        <v>602</v>
      </c>
      <c r="Z49" s="263"/>
      <c r="AA49" s="262"/>
      <c r="AB49" s="801" t="s">
        <v>275</v>
      </c>
      <c r="AC49" s="802"/>
      <c r="AD49" s="263" t="s">
        <v>276</v>
      </c>
      <c r="AE49" s="263"/>
      <c r="AF49" s="262"/>
      <c r="AG49" s="801" t="s">
        <v>601</v>
      </c>
      <c r="AH49" s="802"/>
      <c r="AI49" s="263" t="s">
        <v>602</v>
      </c>
      <c r="AJ49" s="263"/>
      <c r="AK49" s="262"/>
      <c r="AL49" s="801" t="s">
        <v>275</v>
      </c>
      <c r="AM49" s="802"/>
      <c r="AN49" s="263" t="s">
        <v>276</v>
      </c>
      <c r="AO49" s="263"/>
      <c r="AP49" s="262"/>
      <c r="AQ49" s="261"/>
      <c r="AR49" s="263"/>
      <c r="AS49" s="263"/>
      <c r="AT49" s="262"/>
      <c r="AU49" s="261"/>
      <c r="AV49" s="263"/>
      <c r="AW49" s="263"/>
      <c r="AX49" s="263"/>
      <c r="AY49" s="262"/>
      <c r="AZ49" s="261"/>
      <c r="BA49" s="263"/>
      <c r="BB49" s="263"/>
      <c r="BC49" s="263"/>
      <c r="BD49" s="263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3"/>
      <c r="BP49" s="263"/>
      <c r="BQ49" s="263"/>
      <c r="BR49" s="263"/>
      <c r="BS49" s="264"/>
      <c r="BT49" s="265"/>
      <c r="BU49" s="264"/>
      <c r="BV49" s="265"/>
      <c r="BW49" s="264"/>
      <c r="BX49" s="265"/>
      <c r="BY49" s="264"/>
      <c r="BZ49" s="265"/>
      <c r="CA49" s="264"/>
      <c r="CB49" s="265"/>
      <c r="CC49" s="420"/>
      <c r="CD49" s="421"/>
      <c r="CE49" s="264"/>
      <c r="CF49" s="265"/>
      <c r="CG49" s="264"/>
      <c r="CH49" s="265"/>
      <c r="CI49" s="416"/>
      <c r="CJ49" s="417"/>
      <c r="CK49" s="264"/>
      <c r="CL49" s="265"/>
      <c r="CM49" s="264"/>
      <c r="CN49" s="265"/>
      <c r="CO49" s="261"/>
      <c r="CP49" s="263"/>
      <c r="CQ49" s="263"/>
      <c r="CR49" s="262"/>
      <c r="CS49" s="801" t="s">
        <v>275</v>
      </c>
      <c r="CT49" s="802"/>
      <c r="CU49" s="263" t="s">
        <v>276</v>
      </c>
      <c r="CV49" s="263"/>
      <c r="CW49" s="262"/>
    </row>
    <row r="50" spans="3:101" ht="12" customHeight="1">
      <c r="C50" s="175"/>
      <c r="D50" s="209" t="s">
        <v>277</v>
      </c>
      <c r="E50" s="212"/>
      <c r="F50" s="211" t="s">
        <v>278</v>
      </c>
      <c r="G50" s="210"/>
      <c r="H50" s="210"/>
      <c r="I50" s="209" t="s">
        <v>279</v>
      </c>
      <c r="J50" s="210"/>
      <c r="K50" s="212"/>
      <c r="L50" s="210" t="s">
        <v>280</v>
      </c>
      <c r="M50" s="210"/>
      <c r="N50" s="210"/>
      <c r="O50" s="210"/>
      <c r="P50" s="210"/>
      <c r="Q50" s="210"/>
      <c r="R50" s="212"/>
      <c r="S50" s="210" t="s">
        <v>281</v>
      </c>
      <c r="T50" s="210"/>
      <c r="U50" s="210"/>
      <c r="V50" s="210"/>
      <c r="W50" s="209" t="s">
        <v>604</v>
      </c>
      <c r="X50" s="212"/>
      <c r="Y50" s="210" t="s">
        <v>283</v>
      </c>
      <c r="Z50" s="210"/>
      <c r="AA50" s="212"/>
      <c r="AB50" s="209" t="s">
        <v>282</v>
      </c>
      <c r="AC50" s="212"/>
      <c r="AD50" s="210" t="s">
        <v>283</v>
      </c>
      <c r="AE50" s="210"/>
      <c r="AF50" s="212"/>
      <c r="AG50" s="209" t="s">
        <v>604</v>
      </c>
      <c r="AH50" s="212"/>
      <c r="AI50" s="210" t="s">
        <v>283</v>
      </c>
      <c r="AJ50" s="210"/>
      <c r="AK50" s="212"/>
      <c r="AL50" s="209" t="s">
        <v>282</v>
      </c>
      <c r="AM50" s="212"/>
      <c r="AN50" s="210" t="s">
        <v>283</v>
      </c>
      <c r="AO50" s="210"/>
      <c r="AP50" s="212"/>
      <c r="AQ50" s="211"/>
      <c r="AR50" s="210"/>
      <c r="AS50" s="210"/>
      <c r="AT50" s="212"/>
      <c r="AU50" s="211"/>
      <c r="AV50" s="210"/>
      <c r="AW50" s="210"/>
      <c r="AX50" s="210"/>
      <c r="AY50" s="212"/>
      <c r="AZ50" s="211" t="s">
        <v>284</v>
      </c>
      <c r="BA50" s="210"/>
      <c r="BB50" s="210"/>
      <c r="BC50" s="210"/>
      <c r="BD50" s="210"/>
      <c r="BE50" s="210"/>
      <c r="BF50" s="247"/>
      <c r="BG50" s="248" t="s">
        <v>281</v>
      </c>
      <c r="BH50" s="210"/>
      <c r="BI50" s="210"/>
      <c r="BJ50" s="247"/>
      <c r="BK50" s="248" t="s">
        <v>281</v>
      </c>
      <c r="BL50" s="210"/>
      <c r="BM50" s="210"/>
      <c r="BN50" s="247"/>
      <c r="BO50" s="248" t="s">
        <v>281</v>
      </c>
      <c r="BP50" s="210"/>
      <c r="BQ50" s="210"/>
      <c r="BR50" s="247"/>
      <c r="BS50" s="799" t="s">
        <v>285</v>
      </c>
      <c r="BT50" s="800"/>
      <c r="BU50" s="799" t="s">
        <v>285</v>
      </c>
      <c r="BV50" s="800"/>
      <c r="BW50" s="799" t="s">
        <v>285</v>
      </c>
      <c r="BX50" s="800"/>
      <c r="BY50" s="799" t="s">
        <v>285</v>
      </c>
      <c r="BZ50" s="800"/>
      <c r="CA50" s="799" t="s">
        <v>285</v>
      </c>
      <c r="CB50" s="800"/>
      <c r="CC50" s="799" t="s">
        <v>285</v>
      </c>
      <c r="CD50" s="800"/>
      <c r="CE50" s="799"/>
      <c r="CF50" s="800"/>
      <c r="CG50" s="799"/>
      <c r="CH50" s="800"/>
      <c r="CI50" s="799"/>
      <c r="CJ50" s="800"/>
      <c r="CK50" s="799"/>
      <c r="CL50" s="800"/>
      <c r="CM50" s="799"/>
      <c r="CN50" s="800"/>
      <c r="CO50" s="209" t="s">
        <v>286</v>
      </c>
      <c r="CP50" s="266"/>
      <c r="CQ50" s="210"/>
      <c r="CR50" s="212"/>
      <c r="CS50" s="209" t="s">
        <v>282</v>
      </c>
      <c r="CT50" s="212"/>
      <c r="CU50" s="210" t="s">
        <v>283</v>
      </c>
      <c r="CV50" s="210"/>
      <c r="CW50" s="212"/>
    </row>
    <row r="51" spans="3:101" ht="12" customHeight="1">
      <c r="C51" s="175"/>
      <c r="D51" s="209" t="s">
        <v>287</v>
      </c>
      <c r="E51" s="212"/>
      <c r="F51" s="211" t="s">
        <v>278</v>
      </c>
      <c r="G51" s="210"/>
      <c r="H51" s="210"/>
      <c r="I51" s="209" t="s">
        <v>279</v>
      </c>
      <c r="J51" s="210"/>
      <c r="K51" s="212"/>
      <c r="L51" s="210" t="s">
        <v>280</v>
      </c>
      <c r="M51" s="210"/>
      <c r="N51" s="210"/>
      <c r="O51" s="210"/>
      <c r="P51" s="210"/>
      <c r="Q51" s="210"/>
      <c r="R51" s="212"/>
      <c r="S51" s="210" t="s">
        <v>281</v>
      </c>
      <c r="T51" s="210"/>
      <c r="U51" s="210"/>
      <c r="V51" s="210"/>
      <c r="W51" s="209" t="s">
        <v>604</v>
      </c>
      <c r="X51" s="212"/>
      <c r="Y51" s="210" t="s">
        <v>283</v>
      </c>
      <c r="Z51" s="210"/>
      <c r="AA51" s="212"/>
      <c r="AB51" s="209" t="s">
        <v>282</v>
      </c>
      <c r="AC51" s="212"/>
      <c r="AD51" s="210" t="s">
        <v>283</v>
      </c>
      <c r="AE51" s="210"/>
      <c r="AF51" s="212"/>
      <c r="AG51" s="209" t="s">
        <v>604</v>
      </c>
      <c r="AH51" s="212"/>
      <c r="AI51" s="210" t="s">
        <v>283</v>
      </c>
      <c r="AJ51" s="210"/>
      <c r="AK51" s="212"/>
      <c r="AL51" s="209" t="s">
        <v>282</v>
      </c>
      <c r="AM51" s="212"/>
      <c r="AN51" s="210" t="s">
        <v>283</v>
      </c>
      <c r="AO51" s="210"/>
      <c r="AP51" s="212"/>
      <c r="AQ51" s="211"/>
      <c r="AR51" s="210"/>
      <c r="AS51" s="210"/>
      <c r="AT51" s="212"/>
      <c r="AU51" s="211"/>
      <c r="AV51" s="210"/>
      <c r="AW51" s="210"/>
      <c r="AX51" s="210"/>
      <c r="AY51" s="212"/>
      <c r="AZ51" s="211" t="s">
        <v>284</v>
      </c>
      <c r="BA51" s="210"/>
      <c r="BB51" s="210"/>
      <c r="BC51" s="210"/>
      <c r="BD51" s="210"/>
      <c r="BE51" s="210"/>
      <c r="BF51" s="247"/>
      <c r="BG51" s="248" t="s">
        <v>281</v>
      </c>
      <c r="BH51" s="210"/>
      <c r="BI51" s="210"/>
      <c r="BJ51" s="247"/>
      <c r="BK51" s="248" t="s">
        <v>281</v>
      </c>
      <c r="BL51" s="210"/>
      <c r="BM51" s="210"/>
      <c r="BN51" s="247"/>
      <c r="BO51" s="248" t="s">
        <v>281</v>
      </c>
      <c r="BP51" s="210"/>
      <c r="BQ51" s="210"/>
      <c r="BR51" s="247"/>
      <c r="BS51" s="799" t="s">
        <v>285</v>
      </c>
      <c r="BT51" s="800"/>
      <c r="BU51" s="799" t="s">
        <v>285</v>
      </c>
      <c r="BV51" s="800"/>
      <c r="BW51" s="799" t="s">
        <v>285</v>
      </c>
      <c r="BX51" s="800"/>
      <c r="BY51" s="799" t="s">
        <v>285</v>
      </c>
      <c r="BZ51" s="800"/>
      <c r="CA51" s="799" t="s">
        <v>285</v>
      </c>
      <c r="CB51" s="800"/>
      <c r="CC51" s="799" t="s">
        <v>285</v>
      </c>
      <c r="CD51" s="800"/>
      <c r="CE51" s="799"/>
      <c r="CF51" s="800"/>
      <c r="CG51" s="799"/>
      <c r="CH51" s="800"/>
      <c r="CI51" s="799"/>
      <c r="CJ51" s="800"/>
      <c r="CK51" s="799"/>
      <c r="CL51" s="800"/>
      <c r="CM51" s="799"/>
      <c r="CN51" s="800"/>
      <c r="CO51" s="209" t="s">
        <v>286</v>
      </c>
      <c r="CP51" s="266"/>
      <c r="CQ51" s="210"/>
      <c r="CR51" s="212"/>
      <c r="CS51" s="209" t="s">
        <v>282</v>
      </c>
      <c r="CT51" s="212"/>
      <c r="CU51" s="210" t="s">
        <v>283</v>
      </c>
      <c r="CV51" s="210"/>
      <c r="CW51" s="212"/>
    </row>
    <row r="52" spans="3:101" ht="12" customHeight="1">
      <c r="C52" s="175"/>
      <c r="D52" s="209" t="s">
        <v>288</v>
      </c>
      <c r="E52" s="212"/>
      <c r="F52" s="211" t="s">
        <v>278</v>
      </c>
      <c r="G52" s="210"/>
      <c r="H52" s="210"/>
      <c r="I52" s="209" t="s">
        <v>279</v>
      </c>
      <c r="J52" s="210"/>
      <c r="K52" s="212"/>
      <c r="L52" s="210" t="s">
        <v>280</v>
      </c>
      <c r="M52" s="210"/>
      <c r="N52" s="210"/>
      <c r="O52" s="210"/>
      <c r="P52" s="210"/>
      <c r="Q52" s="210"/>
      <c r="R52" s="212"/>
      <c r="S52" s="210" t="s">
        <v>281</v>
      </c>
      <c r="T52" s="210"/>
      <c r="U52" s="210"/>
      <c r="V52" s="210"/>
      <c r="W52" s="209" t="s">
        <v>603</v>
      </c>
      <c r="X52" s="212"/>
      <c r="Y52" s="210" t="s">
        <v>289</v>
      </c>
      <c r="Z52" s="210"/>
      <c r="AA52" s="212"/>
      <c r="AB52" s="209" t="s">
        <v>282</v>
      </c>
      <c r="AC52" s="212"/>
      <c r="AD52" s="210" t="s">
        <v>289</v>
      </c>
      <c r="AE52" s="210"/>
      <c r="AF52" s="212"/>
      <c r="AG52" s="209" t="s">
        <v>603</v>
      </c>
      <c r="AH52" s="212"/>
      <c r="AI52" s="210" t="s">
        <v>289</v>
      </c>
      <c r="AJ52" s="210"/>
      <c r="AK52" s="212"/>
      <c r="AL52" s="209" t="s">
        <v>282</v>
      </c>
      <c r="AM52" s="212"/>
      <c r="AN52" s="210" t="s">
        <v>289</v>
      </c>
      <c r="AO52" s="210"/>
      <c r="AP52" s="212"/>
      <c r="AQ52" s="211"/>
      <c r="AR52" s="210"/>
      <c r="AS52" s="210"/>
      <c r="AT52" s="212"/>
      <c r="AU52" s="211"/>
      <c r="AV52" s="210"/>
      <c r="AW52" s="210"/>
      <c r="AX52" s="210"/>
      <c r="AY52" s="212"/>
      <c r="AZ52" s="211" t="s">
        <v>284</v>
      </c>
      <c r="BA52" s="210"/>
      <c r="BB52" s="210"/>
      <c r="BC52" s="210"/>
      <c r="BD52" s="210"/>
      <c r="BE52" s="210"/>
      <c r="BF52" s="247"/>
      <c r="BG52" s="248" t="s">
        <v>281</v>
      </c>
      <c r="BH52" s="210"/>
      <c r="BI52" s="210"/>
      <c r="BJ52" s="247"/>
      <c r="BK52" s="248" t="s">
        <v>281</v>
      </c>
      <c r="BL52" s="210"/>
      <c r="BM52" s="210"/>
      <c r="BN52" s="247"/>
      <c r="BO52" s="248" t="s">
        <v>281</v>
      </c>
      <c r="BP52" s="210"/>
      <c r="BQ52" s="210"/>
      <c r="BR52" s="247"/>
      <c r="BS52" s="799" t="s">
        <v>285</v>
      </c>
      <c r="BT52" s="800"/>
      <c r="BU52" s="799" t="s">
        <v>285</v>
      </c>
      <c r="BV52" s="800"/>
      <c r="BW52" s="799" t="s">
        <v>285</v>
      </c>
      <c r="BX52" s="800"/>
      <c r="BY52" s="799" t="s">
        <v>285</v>
      </c>
      <c r="BZ52" s="800"/>
      <c r="CA52" s="799" t="s">
        <v>285</v>
      </c>
      <c r="CB52" s="800"/>
      <c r="CC52" s="799" t="s">
        <v>285</v>
      </c>
      <c r="CD52" s="800"/>
      <c r="CE52" s="799" t="s">
        <v>285</v>
      </c>
      <c r="CF52" s="800"/>
      <c r="CG52" s="799" t="s">
        <v>285</v>
      </c>
      <c r="CH52" s="800"/>
      <c r="CI52" s="799" t="s">
        <v>285</v>
      </c>
      <c r="CJ52" s="800"/>
      <c r="CK52" s="799" t="s">
        <v>285</v>
      </c>
      <c r="CL52" s="800"/>
      <c r="CM52" s="799" t="s">
        <v>285</v>
      </c>
      <c r="CN52" s="800"/>
      <c r="CO52" s="209" t="s">
        <v>286</v>
      </c>
      <c r="CP52" s="266"/>
      <c r="CQ52" s="210"/>
      <c r="CR52" s="212"/>
      <c r="CS52" s="209" t="s">
        <v>282</v>
      </c>
      <c r="CT52" s="212"/>
      <c r="CU52" s="210" t="s">
        <v>289</v>
      </c>
      <c r="CV52" s="210"/>
      <c r="CW52" s="212"/>
    </row>
    <row r="53" spans="3:101" ht="12" customHeight="1">
      <c r="C53" s="175"/>
      <c r="D53" s="209" t="s">
        <v>290</v>
      </c>
      <c r="E53" s="212"/>
      <c r="F53" s="211" t="s">
        <v>278</v>
      </c>
      <c r="G53" s="210"/>
      <c r="H53" s="210"/>
      <c r="I53" s="209" t="s">
        <v>291</v>
      </c>
      <c r="J53" s="210"/>
      <c r="K53" s="212"/>
      <c r="L53" s="210" t="s">
        <v>280</v>
      </c>
      <c r="M53" s="210"/>
      <c r="N53" s="210"/>
      <c r="O53" s="210"/>
      <c r="P53" s="210"/>
      <c r="Q53" s="210"/>
      <c r="R53" s="212"/>
      <c r="S53" s="210" t="s">
        <v>281</v>
      </c>
      <c r="T53" s="210"/>
      <c r="U53" s="210"/>
      <c r="V53" s="210"/>
      <c r="W53" s="209" t="s">
        <v>603</v>
      </c>
      <c r="X53" s="212"/>
      <c r="Y53" s="210" t="s">
        <v>289</v>
      </c>
      <c r="Z53" s="210"/>
      <c r="AA53" s="212"/>
      <c r="AB53" s="209" t="s">
        <v>292</v>
      </c>
      <c r="AC53" s="212"/>
      <c r="AD53" s="210" t="s">
        <v>289</v>
      </c>
      <c r="AE53" s="210"/>
      <c r="AF53" s="212"/>
      <c r="AG53" s="209" t="s">
        <v>603</v>
      </c>
      <c r="AH53" s="212"/>
      <c r="AI53" s="210" t="s">
        <v>289</v>
      </c>
      <c r="AJ53" s="210"/>
      <c r="AK53" s="212"/>
      <c r="AL53" s="209" t="s">
        <v>292</v>
      </c>
      <c r="AM53" s="212"/>
      <c r="AN53" s="210" t="s">
        <v>289</v>
      </c>
      <c r="AO53" s="210"/>
      <c r="AP53" s="212"/>
      <c r="AQ53" s="211"/>
      <c r="AR53" s="210"/>
      <c r="AS53" s="210"/>
      <c r="AT53" s="212"/>
      <c r="AU53" s="211"/>
      <c r="AV53" s="210"/>
      <c r="AW53" s="210"/>
      <c r="AX53" s="210"/>
      <c r="AY53" s="212"/>
      <c r="AZ53" s="211" t="s">
        <v>284</v>
      </c>
      <c r="BA53" s="210"/>
      <c r="BB53" s="210"/>
      <c r="BC53" s="210"/>
      <c r="BD53" s="210"/>
      <c r="BE53" s="210"/>
      <c r="BF53" s="247"/>
      <c r="BG53" s="248" t="s">
        <v>281</v>
      </c>
      <c r="BH53" s="210"/>
      <c r="BI53" s="210"/>
      <c r="BJ53" s="247"/>
      <c r="BK53" s="248" t="s">
        <v>281</v>
      </c>
      <c r="BL53" s="210"/>
      <c r="BM53" s="210"/>
      <c r="BN53" s="247"/>
      <c r="BO53" s="248" t="s">
        <v>281</v>
      </c>
      <c r="BP53" s="210"/>
      <c r="BQ53" s="210"/>
      <c r="BR53" s="247"/>
      <c r="BS53" s="799"/>
      <c r="BT53" s="800"/>
      <c r="BU53" s="799"/>
      <c r="BV53" s="800"/>
      <c r="BW53" s="799"/>
      <c r="BX53" s="800"/>
      <c r="BY53" s="799"/>
      <c r="BZ53" s="800"/>
      <c r="CA53" s="799"/>
      <c r="CB53" s="800"/>
      <c r="CC53" s="799"/>
      <c r="CD53" s="800"/>
      <c r="CE53" s="799" t="s">
        <v>285</v>
      </c>
      <c r="CF53" s="800"/>
      <c r="CG53" s="799" t="s">
        <v>285</v>
      </c>
      <c r="CH53" s="800"/>
      <c r="CI53" s="799" t="s">
        <v>285</v>
      </c>
      <c r="CJ53" s="800"/>
      <c r="CK53" s="799" t="s">
        <v>285</v>
      </c>
      <c r="CL53" s="800"/>
      <c r="CM53" s="799" t="s">
        <v>285</v>
      </c>
      <c r="CN53" s="800"/>
      <c r="CO53" s="209" t="s">
        <v>286</v>
      </c>
      <c r="CP53" s="266"/>
      <c r="CQ53" s="210"/>
      <c r="CR53" s="212"/>
      <c r="CS53" s="209" t="s">
        <v>292</v>
      </c>
      <c r="CT53" s="212"/>
      <c r="CU53" s="210" t="s">
        <v>289</v>
      </c>
      <c r="CV53" s="210"/>
      <c r="CW53" s="212"/>
    </row>
    <row r="54" spans="3:101" ht="12" customHeight="1">
      <c r="C54" s="175"/>
      <c r="D54" s="209" t="s">
        <v>293</v>
      </c>
      <c r="E54" s="212"/>
      <c r="F54" s="211" t="s">
        <v>278</v>
      </c>
      <c r="G54" s="210"/>
      <c r="H54" s="210"/>
      <c r="I54" s="209" t="s">
        <v>291</v>
      </c>
      <c r="J54" s="210"/>
      <c r="K54" s="212"/>
      <c r="L54" s="210" t="s">
        <v>280</v>
      </c>
      <c r="M54" s="210"/>
      <c r="N54" s="210"/>
      <c r="O54" s="210"/>
      <c r="P54" s="210"/>
      <c r="Q54" s="210"/>
      <c r="R54" s="212"/>
      <c r="S54" s="210" t="s">
        <v>281</v>
      </c>
      <c r="T54" s="210"/>
      <c r="U54" s="210"/>
      <c r="V54" s="210"/>
      <c r="W54" s="209" t="s">
        <v>603</v>
      </c>
      <c r="X54" s="212"/>
      <c r="Y54" s="210" t="s">
        <v>289</v>
      </c>
      <c r="Z54" s="210"/>
      <c r="AA54" s="212"/>
      <c r="AB54" s="209" t="s">
        <v>292</v>
      </c>
      <c r="AC54" s="212"/>
      <c r="AD54" s="210" t="s">
        <v>289</v>
      </c>
      <c r="AE54" s="210"/>
      <c r="AF54" s="212"/>
      <c r="AG54" s="209" t="s">
        <v>603</v>
      </c>
      <c r="AH54" s="212"/>
      <c r="AI54" s="210" t="s">
        <v>289</v>
      </c>
      <c r="AJ54" s="210"/>
      <c r="AK54" s="212"/>
      <c r="AL54" s="209" t="s">
        <v>292</v>
      </c>
      <c r="AM54" s="212"/>
      <c r="AN54" s="210" t="s">
        <v>289</v>
      </c>
      <c r="AO54" s="210"/>
      <c r="AP54" s="212"/>
      <c r="AQ54" s="211"/>
      <c r="AR54" s="210"/>
      <c r="AS54" s="210"/>
      <c r="AT54" s="212"/>
      <c r="AU54" s="211"/>
      <c r="AV54" s="210"/>
      <c r="AW54" s="210"/>
      <c r="AX54" s="210"/>
      <c r="AY54" s="212"/>
      <c r="AZ54" s="211" t="s">
        <v>284</v>
      </c>
      <c r="BA54" s="210"/>
      <c r="BB54" s="210"/>
      <c r="BC54" s="210"/>
      <c r="BD54" s="210"/>
      <c r="BE54" s="210"/>
      <c r="BF54" s="247"/>
      <c r="BG54" s="248" t="s">
        <v>281</v>
      </c>
      <c r="BH54" s="210"/>
      <c r="BI54" s="210"/>
      <c r="BJ54" s="247"/>
      <c r="BK54" s="248" t="s">
        <v>281</v>
      </c>
      <c r="BL54" s="210"/>
      <c r="BM54" s="210"/>
      <c r="BN54" s="247"/>
      <c r="BO54" s="248" t="s">
        <v>281</v>
      </c>
      <c r="BP54" s="210"/>
      <c r="BQ54" s="210"/>
      <c r="BR54" s="247"/>
      <c r="BS54" s="799"/>
      <c r="BT54" s="800"/>
      <c r="BU54" s="799"/>
      <c r="BV54" s="800"/>
      <c r="BW54" s="799"/>
      <c r="BX54" s="800"/>
      <c r="BY54" s="799"/>
      <c r="BZ54" s="800"/>
      <c r="CA54" s="799"/>
      <c r="CB54" s="800"/>
      <c r="CC54" s="799"/>
      <c r="CD54" s="800"/>
      <c r="CE54" s="799" t="s">
        <v>285</v>
      </c>
      <c r="CF54" s="800"/>
      <c r="CG54" s="799" t="s">
        <v>285</v>
      </c>
      <c r="CH54" s="800"/>
      <c r="CI54" s="799" t="s">
        <v>285</v>
      </c>
      <c r="CJ54" s="800"/>
      <c r="CK54" s="799" t="s">
        <v>285</v>
      </c>
      <c r="CL54" s="800"/>
      <c r="CM54" s="799" t="s">
        <v>285</v>
      </c>
      <c r="CN54" s="800"/>
      <c r="CO54" s="209" t="s">
        <v>286</v>
      </c>
      <c r="CP54" s="266"/>
      <c r="CQ54" s="210"/>
      <c r="CR54" s="212"/>
      <c r="CS54" s="209" t="s">
        <v>292</v>
      </c>
      <c r="CT54" s="212"/>
      <c r="CU54" s="210" t="s">
        <v>289</v>
      </c>
      <c r="CV54" s="210"/>
      <c r="CW54" s="212"/>
    </row>
    <row r="55" spans="3:101" ht="12" customHeight="1">
      <c r="C55" s="175"/>
      <c r="D55" s="209" t="s">
        <v>294</v>
      </c>
      <c r="E55" s="212"/>
      <c r="F55" s="211" t="s">
        <v>295</v>
      </c>
      <c r="G55" s="210"/>
      <c r="H55" s="210"/>
      <c r="I55" s="209" t="s">
        <v>291</v>
      </c>
      <c r="J55" s="210"/>
      <c r="K55" s="212"/>
      <c r="L55" s="210" t="s">
        <v>296</v>
      </c>
      <c r="M55" s="210"/>
      <c r="N55" s="210"/>
      <c r="O55" s="210"/>
      <c r="P55" s="210"/>
      <c r="Q55" s="210"/>
      <c r="R55" s="212"/>
      <c r="S55" s="210" t="s">
        <v>281</v>
      </c>
      <c r="T55" s="210"/>
      <c r="U55" s="210"/>
      <c r="V55" s="210"/>
      <c r="W55" s="209" t="s">
        <v>603</v>
      </c>
      <c r="X55" s="212"/>
      <c r="Y55" s="210" t="s">
        <v>289</v>
      </c>
      <c r="Z55" s="210"/>
      <c r="AA55" s="212"/>
      <c r="AB55" s="209" t="s">
        <v>292</v>
      </c>
      <c r="AC55" s="212"/>
      <c r="AD55" s="210" t="s">
        <v>289</v>
      </c>
      <c r="AE55" s="210"/>
      <c r="AF55" s="212"/>
      <c r="AG55" s="209" t="s">
        <v>603</v>
      </c>
      <c r="AH55" s="212"/>
      <c r="AI55" s="210" t="s">
        <v>289</v>
      </c>
      <c r="AJ55" s="210"/>
      <c r="AK55" s="212"/>
      <c r="AL55" s="209" t="s">
        <v>292</v>
      </c>
      <c r="AM55" s="212"/>
      <c r="AN55" s="210" t="s">
        <v>289</v>
      </c>
      <c r="AO55" s="210"/>
      <c r="AP55" s="212"/>
      <c r="AQ55" s="211"/>
      <c r="AR55" s="210"/>
      <c r="AS55" s="210"/>
      <c r="AT55" s="212"/>
      <c r="AU55" s="211"/>
      <c r="AV55" s="210"/>
      <c r="AW55" s="210"/>
      <c r="AX55" s="210"/>
      <c r="AY55" s="212"/>
      <c r="AZ55" s="211" t="s">
        <v>297</v>
      </c>
      <c r="BA55" s="210"/>
      <c r="BB55" s="210"/>
      <c r="BC55" s="210"/>
      <c r="BD55" s="210"/>
      <c r="BE55" s="210"/>
      <c r="BF55" s="247"/>
      <c r="BG55" s="248" t="s">
        <v>298</v>
      </c>
      <c r="BH55" s="210"/>
      <c r="BI55" s="210"/>
      <c r="BJ55" s="247"/>
      <c r="BK55" s="248" t="s">
        <v>298</v>
      </c>
      <c r="BL55" s="210"/>
      <c r="BM55" s="210"/>
      <c r="BN55" s="247"/>
      <c r="BO55" s="248" t="s">
        <v>298</v>
      </c>
      <c r="BP55" s="210"/>
      <c r="BQ55" s="210"/>
      <c r="BR55" s="247"/>
      <c r="BS55" s="799"/>
      <c r="BT55" s="800"/>
      <c r="BU55" s="799"/>
      <c r="BV55" s="800"/>
      <c r="BW55" s="799"/>
      <c r="BX55" s="800"/>
      <c r="BY55" s="799"/>
      <c r="BZ55" s="800"/>
      <c r="CA55" s="799"/>
      <c r="CB55" s="800"/>
      <c r="CC55" s="799"/>
      <c r="CD55" s="800"/>
      <c r="CE55" s="799" t="s">
        <v>285</v>
      </c>
      <c r="CF55" s="800"/>
      <c r="CG55" s="799" t="s">
        <v>285</v>
      </c>
      <c r="CH55" s="800"/>
      <c r="CI55" s="799" t="s">
        <v>285</v>
      </c>
      <c r="CJ55" s="800"/>
      <c r="CK55" s="799" t="s">
        <v>285</v>
      </c>
      <c r="CL55" s="800"/>
      <c r="CM55" s="799" t="s">
        <v>285</v>
      </c>
      <c r="CN55" s="800"/>
      <c r="CO55" s="209" t="s">
        <v>286</v>
      </c>
      <c r="CP55" s="266"/>
      <c r="CQ55" s="210"/>
      <c r="CR55" s="212"/>
      <c r="CS55" s="209" t="s">
        <v>292</v>
      </c>
      <c r="CT55" s="212"/>
      <c r="CU55" s="210" t="s">
        <v>289</v>
      </c>
      <c r="CV55" s="210"/>
      <c r="CW55" s="212"/>
    </row>
    <row r="56" spans="3:101" ht="12" customHeight="1">
      <c r="C56" s="175"/>
      <c r="D56" s="209" t="s">
        <v>299</v>
      </c>
      <c r="E56" s="212"/>
      <c r="F56" s="211" t="s">
        <v>295</v>
      </c>
      <c r="G56" s="210"/>
      <c r="H56" s="210"/>
      <c r="I56" s="209" t="s">
        <v>291</v>
      </c>
      <c r="J56" s="210"/>
      <c r="K56" s="212"/>
      <c r="L56" s="210" t="s">
        <v>296</v>
      </c>
      <c r="M56" s="210"/>
      <c r="N56" s="210"/>
      <c r="O56" s="210"/>
      <c r="P56" s="210"/>
      <c r="Q56" s="210"/>
      <c r="R56" s="212"/>
      <c r="S56" s="210" t="s">
        <v>281</v>
      </c>
      <c r="T56" s="210"/>
      <c r="U56" s="210"/>
      <c r="V56" s="210"/>
      <c r="W56" s="209" t="s">
        <v>603</v>
      </c>
      <c r="X56" s="212"/>
      <c r="Y56" s="210" t="s">
        <v>289</v>
      </c>
      <c r="Z56" s="210"/>
      <c r="AA56" s="212"/>
      <c r="AB56" s="209" t="s">
        <v>292</v>
      </c>
      <c r="AC56" s="212"/>
      <c r="AD56" s="210" t="s">
        <v>289</v>
      </c>
      <c r="AE56" s="210"/>
      <c r="AF56" s="212"/>
      <c r="AG56" s="209" t="s">
        <v>603</v>
      </c>
      <c r="AH56" s="212"/>
      <c r="AI56" s="210" t="s">
        <v>289</v>
      </c>
      <c r="AJ56" s="210"/>
      <c r="AK56" s="212"/>
      <c r="AL56" s="209" t="s">
        <v>292</v>
      </c>
      <c r="AM56" s="212"/>
      <c r="AN56" s="210" t="s">
        <v>289</v>
      </c>
      <c r="AO56" s="210"/>
      <c r="AP56" s="212"/>
      <c r="AQ56" s="211"/>
      <c r="AR56" s="210"/>
      <c r="AS56" s="210"/>
      <c r="AT56" s="212"/>
      <c r="AU56" s="211"/>
      <c r="AV56" s="210"/>
      <c r="AW56" s="210"/>
      <c r="AX56" s="210"/>
      <c r="AY56" s="212"/>
      <c r="AZ56" s="211" t="s">
        <v>296</v>
      </c>
      <c r="BA56" s="210"/>
      <c r="BB56" s="210"/>
      <c r="BC56" s="210"/>
      <c r="BD56" s="210"/>
      <c r="BE56" s="210"/>
      <c r="BF56" s="247"/>
      <c r="BG56" s="248" t="s">
        <v>300</v>
      </c>
      <c r="BH56" s="210"/>
      <c r="BI56" s="210"/>
      <c r="BJ56" s="247"/>
      <c r="BK56" s="248" t="s">
        <v>300</v>
      </c>
      <c r="BL56" s="210"/>
      <c r="BM56" s="210"/>
      <c r="BN56" s="247"/>
      <c r="BO56" s="248" t="s">
        <v>300</v>
      </c>
      <c r="BP56" s="210"/>
      <c r="BQ56" s="210"/>
      <c r="BR56" s="247"/>
      <c r="BS56" s="799"/>
      <c r="BT56" s="800"/>
      <c r="BU56" s="799"/>
      <c r="BV56" s="800"/>
      <c r="BW56" s="799"/>
      <c r="BX56" s="800"/>
      <c r="BY56" s="799"/>
      <c r="BZ56" s="800"/>
      <c r="CA56" s="799"/>
      <c r="CB56" s="800"/>
      <c r="CC56" s="799"/>
      <c r="CD56" s="800"/>
      <c r="CE56" s="799" t="s">
        <v>285</v>
      </c>
      <c r="CF56" s="800"/>
      <c r="CG56" s="799" t="s">
        <v>285</v>
      </c>
      <c r="CH56" s="800"/>
      <c r="CI56" s="799" t="s">
        <v>285</v>
      </c>
      <c r="CJ56" s="800"/>
      <c r="CK56" s="799" t="s">
        <v>285</v>
      </c>
      <c r="CL56" s="800"/>
      <c r="CM56" s="799" t="s">
        <v>285</v>
      </c>
      <c r="CN56" s="800"/>
      <c r="CO56" s="209" t="s">
        <v>286</v>
      </c>
      <c r="CP56" s="266"/>
      <c r="CQ56" s="210"/>
      <c r="CR56" s="212"/>
      <c r="CS56" s="209" t="s">
        <v>292</v>
      </c>
      <c r="CT56" s="212"/>
      <c r="CU56" s="210" t="s">
        <v>289</v>
      </c>
      <c r="CV56" s="210"/>
      <c r="CW56" s="212"/>
    </row>
    <row r="57" spans="3:101" ht="12" customHeight="1">
      <c r="C57" s="175"/>
      <c r="D57" s="209" t="s">
        <v>301</v>
      </c>
      <c r="E57" s="212"/>
      <c r="F57" s="211" t="s">
        <v>295</v>
      </c>
      <c r="G57" s="210"/>
      <c r="H57" s="210"/>
      <c r="I57" s="209" t="s">
        <v>291</v>
      </c>
      <c r="J57" s="210"/>
      <c r="K57" s="212"/>
      <c r="L57" s="210" t="s">
        <v>296</v>
      </c>
      <c r="M57" s="210"/>
      <c r="N57" s="210"/>
      <c r="O57" s="210"/>
      <c r="P57" s="210"/>
      <c r="Q57" s="210"/>
      <c r="R57" s="212"/>
      <c r="S57" s="210" t="s">
        <v>281</v>
      </c>
      <c r="T57" s="210"/>
      <c r="U57" s="210"/>
      <c r="V57" s="210"/>
      <c r="W57" s="209" t="s">
        <v>603</v>
      </c>
      <c r="X57" s="212"/>
      <c r="Y57" s="210" t="s">
        <v>289</v>
      </c>
      <c r="Z57" s="210"/>
      <c r="AA57" s="212"/>
      <c r="AB57" s="209" t="s">
        <v>292</v>
      </c>
      <c r="AC57" s="212"/>
      <c r="AD57" s="210" t="s">
        <v>289</v>
      </c>
      <c r="AE57" s="210"/>
      <c r="AF57" s="212"/>
      <c r="AG57" s="209" t="s">
        <v>603</v>
      </c>
      <c r="AH57" s="212"/>
      <c r="AI57" s="210" t="s">
        <v>289</v>
      </c>
      <c r="AJ57" s="210"/>
      <c r="AK57" s="212"/>
      <c r="AL57" s="209" t="s">
        <v>292</v>
      </c>
      <c r="AM57" s="212"/>
      <c r="AN57" s="210" t="s">
        <v>289</v>
      </c>
      <c r="AO57" s="210"/>
      <c r="AP57" s="212"/>
      <c r="AQ57" s="211"/>
      <c r="AR57" s="210"/>
      <c r="AS57" s="210"/>
      <c r="AT57" s="212"/>
      <c r="AU57" s="211"/>
      <c r="AV57" s="210"/>
      <c r="AW57" s="210"/>
      <c r="AX57" s="210"/>
      <c r="AY57" s="212"/>
      <c r="AZ57" s="211" t="s">
        <v>296</v>
      </c>
      <c r="BA57" s="210"/>
      <c r="BB57" s="210"/>
      <c r="BC57" s="210"/>
      <c r="BD57" s="210"/>
      <c r="BE57" s="210"/>
      <c r="BF57" s="247"/>
      <c r="BG57" s="248" t="s">
        <v>302</v>
      </c>
      <c r="BH57" s="210"/>
      <c r="BI57" s="210"/>
      <c r="BJ57" s="247"/>
      <c r="BK57" s="248" t="s">
        <v>302</v>
      </c>
      <c r="BL57" s="210"/>
      <c r="BM57" s="210"/>
      <c r="BN57" s="247"/>
      <c r="BO57" s="248" t="s">
        <v>302</v>
      </c>
      <c r="BP57" s="210"/>
      <c r="BQ57" s="210"/>
      <c r="BR57" s="247"/>
      <c r="BS57" s="799" t="s">
        <v>285</v>
      </c>
      <c r="BT57" s="800"/>
      <c r="BU57" s="799" t="s">
        <v>285</v>
      </c>
      <c r="BV57" s="800"/>
      <c r="BW57" s="799" t="s">
        <v>285</v>
      </c>
      <c r="BX57" s="800"/>
      <c r="BY57" s="799" t="s">
        <v>285</v>
      </c>
      <c r="BZ57" s="800"/>
      <c r="CA57" s="799" t="s">
        <v>285</v>
      </c>
      <c r="CB57" s="800"/>
      <c r="CC57" s="799" t="s">
        <v>285</v>
      </c>
      <c r="CD57" s="800"/>
      <c r="CE57" s="799" t="s">
        <v>285</v>
      </c>
      <c r="CF57" s="800"/>
      <c r="CG57" s="799" t="s">
        <v>285</v>
      </c>
      <c r="CH57" s="800"/>
      <c r="CI57" s="799" t="s">
        <v>285</v>
      </c>
      <c r="CJ57" s="800"/>
      <c r="CK57" s="799" t="s">
        <v>285</v>
      </c>
      <c r="CL57" s="800"/>
      <c r="CM57" s="799" t="s">
        <v>285</v>
      </c>
      <c r="CN57" s="800"/>
      <c r="CO57" s="209" t="s">
        <v>286</v>
      </c>
      <c r="CP57" s="266"/>
      <c r="CQ57" s="210"/>
      <c r="CR57" s="212"/>
      <c r="CS57" s="209" t="s">
        <v>292</v>
      </c>
      <c r="CT57" s="212"/>
      <c r="CU57" s="210" t="s">
        <v>289</v>
      </c>
      <c r="CV57" s="210"/>
      <c r="CW57" s="212"/>
    </row>
    <row r="58" spans="3:101" ht="12" customHeight="1">
      <c r="C58" s="175"/>
      <c r="D58" s="209" t="s">
        <v>303</v>
      </c>
      <c r="E58" s="212"/>
      <c r="F58" s="211" t="s">
        <v>295</v>
      </c>
      <c r="G58" s="210"/>
      <c r="H58" s="210"/>
      <c r="I58" s="209" t="s">
        <v>291</v>
      </c>
      <c r="J58" s="210"/>
      <c r="K58" s="212"/>
      <c r="L58" s="210" t="s">
        <v>296</v>
      </c>
      <c r="M58" s="210"/>
      <c r="N58" s="210"/>
      <c r="O58" s="210"/>
      <c r="P58" s="210"/>
      <c r="Q58" s="210"/>
      <c r="R58" s="212"/>
      <c r="S58" s="210" t="s">
        <v>281</v>
      </c>
      <c r="T58" s="210"/>
      <c r="U58" s="210"/>
      <c r="V58" s="210"/>
      <c r="W58" s="209" t="s">
        <v>603</v>
      </c>
      <c r="X58" s="212"/>
      <c r="Y58" s="210" t="s">
        <v>289</v>
      </c>
      <c r="Z58" s="210"/>
      <c r="AA58" s="212"/>
      <c r="AB58" s="209" t="s">
        <v>292</v>
      </c>
      <c r="AC58" s="212"/>
      <c r="AD58" s="210" t="s">
        <v>289</v>
      </c>
      <c r="AE58" s="210"/>
      <c r="AF58" s="212"/>
      <c r="AG58" s="209" t="s">
        <v>603</v>
      </c>
      <c r="AH58" s="212"/>
      <c r="AI58" s="210" t="s">
        <v>289</v>
      </c>
      <c r="AJ58" s="210"/>
      <c r="AK58" s="212"/>
      <c r="AL58" s="209" t="s">
        <v>292</v>
      </c>
      <c r="AM58" s="212"/>
      <c r="AN58" s="210" t="s">
        <v>289</v>
      </c>
      <c r="AO58" s="210"/>
      <c r="AP58" s="212"/>
      <c r="AQ58" s="211"/>
      <c r="AR58" s="210"/>
      <c r="AS58" s="210"/>
      <c r="AT58" s="212"/>
      <c r="AU58" s="211"/>
      <c r="AV58" s="210"/>
      <c r="AW58" s="210"/>
      <c r="AX58" s="210"/>
      <c r="AY58" s="212"/>
      <c r="AZ58" s="211" t="s">
        <v>296</v>
      </c>
      <c r="BA58" s="210"/>
      <c r="BB58" s="210"/>
      <c r="BC58" s="210"/>
      <c r="BD58" s="210"/>
      <c r="BE58" s="210"/>
      <c r="BF58" s="247"/>
      <c r="BG58" s="248" t="s">
        <v>304</v>
      </c>
      <c r="BH58" s="210"/>
      <c r="BI58" s="210"/>
      <c r="BJ58" s="247"/>
      <c r="BK58" s="248" t="s">
        <v>304</v>
      </c>
      <c r="BL58" s="210"/>
      <c r="BM58" s="210"/>
      <c r="BN58" s="247"/>
      <c r="BO58" s="248" t="s">
        <v>304</v>
      </c>
      <c r="BP58" s="210"/>
      <c r="BQ58" s="210"/>
      <c r="BR58" s="247"/>
      <c r="BS58" s="799" t="s">
        <v>285</v>
      </c>
      <c r="BT58" s="800"/>
      <c r="BU58" s="799"/>
      <c r="BV58" s="800"/>
      <c r="BW58" s="799"/>
      <c r="BX58" s="800"/>
      <c r="BY58" s="799"/>
      <c r="BZ58" s="800"/>
      <c r="CA58" s="799"/>
      <c r="CB58" s="800"/>
      <c r="CC58" s="799"/>
      <c r="CD58" s="800"/>
      <c r="CE58" s="799"/>
      <c r="CF58" s="800"/>
      <c r="CG58" s="799"/>
      <c r="CH58" s="800"/>
      <c r="CI58" s="799"/>
      <c r="CJ58" s="800"/>
      <c r="CK58" s="799"/>
      <c r="CL58" s="800"/>
      <c r="CM58" s="799"/>
      <c r="CN58" s="800"/>
      <c r="CO58" s="209" t="s">
        <v>286</v>
      </c>
      <c r="CP58" s="266"/>
      <c r="CQ58" s="210"/>
      <c r="CR58" s="212"/>
      <c r="CS58" s="209" t="s">
        <v>292</v>
      </c>
      <c r="CT58" s="212"/>
      <c r="CU58" s="210" t="s">
        <v>289</v>
      </c>
      <c r="CV58" s="210"/>
      <c r="CW58" s="212"/>
    </row>
    <row r="59" spans="3:101" ht="12" customHeight="1">
      <c r="C59" s="175"/>
      <c r="D59" s="209" t="s">
        <v>305</v>
      </c>
      <c r="E59" s="212"/>
      <c r="F59" s="211" t="s">
        <v>295</v>
      </c>
      <c r="G59" s="210"/>
      <c r="H59" s="210"/>
      <c r="I59" s="209" t="s">
        <v>291</v>
      </c>
      <c r="J59" s="210"/>
      <c r="K59" s="212"/>
      <c r="L59" s="210" t="s">
        <v>296</v>
      </c>
      <c r="M59" s="210"/>
      <c r="N59" s="210"/>
      <c r="O59" s="210"/>
      <c r="P59" s="210"/>
      <c r="Q59" s="210"/>
      <c r="R59" s="212"/>
      <c r="S59" s="210" t="s">
        <v>281</v>
      </c>
      <c r="T59" s="210"/>
      <c r="U59" s="210"/>
      <c r="V59" s="210"/>
      <c r="W59" s="209" t="s">
        <v>603</v>
      </c>
      <c r="X59" s="212"/>
      <c r="Y59" s="210" t="s">
        <v>289</v>
      </c>
      <c r="Z59" s="210"/>
      <c r="AA59" s="212"/>
      <c r="AB59" s="209" t="s">
        <v>292</v>
      </c>
      <c r="AC59" s="212"/>
      <c r="AD59" s="210" t="s">
        <v>289</v>
      </c>
      <c r="AE59" s="210"/>
      <c r="AF59" s="212"/>
      <c r="AG59" s="209" t="s">
        <v>603</v>
      </c>
      <c r="AH59" s="212"/>
      <c r="AI59" s="210" t="s">
        <v>289</v>
      </c>
      <c r="AJ59" s="210"/>
      <c r="AK59" s="212"/>
      <c r="AL59" s="209" t="s">
        <v>292</v>
      </c>
      <c r="AM59" s="212"/>
      <c r="AN59" s="210" t="s">
        <v>289</v>
      </c>
      <c r="AO59" s="210"/>
      <c r="AP59" s="212"/>
      <c r="AQ59" s="211"/>
      <c r="AR59" s="210"/>
      <c r="AS59" s="210"/>
      <c r="AT59" s="212"/>
      <c r="AU59" s="211"/>
      <c r="AV59" s="210"/>
      <c r="AW59" s="210"/>
      <c r="AX59" s="210"/>
      <c r="AY59" s="212"/>
      <c r="AZ59" s="211" t="s">
        <v>296</v>
      </c>
      <c r="BA59" s="210"/>
      <c r="BB59" s="210"/>
      <c r="BC59" s="210"/>
      <c r="BD59" s="210"/>
      <c r="BE59" s="210"/>
      <c r="BF59" s="247"/>
      <c r="BG59" s="248" t="s">
        <v>306</v>
      </c>
      <c r="BH59" s="210"/>
      <c r="BI59" s="210"/>
      <c r="BJ59" s="247"/>
      <c r="BK59" s="248" t="s">
        <v>306</v>
      </c>
      <c r="BL59" s="210"/>
      <c r="BM59" s="210"/>
      <c r="BN59" s="247"/>
      <c r="BO59" s="248" t="s">
        <v>306</v>
      </c>
      <c r="BP59" s="210"/>
      <c r="BQ59" s="210"/>
      <c r="BR59" s="247"/>
      <c r="BS59" s="799" t="s">
        <v>285</v>
      </c>
      <c r="BT59" s="800"/>
      <c r="BU59" s="799" t="s">
        <v>285</v>
      </c>
      <c r="BV59" s="800"/>
      <c r="BW59" s="799" t="s">
        <v>285</v>
      </c>
      <c r="BX59" s="800"/>
      <c r="BY59" s="799" t="s">
        <v>285</v>
      </c>
      <c r="BZ59" s="800"/>
      <c r="CA59" s="799" t="s">
        <v>285</v>
      </c>
      <c r="CB59" s="800"/>
      <c r="CC59" s="799" t="s">
        <v>285</v>
      </c>
      <c r="CD59" s="800"/>
      <c r="CE59" s="799" t="s">
        <v>285</v>
      </c>
      <c r="CF59" s="800"/>
      <c r="CG59" s="799" t="s">
        <v>285</v>
      </c>
      <c r="CH59" s="800"/>
      <c r="CI59" s="799" t="s">
        <v>285</v>
      </c>
      <c r="CJ59" s="800"/>
      <c r="CK59" s="799" t="s">
        <v>285</v>
      </c>
      <c r="CL59" s="800"/>
      <c r="CM59" s="799" t="s">
        <v>285</v>
      </c>
      <c r="CN59" s="800"/>
      <c r="CO59" s="209" t="s">
        <v>286</v>
      </c>
      <c r="CP59" s="266"/>
      <c r="CQ59" s="210"/>
      <c r="CR59" s="212"/>
      <c r="CS59" s="209" t="s">
        <v>292</v>
      </c>
      <c r="CT59" s="212"/>
      <c r="CU59" s="210" t="s">
        <v>289</v>
      </c>
      <c r="CV59" s="210"/>
      <c r="CW59" s="212"/>
    </row>
    <row r="60" spans="3:101" ht="12" customHeight="1">
      <c r="C60" s="175"/>
      <c r="D60" s="297" t="s">
        <v>307</v>
      </c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  <c r="AJ60" s="297"/>
      <c r="AK60" s="297"/>
      <c r="AL60" s="297"/>
      <c r="AM60" s="297"/>
      <c r="AN60" s="297"/>
      <c r="AO60" s="297"/>
      <c r="AP60" s="297"/>
      <c r="AQ60" s="297"/>
      <c r="AR60" s="297"/>
      <c r="AS60" s="297"/>
      <c r="AT60" s="297"/>
      <c r="AU60" s="297"/>
      <c r="AV60" s="297"/>
      <c r="AW60" s="297"/>
      <c r="AX60" s="297"/>
      <c r="AY60" s="297"/>
      <c r="AZ60" s="297"/>
      <c r="BA60" s="297"/>
      <c r="BB60" s="297"/>
      <c r="BC60" s="297"/>
      <c r="BD60" s="297"/>
      <c r="BE60" s="297"/>
      <c r="BF60" s="297"/>
      <c r="BG60" s="297"/>
      <c r="BH60" s="297"/>
      <c r="BI60" s="297"/>
      <c r="BJ60" s="297"/>
      <c r="BK60" s="297"/>
      <c r="BL60" s="297"/>
      <c r="BM60" s="297"/>
      <c r="BN60" s="297"/>
      <c r="BO60" s="297"/>
      <c r="BP60" s="297"/>
      <c r="BQ60" s="297"/>
      <c r="BR60" s="297"/>
      <c r="BS60" s="297"/>
      <c r="BT60" s="297"/>
      <c r="BU60" s="297"/>
      <c r="BV60" s="297"/>
      <c r="BW60" s="297"/>
      <c r="BX60" s="297"/>
      <c r="BY60" s="297"/>
      <c r="BZ60" s="297"/>
      <c r="CA60" s="297"/>
      <c r="CB60" s="297"/>
      <c r="CC60" s="297"/>
      <c r="CD60" s="297"/>
      <c r="CE60" s="297"/>
      <c r="CF60" s="297"/>
      <c r="CG60" s="297"/>
      <c r="CH60" s="297"/>
      <c r="CI60" s="297"/>
      <c r="CJ60" s="297"/>
      <c r="CK60" s="297"/>
      <c r="CL60" s="297"/>
      <c r="CM60" s="298" t="s">
        <v>308</v>
      </c>
    </row>
    <row r="61" spans="3:101" ht="12" customHeight="1">
      <c r="C61" s="175"/>
      <c r="Q61" s="24"/>
    </row>
    <row r="62" spans="3:101" ht="12" customHeight="1">
      <c r="C62" s="204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6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05"/>
      <c r="BA62" s="205"/>
      <c r="BB62" s="205"/>
      <c r="BC62" s="205"/>
      <c r="BD62" s="205"/>
      <c r="BE62" s="205"/>
      <c r="BF62" s="205"/>
      <c r="BG62" s="205"/>
      <c r="BH62" s="205"/>
      <c r="BI62" s="205"/>
      <c r="BJ62" s="205"/>
      <c r="BK62" s="205"/>
      <c r="BL62" s="205"/>
      <c r="BM62" s="205"/>
      <c r="BN62" s="205"/>
      <c r="BO62" s="205"/>
      <c r="BP62" s="205"/>
      <c r="BQ62" s="205"/>
      <c r="BR62" s="205"/>
      <c r="BS62" s="205"/>
      <c r="BT62" s="205"/>
      <c r="BU62" s="205"/>
      <c r="BV62" s="205"/>
      <c r="BW62" s="205"/>
      <c r="BX62" s="205"/>
    </row>
    <row r="63" spans="3:101" ht="12" customHeight="1">
      <c r="C63" s="179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1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0"/>
      <c r="AR63" s="180"/>
      <c r="AS63" s="180"/>
      <c r="AT63" s="180"/>
      <c r="AU63" s="180"/>
      <c r="AV63" s="180"/>
      <c r="AW63" s="180"/>
      <c r="AX63" s="180"/>
      <c r="AY63" s="180"/>
      <c r="AZ63" s="180"/>
      <c r="BA63" s="180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80"/>
      <c r="BM63" s="180"/>
      <c r="BN63" s="180"/>
      <c r="BO63" s="180"/>
      <c r="BP63" s="180"/>
      <c r="BQ63" s="180"/>
      <c r="BR63" s="180"/>
      <c r="BS63" s="180"/>
      <c r="BT63" s="180"/>
      <c r="BU63" s="180"/>
      <c r="BV63" s="180"/>
      <c r="BW63" s="180"/>
      <c r="BX63" s="180"/>
    </row>
  </sheetData>
  <mergeCells count="150">
    <mergeCell ref="CI57:CJ57"/>
    <mergeCell ref="CM57:CN57"/>
    <mergeCell ref="CK58:CL58"/>
    <mergeCell ref="CK59:CL59"/>
    <mergeCell ref="CM48:CN48"/>
    <mergeCell ref="CK50:CL50"/>
    <mergeCell ref="CM50:CN50"/>
    <mergeCell ref="CK51:CL51"/>
    <mergeCell ref="CM51:CN51"/>
    <mergeCell ref="CK56:CL56"/>
    <mergeCell ref="CK57:CL57"/>
    <mergeCell ref="CK55:CL55"/>
    <mergeCell ref="CI53:CJ53"/>
    <mergeCell ref="CI59:CJ59"/>
    <mergeCell ref="CI54:CJ54"/>
    <mergeCell ref="CI55:CJ55"/>
    <mergeCell ref="CI56:CJ56"/>
    <mergeCell ref="CK48:CL48"/>
    <mergeCell ref="CK52:CL52"/>
    <mergeCell ref="CK53:CL53"/>
    <mergeCell ref="CK54:CL54"/>
    <mergeCell ref="CI58:CJ58"/>
    <mergeCell ref="BY50:BZ50"/>
    <mergeCell ref="O27:P27"/>
    <mergeCell ref="BY54:BZ54"/>
    <mergeCell ref="BY55:BZ55"/>
    <mergeCell ref="BY56:BZ56"/>
    <mergeCell ref="BS55:BT55"/>
    <mergeCell ref="BU55:BV55"/>
    <mergeCell ref="BS56:BT56"/>
    <mergeCell ref="BU56:BV56"/>
    <mergeCell ref="BU52:BV52"/>
    <mergeCell ref="BS53:BT53"/>
    <mergeCell ref="BU53:BV53"/>
    <mergeCell ref="BS54:BT54"/>
    <mergeCell ref="BU54:BV54"/>
    <mergeCell ref="BY51:BZ51"/>
    <mergeCell ref="BY52:BZ52"/>
    <mergeCell ref="AB49:AC49"/>
    <mergeCell ref="AL49:AM49"/>
    <mergeCell ref="BS52:BT52"/>
    <mergeCell ref="BS48:BT48"/>
    <mergeCell ref="BU48:BV48"/>
    <mergeCell ref="BS50:BT50"/>
    <mergeCell ref="CA48:CB48"/>
    <mergeCell ref="BS57:BT57"/>
    <mergeCell ref="BU57:BV57"/>
    <mergeCell ref="BY57:BZ57"/>
    <mergeCell ref="A5:BK5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AJ1:AR1"/>
    <mergeCell ref="BF2:BK3"/>
    <mergeCell ref="K3:T3"/>
    <mergeCell ref="BY48:BZ48"/>
    <mergeCell ref="U3:Y3"/>
    <mergeCell ref="Z3:AD3"/>
    <mergeCell ref="AE3:AR3"/>
    <mergeCell ref="BY59:BZ59"/>
    <mergeCell ref="BU58:BV58"/>
    <mergeCell ref="BS59:BT59"/>
    <mergeCell ref="BU59:BV59"/>
    <mergeCell ref="BW48:BX48"/>
    <mergeCell ref="BW50:BX50"/>
    <mergeCell ref="BW51:BX51"/>
    <mergeCell ref="BW52:BX52"/>
    <mergeCell ref="BW53:BX53"/>
    <mergeCell ref="BW54:BX54"/>
    <mergeCell ref="BW55:BX55"/>
    <mergeCell ref="BW56:BX56"/>
    <mergeCell ref="BW57:BX57"/>
    <mergeCell ref="BW58:BX58"/>
    <mergeCell ref="BW59:BX59"/>
    <mergeCell ref="BS58:BT58"/>
    <mergeCell ref="BY53:BZ53"/>
    <mergeCell ref="BU50:BV50"/>
    <mergeCell ref="BS51:BT51"/>
    <mergeCell ref="BU51:BV51"/>
    <mergeCell ref="BY58:BZ58"/>
    <mergeCell ref="CA57:CB57"/>
    <mergeCell ref="CA58:CB58"/>
    <mergeCell ref="CC56:CD56"/>
    <mergeCell ref="CC57:CD57"/>
    <mergeCell ref="CC58:CD58"/>
    <mergeCell ref="CA56:CB56"/>
    <mergeCell ref="CE58:CF58"/>
    <mergeCell ref="CA55:CB55"/>
    <mergeCell ref="CC54:CD54"/>
    <mergeCell ref="CC55:CD55"/>
    <mergeCell ref="CG58:CH58"/>
    <mergeCell ref="CE59:CF59"/>
    <mergeCell ref="CA59:CB59"/>
    <mergeCell ref="CA50:CB50"/>
    <mergeCell ref="CE56:CF56"/>
    <mergeCell ref="CE57:CF57"/>
    <mergeCell ref="CG48:CH48"/>
    <mergeCell ref="CG50:CH50"/>
    <mergeCell ref="CG51:CH51"/>
    <mergeCell ref="CG52:CH52"/>
    <mergeCell ref="CG53:CH53"/>
    <mergeCell ref="CG54:CH54"/>
    <mergeCell ref="CG55:CH55"/>
    <mergeCell ref="CG56:CH56"/>
    <mergeCell ref="CG57:CH57"/>
    <mergeCell ref="CE51:CF51"/>
    <mergeCell ref="CE52:CF52"/>
    <mergeCell ref="CE55:CF55"/>
    <mergeCell ref="CA51:CB51"/>
    <mergeCell ref="CA52:CB52"/>
    <mergeCell ref="CA53:CB53"/>
    <mergeCell ref="CA54:CB54"/>
    <mergeCell ref="CG59:CH59"/>
    <mergeCell ref="CE54:CF54"/>
    <mergeCell ref="CE53:CF53"/>
    <mergeCell ref="W49:X49"/>
    <mergeCell ref="AG49:AH49"/>
    <mergeCell ref="W48:AF48"/>
    <mergeCell ref="AG48:AP48"/>
    <mergeCell ref="CS49:CT49"/>
    <mergeCell ref="CC59:CD59"/>
    <mergeCell ref="CC50:CD50"/>
    <mergeCell ref="CC51:CD51"/>
    <mergeCell ref="CC52:CD52"/>
    <mergeCell ref="CC53:CD53"/>
    <mergeCell ref="CM58:CN58"/>
    <mergeCell ref="CM59:CN59"/>
    <mergeCell ref="CM52:CN52"/>
    <mergeCell ref="CM53:CN53"/>
    <mergeCell ref="CM54:CN54"/>
    <mergeCell ref="CM55:CN55"/>
    <mergeCell ref="CM56:CN56"/>
    <mergeCell ref="CI50:CJ50"/>
    <mergeCell ref="CI51:CJ51"/>
    <mergeCell ref="CI52:CJ52"/>
    <mergeCell ref="CS48:CT48"/>
    <mergeCell ref="CE48:CF48"/>
    <mergeCell ref="CE50:CF50"/>
  </mergeCells>
  <phoneticPr fontId="8"/>
  <pageMargins left="0.51181102362204722" right="0.74803149606299213" top="0.70866141732283472" bottom="0.43307086614173229" header="0.51181102362204722" footer="0.19685039370078741"/>
  <pageSetup paperSize="9" scale="58" fitToHeight="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2">
    <pageSetUpPr fitToPage="1"/>
  </sheetPr>
  <dimension ref="A1:CO100"/>
  <sheetViews>
    <sheetView showGridLines="0" showZeros="0" view="pageBreakPreview" zoomScaleNormal="100" zoomScaleSheetLayoutView="100" workbookViewId="0">
      <pane ySplit="4" topLeftCell="A25" activePane="bottomLeft" state="frozen"/>
      <selection activeCell="AJ54" sqref="AJ54:AJ55"/>
      <selection pane="bottomLeft" activeCell="B35" sqref="B3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29" width="2.125" style="24" customWidth="1"/>
    <col min="30" max="30" width="12.125" style="24" customWidth="1"/>
    <col min="31" max="62" width="2.125" style="24" customWidth="1"/>
    <col min="63" max="63" width="2.25" style="24" customWidth="1"/>
    <col min="64" max="66" width="2.125" style="24" customWidth="1"/>
    <col min="67" max="82" width="2.125" style="24"/>
    <col min="83" max="83" width="77.25" style="24" customWidth="1"/>
    <col min="84" max="84" width="31.375" style="24" customWidth="1"/>
    <col min="85" max="87" width="2.125" style="24"/>
    <col min="88" max="88" width="22.75" style="24" customWidth="1"/>
    <col min="89" max="16384" width="2.125" style="24"/>
  </cols>
  <sheetData>
    <row r="1" spans="1:88" s="4" customFormat="1" ht="15.75" customHeight="1">
      <c r="A1" s="821" t="str">
        <f>表紙!A54</f>
        <v>Webシステム</v>
      </c>
      <c r="B1" s="822"/>
      <c r="C1" s="822"/>
      <c r="D1" s="822"/>
      <c r="E1" s="822"/>
      <c r="F1" s="822"/>
      <c r="G1" s="822"/>
      <c r="H1" s="822"/>
      <c r="I1" s="822"/>
      <c r="J1" s="823"/>
      <c r="K1" s="857" t="s">
        <v>132</v>
      </c>
      <c r="L1" s="858"/>
      <c r="M1" s="858"/>
      <c r="N1" s="858"/>
      <c r="O1" s="858"/>
      <c r="P1" s="858"/>
      <c r="Q1" s="858"/>
      <c r="R1" s="858"/>
      <c r="S1" s="858"/>
      <c r="T1" s="859"/>
      <c r="U1" s="860" t="s">
        <v>148</v>
      </c>
      <c r="V1" s="861"/>
      <c r="W1" s="861"/>
      <c r="X1" s="861"/>
      <c r="Y1" s="862"/>
      <c r="Z1" s="863" t="str">
        <f>表紙!$AJ$63</f>
        <v>MS</v>
      </c>
      <c r="AA1" s="864"/>
      <c r="AB1" s="864"/>
      <c r="AC1" s="864"/>
      <c r="AD1" s="865"/>
      <c r="AE1" s="866" t="s">
        <v>135</v>
      </c>
      <c r="AF1" s="832"/>
      <c r="AG1" s="832"/>
      <c r="AH1" s="832"/>
      <c r="AI1" s="833"/>
      <c r="AJ1" s="867" t="str">
        <f>表紙!$AX$63</f>
        <v>Webシステム</v>
      </c>
      <c r="AK1" s="868"/>
      <c r="AL1" s="868"/>
      <c r="AM1" s="868"/>
      <c r="AN1" s="868"/>
      <c r="AO1" s="868"/>
      <c r="AP1" s="868"/>
      <c r="AQ1" s="868"/>
      <c r="AR1" s="869"/>
      <c r="AS1" s="830" t="s">
        <v>101</v>
      </c>
      <c r="AT1" s="830"/>
      <c r="AU1" s="830"/>
      <c r="AV1" s="830"/>
      <c r="AW1" s="830"/>
      <c r="AX1" s="830"/>
      <c r="AY1" s="830"/>
      <c r="AZ1" s="831" t="s">
        <v>124</v>
      </c>
      <c r="BA1" s="832"/>
      <c r="BB1" s="832"/>
      <c r="BC1" s="832"/>
      <c r="BD1" s="832"/>
      <c r="BE1" s="833"/>
      <c r="BF1" s="831" t="s">
        <v>149</v>
      </c>
      <c r="BG1" s="832"/>
      <c r="BH1" s="832"/>
      <c r="BI1" s="832"/>
      <c r="BJ1" s="832"/>
      <c r="BK1" s="834"/>
    </row>
    <row r="2" spans="1:88" s="4" customFormat="1" ht="15.75" customHeight="1">
      <c r="A2" s="824"/>
      <c r="B2" s="825"/>
      <c r="C2" s="825"/>
      <c r="D2" s="825"/>
      <c r="E2" s="825"/>
      <c r="F2" s="825"/>
      <c r="G2" s="825"/>
      <c r="H2" s="825"/>
      <c r="I2" s="825"/>
      <c r="J2" s="826"/>
      <c r="K2" s="835" t="str">
        <f>表紙!O64</f>
        <v>アドオン設計書</v>
      </c>
      <c r="L2" s="836"/>
      <c r="M2" s="836"/>
      <c r="N2" s="836"/>
      <c r="O2" s="836"/>
      <c r="P2" s="836"/>
      <c r="Q2" s="836"/>
      <c r="R2" s="836"/>
      <c r="S2" s="836"/>
      <c r="T2" s="837"/>
      <c r="U2" s="838" t="s">
        <v>150</v>
      </c>
      <c r="V2" s="839"/>
      <c r="W2" s="839"/>
      <c r="X2" s="839"/>
      <c r="Y2" s="840"/>
      <c r="Z2" s="841" t="str">
        <f>表紙!$AJ$64</f>
        <v>MSBB</v>
      </c>
      <c r="AA2" s="842"/>
      <c r="AB2" s="842"/>
      <c r="AC2" s="842"/>
      <c r="AD2" s="843"/>
      <c r="AE2" s="844" t="s">
        <v>141</v>
      </c>
      <c r="AF2" s="845"/>
      <c r="AG2" s="845"/>
      <c r="AH2" s="845"/>
      <c r="AI2" s="846"/>
      <c r="AJ2" s="847" t="str">
        <f>表紙!$AX$64</f>
        <v>販売Webシステム</v>
      </c>
      <c r="AK2" s="848"/>
      <c r="AL2" s="848"/>
      <c r="AM2" s="848"/>
      <c r="AN2" s="848"/>
      <c r="AO2" s="848"/>
      <c r="AP2" s="848"/>
      <c r="AQ2" s="848"/>
      <c r="AR2" s="849"/>
      <c r="AS2" s="850" t="str">
        <f>表紙!$BL$64</f>
        <v>M7-US-1140</v>
      </c>
      <c r="AT2" s="851"/>
      <c r="AU2" s="851"/>
      <c r="AV2" s="851"/>
      <c r="AW2" s="851"/>
      <c r="AX2" s="851"/>
      <c r="AY2" s="851"/>
      <c r="AZ2" s="853" t="str">
        <f>表紙!$BU$64</f>
        <v>7.0.2</v>
      </c>
      <c r="BA2" s="836"/>
      <c r="BB2" s="836"/>
      <c r="BC2" s="836"/>
      <c r="BD2" s="836"/>
      <c r="BE2" s="837"/>
      <c r="BF2" s="870">
        <f>表紙!$CB$64</f>
        <v>2</v>
      </c>
      <c r="BG2" s="836"/>
      <c r="BH2" s="836"/>
      <c r="BI2" s="836"/>
      <c r="BJ2" s="836"/>
      <c r="BK2" s="871"/>
    </row>
    <row r="3" spans="1:88" s="4" customFormat="1" ht="15.75" customHeight="1" thickBot="1">
      <c r="A3" s="827"/>
      <c r="B3" s="828"/>
      <c r="C3" s="828"/>
      <c r="D3" s="828"/>
      <c r="E3" s="828"/>
      <c r="F3" s="828"/>
      <c r="G3" s="828"/>
      <c r="H3" s="828"/>
      <c r="I3" s="828"/>
      <c r="J3" s="829"/>
      <c r="K3" s="873" t="str">
        <f ca="1">RIGHT(CELL("filename",$A$1),LEN(CELL("filename",$A$1))-FIND("]",CELL("filename",$A$1)))</f>
        <v>項目説明</v>
      </c>
      <c r="L3" s="874"/>
      <c r="M3" s="874"/>
      <c r="N3" s="874"/>
      <c r="O3" s="874"/>
      <c r="P3" s="874"/>
      <c r="Q3" s="874"/>
      <c r="R3" s="874"/>
      <c r="S3" s="874"/>
      <c r="T3" s="875"/>
      <c r="U3" s="810" t="s">
        <v>146</v>
      </c>
      <c r="V3" s="811"/>
      <c r="W3" s="811"/>
      <c r="X3" s="811"/>
      <c r="Y3" s="812"/>
      <c r="Z3" s="813" t="str">
        <f>表紙!$AJ$65</f>
        <v>MSBBPA120</v>
      </c>
      <c r="AA3" s="814"/>
      <c r="AB3" s="814"/>
      <c r="AC3" s="814"/>
      <c r="AD3" s="814"/>
      <c r="AE3" s="815" t="str">
        <f>表紙!$AQ$65</f>
        <v>Web取引先マスタ一覧照会</v>
      </c>
      <c r="AF3" s="816"/>
      <c r="AG3" s="816"/>
      <c r="AH3" s="816"/>
      <c r="AI3" s="816"/>
      <c r="AJ3" s="816"/>
      <c r="AK3" s="816"/>
      <c r="AL3" s="816"/>
      <c r="AM3" s="816"/>
      <c r="AN3" s="816"/>
      <c r="AO3" s="816"/>
      <c r="AP3" s="816"/>
      <c r="AQ3" s="816"/>
      <c r="AR3" s="817"/>
      <c r="AS3" s="852"/>
      <c r="AT3" s="852"/>
      <c r="AU3" s="852"/>
      <c r="AV3" s="852"/>
      <c r="AW3" s="852"/>
      <c r="AX3" s="852"/>
      <c r="AY3" s="852"/>
      <c r="AZ3" s="854"/>
      <c r="BA3" s="855"/>
      <c r="BB3" s="855"/>
      <c r="BC3" s="855"/>
      <c r="BD3" s="855"/>
      <c r="BE3" s="856"/>
      <c r="BF3" s="854"/>
      <c r="BG3" s="855"/>
      <c r="BH3" s="855"/>
      <c r="BI3" s="855"/>
      <c r="BJ3" s="855"/>
      <c r="BK3" s="872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" customFormat="1" ht="15.75" customHeight="1" thickBot="1">
      <c r="A5" s="213" t="s">
        <v>309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5"/>
    </row>
    <row r="6" spans="1:88" s="7" customFormat="1" ht="14.25">
      <c r="A6" s="30"/>
      <c r="B6" s="31" t="s">
        <v>310</v>
      </c>
      <c r="C6" s="32"/>
      <c r="D6" s="32"/>
      <c r="E6" s="32"/>
      <c r="F6" s="32"/>
      <c r="G6" s="32"/>
      <c r="H6" s="32"/>
      <c r="I6" s="32"/>
      <c r="J6" s="32"/>
      <c r="K6" s="32"/>
      <c r="L6" s="33"/>
      <c r="M6" s="32"/>
      <c r="N6" s="34" t="s">
        <v>311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5" t="s">
        <v>312</v>
      </c>
      <c r="BF6" s="35" t="s">
        <v>313</v>
      </c>
      <c r="BG6" s="35" t="s">
        <v>314</v>
      </c>
      <c r="BH6" s="35" t="s">
        <v>315</v>
      </c>
      <c r="BI6" s="35" t="s">
        <v>316</v>
      </c>
      <c r="BJ6" s="35" t="s">
        <v>317</v>
      </c>
      <c r="BK6" s="36" t="s">
        <v>318</v>
      </c>
      <c r="BM6" s="880"/>
      <c r="BN6" s="880"/>
      <c r="BO6" s="880"/>
      <c r="BP6" s="880"/>
      <c r="BQ6" s="880"/>
      <c r="BR6" s="880"/>
      <c r="BS6" s="880"/>
      <c r="BT6" s="880"/>
      <c r="BU6" s="880"/>
      <c r="BV6" s="880"/>
      <c r="BW6" s="880"/>
      <c r="BX6" s="880"/>
      <c r="BY6" s="880"/>
      <c r="BZ6" s="880"/>
      <c r="CA6" s="880"/>
      <c r="CB6" s="880"/>
      <c r="CC6" s="880"/>
      <c r="CD6" s="880"/>
      <c r="CE6" s="880"/>
      <c r="CF6" s="880"/>
      <c r="CG6" s="880"/>
      <c r="CH6" s="880"/>
      <c r="CI6" s="880"/>
      <c r="CJ6" s="880"/>
    </row>
    <row r="7" spans="1:88" ht="15.75" customHeight="1">
      <c r="A7" s="51" t="s">
        <v>319</v>
      </c>
      <c r="B7" s="37" t="s">
        <v>263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  <c r="M7" s="300" t="s">
        <v>320</v>
      </c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301"/>
      <c r="AI7" s="301"/>
      <c r="AJ7" s="301"/>
      <c r="AK7" s="301"/>
      <c r="AL7" s="301"/>
      <c r="AM7" s="301"/>
      <c r="AN7" s="301"/>
      <c r="AO7" s="301"/>
      <c r="AP7" s="301"/>
      <c r="AQ7" s="301"/>
      <c r="AR7" s="301"/>
      <c r="AS7" s="299" t="s">
        <v>321</v>
      </c>
      <c r="AT7" s="301"/>
      <c r="AU7" s="301"/>
      <c r="AV7" s="301"/>
      <c r="AW7" s="301"/>
      <c r="AX7" s="301"/>
      <c r="AY7" s="301"/>
      <c r="AZ7" s="299"/>
      <c r="BA7" s="301"/>
      <c r="BB7" s="301"/>
      <c r="BC7" s="301"/>
      <c r="BD7" s="301"/>
      <c r="BE7" s="38" t="s">
        <v>322</v>
      </c>
      <c r="BF7" s="307" t="s">
        <v>323</v>
      </c>
      <c r="BG7" s="38"/>
      <c r="BH7" s="38"/>
      <c r="BI7" s="38"/>
      <c r="BJ7" s="38"/>
      <c r="BK7" s="39"/>
    </row>
    <row r="8" spans="1:88" ht="15.75" customHeight="1">
      <c r="A8" s="51" t="s">
        <v>319</v>
      </c>
      <c r="B8" s="37" t="s">
        <v>324</v>
      </c>
      <c r="C8" s="216"/>
      <c r="D8" s="216"/>
      <c r="E8" s="216"/>
      <c r="F8" s="216"/>
      <c r="G8" s="216"/>
      <c r="H8" s="216"/>
      <c r="I8" s="216"/>
      <c r="J8" s="216"/>
      <c r="K8" s="216"/>
      <c r="L8" s="217"/>
      <c r="M8" s="221" t="s">
        <v>325</v>
      </c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  <c r="AB8" s="216"/>
      <c r="AC8" s="216"/>
      <c r="AD8" s="216"/>
      <c r="AE8" s="216"/>
      <c r="AF8" s="216"/>
      <c r="AG8" s="216"/>
      <c r="AH8" s="216"/>
      <c r="AI8" s="216"/>
      <c r="AJ8" s="216"/>
      <c r="AK8" s="216"/>
      <c r="AL8" s="216"/>
      <c r="AM8" s="216"/>
      <c r="AN8" s="216"/>
      <c r="AO8" s="216"/>
      <c r="AP8" s="216"/>
      <c r="AQ8" s="216"/>
      <c r="AR8" s="216"/>
      <c r="AS8" s="299" t="s">
        <v>321</v>
      </c>
      <c r="AT8" s="216"/>
      <c r="AU8" s="216"/>
      <c r="AV8" s="216"/>
      <c r="AW8" s="216"/>
      <c r="AX8" s="216"/>
      <c r="AY8" s="216"/>
      <c r="AZ8" s="299"/>
      <c r="BA8" s="216"/>
      <c r="BB8" s="216"/>
      <c r="BC8" s="216"/>
      <c r="BD8" s="217"/>
      <c r="BE8" s="38" t="s">
        <v>322</v>
      </c>
      <c r="BF8" s="307" t="s">
        <v>323</v>
      </c>
      <c r="BG8" s="49"/>
      <c r="BH8" s="53"/>
      <c r="BI8" s="49"/>
      <c r="BJ8" s="49"/>
      <c r="BK8" s="50"/>
    </row>
    <row r="9" spans="1:88" ht="15.75" customHeight="1">
      <c r="A9" s="51" t="s">
        <v>319</v>
      </c>
      <c r="B9" s="37" t="s">
        <v>326</v>
      </c>
      <c r="C9" s="218"/>
      <c r="D9" s="218"/>
      <c r="E9" s="218"/>
      <c r="F9" s="218"/>
      <c r="G9" s="218"/>
      <c r="H9" s="218"/>
      <c r="I9" s="218"/>
      <c r="J9" s="218"/>
      <c r="K9" s="218"/>
      <c r="L9" s="219"/>
      <c r="M9" s="221" t="s">
        <v>327</v>
      </c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6"/>
      <c r="AS9" s="299" t="s">
        <v>321</v>
      </c>
      <c r="AT9" s="216"/>
      <c r="AU9" s="216"/>
      <c r="AV9" s="216"/>
      <c r="AW9" s="216"/>
      <c r="AX9" s="216"/>
      <c r="AY9" s="216"/>
      <c r="AZ9" s="299"/>
      <c r="BA9" s="216"/>
      <c r="BB9" s="216"/>
      <c r="BC9" s="216"/>
      <c r="BD9" s="217"/>
      <c r="BE9" s="38" t="s">
        <v>322</v>
      </c>
      <c r="BF9" s="307" t="s">
        <v>323</v>
      </c>
      <c r="BG9" s="38"/>
      <c r="BH9" s="38"/>
      <c r="BI9" s="38"/>
      <c r="BJ9" s="38"/>
      <c r="BK9" s="39"/>
    </row>
    <row r="10" spans="1:88" ht="15.75" customHeight="1">
      <c r="A10" s="51" t="s">
        <v>319</v>
      </c>
      <c r="B10" s="41" t="s">
        <v>328</v>
      </c>
      <c r="C10" s="216"/>
      <c r="D10" s="216"/>
      <c r="E10" s="216"/>
      <c r="F10" s="216"/>
      <c r="G10" s="216"/>
      <c r="H10" s="216"/>
      <c r="I10" s="216"/>
      <c r="J10" s="216"/>
      <c r="K10" s="216"/>
      <c r="L10" s="217"/>
      <c r="M10" s="221" t="s">
        <v>329</v>
      </c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6"/>
      <c r="AS10" s="299" t="s">
        <v>321</v>
      </c>
      <c r="AT10" s="216"/>
      <c r="AU10" s="216"/>
      <c r="AV10" s="216"/>
      <c r="AW10" s="216"/>
      <c r="AX10" s="216"/>
      <c r="AY10" s="216"/>
      <c r="AZ10" s="299"/>
      <c r="BA10" s="216"/>
      <c r="BB10" s="216"/>
      <c r="BC10" s="216"/>
      <c r="BD10" s="217"/>
      <c r="BE10" s="38" t="s">
        <v>322</v>
      </c>
      <c r="BF10" s="307" t="s">
        <v>323</v>
      </c>
      <c r="BG10" s="49"/>
      <c r="BH10" s="53"/>
      <c r="BI10" s="53"/>
      <c r="BJ10" s="49"/>
      <c r="BK10" s="50"/>
    </row>
    <row r="11" spans="1:88" ht="15.75" customHeight="1">
      <c r="A11" s="51" t="s">
        <v>319</v>
      </c>
      <c r="B11" s="52" t="s">
        <v>330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9"/>
      <c r="M11" s="221" t="s">
        <v>331</v>
      </c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  <c r="AK11" s="216"/>
      <c r="AL11" s="216"/>
      <c r="AM11" s="216"/>
      <c r="AN11" s="216"/>
      <c r="AO11" s="216"/>
      <c r="AP11" s="216"/>
      <c r="AQ11" s="216"/>
      <c r="AR11" s="216"/>
      <c r="AS11" s="299" t="s">
        <v>321</v>
      </c>
      <c r="AT11" s="216"/>
      <c r="AU11" s="216"/>
      <c r="AV11" s="216"/>
      <c r="AW11" s="216"/>
      <c r="AX11" s="216"/>
      <c r="AY11" s="216"/>
      <c r="AZ11" s="299"/>
      <c r="BA11" s="216"/>
      <c r="BB11" s="216"/>
      <c r="BC11" s="216"/>
      <c r="BD11" s="217"/>
      <c r="BE11" s="38" t="s">
        <v>322</v>
      </c>
      <c r="BF11" s="307" t="s">
        <v>323</v>
      </c>
      <c r="BG11" s="38"/>
      <c r="BH11" s="38"/>
      <c r="BI11" s="38"/>
      <c r="BJ11" s="38"/>
      <c r="BK11" s="39"/>
    </row>
    <row r="12" spans="1:88" ht="15.75" customHeight="1">
      <c r="A12" s="51" t="s">
        <v>319</v>
      </c>
      <c r="B12" s="52" t="s">
        <v>332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7"/>
      <c r="M12" s="221" t="s">
        <v>333</v>
      </c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  <c r="AF12" s="216"/>
      <c r="AG12" s="216"/>
      <c r="AH12" s="216"/>
      <c r="AI12" s="216"/>
      <c r="AJ12" s="216"/>
      <c r="AK12" s="216"/>
      <c r="AL12" s="216"/>
      <c r="AM12" s="216"/>
      <c r="AN12" s="216"/>
      <c r="AO12" s="216"/>
      <c r="AP12" s="216"/>
      <c r="AQ12" s="216"/>
      <c r="AR12" s="216"/>
      <c r="AS12" s="299" t="s">
        <v>321</v>
      </c>
      <c r="AT12" s="216"/>
      <c r="AU12" s="216"/>
      <c r="AV12" s="216"/>
      <c r="AW12" s="216"/>
      <c r="AX12" s="216"/>
      <c r="AY12" s="216"/>
      <c r="AZ12" s="299"/>
      <c r="BA12" s="216"/>
      <c r="BB12" s="216"/>
      <c r="BC12" s="216"/>
      <c r="BD12" s="217"/>
      <c r="BE12" s="38" t="s">
        <v>322</v>
      </c>
      <c r="BF12" s="307" t="s">
        <v>323</v>
      </c>
      <c r="BG12" s="49"/>
      <c r="BH12" s="53"/>
      <c r="BI12" s="53"/>
      <c r="BJ12" s="49"/>
      <c r="BK12" s="50"/>
    </row>
    <row r="13" spans="1:88" ht="15.75" customHeight="1">
      <c r="A13" s="51" t="s">
        <v>319</v>
      </c>
      <c r="B13" s="52" t="s">
        <v>334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9"/>
      <c r="M13" s="221" t="s">
        <v>335</v>
      </c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  <c r="AG13" s="216"/>
      <c r="AH13" s="216"/>
      <c r="AI13" s="216"/>
      <c r="AJ13" s="216"/>
      <c r="AK13" s="216"/>
      <c r="AL13" s="216"/>
      <c r="AM13" s="216"/>
      <c r="AN13" s="216"/>
      <c r="AO13" s="216"/>
      <c r="AP13" s="216"/>
      <c r="AQ13" s="216"/>
      <c r="AR13" s="216"/>
      <c r="AS13" s="299" t="s">
        <v>321</v>
      </c>
      <c r="AT13" s="216"/>
      <c r="AU13" s="216"/>
      <c r="AV13" s="216"/>
      <c r="AW13" s="216"/>
      <c r="AX13" s="216"/>
      <c r="AY13" s="216"/>
      <c r="AZ13" s="299"/>
      <c r="BA13" s="216"/>
      <c r="BB13" s="216"/>
      <c r="BC13" s="216"/>
      <c r="BD13" s="217"/>
      <c r="BE13" s="38" t="s">
        <v>322</v>
      </c>
      <c r="BF13" s="307" t="s">
        <v>323</v>
      </c>
      <c r="BG13" s="38"/>
      <c r="BH13" s="38"/>
      <c r="BI13" s="38"/>
      <c r="BJ13" s="38"/>
      <c r="BK13" s="39"/>
    </row>
    <row r="14" spans="1:88" ht="15.75" customHeight="1">
      <c r="A14" s="51" t="s">
        <v>319</v>
      </c>
      <c r="B14" s="52" t="s">
        <v>336</v>
      </c>
      <c r="C14" s="216"/>
      <c r="D14" s="216"/>
      <c r="E14" s="216"/>
      <c r="F14" s="216"/>
      <c r="G14" s="216"/>
      <c r="H14" s="216"/>
      <c r="I14" s="216"/>
      <c r="J14" s="216"/>
      <c r="K14" s="216"/>
      <c r="L14" s="217"/>
      <c r="M14" s="221" t="s">
        <v>337</v>
      </c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6"/>
      <c r="AS14" s="299" t="s">
        <v>321</v>
      </c>
      <c r="AT14" s="216"/>
      <c r="AU14" s="216"/>
      <c r="AV14" s="216"/>
      <c r="AW14" s="216"/>
      <c r="AX14" s="216"/>
      <c r="AY14" s="216"/>
      <c r="AZ14" s="299"/>
      <c r="BA14" s="216"/>
      <c r="BB14" s="216"/>
      <c r="BC14" s="216"/>
      <c r="BD14" s="217"/>
      <c r="BE14" s="38" t="s">
        <v>322</v>
      </c>
      <c r="BF14" s="307" t="s">
        <v>323</v>
      </c>
      <c r="BG14" s="49"/>
      <c r="BH14" s="53"/>
      <c r="BI14" s="49"/>
      <c r="BJ14" s="49"/>
      <c r="BK14" s="50"/>
    </row>
    <row r="15" spans="1:88" ht="15.75" customHeight="1">
      <c r="A15" s="51" t="s">
        <v>319</v>
      </c>
      <c r="B15" s="52" t="s">
        <v>338</v>
      </c>
      <c r="C15" s="216"/>
      <c r="D15" s="216"/>
      <c r="E15" s="216"/>
      <c r="F15" s="216"/>
      <c r="G15" s="216"/>
      <c r="H15" s="216"/>
      <c r="I15" s="216"/>
      <c r="J15" s="216"/>
      <c r="K15" s="216"/>
      <c r="L15" s="217"/>
      <c r="M15" s="302" t="s">
        <v>339</v>
      </c>
      <c r="N15" s="303"/>
      <c r="O15" s="303"/>
      <c r="P15" s="303"/>
      <c r="Q15" s="303"/>
      <c r="R15" s="303"/>
      <c r="S15" s="303"/>
      <c r="T15" s="303"/>
      <c r="U15" s="303"/>
      <c r="V15" s="303"/>
      <c r="W15" s="303"/>
      <c r="X15" s="303"/>
      <c r="Y15" s="303"/>
      <c r="Z15" s="303"/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299" t="s">
        <v>321</v>
      </c>
      <c r="AT15" s="303"/>
      <c r="AU15" s="303"/>
      <c r="AV15" s="303"/>
      <c r="AW15" s="303"/>
      <c r="AX15" s="303"/>
      <c r="AY15" s="303"/>
      <c r="AZ15" s="299"/>
      <c r="BA15" s="303"/>
      <c r="BB15" s="303"/>
      <c r="BC15" s="303"/>
      <c r="BD15" s="303"/>
      <c r="BE15" s="38" t="s">
        <v>322</v>
      </c>
      <c r="BF15" s="307" t="s">
        <v>323</v>
      </c>
      <c r="BG15" s="49"/>
      <c r="BH15" s="53"/>
      <c r="BI15" s="53"/>
      <c r="BJ15" s="49"/>
      <c r="BK15" s="50"/>
    </row>
    <row r="16" spans="1:88" ht="15.75" customHeight="1">
      <c r="A16" s="51" t="s">
        <v>319</v>
      </c>
      <c r="B16" s="52" t="s">
        <v>340</v>
      </c>
      <c r="C16" s="216"/>
      <c r="D16" s="216"/>
      <c r="E16" s="216"/>
      <c r="F16" s="216"/>
      <c r="G16" s="216"/>
      <c r="H16" s="216"/>
      <c r="I16" s="216"/>
      <c r="J16" s="216"/>
      <c r="K16" s="216"/>
      <c r="L16" s="217"/>
      <c r="M16" s="216" t="s">
        <v>341</v>
      </c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299" t="s">
        <v>321</v>
      </c>
      <c r="AT16" s="303"/>
      <c r="AU16" s="303"/>
      <c r="AV16" s="303"/>
      <c r="AW16" s="303"/>
      <c r="AX16" s="303"/>
      <c r="AY16" s="303"/>
      <c r="AZ16" s="299"/>
      <c r="BA16" s="303"/>
      <c r="BB16" s="303"/>
      <c r="BC16" s="303"/>
      <c r="BD16" s="303"/>
      <c r="BE16" s="38" t="s">
        <v>322</v>
      </c>
      <c r="BF16" s="307" t="s">
        <v>323</v>
      </c>
      <c r="BG16" s="49"/>
      <c r="BH16" s="53"/>
      <c r="BI16" s="49"/>
      <c r="BJ16" s="49"/>
      <c r="BK16" s="50"/>
    </row>
    <row r="17" spans="1:65" ht="15.75" customHeight="1">
      <c r="A17" s="51" t="s">
        <v>319</v>
      </c>
      <c r="B17" s="52" t="s">
        <v>342</v>
      </c>
      <c r="C17" s="216"/>
      <c r="D17" s="216"/>
      <c r="E17" s="216"/>
      <c r="F17" s="216"/>
      <c r="G17" s="216"/>
      <c r="H17" s="216"/>
      <c r="I17" s="216"/>
      <c r="J17" s="216"/>
      <c r="K17" s="216"/>
      <c r="L17" s="217"/>
      <c r="M17" s="300" t="s">
        <v>343</v>
      </c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  <c r="AL17" s="301"/>
      <c r="AM17" s="301"/>
      <c r="AN17" s="301"/>
      <c r="AO17" s="301"/>
      <c r="AP17" s="301"/>
      <c r="AQ17" s="301"/>
      <c r="AR17" s="301"/>
      <c r="AS17" s="299" t="s">
        <v>321</v>
      </c>
      <c r="AT17" s="301"/>
      <c r="AU17" s="301"/>
      <c r="AV17" s="301"/>
      <c r="AW17" s="301"/>
      <c r="AX17" s="301"/>
      <c r="AY17" s="301"/>
      <c r="AZ17" s="299"/>
      <c r="BA17" s="301"/>
      <c r="BB17" s="301"/>
      <c r="BC17" s="301"/>
      <c r="BD17" s="301"/>
      <c r="BE17" s="38" t="s">
        <v>322</v>
      </c>
      <c r="BF17" s="307" t="s">
        <v>323</v>
      </c>
      <c r="BG17" s="49"/>
      <c r="BH17" s="53"/>
      <c r="BI17" s="49"/>
      <c r="BJ17" s="49"/>
      <c r="BK17" s="50"/>
    </row>
    <row r="18" spans="1:65" ht="15.75" customHeight="1">
      <c r="A18" s="51" t="s">
        <v>319</v>
      </c>
      <c r="B18" s="52" t="s">
        <v>344</v>
      </c>
      <c r="C18" s="216"/>
      <c r="D18" s="216"/>
      <c r="E18" s="216"/>
      <c r="F18" s="216"/>
      <c r="G18" s="216"/>
      <c r="H18" s="216"/>
      <c r="I18" s="216"/>
      <c r="J18" s="216"/>
      <c r="K18" s="216"/>
      <c r="L18" s="217"/>
      <c r="M18" s="216" t="s">
        <v>345</v>
      </c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99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53" t="s">
        <v>346</v>
      </c>
      <c r="BF18" s="53" t="s">
        <v>347</v>
      </c>
      <c r="BG18" s="49"/>
      <c r="BH18" s="53"/>
      <c r="BI18" s="53"/>
      <c r="BJ18" s="49"/>
      <c r="BK18" s="50"/>
    </row>
    <row r="19" spans="1:65" ht="15.75" customHeight="1">
      <c r="A19" s="51" t="s">
        <v>319</v>
      </c>
      <c r="B19" s="52" t="s">
        <v>348</v>
      </c>
      <c r="C19" s="216"/>
      <c r="D19" s="216"/>
      <c r="E19" s="216"/>
      <c r="F19" s="216"/>
      <c r="G19" s="216"/>
      <c r="H19" s="216"/>
      <c r="I19" s="216"/>
      <c r="J19" s="216"/>
      <c r="K19" s="216"/>
      <c r="L19" s="217"/>
      <c r="M19" s="216" t="s">
        <v>349</v>
      </c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99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53" t="s">
        <v>346</v>
      </c>
      <c r="BF19" s="53" t="s">
        <v>347</v>
      </c>
      <c r="BG19" s="49"/>
      <c r="BH19" s="53"/>
      <c r="BI19" s="53"/>
      <c r="BJ19" s="49"/>
      <c r="BK19" s="50"/>
    </row>
    <row r="20" spans="1:65" ht="15.75" customHeight="1">
      <c r="A20" s="51" t="s">
        <v>319</v>
      </c>
      <c r="B20" s="52" t="s">
        <v>350</v>
      </c>
      <c r="C20" s="216"/>
      <c r="D20" s="216"/>
      <c r="E20" s="216"/>
      <c r="F20" s="216"/>
      <c r="G20" s="216"/>
      <c r="H20" s="216"/>
      <c r="I20" s="216"/>
      <c r="J20" s="216"/>
      <c r="K20" s="216"/>
      <c r="L20" s="217"/>
      <c r="M20" s="216" t="s">
        <v>351</v>
      </c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99" t="s">
        <v>352</v>
      </c>
      <c r="BA20" s="220"/>
      <c r="BB20" s="220"/>
      <c r="BC20" s="220"/>
      <c r="BD20" s="220"/>
      <c r="BE20" s="53" t="s">
        <v>353</v>
      </c>
      <c r="BF20" s="53" t="s">
        <v>354</v>
      </c>
      <c r="BG20" s="49"/>
      <c r="BH20" s="53"/>
      <c r="BI20" s="53"/>
      <c r="BJ20" s="49"/>
      <c r="BK20" s="50"/>
    </row>
    <row r="21" spans="1:65" ht="15.75" customHeight="1">
      <c r="A21" s="51" t="s">
        <v>319</v>
      </c>
      <c r="B21" s="37" t="s">
        <v>355</v>
      </c>
      <c r="C21" s="216"/>
      <c r="D21" s="216"/>
      <c r="E21" s="216"/>
      <c r="F21" s="216"/>
      <c r="G21" s="216"/>
      <c r="H21" s="216"/>
      <c r="I21" s="216"/>
      <c r="J21" s="216"/>
      <c r="K21" s="216"/>
      <c r="L21" s="217"/>
      <c r="M21" s="216" t="s">
        <v>356</v>
      </c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99" t="s">
        <v>352</v>
      </c>
      <c r="BA21" s="220"/>
      <c r="BB21" s="220"/>
      <c r="BC21" s="220"/>
      <c r="BD21" s="220"/>
      <c r="BE21" s="53" t="s">
        <v>353</v>
      </c>
      <c r="BF21" s="53" t="s">
        <v>354</v>
      </c>
      <c r="BG21" s="49"/>
      <c r="BH21" s="53"/>
      <c r="BI21" s="53"/>
      <c r="BJ21" s="49"/>
      <c r="BK21" s="50"/>
    </row>
    <row r="22" spans="1:65" ht="15.75" customHeight="1">
      <c r="A22" s="51" t="s">
        <v>319</v>
      </c>
      <c r="B22" s="37" t="s">
        <v>357</v>
      </c>
      <c r="C22" s="216"/>
      <c r="D22" s="216"/>
      <c r="E22" s="216"/>
      <c r="F22" s="216"/>
      <c r="G22" s="216"/>
      <c r="H22" s="216"/>
      <c r="I22" s="216"/>
      <c r="J22" s="216"/>
      <c r="K22" s="216"/>
      <c r="L22" s="217"/>
      <c r="M22" s="216" t="s">
        <v>358</v>
      </c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99" t="s">
        <v>352</v>
      </c>
      <c r="BA22" s="220"/>
      <c r="BB22" s="220"/>
      <c r="BC22" s="220"/>
      <c r="BD22" s="220"/>
      <c r="BE22" s="53" t="s">
        <v>353</v>
      </c>
      <c r="BF22" s="53" t="s">
        <v>354</v>
      </c>
      <c r="BG22" s="49"/>
      <c r="BH22" s="53"/>
      <c r="BI22" s="53"/>
      <c r="BJ22" s="49"/>
      <c r="BK22" s="50"/>
      <c r="BM22" s="410" t="s">
        <v>359</v>
      </c>
    </row>
    <row r="23" spans="1:65" ht="15.75" customHeight="1">
      <c r="A23" s="51" t="s">
        <v>319</v>
      </c>
      <c r="B23" s="37" t="s">
        <v>226</v>
      </c>
      <c r="C23" s="216"/>
      <c r="D23" s="216"/>
      <c r="E23" s="216"/>
      <c r="F23" s="216"/>
      <c r="G23" s="216"/>
      <c r="H23" s="216"/>
      <c r="I23" s="216"/>
      <c r="J23" s="216"/>
      <c r="K23" s="216"/>
      <c r="L23" s="217"/>
      <c r="M23" s="216" t="s">
        <v>360</v>
      </c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 t="s">
        <v>361</v>
      </c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99"/>
      <c r="BA23" s="220"/>
      <c r="BB23" s="220"/>
      <c r="BC23" s="220"/>
      <c r="BD23" s="220"/>
      <c r="BE23" s="53" t="s">
        <v>362</v>
      </c>
      <c r="BF23" s="53" t="s">
        <v>354</v>
      </c>
      <c r="BG23" s="49"/>
      <c r="BH23" s="53"/>
      <c r="BI23" s="53"/>
      <c r="BJ23" s="49"/>
      <c r="BK23" s="50"/>
      <c r="BM23" s="411" t="s">
        <v>231</v>
      </c>
    </row>
    <row r="24" spans="1:65" ht="15.75" customHeight="1">
      <c r="A24" s="51" t="s">
        <v>319</v>
      </c>
      <c r="B24" s="41" t="s">
        <v>363</v>
      </c>
      <c r="C24" s="216"/>
      <c r="D24" s="216"/>
      <c r="E24" s="216"/>
      <c r="F24" s="216"/>
      <c r="G24" s="216"/>
      <c r="H24" s="216"/>
      <c r="I24" s="216"/>
      <c r="J24" s="216"/>
      <c r="K24" s="216"/>
      <c r="L24" s="217"/>
      <c r="M24" s="216" t="s">
        <v>364</v>
      </c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99" t="s">
        <v>352</v>
      </c>
      <c r="BA24" s="220"/>
      <c r="BB24" s="220"/>
      <c r="BC24" s="220"/>
      <c r="BD24" s="220"/>
      <c r="BE24" s="53" t="s">
        <v>353</v>
      </c>
      <c r="BF24" s="53" t="s">
        <v>354</v>
      </c>
      <c r="BG24" s="49"/>
      <c r="BH24" s="53"/>
      <c r="BI24" s="53"/>
      <c r="BJ24" s="49"/>
      <c r="BK24" s="50"/>
    </row>
    <row r="25" spans="1:65" ht="15.75" customHeight="1">
      <c r="A25" s="51" t="s">
        <v>319</v>
      </c>
      <c r="B25" s="52" t="s">
        <v>365</v>
      </c>
      <c r="C25" s="216"/>
      <c r="D25" s="216"/>
      <c r="E25" s="216"/>
      <c r="F25" s="216"/>
      <c r="G25" s="216"/>
      <c r="H25" s="216"/>
      <c r="I25" s="216"/>
      <c r="J25" s="216"/>
      <c r="K25" s="216"/>
      <c r="L25" s="217"/>
      <c r="M25" s="216" t="s">
        <v>366</v>
      </c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99" t="s">
        <v>352</v>
      </c>
      <c r="BA25" s="220"/>
      <c r="BB25" s="220"/>
      <c r="BC25" s="220"/>
      <c r="BD25" s="220"/>
      <c r="BE25" s="53" t="s">
        <v>353</v>
      </c>
      <c r="BF25" s="53" t="s">
        <v>354</v>
      </c>
      <c r="BG25" s="49"/>
      <c r="BH25" s="53"/>
      <c r="BI25" s="53"/>
      <c r="BJ25" s="49"/>
      <c r="BK25" s="50"/>
    </row>
    <row r="26" spans="1:65" ht="15.75" customHeight="1">
      <c r="A26" s="51" t="s">
        <v>319</v>
      </c>
      <c r="B26" s="41" t="s">
        <v>367</v>
      </c>
      <c r="C26" s="216"/>
      <c r="D26" s="216"/>
      <c r="E26" s="216"/>
      <c r="F26" s="216"/>
      <c r="G26" s="216"/>
      <c r="H26" s="216"/>
      <c r="I26" s="216"/>
      <c r="J26" s="216"/>
      <c r="K26" s="216"/>
      <c r="L26" s="217"/>
      <c r="M26" s="216" t="s">
        <v>368</v>
      </c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99" t="s">
        <v>352</v>
      </c>
      <c r="BA26" s="220"/>
      <c r="BB26" s="220"/>
      <c r="BC26" s="220"/>
      <c r="BD26" s="220"/>
      <c r="BE26" s="53" t="s">
        <v>353</v>
      </c>
      <c r="BF26" s="53" t="s">
        <v>354</v>
      </c>
      <c r="BG26" s="49"/>
      <c r="BH26" s="53"/>
      <c r="BI26" s="53"/>
      <c r="BJ26" s="49"/>
      <c r="BK26" s="50"/>
    </row>
    <row r="27" spans="1:65" ht="15.75" customHeight="1">
      <c r="A27" s="51" t="s">
        <v>319</v>
      </c>
      <c r="B27" s="41" t="s">
        <v>369</v>
      </c>
      <c r="C27" s="216"/>
      <c r="D27" s="216"/>
      <c r="E27" s="216"/>
      <c r="F27" s="216"/>
      <c r="G27" s="216"/>
      <c r="H27" s="216"/>
      <c r="I27" s="216"/>
      <c r="J27" s="216"/>
      <c r="K27" s="216"/>
      <c r="L27" s="217"/>
      <c r="M27" s="216" t="s">
        <v>370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99" t="s">
        <v>352</v>
      </c>
      <c r="BA27" s="220"/>
      <c r="BB27" s="220"/>
      <c r="BC27" s="220"/>
      <c r="BD27" s="220"/>
      <c r="BE27" s="53" t="s">
        <v>353</v>
      </c>
      <c r="BF27" s="53" t="s">
        <v>354</v>
      </c>
      <c r="BG27" s="49"/>
      <c r="BH27" s="53"/>
      <c r="BI27" s="53"/>
      <c r="BJ27" s="49"/>
      <c r="BK27" s="50"/>
    </row>
    <row r="28" spans="1:65" ht="15.75" customHeight="1">
      <c r="A28" s="51" t="s">
        <v>319</v>
      </c>
      <c r="B28" s="52" t="s">
        <v>371</v>
      </c>
      <c r="C28" s="216"/>
      <c r="D28" s="216"/>
      <c r="E28" s="216"/>
      <c r="F28" s="216"/>
      <c r="G28" s="216"/>
      <c r="H28" s="216"/>
      <c r="I28" s="216"/>
      <c r="J28" s="216"/>
      <c r="K28" s="216"/>
      <c r="L28" s="217"/>
      <c r="M28" s="216" t="s">
        <v>372</v>
      </c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99" t="s">
        <v>352</v>
      </c>
      <c r="BA28" s="220"/>
      <c r="BB28" s="220"/>
      <c r="BC28" s="220"/>
      <c r="BD28" s="220"/>
      <c r="BE28" s="53" t="s">
        <v>353</v>
      </c>
      <c r="BF28" s="53" t="s">
        <v>354</v>
      </c>
      <c r="BG28" s="49"/>
      <c r="BH28" s="53"/>
      <c r="BI28" s="53"/>
      <c r="BJ28" s="49"/>
      <c r="BK28" s="50"/>
    </row>
    <row r="29" spans="1:65" s="2" customFormat="1" ht="15.75" customHeight="1">
      <c r="A29" s="51" t="s">
        <v>319</v>
      </c>
      <c r="B29" s="52" t="s">
        <v>373</v>
      </c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M29" s="216" t="s">
        <v>361</v>
      </c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53" t="s">
        <v>362</v>
      </c>
      <c r="BF29" s="53" t="s">
        <v>354</v>
      </c>
      <c r="BG29" s="49"/>
      <c r="BH29" s="53"/>
      <c r="BI29" s="53"/>
      <c r="BJ29" s="49"/>
      <c r="BK29" s="50"/>
    </row>
    <row r="30" spans="1:65" s="2" customFormat="1" ht="15.75" customHeight="1">
      <c r="A30" s="51" t="s">
        <v>319</v>
      </c>
      <c r="B30" s="52" t="s">
        <v>609</v>
      </c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M30" s="216" t="s">
        <v>375</v>
      </c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53" t="s">
        <v>362</v>
      </c>
      <c r="BF30" s="53" t="s">
        <v>354</v>
      </c>
      <c r="BG30" s="49"/>
      <c r="BH30" s="53"/>
      <c r="BI30" s="53"/>
      <c r="BJ30" s="49"/>
      <c r="BK30" s="50"/>
      <c r="BM30" s="413" t="s">
        <v>619</v>
      </c>
    </row>
    <row r="31" spans="1:65" s="2" customFormat="1" ht="15.75" customHeight="1">
      <c r="A31" s="51"/>
      <c r="B31" s="52" t="s">
        <v>611</v>
      </c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16" t="s">
        <v>616</v>
      </c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53" t="s">
        <v>353</v>
      </c>
      <c r="BF31" s="53" t="s">
        <v>354</v>
      </c>
      <c r="BG31" s="49"/>
      <c r="BH31" s="53"/>
      <c r="BI31" s="53"/>
      <c r="BJ31" s="49"/>
      <c r="BK31" s="50"/>
      <c r="BM31" s="413" t="s">
        <v>619</v>
      </c>
    </row>
    <row r="32" spans="1:65" s="2" customFormat="1" ht="15.75" customHeight="1">
      <c r="A32" s="51" t="s">
        <v>319</v>
      </c>
      <c r="B32" s="52" t="s">
        <v>374</v>
      </c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16" t="s">
        <v>375</v>
      </c>
      <c r="N32" s="303"/>
      <c r="O32" s="303"/>
      <c r="P32" s="303"/>
      <c r="Q32" s="303"/>
      <c r="R32" s="303"/>
      <c r="S32" s="303"/>
      <c r="T32" s="303"/>
      <c r="U32" s="303"/>
      <c r="V32" s="303"/>
      <c r="W32" s="303"/>
      <c r="X32" s="303"/>
      <c r="Y32" s="303"/>
      <c r="Z32" s="303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53" t="s">
        <v>362</v>
      </c>
      <c r="BF32" s="53" t="s">
        <v>354</v>
      </c>
      <c r="BG32" s="49"/>
      <c r="BH32" s="53"/>
      <c r="BI32" s="53"/>
      <c r="BJ32" s="49"/>
      <c r="BK32" s="50" t="s">
        <v>376</v>
      </c>
    </row>
    <row r="33" spans="1:65" s="2" customFormat="1" ht="15.75" customHeight="1">
      <c r="A33" s="51"/>
      <c r="B33" s="52" t="s">
        <v>377</v>
      </c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16" t="s">
        <v>378</v>
      </c>
      <c r="N33" s="303"/>
      <c r="O33" s="303"/>
      <c r="P33" s="303"/>
      <c r="Q33" s="303"/>
      <c r="R33" s="303"/>
      <c r="S33" s="303"/>
      <c r="T33" s="303"/>
      <c r="U33" s="303"/>
      <c r="V33" s="303"/>
      <c r="W33" s="303"/>
      <c r="X33" s="303"/>
      <c r="Y33" s="303"/>
      <c r="Z33" s="303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53" t="s">
        <v>353</v>
      </c>
      <c r="BF33" s="53" t="s">
        <v>354</v>
      </c>
      <c r="BG33" s="49"/>
      <c r="BH33" s="53"/>
      <c r="BI33" s="53"/>
      <c r="BJ33" s="49"/>
      <c r="BK33" s="50"/>
    </row>
    <row r="34" spans="1:65" s="2" customFormat="1" ht="15.75" customHeight="1">
      <c r="A34" s="51" t="s">
        <v>319</v>
      </c>
      <c r="B34" s="52" t="s">
        <v>612</v>
      </c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216" t="s">
        <v>375</v>
      </c>
      <c r="N34" s="303"/>
      <c r="O34" s="303"/>
      <c r="P34" s="303"/>
      <c r="Q34" s="303"/>
      <c r="R34" s="303"/>
      <c r="S34" s="303"/>
      <c r="T34" s="303"/>
      <c r="U34" s="303"/>
      <c r="V34" s="303"/>
      <c r="W34" s="303"/>
      <c r="X34" s="303"/>
      <c r="Y34" s="303"/>
      <c r="Z34" s="303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53" t="s">
        <v>362</v>
      </c>
      <c r="BF34" s="53" t="s">
        <v>354</v>
      </c>
      <c r="BG34" s="49"/>
      <c r="BH34" s="53"/>
      <c r="BI34" s="53"/>
      <c r="BJ34" s="49"/>
      <c r="BK34" s="50"/>
      <c r="BM34" s="413" t="s">
        <v>619</v>
      </c>
    </row>
    <row r="35" spans="1:65" s="2" customFormat="1" ht="15.75" customHeight="1">
      <c r="A35" s="51"/>
      <c r="B35" s="52" t="s">
        <v>614</v>
      </c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305" t="s">
        <v>615</v>
      </c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Y35" s="303"/>
      <c r="Z35" s="303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53" t="s">
        <v>353</v>
      </c>
      <c r="BF35" s="53" t="s">
        <v>354</v>
      </c>
      <c r="BG35" s="49"/>
      <c r="BH35" s="53"/>
      <c r="BI35" s="53"/>
      <c r="BJ35" s="49"/>
      <c r="BK35" s="50"/>
      <c r="BM35" s="413" t="s">
        <v>619</v>
      </c>
    </row>
    <row r="36" spans="1:65" s="2" customFormat="1" ht="15.75" customHeight="1">
      <c r="A36" s="51" t="s">
        <v>319</v>
      </c>
      <c r="B36" s="52" t="s">
        <v>379</v>
      </c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16" t="s">
        <v>375</v>
      </c>
      <c r="N36" s="303"/>
      <c r="O36" s="303"/>
      <c r="P36" s="303"/>
      <c r="Q36" s="303"/>
      <c r="R36" s="303"/>
      <c r="S36" s="303"/>
      <c r="T36" s="303"/>
      <c r="U36" s="303"/>
      <c r="V36" s="303"/>
      <c r="W36" s="303"/>
      <c r="X36" s="303"/>
      <c r="Y36" s="303"/>
      <c r="Z36" s="303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53" t="s">
        <v>362</v>
      </c>
      <c r="BF36" s="53" t="s">
        <v>354</v>
      </c>
      <c r="BG36" s="49"/>
      <c r="BH36" s="53"/>
      <c r="BI36" s="53"/>
      <c r="BJ36" s="49"/>
      <c r="BK36" s="50" t="s">
        <v>376</v>
      </c>
    </row>
    <row r="37" spans="1:65" s="2" customFormat="1" ht="15.75" customHeight="1">
      <c r="A37" s="51"/>
      <c r="B37" s="52" t="s">
        <v>380</v>
      </c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305" t="s">
        <v>381</v>
      </c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303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53" t="s">
        <v>353</v>
      </c>
      <c r="BF37" s="53" t="s">
        <v>354</v>
      </c>
      <c r="BG37" s="49"/>
      <c r="BH37" s="53"/>
      <c r="BI37" s="53"/>
      <c r="BJ37" s="49"/>
      <c r="BK37" s="50"/>
    </row>
    <row r="38" spans="1:65" ht="15.75" customHeight="1">
      <c r="A38" s="267" t="s">
        <v>319</v>
      </c>
      <c r="B38" s="268" t="s">
        <v>237</v>
      </c>
      <c r="C38" s="269"/>
      <c r="D38" s="269"/>
      <c r="E38" s="269"/>
      <c r="F38" s="269"/>
      <c r="G38" s="269"/>
      <c r="H38" s="269"/>
      <c r="I38" s="269"/>
      <c r="J38" s="269"/>
      <c r="K38" s="269"/>
      <c r="L38" s="270"/>
      <c r="M38" s="216" t="s">
        <v>375</v>
      </c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AZ38" s="304"/>
      <c r="BA38" s="304"/>
      <c r="BB38" s="304"/>
      <c r="BC38" s="304"/>
      <c r="BD38" s="304"/>
      <c r="BE38" s="271" t="s">
        <v>362</v>
      </c>
      <c r="BF38" s="272" t="s">
        <v>354</v>
      </c>
      <c r="BG38" s="273"/>
      <c r="BH38" s="272"/>
      <c r="BI38" s="272"/>
      <c r="BJ38" s="273"/>
      <c r="BK38" s="274"/>
    </row>
    <row r="39" spans="1:65" ht="15.75" customHeight="1">
      <c r="A39" s="267"/>
      <c r="B39" s="268" t="s">
        <v>382</v>
      </c>
      <c r="C39" s="269"/>
      <c r="D39" s="269"/>
      <c r="E39" s="269"/>
      <c r="F39" s="269"/>
      <c r="G39" s="269"/>
      <c r="H39" s="269"/>
      <c r="I39" s="269"/>
      <c r="J39" s="269"/>
      <c r="K39" s="269"/>
      <c r="L39" s="270"/>
      <c r="M39" s="305" t="s">
        <v>383</v>
      </c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306"/>
      <c r="AB39" s="306"/>
      <c r="AC39" s="306"/>
      <c r="AD39" s="306"/>
      <c r="AE39" s="306"/>
      <c r="AF39" s="306"/>
      <c r="AG39" s="306"/>
      <c r="AH39" s="306"/>
      <c r="AI39" s="306"/>
      <c r="AJ39" s="306"/>
      <c r="AK39" s="306"/>
      <c r="AL39" s="306"/>
      <c r="AM39" s="306"/>
      <c r="AN39" s="306"/>
      <c r="AO39" s="306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  <c r="BC39" s="306"/>
      <c r="BD39" s="306"/>
      <c r="BE39" s="271" t="s">
        <v>353</v>
      </c>
      <c r="BF39" s="272" t="s">
        <v>354</v>
      </c>
      <c r="BG39" s="273"/>
      <c r="BH39" s="272"/>
      <c r="BI39" s="272"/>
      <c r="BJ39" s="273"/>
      <c r="BK39" s="274"/>
    </row>
    <row r="40" spans="1:65" ht="15.75" customHeight="1">
      <c r="A40" s="267" t="s">
        <v>319</v>
      </c>
      <c r="B40" s="268" t="s">
        <v>384</v>
      </c>
      <c r="C40" s="269"/>
      <c r="D40" s="269"/>
      <c r="E40" s="269"/>
      <c r="F40" s="269"/>
      <c r="G40" s="269"/>
      <c r="H40" s="269"/>
      <c r="I40" s="269"/>
      <c r="J40" s="269"/>
      <c r="K40" s="269"/>
      <c r="L40" s="270"/>
      <c r="M40" s="216" t="s">
        <v>375</v>
      </c>
      <c r="N40" s="304"/>
      <c r="O40" s="304"/>
      <c r="P40" s="304"/>
      <c r="Q40" s="304"/>
      <c r="R40" s="304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/>
      <c r="AF40" s="304"/>
      <c r="AG40" s="304"/>
      <c r="AH40" s="304"/>
      <c r="AI40" s="304"/>
      <c r="AJ40" s="304"/>
      <c r="AK40" s="304"/>
      <c r="AL40" s="304"/>
      <c r="AM40" s="304"/>
      <c r="AN40" s="304"/>
      <c r="AO40" s="304"/>
      <c r="AP40" s="304"/>
      <c r="AQ40" s="304"/>
      <c r="AR40" s="304"/>
      <c r="AS40" s="304"/>
      <c r="AT40" s="304"/>
      <c r="AU40" s="304"/>
      <c r="AV40" s="304"/>
      <c r="AW40" s="304"/>
      <c r="AX40" s="304"/>
      <c r="AY40" s="304"/>
      <c r="AZ40" s="304"/>
      <c r="BA40" s="304"/>
      <c r="BB40" s="304"/>
      <c r="BC40" s="304"/>
      <c r="BD40" s="304"/>
      <c r="BE40" s="271" t="s">
        <v>362</v>
      </c>
      <c r="BF40" s="272" t="s">
        <v>354</v>
      </c>
      <c r="BG40" s="273"/>
      <c r="BH40" s="272"/>
      <c r="BI40" s="272"/>
      <c r="BJ40" s="273"/>
      <c r="BK40" s="274"/>
    </row>
    <row r="41" spans="1:65" ht="15.75" customHeight="1">
      <c r="A41" s="267"/>
      <c r="B41" s="268" t="s">
        <v>385</v>
      </c>
      <c r="C41" s="269"/>
      <c r="D41" s="269"/>
      <c r="E41" s="269"/>
      <c r="F41" s="269"/>
      <c r="G41" s="269"/>
      <c r="H41" s="269"/>
      <c r="I41" s="269"/>
      <c r="J41" s="269"/>
      <c r="K41" s="269"/>
      <c r="L41" s="270"/>
      <c r="M41" s="305" t="s">
        <v>386</v>
      </c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0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271" t="s">
        <v>353</v>
      </c>
      <c r="BF41" s="272" t="s">
        <v>354</v>
      </c>
      <c r="BG41" s="273"/>
      <c r="BH41" s="272"/>
      <c r="BI41" s="272"/>
      <c r="BJ41" s="273"/>
      <c r="BK41" s="274"/>
    </row>
    <row r="42" spans="1:65" ht="15.75" customHeight="1">
      <c r="A42" s="267" t="s">
        <v>319</v>
      </c>
      <c r="B42" s="268" t="s">
        <v>387</v>
      </c>
      <c r="C42" s="269"/>
      <c r="D42" s="269"/>
      <c r="E42" s="269"/>
      <c r="F42" s="269"/>
      <c r="G42" s="269"/>
      <c r="H42" s="269"/>
      <c r="I42" s="269"/>
      <c r="J42" s="269"/>
      <c r="K42" s="269"/>
      <c r="L42" s="270"/>
      <c r="M42" s="216" t="s">
        <v>375</v>
      </c>
      <c r="N42" s="304"/>
      <c r="O42" s="304"/>
      <c r="P42" s="304"/>
      <c r="Q42" s="304"/>
      <c r="R42" s="304"/>
      <c r="S42" s="304"/>
      <c r="T42" s="304"/>
      <c r="U42" s="304"/>
      <c r="V42" s="304"/>
      <c r="W42" s="304"/>
      <c r="X42" s="304"/>
      <c r="Y42" s="304"/>
      <c r="Z42" s="304"/>
      <c r="AA42" s="304"/>
      <c r="AB42" s="304"/>
      <c r="AC42" s="304"/>
      <c r="AD42" s="304"/>
      <c r="AE42" s="304"/>
      <c r="AF42" s="304"/>
      <c r="AG42" s="304"/>
      <c r="AH42" s="304"/>
      <c r="AI42" s="304"/>
      <c r="AJ42" s="304"/>
      <c r="AK42" s="304"/>
      <c r="AL42" s="304"/>
      <c r="AM42" s="304"/>
      <c r="AN42" s="304"/>
      <c r="AO42" s="304"/>
      <c r="AP42" s="304"/>
      <c r="AQ42" s="304"/>
      <c r="AR42" s="304"/>
      <c r="AS42" s="304"/>
      <c r="AT42" s="304"/>
      <c r="AU42" s="304"/>
      <c r="AV42" s="304"/>
      <c r="AW42" s="304"/>
      <c r="AX42" s="304"/>
      <c r="AY42" s="304"/>
      <c r="AZ42" s="304"/>
      <c r="BA42" s="304"/>
      <c r="BB42" s="304"/>
      <c r="BC42" s="304"/>
      <c r="BD42" s="304"/>
      <c r="BE42" s="271" t="s">
        <v>362</v>
      </c>
      <c r="BF42" s="272" t="s">
        <v>354</v>
      </c>
      <c r="BG42" s="273"/>
      <c r="BH42" s="272"/>
      <c r="BI42" s="272"/>
      <c r="BJ42" s="273"/>
      <c r="BK42" s="274"/>
    </row>
    <row r="43" spans="1:65" ht="15.75" customHeight="1">
      <c r="A43" s="267"/>
      <c r="B43" s="268" t="s">
        <v>388</v>
      </c>
      <c r="C43" s="269"/>
      <c r="D43" s="269"/>
      <c r="E43" s="269"/>
      <c r="F43" s="269"/>
      <c r="G43" s="269"/>
      <c r="H43" s="269"/>
      <c r="I43" s="269"/>
      <c r="J43" s="269"/>
      <c r="K43" s="269"/>
      <c r="L43" s="270"/>
      <c r="M43" s="305" t="s">
        <v>389</v>
      </c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0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271" t="s">
        <v>353</v>
      </c>
      <c r="BF43" s="272" t="s">
        <v>354</v>
      </c>
      <c r="BG43" s="273"/>
      <c r="BH43" s="272"/>
      <c r="BI43" s="272"/>
      <c r="BJ43" s="273"/>
      <c r="BK43" s="274"/>
    </row>
    <row r="44" spans="1:65" ht="15.75" customHeight="1">
      <c r="A44" s="267" t="s">
        <v>319</v>
      </c>
      <c r="B44" s="275" t="s">
        <v>390</v>
      </c>
      <c r="C44" s="269"/>
      <c r="D44" s="269"/>
      <c r="E44" s="269"/>
      <c r="F44" s="269"/>
      <c r="G44" s="269"/>
      <c r="H44" s="269"/>
      <c r="I44" s="269"/>
      <c r="J44" s="269"/>
      <c r="K44" s="269"/>
      <c r="L44" s="270"/>
      <c r="M44" s="216" t="s">
        <v>375</v>
      </c>
      <c r="N44" s="304"/>
      <c r="O44" s="304"/>
      <c r="P44" s="304"/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4"/>
      <c r="AC44" s="304"/>
      <c r="AD44" s="304"/>
      <c r="AE44" s="304"/>
      <c r="AF44" s="304"/>
      <c r="AG44" s="304"/>
      <c r="AH44" s="304"/>
      <c r="AI44" s="304"/>
      <c r="AJ44" s="304"/>
      <c r="AK44" s="304"/>
      <c r="AL44" s="304"/>
      <c r="AM44" s="304"/>
      <c r="AN44" s="304"/>
      <c r="AO44" s="304"/>
      <c r="AP44" s="304"/>
      <c r="AQ44" s="304"/>
      <c r="AR44" s="304"/>
      <c r="AS44" s="304"/>
      <c r="AT44" s="304"/>
      <c r="AU44" s="304"/>
      <c r="AV44" s="304"/>
      <c r="AW44" s="304"/>
      <c r="AX44" s="304"/>
      <c r="AY44" s="304"/>
      <c r="AZ44" s="304"/>
      <c r="BA44" s="304"/>
      <c r="BB44" s="304"/>
      <c r="BC44" s="304"/>
      <c r="BD44" s="304"/>
      <c r="BE44" s="271" t="s">
        <v>362</v>
      </c>
      <c r="BF44" s="272" t="s">
        <v>354</v>
      </c>
      <c r="BG44" s="273"/>
      <c r="BH44" s="272"/>
      <c r="BI44" s="272"/>
      <c r="BJ44" s="273"/>
      <c r="BK44" s="274"/>
    </row>
    <row r="45" spans="1:65" ht="15.75" customHeight="1">
      <c r="A45" s="267"/>
      <c r="B45" s="268" t="s">
        <v>391</v>
      </c>
      <c r="C45" s="269"/>
      <c r="D45" s="269"/>
      <c r="E45" s="269"/>
      <c r="F45" s="269"/>
      <c r="G45" s="269"/>
      <c r="H45" s="269"/>
      <c r="I45" s="269"/>
      <c r="J45" s="269"/>
      <c r="K45" s="269"/>
      <c r="L45" s="270"/>
      <c r="M45" s="305" t="s">
        <v>392</v>
      </c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306"/>
      <c r="AB45" s="306"/>
      <c r="AC45" s="306"/>
      <c r="AD45" s="306"/>
      <c r="AE45" s="306"/>
      <c r="AF45" s="306"/>
      <c r="AG45" s="306"/>
      <c r="AH45" s="306"/>
      <c r="AI45" s="306"/>
      <c r="AJ45" s="306"/>
      <c r="AK45" s="306"/>
      <c r="AL45" s="306"/>
      <c r="AM45" s="306"/>
      <c r="AN45" s="306"/>
      <c r="AO45" s="306"/>
      <c r="AP45" s="306"/>
      <c r="AQ45" s="306"/>
      <c r="AR45" s="306"/>
      <c r="AS45" s="306"/>
      <c r="AT45" s="306"/>
      <c r="AU45" s="306"/>
      <c r="AV45" s="306"/>
      <c r="AW45" s="306"/>
      <c r="AX45" s="306"/>
      <c r="AY45" s="306"/>
      <c r="AZ45" s="306"/>
      <c r="BA45" s="306"/>
      <c r="BB45" s="306"/>
      <c r="BC45" s="306"/>
      <c r="BD45" s="306"/>
      <c r="BE45" s="271" t="s">
        <v>353</v>
      </c>
      <c r="BF45" s="272" t="s">
        <v>354</v>
      </c>
      <c r="BG45" s="273"/>
      <c r="BH45" s="272"/>
      <c r="BI45" s="272"/>
      <c r="BJ45" s="273"/>
      <c r="BK45" s="274"/>
    </row>
    <row r="46" spans="1:65" ht="15.75" customHeight="1">
      <c r="A46" s="267" t="s">
        <v>319</v>
      </c>
      <c r="B46" s="276" t="s">
        <v>393</v>
      </c>
      <c r="C46" s="277"/>
      <c r="D46" s="277"/>
      <c r="E46" s="277"/>
      <c r="F46" s="277"/>
      <c r="G46" s="277"/>
      <c r="H46" s="277"/>
      <c r="I46" s="277"/>
      <c r="J46" s="277"/>
      <c r="K46" s="277"/>
      <c r="L46" s="278"/>
      <c r="M46" s="216" t="s">
        <v>375</v>
      </c>
      <c r="N46" s="304"/>
      <c r="O46" s="304"/>
      <c r="P46" s="304"/>
      <c r="Q46" s="304"/>
      <c r="R46" s="304"/>
      <c r="S46" s="304"/>
      <c r="T46" s="304"/>
      <c r="U46" s="304"/>
      <c r="V46" s="304"/>
      <c r="W46" s="304"/>
      <c r="X46" s="304"/>
      <c r="Y46" s="304"/>
      <c r="Z46" s="304"/>
      <c r="AA46" s="304"/>
      <c r="AB46" s="304"/>
      <c r="AC46" s="304"/>
      <c r="AD46" s="304"/>
      <c r="AE46" s="304"/>
      <c r="AF46" s="304"/>
      <c r="AG46" s="304"/>
      <c r="AH46" s="304"/>
      <c r="AI46" s="304"/>
      <c r="AJ46" s="304"/>
      <c r="AK46" s="304"/>
      <c r="AL46" s="304"/>
      <c r="AM46" s="304"/>
      <c r="AN46" s="304"/>
      <c r="AO46" s="304"/>
      <c r="AP46" s="304"/>
      <c r="AQ46" s="304"/>
      <c r="AR46" s="304"/>
      <c r="AS46" s="304"/>
      <c r="AT46" s="304"/>
      <c r="AU46" s="304"/>
      <c r="AV46" s="304"/>
      <c r="AW46" s="304"/>
      <c r="AX46" s="304"/>
      <c r="AY46" s="304"/>
      <c r="AZ46" s="304"/>
      <c r="BA46" s="304"/>
      <c r="BB46" s="304"/>
      <c r="BC46" s="304"/>
      <c r="BD46" s="304"/>
      <c r="BE46" s="271" t="s">
        <v>362</v>
      </c>
      <c r="BF46" s="272" t="s">
        <v>354</v>
      </c>
      <c r="BG46" s="273"/>
      <c r="BH46" s="272"/>
      <c r="BI46" s="272"/>
      <c r="BJ46" s="273"/>
      <c r="BK46" s="274"/>
    </row>
    <row r="47" spans="1:65" ht="15.75" customHeight="1">
      <c r="A47" s="267"/>
      <c r="B47" s="268" t="s">
        <v>394</v>
      </c>
      <c r="C47" s="269"/>
      <c r="D47" s="269"/>
      <c r="E47" s="269"/>
      <c r="F47" s="269"/>
      <c r="G47" s="269"/>
      <c r="H47" s="269"/>
      <c r="I47" s="269"/>
      <c r="J47" s="269"/>
      <c r="K47" s="269"/>
      <c r="L47" s="270"/>
      <c r="M47" s="305" t="s">
        <v>395</v>
      </c>
      <c r="N47" s="306"/>
      <c r="O47" s="306"/>
      <c r="P47" s="306"/>
      <c r="Q47" s="306"/>
      <c r="R47" s="306"/>
      <c r="S47" s="306"/>
      <c r="T47" s="306"/>
      <c r="U47" s="306"/>
      <c r="V47" s="306"/>
      <c r="W47" s="306"/>
      <c r="X47" s="306"/>
      <c r="Y47" s="306"/>
      <c r="Z47" s="306"/>
      <c r="AA47" s="306"/>
      <c r="AB47" s="306"/>
      <c r="AC47" s="306"/>
      <c r="AD47" s="306"/>
      <c r="AE47" s="306"/>
      <c r="AF47" s="306"/>
      <c r="AG47" s="306"/>
      <c r="AH47" s="306"/>
      <c r="AI47" s="306"/>
      <c r="AJ47" s="306"/>
      <c r="AK47" s="306"/>
      <c r="AL47" s="306"/>
      <c r="AM47" s="306"/>
      <c r="AN47" s="306"/>
      <c r="AO47" s="306"/>
      <c r="AP47" s="306"/>
      <c r="AQ47" s="306"/>
      <c r="AR47" s="306"/>
      <c r="AS47" s="306"/>
      <c r="AT47" s="306"/>
      <c r="AU47" s="306"/>
      <c r="AV47" s="306"/>
      <c r="AW47" s="306"/>
      <c r="AX47" s="306"/>
      <c r="AY47" s="306"/>
      <c r="AZ47" s="306"/>
      <c r="BA47" s="306"/>
      <c r="BB47" s="306"/>
      <c r="BC47" s="306"/>
      <c r="BD47" s="306"/>
      <c r="BE47" s="271" t="s">
        <v>353</v>
      </c>
      <c r="BF47" s="272" t="s">
        <v>354</v>
      </c>
      <c r="BG47" s="273"/>
      <c r="BH47" s="272"/>
      <c r="BI47" s="272"/>
      <c r="BJ47" s="273"/>
      <c r="BK47" s="274"/>
    </row>
    <row r="48" spans="1:65" ht="15.75" customHeight="1">
      <c r="A48" s="267" t="s">
        <v>319</v>
      </c>
      <c r="B48" s="276" t="s">
        <v>396</v>
      </c>
      <c r="C48" s="277"/>
      <c r="D48" s="277"/>
      <c r="E48" s="277"/>
      <c r="F48" s="277"/>
      <c r="G48" s="277"/>
      <c r="H48" s="277"/>
      <c r="I48" s="277"/>
      <c r="J48" s="277"/>
      <c r="K48" s="277"/>
      <c r="L48" s="278"/>
      <c r="M48" s="216" t="s">
        <v>375</v>
      </c>
      <c r="N48" s="304"/>
      <c r="O48" s="304"/>
      <c r="P48" s="304"/>
      <c r="Q48" s="304"/>
      <c r="R48" s="304"/>
      <c r="S48" s="304"/>
      <c r="T48" s="304"/>
      <c r="U48" s="304"/>
      <c r="V48" s="304"/>
      <c r="W48" s="304"/>
      <c r="X48" s="304"/>
      <c r="Y48" s="304"/>
      <c r="Z48" s="304"/>
      <c r="AA48" s="304"/>
      <c r="AB48" s="304"/>
      <c r="AC48" s="304"/>
      <c r="AD48" s="304"/>
      <c r="AE48" s="304"/>
      <c r="AF48" s="304"/>
      <c r="AG48" s="304"/>
      <c r="AH48" s="304"/>
      <c r="AI48" s="304"/>
      <c r="AJ48" s="304"/>
      <c r="AK48" s="304"/>
      <c r="AL48" s="304"/>
      <c r="AM48" s="304"/>
      <c r="AN48" s="304"/>
      <c r="AO48" s="304"/>
      <c r="AP48" s="304"/>
      <c r="AQ48" s="304"/>
      <c r="AR48" s="304"/>
      <c r="AS48" s="304"/>
      <c r="AT48" s="304"/>
      <c r="AU48" s="304"/>
      <c r="AV48" s="304"/>
      <c r="AW48" s="304"/>
      <c r="AX48" s="304"/>
      <c r="AY48" s="304"/>
      <c r="AZ48" s="304"/>
      <c r="BA48" s="304"/>
      <c r="BB48" s="304"/>
      <c r="BC48" s="304"/>
      <c r="BD48" s="304"/>
      <c r="BE48" s="271" t="s">
        <v>362</v>
      </c>
      <c r="BF48" s="272" t="s">
        <v>354</v>
      </c>
      <c r="BG48" s="273"/>
      <c r="BH48" s="272"/>
      <c r="BI48" s="272"/>
      <c r="BJ48" s="273"/>
      <c r="BK48" s="274"/>
    </row>
    <row r="49" spans="1:88" ht="15.75" customHeight="1">
      <c r="A49" s="267"/>
      <c r="B49" s="268" t="s">
        <v>397</v>
      </c>
      <c r="C49" s="269"/>
      <c r="D49" s="269"/>
      <c r="E49" s="269"/>
      <c r="F49" s="269"/>
      <c r="G49" s="269"/>
      <c r="H49" s="269"/>
      <c r="I49" s="269"/>
      <c r="J49" s="269"/>
      <c r="K49" s="269"/>
      <c r="L49" s="270"/>
      <c r="M49" s="305" t="s">
        <v>398</v>
      </c>
      <c r="N49" s="306"/>
      <c r="O49" s="306"/>
      <c r="P49" s="306"/>
      <c r="Q49" s="306"/>
      <c r="R49" s="306"/>
      <c r="S49" s="306"/>
      <c r="T49" s="306"/>
      <c r="U49" s="306"/>
      <c r="V49" s="306"/>
      <c r="W49" s="306"/>
      <c r="X49" s="306"/>
      <c r="Y49" s="306"/>
      <c r="Z49" s="306"/>
      <c r="AA49" s="306"/>
      <c r="AB49" s="306"/>
      <c r="AC49" s="306"/>
      <c r="AD49" s="306"/>
      <c r="AE49" s="306"/>
      <c r="AF49" s="306"/>
      <c r="AG49" s="306"/>
      <c r="AH49" s="306"/>
      <c r="AI49" s="306"/>
      <c r="AJ49" s="306"/>
      <c r="AK49" s="306"/>
      <c r="AL49" s="306"/>
      <c r="AM49" s="306"/>
      <c r="AN49" s="306"/>
      <c r="AO49" s="306"/>
      <c r="AP49" s="306"/>
      <c r="AQ49" s="306"/>
      <c r="AR49" s="306"/>
      <c r="AS49" s="306"/>
      <c r="AT49" s="306"/>
      <c r="AU49" s="306"/>
      <c r="AV49" s="306"/>
      <c r="AW49" s="306"/>
      <c r="AX49" s="306"/>
      <c r="AY49" s="306"/>
      <c r="AZ49" s="306"/>
      <c r="BA49" s="306"/>
      <c r="BB49" s="306"/>
      <c r="BC49" s="306"/>
      <c r="BD49" s="306"/>
      <c r="BE49" s="271" t="s">
        <v>353</v>
      </c>
      <c r="BF49" s="272" t="s">
        <v>354</v>
      </c>
      <c r="BG49" s="273"/>
      <c r="BH49" s="272"/>
      <c r="BI49" s="272"/>
      <c r="BJ49" s="273"/>
      <c r="BK49" s="274"/>
    </row>
    <row r="50" spans="1:88" ht="15.75" customHeight="1">
      <c r="A50" s="267" t="s">
        <v>319</v>
      </c>
      <c r="B50" s="276" t="s">
        <v>399</v>
      </c>
      <c r="C50" s="277"/>
      <c r="D50" s="277"/>
      <c r="E50" s="277"/>
      <c r="F50" s="277"/>
      <c r="G50" s="277"/>
      <c r="H50" s="277"/>
      <c r="I50" s="277"/>
      <c r="J50" s="277"/>
      <c r="K50" s="277"/>
      <c r="L50" s="278"/>
      <c r="M50" s="216" t="s">
        <v>375</v>
      </c>
      <c r="N50" s="304"/>
      <c r="O50" s="304"/>
      <c r="P50" s="304"/>
      <c r="Q50" s="304"/>
      <c r="R50" s="304"/>
      <c r="S50" s="304"/>
      <c r="T50" s="304"/>
      <c r="U50" s="304"/>
      <c r="V50" s="304"/>
      <c r="W50" s="304"/>
      <c r="X50" s="304"/>
      <c r="Y50" s="304"/>
      <c r="Z50" s="304"/>
      <c r="AA50" s="304"/>
      <c r="AB50" s="304"/>
      <c r="AC50" s="304"/>
      <c r="AD50" s="304"/>
      <c r="AE50" s="304"/>
      <c r="AF50" s="304"/>
      <c r="AG50" s="304"/>
      <c r="AH50" s="304"/>
      <c r="AI50" s="304"/>
      <c r="AJ50" s="304"/>
      <c r="AK50" s="304"/>
      <c r="AL50" s="304"/>
      <c r="AM50" s="304"/>
      <c r="AN50" s="304"/>
      <c r="AO50" s="304"/>
      <c r="AP50" s="304"/>
      <c r="AQ50" s="304"/>
      <c r="AR50" s="304"/>
      <c r="AS50" s="304"/>
      <c r="AT50" s="304"/>
      <c r="AU50" s="304"/>
      <c r="AV50" s="304"/>
      <c r="AW50" s="304"/>
      <c r="AX50" s="304"/>
      <c r="AY50" s="304"/>
      <c r="AZ50" s="304"/>
      <c r="BA50" s="304"/>
      <c r="BB50" s="304"/>
      <c r="BC50" s="304"/>
      <c r="BD50" s="304"/>
      <c r="BE50" s="271" t="s">
        <v>362</v>
      </c>
      <c r="BF50" s="272" t="s">
        <v>354</v>
      </c>
      <c r="BG50" s="273"/>
      <c r="BH50" s="272"/>
      <c r="BI50" s="272"/>
      <c r="BJ50" s="273"/>
      <c r="BK50" s="274"/>
    </row>
    <row r="51" spans="1:88" ht="15.75" customHeight="1">
      <c r="A51" s="267"/>
      <c r="B51" s="268" t="s">
        <v>400</v>
      </c>
      <c r="C51" s="269"/>
      <c r="D51" s="269"/>
      <c r="E51" s="269"/>
      <c r="F51" s="269"/>
      <c r="G51" s="269"/>
      <c r="H51" s="269"/>
      <c r="I51" s="269"/>
      <c r="J51" s="269"/>
      <c r="K51" s="269"/>
      <c r="L51" s="270"/>
      <c r="M51" s="305" t="s">
        <v>401</v>
      </c>
      <c r="N51" s="306"/>
      <c r="O51" s="306"/>
      <c r="P51" s="306"/>
      <c r="Q51" s="306"/>
      <c r="R51" s="306"/>
      <c r="S51" s="306"/>
      <c r="T51" s="306"/>
      <c r="U51" s="306"/>
      <c r="V51" s="306"/>
      <c r="W51" s="306"/>
      <c r="X51" s="306"/>
      <c r="Y51" s="306"/>
      <c r="Z51" s="306"/>
      <c r="AA51" s="306"/>
      <c r="AB51" s="306"/>
      <c r="AC51" s="306"/>
      <c r="AD51" s="306"/>
      <c r="AE51" s="306"/>
      <c r="AF51" s="306"/>
      <c r="AG51" s="306"/>
      <c r="AH51" s="306"/>
      <c r="AI51" s="306"/>
      <c r="AJ51" s="306"/>
      <c r="AK51" s="306"/>
      <c r="AL51" s="306"/>
      <c r="AM51" s="306"/>
      <c r="AN51" s="306"/>
      <c r="AO51" s="306"/>
      <c r="AP51" s="306"/>
      <c r="AQ51" s="306"/>
      <c r="AR51" s="306"/>
      <c r="AS51" s="306"/>
      <c r="AT51" s="306"/>
      <c r="AU51" s="306"/>
      <c r="AV51" s="306"/>
      <c r="AW51" s="306"/>
      <c r="AX51" s="306"/>
      <c r="AY51" s="306"/>
      <c r="AZ51" s="306"/>
      <c r="BA51" s="306"/>
      <c r="BB51" s="306"/>
      <c r="BC51" s="306"/>
      <c r="BD51" s="306"/>
      <c r="BE51" s="271" t="s">
        <v>353</v>
      </c>
      <c r="BF51" s="272" t="s">
        <v>354</v>
      </c>
      <c r="BG51" s="273"/>
      <c r="BH51" s="272"/>
      <c r="BI51" s="272"/>
      <c r="BJ51" s="273"/>
      <c r="BK51" s="274"/>
    </row>
    <row r="52" spans="1:88" ht="15.75" customHeight="1">
      <c r="A52" s="267" t="s">
        <v>319</v>
      </c>
      <c r="B52" s="276" t="s">
        <v>402</v>
      </c>
      <c r="C52" s="277"/>
      <c r="D52" s="277"/>
      <c r="E52" s="277"/>
      <c r="F52" s="277"/>
      <c r="G52" s="277"/>
      <c r="H52" s="277"/>
      <c r="I52" s="277"/>
      <c r="J52" s="277"/>
      <c r="K52" s="277"/>
      <c r="L52" s="278"/>
      <c r="M52" s="216" t="s">
        <v>375</v>
      </c>
      <c r="N52" s="304"/>
      <c r="O52" s="304"/>
      <c r="P52" s="304"/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  <c r="AH52" s="304"/>
      <c r="AI52" s="304"/>
      <c r="AJ52" s="304"/>
      <c r="AK52" s="304"/>
      <c r="AL52" s="304"/>
      <c r="AM52" s="304"/>
      <c r="AN52" s="304"/>
      <c r="AO52" s="304"/>
      <c r="AP52" s="304"/>
      <c r="AQ52" s="304"/>
      <c r="AR52" s="304"/>
      <c r="AS52" s="304"/>
      <c r="AT52" s="304"/>
      <c r="AU52" s="304"/>
      <c r="AV52" s="304"/>
      <c r="AW52" s="304"/>
      <c r="AX52" s="304"/>
      <c r="AY52" s="304"/>
      <c r="AZ52" s="304"/>
      <c r="BA52" s="304"/>
      <c r="BB52" s="304"/>
      <c r="BC52" s="304"/>
      <c r="BD52" s="304"/>
      <c r="BE52" s="271" t="s">
        <v>362</v>
      </c>
      <c r="BF52" s="272" t="s">
        <v>354</v>
      </c>
      <c r="BG52" s="273"/>
      <c r="BH52" s="272"/>
      <c r="BI52" s="272"/>
      <c r="BJ52" s="273"/>
      <c r="BK52" s="274"/>
    </row>
    <row r="53" spans="1:88" ht="15.75" customHeight="1">
      <c r="A53" s="267"/>
      <c r="B53" s="268" t="s">
        <v>403</v>
      </c>
      <c r="C53" s="269"/>
      <c r="D53" s="269"/>
      <c r="E53" s="269"/>
      <c r="F53" s="269"/>
      <c r="G53" s="269"/>
      <c r="H53" s="269"/>
      <c r="I53" s="269"/>
      <c r="J53" s="269"/>
      <c r="K53" s="269"/>
      <c r="L53" s="270"/>
      <c r="M53" s="305" t="s">
        <v>404</v>
      </c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306"/>
      <c r="AB53" s="306"/>
      <c r="AC53" s="306"/>
      <c r="AD53" s="306"/>
      <c r="AE53" s="306"/>
      <c r="AF53" s="306"/>
      <c r="AG53" s="306"/>
      <c r="AH53" s="306"/>
      <c r="AI53" s="306"/>
      <c r="AJ53" s="306"/>
      <c r="AK53" s="306"/>
      <c r="AL53" s="306"/>
      <c r="AM53" s="306"/>
      <c r="AN53" s="306"/>
      <c r="AO53" s="306"/>
      <c r="AP53" s="306"/>
      <c r="AQ53" s="306"/>
      <c r="AR53" s="306"/>
      <c r="AS53" s="306"/>
      <c r="AT53" s="306"/>
      <c r="AU53" s="306"/>
      <c r="AV53" s="306"/>
      <c r="AW53" s="306"/>
      <c r="AX53" s="306"/>
      <c r="AY53" s="306"/>
      <c r="AZ53" s="306"/>
      <c r="BA53" s="306"/>
      <c r="BB53" s="306"/>
      <c r="BC53" s="306"/>
      <c r="BD53" s="306"/>
      <c r="BE53" s="271" t="s">
        <v>353</v>
      </c>
      <c r="BF53" s="272" t="s">
        <v>354</v>
      </c>
      <c r="BG53" s="273"/>
      <c r="BH53" s="272"/>
      <c r="BI53" s="272"/>
      <c r="BJ53" s="273"/>
      <c r="BK53" s="274"/>
    </row>
    <row r="54" spans="1:88" ht="15.75" customHeight="1">
      <c r="A54" s="267" t="s">
        <v>319</v>
      </c>
      <c r="B54" s="276" t="s">
        <v>405</v>
      </c>
      <c r="C54" s="277"/>
      <c r="D54" s="277"/>
      <c r="E54" s="277"/>
      <c r="F54" s="277"/>
      <c r="G54" s="277"/>
      <c r="H54" s="277"/>
      <c r="I54" s="277"/>
      <c r="J54" s="277"/>
      <c r="K54" s="277"/>
      <c r="L54" s="278"/>
      <c r="M54" s="216" t="s">
        <v>375</v>
      </c>
      <c r="N54" s="304"/>
      <c r="O54" s="304"/>
      <c r="P54" s="304"/>
      <c r="Q54" s="304"/>
      <c r="R54" s="304"/>
      <c r="S54" s="304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4"/>
      <c r="AE54" s="304"/>
      <c r="AF54" s="304"/>
      <c r="AG54" s="304"/>
      <c r="AH54" s="304"/>
      <c r="AI54" s="304"/>
      <c r="AJ54" s="304"/>
      <c r="AK54" s="304"/>
      <c r="AL54" s="304"/>
      <c r="AM54" s="304"/>
      <c r="AN54" s="304"/>
      <c r="AO54" s="304"/>
      <c r="AP54" s="304"/>
      <c r="AQ54" s="304"/>
      <c r="AR54" s="304"/>
      <c r="AS54" s="304"/>
      <c r="AT54" s="304"/>
      <c r="AU54" s="304"/>
      <c r="AV54" s="304"/>
      <c r="AW54" s="304"/>
      <c r="AX54" s="304"/>
      <c r="AY54" s="304"/>
      <c r="AZ54" s="304"/>
      <c r="BA54" s="304"/>
      <c r="BB54" s="304"/>
      <c r="BC54" s="304"/>
      <c r="BD54" s="304"/>
      <c r="BE54" s="271" t="s">
        <v>362</v>
      </c>
      <c r="BF54" s="272" t="s">
        <v>354</v>
      </c>
      <c r="BG54" s="273"/>
      <c r="BH54" s="272"/>
      <c r="BI54" s="272"/>
      <c r="BJ54" s="273"/>
      <c r="BK54" s="274"/>
    </row>
    <row r="55" spans="1:88" ht="15.75" customHeight="1">
      <c r="A55" s="267"/>
      <c r="B55" s="268" t="s">
        <v>406</v>
      </c>
      <c r="C55" s="269"/>
      <c r="D55" s="269"/>
      <c r="E55" s="269"/>
      <c r="F55" s="269"/>
      <c r="G55" s="269"/>
      <c r="H55" s="269"/>
      <c r="I55" s="269"/>
      <c r="J55" s="269"/>
      <c r="K55" s="269"/>
      <c r="L55" s="270"/>
      <c r="M55" s="305" t="s">
        <v>407</v>
      </c>
      <c r="N55" s="306"/>
      <c r="O55" s="306"/>
      <c r="P55" s="306"/>
      <c r="Q55" s="306"/>
      <c r="R55" s="306"/>
      <c r="S55" s="306"/>
      <c r="T55" s="306"/>
      <c r="U55" s="306"/>
      <c r="V55" s="306"/>
      <c r="W55" s="306"/>
      <c r="X55" s="306"/>
      <c r="Y55" s="306"/>
      <c r="Z55" s="306"/>
      <c r="AA55" s="306"/>
      <c r="AB55" s="306"/>
      <c r="AC55" s="306"/>
      <c r="AD55" s="306"/>
      <c r="AE55" s="306"/>
      <c r="AF55" s="306"/>
      <c r="AG55" s="306"/>
      <c r="AH55" s="306"/>
      <c r="AI55" s="306"/>
      <c r="AJ55" s="306"/>
      <c r="AK55" s="306"/>
      <c r="AL55" s="306"/>
      <c r="AM55" s="306"/>
      <c r="AN55" s="306"/>
      <c r="AO55" s="306"/>
      <c r="AP55" s="306"/>
      <c r="AQ55" s="306"/>
      <c r="AR55" s="306"/>
      <c r="AS55" s="306"/>
      <c r="AT55" s="306"/>
      <c r="AU55" s="306"/>
      <c r="AV55" s="306"/>
      <c r="AW55" s="306"/>
      <c r="AX55" s="306"/>
      <c r="AY55" s="306"/>
      <c r="AZ55" s="306"/>
      <c r="BA55" s="306"/>
      <c r="BB55" s="306"/>
      <c r="BC55" s="306"/>
      <c r="BD55" s="306"/>
      <c r="BE55" s="271" t="s">
        <v>353</v>
      </c>
      <c r="BF55" s="272" t="s">
        <v>354</v>
      </c>
      <c r="BG55" s="273"/>
      <c r="BH55" s="272"/>
      <c r="BI55" s="272"/>
      <c r="BJ55" s="273"/>
      <c r="BK55" s="274"/>
    </row>
    <row r="56" spans="1:88" ht="15.75" customHeight="1">
      <c r="A56" s="267" t="s">
        <v>319</v>
      </c>
      <c r="B56" s="276" t="s">
        <v>408</v>
      </c>
      <c r="C56" s="277"/>
      <c r="D56" s="277"/>
      <c r="E56" s="277"/>
      <c r="F56" s="277"/>
      <c r="G56" s="277"/>
      <c r="H56" s="277"/>
      <c r="I56" s="277"/>
      <c r="J56" s="277"/>
      <c r="K56" s="277"/>
      <c r="L56" s="278"/>
      <c r="M56" s="216" t="s">
        <v>375</v>
      </c>
      <c r="N56" s="304"/>
      <c r="O56" s="304"/>
      <c r="P56" s="304"/>
      <c r="Q56" s="304"/>
      <c r="R56" s="304"/>
      <c r="S56" s="304"/>
      <c r="T56" s="304"/>
      <c r="U56" s="304"/>
      <c r="V56" s="304"/>
      <c r="W56" s="304"/>
      <c r="X56" s="304"/>
      <c r="Y56" s="304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04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04"/>
      <c r="AY56" s="304"/>
      <c r="AZ56" s="304"/>
      <c r="BA56" s="304"/>
      <c r="BB56" s="304"/>
      <c r="BC56" s="304"/>
      <c r="BD56" s="304"/>
      <c r="BE56" s="271" t="s">
        <v>362</v>
      </c>
      <c r="BF56" s="272" t="s">
        <v>354</v>
      </c>
      <c r="BG56" s="273"/>
      <c r="BH56" s="272"/>
      <c r="BI56" s="272"/>
      <c r="BJ56" s="273"/>
      <c r="BK56" s="274"/>
    </row>
    <row r="57" spans="1:88" ht="15.75" customHeight="1">
      <c r="A57" s="267"/>
      <c r="B57" s="268" t="s">
        <v>409</v>
      </c>
      <c r="C57" s="269"/>
      <c r="D57" s="269"/>
      <c r="E57" s="269"/>
      <c r="F57" s="269"/>
      <c r="G57" s="269"/>
      <c r="H57" s="269"/>
      <c r="I57" s="269"/>
      <c r="J57" s="269"/>
      <c r="K57" s="269"/>
      <c r="L57" s="270"/>
      <c r="M57" s="305" t="s">
        <v>410</v>
      </c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6"/>
      <c r="AB57" s="306"/>
      <c r="AC57" s="306"/>
      <c r="AD57" s="306"/>
      <c r="AE57" s="306"/>
      <c r="AF57" s="306"/>
      <c r="AG57" s="306"/>
      <c r="AH57" s="306"/>
      <c r="AI57" s="306"/>
      <c r="AJ57" s="306"/>
      <c r="AK57" s="306"/>
      <c r="AL57" s="306"/>
      <c r="AM57" s="306"/>
      <c r="AN57" s="306"/>
      <c r="AO57" s="306"/>
      <c r="AP57" s="306"/>
      <c r="AQ57" s="306"/>
      <c r="AR57" s="306"/>
      <c r="AS57" s="306"/>
      <c r="AT57" s="306"/>
      <c r="AU57" s="306"/>
      <c r="AV57" s="306"/>
      <c r="AW57" s="306"/>
      <c r="AX57" s="306"/>
      <c r="AY57" s="306"/>
      <c r="AZ57" s="306"/>
      <c r="BA57" s="306"/>
      <c r="BB57" s="306"/>
      <c r="BC57" s="306"/>
      <c r="BD57" s="306"/>
      <c r="BE57" s="271" t="s">
        <v>353</v>
      </c>
      <c r="BF57" s="272" t="s">
        <v>354</v>
      </c>
      <c r="BG57" s="273"/>
      <c r="BH57" s="272"/>
      <c r="BI57" s="272"/>
      <c r="BJ57" s="273"/>
      <c r="BK57" s="274"/>
    </row>
    <row r="58" spans="1:88" ht="15.75" customHeight="1">
      <c r="A58" s="51" t="s">
        <v>319</v>
      </c>
      <c r="B58" s="52" t="s">
        <v>253</v>
      </c>
      <c r="C58" s="216"/>
      <c r="D58" s="216"/>
      <c r="E58" s="216"/>
      <c r="F58" s="216"/>
      <c r="G58" s="216"/>
      <c r="H58" s="216"/>
      <c r="I58" s="216"/>
      <c r="J58" s="216"/>
      <c r="K58" s="216"/>
      <c r="L58" s="217"/>
      <c r="M58" s="216" t="s">
        <v>411</v>
      </c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99" t="s">
        <v>321</v>
      </c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8" t="s">
        <v>322</v>
      </c>
      <c r="BF58" s="307" t="s">
        <v>323</v>
      </c>
      <c r="BG58" s="49"/>
      <c r="BH58" s="53"/>
      <c r="BI58" s="53"/>
      <c r="BJ58" s="49"/>
      <c r="BK58" s="50"/>
    </row>
    <row r="59" spans="1:88" ht="15.75" customHeight="1" thickBot="1">
      <c r="A59" s="51"/>
      <c r="B59" s="52"/>
      <c r="C59" s="216"/>
      <c r="D59" s="216"/>
      <c r="E59" s="216"/>
      <c r="F59" s="216"/>
      <c r="G59" s="216"/>
      <c r="H59" s="216"/>
      <c r="I59" s="216"/>
      <c r="J59" s="216"/>
      <c r="K59" s="216"/>
      <c r="L59" s="217"/>
      <c r="M59" s="216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0"/>
      <c r="AZ59" s="220"/>
      <c r="BA59" s="220"/>
      <c r="BB59" s="220"/>
      <c r="BC59" s="220"/>
      <c r="BD59" s="220"/>
      <c r="BE59" s="49"/>
      <c r="BF59" s="53"/>
      <c r="BG59" s="49"/>
      <c r="BH59" s="53"/>
      <c r="BI59" s="53"/>
      <c r="BJ59" s="49"/>
      <c r="BK59" s="50"/>
    </row>
    <row r="60" spans="1:88" s="7" customFormat="1" ht="14.25">
      <c r="A60" s="30"/>
      <c r="B60" s="31" t="s">
        <v>412</v>
      </c>
      <c r="C60" s="32"/>
      <c r="D60" s="32"/>
      <c r="E60" s="32"/>
      <c r="F60" s="32"/>
      <c r="G60" s="32"/>
      <c r="H60" s="32"/>
      <c r="I60" s="32"/>
      <c r="J60" s="32"/>
      <c r="K60" s="32"/>
      <c r="L60" s="33"/>
      <c r="M60" s="32"/>
      <c r="N60" s="34" t="s">
        <v>311</v>
      </c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5" t="s">
        <v>312</v>
      </c>
      <c r="BF60" s="35" t="s">
        <v>313</v>
      </c>
      <c r="BG60" s="35" t="s">
        <v>314</v>
      </c>
      <c r="BH60" s="35" t="s">
        <v>315</v>
      </c>
      <c r="BI60" s="35" t="s">
        <v>316</v>
      </c>
      <c r="BJ60" s="35" t="s">
        <v>317</v>
      </c>
      <c r="BK60" s="36" t="s">
        <v>318</v>
      </c>
      <c r="BM60" s="880"/>
      <c r="BN60" s="880"/>
      <c r="BO60" s="880"/>
      <c r="BP60" s="880"/>
      <c r="BQ60" s="880"/>
      <c r="BR60" s="880"/>
      <c r="BS60" s="880"/>
      <c r="BT60" s="880"/>
      <c r="BU60" s="880"/>
      <c r="BV60" s="880"/>
      <c r="BW60" s="880"/>
      <c r="BX60" s="880"/>
      <c r="BY60" s="880"/>
      <c r="BZ60" s="880"/>
      <c r="CA60" s="880"/>
      <c r="CB60" s="880"/>
      <c r="CC60" s="880"/>
      <c r="CD60" s="880"/>
      <c r="CE60" s="880"/>
      <c r="CF60" s="880"/>
      <c r="CG60" s="880"/>
      <c r="CH60" s="880"/>
      <c r="CI60" s="880"/>
      <c r="CJ60" s="880"/>
    </row>
    <row r="61" spans="1:88" ht="15.75" customHeight="1">
      <c r="A61" s="51"/>
      <c r="B61" s="37" t="s">
        <v>413</v>
      </c>
      <c r="C61" s="216"/>
      <c r="D61" s="216"/>
      <c r="E61" s="216"/>
      <c r="F61" s="216"/>
      <c r="G61" s="216"/>
      <c r="H61" s="216"/>
      <c r="I61" s="216"/>
      <c r="J61" s="216"/>
      <c r="K61" s="216"/>
      <c r="L61" s="217"/>
      <c r="M61" s="216" t="s">
        <v>414</v>
      </c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  <c r="AV61" s="220"/>
      <c r="AW61" s="220"/>
      <c r="AX61" s="220"/>
      <c r="AY61" s="220"/>
      <c r="AZ61" s="220"/>
      <c r="BA61" s="220"/>
      <c r="BB61" s="220"/>
      <c r="BC61" s="220"/>
      <c r="BD61" s="220"/>
      <c r="BE61" s="53" t="s">
        <v>353</v>
      </c>
      <c r="BF61" s="53" t="s">
        <v>415</v>
      </c>
      <c r="BG61" s="49"/>
      <c r="BH61" s="53"/>
      <c r="BI61" s="53"/>
      <c r="BJ61" s="49"/>
      <c r="BK61" s="50"/>
    </row>
    <row r="62" spans="1:88" ht="15.75" customHeight="1">
      <c r="A62" s="51"/>
      <c r="B62" s="37" t="s">
        <v>416</v>
      </c>
      <c r="C62" s="216"/>
      <c r="D62" s="216"/>
      <c r="E62" s="216"/>
      <c r="F62" s="216"/>
      <c r="G62" s="216"/>
      <c r="H62" s="216"/>
      <c r="I62" s="216"/>
      <c r="J62" s="216"/>
      <c r="K62" s="216"/>
      <c r="L62" s="217"/>
      <c r="M62" s="216" t="s">
        <v>417</v>
      </c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20"/>
      <c r="AY62" s="220"/>
      <c r="AZ62" s="220"/>
      <c r="BA62" s="220"/>
      <c r="BB62" s="220"/>
      <c r="BC62" s="220"/>
      <c r="BD62" s="220"/>
      <c r="BE62" s="53" t="s">
        <v>353</v>
      </c>
      <c r="BF62" s="53" t="s">
        <v>354</v>
      </c>
      <c r="BG62" s="49"/>
      <c r="BH62" s="53"/>
      <c r="BI62" s="53"/>
      <c r="BJ62" s="49"/>
      <c r="BK62" s="50"/>
    </row>
    <row r="63" spans="1:88" ht="15.75" customHeight="1">
      <c r="A63" s="51"/>
      <c r="B63" s="37" t="s">
        <v>350</v>
      </c>
      <c r="C63" s="216"/>
      <c r="D63" s="216"/>
      <c r="E63" s="216"/>
      <c r="F63" s="216"/>
      <c r="G63" s="216"/>
      <c r="H63" s="216"/>
      <c r="I63" s="216"/>
      <c r="J63" s="216"/>
      <c r="K63" s="216"/>
      <c r="L63" s="217"/>
      <c r="M63" s="216" t="s">
        <v>418</v>
      </c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  <c r="AV63" s="220"/>
      <c r="AW63" s="220"/>
      <c r="AX63" s="220"/>
      <c r="AY63" s="220"/>
      <c r="AZ63" s="220"/>
      <c r="BA63" s="220"/>
      <c r="BB63" s="220"/>
      <c r="BC63" s="220"/>
      <c r="BD63" s="220"/>
      <c r="BE63" s="53" t="s">
        <v>353</v>
      </c>
      <c r="BF63" s="53" t="s">
        <v>354</v>
      </c>
      <c r="BG63" s="49"/>
      <c r="BH63" s="53"/>
      <c r="BI63" s="53"/>
      <c r="BJ63" s="49"/>
      <c r="BK63" s="50"/>
    </row>
    <row r="64" spans="1:88" ht="15.75" customHeight="1">
      <c r="A64" s="51"/>
      <c r="B64" s="37" t="s">
        <v>355</v>
      </c>
      <c r="C64" s="216"/>
      <c r="D64" s="216"/>
      <c r="E64" s="216"/>
      <c r="F64" s="216"/>
      <c r="G64" s="216"/>
      <c r="H64" s="216"/>
      <c r="I64" s="216"/>
      <c r="J64" s="216"/>
      <c r="K64" s="216"/>
      <c r="L64" s="217"/>
      <c r="M64" s="216" t="s">
        <v>419</v>
      </c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/>
      <c r="AX64" s="220"/>
      <c r="AY64" s="220"/>
      <c r="AZ64" s="220"/>
      <c r="BA64" s="220"/>
      <c r="BB64" s="220"/>
      <c r="BC64" s="220"/>
      <c r="BD64" s="220"/>
      <c r="BE64" s="53" t="s">
        <v>353</v>
      </c>
      <c r="BF64" s="53" t="s">
        <v>354</v>
      </c>
      <c r="BG64" s="49"/>
      <c r="BH64" s="53"/>
      <c r="BI64" s="53"/>
      <c r="BJ64" s="49"/>
      <c r="BK64" s="50"/>
    </row>
    <row r="65" spans="1:65" ht="15.75" customHeight="1">
      <c r="A65" s="51"/>
      <c r="B65" s="37" t="s">
        <v>420</v>
      </c>
      <c r="C65" s="216"/>
      <c r="D65" s="216"/>
      <c r="E65" s="216"/>
      <c r="F65" s="216"/>
      <c r="G65" s="216"/>
      <c r="H65" s="216"/>
      <c r="I65" s="216"/>
      <c r="J65" s="216"/>
      <c r="K65" s="216"/>
      <c r="L65" s="217"/>
      <c r="M65" s="216" t="s">
        <v>421</v>
      </c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0"/>
      <c r="AR65" s="220"/>
      <c r="AS65" s="220"/>
      <c r="AT65" s="220"/>
      <c r="AU65" s="220"/>
      <c r="AV65" s="220"/>
      <c r="AW65" s="220"/>
      <c r="AX65" s="220"/>
      <c r="AY65" s="220"/>
      <c r="AZ65" s="220"/>
      <c r="BA65" s="220"/>
      <c r="BB65" s="220"/>
      <c r="BC65" s="220"/>
      <c r="BD65" s="220"/>
      <c r="BE65" s="53" t="s">
        <v>353</v>
      </c>
      <c r="BF65" s="53" t="s">
        <v>354</v>
      </c>
      <c r="BG65" s="49"/>
      <c r="BH65" s="53"/>
      <c r="BI65" s="53"/>
      <c r="BJ65" s="49"/>
      <c r="BK65" s="50"/>
    </row>
    <row r="66" spans="1:65" ht="15.75" customHeight="1">
      <c r="A66" s="51"/>
      <c r="B66" s="52" t="s">
        <v>605</v>
      </c>
      <c r="C66" s="216"/>
      <c r="D66" s="216"/>
      <c r="E66" s="216"/>
      <c r="F66" s="216"/>
      <c r="G66" s="216"/>
      <c r="H66" s="216"/>
      <c r="I66" s="216"/>
      <c r="J66" s="216"/>
      <c r="K66" s="216"/>
      <c r="L66" s="217"/>
      <c r="M66" s="216" t="s">
        <v>620</v>
      </c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0"/>
      <c r="BB66" s="220"/>
      <c r="BC66" s="220"/>
      <c r="BD66" s="220"/>
      <c r="BE66" s="53" t="s">
        <v>353</v>
      </c>
      <c r="BF66" s="53" t="s">
        <v>354</v>
      </c>
      <c r="BG66" s="49"/>
      <c r="BH66" s="53"/>
      <c r="BI66" s="53"/>
      <c r="BJ66" s="49"/>
      <c r="BK66" s="50"/>
      <c r="BM66" s="413" t="s">
        <v>619</v>
      </c>
    </row>
    <row r="67" spans="1:65" ht="15.75" customHeight="1">
      <c r="A67" s="51"/>
      <c r="B67" s="52" t="s">
        <v>610</v>
      </c>
      <c r="C67" s="216"/>
      <c r="D67" s="216"/>
      <c r="E67" s="216"/>
      <c r="F67" s="216"/>
      <c r="G67" s="216"/>
      <c r="H67" s="216"/>
      <c r="I67" s="216"/>
      <c r="J67" s="216"/>
      <c r="K67" s="216"/>
      <c r="L67" s="217"/>
      <c r="M67" s="216" t="s">
        <v>621</v>
      </c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  <c r="AV67" s="220"/>
      <c r="AW67" s="220"/>
      <c r="AX67" s="220"/>
      <c r="AY67" s="220"/>
      <c r="AZ67" s="220"/>
      <c r="BA67" s="220"/>
      <c r="BB67" s="220"/>
      <c r="BC67" s="220"/>
      <c r="BD67" s="220"/>
      <c r="BE67" s="53" t="s">
        <v>353</v>
      </c>
      <c r="BF67" s="53" t="s">
        <v>354</v>
      </c>
      <c r="BG67" s="49"/>
      <c r="BH67" s="53"/>
      <c r="BI67" s="53"/>
      <c r="BJ67" s="49"/>
      <c r="BK67" s="50"/>
      <c r="BM67" s="413" t="s">
        <v>619</v>
      </c>
    </row>
    <row r="68" spans="1:65" ht="15.75" customHeight="1">
      <c r="A68" s="51"/>
      <c r="B68" s="52" t="s">
        <v>422</v>
      </c>
      <c r="C68" s="216"/>
      <c r="D68" s="216"/>
      <c r="E68" s="216"/>
      <c r="F68" s="216"/>
      <c r="G68" s="216"/>
      <c r="H68" s="216"/>
      <c r="I68" s="216"/>
      <c r="J68" s="216"/>
      <c r="K68" s="216"/>
      <c r="L68" s="217"/>
      <c r="M68" s="216" t="s">
        <v>423</v>
      </c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  <c r="AV68" s="220"/>
      <c r="AW68" s="220"/>
      <c r="AX68" s="220"/>
      <c r="AY68" s="220"/>
      <c r="AZ68" s="220"/>
      <c r="BA68" s="220"/>
      <c r="BB68" s="220"/>
      <c r="BC68" s="220"/>
      <c r="BD68" s="220"/>
      <c r="BE68" s="53" t="s">
        <v>353</v>
      </c>
      <c r="BF68" s="53" t="s">
        <v>354</v>
      </c>
      <c r="BG68" s="49"/>
      <c r="BH68" s="53"/>
      <c r="BI68" s="53"/>
      <c r="BJ68" s="49"/>
      <c r="BK68" s="50"/>
    </row>
    <row r="69" spans="1:65" ht="15.75" customHeight="1">
      <c r="A69" s="51"/>
      <c r="B69" s="52" t="s">
        <v>377</v>
      </c>
      <c r="C69" s="216"/>
      <c r="D69" s="216"/>
      <c r="E69" s="216"/>
      <c r="F69" s="216"/>
      <c r="G69" s="216"/>
      <c r="H69" s="216"/>
      <c r="I69" s="216"/>
      <c r="J69" s="216"/>
      <c r="K69" s="216"/>
      <c r="L69" s="217"/>
      <c r="M69" s="216" t="s">
        <v>424</v>
      </c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  <c r="AW69" s="220"/>
      <c r="AX69" s="220"/>
      <c r="AY69" s="220"/>
      <c r="AZ69" s="220"/>
      <c r="BA69" s="220"/>
      <c r="BB69" s="220"/>
      <c r="BC69" s="220"/>
      <c r="BD69" s="220"/>
      <c r="BE69" s="53" t="s">
        <v>353</v>
      </c>
      <c r="BF69" s="53" t="s">
        <v>354</v>
      </c>
      <c r="BG69" s="49"/>
      <c r="BH69" s="53"/>
      <c r="BI69" s="53"/>
      <c r="BJ69" s="49"/>
      <c r="BK69" s="50"/>
    </row>
    <row r="70" spans="1:65" ht="15.75" customHeight="1">
      <c r="A70" s="51"/>
      <c r="B70" s="52" t="s">
        <v>607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7"/>
      <c r="M70" s="216" t="s">
        <v>622</v>
      </c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  <c r="AV70" s="220"/>
      <c r="AW70" s="220"/>
      <c r="AX70" s="220"/>
      <c r="AY70" s="220"/>
      <c r="AZ70" s="220"/>
      <c r="BA70" s="220"/>
      <c r="BB70" s="220"/>
      <c r="BC70" s="220"/>
      <c r="BD70" s="220"/>
      <c r="BE70" s="53" t="s">
        <v>353</v>
      </c>
      <c r="BF70" s="53" t="s">
        <v>354</v>
      </c>
      <c r="BG70" s="49"/>
      <c r="BH70" s="53"/>
      <c r="BI70" s="53"/>
      <c r="BJ70" s="49"/>
      <c r="BK70" s="50"/>
      <c r="BM70" s="413" t="s">
        <v>619</v>
      </c>
    </row>
    <row r="71" spans="1:65" ht="15.75" customHeight="1">
      <c r="A71" s="51"/>
      <c r="B71" s="52" t="s">
        <v>613</v>
      </c>
      <c r="C71" s="216"/>
      <c r="D71" s="216"/>
      <c r="E71" s="216"/>
      <c r="F71" s="216"/>
      <c r="G71" s="216"/>
      <c r="H71" s="216"/>
      <c r="I71" s="216"/>
      <c r="J71" s="216"/>
      <c r="K71" s="216"/>
      <c r="L71" s="217"/>
      <c r="M71" s="216" t="s">
        <v>623</v>
      </c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0"/>
      <c r="AX71" s="220"/>
      <c r="AY71" s="220"/>
      <c r="AZ71" s="220"/>
      <c r="BA71" s="220"/>
      <c r="BB71" s="220"/>
      <c r="BC71" s="220"/>
      <c r="BD71" s="220"/>
      <c r="BE71" s="53" t="s">
        <v>353</v>
      </c>
      <c r="BF71" s="53" t="s">
        <v>354</v>
      </c>
      <c r="BG71" s="49"/>
      <c r="BH71" s="53"/>
      <c r="BI71" s="53"/>
      <c r="BJ71" s="49"/>
      <c r="BK71" s="50"/>
      <c r="BM71" s="413" t="s">
        <v>619</v>
      </c>
    </row>
    <row r="72" spans="1:65" ht="15.75" customHeight="1">
      <c r="A72" s="51"/>
      <c r="B72" s="52" t="s">
        <v>425</v>
      </c>
      <c r="C72" s="216"/>
      <c r="D72" s="216"/>
      <c r="E72" s="216"/>
      <c r="F72" s="216"/>
      <c r="G72" s="216"/>
      <c r="H72" s="216"/>
      <c r="I72" s="216"/>
      <c r="J72" s="216"/>
      <c r="K72" s="216"/>
      <c r="L72" s="217"/>
      <c r="M72" s="216" t="s">
        <v>426</v>
      </c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  <c r="AV72" s="220"/>
      <c r="AW72" s="220"/>
      <c r="AX72" s="220"/>
      <c r="AY72" s="220"/>
      <c r="AZ72" s="220"/>
      <c r="BA72" s="220"/>
      <c r="BB72" s="220"/>
      <c r="BC72" s="220"/>
      <c r="BD72" s="220"/>
      <c r="BE72" s="53" t="s">
        <v>353</v>
      </c>
      <c r="BF72" s="53" t="s">
        <v>354</v>
      </c>
      <c r="BG72" s="49"/>
      <c r="BH72" s="53"/>
      <c r="BI72" s="53"/>
      <c r="BJ72" s="49"/>
      <c r="BK72" s="50"/>
    </row>
    <row r="73" spans="1:65" ht="15.75" customHeight="1">
      <c r="A73" s="51"/>
      <c r="B73" s="52" t="s">
        <v>380</v>
      </c>
      <c r="C73" s="216"/>
      <c r="D73" s="216"/>
      <c r="E73" s="216"/>
      <c r="F73" s="216"/>
      <c r="G73" s="216"/>
      <c r="H73" s="216"/>
      <c r="I73" s="216"/>
      <c r="J73" s="216"/>
      <c r="K73" s="216"/>
      <c r="L73" s="217"/>
      <c r="M73" s="216" t="s">
        <v>427</v>
      </c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  <c r="AV73" s="220"/>
      <c r="AW73" s="220"/>
      <c r="AX73" s="220"/>
      <c r="AY73" s="220"/>
      <c r="AZ73" s="220"/>
      <c r="BA73" s="220"/>
      <c r="BB73" s="220"/>
      <c r="BC73" s="220"/>
      <c r="BD73" s="220"/>
      <c r="BE73" s="53" t="s">
        <v>353</v>
      </c>
      <c r="BF73" s="53" t="s">
        <v>354</v>
      </c>
      <c r="BG73" s="49"/>
      <c r="BH73" s="53"/>
      <c r="BI73" s="53"/>
      <c r="BJ73" s="49"/>
      <c r="BK73" s="50"/>
    </row>
    <row r="74" spans="1:65" ht="15.75" customHeight="1">
      <c r="A74" s="51"/>
      <c r="B74" s="37" t="s">
        <v>357</v>
      </c>
      <c r="C74" s="216"/>
      <c r="D74" s="216"/>
      <c r="E74" s="216"/>
      <c r="F74" s="216"/>
      <c r="G74" s="216"/>
      <c r="H74" s="216"/>
      <c r="I74" s="216"/>
      <c r="J74" s="216"/>
      <c r="K74" s="216"/>
      <c r="L74" s="217"/>
      <c r="M74" s="216" t="s">
        <v>428</v>
      </c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  <c r="AV74" s="220"/>
      <c r="AW74" s="220"/>
      <c r="AX74" s="220"/>
      <c r="AY74" s="220"/>
      <c r="AZ74" s="220"/>
      <c r="BA74" s="220"/>
      <c r="BB74" s="220"/>
      <c r="BC74" s="220"/>
      <c r="BD74" s="220"/>
      <c r="BE74" s="53" t="s">
        <v>353</v>
      </c>
      <c r="BF74" s="53" t="s">
        <v>354</v>
      </c>
      <c r="BG74" s="49"/>
      <c r="BH74" s="53"/>
      <c r="BI74" s="53"/>
      <c r="BJ74" s="49"/>
      <c r="BK74" s="50"/>
    </row>
    <row r="75" spans="1:65" ht="15.75" customHeight="1">
      <c r="A75" s="51"/>
      <c r="B75" s="37" t="s">
        <v>363</v>
      </c>
      <c r="C75" s="216"/>
      <c r="D75" s="216"/>
      <c r="E75" s="216"/>
      <c r="F75" s="216"/>
      <c r="G75" s="216"/>
      <c r="H75" s="216"/>
      <c r="I75" s="216"/>
      <c r="J75" s="216"/>
      <c r="K75" s="216"/>
      <c r="L75" s="217"/>
      <c r="M75" s="216" t="s">
        <v>429</v>
      </c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  <c r="AV75" s="220"/>
      <c r="AW75" s="220"/>
      <c r="AX75" s="220"/>
      <c r="AY75" s="220"/>
      <c r="AZ75" s="220"/>
      <c r="BA75" s="220"/>
      <c r="BB75" s="220"/>
      <c r="BC75" s="220"/>
      <c r="BD75" s="220"/>
      <c r="BE75" s="53" t="s">
        <v>353</v>
      </c>
      <c r="BF75" s="53" t="s">
        <v>354</v>
      </c>
      <c r="BG75" s="49"/>
      <c r="BH75" s="53"/>
      <c r="BI75" s="53"/>
      <c r="BJ75" s="49"/>
      <c r="BK75" s="50"/>
    </row>
    <row r="76" spans="1:65" ht="15.75" customHeight="1">
      <c r="A76" s="51"/>
      <c r="B76" s="37" t="s">
        <v>430</v>
      </c>
      <c r="C76" s="216"/>
      <c r="D76" s="216"/>
      <c r="E76" s="216"/>
      <c r="F76" s="216"/>
      <c r="G76" s="216"/>
      <c r="H76" s="216"/>
      <c r="I76" s="216"/>
      <c r="J76" s="216"/>
      <c r="K76" s="216"/>
      <c r="L76" s="217"/>
      <c r="M76" s="216" t="s">
        <v>431</v>
      </c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0"/>
      <c r="AR76" s="220"/>
      <c r="AS76" s="220"/>
      <c r="AT76" s="220"/>
      <c r="AU76" s="220"/>
      <c r="AV76" s="220"/>
      <c r="AW76" s="220"/>
      <c r="AX76" s="220"/>
      <c r="AY76" s="220"/>
      <c r="AZ76" s="220"/>
      <c r="BA76" s="220"/>
      <c r="BB76" s="220"/>
      <c r="BC76" s="220"/>
      <c r="BD76" s="220"/>
      <c r="BE76" s="53" t="s">
        <v>353</v>
      </c>
      <c r="BF76" s="53" t="s">
        <v>354</v>
      </c>
      <c r="BG76" s="49"/>
      <c r="BH76" s="53"/>
      <c r="BI76" s="53"/>
      <c r="BJ76" s="49"/>
      <c r="BK76" s="50"/>
    </row>
    <row r="77" spans="1:65" ht="15.75" customHeight="1">
      <c r="A77" s="51"/>
      <c r="B77" s="37" t="s">
        <v>432</v>
      </c>
      <c r="C77" s="216"/>
      <c r="D77" s="216"/>
      <c r="E77" s="216"/>
      <c r="F77" s="216"/>
      <c r="G77" s="216"/>
      <c r="H77" s="216"/>
      <c r="I77" s="216"/>
      <c r="J77" s="216"/>
      <c r="K77" s="216"/>
      <c r="L77" s="217"/>
      <c r="M77" s="216" t="s">
        <v>433</v>
      </c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  <c r="AV77" s="220"/>
      <c r="AW77" s="220"/>
      <c r="AX77" s="220"/>
      <c r="AY77" s="220"/>
      <c r="AZ77" s="220"/>
      <c r="BA77" s="220"/>
      <c r="BB77" s="220"/>
      <c r="BC77" s="220"/>
      <c r="BD77" s="220"/>
      <c r="BE77" s="53" t="s">
        <v>353</v>
      </c>
      <c r="BF77" s="53" t="s">
        <v>354</v>
      </c>
      <c r="BG77" s="49"/>
      <c r="BH77" s="53"/>
      <c r="BI77" s="53"/>
      <c r="BJ77" s="49"/>
      <c r="BK77" s="50"/>
    </row>
    <row r="78" spans="1:65" ht="15.75" customHeight="1">
      <c r="A78" s="51"/>
      <c r="B78" s="37" t="s">
        <v>434</v>
      </c>
      <c r="C78" s="216"/>
      <c r="D78" s="216"/>
      <c r="E78" s="216"/>
      <c r="F78" s="216"/>
      <c r="G78" s="216"/>
      <c r="H78" s="216"/>
      <c r="I78" s="216"/>
      <c r="J78" s="216"/>
      <c r="K78" s="216"/>
      <c r="L78" s="217"/>
      <c r="M78" s="216" t="s">
        <v>435</v>
      </c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  <c r="AV78" s="220"/>
      <c r="AW78" s="220"/>
      <c r="AX78" s="220"/>
      <c r="AY78" s="220"/>
      <c r="AZ78" s="220"/>
      <c r="BA78" s="220"/>
      <c r="BB78" s="220"/>
      <c r="BC78" s="220"/>
      <c r="BD78" s="220"/>
      <c r="BE78" s="53" t="s">
        <v>353</v>
      </c>
      <c r="BF78" s="53" t="s">
        <v>354</v>
      </c>
      <c r="BG78" s="49"/>
      <c r="BH78" s="53"/>
      <c r="BI78" s="53"/>
      <c r="BJ78" s="49"/>
      <c r="BK78" s="50"/>
    </row>
    <row r="79" spans="1:65" ht="15.75" customHeight="1">
      <c r="A79" s="51"/>
      <c r="B79" s="37" t="s">
        <v>436</v>
      </c>
      <c r="C79" s="216"/>
      <c r="D79" s="216"/>
      <c r="E79" s="216"/>
      <c r="F79" s="216"/>
      <c r="G79" s="216"/>
      <c r="H79" s="216"/>
      <c r="I79" s="216"/>
      <c r="J79" s="216"/>
      <c r="K79" s="216"/>
      <c r="L79" s="217"/>
      <c r="M79" s="216" t="s">
        <v>437</v>
      </c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  <c r="AV79" s="220"/>
      <c r="AW79" s="220"/>
      <c r="AX79" s="220"/>
      <c r="AY79" s="220"/>
      <c r="AZ79" s="220"/>
      <c r="BA79" s="220"/>
      <c r="BB79" s="220"/>
      <c r="BC79" s="220"/>
      <c r="BD79" s="220"/>
      <c r="BE79" s="53" t="s">
        <v>353</v>
      </c>
      <c r="BF79" s="53" t="s">
        <v>354</v>
      </c>
      <c r="BG79" s="49"/>
      <c r="BH79" s="53"/>
      <c r="BI79" s="53"/>
      <c r="BJ79" s="49"/>
      <c r="BK79" s="50"/>
    </row>
    <row r="80" spans="1:65" ht="15.75" customHeight="1">
      <c r="A80" s="51"/>
      <c r="B80" s="37" t="s">
        <v>438</v>
      </c>
      <c r="C80" s="216"/>
      <c r="D80" s="216"/>
      <c r="E80" s="216"/>
      <c r="F80" s="216"/>
      <c r="G80" s="216"/>
      <c r="H80" s="216"/>
      <c r="I80" s="216"/>
      <c r="J80" s="216"/>
      <c r="K80" s="216"/>
      <c r="L80" s="217"/>
      <c r="M80" s="216" t="s">
        <v>439</v>
      </c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  <c r="AV80" s="220"/>
      <c r="AW80" s="220"/>
      <c r="AX80" s="220"/>
      <c r="AY80" s="220"/>
      <c r="AZ80" s="220"/>
      <c r="BA80" s="220"/>
      <c r="BB80" s="220"/>
      <c r="BC80" s="220"/>
      <c r="BD80" s="220"/>
      <c r="BE80" s="38" t="s">
        <v>322</v>
      </c>
      <c r="BF80" s="307" t="s">
        <v>323</v>
      </c>
      <c r="BG80" s="49"/>
      <c r="BH80" s="53"/>
      <c r="BI80" s="53"/>
      <c r="BJ80" s="49"/>
      <c r="BK80" s="50"/>
    </row>
    <row r="81" spans="1:93" ht="15.75" customHeight="1">
      <c r="A81" s="51"/>
      <c r="B81" s="37" t="s">
        <v>440</v>
      </c>
      <c r="C81" s="216"/>
      <c r="D81" s="216"/>
      <c r="E81" s="216"/>
      <c r="F81" s="216"/>
      <c r="G81" s="216"/>
      <c r="H81" s="216"/>
      <c r="I81" s="216"/>
      <c r="J81" s="216"/>
      <c r="K81" s="216"/>
      <c r="L81" s="217"/>
      <c r="M81" s="216" t="s">
        <v>441</v>
      </c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  <c r="AV81" s="220"/>
      <c r="AW81" s="220"/>
      <c r="AX81" s="220"/>
      <c r="AY81" s="220"/>
      <c r="AZ81" s="220"/>
      <c r="BA81" s="220"/>
      <c r="BB81" s="220"/>
      <c r="BC81" s="220"/>
      <c r="BD81" s="220"/>
      <c r="BE81" s="38" t="s">
        <v>322</v>
      </c>
      <c r="BF81" s="307" t="s">
        <v>323</v>
      </c>
      <c r="BG81" s="49"/>
      <c r="BH81" s="53"/>
      <c r="BI81" s="53"/>
      <c r="BJ81" s="49"/>
      <c r="BK81" s="50"/>
    </row>
    <row r="82" spans="1:93" ht="15.75" customHeight="1">
      <c r="A82" s="51"/>
      <c r="B82" s="37" t="s">
        <v>442</v>
      </c>
      <c r="C82" s="216"/>
      <c r="D82" s="216"/>
      <c r="E82" s="216"/>
      <c r="F82" s="216"/>
      <c r="G82" s="216"/>
      <c r="H82" s="216"/>
      <c r="I82" s="216"/>
      <c r="J82" s="216"/>
      <c r="K82" s="216"/>
      <c r="L82" s="217"/>
      <c r="M82" s="216" t="s">
        <v>443</v>
      </c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0"/>
      <c r="AX82" s="220"/>
      <c r="AY82" s="220"/>
      <c r="AZ82" s="220"/>
      <c r="BA82" s="220"/>
      <c r="BB82" s="220"/>
      <c r="BC82" s="220"/>
      <c r="BD82" s="220"/>
      <c r="BE82" s="38" t="s">
        <v>322</v>
      </c>
      <c r="BF82" s="307" t="s">
        <v>323</v>
      </c>
      <c r="BG82" s="49"/>
      <c r="BH82" s="53"/>
      <c r="BI82" s="53"/>
      <c r="BJ82" s="49"/>
      <c r="BK82" s="50"/>
    </row>
    <row r="83" spans="1:93" ht="15.75" customHeight="1">
      <c r="A83" s="51"/>
      <c r="B83" s="37" t="s">
        <v>444</v>
      </c>
      <c r="C83" s="216"/>
      <c r="D83" s="216"/>
      <c r="E83" s="216"/>
      <c r="F83" s="216"/>
      <c r="G83" s="216"/>
      <c r="H83" s="216"/>
      <c r="I83" s="216"/>
      <c r="J83" s="216"/>
      <c r="K83" s="216"/>
      <c r="L83" s="217"/>
      <c r="M83" s="216" t="s">
        <v>445</v>
      </c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  <c r="AV83" s="220"/>
      <c r="AW83" s="220"/>
      <c r="AX83" s="220"/>
      <c r="AY83" s="220"/>
      <c r="AZ83" s="220"/>
      <c r="BA83" s="220"/>
      <c r="BB83" s="220"/>
      <c r="BC83" s="220"/>
      <c r="BD83" s="220"/>
      <c r="BE83" s="38" t="s">
        <v>322</v>
      </c>
      <c r="BF83" s="307" t="s">
        <v>323</v>
      </c>
      <c r="BG83" s="49"/>
      <c r="BH83" s="53"/>
      <c r="BI83" s="53"/>
      <c r="BJ83" s="49"/>
      <c r="BK83" s="50"/>
    </row>
    <row r="84" spans="1:93" ht="15.75" customHeight="1">
      <c r="A84" s="51"/>
      <c r="B84" s="37" t="s">
        <v>446</v>
      </c>
      <c r="C84" s="216"/>
      <c r="D84" s="216"/>
      <c r="E84" s="216"/>
      <c r="F84" s="216"/>
      <c r="G84" s="216"/>
      <c r="H84" s="216"/>
      <c r="I84" s="216"/>
      <c r="J84" s="216"/>
      <c r="K84" s="216"/>
      <c r="L84" s="217"/>
      <c r="M84" s="216" t="s">
        <v>447</v>
      </c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0"/>
      <c r="AZ84" s="220"/>
      <c r="BA84" s="220"/>
      <c r="BB84" s="220"/>
      <c r="BC84" s="220"/>
      <c r="BD84" s="220"/>
      <c r="BE84" s="38" t="s">
        <v>322</v>
      </c>
      <c r="BF84" s="307" t="s">
        <v>323</v>
      </c>
      <c r="BG84" s="49"/>
      <c r="BH84" s="53"/>
      <c r="BI84" s="53"/>
      <c r="BJ84" s="49"/>
      <c r="BK84" s="50"/>
    </row>
    <row r="85" spans="1:93" ht="15.75" customHeight="1">
      <c r="A85" s="51"/>
      <c r="B85" s="52" t="s">
        <v>332</v>
      </c>
      <c r="C85" s="216"/>
      <c r="D85" s="216"/>
      <c r="E85" s="216"/>
      <c r="F85" s="216"/>
      <c r="G85" s="216"/>
      <c r="H85" s="216"/>
      <c r="I85" s="216"/>
      <c r="J85" s="216"/>
      <c r="K85" s="216"/>
      <c r="L85" s="217"/>
      <c r="M85" s="216" t="s">
        <v>448</v>
      </c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0"/>
      <c r="AZ85" s="220"/>
      <c r="BA85" s="220"/>
      <c r="BB85" s="220"/>
      <c r="BC85" s="220"/>
      <c r="BD85" s="220"/>
      <c r="BE85" s="38" t="s">
        <v>322</v>
      </c>
      <c r="BF85" s="307" t="s">
        <v>323</v>
      </c>
      <c r="BG85" s="49"/>
      <c r="BH85" s="53"/>
      <c r="BI85" s="53"/>
      <c r="BJ85" s="49"/>
      <c r="BK85" s="50"/>
    </row>
    <row r="86" spans="1:93" ht="15.75" customHeight="1">
      <c r="A86" s="51"/>
      <c r="B86" s="52" t="s">
        <v>449</v>
      </c>
      <c r="C86" s="216"/>
      <c r="D86" s="216"/>
      <c r="E86" s="216"/>
      <c r="F86" s="216"/>
      <c r="G86" s="216"/>
      <c r="H86" s="216"/>
      <c r="I86" s="216"/>
      <c r="J86" s="216"/>
      <c r="K86" s="216"/>
      <c r="L86" s="217"/>
      <c r="M86" s="216" t="s">
        <v>450</v>
      </c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  <c r="AV86" s="220"/>
      <c r="AW86" s="220"/>
      <c r="AX86" s="220"/>
      <c r="AY86" s="220"/>
      <c r="AZ86" s="220"/>
      <c r="BA86" s="220"/>
      <c r="BB86" s="220"/>
      <c r="BC86" s="220"/>
      <c r="BD86" s="220"/>
      <c r="BE86" s="38" t="s">
        <v>322</v>
      </c>
      <c r="BF86" s="307" t="s">
        <v>323</v>
      </c>
      <c r="BG86" s="49"/>
      <c r="BH86" s="53"/>
      <c r="BI86" s="53"/>
      <c r="BJ86" s="49"/>
      <c r="BK86" s="50"/>
    </row>
    <row r="87" spans="1:93" ht="15.75" customHeight="1">
      <c r="A87" s="51"/>
      <c r="B87" s="37" t="s">
        <v>451</v>
      </c>
      <c r="C87" s="216"/>
      <c r="D87" s="216"/>
      <c r="E87" s="216"/>
      <c r="F87" s="216"/>
      <c r="G87" s="216"/>
      <c r="H87" s="216"/>
      <c r="I87" s="216"/>
      <c r="J87" s="216"/>
      <c r="K87" s="216"/>
      <c r="L87" s="217"/>
      <c r="M87" s="216" t="s">
        <v>452</v>
      </c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0"/>
      <c r="AZ87" s="220"/>
      <c r="BA87" s="220"/>
      <c r="BB87" s="220"/>
      <c r="BC87" s="220"/>
      <c r="BD87" s="220"/>
      <c r="BE87" s="38" t="s">
        <v>322</v>
      </c>
      <c r="BF87" s="307" t="s">
        <v>323</v>
      </c>
      <c r="BG87" s="49"/>
      <c r="BH87" s="53"/>
      <c r="BI87" s="53"/>
      <c r="BJ87" s="49"/>
      <c r="BK87" s="50"/>
    </row>
    <row r="88" spans="1:93" ht="15.75" customHeight="1">
      <c r="A88" s="51"/>
      <c r="B88" s="37" t="s">
        <v>453</v>
      </c>
      <c r="C88" s="216"/>
      <c r="D88" s="216"/>
      <c r="E88" s="216"/>
      <c r="F88" s="216"/>
      <c r="G88" s="216"/>
      <c r="H88" s="216"/>
      <c r="I88" s="216"/>
      <c r="J88" s="216"/>
      <c r="K88" s="216"/>
      <c r="L88" s="217"/>
      <c r="M88" s="216" t="s">
        <v>454</v>
      </c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0"/>
      <c r="AZ88" s="220"/>
      <c r="BA88" s="220"/>
      <c r="BB88" s="220"/>
      <c r="BC88" s="220"/>
      <c r="BD88" s="220"/>
      <c r="BE88" s="38" t="s">
        <v>322</v>
      </c>
      <c r="BF88" s="307" t="s">
        <v>323</v>
      </c>
      <c r="BG88" s="49"/>
      <c r="BH88" s="53"/>
      <c r="BI88" s="53"/>
      <c r="BJ88" s="49"/>
      <c r="BK88" s="50"/>
    </row>
    <row r="89" spans="1:93" ht="15.75" customHeight="1">
      <c r="A89" s="51"/>
      <c r="B89" s="41" t="s">
        <v>455</v>
      </c>
      <c r="C89" s="216"/>
      <c r="D89" s="216"/>
      <c r="E89" s="216"/>
      <c r="F89" s="216"/>
      <c r="G89" s="216"/>
      <c r="H89" s="216"/>
      <c r="I89" s="216"/>
      <c r="J89" s="216"/>
      <c r="K89" s="216"/>
      <c r="L89" s="217"/>
      <c r="M89" s="216" t="s">
        <v>456</v>
      </c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0"/>
      <c r="AZ89" s="220"/>
      <c r="BA89" s="220"/>
      <c r="BB89" s="220"/>
      <c r="BC89" s="220"/>
      <c r="BD89" s="220"/>
      <c r="BE89" s="38" t="s">
        <v>322</v>
      </c>
      <c r="BF89" s="307" t="s">
        <v>323</v>
      </c>
      <c r="BG89" s="49"/>
      <c r="BH89" s="53"/>
      <c r="BI89" s="53"/>
      <c r="BJ89" s="49"/>
      <c r="BK89" s="50"/>
    </row>
    <row r="90" spans="1:93" ht="15.75" customHeight="1">
      <c r="A90" s="51"/>
      <c r="B90" s="52" t="s">
        <v>342</v>
      </c>
      <c r="C90" s="216"/>
      <c r="D90" s="216"/>
      <c r="E90" s="216"/>
      <c r="F90" s="216"/>
      <c r="G90" s="216"/>
      <c r="H90" s="216"/>
      <c r="I90" s="216"/>
      <c r="J90" s="216"/>
      <c r="K90" s="216"/>
      <c r="L90" s="217"/>
      <c r="M90" s="216" t="s">
        <v>457</v>
      </c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/>
      <c r="AT90" s="220"/>
      <c r="AU90" s="220"/>
      <c r="AV90" s="220"/>
      <c r="AW90" s="220"/>
      <c r="AX90" s="220"/>
      <c r="AY90" s="220"/>
      <c r="AZ90" s="220"/>
      <c r="BA90" s="220"/>
      <c r="BB90" s="220"/>
      <c r="BC90" s="220"/>
      <c r="BD90" s="220"/>
      <c r="BE90" s="38" t="s">
        <v>322</v>
      </c>
      <c r="BF90" s="307" t="s">
        <v>323</v>
      </c>
      <c r="BG90" s="49"/>
      <c r="BH90" s="53"/>
      <c r="BI90" s="53"/>
      <c r="BJ90" s="49"/>
      <c r="BK90" s="50"/>
    </row>
    <row r="91" spans="1:93" ht="15.75" customHeight="1">
      <c r="A91" s="51"/>
      <c r="B91" s="41" t="s">
        <v>458</v>
      </c>
      <c r="C91" s="216"/>
      <c r="D91" s="216"/>
      <c r="E91" s="216"/>
      <c r="F91" s="216"/>
      <c r="G91" s="216"/>
      <c r="H91" s="216"/>
      <c r="I91" s="216"/>
      <c r="J91" s="216"/>
      <c r="K91" s="216"/>
      <c r="L91" s="217"/>
      <c r="M91" s="216" t="s">
        <v>459</v>
      </c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0"/>
      <c r="AR91" s="220"/>
      <c r="AS91" s="220"/>
      <c r="AT91" s="220"/>
      <c r="AU91" s="220"/>
      <c r="AV91" s="220"/>
      <c r="AW91" s="220"/>
      <c r="AX91" s="220"/>
      <c r="AY91" s="220"/>
      <c r="AZ91" s="220"/>
      <c r="BA91" s="220"/>
      <c r="BB91" s="220"/>
      <c r="BC91" s="220"/>
      <c r="BD91" s="220"/>
      <c r="BE91" s="53" t="s">
        <v>353</v>
      </c>
      <c r="BF91" s="53" t="s">
        <v>347</v>
      </c>
      <c r="BG91" s="49"/>
      <c r="BH91" s="53"/>
      <c r="BI91" s="53"/>
      <c r="BJ91" s="49"/>
      <c r="BK91" s="50"/>
    </row>
    <row r="92" spans="1:93" ht="45" customHeight="1">
      <c r="A92" s="51"/>
      <c r="B92" s="41" t="s">
        <v>460</v>
      </c>
      <c r="C92" s="216"/>
      <c r="D92" s="216"/>
      <c r="E92" s="216"/>
      <c r="F92" s="216"/>
      <c r="G92" s="216"/>
      <c r="H92" s="216"/>
      <c r="I92" s="216"/>
      <c r="J92" s="216"/>
      <c r="K92" s="216"/>
      <c r="L92" s="217"/>
      <c r="M92" s="216" t="s">
        <v>461</v>
      </c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0"/>
      <c r="AR92" s="220"/>
      <c r="AS92" s="220"/>
      <c r="AT92" s="220"/>
      <c r="AU92" s="220"/>
      <c r="AV92" s="220"/>
      <c r="AW92" s="220"/>
      <c r="AX92" s="220"/>
      <c r="AY92" s="220"/>
      <c r="AZ92" s="220"/>
      <c r="BA92" s="220"/>
      <c r="BB92" s="220"/>
      <c r="BC92" s="220"/>
      <c r="BD92" s="220"/>
      <c r="BE92" s="53" t="s">
        <v>353</v>
      </c>
      <c r="BF92" s="53" t="s">
        <v>354</v>
      </c>
      <c r="BG92" s="49"/>
      <c r="BH92" s="53"/>
      <c r="BI92" s="53"/>
      <c r="BJ92" s="49"/>
      <c r="BK92" s="50"/>
      <c r="BL92" s="878" t="s">
        <v>462</v>
      </c>
      <c r="BM92" s="879"/>
      <c r="BN92" s="879"/>
      <c r="BO92" s="879"/>
      <c r="BP92" s="879"/>
      <c r="BQ92" s="879"/>
      <c r="BR92" s="879"/>
      <c r="BS92" s="879"/>
      <c r="BT92" s="879"/>
      <c r="BU92" s="879"/>
      <c r="BV92" s="879"/>
      <c r="BW92" s="879"/>
      <c r="BX92" s="879"/>
      <c r="BY92" s="879"/>
      <c r="BZ92" s="410"/>
      <c r="CA92" s="410"/>
      <c r="CB92" s="879" t="s">
        <v>463</v>
      </c>
      <c r="CC92" s="879"/>
      <c r="CD92" s="879"/>
      <c r="CE92" s="879"/>
      <c r="CF92" s="879"/>
      <c r="CG92" s="879"/>
      <c r="CH92" s="879"/>
      <c r="CI92" s="879"/>
      <c r="CJ92" s="879"/>
      <c r="CK92" s="879"/>
      <c r="CL92" s="879"/>
      <c r="CM92" s="879"/>
      <c r="CN92" s="879"/>
      <c r="CO92" s="879"/>
    </row>
    <row r="93" spans="1:93" ht="45" customHeight="1">
      <c r="A93" s="51"/>
      <c r="B93" s="52" t="s">
        <v>464</v>
      </c>
      <c r="C93" s="216"/>
      <c r="D93" s="216"/>
      <c r="E93" s="216"/>
      <c r="F93" s="216"/>
      <c r="G93" s="216"/>
      <c r="H93" s="216"/>
      <c r="I93" s="216"/>
      <c r="J93" s="216"/>
      <c r="K93" s="216"/>
      <c r="L93" s="217"/>
      <c r="M93" s="216" t="s">
        <v>465</v>
      </c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0"/>
      <c r="AR93" s="220"/>
      <c r="AS93" s="220"/>
      <c r="AT93" s="220"/>
      <c r="AU93" s="220"/>
      <c r="AV93" s="220"/>
      <c r="AW93" s="220"/>
      <c r="AX93" s="220"/>
      <c r="AY93" s="220"/>
      <c r="AZ93" s="220"/>
      <c r="BA93" s="220"/>
      <c r="BB93" s="220"/>
      <c r="BC93" s="220"/>
      <c r="BD93" s="220"/>
      <c r="BE93" s="53" t="s">
        <v>353</v>
      </c>
      <c r="BF93" s="53" t="s">
        <v>354</v>
      </c>
      <c r="BG93" s="49"/>
      <c r="BH93" s="53"/>
      <c r="BI93" s="53"/>
      <c r="BJ93" s="49"/>
      <c r="BK93" s="50"/>
      <c r="BL93" s="878"/>
      <c r="BM93" s="879"/>
      <c r="BN93" s="879"/>
      <c r="BO93" s="879"/>
      <c r="BP93" s="879"/>
      <c r="BQ93" s="879"/>
      <c r="BR93" s="879"/>
      <c r="BS93" s="879"/>
      <c r="BT93" s="879"/>
      <c r="BU93" s="879"/>
      <c r="BV93" s="879"/>
      <c r="BW93" s="879"/>
      <c r="BX93" s="879"/>
      <c r="BY93" s="879"/>
      <c r="BZ93" s="410"/>
      <c r="CA93" s="410"/>
      <c r="CB93" s="879"/>
      <c r="CC93" s="879"/>
      <c r="CD93" s="879"/>
      <c r="CE93" s="879"/>
      <c r="CF93" s="879"/>
      <c r="CG93" s="879"/>
      <c r="CH93" s="879"/>
      <c r="CI93" s="879"/>
      <c r="CJ93" s="879"/>
      <c r="CK93" s="879"/>
      <c r="CL93" s="879"/>
      <c r="CM93" s="879"/>
      <c r="CN93" s="879"/>
      <c r="CO93" s="879"/>
    </row>
    <row r="94" spans="1:93" ht="15.75" customHeight="1">
      <c r="A94" s="51"/>
      <c r="B94" s="52"/>
      <c r="C94" s="216"/>
      <c r="D94" s="216"/>
      <c r="E94" s="216"/>
      <c r="F94" s="216"/>
      <c r="G94" s="216"/>
      <c r="H94" s="216"/>
      <c r="I94" s="216"/>
      <c r="J94" s="216"/>
      <c r="K94" s="216"/>
      <c r="L94" s="217"/>
      <c r="M94" s="216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0"/>
      <c r="AT94" s="220"/>
      <c r="AU94" s="220"/>
      <c r="AV94" s="220"/>
      <c r="AW94" s="220"/>
      <c r="AX94" s="220"/>
      <c r="AY94" s="220"/>
      <c r="AZ94" s="220"/>
      <c r="BA94" s="220"/>
      <c r="BB94" s="220"/>
      <c r="BC94" s="220"/>
      <c r="BD94" s="220"/>
      <c r="BE94" s="49"/>
      <c r="BF94" s="53"/>
      <c r="BG94" s="49"/>
      <c r="BH94" s="53"/>
      <c r="BI94" s="49"/>
      <c r="BJ94" s="49"/>
      <c r="BK94" s="50"/>
      <c r="BM94" s="411" t="s">
        <v>466</v>
      </c>
      <c r="CE94" s="411" t="s">
        <v>467</v>
      </c>
    </row>
    <row r="95" spans="1:93" ht="15.75" customHeight="1">
      <c r="A95" s="30"/>
      <c r="B95" s="31" t="s">
        <v>468</v>
      </c>
      <c r="C95" s="32"/>
      <c r="D95" s="32"/>
      <c r="E95" s="32"/>
      <c r="F95" s="32"/>
      <c r="G95" s="32"/>
      <c r="H95" s="32"/>
      <c r="I95" s="32"/>
      <c r="J95" s="32"/>
      <c r="K95" s="32"/>
      <c r="L95" s="33"/>
      <c r="M95" s="32"/>
      <c r="N95" s="34" t="s">
        <v>311</v>
      </c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5" t="s">
        <v>312</v>
      </c>
      <c r="BF95" s="35" t="s">
        <v>313</v>
      </c>
      <c r="BG95" s="35" t="s">
        <v>314</v>
      </c>
      <c r="BH95" s="35" t="s">
        <v>315</v>
      </c>
      <c r="BI95" s="35" t="s">
        <v>316</v>
      </c>
      <c r="BJ95" s="35" t="s">
        <v>317</v>
      </c>
      <c r="BK95" s="36" t="s">
        <v>318</v>
      </c>
      <c r="CF95" s="411" t="s">
        <v>469</v>
      </c>
      <c r="CJ95" s="412" t="s">
        <v>470</v>
      </c>
    </row>
    <row r="96" spans="1:93" ht="15.75" customHeight="1">
      <c r="A96" s="48"/>
      <c r="B96" s="52" t="s">
        <v>471</v>
      </c>
      <c r="C96" s="216"/>
      <c r="D96" s="216"/>
      <c r="E96" s="216"/>
      <c r="F96" s="216"/>
      <c r="G96" s="216"/>
      <c r="H96" s="216"/>
      <c r="I96" s="216"/>
      <c r="J96" s="216"/>
      <c r="K96" s="216"/>
      <c r="L96" s="217"/>
      <c r="M96" s="221" t="s">
        <v>472</v>
      </c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  <c r="AE96" s="216"/>
      <c r="AF96" s="216"/>
      <c r="AG96" s="216"/>
      <c r="AH96" s="216"/>
      <c r="AI96" s="216"/>
      <c r="AJ96" s="216"/>
      <c r="AK96" s="216"/>
      <c r="AL96" s="216"/>
      <c r="AM96" s="216"/>
      <c r="AN96" s="216"/>
      <c r="AO96" s="216"/>
      <c r="AP96" s="216"/>
      <c r="AQ96" s="216"/>
      <c r="AR96" s="216"/>
      <c r="AS96" s="216"/>
      <c r="AT96" s="216"/>
      <c r="AU96" s="216"/>
      <c r="AV96" s="216"/>
      <c r="AW96" s="216"/>
      <c r="AX96" s="216"/>
      <c r="AY96" s="216"/>
      <c r="AZ96" s="216"/>
      <c r="BA96" s="216"/>
      <c r="BB96" s="216"/>
      <c r="BC96" s="216"/>
      <c r="BD96" s="217"/>
      <c r="BE96" s="49" t="s">
        <v>473</v>
      </c>
      <c r="BF96" s="53"/>
      <c r="BG96" s="49"/>
      <c r="BH96" s="49"/>
      <c r="BI96" s="49"/>
      <c r="BJ96" s="49"/>
      <c r="BK96" s="50"/>
    </row>
    <row r="97" spans="1:63" ht="15.75" customHeight="1">
      <c r="A97" s="48"/>
      <c r="B97" s="52" t="s">
        <v>474</v>
      </c>
      <c r="C97" s="216"/>
      <c r="D97" s="216"/>
      <c r="E97" s="216"/>
      <c r="F97" s="216"/>
      <c r="G97" s="216"/>
      <c r="H97" s="216"/>
      <c r="I97" s="216"/>
      <c r="J97" s="216"/>
      <c r="K97" s="216"/>
      <c r="L97" s="217"/>
      <c r="M97" s="221" t="s">
        <v>475</v>
      </c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  <c r="AH97" s="216"/>
      <c r="AI97" s="216"/>
      <c r="AJ97" s="216"/>
      <c r="AK97" s="216"/>
      <c r="AL97" s="216"/>
      <c r="AM97" s="216"/>
      <c r="AN97" s="216"/>
      <c r="AO97" s="216"/>
      <c r="AP97" s="216"/>
      <c r="AQ97" s="216"/>
      <c r="AR97" s="216"/>
      <c r="AS97" s="216"/>
      <c r="AT97" s="216"/>
      <c r="AU97" s="216"/>
      <c r="AV97" s="216"/>
      <c r="AW97" s="216"/>
      <c r="AX97" s="216"/>
      <c r="AY97" s="216"/>
      <c r="AZ97" s="216"/>
      <c r="BA97" s="216"/>
      <c r="BB97" s="216"/>
      <c r="BC97" s="216"/>
      <c r="BD97" s="217"/>
      <c r="BE97" s="49" t="s">
        <v>473</v>
      </c>
      <c r="BF97" s="53"/>
      <c r="BG97" s="49"/>
      <c r="BH97" s="49"/>
      <c r="BI97" s="49"/>
      <c r="BJ97" s="49"/>
      <c r="BK97" s="50"/>
    </row>
    <row r="98" spans="1:63" ht="15.75" customHeight="1">
      <c r="A98" s="40"/>
      <c r="B98" s="37" t="s">
        <v>476</v>
      </c>
      <c r="C98" s="218"/>
      <c r="D98" s="218"/>
      <c r="E98" s="218"/>
      <c r="F98" s="218"/>
      <c r="G98" s="218"/>
      <c r="H98" s="218"/>
      <c r="I98" s="218"/>
      <c r="J98" s="218"/>
      <c r="K98" s="218"/>
      <c r="L98" s="219"/>
      <c r="M98" s="221" t="s">
        <v>477</v>
      </c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  <c r="AD98" s="216"/>
      <c r="AE98" s="216"/>
      <c r="AF98" s="216"/>
      <c r="AG98" s="216"/>
      <c r="AH98" s="216"/>
      <c r="AI98" s="216"/>
      <c r="AJ98" s="216"/>
      <c r="AK98" s="216"/>
      <c r="AL98" s="216"/>
      <c r="AM98" s="216"/>
      <c r="AN98" s="216"/>
      <c r="AO98" s="216"/>
      <c r="AP98" s="216"/>
      <c r="AQ98" s="216"/>
      <c r="AR98" s="216"/>
      <c r="AS98" s="216"/>
      <c r="AT98" s="216"/>
      <c r="AU98" s="216"/>
      <c r="AV98" s="216"/>
      <c r="AW98" s="216"/>
      <c r="AX98" s="216"/>
      <c r="AY98" s="216"/>
      <c r="AZ98" s="216"/>
      <c r="BA98" s="216"/>
      <c r="BB98" s="216"/>
      <c r="BC98" s="216"/>
      <c r="BD98" s="217"/>
      <c r="BE98" s="49" t="s">
        <v>473</v>
      </c>
      <c r="BF98" s="53"/>
      <c r="BG98" s="49"/>
      <c r="BH98" s="49"/>
      <c r="BI98" s="49"/>
      <c r="BJ98" s="49"/>
      <c r="BK98" s="50"/>
    </row>
    <row r="99" spans="1:63" ht="15.75" customHeight="1">
      <c r="A99" s="40"/>
      <c r="B99" s="37" t="s">
        <v>478</v>
      </c>
      <c r="C99" s="218"/>
      <c r="D99" s="218"/>
      <c r="E99" s="218"/>
      <c r="F99" s="218"/>
      <c r="G99" s="218"/>
      <c r="H99" s="218"/>
      <c r="I99" s="218"/>
      <c r="J99" s="218"/>
      <c r="K99" s="218"/>
      <c r="L99" s="219"/>
      <c r="M99" s="221" t="s">
        <v>479</v>
      </c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  <c r="AF99" s="216"/>
      <c r="AG99" s="216"/>
      <c r="AH99" s="216"/>
      <c r="AI99" s="216"/>
      <c r="AJ99" s="216"/>
      <c r="AK99" s="216"/>
      <c r="AL99" s="216"/>
      <c r="AM99" s="216"/>
      <c r="AN99" s="216"/>
      <c r="AO99" s="216"/>
      <c r="AP99" s="216"/>
      <c r="AQ99" s="216"/>
      <c r="AR99" s="216"/>
      <c r="AS99" s="216"/>
      <c r="AT99" s="216"/>
      <c r="AU99" s="216"/>
      <c r="AV99" s="216"/>
      <c r="AW99" s="216"/>
      <c r="AX99" s="216"/>
      <c r="AY99" s="216"/>
      <c r="AZ99" s="216"/>
      <c r="BA99" s="216"/>
      <c r="BB99" s="216"/>
      <c r="BC99" s="216"/>
      <c r="BD99" s="217"/>
      <c r="BE99" s="49" t="s">
        <v>473</v>
      </c>
      <c r="BF99" s="53"/>
      <c r="BG99" s="49"/>
      <c r="BH99" s="49"/>
      <c r="BI99" s="49"/>
      <c r="BJ99" s="49"/>
      <c r="BK99" s="50"/>
    </row>
    <row r="100" spans="1:63" ht="15.75" customHeight="1" thickBot="1">
      <c r="A100" s="42"/>
      <c r="B100" s="43"/>
      <c r="C100" s="44"/>
      <c r="D100" s="44"/>
      <c r="E100" s="44"/>
      <c r="F100" s="44"/>
      <c r="G100" s="44"/>
      <c r="H100" s="44"/>
      <c r="I100" s="44"/>
      <c r="J100" s="44"/>
      <c r="K100" s="44"/>
      <c r="L100" s="45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6"/>
      <c r="BF100" s="46"/>
      <c r="BG100" s="46"/>
      <c r="BH100" s="46"/>
      <c r="BI100" s="46"/>
      <c r="BJ100" s="46"/>
      <c r="BK100" s="47"/>
    </row>
  </sheetData>
  <mergeCells count="25">
    <mergeCell ref="BL92:BY93"/>
    <mergeCell ref="CB92:CO93"/>
    <mergeCell ref="BM60:CJ60"/>
    <mergeCell ref="BM6:CJ6"/>
    <mergeCell ref="AS1:AY1"/>
    <mergeCell ref="AZ1:BE1"/>
    <mergeCell ref="BF1:BK1"/>
    <mergeCell ref="AS2:AY3"/>
    <mergeCell ref="AZ2:BE3"/>
    <mergeCell ref="BF2:BK3"/>
    <mergeCell ref="A1:J3"/>
    <mergeCell ref="K1:T1"/>
    <mergeCell ref="U1:Y1"/>
    <mergeCell ref="Z1:AD1"/>
    <mergeCell ref="AE1:AI1"/>
    <mergeCell ref="AE3:AR3"/>
    <mergeCell ref="AJ1:AR1"/>
    <mergeCell ref="K3:T3"/>
    <mergeCell ref="U3:Y3"/>
    <mergeCell ref="Z3:AD3"/>
    <mergeCell ref="K2:T2"/>
    <mergeCell ref="U2:Y2"/>
    <mergeCell ref="Z2:AD2"/>
    <mergeCell ref="AE2:AI2"/>
    <mergeCell ref="AJ2:AR2"/>
  </mergeCells>
  <phoneticPr fontId="8"/>
  <pageMargins left="0.51181102362204722" right="0.74803149606299213" top="0.70866141732283472" bottom="0.43307086614173229" header="0.51181102362204722" footer="0.19685039370078741"/>
  <pageSetup paperSize="9" scale="93" fitToHeight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047E-EDFC-499E-80E0-991F6D169FD9}">
  <sheetPr codeName="Sheet4">
    <pageSetUpPr fitToPage="1"/>
  </sheetPr>
  <dimension ref="A1:CJ35"/>
  <sheetViews>
    <sheetView showGridLines="0" showZeros="0" zoomScaleNormal="100" zoomScaleSheetLayoutView="85" workbookViewId="0">
      <pane ySplit="4" topLeftCell="A5" activePane="bottomLeft" state="frozen"/>
      <selection activeCell="AL26" sqref="AL26"/>
      <selection pane="bottomLeft" activeCell="AI38" sqref="AI38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88" s="4" customFormat="1" ht="15.75" customHeight="1">
      <c r="A1" s="821" t="str">
        <f>表紙!A54</f>
        <v>Webシステム</v>
      </c>
      <c r="B1" s="822"/>
      <c r="C1" s="822"/>
      <c r="D1" s="822"/>
      <c r="E1" s="822"/>
      <c r="F1" s="822"/>
      <c r="G1" s="822"/>
      <c r="H1" s="822"/>
      <c r="I1" s="822"/>
      <c r="J1" s="823"/>
      <c r="K1" s="857" t="s">
        <v>132</v>
      </c>
      <c r="L1" s="858"/>
      <c r="M1" s="858"/>
      <c r="N1" s="858"/>
      <c r="O1" s="858"/>
      <c r="P1" s="858"/>
      <c r="Q1" s="858"/>
      <c r="R1" s="858"/>
      <c r="S1" s="858"/>
      <c r="T1" s="859"/>
      <c r="U1" s="860" t="s">
        <v>148</v>
      </c>
      <c r="V1" s="861"/>
      <c r="W1" s="861"/>
      <c r="X1" s="861"/>
      <c r="Y1" s="862"/>
      <c r="Z1" s="863" t="str">
        <f>表紙!$AJ$63</f>
        <v>MS</v>
      </c>
      <c r="AA1" s="864"/>
      <c r="AB1" s="864"/>
      <c r="AC1" s="864"/>
      <c r="AD1" s="865"/>
      <c r="AE1" s="866" t="s">
        <v>135</v>
      </c>
      <c r="AF1" s="832"/>
      <c r="AG1" s="832"/>
      <c r="AH1" s="832"/>
      <c r="AI1" s="833"/>
      <c r="AJ1" s="867" t="str">
        <f>表紙!$AX$63</f>
        <v>Webシステム</v>
      </c>
      <c r="AK1" s="868"/>
      <c r="AL1" s="868"/>
      <c r="AM1" s="868"/>
      <c r="AN1" s="868"/>
      <c r="AO1" s="868"/>
      <c r="AP1" s="868"/>
      <c r="AQ1" s="868"/>
      <c r="AR1" s="869"/>
      <c r="AS1" s="830" t="s">
        <v>101</v>
      </c>
      <c r="AT1" s="830"/>
      <c r="AU1" s="830"/>
      <c r="AV1" s="830"/>
      <c r="AW1" s="830"/>
      <c r="AX1" s="830"/>
      <c r="AY1" s="830"/>
      <c r="AZ1" s="831" t="s">
        <v>124</v>
      </c>
      <c r="BA1" s="832"/>
      <c r="BB1" s="832"/>
      <c r="BC1" s="832"/>
      <c r="BD1" s="832"/>
      <c r="BE1" s="833"/>
      <c r="BF1" s="831" t="s">
        <v>149</v>
      </c>
      <c r="BG1" s="832"/>
      <c r="BH1" s="832"/>
      <c r="BI1" s="832"/>
      <c r="BJ1" s="832"/>
      <c r="BK1" s="834"/>
    </row>
    <row r="2" spans="1:88" s="4" customFormat="1" ht="15.75" customHeight="1">
      <c r="A2" s="824"/>
      <c r="B2" s="825"/>
      <c r="C2" s="825"/>
      <c r="D2" s="825"/>
      <c r="E2" s="825"/>
      <c r="F2" s="825"/>
      <c r="G2" s="825"/>
      <c r="H2" s="825"/>
      <c r="I2" s="825"/>
      <c r="J2" s="826"/>
      <c r="K2" s="835" t="str">
        <f>表紙!O64</f>
        <v>アドオン設計書</v>
      </c>
      <c r="L2" s="836"/>
      <c r="M2" s="836"/>
      <c r="N2" s="836"/>
      <c r="O2" s="836"/>
      <c r="P2" s="836"/>
      <c r="Q2" s="836"/>
      <c r="R2" s="836"/>
      <c r="S2" s="836"/>
      <c r="T2" s="837"/>
      <c r="U2" s="838" t="s">
        <v>150</v>
      </c>
      <c r="V2" s="839"/>
      <c r="W2" s="839"/>
      <c r="X2" s="839"/>
      <c r="Y2" s="840"/>
      <c r="Z2" s="841" t="str">
        <f>表紙!$AJ$64</f>
        <v>MSBB</v>
      </c>
      <c r="AA2" s="842"/>
      <c r="AB2" s="842"/>
      <c r="AC2" s="842"/>
      <c r="AD2" s="843"/>
      <c r="AE2" s="844" t="s">
        <v>141</v>
      </c>
      <c r="AF2" s="845"/>
      <c r="AG2" s="845"/>
      <c r="AH2" s="845"/>
      <c r="AI2" s="846"/>
      <c r="AJ2" s="847" t="str">
        <f>表紙!$AX$64</f>
        <v>販売Webシステム</v>
      </c>
      <c r="AK2" s="848"/>
      <c r="AL2" s="848"/>
      <c r="AM2" s="848"/>
      <c r="AN2" s="848"/>
      <c r="AO2" s="848"/>
      <c r="AP2" s="848"/>
      <c r="AQ2" s="848"/>
      <c r="AR2" s="849"/>
      <c r="AS2" s="850" t="str">
        <f>表紙!$BL$64</f>
        <v>M7-US-1140</v>
      </c>
      <c r="AT2" s="851"/>
      <c r="AU2" s="851"/>
      <c r="AV2" s="851"/>
      <c r="AW2" s="851"/>
      <c r="AX2" s="851"/>
      <c r="AY2" s="851"/>
      <c r="AZ2" s="853" t="str">
        <f>表紙!$BU$64</f>
        <v>7.0.2</v>
      </c>
      <c r="BA2" s="836"/>
      <c r="BB2" s="836"/>
      <c r="BC2" s="836"/>
      <c r="BD2" s="836"/>
      <c r="BE2" s="837"/>
      <c r="BF2" s="870">
        <f>表紙!$CB$64</f>
        <v>2</v>
      </c>
      <c r="BG2" s="836"/>
      <c r="BH2" s="836"/>
      <c r="BI2" s="836"/>
      <c r="BJ2" s="836"/>
      <c r="BK2" s="871"/>
    </row>
    <row r="3" spans="1:88" s="4" customFormat="1" ht="15.75" customHeight="1" thickBot="1">
      <c r="A3" s="827"/>
      <c r="B3" s="828"/>
      <c r="C3" s="828"/>
      <c r="D3" s="828"/>
      <c r="E3" s="828"/>
      <c r="F3" s="828"/>
      <c r="G3" s="828"/>
      <c r="H3" s="828"/>
      <c r="I3" s="828"/>
      <c r="J3" s="829"/>
      <c r="K3" s="873" t="str">
        <f ca="1">RIGHT(CELL("filename",$A$1),LEN(CELL("filename",$A$1))-FIND("]",CELL("filename",$A$1)))</f>
        <v>引数説明</v>
      </c>
      <c r="L3" s="874"/>
      <c r="M3" s="874"/>
      <c r="N3" s="874"/>
      <c r="O3" s="874"/>
      <c r="P3" s="874"/>
      <c r="Q3" s="874"/>
      <c r="R3" s="874"/>
      <c r="S3" s="874"/>
      <c r="T3" s="875"/>
      <c r="U3" s="810" t="s">
        <v>146</v>
      </c>
      <c r="V3" s="811"/>
      <c r="W3" s="811"/>
      <c r="X3" s="811"/>
      <c r="Y3" s="812"/>
      <c r="Z3" s="813" t="str">
        <f>表紙!$AJ$65</f>
        <v>MSBBPA120</v>
      </c>
      <c r="AA3" s="814"/>
      <c r="AB3" s="814"/>
      <c r="AC3" s="814"/>
      <c r="AD3" s="814"/>
      <c r="AE3" s="815" t="str">
        <f>表紙!$AQ$65</f>
        <v>Web取引先マスタ一覧照会</v>
      </c>
      <c r="AF3" s="816"/>
      <c r="AG3" s="816"/>
      <c r="AH3" s="816"/>
      <c r="AI3" s="816"/>
      <c r="AJ3" s="816"/>
      <c r="AK3" s="816"/>
      <c r="AL3" s="816"/>
      <c r="AM3" s="816"/>
      <c r="AN3" s="816"/>
      <c r="AO3" s="816"/>
      <c r="AP3" s="816"/>
      <c r="AQ3" s="816"/>
      <c r="AR3" s="817"/>
      <c r="AS3" s="852"/>
      <c r="AT3" s="852"/>
      <c r="AU3" s="852"/>
      <c r="AV3" s="852"/>
      <c r="AW3" s="852"/>
      <c r="AX3" s="852"/>
      <c r="AY3" s="852"/>
      <c r="AZ3" s="854"/>
      <c r="BA3" s="855"/>
      <c r="BB3" s="855"/>
      <c r="BC3" s="855"/>
      <c r="BD3" s="855"/>
      <c r="BE3" s="856"/>
      <c r="BF3" s="854"/>
      <c r="BG3" s="855"/>
      <c r="BH3" s="855"/>
      <c r="BI3" s="855"/>
      <c r="BJ3" s="855"/>
      <c r="BK3" s="872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7" customFormat="1" ht="14.25">
      <c r="A5" s="94"/>
      <c r="B5" s="54" t="s">
        <v>480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  <c r="BM5" s="880"/>
      <c r="BN5" s="880"/>
      <c r="BO5" s="880"/>
      <c r="BP5" s="880"/>
      <c r="BQ5" s="880"/>
      <c r="BR5" s="880"/>
      <c r="BS5" s="880"/>
      <c r="BT5" s="880"/>
      <c r="BU5" s="880"/>
      <c r="BV5" s="880"/>
      <c r="BW5" s="880"/>
      <c r="BX5" s="880"/>
      <c r="BY5" s="880"/>
      <c r="BZ5" s="880"/>
      <c r="CA5" s="880"/>
      <c r="CB5" s="880"/>
      <c r="CC5" s="880"/>
      <c r="CD5" s="880"/>
      <c r="CE5" s="880"/>
      <c r="CF5" s="880"/>
      <c r="CG5" s="880"/>
      <c r="CH5" s="880"/>
      <c r="CI5" s="880"/>
      <c r="CJ5" s="880"/>
    </row>
    <row r="6" spans="1:88" ht="15.75" customHeight="1">
      <c r="A6" s="95" t="s">
        <v>315</v>
      </c>
      <c r="B6" s="96" t="s">
        <v>481</v>
      </c>
      <c r="C6" s="398"/>
      <c r="D6" s="398"/>
      <c r="E6" s="398"/>
      <c r="F6" s="398"/>
      <c r="G6" s="398"/>
      <c r="H6" s="398"/>
      <c r="I6" s="398"/>
      <c r="J6" s="398"/>
      <c r="K6" s="398"/>
      <c r="L6" s="399"/>
      <c r="M6" s="398"/>
      <c r="N6" s="400" t="s">
        <v>482</v>
      </c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  <c r="AA6" s="398"/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398"/>
      <c r="AM6" s="398"/>
      <c r="AN6" s="398"/>
      <c r="AO6" s="398"/>
      <c r="AP6" s="398"/>
      <c r="AQ6" s="398"/>
      <c r="AR6" s="398"/>
      <c r="AS6" s="401" t="s">
        <v>483</v>
      </c>
      <c r="AT6" s="398"/>
      <c r="AU6" s="398"/>
      <c r="AV6" s="398"/>
      <c r="AW6" s="398"/>
      <c r="AX6" s="398"/>
      <c r="AY6" s="398"/>
      <c r="AZ6" s="398"/>
      <c r="BA6" s="398"/>
      <c r="BB6" s="398"/>
      <c r="BC6" s="398"/>
      <c r="BD6" s="398"/>
      <c r="BE6" s="398"/>
      <c r="BF6" s="398"/>
      <c r="BG6" s="398"/>
      <c r="BH6" s="398"/>
      <c r="BI6" s="398"/>
      <c r="BJ6" s="398"/>
      <c r="BK6" s="402"/>
    </row>
    <row r="7" spans="1:88" ht="15.75" customHeight="1">
      <c r="A7" s="97"/>
      <c r="B7" s="98"/>
      <c r="C7" s="364"/>
      <c r="D7" s="364"/>
      <c r="E7" s="364"/>
      <c r="F7" s="364"/>
      <c r="G7" s="364"/>
      <c r="H7" s="364"/>
      <c r="I7" s="364"/>
      <c r="J7" s="364"/>
      <c r="K7" s="364"/>
      <c r="L7" s="403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  <c r="AB7" s="364"/>
      <c r="AC7" s="364"/>
      <c r="AD7" s="364"/>
      <c r="AE7" s="364"/>
      <c r="AF7" s="364"/>
      <c r="AG7" s="364"/>
      <c r="AH7" s="364"/>
      <c r="AI7" s="364"/>
      <c r="AJ7" s="364"/>
      <c r="AK7" s="364"/>
      <c r="AL7" s="364"/>
      <c r="AM7" s="364"/>
      <c r="AN7" s="364"/>
      <c r="AO7" s="364"/>
      <c r="AP7" s="364"/>
      <c r="AQ7" s="364"/>
      <c r="AR7" s="364"/>
      <c r="AS7" s="404"/>
      <c r="AT7" s="364"/>
      <c r="AU7" s="364"/>
      <c r="AV7" s="364"/>
      <c r="AW7" s="364"/>
      <c r="AX7" s="364"/>
      <c r="AY7" s="364"/>
      <c r="AZ7" s="364"/>
      <c r="BA7" s="364"/>
      <c r="BB7" s="364"/>
      <c r="BC7" s="364"/>
      <c r="BD7" s="364"/>
      <c r="BE7" s="364"/>
      <c r="BF7" s="364"/>
      <c r="BG7" s="364"/>
      <c r="BH7" s="364"/>
      <c r="BI7" s="364"/>
      <c r="BJ7" s="364"/>
      <c r="BK7" s="366"/>
    </row>
    <row r="8" spans="1:88" ht="15.75" customHeight="1">
      <c r="A8" s="97"/>
      <c r="B8" s="98"/>
      <c r="C8" s="364"/>
      <c r="D8" s="364"/>
      <c r="E8" s="364"/>
      <c r="F8" s="364"/>
      <c r="G8" s="364"/>
      <c r="H8" s="364"/>
      <c r="I8" s="364"/>
      <c r="J8" s="364"/>
      <c r="K8" s="364"/>
      <c r="L8" s="403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  <c r="AA8" s="364"/>
      <c r="AB8" s="364"/>
      <c r="AC8" s="364"/>
      <c r="AD8" s="364"/>
      <c r="AE8" s="364"/>
      <c r="AF8" s="364"/>
      <c r="AG8" s="364"/>
      <c r="AH8" s="364"/>
      <c r="AI8" s="364"/>
      <c r="AJ8" s="364"/>
      <c r="AK8" s="364"/>
      <c r="AL8" s="364"/>
      <c r="AM8" s="364"/>
      <c r="AN8" s="364"/>
      <c r="AO8" s="364"/>
      <c r="AP8" s="364"/>
      <c r="AQ8" s="364"/>
      <c r="AR8" s="364"/>
      <c r="AS8" s="404"/>
      <c r="AT8" s="364"/>
      <c r="AU8" s="364"/>
      <c r="AV8" s="364"/>
      <c r="AW8" s="364"/>
      <c r="AX8" s="364"/>
      <c r="AY8" s="364"/>
      <c r="AZ8" s="364"/>
      <c r="BA8" s="364"/>
      <c r="BB8" s="364"/>
      <c r="BC8" s="364"/>
      <c r="BD8" s="364"/>
      <c r="BE8" s="364"/>
      <c r="BF8" s="364"/>
      <c r="BG8" s="364"/>
      <c r="BH8" s="364"/>
      <c r="BI8" s="364"/>
      <c r="BJ8" s="364"/>
      <c r="BK8" s="366"/>
    </row>
    <row r="9" spans="1:88" ht="15.75" customHeight="1">
      <c r="A9" s="99"/>
      <c r="B9" s="3"/>
      <c r="C9" s="220"/>
      <c r="D9" s="220"/>
      <c r="E9" s="220"/>
      <c r="F9" s="220"/>
      <c r="G9" s="220"/>
      <c r="H9" s="220"/>
      <c r="I9" s="220"/>
      <c r="J9" s="220"/>
      <c r="K9" s="220"/>
      <c r="L9" s="235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4"/>
      <c r="X9" s="364"/>
      <c r="Y9" s="364"/>
      <c r="Z9" s="364"/>
      <c r="AA9" s="364"/>
      <c r="AB9" s="364"/>
      <c r="AC9" s="364"/>
      <c r="AD9" s="364"/>
      <c r="AE9" s="364"/>
      <c r="AF9" s="364"/>
      <c r="AG9" s="364"/>
      <c r="AH9" s="364"/>
      <c r="AI9" s="364"/>
      <c r="AJ9" s="364"/>
      <c r="AK9" s="364"/>
      <c r="AL9" s="364"/>
      <c r="AM9" s="364"/>
      <c r="AN9" s="364"/>
      <c r="AO9" s="364"/>
      <c r="AP9" s="364"/>
      <c r="AQ9" s="364"/>
      <c r="AR9" s="364"/>
      <c r="AS9" s="404"/>
      <c r="AT9" s="364"/>
      <c r="AU9" s="364"/>
      <c r="AV9" s="364"/>
      <c r="AW9" s="364"/>
      <c r="AX9" s="364"/>
      <c r="AY9" s="364"/>
      <c r="AZ9" s="364"/>
      <c r="BA9" s="364"/>
      <c r="BB9" s="364"/>
      <c r="BC9" s="364"/>
      <c r="BD9" s="364"/>
      <c r="BE9" s="364"/>
      <c r="BF9" s="364"/>
      <c r="BG9" s="364"/>
      <c r="BH9" s="364"/>
      <c r="BI9" s="364"/>
      <c r="BJ9" s="364"/>
      <c r="BK9" s="366"/>
    </row>
    <row r="10" spans="1:88" ht="15.75" customHeight="1">
      <c r="A10" s="99"/>
      <c r="B10" s="3"/>
      <c r="C10" s="220"/>
      <c r="D10" s="220"/>
      <c r="E10" s="220"/>
      <c r="F10" s="220"/>
      <c r="G10" s="220"/>
      <c r="H10" s="220"/>
      <c r="I10" s="220"/>
      <c r="J10" s="220"/>
      <c r="K10" s="220"/>
      <c r="L10" s="235"/>
      <c r="M10" s="364"/>
      <c r="N10" s="364"/>
      <c r="O10" s="364"/>
      <c r="P10" s="364"/>
      <c r="Q10" s="364"/>
      <c r="R10" s="364"/>
      <c r="S10" s="364"/>
      <c r="T10" s="364"/>
      <c r="U10" s="364"/>
      <c r="V10" s="364"/>
      <c r="W10" s="364"/>
      <c r="X10" s="364"/>
      <c r="Y10" s="364"/>
      <c r="Z10" s="364"/>
      <c r="AA10" s="364"/>
      <c r="AB10" s="364"/>
      <c r="AC10" s="364"/>
      <c r="AD10" s="364"/>
      <c r="AE10" s="364"/>
      <c r="AF10" s="364"/>
      <c r="AG10" s="364"/>
      <c r="AH10" s="364"/>
      <c r="AI10" s="364"/>
      <c r="AJ10" s="364"/>
      <c r="AK10" s="364"/>
      <c r="AL10" s="364"/>
      <c r="AM10" s="364"/>
      <c r="AN10" s="364"/>
      <c r="AO10" s="364"/>
      <c r="AP10" s="364"/>
      <c r="AQ10" s="364"/>
      <c r="AR10" s="364"/>
      <c r="AS10" s="404"/>
      <c r="AT10" s="364"/>
      <c r="AU10" s="364"/>
      <c r="AV10" s="364"/>
      <c r="AW10" s="364"/>
      <c r="AX10" s="364"/>
      <c r="AY10" s="364"/>
      <c r="AZ10" s="364"/>
      <c r="BA10" s="364"/>
      <c r="BB10" s="364"/>
      <c r="BC10" s="364"/>
      <c r="BD10" s="364"/>
      <c r="BE10" s="364"/>
      <c r="BF10" s="364"/>
      <c r="BG10" s="364"/>
      <c r="BH10" s="364"/>
      <c r="BI10" s="364"/>
      <c r="BJ10" s="364"/>
      <c r="BK10" s="366"/>
    </row>
    <row r="11" spans="1:88" ht="15.75" customHeight="1">
      <c r="A11" s="99"/>
      <c r="B11" s="3"/>
      <c r="C11" s="220"/>
      <c r="D11" s="220"/>
      <c r="E11" s="220"/>
      <c r="F11" s="220"/>
      <c r="G11" s="220"/>
      <c r="H11" s="220"/>
      <c r="I11" s="220"/>
      <c r="J11" s="220"/>
      <c r="K11" s="220"/>
      <c r="L11" s="235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  <c r="Z11" s="364"/>
      <c r="AA11" s="364"/>
      <c r="AB11" s="364"/>
      <c r="AC11" s="364"/>
      <c r="AD11" s="364"/>
      <c r="AE11" s="364"/>
      <c r="AF11" s="364"/>
      <c r="AG11" s="364"/>
      <c r="AH11" s="364"/>
      <c r="AI11" s="364"/>
      <c r="AJ11" s="364"/>
      <c r="AK11" s="364"/>
      <c r="AL11" s="364"/>
      <c r="AM11" s="364"/>
      <c r="AN11" s="364"/>
      <c r="AO11" s="364"/>
      <c r="AP11" s="364"/>
      <c r="AQ11" s="364"/>
      <c r="AR11" s="364"/>
      <c r="AS11" s="404"/>
      <c r="AT11" s="364"/>
      <c r="AU11" s="364"/>
      <c r="AV11" s="364"/>
      <c r="AW11" s="364"/>
      <c r="AX11" s="364"/>
      <c r="AY11" s="364"/>
      <c r="AZ11" s="364"/>
      <c r="BA11" s="364"/>
      <c r="BB11" s="364"/>
      <c r="BC11" s="364"/>
      <c r="BD11" s="364"/>
      <c r="BE11" s="364"/>
      <c r="BF11" s="364"/>
      <c r="BG11" s="364"/>
      <c r="BH11" s="364"/>
      <c r="BI11" s="364"/>
      <c r="BJ11" s="364"/>
      <c r="BK11" s="366"/>
    </row>
    <row r="12" spans="1:88" ht="15.75" customHeight="1">
      <c r="A12" s="99"/>
      <c r="B12" s="3"/>
      <c r="C12" s="220"/>
      <c r="D12" s="220"/>
      <c r="E12" s="220"/>
      <c r="F12" s="220"/>
      <c r="G12" s="220"/>
      <c r="H12" s="220"/>
      <c r="I12" s="220"/>
      <c r="J12" s="220"/>
      <c r="K12" s="220"/>
      <c r="L12" s="235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  <c r="Z12" s="364"/>
      <c r="AA12" s="364"/>
      <c r="AB12" s="364"/>
      <c r="AC12" s="364"/>
      <c r="AD12" s="364"/>
      <c r="AE12" s="364"/>
      <c r="AF12" s="364"/>
      <c r="AG12" s="364"/>
      <c r="AH12" s="364"/>
      <c r="AI12" s="364"/>
      <c r="AJ12" s="364"/>
      <c r="AK12" s="364"/>
      <c r="AL12" s="364"/>
      <c r="AM12" s="364"/>
      <c r="AN12" s="364"/>
      <c r="AO12" s="364"/>
      <c r="AP12" s="364"/>
      <c r="AQ12" s="364"/>
      <c r="AR12" s="364"/>
      <c r="AS12" s="404"/>
      <c r="AT12" s="364"/>
      <c r="AU12" s="364"/>
      <c r="AV12" s="364"/>
      <c r="AW12" s="364"/>
      <c r="AX12" s="364"/>
      <c r="AY12" s="364"/>
      <c r="AZ12" s="364"/>
      <c r="BA12" s="364"/>
      <c r="BB12" s="364"/>
      <c r="BC12" s="364"/>
      <c r="BD12" s="364"/>
      <c r="BE12" s="364"/>
      <c r="BF12" s="364"/>
      <c r="BG12" s="364"/>
      <c r="BH12" s="364"/>
      <c r="BI12" s="364"/>
      <c r="BJ12" s="364"/>
      <c r="BK12" s="366"/>
    </row>
    <row r="13" spans="1:88" ht="15.75" customHeight="1">
      <c r="A13" s="99"/>
      <c r="B13" s="3"/>
      <c r="C13" s="220"/>
      <c r="D13" s="220"/>
      <c r="E13" s="220"/>
      <c r="F13" s="220"/>
      <c r="G13" s="220"/>
      <c r="H13" s="220"/>
      <c r="I13" s="220"/>
      <c r="J13" s="220"/>
      <c r="K13" s="220"/>
      <c r="L13" s="235"/>
      <c r="M13" s="364"/>
      <c r="N13" s="364"/>
      <c r="O13" s="364"/>
      <c r="P13" s="364"/>
      <c r="Q13" s="364"/>
      <c r="R13" s="364"/>
      <c r="S13" s="364"/>
      <c r="T13" s="364"/>
      <c r="U13" s="364"/>
      <c r="V13" s="364"/>
      <c r="W13" s="364"/>
      <c r="X13" s="364"/>
      <c r="Y13" s="364"/>
      <c r="Z13" s="364"/>
      <c r="AA13" s="364"/>
      <c r="AB13" s="364"/>
      <c r="AC13" s="364"/>
      <c r="AD13" s="364"/>
      <c r="AE13" s="364"/>
      <c r="AF13" s="364"/>
      <c r="AG13" s="364"/>
      <c r="AH13" s="364"/>
      <c r="AI13" s="364"/>
      <c r="AJ13" s="364"/>
      <c r="AK13" s="364"/>
      <c r="AL13" s="364"/>
      <c r="AM13" s="364"/>
      <c r="AN13" s="364"/>
      <c r="AO13" s="364"/>
      <c r="AP13" s="364"/>
      <c r="AQ13" s="364"/>
      <c r="AR13" s="364"/>
      <c r="AS13" s="404"/>
      <c r="AT13" s="364"/>
      <c r="AU13" s="364"/>
      <c r="AV13" s="364"/>
      <c r="AW13" s="364"/>
      <c r="AX13" s="364"/>
      <c r="AY13" s="364"/>
      <c r="AZ13" s="364"/>
      <c r="BA13" s="364"/>
      <c r="BB13" s="364"/>
      <c r="BC13" s="364"/>
      <c r="BD13" s="364"/>
      <c r="BE13" s="364"/>
      <c r="BF13" s="364"/>
      <c r="BG13" s="364"/>
      <c r="BH13" s="364"/>
      <c r="BI13" s="364"/>
      <c r="BJ13" s="364"/>
      <c r="BK13" s="366"/>
    </row>
    <row r="14" spans="1:88" ht="15.75" customHeight="1">
      <c r="A14" s="99"/>
      <c r="B14" s="3"/>
      <c r="C14" s="220"/>
      <c r="D14" s="220"/>
      <c r="E14" s="220"/>
      <c r="F14" s="220"/>
      <c r="G14" s="220"/>
      <c r="H14" s="220"/>
      <c r="I14" s="220"/>
      <c r="J14" s="220"/>
      <c r="K14" s="220"/>
      <c r="L14" s="235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  <c r="Z14" s="364"/>
      <c r="AA14" s="364"/>
      <c r="AB14" s="364"/>
      <c r="AC14" s="364"/>
      <c r="AD14" s="364"/>
      <c r="AE14" s="364"/>
      <c r="AF14" s="364"/>
      <c r="AG14" s="364"/>
      <c r="AH14" s="364"/>
      <c r="AI14" s="364"/>
      <c r="AJ14" s="364"/>
      <c r="AK14" s="364"/>
      <c r="AL14" s="364"/>
      <c r="AM14" s="364"/>
      <c r="AN14" s="364"/>
      <c r="AO14" s="364"/>
      <c r="AP14" s="364"/>
      <c r="AQ14" s="364"/>
      <c r="AR14" s="364"/>
      <c r="AS14" s="404"/>
      <c r="AT14" s="364"/>
      <c r="AU14" s="364"/>
      <c r="AV14" s="364"/>
      <c r="AW14" s="364"/>
      <c r="AX14" s="364"/>
      <c r="AY14" s="364"/>
      <c r="AZ14" s="364"/>
      <c r="BA14" s="364"/>
      <c r="BB14" s="364"/>
      <c r="BC14" s="364"/>
      <c r="BD14" s="364"/>
      <c r="BE14" s="364"/>
      <c r="BF14" s="364"/>
      <c r="BG14" s="364"/>
      <c r="BH14" s="364"/>
      <c r="BI14" s="364"/>
      <c r="BJ14" s="364"/>
      <c r="BK14" s="366"/>
    </row>
    <row r="15" spans="1:88" ht="15.75" customHeight="1">
      <c r="A15" s="99"/>
      <c r="B15" s="3"/>
      <c r="C15" s="220"/>
      <c r="D15" s="220"/>
      <c r="E15" s="220"/>
      <c r="F15" s="220"/>
      <c r="G15" s="220"/>
      <c r="H15" s="220"/>
      <c r="I15" s="220"/>
      <c r="J15" s="220"/>
      <c r="K15" s="220"/>
      <c r="L15" s="235"/>
      <c r="M15" s="364"/>
      <c r="N15" s="364"/>
      <c r="O15" s="364"/>
      <c r="P15" s="364"/>
      <c r="Q15" s="364"/>
      <c r="R15" s="364"/>
      <c r="S15" s="364"/>
      <c r="T15" s="364"/>
      <c r="U15" s="364"/>
      <c r="V15" s="364"/>
      <c r="W15" s="364"/>
      <c r="X15" s="364"/>
      <c r="Y15" s="364"/>
      <c r="Z15" s="364"/>
      <c r="AA15" s="364"/>
      <c r="AB15" s="364"/>
      <c r="AC15" s="364"/>
      <c r="AD15" s="364"/>
      <c r="AE15" s="364"/>
      <c r="AF15" s="364"/>
      <c r="AG15" s="364"/>
      <c r="AH15" s="364"/>
      <c r="AI15" s="364"/>
      <c r="AJ15" s="364"/>
      <c r="AK15" s="364"/>
      <c r="AL15" s="364"/>
      <c r="AM15" s="364"/>
      <c r="AN15" s="364"/>
      <c r="AO15" s="364"/>
      <c r="AP15" s="364"/>
      <c r="AQ15" s="364"/>
      <c r="AR15" s="364"/>
      <c r="AS15" s="404"/>
      <c r="AT15" s="364"/>
      <c r="AU15" s="364"/>
      <c r="AV15" s="364"/>
      <c r="AW15" s="364"/>
      <c r="AX15" s="364"/>
      <c r="AY15" s="364"/>
      <c r="AZ15" s="364"/>
      <c r="BA15" s="364"/>
      <c r="BB15" s="364"/>
      <c r="BC15" s="364"/>
      <c r="BD15" s="364"/>
      <c r="BE15" s="364"/>
      <c r="BF15" s="364"/>
      <c r="BG15" s="364"/>
      <c r="BH15" s="364"/>
      <c r="BI15" s="364"/>
      <c r="BJ15" s="364"/>
      <c r="BK15" s="366"/>
    </row>
    <row r="16" spans="1:88" ht="15.75" customHeight="1">
      <c r="A16" s="99"/>
      <c r="B16" s="3"/>
      <c r="C16" s="220"/>
      <c r="D16" s="220"/>
      <c r="E16" s="220"/>
      <c r="F16" s="220"/>
      <c r="G16" s="220"/>
      <c r="H16" s="220"/>
      <c r="I16" s="220"/>
      <c r="J16" s="220"/>
      <c r="K16" s="220"/>
      <c r="L16" s="235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  <c r="AA16" s="364"/>
      <c r="AB16" s="364"/>
      <c r="AC16" s="364"/>
      <c r="AD16" s="364"/>
      <c r="AE16" s="364"/>
      <c r="AF16" s="364"/>
      <c r="AG16" s="364"/>
      <c r="AH16" s="364"/>
      <c r="AI16" s="364"/>
      <c r="AJ16" s="364"/>
      <c r="AK16" s="364"/>
      <c r="AL16" s="364"/>
      <c r="AM16" s="364"/>
      <c r="AN16" s="364"/>
      <c r="AO16" s="364"/>
      <c r="AP16" s="364"/>
      <c r="AQ16" s="364"/>
      <c r="AR16" s="364"/>
      <c r="AS16" s="404"/>
      <c r="AT16" s="364"/>
      <c r="AU16" s="364"/>
      <c r="AV16" s="364"/>
      <c r="AW16" s="364"/>
      <c r="AX16" s="364"/>
      <c r="AY16" s="364"/>
      <c r="AZ16" s="364"/>
      <c r="BA16" s="364"/>
      <c r="BB16" s="364"/>
      <c r="BC16" s="364"/>
      <c r="BD16" s="364"/>
      <c r="BE16" s="364"/>
      <c r="BF16" s="364"/>
      <c r="BG16" s="364"/>
      <c r="BH16" s="364"/>
      <c r="BI16" s="364"/>
      <c r="BJ16" s="364"/>
      <c r="BK16" s="366"/>
    </row>
    <row r="17" spans="1:63" ht="15.75" customHeight="1">
      <c r="A17" s="99"/>
      <c r="B17" s="3"/>
      <c r="C17" s="220"/>
      <c r="D17" s="220"/>
      <c r="E17" s="220"/>
      <c r="F17" s="220"/>
      <c r="G17" s="220"/>
      <c r="H17" s="220"/>
      <c r="I17" s="220"/>
      <c r="J17" s="220"/>
      <c r="K17" s="220"/>
      <c r="L17" s="235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364"/>
      <c r="AA17" s="364"/>
      <c r="AB17" s="364"/>
      <c r="AC17" s="364"/>
      <c r="AD17" s="364"/>
      <c r="AE17" s="364"/>
      <c r="AF17" s="364"/>
      <c r="AG17" s="364"/>
      <c r="AH17" s="364"/>
      <c r="AI17" s="364"/>
      <c r="AJ17" s="364"/>
      <c r="AK17" s="364"/>
      <c r="AL17" s="364"/>
      <c r="AM17" s="364"/>
      <c r="AN17" s="364"/>
      <c r="AO17" s="364"/>
      <c r="AP17" s="364"/>
      <c r="AQ17" s="364"/>
      <c r="AR17" s="364"/>
      <c r="AS17" s="404"/>
      <c r="AT17" s="364"/>
      <c r="AU17" s="364"/>
      <c r="AV17" s="364"/>
      <c r="AW17" s="364"/>
      <c r="AX17" s="364"/>
      <c r="AY17" s="364"/>
      <c r="AZ17" s="364"/>
      <c r="BA17" s="364"/>
      <c r="BB17" s="364"/>
      <c r="BC17" s="364"/>
      <c r="BD17" s="364"/>
      <c r="BE17" s="364"/>
      <c r="BF17" s="364"/>
      <c r="BG17" s="364"/>
      <c r="BH17" s="364"/>
      <c r="BI17" s="364"/>
      <c r="BJ17" s="364"/>
      <c r="BK17" s="366"/>
    </row>
    <row r="18" spans="1:63" ht="15.75" customHeight="1">
      <c r="A18" s="99"/>
      <c r="B18" s="3"/>
      <c r="C18" s="220"/>
      <c r="D18" s="220"/>
      <c r="E18" s="220"/>
      <c r="F18" s="220"/>
      <c r="G18" s="220"/>
      <c r="H18" s="220"/>
      <c r="I18" s="220"/>
      <c r="J18" s="220"/>
      <c r="K18" s="220"/>
      <c r="L18" s="235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36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0"/>
      <c r="BJ18" s="220"/>
      <c r="BK18" s="363"/>
    </row>
    <row r="19" spans="1:63" ht="15.75" customHeight="1">
      <c r="A19" s="99"/>
      <c r="B19" s="3"/>
      <c r="C19" s="220"/>
      <c r="D19" s="220"/>
      <c r="E19" s="220"/>
      <c r="F19" s="220"/>
      <c r="G19" s="220"/>
      <c r="H19" s="220"/>
      <c r="I19" s="220"/>
      <c r="J19" s="220"/>
      <c r="K19" s="220"/>
      <c r="L19" s="235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36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0"/>
      <c r="BJ19" s="220"/>
      <c r="BK19" s="363"/>
    </row>
    <row r="20" spans="1:63" ht="15.75" customHeight="1">
      <c r="A20" s="99"/>
      <c r="B20" s="3"/>
      <c r="C20" s="220"/>
      <c r="D20" s="220"/>
      <c r="E20" s="220"/>
      <c r="F20" s="220"/>
      <c r="G20" s="220"/>
      <c r="H20" s="220"/>
      <c r="I20" s="220"/>
      <c r="J20" s="220"/>
      <c r="K20" s="220"/>
      <c r="L20" s="235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36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0"/>
      <c r="BJ20" s="220"/>
      <c r="BK20" s="363"/>
    </row>
    <row r="21" spans="1:63" ht="15.75" customHeight="1">
      <c r="A21" s="99"/>
      <c r="B21" s="3"/>
      <c r="C21" s="220"/>
      <c r="D21" s="220"/>
      <c r="E21" s="220"/>
      <c r="F21" s="220"/>
      <c r="G21" s="220"/>
      <c r="H21" s="220"/>
      <c r="I21" s="220"/>
      <c r="J21" s="220"/>
      <c r="K21" s="220"/>
      <c r="L21" s="235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36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0"/>
      <c r="BJ21" s="220"/>
      <c r="BK21" s="363"/>
    </row>
    <row r="22" spans="1:63" ht="15.75" customHeight="1">
      <c r="A22" s="99"/>
      <c r="B22" s="3"/>
      <c r="C22" s="220"/>
      <c r="D22" s="220"/>
      <c r="E22" s="220"/>
      <c r="F22" s="220"/>
      <c r="G22" s="220"/>
      <c r="H22" s="220"/>
      <c r="I22" s="220"/>
      <c r="J22" s="220"/>
      <c r="K22" s="220"/>
      <c r="L22" s="235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36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0"/>
      <c r="BJ22" s="220"/>
      <c r="BK22" s="363"/>
    </row>
    <row r="23" spans="1:63" ht="15.75" customHeight="1">
      <c r="A23" s="99"/>
      <c r="B23" s="3"/>
      <c r="C23" s="220"/>
      <c r="D23" s="220"/>
      <c r="E23" s="220"/>
      <c r="F23" s="220"/>
      <c r="G23" s="220"/>
      <c r="H23" s="220"/>
      <c r="I23" s="220"/>
      <c r="J23" s="220"/>
      <c r="K23" s="220"/>
      <c r="L23" s="235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36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0"/>
      <c r="BJ23" s="220"/>
      <c r="BK23" s="363"/>
    </row>
    <row r="24" spans="1:63" ht="15.75" customHeight="1">
      <c r="A24" s="99"/>
      <c r="B24" s="3"/>
      <c r="C24" s="220"/>
      <c r="D24" s="220"/>
      <c r="E24" s="220"/>
      <c r="F24" s="220"/>
      <c r="G24" s="220"/>
      <c r="H24" s="220"/>
      <c r="I24" s="220"/>
      <c r="J24" s="220"/>
      <c r="K24" s="220"/>
      <c r="L24" s="235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36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0"/>
      <c r="BJ24" s="220"/>
      <c r="BK24" s="363"/>
    </row>
    <row r="25" spans="1:63" ht="15.75" customHeight="1">
      <c r="A25" s="99"/>
      <c r="B25" s="3"/>
      <c r="C25" s="220"/>
      <c r="D25" s="220"/>
      <c r="E25" s="220"/>
      <c r="F25" s="220"/>
      <c r="G25" s="220"/>
      <c r="H25" s="220"/>
      <c r="I25" s="220"/>
      <c r="J25" s="220"/>
      <c r="K25" s="220"/>
      <c r="L25" s="235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36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0"/>
      <c r="BJ25" s="220"/>
      <c r="BK25" s="363"/>
    </row>
    <row r="26" spans="1:63" ht="15.75" customHeight="1">
      <c r="A26" s="99"/>
      <c r="B26" s="3"/>
      <c r="C26" s="220"/>
      <c r="D26" s="220"/>
      <c r="E26" s="220"/>
      <c r="F26" s="220"/>
      <c r="G26" s="220"/>
      <c r="H26" s="220"/>
      <c r="I26" s="220"/>
      <c r="J26" s="220"/>
      <c r="K26" s="220"/>
      <c r="L26" s="235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36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0"/>
      <c r="BJ26" s="220"/>
      <c r="BK26" s="363"/>
    </row>
    <row r="27" spans="1:63" ht="15.75" customHeight="1">
      <c r="A27" s="99"/>
      <c r="B27" s="3"/>
      <c r="C27" s="220"/>
      <c r="D27" s="220"/>
      <c r="E27" s="220"/>
      <c r="F27" s="220"/>
      <c r="G27" s="220"/>
      <c r="H27" s="220"/>
      <c r="I27" s="220"/>
      <c r="J27" s="220"/>
      <c r="K27" s="220"/>
      <c r="L27" s="235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36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0"/>
      <c r="BJ27" s="220"/>
      <c r="BK27" s="363"/>
    </row>
    <row r="28" spans="1:63" ht="15.75" customHeight="1">
      <c r="A28" s="99"/>
      <c r="B28" s="3"/>
      <c r="C28" s="220"/>
      <c r="D28" s="220"/>
      <c r="E28" s="220"/>
      <c r="F28" s="220"/>
      <c r="G28" s="220"/>
      <c r="H28" s="220"/>
      <c r="I28" s="220"/>
      <c r="J28" s="220"/>
      <c r="K28" s="220"/>
      <c r="L28" s="235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36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0"/>
      <c r="BJ28" s="220"/>
      <c r="BK28" s="363"/>
    </row>
    <row r="29" spans="1:63" ht="15.75" customHeight="1">
      <c r="A29" s="99"/>
      <c r="B29" s="3"/>
      <c r="C29" s="220"/>
      <c r="D29" s="220"/>
      <c r="E29" s="220"/>
      <c r="F29" s="220"/>
      <c r="G29" s="220"/>
      <c r="H29" s="220"/>
      <c r="I29" s="220"/>
      <c r="J29" s="220"/>
      <c r="K29" s="220"/>
      <c r="L29" s="235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36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0"/>
      <c r="BJ29" s="220"/>
      <c r="BK29" s="363"/>
    </row>
    <row r="30" spans="1:63" ht="15.75" customHeight="1">
      <c r="A30" s="99"/>
      <c r="B30" s="3"/>
      <c r="C30" s="220"/>
      <c r="D30" s="220"/>
      <c r="E30" s="220"/>
      <c r="F30" s="220"/>
      <c r="G30" s="220"/>
      <c r="H30" s="220"/>
      <c r="I30" s="220"/>
      <c r="J30" s="220"/>
      <c r="K30" s="220"/>
      <c r="L30" s="235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36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0"/>
      <c r="BJ30" s="220"/>
      <c r="BK30" s="363"/>
    </row>
    <row r="31" spans="1:63" ht="15.75" customHeight="1">
      <c r="A31" s="99"/>
      <c r="B31" s="3"/>
      <c r="C31" s="220"/>
      <c r="D31" s="220"/>
      <c r="E31" s="220"/>
      <c r="F31" s="220"/>
      <c r="G31" s="220"/>
      <c r="H31" s="220"/>
      <c r="I31" s="220"/>
      <c r="J31" s="220"/>
      <c r="K31" s="220"/>
      <c r="L31" s="235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36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0"/>
      <c r="BJ31" s="220"/>
      <c r="BK31" s="363"/>
    </row>
    <row r="32" spans="1:63" ht="15.75" customHeight="1">
      <c r="A32" s="99"/>
      <c r="B32" s="3"/>
      <c r="C32" s="220"/>
      <c r="D32" s="220"/>
      <c r="E32" s="220"/>
      <c r="F32" s="220"/>
      <c r="G32" s="220"/>
      <c r="H32" s="220"/>
      <c r="I32" s="220"/>
      <c r="J32" s="220"/>
      <c r="K32" s="220"/>
      <c r="L32" s="235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36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0"/>
      <c r="BJ32" s="220"/>
      <c r="BK32" s="363"/>
    </row>
    <row r="33" spans="1:63" ht="15.75" customHeight="1">
      <c r="A33" s="99"/>
      <c r="B33" s="3"/>
      <c r="C33" s="220"/>
      <c r="D33" s="220"/>
      <c r="E33" s="220"/>
      <c r="F33" s="220"/>
      <c r="G33" s="220"/>
      <c r="H33" s="220"/>
      <c r="I33" s="220"/>
      <c r="J33" s="220"/>
      <c r="K33" s="220"/>
      <c r="L33" s="235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36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0"/>
      <c r="BJ33" s="220"/>
      <c r="BK33" s="363"/>
    </row>
    <row r="34" spans="1:63" ht="15.75" customHeight="1">
      <c r="A34" s="99"/>
      <c r="B34" s="3"/>
      <c r="C34" s="220"/>
      <c r="D34" s="220"/>
      <c r="E34" s="220"/>
      <c r="F34" s="220"/>
      <c r="G34" s="220"/>
      <c r="H34" s="220"/>
      <c r="I34" s="220"/>
      <c r="J34" s="220"/>
      <c r="K34" s="220"/>
      <c r="L34" s="235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36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0"/>
      <c r="BJ34" s="220"/>
      <c r="BK34" s="363"/>
    </row>
    <row r="35" spans="1:63" s="1" customFormat="1" ht="15.75" customHeight="1" thickBot="1">
      <c r="A35" s="100"/>
      <c r="B35" s="101"/>
      <c r="C35" s="102"/>
      <c r="D35" s="102"/>
      <c r="E35" s="102"/>
      <c r="F35" s="102"/>
      <c r="G35" s="102"/>
      <c r="H35" s="102"/>
      <c r="I35" s="102"/>
      <c r="J35" s="102"/>
      <c r="K35" s="102"/>
      <c r="L35" s="103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4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5"/>
    </row>
  </sheetData>
  <mergeCells count="22">
    <mergeCell ref="BM5:CJ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1:J3"/>
    <mergeCell ref="K1:T1"/>
    <mergeCell ref="U1:Y1"/>
    <mergeCell ref="Z1:AD1"/>
    <mergeCell ref="AE1:AI1"/>
    <mergeCell ref="AE3:AR3"/>
  </mergeCells>
  <phoneticPr fontId="8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7583-BDAB-4E8D-9C40-8C554731EB4A}">
  <sheetPr>
    <tabColor rgb="FFFFFF00"/>
    <pageSetUpPr fitToPage="1"/>
  </sheetPr>
  <dimension ref="A1:CI35"/>
  <sheetViews>
    <sheetView showGridLines="0" showZeros="0" view="pageBreakPreview" zoomScaleNormal="100" zoomScaleSheetLayoutView="100" workbookViewId="0">
      <selection activeCell="Q25" sqref="Q25"/>
    </sheetView>
  </sheetViews>
  <sheetFormatPr defaultColWidth="2.125" defaultRowHeight="15.75" customHeight="1"/>
  <cols>
    <col min="1" max="1" width="2.125" style="191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87" s="149" customFormat="1" ht="15.75" customHeight="1">
      <c r="A1" s="821" t="str">
        <f>表紙!A54</f>
        <v>Webシステム</v>
      </c>
      <c r="B1" s="822"/>
      <c r="C1" s="822"/>
      <c r="D1" s="822"/>
      <c r="E1" s="822"/>
      <c r="F1" s="822"/>
      <c r="G1" s="822"/>
      <c r="H1" s="822"/>
      <c r="I1" s="822"/>
      <c r="J1" s="823"/>
      <c r="K1" s="857" t="s">
        <v>132</v>
      </c>
      <c r="L1" s="858"/>
      <c r="M1" s="858"/>
      <c r="N1" s="858"/>
      <c r="O1" s="858"/>
      <c r="P1" s="858"/>
      <c r="Q1" s="858"/>
      <c r="R1" s="858"/>
      <c r="S1" s="858"/>
      <c r="T1" s="859"/>
      <c r="U1" s="860" t="s">
        <v>148</v>
      </c>
      <c r="V1" s="861"/>
      <c r="W1" s="861"/>
      <c r="X1" s="861"/>
      <c r="Y1" s="862"/>
      <c r="Z1" s="863" t="str">
        <f>表紙!$AJ$63</f>
        <v>MS</v>
      </c>
      <c r="AA1" s="864"/>
      <c r="AB1" s="864"/>
      <c r="AC1" s="864"/>
      <c r="AD1" s="865"/>
      <c r="AE1" s="866" t="s">
        <v>135</v>
      </c>
      <c r="AF1" s="832"/>
      <c r="AG1" s="832"/>
      <c r="AH1" s="832"/>
      <c r="AI1" s="833"/>
      <c r="AJ1" s="867" t="str">
        <f>表紙!$AX$63</f>
        <v>Webシステム</v>
      </c>
      <c r="AK1" s="868"/>
      <c r="AL1" s="868"/>
      <c r="AM1" s="868"/>
      <c r="AN1" s="868"/>
      <c r="AO1" s="868"/>
      <c r="AP1" s="868"/>
      <c r="AQ1" s="868"/>
      <c r="AR1" s="869"/>
      <c r="AS1" s="830" t="s">
        <v>101</v>
      </c>
      <c r="AT1" s="830"/>
      <c r="AU1" s="830"/>
      <c r="AV1" s="830"/>
      <c r="AW1" s="830"/>
      <c r="AX1" s="830"/>
      <c r="AY1" s="830"/>
      <c r="AZ1" s="831" t="s">
        <v>124</v>
      </c>
      <c r="BA1" s="832"/>
      <c r="BB1" s="832"/>
      <c r="BC1" s="832"/>
      <c r="BD1" s="832"/>
      <c r="BE1" s="833"/>
      <c r="BF1" s="831" t="s">
        <v>149</v>
      </c>
      <c r="BG1" s="832"/>
      <c r="BH1" s="832"/>
      <c r="BI1" s="832"/>
      <c r="BJ1" s="832"/>
      <c r="BK1" s="834"/>
    </row>
    <row r="2" spans="1:87" s="149" customFormat="1" ht="15.75" customHeight="1">
      <c r="A2" s="824"/>
      <c r="B2" s="825"/>
      <c r="C2" s="825"/>
      <c r="D2" s="825"/>
      <c r="E2" s="825"/>
      <c r="F2" s="825"/>
      <c r="G2" s="825"/>
      <c r="H2" s="825"/>
      <c r="I2" s="825"/>
      <c r="J2" s="826"/>
      <c r="K2" s="835" t="str">
        <f>表紙!O64</f>
        <v>アドオン設計書</v>
      </c>
      <c r="L2" s="836"/>
      <c r="M2" s="836"/>
      <c r="N2" s="836"/>
      <c r="O2" s="836"/>
      <c r="P2" s="836"/>
      <c r="Q2" s="836"/>
      <c r="R2" s="836"/>
      <c r="S2" s="836"/>
      <c r="T2" s="837"/>
      <c r="U2" s="838" t="s">
        <v>150</v>
      </c>
      <c r="V2" s="839"/>
      <c r="W2" s="839"/>
      <c r="X2" s="839"/>
      <c r="Y2" s="840"/>
      <c r="Z2" s="841" t="str">
        <f>表紙!$AJ$64</f>
        <v>MSBB</v>
      </c>
      <c r="AA2" s="842"/>
      <c r="AB2" s="842"/>
      <c r="AC2" s="842"/>
      <c r="AD2" s="843"/>
      <c r="AE2" s="844" t="s">
        <v>141</v>
      </c>
      <c r="AF2" s="845"/>
      <c r="AG2" s="845"/>
      <c r="AH2" s="845"/>
      <c r="AI2" s="846"/>
      <c r="AJ2" s="847" t="str">
        <f>表紙!$AX$64</f>
        <v>販売Webシステム</v>
      </c>
      <c r="AK2" s="848"/>
      <c r="AL2" s="848"/>
      <c r="AM2" s="848"/>
      <c r="AN2" s="848"/>
      <c r="AO2" s="848"/>
      <c r="AP2" s="848"/>
      <c r="AQ2" s="848"/>
      <c r="AR2" s="849"/>
      <c r="AS2" s="850" t="str">
        <f>表紙!$BL$64</f>
        <v>M7-US-1140</v>
      </c>
      <c r="AT2" s="851"/>
      <c r="AU2" s="851"/>
      <c r="AV2" s="851"/>
      <c r="AW2" s="851"/>
      <c r="AX2" s="851"/>
      <c r="AY2" s="851"/>
      <c r="AZ2" s="853" t="str">
        <f>表紙!$BU$64</f>
        <v>7.0.2</v>
      </c>
      <c r="BA2" s="836"/>
      <c r="BB2" s="836"/>
      <c r="BC2" s="836"/>
      <c r="BD2" s="836"/>
      <c r="BE2" s="837"/>
      <c r="BF2" s="870">
        <f>表紙!$CB$64</f>
        <v>2</v>
      </c>
      <c r="BG2" s="836"/>
      <c r="BH2" s="836"/>
      <c r="BI2" s="836"/>
      <c r="BJ2" s="836"/>
      <c r="BK2" s="871"/>
    </row>
    <row r="3" spans="1:87" s="149" customFormat="1" ht="15.75" customHeight="1" thickBot="1">
      <c r="A3" s="827"/>
      <c r="B3" s="828"/>
      <c r="C3" s="828"/>
      <c r="D3" s="828"/>
      <c r="E3" s="828"/>
      <c r="F3" s="828"/>
      <c r="G3" s="828"/>
      <c r="H3" s="828"/>
      <c r="I3" s="828"/>
      <c r="J3" s="829"/>
      <c r="K3" s="873" t="str">
        <f ca="1">RIGHT(CELL("filename",$A$1),LEN(CELL("filename",$A$1))-FIND("]",CELL("filename",$A$1)))</f>
        <v>画面遷移</v>
      </c>
      <c r="L3" s="874"/>
      <c r="M3" s="874"/>
      <c r="N3" s="874"/>
      <c r="O3" s="874"/>
      <c r="P3" s="874"/>
      <c r="Q3" s="874"/>
      <c r="R3" s="874"/>
      <c r="S3" s="874"/>
      <c r="T3" s="875"/>
      <c r="U3" s="810" t="s">
        <v>146</v>
      </c>
      <c r="V3" s="811"/>
      <c r="W3" s="811"/>
      <c r="X3" s="811"/>
      <c r="Y3" s="812"/>
      <c r="Z3" s="813" t="str">
        <f>表紙!$AJ$65</f>
        <v>MSBBPA120</v>
      </c>
      <c r="AA3" s="814"/>
      <c r="AB3" s="814"/>
      <c r="AC3" s="814"/>
      <c r="AD3" s="814"/>
      <c r="AE3" s="815" t="str">
        <f>表紙!$AQ$65</f>
        <v>Web取引先マスタ一覧照会</v>
      </c>
      <c r="AF3" s="816"/>
      <c r="AG3" s="816"/>
      <c r="AH3" s="816"/>
      <c r="AI3" s="816"/>
      <c r="AJ3" s="816"/>
      <c r="AK3" s="816"/>
      <c r="AL3" s="816"/>
      <c r="AM3" s="816"/>
      <c r="AN3" s="816"/>
      <c r="AO3" s="816"/>
      <c r="AP3" s="816"/>
      <c r="AQ3" s="816"/>
      <c r="AR3" s="817"/>
      <c r="AS3" s="852"/>
      <c r="AT3" s="852"/>
      <c r="AU3" s="852"/>
      <c r="AV3" s="852"/>
      <c r="AW3" s="852"/>
      <c r="AX3" s="852"/>
      <c r="AY3" s="852"/>
      <c r="AZ3" s="854"/>
      <c r="BA3" s="855"/>
      <c r="BB3" s="855"/>
      <c r="BC3" s="855"/>
      <c r="BD3" s="855"/>
      <c r="BE3" s="856"/>
      <c r="BF3" s="854"/>
      <c r="BG3" s="855"/>
      <c r="BH3" s="855"/>
      <c r="BI3" s="855"/>
      <c r="BJ3" s="855"/>
      <c r="BK3" s="872"/>
    </row>
    <row r="4" spans="1:87" s="149" customFormat="1" ht="6.75" customHeight="1" thickBot="1">
      <c r="B4" s="150"/>
      <c r="C4" s="151"/>
      <c r="D4" s="151"/>
      <c r="E4" s="151"/>
      <c r="F4" s="152"/>
      <c r="G4" s="152"/>
      <c r="H4" s="152"/>
      <c r="I4" s="152"/>
      <c r="J4" s="151"/>
      <c r="K4" s="152"/>
      <c r="L4" s="152"/>
      <c r="M4" s="152"/>
      <c r="N4" s="152"/>
      <c r="O4" s="152"/>
      <c r="P4" s="152"/>
      <c r="Q4" s="153"/>
    </row>
    <row r="5" spans="1:87" ht="15.75" customHeight="1" thickBot="1">
      <c r="A5" s="213" t="s">
        <v>578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5"/>
    </row>
    <row r="6" spans="1:87" ht="15.75" customHeight="1" thickBot="1">
      <c r="A6" s="353" t="s">
        <v>579</v>
      </c>
      <c r="B6" s="354"/>
      <c r="C6" s="355" t="s">
        <v>580</v>
      </c>
      <c r="D6" s="356"/>
      <c r="E6" s="356" t="s">
        <v>581</v>
      </c>
      <c r="F6" s="356"/>
      <c r="G6" s="356"/>
      <c r="H6" s="356"/>
      <c r="I6" s="356"/>
      <c r="J6" s="356"/>
      <c r="K6" s="356"/>
      <c r="L6" s="356"/>
      <c r="M6" s="356"/>
      <c r="N6" s="356"/>
      <c r="O6" s="356"/>
      <c r="P6" s="356"/>
      <c r="Q6" s="356"/>
      <c r="R6" s="356"/>
      <c r="S6" s="356"/>
      <c r="T6" s="356"/>
      <c r="U6" s="356"/>
      <c r="V6" s="356"/>
      <c r="W6" s="356"/>
      <c r="X6" s="356"/>
      <c r="Y6" s="356"/>
      <c r="Z6" s="356"/>
      <c r="AA6" s="356"/>
      <c r="AB6" s="356"/>
      <c r="AC6" s="356"/>
      <c r="AD6" s="356"/>
      <c r="AE6" s="356"/>
      <c r="AF6" s="356"/>
      <c r="AG6" s="356"/>
      <c r="AH6" s="356"/>
      <c r="AI6" s="356"/>
      <c r="AJ6" s="356"/>
      <c r="AK6" s="356"/>
      <c r="AL6" s="356"/>
      <c r="AM6" s="356"/>
      <c r="AN6" s="356"/>
      <c r="AO6" s="356"/>
      <c r="AP6" s="356"/>
      <c r="AQ6" s="356"/>
      <c r="AR6" s="356"/>
      <c r="AS6" s="356"/>
      <c r="AT6" s="356"/>
      <c r="AU6" s="356"/>
      <c r="AV6" s="356"/>
      <c r="AW6" s="356"/>
      <c r="AX6" s="356"/>
      <c r="AY6" s="356"/>
      <c r="AZ6" s="356"/>
      <c r="BA6" s="356"/>
      <c r="BB6" s="356"/>
      <c r="BC6" s="356"/>
      <c r="BD6" s="356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  <c r="BS6" s="356"/>
      <c r="BT6" s="356"/>
      <c r="BU6" s="356"/>
      <c r="BV6" s="356"/>
      <c r="BW6" s="356"/>
      <c r="BX6" s="356"/>
      <c r="BY6" s="356"/>
      <c r="BZ6" s="356"/>
      <c r="CA6" s="356"/>
      <c r="CB6" s="356"/>
      <c r="CC6" s="356"/>
      <c r="CD6" s="356"/>
      <c r="CE6" s="356"/>
      <c r="CF6" s="356"/>
      <c r="CG6" s="356"/>
      <c r="CH6" s="357"/>
      <c r="CI6" s="190"/>
    </row>
    <row r="7" spans="1:87" ht="15.75" customHeight="1">
      <c r="A7" s="154"/>
      <c r="K7" s="190"/>
      <c r="CH7" s="358"/>
    </row>
    <row r="8" spans="1:87" ht="15.75" customHeight="1">
      <c r="A8" s="154"/>
      <c r="K8" s="190"/>
      <c r="CH8" s="358"/>
    </row>
    <row r="9" spans="1:87" ht="15.75" customHeight="1">
      <c r="A9" s="154"/>
      <c r="K9" s="190"/>
      <c r="R9" s="190"/>
      <c r="AI9" s="190"/>
      <c r="CH9" s="358"/>
    </row>
    <row r="10" spans="1:87" ht="15.75" customHeight="1">
      <c r="A10" s="154"/>
      <c r="D10" s="190" t="s">
        <v>582</v>
      </c>
      <c r="K10" s="190"/>
      <c r="CH10" s="358"/>
    </row>
    <row r="11" spans="1:87" ht="15.75" customHeight="1">
      <c r="A11" s="154"/>
      <c r="D11" s="1" t="s">
        <v>583</v>
      </c>
      <c r="E11" s="190"/>
      <c r="F11" s="190"/>
      <c r="G11" s="190"/>
      <c r="H11" s="190"/>
      <c r="I11" s="190"/>
      <c r="J11" s="190"/>
      <c r="K11" s="190"/>
      <c r="R11" s="190" t="s">
        <v>584</v>
      </c>
      <c r="T11" s="190"/>
      <c r="U11" s="190"/>
      <c r="V11" s="190"/>
      <c r="W11" s="190"/>
      <c r="Y11" s="190"/>
      <c r="Z11" s="190"/>
      <c r="AA11" s="190"/>
      <c r="AB11" s="190"/>
      <c r="AC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W11" s="190"/>
      <c r="AX11" s="190"/>
      <c r="AY11" s="190"/>
      <c r="AZ11" s="190"/>
      <c r="BA11" s="190"/>
      <c r="BB11" s="190"/>
      <c r="BC11" s="190"/>
      <c r="BD11" s="190"/>
      <c r="CH11" s="358"/>
    </row>
    <row r="12" spans="1:87" ht="15.75" customHeight="1">
      <c r="A12" s="154"/>
      <c r="D12" s="190"/>
      <c r="E12" s="190"/>
      <c r="F12" s="190"/>
      <c r="G12" s="190"/>
      <c r="H12" s="190"/>
      <c r="I12" s="190"/>
      <c r="J12" s="190"/>
      <c r="K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  <c r="BA12" s="190"/>
      <c r="BB12" s="190"/>
      <c r="BC12" s="190"/>
      <c r="BD12" s="190"/>
      <c r="CH12" s="358"/>
    </row>
    <row r="13" spans="1:87" ht="15.75" customHeight="1">
      <c r="A13" s="154"/>
      <c r="D13" s="190"/>
      <c r="E13" s="190"/>
      <c r="F13" s="190"/>
      <c r="G13" s="190"/>
      <c r="H13" s="190"/>
      <c r="I13" s="190"/>
      <c r="J13" s="190"/>
      <c r="K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CH13" s="358"/>
    </row>
    <row r="14" spans="1:87" ht="15.75" customHeight="1">
      <c r="A14" s="154"/>
      <c r="D14" s="190"/>
      <c r="K14" s="190"/>
      <c r="AD14" s="1" t="s">
        <v>585</v>
      </c>
      <c r="CH14" s="358"/>
    </row>
    <row r="15" spans="1:87" ht="15.75" customHeight="1">
      <c r="A15" s="154"/>
      <c r="K15" s="190"/>
      <c r="AD15" s="1" t="s">
        <v>586</v>
      </c>
      <c r="CH15" s="358"/>
    </row>
    <row r="16" spans="1:87" ht="15.75" customHeight="1">
      <c r="A16" s="154"/>
      <c r="K16" s="190"/>
      <c r="CH16" s="358"/>
    </row>
    <row r="17" spans="1:87" ht="15.75" customHeight="1">
      <c r="A17" s="154"/>
      <c r="K17" s="190"/>
      <c r="CH17" s="358"/>
    </row>
    <row r="18" spans="1:87" ht="15.75" customHeight="1">
      <c r="A18" s="154"/>
      <c r="CH18" s="358"/>
    </row>
    <row r="19" spans="1:87" ht="15.75" customHeight="1" thickBot="1">
      <c r="A19" s="359"/>
      <c r="B19" s="360"/>
      <c r="C19" s="360"/>
      <c r="D19" s="360"/>
      <c r="E19" s="360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  <c r="AA19" s="360"/>
      <c r="AB19" s="360"/>
      <c r="AC19" s="360"/>
      <c r="AD19" s="360"/>
      <c r="AE19" s="360"/>
      <c r="AF19" s="360"/>
      <c r="AG19" s="360"/>
      <c r="AH19" s="360"/>
      <c r="AI19" s="360"/>
      <c r="AJ19" s="360"/>
      <c r="AK19" s="360"/>
      <c r="AL19" s="360"/>
      <c r="AM19" s="360"/>
      <c r="AN19" s="360"/>
      <c r="AO19" s="360"/>
      <c r="AP19" s="360"/>
      <c r="AQ19" s="360"/>
      <c r="AR19" s="360"/>
      <c r="AS19" s="360"/>
      <c r="AT19" s="360"/>
      <c r="AU19" s="360"/>
      <c r="AV19" s="360"/>
      <c r="AW19" s="360"/>
      <c r="AX19" s="360"/>
      <c r="AY19" s="360"/>
      <c r="AZ19" s="360"/>
      <c r="BA19" s="360"/>
      <c r="BB19" s="360"/>
      <c r="BC19" s="360"/>
      <c r="BD19" s="360"/>
      <c r="BE19" s="360"/>
      <c r="BF19" s="360"/>
      <c r="BG19" s="360"/>
      <c r="BH19" s="360"/>
      <c r="BI19" s="360"/>
      <c r="BJ19" s="360"/>
      <c r="BK19" s="360"/>
      <c r="BL19" s="360"/>
      <c r="BM19" s="360"/>
      <c r="BN19" s="360"/>
      <c r="BO19" s="360"/>
      <c r="BP19" s="360"/>
      <c r="BQ19" s="360"/>
      <c r="BR19" s="360"/>
      <c r="BS19" s="360"/>
      <c r="BT19" s="360"/>
      <c r="BU19" s="360"/>
      <c r="BV19" s="360"/>
      <c r="BW19" s="360"/>
      <c r="BX19" s="360"/>
      <c r="BY19" s="360"/>
      <c r="BZ19" s="360"/>
      <c r="CA19" s="360"/>
      <c r="CB19" s="360"/>
      <c r="CC19" s="360"/>
      <c r="CD19" s="360"/>
      <c r="CE19" s="360"/>
      <c r="CF19" s="360"/>
      <c r="CG19" s="360"/>
      <c r="CH19" s="361"/>
    </row>
    <row r="20" spans="1:87" ht="15.75" customHeight="1">
      <c r="A20" s="946" t="s">
        <v>640</v>
      </c>
      <c r="B20" s="947"/>
      <c r="C20" s="947"/>
      <c r="D20" s="948" t="s">
        <v>641</v>
      </c>
      <c r="E20" s="947"/>
      <c r="F20" s="947"/>
      <c r="G20" s="947"/>
      <c r="H20" s="947"/>
      <c r="I20" s="947"/>
      <c r="J20" s="947"/>
      <c r="K20" s="947"/>
      <c r="L20" s="947"/>
      <c r="M20" s="947"/>
      <c r="N20" s="947"/>
      <c r="O20" s="947"/>
      <c r="P20" s="947"/>
      <c r="Q20" s="947"/>
      <c r="R20" s="947"/>
      <c r="S20" s="947"/>
      <c r="T20" s="947"/>
      <c r="U20" s="947"/>
      <c r="V20" s="947"/>
      <c r="W20" s="947"/>
      <c r="X20" s="947"/>
      <c r="Y20" s="947"/>
      <c r="Z20" s="947"/>
      <c r="AA20" s="947"/>
      <c r="AB20" s="947"/>
      <c r="AC20" s="947"/>
      <c r="AD20" s="947"/>
      <c r="AE20" s="947"/>
      <c r="AF20" s="947"/>
      <c r="AG20" s="947"/>
      <c r="AH20" s="947"/>
      <c r="AI20" s="947"/>
      <c r="AJ20" s="947"/>
      <c r="AK20" s="947"/>
      <c r="AL20" s="947"/>
      <c r="AM20" s="947"/>
      <c r="AN20" s="947"/>
      <c r="AO20" s="947"/>
      <c r="AP20" s="947"/>
      <c r="AQ20" s="947"/>
      <c r="AR20" s="947"/>
      <c r="AS20" s="947"/>
      <c r="AT20" s="947"/>
      <c r="AU20" s="947"/>
      <c r="AV20" s="947"/>
      <c r="AW20" s="947"/>
      <c r="AX20" s="947"/>
      <c r="AY20" s="947"/>
      <c r="AZ20" s="362"/>
      <c r="BA20" s="362"/>
      <c r="BB20" s="362"/>
      <c r="BC20" s="362"/>
      <c r="BD20" s="362"/>
      <c r="BE20" s="362"/>
      <c r="BF20" s="362"/>
      <c r="BG20" s="362"/>
      <c r="BH20" s="362"/>
      <c r="BI20" s="362"/>
      <c r="BJ20" s="362"/>
      <c r="BK20" s="362"/>
      <c r="BL20" s="362"/>
      <c r="BM20" s="362"/>
      <c r="BN20" s="362"/>
      <c r="BO20" s="362"/>
      <c r="BP20" s="362"/>
      <c r="BQ20" s="362"/>
      <c r="BR20" s="362"/>
      <c r="BS20" s="362"/>
      <c r="BT20" s="362"/>
      <c r="BU20" s="362"/>
      <c r="BV20" s="362"/>
      <c r="BW20" s="362"/>
      <c r="BX20" s="362"/>
      <c r="BY20" s="362"/>
      <c r="BZ20" s="362"/>
      <c r="CA20" s="362"/>
      <c r="CB20" s="362"/>
      <c r="CC20" s="362"/>
      <c r="CD20" s="362"/>
      <c r="CE20" s="362"/>
      <c r="CF20" s="362"/>
      <c r="CG20" s="362"/>
      <c r="CH20" s="949"/>
    </row>
    <row r="21" spans="1:87" ht="15.75" customHeight="1">
      <c r="A21" s="950" t="s">
        <v>642</v>
      </c>
      <c r="B21" s="951"/>
      <c r="C21" s="952"/>
      <c r="D21" s="953" t="s">
        <v>643</v>
      </c>
      <c r="E21" s="951"/>
      <c r="F21" s="951"/>
      <c r="G21" s="951"/>
      <c r="H21" s="951"/>
      <c r="I21" s="951"/>
      <c r="J21" s="951"/>
      <c r="K21" s="951"/>
      <c r="L21" s="951"/>
      <c r="M21" s="951"/>
      <c r="N21" s="951"/>
      <c r="O21" s="951"/>
      <c r="P21" s="951"/>
      <c r="Q21" s="951"/>
      <c r="R21" s="951"/>
      <c r="S21" s="951"/>
      <c r="T21" s="951"/>
      <c r="U21" s="951"/>
      <c r="V21" s="951"/>
      <c r="W21" s="951"/>
      <c r="X21" s="951"/>
      <c r="Y21" s="951"/>
      <c r="Z21" s="951"/>
      <c r="AA21" s="951"/>
      <c r="AB21" s="951"/>
      <c r="AC21" s="951"/>
      <c r="AD21" s="951"/>
      <c r="AE21" s="951"/>
      <c r="AF21" s="951"/>
      <c r="AG21" s="951"/>
      <c r="AH21" s="951"/>
      <c r="AI21" s="951"/>
      <c r="AJ21" s="951"/>
      <c r="AK21" s="951"/>
      <c r="AL21" s="951"/>
      <c r="AM21" s="951"/>
      <c r="AN21" s="951"/>
      <c r="AO21" s="951"/>
      <c r="AP21" s="951"/>
      <c r="AQ21" s="951"/>
      <c r="AR21" s="951"/>
      <c r="AS21" s="951"/>
      <c r="AT21" s="951"/>
      <c r="AU21" s="951"/>
      <c r="AV21" s="951"/>
      <c r="AW21" s="951"/>
      <c r="AX21" s="951"/>
      <c r="AY21" s="951"/>
      <c r="AZ21" s="951"/>
      <c r="BA21" s="951"/>
      <c r="BB21" s="951"/>
      <c r="BC21" s="951"/>
      <c r="BD21" s="951"/>
      <c r="BE21" s="951"/>
      <c r="BF21" s="951"/>
      <c r="BG21" s="951"/>
      <c r="BH21" s="951"/>
      <c r="BI21" s="951"/>
      <c r="BJ21" s="951"/>
      <c r="BK21" s="951"/>
      <c r="BL21" s="951"/>
      <c r="BM21" s="951"/>
      <c r="BN21" s="951"/>
      <c r="BO21" s="951"/>
      <c r="BP21" s="951"/>
      <c r="BQ21" s="951"/>
      <c r="BR21" s="951"/>
      <c r="BS21" s="951"/>
      <c r="BT21" s="951"/>
      <c r="BU21" s="951"/>
      <c r="BV21" s="951"/>
      <c r="BW21" s="951"/>
      <c r="BX21" s="951"/>
      <c r="BY21" s="951"/>
      <c r="BZ21" s="951"/>
      <c r="CA21" s="951"/>
      <c r="CB21" s="951"/>
      <c r="CC21" s="951"/>
      <c r="CD21" s="951"/>
      <c r="CE21" s="951"/>
      <c r="CF21" s="951"/>
      <c r="CG21" s="951"/>
      <c r="CH21" s="954"/>
    </row>
    <row r="22" spans="1:87" s="365" customFormat="1" ht="15.75" customHeight="1">
      <c r="A22" s="955"/>
      <c r="B22" s="956"/>
      <c r="C22" s="956"/>
      <c r="D22" s="956"/>
      <c r="E22" s="956"/>
      <c r="F22" s="956"/>
      <c r="G22" s="956"/>
      <c r="H22" s="956"/>
      <c r="I22" s="956"/>
      <c r="J22" s="956"/>
      <c r="K22" s="956"/>
      <c r="L22" s="956"/>
      <c r="M22" s="956"/>
      <c r="N22" s="956"/>
      <c r="O22" s="956"/>
      <c r="P22" s="956"/>
      <c r="Q22" s="956"/>
      <c r="R22" s="956"/>
      <c r="S22" s="956"/>
      <c r="T22" s="956"/>
      <c r="U22" s="956"/>
      <c r="V22" s="956"/>
      <c r="W22" s="956"/>
      <c r="X22" s="956"/>
      <c r="Y22" s="956"/>
      <c r="Z22" s="956"/>
      <c r="AA22" s="956"/>
      <c r="AB22" s="956"/>
      <c r="AC22" s="956"/>
      <c r="AD22" s="956"/>
      <c r="AE22" s="956"/>
      <c r="AF22" s="956"/>
      <c r="AG22" s="956"/>
      <c r="AH22" s="956"/>
      <c r="AI22" s="956"/>
      <c r="AJ22" s="956"/>
      <c r="AK22" s="956"/>
      <c r="AL22" s="956"/>
      <c r="AM22" s="956"/>
      <c r="AN22" s="956"/>
      <c r="AO22" s="956"/>
      <c r="AP22" s="956"/>
      <c r="AQ22" s="956"/>
      <c r="AR22" s="956"/>
      <c r="AS22" s="956"/>
      <c r="AT22" s="956"/>
      <c r="AU22" s="956"/>
      <c r="AV22" s="956"/>
      <c r="AW22" s="956"/>
      <c r="AX22" s="956"/>
      <c r="AY22" s="956"/>
      <c r="AZ22" s="956"/>
      <c r="BA22" s="956"/>
      <c r="BB22" s="956"/>
      <c r="BC22" s="956"/>
      <c r="BD22" s="956"/>
      <c r="BE22" s="956"/>
      <c r="BF22" s="956"/>
      <c r="BG22" s="956"/>
      <c r="BH22" s="956"/>
      <c r="BI22" s="957"/>
      <c r="BJ22" s="957"/>
      <c r="BK22" s="957"/>
      <c r="BL22" s="958"/>
      <c r="BM22" s="959"/>
      <c r="BN22" s="959"/>
      <c r="BO22" s="959"/>
      <c r="BP22" s="959"/>
      <c r="BQ22" s="959"/>
      <c r="BR22" s="959"/>
      <c r="BS22" s="959"/>
      <c r="BT22" s="959"/>
      <c r="BU22" s="960"/>
      <c r="BV22" s="959"/>
      <c r="BW22" s="959"/>
      <c r="BX22" s="959"/>
      <c r="BY22" s="959"/>
      <c r="BZ22" s="959"/>
      <c r="CA22" s="959"/>
      <c r="CB22" s="959"/>
      <c r="CC22" s="959"/>
      <c r="CD22" s="959"/>
      <c r="CE22" s="959"/>
      <c r="CF22" s="959"/>
      <c r="CG22" s="959"/>
      <c r="CH22" s="358"/>
      <c r="CI22" s="1"/>
    </row>
    <row r="23" spans="1:87" s="365" customFormat="1" ht="15.75" customHeight="1">
      <c r="A23" s="961"/>
      <c r="B23" s="962" t="s">
        <v>644</v>
      </c>
      <c r="C23" s="959"/>
      <c r="D23" s="959"/>
      <c r="E23" s="959"/>
      <c r="F23" s="959"/>
      <c r="G23" s="959"/>
      <c r="H23" s="959"/>
      <c r="I23" s="959"/>
      <c r="J23" s="959"/>
      <c r="K23" s="959"/>
      <c r="L23" s="959"/>
      <c r="M23" s="959"/>
      <c r="N23" s="959"/>
      <c r="O23" s="959"/>
      <c r="P23" s="959"/>
      <c r="Q23" s="959"/>
      <c r="R23" s="959"/>
      <c r="S23" s="959"/>
      <c r="T23" s="959"/>
      <c r="U23" s="959"/>
      <c r="V23" s="959"/>
      <c r="W23" s="959"/>
      <c r="X23" s="959"/>
      <c r="Y23" s="959"/>
      <c r="Z23" s="959"/>
      <c r="AA23" s="959"/>
      <c r="AB23" s="959"/>
      <c r="AC23" s="959"/>
      <c r="AD23" s="959"/>
      <c r="AE23" s="959"/>
      <c r="AF23" s="959"/>
      <c r="AG23" s="959"/>
      <c r="AH23" s="959"/>
      <c r="AI23" s="959"/>
      <c r="AJ23" s="959"/>
      <c r="AK23" s="959"/>
      <c r="AL23" s="959"/>
      <c r="AM23" s="959"/>
      <c r="AN23" s="959"/>
      <c r="AO23" s="959"/>
      <c r="AP23" s="959"/>
      <c r="AQ23" s="959"/>
      <c r="AR23" s="959"/>
      <c r="AS23" s="959"/>
      <c r="AT23" s="959"/>
      <c r="AU23" s="959"/>
      <c r="AV23" s="959"/>
      <c r="AW23" s="959"/>
      <c r="AX23" s="959"/>
      <c r="AY23" s="959"/>
      <c r="AZ23" s="959"/>
      <c r="BA23" s="959"/>
      <c r="BB23" s="959"/>
      <c r="BC23" s="959"/>
      <c r="BD23" s="959"/>
      <c r="BE23" s="959"/>
      <c r="BF23" s="959"/>
      <c r="BG23" s="959"/>
      <c r="BH23" s="959"/>
      <c r="BI23" s="959"/>
      <c r="BJ23" s="959"/>
      <c r="BK23" s="957"/>
      <c r="BL23" s="959"/>
      <c r="BM23" s="959"/>
      <c r="BN23" s="959"/>
      <c r="BO23" s="959"/>
      <c r="BP23" s="959"/>
      <c r="BQ23" s="959"/>
      <c r="BR23" s="959"/>
      <c r="BS23" s="959"/>
      <c r="BT23" s="959"/>
      <c r="BU23" s="410"/>
      <c r="BV23" s="959"/>
      <c r="BW23" s="959"/>
      <c r="BX23" s="959"/>
      <c r="BY23" s="959"/>
      <c r="BZ23" s="959"/>
      <c r="CA23" s="959"/>
      <c r="CB23" s="959"/>
      <c r="CC23" s="959"/>
      <c r="CD23" s="959"/>
      <c r="CE23" s="959"/>
      <c r="CF23" s="959"/>
      <c r="CG23" s="959"/>
      <c r="CH23" s="358"/>
    </row>
    <row r="24" spans="1:87" s="365" customFormat="1" ht="15.75" customHeight="1">
      <c r="A24" s="961"/>
      <c r="B24" s="963" t="s">
        <v>645</v>
      </c>
      <c r="C24" s="964"/>
      <c r="D24" s="964"/>
      <c r="E24" s="964"/>
      <c r="F24" s="964"/>
      <c r="G24" s="964"/>
      <c r="H24" s="965"/>
      <c r="I24" s="966" t="s">
        <v>646</v>
      </c>
      <c r="J24" s="967"/>
      <c r="K24" s="967"/>
      <c r="L24" s="967"/>
      <c r="M24" s="967"/>
      <c r="N24" s="967"/>
      <c r="O24" s="967"/>
      <c r="P24" s="967"/>
      <c r="Q24" s="967"/>
      <c r="R24" s="967"/>
      <c r="S24" s="967"/>
      <c r="T24" s="967"/>
      <c r="U24" s="967"/>
      <c r="V24" s="967"/>
      <c r="W24" s="967"/>
      <c r="X24" s="967"/>
      <c r="Y24" s="967"/>
      <c r="Z24" s="967"/>
      <c r="AA24" s="967"/>
      <c r="AB24" s="967"/>
      <c r="AC24" s="967"/>
      <c r="AD24" s="967"/>
      <c r="AE24" s="967"/>
      <c r="AF24" s="967"/>
      <c r="AG24" s="967"/>
      <c r="AH24" s="967"/>
      <c r="AI24" s="967"/>
      <c r="AJ24" s="967"/>
      <c r="AK24" s="967"/>
      <c r="AL24" s="967"/>
      <c r="AM24" s="967"/>
      <c r="AN24" s="967"/>
      <c r="AO24" s="967"/>
      <c r="AP24" s="967"/>
      <c r="AQ24" s="967"/>
      <c r="AR24" s="967"/>
      <c r="AS24" s="967"/>
      <c r="AT24" s="967"/>
      <c r="AU24" s="967"/>
      <c r="AV24" s="967"/>
      <c r="AW24" s="967"/>
      <c r="AX24" s="967"/>
      <c r="AY24" s="967"/>
      <c r="AZ24" s="967"/>
      <c r="BA24" s="967"/>
      <c r="BB24" s="967"/>
      <c r="BC24" s="967"/>
      <c r="BD24" s="967"/>
      <c r="BE24" s="967"/>
      <c r="BF24" s="967"/>
      <c r="BG24" s="967"/>
      <c r="BH24" s="967"/>
      <c r="BI24" s="967"/>
      <c r="BJ24" s="967"/>
      <c r="BK24" s="967"/>
      <c r="BL24" s="968"/>
      <c r="BM24" s="968"/>
      <c r="BN24" s="968"/>
      <c r="BO24" s="968"/>
      <c r="BP24" s="968"/>
      <c r="BQ24" s="968"/>
      <c r="BR24" s="968"/>
      <c r="BS24" s="968"/>
      <c r="BT24" s="968"/>
      <c r="BU24" s="968"/>
      <c r="BV24" s="968"/>
      <c r="BW24" s="968"/>
      <c r="BX24" s="968"/>
      <c r="BY24" s="968"/>
      <c r="BZ24" s="968"/>
      <c r="CA24" s="968"/>
      <c r="CB24" s="968"/>
      <c r="CC24" s="968"/>
      <c r="CD24" s="968"/>
      <c r="CE24" s="967"/>
      <c r="CF24" s="969"/>
      <c r="CG24" s="959"/>
      <c r="CH24" s="358"/>
    </row>
    <row r="25" spans="1:87" s="365" customFormat="1" ht="15.75" customHeight="1">
      <c r="A25" s="961"/>
      <c r="B25" s="963" t="s">
        <v>647</v>
      </c>
      <c r="C25" s="964"/>
      <c r="D25" s="964"/>
      <c r="E25" s="964"/>
      <c r="F25" s="964"/>
      <c r="G25" s="964"/>
      <c r="H25" s="965"/>
      <c r="I25" s="966" t="s">
        <v>648</v>
      </c>
      <c r="J25" s="967"/>
      <c r="K25" s="967"/>
      <c r="L25" s="967"/>
      <c r="M25" s="967"/>
      <c r="N25" s="967"/>
      <c r="O25" s="967"/>
      <c r="P25" s="967"/>
      <c r="Q25" s="967"/>
      <c r="R25" s="967"/>
      <c r="S25" s="967"/>
      <c r="T25" s="967"/>
      <c r="U25" s="967"/>
      <c r="V25" s="967"/>
      <c r="W25" s="967"/>
      <c r="X25" s="967"/>
      <c r="Y25" s="967"/>
      <c r="Z25" s="967"/>
      <c r="AA25" s="967"/>
      <c r="AB25" s="967"/>
      <c r="AC25" s="967"/>
      <c r="AD25" s="967"/>
      <c r="AE25" s="967"/>
      <c r="AF25" s="967"/>
      <c r="AG25" s="967"/>
      <c r="AH25" s="967"/>
      <c r="AI25" s="967"/>
      <c r="AJ25" s="967"/>
      <c r="AK25" s="967"/>
      <c r="AL25" s="967"/>
      <c r="AM25" s="967"/>
      <c r="AN25" s="967"/>
      <c r="AO25" s="967"/>
      <c r="AP25" s="967"/>
      <c r="AQ25" s="967"/>
      <c r="AR25" s="967"/>
      <c r="AS25" s="967"/>
      <c r="AT25" s="967"/>
      <c r="AU25" s="967"/>
      <c r="AV25" s="967"/>
      <c r="AW25" s="967"/>
      <c r="AX25" s="967"/>
      <c r="AY25" s="967"/>
      <c r="AZ25" s="967"/>
      <c r="BA25" s="967"/>
      <c r="BB25" s="967"/>
      <c r="BC25" s="967"/>
      <c r="BD25" s="967"/>
      <c r="BE25" s="967"/>
      <c r="BF25" s="967"/>
      <c r="BG25" s="970"/>
      <c r="BH25" s="970"/>
      <c r="BI25" s="957"/>
      <c r="BJ25" s="957"/>
      <c r="BK25" s="957"/>
      <c r="BL25" s="959"/>
      <c r="BM25" s="959"/>
      <c r="BN25" s="959"/>
      <c r="BO25" s="959"/>
      <c r="BP25" s="959"/>
      <c r="BQ25" s="959"/>
      <c r="BR25" s="959"/>
      <c r="BS25" s="959"/>
      <c r="BT25" s="959"/>
      <c r="BU25" s="959"/>
      <c r="BV25" s="959"/>
      <c r="BW25" s="959"/>
      <c r="BX25" s="959"/>
      <c r="BY25" s="959"/>
      <c r="BZ25" s="959"/>
      <c r="CA25" s="959"/>
      <c r="CB25" s="959"/>
      <c r="CC25" s="959"/>
      <c r="CD25" s="959"/>
      <c r="CE25" s="967"/>
      <c r="CF25" s="969"/>
      <c r="CG25" s="959"/>
      <c r="CH25" s="358"/>
    </row>
    <row r="26" spans="1:87" s="365" customFormat="1" ht="15.75" customHeight="1">
      <c r="A26" s="961"/>
      <c r="B26" s="963" t="s">
        <v>649</v>
      </c>
      <c r="C26" s="964"/>
      <c r="D26" s="964"/>
      <c r="E26" s="964"/>
      <c r="F26" s="964"/>
      <c r="G26" s="964"/>
      <c r="H26" s="965"/>
      <c r="I26" s="966" t="s">
        <v>127</v>
      </c>
      <c r="J26" s="967"/>
      <c r="K26" s="967"/>
      <c r="L26" s="967"/>
      <c r="M26" s="967"/>
      <c r="N26" s="967"/>
      <c r="O26" s="967"/>
      <c r="P26" s="967"/>
      <c r="Q26" s="967"/>
      <c r="R26" s="967"/>
      <c r="S26" s="967"/>
      <c r="T26" s="967"/>
      <c r="U26" s="967"/>
      <c r="V26" s="967"/>
      <c r="W26" s="967"/>
      <c r="X26" s="967"/>
      <c r="Y26" s="967"/>
      <c r="Z26" s="967"/>
      <c r="AA26" s="967"/>
      <c r="AB26" s="967"/>
      <c r="AC26" s="967"/>
      <c r="AD26" s="967"/>
      <c r="AE26" s="967"/>
      <c r="AF26" s="967"/>
      <c r="AG26" s="967"/>
      <c r="AH26" s="967"/>
      <c r="AI26" s="967"/>
      <c r="AJ26" s="967"/>
      <c r="AK26" s="967"/>
      <c r="AL26" s="967"/>
      <c r="AM26" s="967"/>
      <c r="AN26" s="967"/>
      <c r="AO26" s="967"/>
      <c r="AP26" s="967"/>
      <c r="AQ26" s="967"/>
      <c r="AR26" s="967"/>
      <c r="AS26" s="967"/>
      <c r="AT26" s="967"/>
      <c r="AU26" s="967"/>
      <c r="AV26" s="967"/>
      <c r="AW26" s="967"/>
      <c r="AX26" s="967"/>
      <c r="AY26" s="967"/>
      <c r="AZ26" s="967"/>
      <c r="BA26" s="967"/>
      <c r="BB26" s="967"/>
      <c r="BC26" s="967"/>
      <c r="BD26" s="967"/>
      <c r="BE26" s="967"/>
      <c r="BF26" s="967"/>
      <c r="BG26" s="967"/>
      <c r="BH26" s="967"/>
      <c r="BI26" s="967"/>
      <c r="BJ26" s="967"/>
      <c r="BK26" s="967"/>
      <c r="BL26" s="968"/>
      <c r="BM26" s="968"/>
      <c r="BN26" s="968"/>
      <c r="BO26" s="968"/>
      <c r="BP26" s="968"/>
      <c r="BQ26" s="968"/>
      <c r="BR26" s="968"/>
      <c r="BS26" s="968"/>
      <c r="BT26" s="968"/>
      <c r="BU26" s="968"/>
      <c r="BV26" s="968"/>
      <c r="BW26" s="968"/>
      <c r="BX26" s="968"/>
      <c r="BY26" s="968"/>
      <c r="BZ26" s="968"/>
      <c r="CA26" s="968"/>
      <c r="CB26" s="968"/>
      <c r="CC26" s="968"/>
      <c r="CD26" s="968"/>
      <c r="CE26" s="967"/>
      <c r="CF26" s="969"/>
      <c r="CG26" s="959"/>
      <c r="CH26" s="358"/>
    </row>
    <row r="27" spans="1:87" s="365" customFormat="1" ht="15.75" customHeight="1">
      <c r="A27" s="961"/>
      <c r="B27" s="963" t="s">
        <v>650</v>
      </c>
      <c r="C27" s="964"/>
      <c r="D27" s="964"/>
      <c r="E27" s="964"/>
      <c r="F27" s="964"/>
      <c r="G27" s="964"/>
      <c r="H27" s="965"/>
      <c r="I27" s="966" t="s">
        <v>128</v>
      </c>
      <c r="J27" s="967"/>
      <c r="K27" s="967"/>
      <c r="L27" s="967"/>
      <c r="M27" s="967"/>
      <c r="N27" s="967"/>
      <c r="O27" s="967"/>
      <c r="P27" s="967"/>
      <c r="Q27" s="967"/>
      <c r="R27" s="967"/>
      <c r="S27" s="967"/>
      <c r="T27" s="967"/>
      <c r="U27" s="967"/>
      <c r="V27" s="967"/>
      <c r="W27" s="967"/>
      <c r="X27" s="967"/>
      <c r="Y27" s="967"/>
      <c r="Z27" s="967"/>
      <c r="AA27" s="967"/>
      <c r="AB27" s="967"/>
      <c r="AC27" s="967"/>
      <c r="AD27" s="967"/>
      <c r="AE27" s="967"/>
      <c r="AF27" s="967"/>
      <c r="AG27" s="967"/>
      <c r="AH27" s="967"/>
      <c r="AI27" s="967"/>
      <c r="AJ27" s="967"/>
      <c r="AK27" s="967"/>
      <c r="AL27" s="967"/>
      <c r="AM27" s="967"/>
      <c r="AN27" s="967"/>
      <c r="AO27" s="967"/>
      <c r="AP27" s="967"/>
      <c r="AQ27" s="967"/>
      <c r="AR27" s="967"/>
      <c r="AS27" s="967"/>
      <c r="AT27" s="967"/>
      <c r="AU27" s="967"/>
      <c r="AV27" s="967"/>
      <c r="AW27" s="967"/>
      <c r="AX27" s="967"/>
      <c r="AY27" s="967"/>
      <c r="AZ27" s="967"/>
      <c r="BA27" s="967"/>
      <c r="BB27" s="967"/>
      <c r="BC27" s="967"/>
      <c r="BD27" s="967"/>
      <c r="BE27" s="967"/>
      <c r="BF27" s="967"/>
      <c r="BG27" s="970"/>
      <c r="BH27" s="970"/>
      <c r="BI27" s="957"/>
      <c r="BJ27" s="957"/>
      <c r="BK27" s="957"/>
      <c r="BL27" s="959"/>
      <c r="BM27" s="959"/>
      <c r="BN27" s="959"/>
      <c r="BO27" s="959"/>
      <c r="BP27" s="959"/>
      <c r="BQ27" s="959"/>
      <c r="BR27" s="959"/>
      <c r="BS27" s="959"/>
      <c r="BT27" s="959"/>
      <c r="BU27" s="959"/>
      <c r="BV27" s="959"/>
      <c r="BW27" s="959"/>
      <c r="BX27" s="959"/>
      <c r="BY27" s="959"/>
      <c r="BZ27" s="959"/>
      <c r="CA27" s="959"/>
      <c r="CB27" s="959"/>
      <c r="CC27" s="959"/>
      <c r="CD27" s="959"/>
      <c r="CE27" s="967"/>
      <c r="CF27" s="969"/>
      <c r="CG27" s="959"/>
      <c r="CH27" s="358"/>
    </row>
    <row r="28" spans="1:87" s="365" customFormat="1" ht="15.75" customHeight="1">
      <c r="A28" s="961"/>
      <c r="B28" s="963" t="s">
        <v>651</v>
      </c>
      <c r="C28" s="964"/>
      <c r="D28" s="964"/>
      <c r="E28" s="964"/>
      <c r="F28" s="964"/>
      <c r="G28" s="964"/>
      <c r="H28" s="965"/>
      <c r="I28" s="966"/>
      <c r="J28" s="967"/>
      <c r="K28" s="967"/>
      <c r="L28" s="967"/>
      <c r="M28" s="967"/>
      <c r="N28" s="967"/>
      <c r="O28" s="967"/>
      <c r="P28" s="967"/>
      <c r="Q28" s="967"/>
      <c r="R28" s="967"/>
      <c r="S28" s="967"/>
      <c r="T28" s="967"/>
      <c r="U28" s="967"/>
      <c r="V28" s="967"/>
      <c r="W28" s="967"/>
      <c r="X28" s="967"/>
      <c r="Y28" s="967"/>
      <c r="Z28" s="967"/>
      <c r="AA28" s="967"/>
      <c r="AB28" s="967"/>
      <c r="AC28" s="967"/>
      <c r="AD28" s="967"/>
      <c r="AE28" s="967"/>
      <c r="AF28" s="967"/>
      <c r="AG28" s="967"/>
      <c r="AH28" s="967"/>
      <c r="AI28" s="967"/>
      <c r="AJ28" s="967"/>
      <c r="AK28" s="967"/>
      <c r="AL28" s="967"/>
      <c r="AM28" s="967"/>
      <c r="AN28" s="967"/>
      <c r="AO28" s="967"/>
      <c r="AP28" s="967"/>
      <c r="AQ28" s="967"/>
      <c r="AR28" s="967"/>
      <c r="AS28" s="967"/>
      <c r="AT28" s="967"/>
      <c r="AU28" s="967"/>
      <c r="AV28" s="967"/>
      <c r="AW28" s="967"/>
      <c r="AX28" s="967"/>
      <c r="AY28" s="967"/>
      <c r="AZ28" s="967"/>
      <c r="BA28" s="967"/>
      <c r="BB28" s="967"/>
      <c r="BC28" s="967"/>
      <c r="BD28" s="967"/>
      <c r="BE28" s="967"/>
      <c r="BF28" s="967"/>
      <c r="BG28" s="967"/>
      <c r="BH28" s="967"/>
      <c r="BI28" s="956"/>
      <c r="BJ28" s="956"/>
      <c r="BK28" s="956"/>
      <c r="BL28" s="971"/>
      <c r="BM28" s="971"/>
      <c r="BN28" s="971"/>
      <c r="BO28" s="971"/>
      <c r="BP28" s="971"/>
      <c r="BQ28" s="971"/>
      <c r="BR28" s="971"/>
      <c r="BS28" s="971"/>
      <c r="BT28" s="971"/>
      <c r="BU28" s="971"/>
      <c r="BV28" s="971"/>
      <c r="BW28" s="971"/>
      <c r="BX28" s="971"/>
      <c r="BY28" s="971"/>
      <c r="BZ28" s="971"/>
      <c r="CA28" s="971"/>
      <c r="CB28" s="971"/>
      <c r="CC28" s="971"/>
      <c r="CD28" s="971"/>
      <c r="CE28" s="967"/>
      <c r="CF28" s="969"/>
      <c r="CG28" s="959"/>
      <c r="CH28" s="358"/>
    </row>
    <row r="29" spans="1:87" s="365" customFormat="1" ht="15.75" customHeight="1">
      <c r="A29" s="961"/>
      <c r="B29" s="972" t="s">
        <v>652</v>
      </c>
      <c r="C29" s="973"/>
      <c r="D29" s="973"/>
      <c r="E29" s="973"/>
      <c r="F29" s="973"/>
      <c r="G29" s="973"/>
      <c r="H29" s="974"/>
      <c r="I29" s="963" t="s">
        <v>653</v>
      </c>
      <c r="J29" s="964"/>
      <c r="K29" s="964"/>
      <c r="L29" s="964"/>
      <c r="M29" s="964"/>
      <c r="N29" s="964"/>
      <c r="O29" s="964"/>
      <c r="P29" s="964"/>
      <c r="Q29" s="964"/>
      <c r="R29" s="964"/>
      <c r="S29" s="964"/>
      <c r="T29" s="964"/>
      <c r="U29" s="964"/>
      <c r="V29" s="964"/>
      <c r="W29" s="964"/>
      <c r="X29" s="964"/>
      <c r="Y29" s="964"/>
      <c r="Z29" s="964"/>
      <c r="AA29" s="964"/>
      <c r="AB29" s="964"/>
      <c r="AC29" s="964"/>
      <c r="AD29" s="964"/>
      <c r="AE29" s="964"/>
      <c r="AF29" s="964"/>
      <c r="AG29" s="964"/>
      <c r="AH29" s="964"/>
      <c r="AI29" s="965"/>
      <c r="AJ29" s="963" t="s">
        <v>654</v>
      </c>
      <c r="AK29" s="964"/>
      <c r="AL29" s="964"/>
      <c r="AM29" s="964"/>
      <c r="AN29" s="964"/>
      <c r="AO29" s="964"/>
      <c r="AP29" s="964"/>
      <c r="AQ29" s="964"/>
      <c r="AR29" s="964"/>
      <c r="AS29" s="964"/>
      <c r="AT29" s="964"/>
      <c r="AU29" s="964"/>
      <c r="AV29" s="964"/>
      <c r="AW29" s="964"/>
      <c r="AX29" s="964"/>
      <c r="AY29" s="964"/>
      <c r="AZ29" s="964"/>
      <c r="BA29" s="964"/>
      <c r="BB29" s="964"/>
      <c r="BC29" s="964"/>
      <c r="BD29" s="964"/>
      <c r="BE29" s="964"/>
      <c r="BF29" s="964"/>
      <c r="BG29" s="964"/>
      <c r="BH29" s="964"/>
      <c r="BI29" s="964"/>
      <c r="BJ29" s="964"/>
      <c r="BK29" s="964"/>
      <c r="BL29" s="964"/>
      <c r="BM29" s="964"/>
      <c r="BN29" s="964"/>
      <c r="BO29" s="964"/>
      <c r="BP29" s="964"/>
      <c r="BQ29" s="964"/>
      <c r="BR29" s="964"/>
      <c r="BS29" s="964"/>
      <c r="BT29" s="964"/>
      <c r="BU29" s="964"/>
      <c r="BV29" s="964"/>
      <c r="BW29" s="964"/>
      <c r="BX29" s="964"/>
      <c r="BY29" s="964"/>
      <c r="BZ29" s="964"/>
      <c r="CA29" s="964"/>
      <c r="CB29" s="964"/>
      <c r="CC29" s="964"/>
      <c r="CD29" s="964"/>
      <c r="CE29" s="964"/>
      <c r="CF29" s="965"/>
      <c r="CG29" s="959"/>
      <c r="CH29" s="358"/>
    </row>
    <row r="30" spans="1:87" s="365" customFormat="1" ht="15.75" customHeight="1">
      <c r="A30" s="961"/>
      <c r="B30" s="975"/>
      <c r="C30" s="976"/>
      <c r="D30" s="976"/>
      <c r="E30" s="976"/>
      <c r="F30" s="976"/>
      <c r="G30" s="976"/>
      <c r="H30" s="977"/>
      <c r="I30" s="966" t="s">
        <v>646</v>
      </c>
      <c r="J30" s="967"/>
      <c r="K30" s="967"/>
      <c r="L30" s="967"/>
      <c r="M30" s="967"/>
      <c r="N30" s="967"/>
      <c r="O30" s="967"/>
      <c r="P30" s="967"/>
      <c r="Q30" s="967"/>
      <c r="R30" s="967"/>
      <c r="S30" s="967"/>
      <c r="T30" s="967"/>
      <c r="U30" s="967"/>
      <c r="V30" s="967"/>
      <c r="W30" s="967"/>
      <c r="X30" s="967"/>
      <c r="Y30" s="967"/>
      <c r="Z30" s="967"/>
      <c r="AA30" s="967"/>
      <c r="AB30" s="967"/>
      <c r="AC30" s="967"/>
      <c r="AD30" s="967"/>
      <c r="AE30" s="967"/>
      <c r="AF30" s="967"/>
      <c r="AG30" s="967"/>
      <c r="AH30" s="967"/>
      <c r="AI30" s="969"/>
      <c r="AJ30" s="966"/>
      <c r="AK30" s="966" t="s">
        <v>646</v>
      </c>
      <c r="AL30" s="967"/>
      <c r="AM30" s="967"/>
      <c r="AN30" s="967"/>
      <c r="AO30" s="967"/>
      <c r="AP30" s="967"/>
      <c r="AQ30" s="967"/>
      <c r="AR30" s="967"/>
      <c r="AS30" s="967"/>
      <c r="AT30" s="967"/>
      <c r="AU30" s="967"/>
      <c r="AV30" s="967"/>
      <c r="AW30" s="967"/>
      <c r="AX30" s="967"/>
      <c r="AY30" s="967"/>
      <c r="AZ30" s="967"/>
      <c r="BA30" s="967"/>
      <c r="BB30" s="967"/>
      <c r="BC30" s="967"/>
      <c r="BD30" s="967"/>
      <c r="BE30" s="967"/>
      <c r="BF30" s="967"/>
      <c r="BG30" s="967"/>
      <c r="BH30" s="967"/>
      <c r="BI30" s="970"/>
      <c r="BJ30" s="957"/>
      <c r="BK30" s="957"/>
      <c r="BL30" s="959"/>
      <c r="BM30" s="959"/>
      <c r="BN30" s="959"/>
      <c r="BO30" s="959"/>
      <c r="BP30" s="959"/>
      <c r="BQ30" s="959"/>
      <c r="BR30" s="959"/>
      <c r="BS30" s="959"/>
      <c r="BT30" s="959"/>
      <c r="BU30" s="959"/>
      <c r="BV30" s="959"/>
      <c r="BW30" s="959"/>
      <c r="BX30" s="959"/>
      <c r="BY30" s="959"/>
      <c r="BZ30" s="959"/>
      <c r="CA30" s="959"/>
      <c r="CB30" s="959"/>
      <c r="CC30" s="959"/>
      <c r="CD30" s="959"/>
      <c r="CE30" s="967"/>
      <c r="CF30" s="969"/>
      <c r="CG30" s="959"/>
      <c r="CH30" s="358"/>
    </row>
    <row r="31" spans="1:87" s="365" customFormat="1" ht="15.75" customHeight="1">
      <c r="A31" s="961"/>
      <c r="B31" s="975"/>
      <c r="C31" s="976"/>
      <c r="D31" s="976"/>
      <c r="E31" s="976"/>
      <c r="F31" s="976"/>
      <c r="G31" s="976"/>
      <c r="H31" s="977"/>
      <c r="I31" s="966"/>
      <c r="J31" s="967"/>
      <c r="K31" s="967"/>
      <c r="L31" s="967"/>
      <c r="M31" s="967"/>
      <c r="N31" s="967"/>
      <c r="O31" s="967"/>
      <c r="P31" s="967"/>
      <c r="Q31" s="967"/>
      <c r="R31" s="967"/>
      <c r="S31" s="967"/>
      <c r="T31" s="967"/>
      <c r="U31" s="967"/>
      <c r="V31" s="967"/>
      <c r="W31" s="967"/>
      <c r="X31" s="967"/>
      <c r="Y31" s="967"/>
      <c r="Z31" s="967"/>
      <c r="AA31" s="967"/>
      <c r="AB31" s="967"/>
      <c r="AC31" s="967"/>
      <c r="AD31" s="967"/>
      <c r="AE31" s="967"/>
      <c r="AF31" s="967"/>
      <c r="AG31" s="967"/>
      <c r="AH31" s="967"/>
      <c r="AI31" s="969"/>
      <c r="AJ31" s="966"/>
      <c r="AK31" s="967"/>
      <c r="AL31" s="967"/>
      <c r="AM31" s="967"/>
      <c r="AN31" s="967"/>
      <c r="AO31" s="967"/>
      <c r="AP31" s="967"/>
      <c r="AQ31" s="967"/>
      <c r="AR31" s="967"/>
      <c r="AS31" s="967"/>
      <c r="AT31" s="967"/>
      <c r="AU31" s="967"/>
      <c r="AV31" s="967"/>
      <c r="AW31" s="967"/>
      <c r="AX31" s="967"/>
      <c r="AY31" s="967"/>
      <c r="AZ31" s="967"/>
      <c r="BA31" s="967"/>
      <c r="BB31" s="967"/>
      <c r="BC31" s="967"/>
      <c r="BD31" s="967"/>
      <c r="BE31" s="967"/>
      <c r="BF31" s="967"/>
      <c r="BG31" s="967"/>
      <c r="BH31" s="967"/>
      <c r="BI31" s="967"/>
      <c r="BJ31" s="967"/>
      <c r="BK31" s="967"/>
      <c r="BL31" s="968"/>
      <c r="BM31" s="968"/>
      <c r="BN31" s="968"/>
      <c r="BO31" s="968"/>
      <c r="BP31" s="968"/>
      <c r="BQ31" s="968"/>
      <c r="BR31" s="968"/>
      <c r="BS31" s="968"/>
      <c r="BT31" s="968"/>
      <c r="BU31" s="968"/>
      <c r="BV31" s="968"/>
      <c r="BW31" s="968"/>
      <c r="BX31" s="968"/>
      <c r="BY31" s="968"/>
      <c r="BZ31" s="968"/>
      <c r="CA31" s="968"/>
      <c r="CB31" s="968"/>
      <c r="CC31" s="968"/>
      <c r="CD31" s="968"/>
      <c r="CE31" s="967"/>
      <c r="CF31" s="969"/>
      <c r="CG31" s="959"/>
      <c r="CH31" s="358"/>
    </row>
    <row r="32" spans="1:87" ht="15.75" customHeight="1">
      <c r="A32" s="961"/>
      <c r="B32" s="978"/>
      <c r="C32" s="979"/>
      <c r="D32" s="979"/>
      <c r="E32" s="979"/>
      <c r="F32" s="979"/>
      <c r="G32" s="979"/>
      <c r="H32" s="980"/>
      <c r="I32" s="966"/>
      <c r="J32" s="967"/>
      <c r="K32" s="967"/>
      <c r="L32" s="967"/>
      <c r="M32" s="967"/>
      <c r="N32" s="967"/>
      <c r="O32" s="967"/>
      <c r="P32" s="967"/>
      <c r="Q32" s="967"/>
      <c r="R32" s="967"/>
      <c r="S32" s="967"/>
      <c r="T32" s="967"/>
      <c r="U32" s="967"/>
      <c r="V32" s="967"/>
      <c r="W32" s="967"/>
      <c r="X32" s="967"/>
      <c r="Y32" s="967"/>
      <c r="Z32" s="967"/>
      <c r="AA32" s="967"/>
      <c r="AB32" s="967"/>
      <c r="AC32" s="967"/>
      <c r="AD32" s="967"/>
      <c r="AE32" s="967"/>
      <c r="AF32" s="967"/>
      <c r="AG32" s="967"/>
      <c r="AH32" s="967"/>
      <c r="AI32" s="969"/>
      <c r="AJ32" s="966"/>
      <c r="AK32" s="967"/>
      <c r="AL32" s="967"/>
      <c r="AM32" s="967"/>
      <c r="AN32" s="967"/>
      <c r="AO32" s="967"/>
      <c r="AP32" s="967"/>
      <c r="AQ32" s="967"/>
      <c r="AR32" s="967"/>
      <c r="AS32" s="967"/>
      <c r="AT32" s="967"/>
      <c r="AU32" s="967"/>
      <c r="AV32" s="967"/>
      <c r="AW32" s="967"/>
      <c r="AX32" s="967"/>
      <c r="AY32" s="967"/>
      <c r="AZ32" s="967"/>
      <c r="BA32" s="967"/>
      <c r="BB32" s="967"/>
      <c r="BC32" s="967"/>
      <c r="BD32" s="967"/>
      <c r="BE32" s="967"/>
      <c r="BF32" s="967"/>
      <c r="BG32" s="967"/>
      <c r="BH32" s="967"/>
      <c r="BI32" s="967"/>
      <c r="BJ32" s="957"/>
      <c r="BK32" s="957"/>
      <c r="BL32" s="959"/>
      <c r="BM32" s="959"/>
      <c r="BN32" s="959"/>
      <c r="BO32" s="959"/>
      <c r="BP32" s="959"/>
      <c r="BQ32" s="959"/>
      <c r="BR32" s="959"/>
      <c r="BS32" s="959"/>
      <c r="BT32" s="959"/>
      <c r="BU32" s="959"/>
      <c r="BV32" s="959"/>
      <c r="BW32" s="959"/>
      <c r="BX32" s="959"/>
      <c r="BY32" s="959"/>
      <c r="BZ32" s="959"/>
      <c r="CA32" s="959"/>
      <c r="CB32" s="959"/>
      <c r="CC32" s="959"/>
      <c r="CD32" s="959"/>
      <c r="CE32" s="967"/>
      <c r="CF32" s="969"/>
      <c r="CG32" s="959"/>
      <c r="CH32" s="358"/>
    </row>
    <row r="33" spans="1:86" ht="15.75" customHeight="1">
      <c r="A33" s="961"/>
      <c r="B33" s="963" t="s">
        <v>655</v>
      </c>
      <c r="C33" s="964"/>
      <c r="D33" s="964"/>
      <c r="E33" s="964"/>
      <c r="F33" s="964"/>
      <c r="G33" s="964"/>
      <c r="H33" s="965"/>
      <c r="I33" s="966" t="s">
        <v>656</v>
      </c>
      <c r="J33" s="967"/>
      <c r="K33" s="967"/>
      <c r="L33" s="967"/>
      <c r="M33" s="967"/>
      <c r="N33" s="967"/>
      <c r="O33" s="967"/>
      <c r="P33" s="967"/>
      <c r="Q33" s="967"/>
      <c r="R33" s="967"/>
      <c r="S33" s="967"/>
      <c r="T33" s="967"/>
      <c r="U33" s="967"/>
      <c r="V33" s="967"/>
      <c r="W33" s="967"/>
      <c r="X33" s="967"/>
      <c r="Y33" s="967"/>
      <c r="Z33" s="967"/>
      <c r="AA33" s="967"/>
      <c r="AB33" s="967"/>
      <c r="AC33" s="967"/>
      <c r="AD33" s="967"/>
      <c r="AE33" s="967"/>
      <c r="AF33" s="967"/>
      <c r="AG33" s="967"/>
      <c r="AH33" s="967"/>
      <c r="AI33" s="967"/>
      <c r="AJ33" s="967"/>
      <c r="AK33" s="967"/>
      <c r="AL33" s="967"/>
      <c r="AM33" s="967"/>
      <c r="AN33" s="967"/>
      <c r="AO33" s="967"/>
      <c r="AP33" s="967"/>
      <c r="AQ33" s="967"/>
      <c r="AR33" s="967"/>
      <c r="AS33" s="967"/>
      <c r="AT33" s="967"/>
      <c r="AU33" s="967"/>
      <c r="AV33" s="967"/>
      <c r="AW33" s="967"/>
      <c r="AX33" s="967"/>
      <c r="AY33" s="967"/>
      <c r="AZ33" s="967"/>
      <c r="BA33" s="967"/>
      <c r="BB33" s="967"/>
      <c r="BC33" s="967"/>
      <c r="BD33" s="967"/>
      <c r="BE33" s="967"/>
      <c r="BF33" s="967"/>
      <c r="BG33" s="967"/>
      <c r="BH33" s="967"/>
      <c r="BI33" s="967"/>
      <c r="BJ33" s="967"/>
      <c r="BK33" s="967"/>
      <c r="BL33" s="968"/>
      <c r="BM33" s="968"/>
      <c r="BN33" s="968"/>
      <c r="BO33" s="968"/>
      <c r="BP33" s="968"/>
      <c r="BQ33" s="968"/>
      <c r="BR33" s="968"/>
      <c r="BS33" s="968"/>
      <c r="BT33" s="968"/>
      <c r="BU33" s="968"/>
      <c r="BV33" s="968"/>
      <c r="BW33" s="968"/>
      <c r="BX33" s="968"/>
      <c r="BY33" s="968"/>
      <c r="BZ33" s="968"/>
      <c r="CA33" s="968"/>
      <c r="CB33" s="968"/>
      <c r="CC33" s="968"/>
      <c r="CD33" s="968"/>
      <c r="CE33" s="967"/>
      <c r="CF33" s="969"/>
      <c r="CG33" s="959"/>
      <c r="CH33" s="358"/>
    </row>
    <row r="34" spans="1:86" ht="15.75" customHeight="1">
      <c r="A34" s="961"/>
      <c r="B34" s="963" t="s">
        <v>657</v>
      </c>
      <c r="C34" s="964"/>
      <c r="D34" s="964"/>
      <c r="E34" s="964"/>
      <c r="F34" s="964"/>
      <c r="G34" s="964"/>
      <c r="H34" s="965"/>
      <c r="I34" s="966"/>
      <c r="J34" s="967"/>
      <c r="K34" s="967"/>
      <c r="L34" s="967"/>
      <c r="M34" s="967"/>
      <c r="N34" s="967"/>
      <c r="O34" s="967"/>
      <c r="P34" s="967"/>
      <c r="Q34" s="967"/>
      <c r="R34" s="967"/>
      <c r="S34" s="967"/>
      <c r="T34" s="967"/>
      <c r="U34" s="967"/>
      <c r="V34" s="967"/>
      <c r="W34" s="967"/>
      <c r="X34" s="967"/>
      <c r="Y34" s="967"/>
      <c r="Z34" s="967"/>
      <c r="AA34" s="967"/>
      <c r="AB34" s="967"/>
      <c r="AC34" s="967"/>
      <c r="AD34" s="967"/>
      <c r="AE34" s="967"/>
      <c r="AF34" s="967"/>
      <c r="AG34" s="967"/>
      <c r="AH34" s="967"/>
      <c r="AI34" s="967"/>
      <c r="AJ34" s="967"/>
      <c r="AK34" s="967"/>
      <c r="AL34" s="967"/>
      <c r="AM34" s="967"/>
      <c r="AN34" s="967"/>
      <c r="AO34" s="967"/>
      <c r="AP34" s="967"/>
      <c r="AQ34" s="967"/>
      <c r="AR34" s="967"/>
      <c r="AS34" s="967"/>
      <c r="AT34" s="967"/>
      <c r="AU34" s="967"/>
      <c r="AV34" s="967"/>
      <c r="AW34" s="967"/>
      <c r="AX34" s="967"/>
      <c r="AY34" s="967"/>
      <c r="AZ34" s="967"/>
      <c r="BA34" s="967"/>
      <c r="BB34" s="967"/>
      <c r="BC34" s="967"/>
      <c r="BD34" s="967"/>
      <c r="BE34" s="967"/>
      <c r="BF34" s="967"/>
      <c r="BG34" s="967"/>
      <c r="BH34" s="967"/>
      <c r="BI34" s="967"/>
      <c r="BJ34" s="967"/>
      <c r="BK34" s="967"/>
      <c r="BL34" s="968"/>
      <c r="BM34" s="968"/>
      <c r="BN34" s="968"/>
      <c r="BO34" s="968"/>
      <c r="BP34" s="968"/>
      <c r="BQ34" s="968"/>
      <c r="BR34" s="968"/>
      <c r="BS34" s="968"/>
      <c r="BT34" s="968"/>
      <c r="BU34" s="968"/>
      <c r="BV34" s="968"/>
      <c r="BW34" s="968"/>
      <c r="BX34" s="968"/>
      <c r="BY34" s="968"/>
      <c r="BZ34" s="968"/>
      <c r="CA34" s="968"/>
      <c r="CB34" s="968"/>
      <c r="CC34" s="968"/>
      <c r="CD34" s="968"/>
      <c r="CE34" s="967"/>
      <c r="CF34" s="969"/>
      <c r="CG34" s="981"/>
      <c r="CH34" s="358"/>
    </row>
    <row r="35" spans="1:86" ht="15.75" customHeight="1" thickBot="1">
      <c r="A35" s="359"/>
      <c r="B35" s="360"/>
      <c r="C35" s="367"/>
      <c r="D35" s="360"/>
      <c r="E35" s="368"/>
      <c r="F35" s="360"/>
      <c r="G35" s="360"/>
      <c r="H35" s="360"/>
      <c r="I35" s="360"/>
      <c r="J35" s="368"/>
      <c r="K35" s="360"/>
      <c r="L35" s="360"/>
      <c r="M35" s="360"/>
      <c r="N35" s="360"/>
      <c r="O35" s="360"/>
      <c r="P35" s="360"/>
      <c r="Q35" s="369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1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BF2:BK3"/>
    <mergeCell ref="K3:T3"/>
    <mergeCell ref="U3:Y3"/>
    <mergeCell ref="Z3:AD3"/>
    <mergeCell ref="AE3:AR3"/>
    <mergeCell ref="AJ1:AR1"/>
    <mergeCell ref="A1:J3"/>
  </mergeCells>
  <phoneticPr fontId="8"/>
  <pageMargins left="0.51181102362204722" right="0.74803149606299213" top="0.70866141732283472" bottom="0.43307086614173229" header="0.51181102362204722" footer="0.35433070866141736"/>
  <pageSetup paperSize="9" scale="73" fitToHeight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B079-1C23-497F-8DB1-4B8D26051F1C}">
  <sheetPr codeName="Sheet5">
    <pageSetUpPr fitToPage="1"/>
  </sheetPr>
  <dimension ref="A1:BK41"/>
  <sheetViews>
    <sheetView showGridLines="0" showZeros="0" view="pageBreakPreview" topLeftCell="A4" zoomScaleNormal="100" zoomScaleSheetLayoutView="100" workbookViewId="0">
      <selection activeCell="AD29" sqref="AD29"/>
    </sheetView>
  </sheetViews>
  <sheetFormatPr defaultColWidth="2.125" defaultRowHeight="15.75" customHeight="1"/>
  <cols>
    <col min="1" max="1" width="2.125" style="191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29" width="2.125" style="1" customWidth="1"/>
    <col min="30" max="30" width="45.75" style="1" customWidth="1"/>
    <col min="31" max="62" width="2.125" style="1" customWidth="1"/>
    <col min="63" max="63" width="2.25" style="1" customWidth="1"/>
    <col min="64" max="16384" width="2.125" style="1"/>
  </cols>
  <sheetData>
    <row r="1" spans="1:63" s="149" customFormat="1" ht="15.75" customHeight="1">
      <c r="A1" s="821" t="str">
        <f>表紙!A54</f>
        <v>Webシステム</v>
      </c>
      <c r="B1" s="822"/>
      <c r="C1" s="822"/>
      <c r="D1" s="822"/>
      <c r="E1" s="822"/>
      <c r="F1" s="822"/>
      <c r="G1" s="822"/>
      <c r="H1" s="822"/>
      <c r="I1" s="822"/>
      <c r="J1" s="823"/>
      <c r="K1" s="857" t="s">
        <v>132</v>
      </c>
      <c r="L1" s="858"/>
      <c r="M1" s="858"/>
      <c r="N1" s="858"/>
      <c r="O1" s="858"/>
      <c r="P1" s="858"/>
      <c r="Q1" s="858"/>
      <c r="R1" s="858"/>
      <c r="S1" s="858"/>
      <c r="T1" s="859"/>
      <c r="U1" s="860" t="s">
        <v>148</v>
      </c>
      <c r="V1" s="861"/>
      <c r="W1" s="861"/>
      <c r="X1" s="861"/>
      <c r="Y1" s="862"/>
      <c r="Z1" s="863" t="str">
        <f>表紙!$AJ$63</f>
        <v>MS</v>
      </c>
      <c r="AA1" s="864"/>
      <c r="AB1" s="864"/>
      <c r="AC1" s="864"/>
      <c r="AD1" s="865"/>
      <c r="AE1" s="866" t="s">
        <v>135</v>
      </c>
      <c r="AF1" s="832"/>
      <c r="AG1" s="832"/>
      <c r="AH1" s="832"/>
      <c r="AI1" s="833"/>
      <c r="AJ1" s="867" t="str">
        <f>表紙!$AX$63</f>
        <v>Webシステム</v>
      </c>
      <c r="AK1" s="868"/>
      <c r="AL1" s="868"/>
      <c r="AM1" s="868"/>
      <c r="AN1" s="868"/>
      <c r="AO1" s="868"/>
      <c r="AP1" s="868"/>
      <c r="AQ1" s="868"/>
      <c r="AR1" s="869"/>
      <c r="AS1" s="830" t="s">
        <v>101</v>
      </c>
      <c r="AT1" s="830"/>
      <c r="AU1" s="830"/>
      <c r="AV1" s="830"/>
      <c r="AW1" s="830"/>
      <c r="AX1" s="830"/>
      <c r="AY1" s="830"/>
      <c r="AZ1" s="831" t="s">
        <v>124</v>
      </c>
      <c r="BA1" s="832"/>
      <c r="BB1" s="832"/>
      <c r="BC1" s="832"/>
      <c r="BD1" s="832"/>
      <c r="BE1" s="833"/>
      <c r="BF1" s="831" t="s">
        <v>149</v>
      </c>
      <c r="BG1" s="832"/>
      <c r="BH1" s="832"/>
      <c r="BI1" s="832"/>
      <c r="BJ1" s="832"/>
      <c r="BK1" s="834"/>
    </row>
    <row r="2" spans="1:63" s="149" customFormat="1" ht="15.75" customHeight="1">
      <c r="A2" s="824"/>
      <c r="B2" s="825"/>
      <c r="C2" s="825"/>
      <c r="D2" s="825"/>
      <c r="E2" s="825"/>
      <c r="F2" s="825"/>
      <c r="G2" s="825"/>
      <c r="H2" s="825"/>
      <c r="I2" s="825"/>
      <c r="J2" s="826"/>
      <c r="K2" s="835" t="str">
        <f>表紙!O64</f>
        <v>アドオン設計書</v>
      </c>
      <c r="L2" s="836"/>
      <c r="M2" s="836"/>
      <c r="N2" s="836"/>
      <c r="O2" s="836"/>
      <c r="P2" s="836"/>
      <c r="Q2" s="836"/>
      <c r="R2" s="836"/>
      <c r="S2" s="836"/>
      <c r="T2" s="837"/>
      <c r="U2" s="838" t="s">
        <v>150</v>
      </c>
      <c r="V2" s="839"/>
      <c r="W2" s="839"/>
      <c r="X2" s="839"/>
      <c r="Y2" s="840"/>
      <c r="Z2" s="841" t="str">
        <f>表紙!$AJ$64</f>
        <v>MSBB</v>
      </c>
      <c r="AA2" s="842"/>
      <c r="AB2" s="842"/>
      <c r="AC2" s="842"/>
      <c r="AD2" s="843"/>
      <c r="AE2" s="844" t="s">
        <v>141</v>
      </c>
      <c r="AF2" s="845"/>
      <c r="AG2" s="845"/>
      <c r="AH2" s="845"/>
      <c r="AI2" s="846"/>
      <c r="AJ2" s="847" t="str">
        <f>表紙!$AX$64</f>
        <v>販売Webシステム</v>
      </c>
      <c r="AK2" s="848"/>
      <c r="AL2" s="848"/>
      <c r="AM2" s="848"/>
      <c r="AN2" s="848"/>
      <c r="AO2" s="848"/>
      <c r="AP2" s="848"/>
      <c r="AQ2" s="848"/>
      <c r="AR2" s="849"/>
      <c r="AS2" s="850" t="str">
        <f>表紙!$BL$64</f>
        <v>M7-US-1140</v>
      </c>
      <c r="AT2" s="851"/>
      <c r="AU2" s="851"/>
      <c r="AV2" s="851"/>
      <c r="AW2" s="851"/>
      <c r="AX2" s="851"/>
      <c r="AY2" s="851"/>
      <c r="AZ2" s="853" t="str">
        <f>表紙!$BU$64</f>
        <v>7.0.2</v>
      </c>
      <c r="BA2" s="836"/>
      <c r="BB2" s="836"/>
      <c r="BC2" s="836"/>
      <c r="BD2" s="836"/>
      <c r="BE2" s="837"/>
      <c r="BF2" s="870">
        <f>表紙!$CB$64</f>
        <v>2</v>
      </c>
      <c r="BG2" s="836"/>
      <c r="BH2" s="836"/>
      <c r="BI2" s="836"/>
      <c r="BJ2" s="836"/>
      <c r="BK2" s="871"/>
    </row>
    <row r="3" spans="1:63" s="149" customFormat="1" ht="15.75" customHeight="1" thickBot="1">
      <c r="A3" s="827"/>
      <c r="B3" s="828"/>
      <c r="C3" s="828"/>
      <c r="D3" s="828"/>
      <c r="E3" s="828"/>
      <c r="F3" s="828"/>
      <c r="G3" s="828"/>
      <c r="H3" s="828"/>
      <c r="I3" s="828"/>
      <c r="J3" s="829"/>
      <c r="K3" s="873" t="str">
        <f ca="1">RIGHT(CELL("filename",$A$1),LEN(CELL("filename",$A$1))-FIND("]",CELL("filename",$A$1)))</f>
        <v>処理概要</v>
      </c>
      <c r="L3" s="874"/>
      <c r="M3" s="874"/>
      <c r="N3" s="874"/>
      <c r="O3" s="874"/>
      <c r="P3" s="874"/>
      <c r="Q3" s="874"/>
      <c r="R3" s="874"/>
      <c r="S3" s="874"/>
      <c r="T3" s="875"/>
      <c r="U3" s="810" t="s">
        <v>146</v>
      </c>
      <c r="V3" s="811"/>
      <c r="W3" s="811"/>
      <c r="X3" s="811"/>
      <c r="Y3" s="812"/>
      <c r="Z3" s="813" t="str">
        <f>表紙!$AJ$65</f>
        <v>MSBBPA120</v>
      </c>
      <c r="AA3" s="814"/>
      <c r="AB3" s="814"/>
      <c r="AC3" s="814"/>
      <c r="AD3" s="814"/>
      <c r="AE3" s="815" t="str">
        <f>表紙!$AQ$65</f>
        <v>Web取引先マスタ一覧照会</v>
      </c>
      <c r="AF3" s="816"/>
      <c r="AG3" s="816"/>
      <c r="AH3" s="816"/>
      <c r="AI3" s="816"/>
      <c r="AJ3" s="816"/>
      <c r="AK3" s="816"/>
      <c r="AL3" s="816"/>
      <c r="AM3" s="816"/>
      <c r="AN3" s="816"/>
      <c r="AO3" s="816"/>
      <c r="AP3" s="816"/>
      <c r="AQ3" s="816"/>
      <c r="AR3" s="817"/>
      <c r="AS3" s="852"/>
      <c r="AT3" s="852"/>
      <c r="AU3" s="852"/>
      <c r="AV3" s="852"/>
      <c r="AW3" s="852"/>
      <c r="AX3" s="852"/>
      <c r="AY3" s="852"/>
      <c r="AZ3" s="854"/>
      <c r="BA3" s="855"/>
      <c r="BB3" s="855"/>
      <c r="BC3" s="855"/>
      <c r="BD3" s="855"/>
      <c r="BE3" s="856"/>
      <c r="BF3" s="854"/>
      <c r="BG3" s="855"/>
      <c r="BH3" s="855"/>
      <c r="BI3" s="855"/>
      <c r="BJ3" s="855"/>
      <c r="BK3" s="872"/>
    </row>
    <row r="4" spans="1:63" s="149" customFormat="1" ht="6.75" customHeight="1" thickBot="1">
      <c r="B4" s="150"/>
      <c r="C4" s="151"/>
      <c r="D4" s="151"/>
      <c r="E4" s="151"/>
      <c r="F4" s="152"/>
      <c r="G4" s="152"/>
      <c r="H4" s="152"/>
      <c r="I4" s="152"/>
      <c r="J4" s="151"/>
      <c r="K4" s="152"/>
      <c r="L4" s="152"/>
      <c r="M4" s="152"/>
      <c r="N4" s="152"/>
      <c r="O4" s="152"/>
      <c r="P4" s="152"/>
      <c r="Q4" s="153"/>
    </row>
    <row r="5" spans="1:63" ht="15.75" customHeight="1" thickBot="1">
      <c r="A5" s="326" t="s">
        <v>484</v>
      </c>
      <c r="B5" s="327" t="s">
        <v>485</v>
      </c>
      <c r="C5" s="327"/>
      <c r="D5" s="327"/>
      <c r="E5" s="327"/>
      <c r="F5" s="327"/>
      <c r="G5" s="327"/>
      <c r="H5" s="327"/>
      <c r="I5" s="328"/>
      <c r="J5" s="327" t="s">
        <v>486</v>
      </c>
      <c r="K5" s="327"/>
      <c r="L5" s="327"/>
      <c r="M5" s="327"/>
      <c r="N5" s="327"/>
      <c r="O5" s="327"/>
      <c r="P5" s="327"/>
      <c r="Q5" s="327"/>
      <c r="R5" s="327"/>
      <c r="S5" s="327"/>
      <c r="T5" s="327"/>
      <c r="U5" s="327"/>
      <c r="V5" s="327"/>
      <c r="W5" s="327"/>
      <c r="X5" s="327"/>
      <c r="Y5" s="327"/>
      <c r="Z5" s="327"/>
      <c r="AA5" s="327"/>
      <c r="AB5" s="327"/>
      <c r="AC5" s="327"/>
      <c r="AD5" s="327"/>
      <c r="AE5" s="327"/>
      <c r="AF5" s="327"/>
      <c r="AG5" s="327"/>
      <c r="AH5" s="327"/>
      <c r="AI5" s="327"/>
      <c r="AJ5" s="327"/>
      <c r="AK5" s="327"/>
      <c r="AL5" s="327"/>
      <c r="AM5" s="327"/>
      <c r="AN5" s="327"/>
      <c r="AO5" s="327"/>
      <c r="AP5" s="327"/>
      <c r="AQ5" s="327"/>
      <c r="AR5" s="327"/>
      <c r="AS5" s="327"/>
      <c r="AT5" s="327"/>
      <c r="AU5" s="327"/>
      <c r="AV5" s="327"/>
      <c r="AW5" s="327"/>
      <c r="AX5" s="327"/>
      <c r="AY5" s="327"/>
      <c r="AZ5" s="327"/>
      <c r="BA5" s="327"/>
      <c r="BB5" s="327"/>
      <c r="BC5" s="328"/>
      <c r="BD5" s="327" t="s">
        <v>487</v>
      </c>
      <c r="BE5" s="327"/>
      <c r="BF5" s="327"/>
      <c r="BG5" s="327"/>
      <c r="BH5" s="327"/>
      <c r="BI5" s="327"/>
      <c r="BJ5" s="327"/>
      <c r="BK5" s="329"/>
    </row>
    <row r="6" spans="1:63" s="190" customFormat="1" ht="15.75" customHeight="1" thickTop="1">
      <c r="A6" s="330" t="s">
        <v>277</v>
      </c>
      <c r="B6" s="331" t="s">
        <v>488</v>
      </c>
      <c r="C6" s="331"/>
      <c r="D6" s="331"/>
      <c r="E6" s="331"/>
      <c r="F6" s="331"/>
      <c r="G6" s="331"/>
      <c r="H6" s="331"/>
      <c r="I6" s="331"/>
      <c r="J6" s="331"/>
      <c r="K6" s="331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2"/>
      <c r="BK6" s="333"/>
    </row>
    <row r="7" spans="1:63" s="190" customFormat="1" ht="15.75" customHeight="1">
      <c r="A7" s="334"/>
      <c r="B7" s="335"/>
      <c r="C7" s="312"/>
      <c r="D7" s="312"/>
      <c r="E7" s="312"/>
      <c r="F7" s="312"/>
      <c r="G7" s="312"/>
      <c r="H7" s="312"/>
      <c r="I7" s="336"/>
      <c r="J7" s="337" t="s">
        <v>489</v>
      </c>
      <c r="K7" s="337"/>
      <c r="L7" s="337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312"/>
      <c r="AZ7" s="312"/>
      <c r="BA7" s="312"/>
      <c r="BB7" s="312"/>
      <c r="BC7" s="312"/>
      <c r="BD7" s="335"/>
      <c r="BE7" s="312"/>
      <c r="BF7" s="312"/>
      <c r="BG7" s="312"/>
      <c r="BH7" s="312"/>
      <c r="BI7" s="312"/>
      <c r="BJ7" s="312"/>
      <c r="BK7" s="338"/>
    </row>
    <row r="8" spans="1:63" s="190" customFormat="1" ht="15.75" customHeight="1">
      <c r="A8" s="334"/>
      <c r="B8" s="312"/>
      <c r="C8" s="312"/>
      <c r="D8" s="312"/>
      <c r="E8" s="312"/>
      <c r="F8" s="312"/>
      <c r="G8" s="312"/>
      <c r="H8" s="312"/>
      <c r="I8" s="336"/>
      <c r="J8" s="337"/>
      <c r="K8" s="337" t="s">
        <v>488</v>
      </c>
      <c r="L8" s="337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2"/>
      <c r="BD8" s="335"/>
      <c r="BE8" s="312"/>
      <c r="BF8" s="312"/>
      <c r="BG8" s="312"/>
      <c r="BH8" s="312"/>
      <c r="BI8" s="312"/>
      <c r="BJ8" s="312"/>
      <c r="BK8" s="338"/>
    </row>
    <row r="9" spans="1:63" s="190" customFormat="1" ht="15.75" customHeight="1">
      <c r="A9" s="334"/>
      <c r="B9" s="335"/>
      <c r="C9" s="312"/>
      <c r="D9" s="312"/>
      <c r="E9" s="312"/>
      <c r="F9" s="312"/>
      <c r="G9" s="312"/>
      <c r="H9" s="312"/>
      <c r="I9" s="336"/>
      <c r="J9" s="339"/>
      <c r="K9" s="312"/>
      <c r="L9" s="312" t="s">
        <v>490</v>
      </c>
      <c r="M9" s="312"/>
      <c r="N9" s="312"/>
      <c r="O9" s="312"/>
      <c r="P9" s="312"/>
      <c r="Q9" s="312"/>
      <c r="R9" s="312" t="s">
        <v>491</v>
      </c>
      <c r="S9" s="312" t="s">
        <v>492</v>
      </c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35"/>
      <c r="BE9" s="312"/>
      <c r="BF9" s="312"/>
      <c r="BG9" s="312"/>
      <c r="BH9" s="312"/>
      <c r="BI9" s="312"/>
      <c r="BJ9" s="312"/>
      <c r="BK9" s="338"/>
    </row>
    <row r="10" spans="1:63" s="190" customFormat="1" ht="15.75" customHeight="1">
      <c r="A10" s="334"/>
      <c r="B10" s="335"/>
      <c r="C10" s="312"/>
      <c r="D10" s="312"/>
      <c r="E10" s="312"/>
      <c r="F10" s="312"/>
      <c r="G10" s="312"/>
      <c r="H10" s="312"/>
      <c r="I10" s="336"/>
      <c r="J10" s="339"/>
      <c r="K10" s="312"/>
      <c r="L10" s="312" t="s">
        <v>493</v>
      </c>
      <c r="M10" s="312"/>
      <c r="N10" s="312"/>
      <c r="O10" s="312"/>
      <c r="P10" s="312"/>
      <c r="Q10" s="312"/>
      <c r="R10" s="312" t="s">
        <v>491</v>
      </c>
      <c r="S10" s="312" t="s">
        <v>494</v>
      </c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35"/>
      <c r="BE10" s="312"/>
      <c r="BF10" s="312"/>
      <c r="BG10" s="312"/>
      <c r="BH10" s="312"/>
      <c r="BI10" s="312"/>
      <c r="BJ10" s="312"/>
      <c r="BK10" s="338"/>
    </row>
    <row r="11" spans="1:63" s="190" customFormat="1" ht="15.75" customHeight="1">
      <c r="A11" s="334"/>
      <c r="B11" s="335"/>
      <c r="C11" s="312"/>
      <c r="D11" s="312"/>
      <c r="E11" s="312"/>
      <c r="F11" s="312"/>
      <c r="G11" s="312"/>
      <c r="H11" s="312"/>
      <c r="I11" s="336"/>
      <c r="J11" s="339"/>
      <c r="K11" s="312"/>
      <c r="L11" s="312" t="s">
        <v>416</v>
      </c>
      <c r="M11" s="312"/>
      <c r="N11" s="312"/>
      <c r="O11" s="312"/>
      <c r="P11" s="312"/>
      <c r="Q11" s="312"/>
      <c r="R11" s="312" t="s">
        <v>491</v>
      </c>
      <c r="S11" s="312" t="s">
        <v>492</v>
      </c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35"/>
      <c r="BE11" s="312"/>
      <c r="BF11" s="312"/>
      <c r="BG11" s="312"/>
      <c r="BH11" s="312"/>
      <c r="BI11" s="312"/>
      <c r="BJ11" s="312"/>
      <c r="BK11" s="338"/>
    </row>
    <row r="12" spans="1:63" s="190" customFormat="1" ht="15.75" customHeight="1">
      <c r="A12" s="334"/>
      <c r="B12" s="335"/>
      <c r="C12" s="312"/>
      <c r="D12" s="312"/>
      <c r="E12" s="312"/>
      <c r="F12" s="312"/>
      <c r="G12" s="312"/>
      <c r="H12" s="312"/>
      <c r="I12" s="336"/>
      <c r="J12" s="339"/>
      <c r="K12" s="312"/>
      <c r="L12" s="312" t="s">
        <v>495</v>
      </c>
      <c r="M12" s="312"/>
      <c r="N12" s="312"/>
      <c r="O12" s="312"/>
      <c r="P12" s="312"/>
      <c r="Q12" s="312"/>
      <c r="R12" s="312" t="s">
        <v>491</v>
      </c>
      <c r="S12" s="312" t="s">
        <v>496</v>
      </c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35" t="s">
        <v>497</v>
      </c>
      <c r="BE12" s="312"/>
      <c r="BF12" s="312"/>
      <c r="BG12" s="312"/>
      <c r="BH12" s="312"/>
      <c r="BI12" s="312"/>
      <c r="BJ12" s="312"/>
      <c r="BK12" s="338"/>
    </row>
    <row r="13" spans="1:63" s="190" customFormat="1" ht="15.75" customHeight="1">
      <c r="A13" s="334"/>
      <c r="B13" s="335"/>
      <c r="C13" s="312"/>
      <c r="D13" s="312"/>
      <c r="E13" s="312"/>
      <c r="F13" s="312"/>
      <c r="G13" s="312"/>
      <c r="H13" s="312"/>
      <c r="I13" s="336"/>
      <c r="J13" s="339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35"/>
      <c r="BE13" s="312"/>
      <c r="BF13" s="312"/>
      <c r="BG13" s="312"/>
      <c r="BH13" s="312"/>
      <c r="BI13" s="312"/>
      <c r="BJ13" s="312"/>
      <c r="BK13" s="338"/>
    </row>
    <row r="14" spans="1:63" s="190" customFormat="1" ht="15.75" customHeight="1">
      <c r="A14" s="334"/>
      <c r="B14" s="335"/>
      <c r="C14" s="312"/>
      <c r="D14" s="312"/>
      <c r="E14" s="312"/>
      <c r="F14" s="312"/>
      <c r="G14" s="312"/>
      <c r="H14" s="312"/>
      <c r="I14" s="336"/>
      <c r="J14" s="339"/>
      <c r="K14" s="312"/>
      <c r="L14" s="312" t="s">
        <v>498</v>
      </c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312"/>
      <c r="AQ14" s="312"/>
      <c r="AR14" s="312"/>
      <c r="AS14" s="312"/>
      <c r="AT14" s="312"/>
      <c r="AU14" s="312"/>
      <c r="AV14" s="312"/>
      <c r="AW14" s="312"/>
      <c r="AX14" s="312"/>
      <c r="AY14" s="312"/>
      <c r="AZ14" s="312"/>
      <c r="BA14" s="312"/>
      <c r="BB14" s="312"/>
      <c r="BC14" s="312"/>
      <c r="BD14" s="335"/>
      <c r="BE14" s="312"/>
      <c r="BF14" s="312"/>
      <c r="BG14" s="312"/>
      <c r="BH14" s="312"/>
      <c r="BI14" s="312"/>
      <c r="BJ14" s="312"/>
      <c r="BK14" s="338"/>
    </row>
    <row r="15" spans="1:63" s="190" customFormat="1" ht="15.75" customHeight="1">
      <c r="A15" s="334"/>
      <c r="B15" s="335"/>
      <c r="C15" s="312"/>
      <c r="D15" s="312"/>
      <c r="E15" s="312"/>
      <c r="F15" s="312"/>
      <c r="G15" s="312"/>
      <c r="H15" s="312"/>
      <c r="I15" s="336"/>
      <c r="J15" s="339"/>
      <c r="K15" s="312"/>
      <c r="L15" s="312"/>
      <c r="M15" s="312" t="s">
        <v>499</v>
      </c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 t="s">
        <v>186</v>
      </c>
      <c r="AD15" s="312"/>
      <c r="AE15" s="312" t="s">
        <v>500</v>
      </c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312"/>
      <c r="AT15" s="312"/>
      <c r="AU15" s="312"/>
      <c r="AV15" s="312"/>
      <c r="AW15" s="312"/>
      <c r="AX15" s="312"/>
      <c r="AY15" s="312"/>
      <c r="AZ15" s="312"/>
      <c r="BA15" s="312"/>
      <c r="BB15" s="312"/>
      <c r="BC15" s="312"/>
      <c r="BD15" s="335"/>
      <c r="BE15" s="312"/>
      <c r="BF15" s="312"/>
      <c r="BG15" s="312"/>
      <c r="BH15" s="312"/>
      <c r="BI15" s="312"/>
      <c r="BJ15" s="312"/>
      <c r="BK15" s="338"/>
    </row>
    <row r="16" spans="1:63" s="190" customFormat="1" ht="15.75" customHeight="1">
      <c r="A16" s="334"/>
      <c r="B16" s="335"/>
      <c r="C16" s="312"/>
      <c r="D16" s="312"/>
      <c r="E16" s="312"/>
      <c r="F16" s="312"/>
      <c r="G16" s="312"/>
      <c r="H16" s="312"/>
      <c r="I16" s="336"/>
      <c r="J16" s="339"/>
      <c r="K16" s="312"/>
      <c r="L16" s="312"/>
      <c r="M16" s="312" t="s">
        <v>501</v>
      </c>
      <c r="N16" s="312"/>
      <c r="O16" s="312"/>
      <c r="P16" s="312"/>
      <c r="Q16" s="312"/>
      <c r="R16" s="312"/>
      <c r="S16" s="312"/>
      <c r="T16" s="312"/>
      <c r="U16" s="312"/>
      <c r="V16" s="312"/>
      <c r="W16" s="312"/>
      <c r="X16" s="312"/>
      <c r="Y16" s="312"/>
      <c r="Z16" s="312"/>
      <c r="AA16" s="312"/>
      <c r="AB16" s="312"/>
      <c r="AC16" s="312" t="s">
        <v>186</v>
      </c>
      <c r="AD16" s="312"/>
      <c r="AE16" s="312" t="s">
        <v>502</v>
      </c>
      <c r="AF16" s="312"/>
      <c r="AG16" s="312"/>
      <c r="AH16" s="312"/>
      <c r="AI16" s="312"/>
      <c r="AJ16" s="312"/>
      <c r="AK16" s="312"/>
      <c r="AL16" s="312"/>
      <c r="AM16" s="312"/>
      <c r="AN16" s="312"/>
      <c r="AO16" s="312"/>
      <c r="AP16" s="312"/>
      <c r="AQ16" s="312"/>
      <c r="AR16" s="312"/>
      <c r="AS16" s="312"/>
      <c r="AT16" s="312"/>
      <c r="AU16" s="312"/>
      <c r="AV16" s="312"/>
      <c r="AW16" s="312"/>
      <c r="AX16" s="312"/>
      <c r="AY16" s="312"/>
      <c r="AZ16" s="312"/>
      <c r="BA16" s="312"/>
      <c r="BB16" s="312"/>
      <c r="BC16" s="312"/>
      <c r="BD16" s="335"/>
      <c r="BE16" s="312"/>
      <c r="BF16" s="312"/>
      <c r="BG16" s="312"/>
      <c r="BH16" s="312"/>
      <c r="BI16" s="312"/>
      <c r="BJ16" s="312"/>
      <c r="BK16" s="338"/>
    </row>
    <row r="17" spans="1:63" s="190" customFormat="1" ht="15.75" customHeight="1">
      <c r="A17" s="334"/>
      <c r="B17" s="335"/>
      <c r="C17" s="312"/>
      <c r="D17" s="312"/>
      <c r="E17" s="312"/>
      <c r="F17" s="312"/>
      <c r="G17" s="312"/>
      <c r="H17" s="312"/>
      <c r="I17" s="336"/>
      <c r="J17" s="339"/>
      <c r="K17" s="312"/>
      <c r="L17" s="312"/>
      <c r="M17" s="340" t="s">
        <v>503</v>
      </c>
      <c r="N17" s="312"/>
      <c r="O17" s="312"/>
      <c r="P17" s="312"/>
      <c r="Q17" s="312"/>
      <c r="R17" s="312"/>
      <c r="S17" s="312"/>
      <c r="T17" s="312"/>
      <c r="U17" s="312"/>
      <c r="V17" s="312"/>
      <c r="W17" s="312"/>
      <c r="X17" s="312"/>
      <c r="Y17" s="312"/>
      <c r="Z17" s="312"/>
      <c r="AA17" s="312"/>
      <c r="AB17" s="312"/>
      <c r="AC17" s="312"/>
      <c r="AD17" s="312"/>
      <c r="AE17" s="312"/>
      <c r="AF17" s="312"/>
      <c r="AG17" s="312"/>
      <c r="AH17" s="312"/>
      <c r="AI17" s="312"/>
      <c r="AJ17" s="312"/>
      <c r="AK17" s="312"/>
      <c r="AL17" s="312"/>
      <c r="AM17" s="312"/>
      <c r="AN17" s="312"/>
      <c r="AO17" s="312"/>
      <c r="AP17" s="312"/>
      <c r="AQ17" s="312"/>
      <c r="AR17" s="312"/>
      <c r="AS17" s="312"/>
      <c r="AT17" s="312"/>
      <c r="AU17" s="312"/>
      <c r="AV17" s="312"/>
      <c r="AW17" s="312"/>
      <c r="AX17" s="312"/>
      <c r="AY17" s="312"/>
      <c r="AZ17" s="312"/>
      <c r="BA17" s="312"/>
      <c r="BB17" s="312"/>
      <c r="BC17" s="312"/>
      <c r="BD17" s="335"/>
      <c r="BE17" s="312"/>
      <c r="BF17" s="312"/>
      <c r="BG17" s="312"/>
      <c r="BH17" s="312"/>
      <c r="BI17" s="312"/>
      <c r="BJ17" s="312"/>
      <c r="BK17" s="338"/>
    </row>
    <row r="18" spans="1:63" s="190" customFormat="1" ht="15.75" customHeight="1">
      <c r="A18" s="341"/>
      <c r="B18" s="312"/>
      <c r="C18" s="312"/>
      <c r="D18" s="312"/>
      <c r="E18" s="312"/>
      <c r="F18" s="312"/>
      <c r="G18" s="312"/>
      <c r="H18" s="312"/>
      <c r="I18" s="312"/>
      <c r="J18" s="342"/>
      <c r="K18" s="343"/>
      <c r="L18" s="343"/>
      <c r="M18" s="343"/>
      <c r="N18" s="343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43"/>
      <c r="Z18" s="343"/>
      <c r="AA18" s="343"/>
      <c r="AB18" s="343"/>
      <c r="AC18" s="343"/>
      <c r="AD18" s="343"/>
      <c r="AE18" s="343"/>
      <c r="AF18" s="343"/>
      <c r="AG18" s="343"/>
      <c r="AH18" s="343"/>
      <c r="AI18" s="343"/>
      <c r="AJ18" s="343"/>
      <c r="AK18" s="343"/>
      <c r="AL18" s="343"/>
      <c r="AM18" s="343"/>
      <c r="AN18" s="343"/>
      <c r="AO18" s="343"/>
      <c r="AP18" s="343"/>
      <c r="AQ18" s="343"/>
      <c r="AR18" s="343"/>
      <c r="AS18" s="343"/>
      <c r="AT18" s="343"/>
      <c r="AU18" s="343"/>
      <c r="AV18" s="343"/>
      <c r="AW18" s="343"/>
      <c r="AX18" s="343"/>
      <c r="AY18" s="343"/>
      <c r="AZ18" s="343"/>
      <c r="BA18" s="343"/>
      <c r="BB18" s="343"/>
      <c r="BC18" s="344"/>
      <c r="BD18" s="312"/>
      <c r="BE18" s="312"/>
      <c r="BF18" s="312"/>
      <c r="BG18" s="312"/>
      <c r="BH18" s="312"/>
      <c r="BI18" s="312"/>
      <c r="BJ18" s="312"/>
      <c r="BK18" s="338"/>
    </row>
    <row r="19" spans="1:63" s="190" customFormat="1" ht="15.75" customHeight="1">
      <c r="A19" s="334" t="s">
        <v>504</v>
      </c>
      <c r="B19" s="331" t="s">
        <v>505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2"/>
      <c r="M19" s="332"/>
      <c r="N19" s="332"/>
      <c r="O19" s="332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2"/>
      <c r="AA19" s="332"/>
      <c r="AB19" s="332"/>
      <c r="AC19" s="332"/>
      <c r="AD19" s="332"/>
      <c r="AE19" s="332"/>
      <c r="AF19" s="332"/>
      <c r="AG19" s="332"/>
      <c r="AH19" s="332"/>
      <c r="AI19" s="332"/>
      <c r="AJ19" s="332"/>
      <c r="AK19" s="332"/>
      <c r="AL19" s="332"/>
      <c r="AM19" s="332"/>
      <c r="AN19" s="332"/>
      <c r="AO19" s="332"/>
      <c r="AP19" s="332"/>
      <c r="AQ19" s="332"/>
      <c r="AR19" s="332"/>
      <c r="AS19" s="332"/>
      <c r="AT19" s="332"/>
      <c r="AU19" s="332"/>
      <c r="AV19" s="332"/>
      <c r="AW19" s="332"/>
      <c r="AX19" s="332"/>
      <c r="AY19" s="332"/>
      <c r="AZ19" s="332"/>
      <c r="BA19" s="332"/>
      <c r="BB19" s="332"/>
      <c r="BC19" s="332"/>
      <c r="BD19" s="332"/>
      <c r="BE19" s="332"/>
      <c r="BF19" s="332"/>
      <c r="BG19" s="332"/>
      <c r="BH19" s="332"/>
      <c r="BI19" s="332"/>
      <c r="BJ19" s="332"/>
      <c r="BK19" s="333"/>
    </row>
    <row r="20" spans="1:63" s="190" customFormat="1" ht="15.75" customHeight="1">
      <c r="A20" s="334"/>
      <c r="B20" s="335"/>
      <c r="C20" s="312"/>
      <c r="D20" s="312"/>
      <c r="E20" s="312"/>
      <c r="F20" s="312"/>
      <c r="G20" s="312"/>
      <c r="H20" s="312"/>
      <c r="I20" s="336"/>
      <c r="J20" s="345" t="s">
        <v>506</v>
      </c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  <c r="AC20" s="311"/>
      <c r="AD20" s="311"/>
      <c r="AE20" s="311"/>
      <c r="AF20" s="311"/>
      <c r="AG20" s="311"/>
      <c r="AH20" s="311"/>
      <c r="AI20" s="311"/>
      <c r="AJ20" s="311"/>
      <c r="AK20" s="311"/>
      <c r="AL20" s="311"/>
      <c r="AM20" s="311"/>
      <c r="AN20" s="311"/>
      <c r="AO20" s="312"/>
      <c r="AP20" s="312"/>
      <c r="AQ20" s="312"/>
      <c r="AR20" s="312"/>
      <c r="AS20" s="312"/>
      <c r="AT20" s="312"/>
      <c r="AU20" s="312"/>
      <c r="AV20" s="312"/>
      <c r="AW20" s="312"/>
      <c r="AX20" s="312"/>
      <c r="AY20" s="312"/>
      <c r="AZ20" s="312"/>
      <c r="BA20" s="312"/>
      <c r="BB20" s="312"/>
      <c r="BC20" s="312"/>
      <c r="BD20" s="335"/>
      <c r="BE20" s="312"/>
      <c r="BF20" s="312"/>
      <c r="BG20" s="312"/>
      <c r="BH20" s="312"/>
      <c r="BI20" s="312"/>
      <c r="BJ20" s="312"/>
      <c r="BK20" s="338"/>
    </row>
    <row r="21" spans="1:63" s="190" customFormat="1" ht="15.75" customHeight="1">
      <c r="A21" s="334"/>
      <c r="B21" s="335"/>
      <c r="C21" s="312"/>
      <c r="D21" s="312"/>
      <c r="E21" s="312"/>
      <c r="F21" s="312"/>
      <c r="G21" s="312"/>
      <c r="H21" s="312"/>
      <c r="I21" s="336"/>
      <c r="J21" s="311"/>
      <c r="K21" s="311" t="s">
        <v>507</v>
      </c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311"/>
      <c r="AB21" s="311"/>
      <c r="AC21" s="311"/>
      <c r="AD21" s="311"/>
      <c r="AE21" s="311"/>
      <c r="AF21" s="311"/>
      <c r="AG21" s="311"/>
      <c r="AH21" s="311"/>
      <c r="AI21" s="311"/>
      <c r="AJ21" s="311"/>
      <c r="AK21" s="311"/>
      <c r="AL21" s="311"/>
      <c r="AM21" s="311"/>
      <c r="AN21" s="311"/>
      <c r="AO21" s="312"/>
      <c r="AP21" s="312"/>
      <c r="AQ21" s="312"/>
      <c r="AR21" s="312"/>
      <c r="AS21" s="312"/>
      <c r="AT21" s="312"/>
      <c r="AU21" s="312"/>
      <c r="AV21" s="312"/>
      <c r="AW21" s="312"/>
      <c r="AX21" s="312"/>
      <c r="AY21" s="312"/>
      <c r="AZ21" s="312"/>
      <c r="BA21" s="312"/>
      <c r="BB21" s="312"/>
      <c r="BC21" s="312"/>
      <c r="BD21" s="335"/>
      <c r="BE21" s="312"/>
      <c r="BF21" s="312"/>
      <c r="BG21" s="312"/>
      <c r="BH21" s="312"/>
      <c r="BI21" s="312"/>
      <c r="BJ21" s="312"/>
      <c r="BK21" s="338"/>
    </row>
    <row r="22" spans="1:63" s="190" customFormat="1" ht="15.75" customHeight="1">
      <c r="A22" s="334"/>
      <c r="B22" s="335"/>
      <c r="C22" s="312"/>
      <c r="D22" s="312"/>
      <c r="E22" s="312"/>
      <c r="F22" s="312"/>
      <c r="G22" s="312"/>
      <c r="H22" s="312"/>
      <c r="I22" s="336"/>
      <c r="J22" s="311"/>
      <c r="K22" s="311"/>
      <c r="L22" s="311" t="s">
        <v>508</v>
      </c>
      <c r="M22" s="311"/>
      <c r="N22" s="311"/>
      <c r="O22" s="311"/>
      <c r="P22" s="311"/>
      <c r="Q22" s="311"/>
      <c r="R22" s="311"/>
      <c r="S22" s="311"/>
      <c r="T22" s="311"/>
      <c r="U22" s="311" t="s">
        <v>509</v>
      </c>
      <c r="V22" s="311" t="s">
        <v>510</v>
      </c>
      <c r="W22" s="311"/>
      <c r="X22" s="312"/>
      <c r="Y22" s="311"/>
      <c r="Z22" s="311"/>
      <c r="AA22" s="311"/>
      <c r="AB22" s="311"/>
      <c r="AC22" s="311"/>
      <c r="AD22" s="311"/>
      <c r="AE22" s="311"/>
      <c r="AF22" s="311"/>
      <c r="AG22" s="311"/>
      <c r="AH22" s="311"/>
      <c r="AI22" s="311"/>
      <c r="AJ22" s="311"/>
      <c r="AK22" s="311"/>
      <c r="AL22" s="311"/>
      <c r="AM22" s="311"/>
      <c r="AN22" s="311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12"/>
      <c r="AZ22" s="312"/>
      <c r="BA22" s="312"/>
      <c r="BB22" s="312"/>
      <c r="BC22" s="312"/>
      <c r="BD22" s="335"/>
      <c r="BE22" s="312"/>
      <c r="BF22" s="312"/>
      <c r="BG22" s="312"/>
      <c r="BH22" s="312"/>
      <c r="BI22" s="312"/>
      <c r="BJ22" s="312"/>
      <c r="BK22" s="338"/>
    </row>
    <row r="23" spans="1:63" s="190" customFormat="1" ht="15.75" customHeight="1">
      <c r="A23" s="334"/>
      <c r="B23" s="335"/>
      <c r="C23" s="312"/>
      <c r="D23" s="312"/>
      <c r="E23" s="312"/>
      <c r="F23" s="312"/>
      <c r="G23" s="312"/>
      <c r="H23" s="312"/>
      <c r="I23" s="336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2"/>
      <c r="Y23" s="311"/>
      <c r="Z23" s="311"/>
      <c r="AA23" s="311"/>
      <c r="AB23" s="311"/>
      <c r="AC23" s="311"/>
      <c r="AD23" s="311"/>
      <c r="AE23" s="311"/>
      <c r="AF23" s="311"/>
      <c r="AG23" s="311"/>
      <c r="AH23" s="311"/>
      <c r="AI23" s="311"/>
      <c r="AJ23" s="311"/>
      <c r="AK23" s="311"/>
      <c r="AL23" s="311"/>
      <c r="AM23" s="311"/>
      <c r="AN23" s="311"/>
      <c r="AO23" s="312"/>
      <c r="AP23" s="312"/>
      <c r="AQ23" s="312"/>
      <c r="AR23" s="312"/>
      <c r="AS23" s="312"/>
      <c r="AT23" s="312"/>
      <c r="AU23" s="312"/>
      <c r="AV23" s="312"/>
      <c r="AW23" s="312"/>
      <c r="AX23" s="312"/>
      <c r="AY23" s="312"/>
      <c r="AZ23" s="312"/>
      <c r="BA23" s="312"/>
      <c r="BB23" s="312"/>
      <c r="BC23" s="312"/>
      <c r="BD23" s="335"/>
      <c r="BE23" s="312"/>
      <c r="BF23" s="312"/>
      <c r="BG23" s="312"/>
      <c r="BH23" s="312"/>
      <c r="BI23" s="312"/>
      <c r="BJ23" s="312"/>
      <c r="BK23" s="338"/>
    </row>
    <row r="24" spans="1:63" s="190" customFormat="1" ht="15.75" customHeight="1">
      <c r="A24" s="334"/>
      <c r="B24" s="335"/>
      <c r="C24" s="312"/>
      <c r="D24" s="312"/>
      <c r="E24" s="312"/>
      <c r="F24" s="312"/>
      <c r="G24" s="312"/>
      <c r="H24" s="312"/>
      <c r="I24" s="336"/>
      <c r="J24" s="311"/>
      <c r="K24" s="311"/>
      <c r="L24" s="311" t="s">
        <v>511</v>
      </c>
      <c r="M24" s="311"/>
      <c r="N24" s="311"/>
      <c r="O24" s="311"/>
      <c r="P24" s="311"/>
      <c r="Q24" s="311"/>
      <c r="R24" s="311"/>
      <c r="S24" s="311"/>
      <c r="T24" s="311"/>
      <c r="U24" s="311" t="s">
        <v>509</v>
      </c>
      <c r="V24" s="311" t="s">
        <v>512</v>
      </c>
      <c r="W24" s="311"/>
      <c r="X24" s="312"/>
      <c r="Y24" s="311"/>
      <c r="Z24" s="311"/>
      <c r="AA24" s="311"/>
      <c r="AB24" s="311"/>
      <c r="AC24" s="311"/>
      <c r="AD24" s="311"/>
      <c r="AE24" s="311"/>
      <c r="AF24" s="311"/>
      <c r="AG24" s="311"/>
      <c r="AH24" s="311"/>
      <c r="AI24" s="311"/>
      <c r="AJ24" s="311"/>
      <c r="AK24" s="311"/>
      <c r="AL24" s="311"/>
      <c r="AM24" s="311"/>
      <c r="AN24" s="311"/>
      <c r="AO24" s="312"/>
      <c r="AP24" s="312"/>
      <c r="AQ24" s="312"/>
      <c r="AR24" s="312"/>
      <c r="AS24" s="312"/>
      <c r="AT24" s="312"/>
      <c r="AU24" s="312"/>
      <c r="AV24" s="312"/>
      <c r="AW24" s="312"/>
      <c r="AX24" s="312"/>
      <c r="AY24" s="312"/>
      <c r="AZ24" s="312"/>
      <c r="BA24" s="312"/>
      <c r="BB24" s="312"/>
      <c r="BC24" s="312"/>
      <c r="BD24" s="335"/>
      <c r="BE24" s="312"/>
      <c r="BF24" s="312"/>
      <c r="BG24" s="312"/>
      <c r="BH24" s="312"/>
      <c r="BI24" s="312"/>
      <c r="BJ24" s="312"/>
      <c r="BK24" s="338"/>
    </row>
    <row r="25" spans="1:63" s="190" customFormat="1" ht="15.75" customHeight="1">
      <c r="A25" s="334"/>
      <c r="B25" s="335"/>
      <c r="C25" s="312"/>
      <c r="D25" s="312"/>
      <c r="E25" s="312"/>
      <c r="F25" s="312"/>
      <c r="G25" s="312"/>
      <c r="H25" s="312"/>
      <c r="I25" s="336"/>
      <c r="J25" s="311"/>
      <c r="K25" s="311"/>
      <c r="L25" s="311" t="s">
        <v>513</v>
      </c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 t="s">
        <v>514</v>
      </c>
      <c r="X25" s="312"/>
      <c r="Y25" s="311"/>
      <c r="Z25" s="311"/>
      <c r="AA25" s="311"/>
      <c r="AB25" s="311"/>
      <c r="AC25" s="311"/>
      <c r="AD25" s="311"/>
      <c r="AE25" s="311"/>
      <c r="AF25" s="311"/>
      <c r="AG25" s="311"/>
      <c r="AH25" s="311" t="s">
        <v>515</v>
      </c>
      <c r="AI25" s="313" t="s">
        <v>516</v>
      </c>
      <c r="AJ25" s="311"/>
      <c r="AK25" s="311"/>
      <c r="AL25" s="311"/>
      <c r="AM25" s="311"/>
      <c r="AN25" s="311"/>
      <c r="AO25" s="312"/>
      <c r="AP25" s="312"/>
      <c r="AQ25" s="312"/>
      <c r="AR25" s="312"/>
      <c r="AS25" s="312"/>
      <c r="AT25" s="312"/>
      <c r="AU25" s="312"/>
      <c r="AV25" s="312"/>
      <c r="AW25" s="312"/>
      <c r="AX25" s="312"/>
      <c r="AY25" s="312"/>
      <c r="AZ25" s="312"/>
      <c r="BA25" s="312"/>
      <c r="BB25" s="312"/>
      <c r="BC25" s="312"/>
      <c r="BD25" s="335" t="s">
        <v>517</v>
      </c>
      <c r="BE25" s="312"/>
      <c r="BF25" s="312"/>
      <c r="BG25" s="312"/>
      <c r="BH25" s="312"/>
      <c r="BI25" s="312"/>
      <c r="BJ25" s="312"/>
      <c r="BK25" s="338"/>
    </row>
    <row r="26" spans="1:63" s="190" customFormat="1" ht="15.75" customHeight="1">
      <c r="A26" s="334"/>
      <c r="B26" s="335"/>
      <c r="C26" s="312"/>
      <c r="D26" s="312"/>
      <c r="E26" s="312"/>
      <c r="F26" s="312"/>
      <c r="G26" s="312"/>
      <c r="H26" s="312"/>
      <c r="I26" s="336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 t="s">
        <v>518</v>
      </c>
      <c r="X26" s="312"/>
      <c r="Y26" s="311"/>
      <c r="Z26" s="311"/>
      <c r="AA26" s="311"/>
      <c r="AB26" s="311"/>
      <c r="AC26" s="311"/>
      <c r="AD26" s="311"/>
      <c r="AE26" s="311"/>
      <c r="AF26" s="311"/>
      <c r="AG26" s="312"/>
      <c r="AH26" s="311" t="s">
        <v>515</v>
      </c>
      <c r="AI26" s="313" t="s">
        <v>519</v>
      </c>
      <c r="AJ26" s="311"/>
      <c r="AK26" s="311"/>
      <c r="AL26" s="311"/>
      <c r="AM26" s="311"/>
      <c r="AN26" s="311"/>
      <c r="AO26" s="312"/>
      <c r="AP26" s="312"/>
      <c r="AQ26" s="312"/>
      <c r="AR26" s="312"/>
      <c r="AS26" s="312"/>
      <c r="AT26" s="312"/>
      <c r="AU26" s="312"/>
      <c r="AV26" s="312"/>
      <c r="AW26" s="312"/>
      <c r="AX26" s="312"/>
      <c r="AY26" s="312"/>
      <c r="AZ26" s="312"/>
      <c r="BA26" s="312"/>
      <c r="BB26" s="312"/>
      <c r="BC26" s="312"/>
      <c r="BD26" s="335" t="s">
        <v>520</v>
      </c>
      <c r="BE26" s="312"/>
      <c r="BF26" s="312"/>
      <c r="BG26" s="312"/>
      <c r="BH26" s="312"/>
      <c r="BI26" s="312"/>
      <c r="BJ26" s="312"/>
      <c r="BK26" s="338"/>
    </row>
    <row r="27" spans="1:63" s="190" customFormat="1" ht="15.75" customHeight="1">
      <c r="A27" s="334"/>
      <c r="B27" s="335"/>
      <c r="C27" s="312"/>
      <c r="D27" s="312"/>
      <c r="E27" s="312"/>
      <c r="F27" s="312"/>
      <c r="G27" s="312"/>
      <c r="H27" s="312"/>
      <c r="I27" s="336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2"/>
      <c r="Y27" s="311"/>
      <c r="Z27" s="311"/>
      <c r="AA27" s="311"/>
      <c r="AB27" s="311"/>
      <c r="AC27" s="311"/>
      <c r="AD27" s="311"/>
      <c r="AE27" s="311"/>
      <c r="AF27" s="311"/>
      <c r="AG27" s="312"/>
      <c r="AH27" s="311"/>
      <c r="AI27" s="313"/>
      <c r="AJ27" s="311"/>
      <c r="AK27" s="311"/>
      <c r="AL27" s="311"/>
      <c r="AM27" s="311"/>
      <c r="AN27" s="311"/>
      <c r="AO27" s="312"/>
      <c r="AP27" s="312"/>
      <c r="AQ27" s="312"/>
      <c r="AR27" s="312"/>
      <c r="AS27" s="312"/>
      <c r="AT27" s="312"/>
      <c r="AU27" s="312"/>
      <c r="AV27" s="312"/>
      <c r="AW27" s="312"/>
      <c r="AX27" s="312"/>
      <c r="AY27" s="312"/>
      <c r="AZ27" s="312"/>
      <c r="BA27" s="312"/>
      <c r="BB27" s="312"/>
      <c r="BC27" s="312"/>
      <c r="BD27" s="335"/>
      <c r="BE27" s="312"/>
      <c r="BF27" s="312"/>
      <c r="BG27" s="312"/>
      <c r="BH27" s="312"/>
      <c r="BI27" s="312"/>
      <c r="BJ27" s="312"/>
      <c r="BK27" s="338"/>
    </row>
    <row r="28" spans="1:63" s="190" customFormat="1" ht="15.75" customHeight="1">
      <c r="A28" s="334"/>
      <c r="B28" s="335"/>
      <c r="C28" s="312"/>
      <c r="D28" s="312"/>
      <c r="E28" s="312"/>
      <c r="F28" s="312"/>
      <c r="G28" s="312"/>
      <c r="H28" s="312"/>
      <c r="I28" s="336"/>
      <c r="J28" s="311"/>
      <c r="K28" s="311"/>
      <c r="L28" s="311" t="s">
        <v>511</v>
      </c>
      <c r="M28" s="311"/>
      <c r="N28" s="311"/>
      <c r="O28" s="311"/>
      <c r="P28" s="311"/>
      <c r="Q28" s="311"/>
      <c r="R28" s="311"/>
      <c r="S28" s="311"/>
      <c r="T28" s="311"/>
      <c r="U28" s="311" t="s">
        <v>509</v>
      </c>
      <c r="V28" s="311" t="s">
        <v>475</v>
      </c>
      <c r="W28" s="311"/>
      <c r="X28" s="312"/>
      <c r="Y28" s="311"/>
      <c r="Z28" s="311"/>
      <c r="AA28" s="311"/>
      <c r="AB28" s="311"/>
      <c r="AC28" s="311"/>
      <c r="AD28" s="311"/>
      <c r="AE28" s="311"/>
      <c r="AF28" s="311"/>
      <c r="AG28" s="311"/>
      <c r="AH28" s="311"/>
      <c r="AI28" s="311"/>
      <c r="AJ28" s="311"/>
      <c r="AK28" s="311"/>
      <c r="AL28" s="311"/>
      <c r="AM28" s="311"/>
      <c r="AN28" s="311"/>
      <c r="AO28" s="312"/>
      <c r="AP28" s="312"/>
      <c r="AQ28" s="312"/>
      <c r="AR28" s="312"/>
      <c r="AS28" s="312"/>
      <c r="AT28" s="312"/>
      <c r="AU28" s="312"/>
      <c r="AV28" s="312"/>
      <c r="AW28" s="312"/>
      <c r="AX28" s="312"/>
      <c r="AY28" s="312"/>
      <c r="AZ28" s="312"/>
      <c r="BA28" s="312"/>
      <c r="BB28" s="312"/>
      <c r="BC28" s="312"/>
      <c r="BD28" s="335" t="s">
        <v>497</v>
      </c>
      <c r="BE28" s="312"/>
      <c r="BF28" s="312"/>
      <c r="BG28" s="312"/>
      <c r="BH28" s="312"/>
      <c r="BI28" s="312"/>
      <c r="BJ28" s="312"/>
      <c r="BK28" s="338"/>
    </row>
    <row r="29" spans="1:63" s="190" customFormat="1" ht="15.75" customHeight="1">
      <c r="A29" s="334"/>
      <c r="B29" s="335"/>
      <c r="C29" s="312"/>
      <c r="D29" s="312"/>
      <c r="E29" s="312"/>
      <c r="F29" s="312"/>
      <c r="G29" s="312"/>
      <c r="H29" s="312"/>
      <c r="I29" s="336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46"/>
      <c r="W29" s="346" t="s">
        <v>521</v>
      </c>
      <c r="X29" s="312"/>
      <c r="Y29" s="311"/>
      <c r="Z29" s="311"/>
      <c r="AA29" s="311"/>
      <c r="AB29" s="311"/>
      <c r="AC29" s="311"/>
      <c r="AD29" s="311"/>
      <c r="AE29" s="311"/>
      <c r="AF29" s="311"/>
      <c r="AG29" s="311"/>
      <c r="AH29" s="311"/>
      <c r="AI29" s="311"/>
      <c r="AJ29" s="311"/>
      <c r="AK29" s="311"/>
      <c r="AL29" s="311"/>
      <c r="AM29" s="311"/>
      <c r="AN29" s="311"/>
      <c r="AO29" s="312"/>
      <c r="AP29" s="312"/>
      <c r="AQ29" s="312"/>
      <c r="AR29" s="312"/>
      <c r="AS29" s="312"/>
      <c r="AT29" s="312"/>
      <c r="AU29" s="312"/>
      <c r="AV29" s="312"/>
      <c r="AW29" s="312"/>
      <c r="AX29" s="312"/>
      <c r="AY29" s="312"/>
      <c r="AZ29" s="312"/>
      <c r="BA29" s="312"/>
      <c r="BB29" s="312"/>
      <c r="BC29" s="312"/>
      <c r="BD29" s="335"/>
      <c r="BE29" s="312"/>
      <c r="BF29" s="312"/>
      <c r="BG29" s="312"/>
      <c r="BH29" s="312"/>
      <c r="BI29" s="312"/>
      <c r="BJ29" s="312"/>
      <c r="BK29" s="338"/>
    </row>
    <row r="30" spans="1:63" s="190" customFormat="1" ht="15.75" customHeight="1">
      <c r="A30" s="334"/>
      <c r="B30" s="335"/>
      <c r="C30" s="312"/>
      <c r="D30" s="312"/>
      <c r="E30" s="312"/>
      <c r="F30" s="312"/>
      <c r="G30" s="312"/>
      <c r="H30" s="312"/>
      <c r="I30" s="336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46"/>
      <c r="W30" s="347" t="s">
        <v>522</v>
      </c>
      <c r="X30" s="312"/>
      <c r="Y30" s="311"/>
      <c r="Z30" s="311"/>
      <c r="AA30" s="311"/>
      <c r="AB30" s="311"/>
      <c r="AC30" s="311"/>
      <c r="AD30" s="311"/>
      <c r="AE30" s="311"/>
      <c r="AF30" s="311"/>
      <c r="AG30" s="311"/>
      <c r="AH30" s="311"/>
      <c r="AI30" s="311"/>
      <c r="AJ30" s="311"/>
      <c r="AK30" s="311"/>
      <c r="AL30" s="311"/>
      <c r="AM30" s="311"/>
      <c r="AN30" s="311"/>
      <c r="AO30" s="312"/>
      <c r="AP30" s="312"/>
      <c r="AQ30" s="312"/>
      <c r="AR30" s="312"/>
      <c r="AS30" s="312"/>
      <c r="AT30" s="312"/>
      <c r="AU30" s="312"/>
      <c r="AV30" s="312"/>
      <c r="AW30" s="312"/>
      <c r="AX30" s="312"/>
      <c r="AY30" s="312"/>
      <c r="AZ30" s="312"/>
      <c r="BA30" s="312"/>
      <c r="BB30" s="312"/>
      <c r="BC30" s="312"/>
      <c r="BD30" s="335" t="s">
        <v>523</v>
      </c>
      <c r="BE30" s="312"/>
      <c r="BF30" s="312"/>
      <c r="BG30" s="312"/>
      <c r="BH30" s="312"/>
      <c r="BI30" s="312"/>
      <c r="BJ30" s="312"/>
      <c r="BK30" s="338"/>
    </row>
    <row r="31" spans="1:63" s="190" customFormat="1" ht="15.75" customHeight="1">
      <c r="A31" s="334"/>
      <c r="B31" s="335"/>
      <c r="C31" s="312"/>
      <c r="D31" s="312"/>
      <c r="E31" s="312"/>
      <c r="F31" s="312"/>
      <c r="G31" s="312"/>
      <c r="H31" s="312"/>
      <c r="I31" s="336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46"/>
      <c r="W31" s="347"/>
      <c r="X31" s="312"/>
      <c r="Y31" s="311"/>
      <c r="Z31" s="311"/>
      <c r="AA31" s="311"/>
      <c r="AB31" s="311"/>
      <c r="AC31" s="311"/>
      <c r="AD31" s="311"/>
      <c r="AE31" s="311"/>
      <c r="AF31" s="311"/>
      <c r="AG31" s="311"/>
      <c r="AH31" s="311"/>
      <c r="AI31" s="311"/>
      <c r="AJ31" s="311"/>
      <c r="AK31" s="311"/>
      <c r="AL31" s="311"/>
      <c r="AM31" s="311"/>
      <c r="AN31" s="311"/>
      <c r="AO31" s="312"/>
      <c r="AP31" s="312"/>
      <c r="AQ31" s="312"/>
      <c r="AR31" s="312"/>
      <c r="AS31" s="312"/>
      <c r="AT31" s="312"/>
      <c r="AU31" s="312"/>
      <c r="AV31" s="312"/>
      <c r="AW31" s="312"/>
      <c r="AX31" s="312"/>
      <c r="AY31" s="312"/>
      <c r="AZ31" s="312"/>
      <c r="BA31" s="312"/>
      <c r="BB31" s="312"/>
      <c r="BC31" s="312"/>
      <c r="BD31" s="335"/>
      <c r="BE31" s="312"/>
      <c r="BF31" s="312"/>
      <c r="BG31" s="312"/>
      <c r="BH31" s="312"/>
      <c r="BI31" s="312"/>
      <c r="BJ31" s="312"/>
      <c r="BK31" s="338"/>
    </row>
    <row r="32" spans="1:63" s="190" customFormat="1" ht="15.75" customHeight="1">
      <c r="A32" s="334"/>
      <c r="B32" s="335"/>
      <c r="C32" s="312"/>
      <c r="D32" s="312"/>
      <c r="E32" s="312"/>
      <c r="F32" s="312"/>
      <c r="G32" s="312"/>
      <c r="H32" s="312"/>
      <c r="I32" s="336"/>
      <c r="J32" s="311"/>
      <c r="K32" s="311"/>
      <c r="L32" s="312" t="s">
        <v>476</v>
      </c>
      <c r="M32" s="311"/>
      <c r="N32" s="311"/>
      <c r="O32" s="311"/>
      <c r="P32" s="311"/>
      <c r="Q32" s="311"/>
      <c r="R32" s="311"/>
      <c r="S32" s="311"/>
      <c r="T32" s="311"/>
      <c r="U32" s="311" t="s">
        <v>491</v>
      </c>
      <c r="V32" s="311" t="s">
        <v>477</v>
      </c>
      <c r="W32" s="311"/>
      <c r="X32" s="312"/>
      <c r="Y32" s="311"/>
      <c r="Z32" s="311"/>
      <c r="AA32" s="311"/>
      <c r="AB32" s="311"/>
      <c r="AC32" s="311"/>
      <c r="AD32" s="311"/>
      <c r="AE32" s="311"/>
      <c r="AF32" s="311"/>
      <c r="AG32" s="311"/>
      <c r="AH32" s="311"/>
      <c r="AI32" s="311"/>
      <c r="AJ32" s="311"/>
      <c r="AK32" s="311"/>
      <c r="AL32" s="311"/>
      <c r="AM32" s="311"/>
      <c r="AN32" s="311"/>
      <c r="AO32" s="312"/>
      <c r="AP32" s="312"/>
      <c r="AQ32" s="312"/>
      <c r="AR32" s="312"/>
      <c r="AS32" s="312"/>
      <c r="AT32" s="312"/>
      <c r="AU32" s="312"/>
      <c r="AV32" s="312"/>
      <c r="AW32" s="312"/>
      <c r="AX32" s="312"/>
      <c r="AY32" s="312"/>
      <c r="AZ32" s="312"/>
      <c r="BA32" s="312"/>
      <c r="BB32" s="312"/>
      <c r="BC32" s="312"/>
      <c r="BD32" s="335" t="s">
        <v>524</v>
      </c>
      <c r="BE32" s="312"/>
      <c r="BF32" s="312"/>
      <c r="BG32" s="312"/>
      <c r="BH32" s="312"/>
      <c r="BI32" s="312"/>
      <c r="BJ32" s="312"/>
      <c r="BK32" s="338"/>
    </row>
    <row r="33" spans="1:63" s="190" customFormat="1" ht="15.75" customHeight="1">
      <c r="A33" s="334"/>
      <c r="B33" s="335"/>
      <c r="C33" s="312"/>
      <c r="D33" s="312"/>
      <c r="E33" s="312"/>
      <c r="F33" s="312"/>
      <c r="G33" s="312"/>
      <c r="H33" s="312"/>
      <c r="I33" s="336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08" t="s">
        <v>525</v>
      </c>
      <c r="V33" s="311"/>
      <c r="W33" s="311"/>
      <c r="X33" s="311"/>
      <c r="Y33" s="311"/>
      <c r="Z33" s="311"/>
      <c r="AA33" s="311"/>
      <c r="AB33" s="311"/>
      <c r="AC33" s="311"/>
      <c r="AD33" s="311"/>
      <c r="AE33" s="311"/>
      <c r="AF33" s="311"/>
      <c r="AG33" s="311"/>
      <c r="AH33" s="311"/>
      <c r="AI33" s="311"/>
      <c r="AJ33" s="311"/>
      <c r="AK33" s="311"/>
      <c r="AL33" s="311"/>
      <c r="AM33" s="311"/>
      <c r="AN33" s="311"/>
      <c r="AO33" s="312"/>
      <c r="AP33" s="312"/>
      <c r="AQ33" s="312"/>
      <c r="AR33" s="312"/>
      <c r="AS33" s="312"/>
      <c r="AT33" s="312"/>
      <c r="AU33" s="312"/>
      <c r="AV33" s="312"/>
      <c r="AW33" s="312"/>
      <c r="AX33" s="312"/>
      <c r="AY33" s="312"/>
      <c r="AZ33" s="312"/>
      <c r="BA33" s="312"/>
      <c r="BB33" s="312"/>
      <c r="BC33" s="312"/>
      <c r="BD33" s="335"/>
      <c r="BE33" s="312"/>
      <c r="BF33" s="312"/>
      <c r="BG33" s="312"/>
      <c r="BH33" s="312"/>
      <c r="BI33" s="312"/>
      <c r="BJ33" s="312"/>
      <c r="BK33" s="338"/>
    </row>
    <row r="34" spans="1:63" s="190" customFormat="1" ht="15.75" customHeight="1">
      <c r="A34" s="334"/>
      <c r="B34" s="335"/>
      <c r="C34" s="312"/>
      <c r="D34" s="312"/>
      <c r="E34" s="312"/>
      <c r="F34" s="312"/>
      <c r="G34" s="312"/>
      <c r="H34" s="312"/>
      <c r="I34" s="336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08" t="s">
        <v>526</v>
      </c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  <c r="AF34" s="311"/>
      <c r="AG34" s="311"/>
      <c r="AH34" s="311"/>
      <c r="AI34" s="311"/>
      <c r="AJ34" s="311"/>
      <c r="AK34" s="311"/>
      <c r="AL34" s="311"/>
      <c r="AM34" s="311"/>
      <c r="AN34" s="311"/>
      <c r="AO34" s="312"/>
      <c r="AP34" s="312"/>
      <c r="AQ34" s="312"/>
      <c r="AR34" s="312"/>
      <c r="AS34" s="312"/>
      <c r="AT34" s="312"/>
      <c r="AU34" s="312"/>
      <c r="AV34" s="312"/>
      <c r="AW34" s="312"/>
      <c r="AX34" s="312"/>
      <c r="AY34" s="312"/>
      <c r="AZ34" s="312"/>
      <c r="BA34" s="312"/>
      <c r="BB34" s="312"/>
      <c r="BC34" s="312"/>
      <c r="BD34" s="335"/>
      <c r="BE34" s="312"/>
      <c r="BF34" s="312"/>
      <c r="BG34" s="312"/>
      <c r="BH34" s="312"/>
      <c r="BI34" s="312"/>
      <c r="BJ34" s="312"/>
      <c r="BK34" s="338"/>
    </row>
    <row r="35" spans="1:63" s="190" customFormat="1" ht="15.75" customHeight="1">
      <c r="A35" s="334"/>
      <c r="B35" s="335"/>
      <c r="C35" s="312"/>
      <c r="D35" s="312"/>
      <c r="E35" s="312"/>
      <c r="F35" s="312"/>
      <c r="G35" s="312"/>
      <c r="H35" s="312"/>
      <c r="I35" s="336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08"/>
      <c r="V35" s="311"/>
      <c r="W35" s="311"/>
      <c r="X35" s="311"/>
      <c r="Y35" s="311"/>
      <c r="Z35" s="311"/>
      <c r="AA35" s="311"/>
      <c r="AB35" s="311"/>
      <c r="AC35" s="311"/>
      <c r="AD35" s="311"/>
      <c r="AE35" s="311"/>
      <c r="AF35" s="311"/>
      <c r="AG35" s="311"/>
      <c r="AH35" s="311"/>
      <c r="AI35" s="311"/>
      <c r="AJ35" s="311"/>
      <c r="AK35" s="311"/>
      <c r="AL35" s="311"/>
      <c r="AM35" s="311"/>
      <c r="AN35" s="311"/>
      <c r="AO35" s="312"/>
      <c r="AP35" s="312"/>
      <c r="AQ35" s="312"/>
      <c r="AR35" s="312"/>
      <c r="AS35" s="312"/>
      <c r="AT35" s="312"/>
      <c r="AU35" s="312"/>
      <c r="AV35" s="312"/>
      <c r="AW35" s="312"/>
      <c r="AX35" s="312"/>
      <c r="AY35" s="312"/>
      <c r="AZ35" s="312"/>
      <c r="BA35" s="312"/>
      <c r="BB35" s="312"/>
      <c r="BC35" s="312"/>
      <c r="BD35" s="335"/>
      <c r="BE35" s="312"/>
      <c r="BF35" s="312"/>
      <c r="BG35" s="312"/>
      <c r="BH35" s="312"/>
      <c r="BI35" s="312"/>
      <c r="BJ35" s="312"/>
      <c r="BK35" s="338"/>
    </row>
    <row r="36" spans="1:63" s="190" customFormat="1" ht="15.75" customHeight="1">
      <c r="A36" s="334"/>
      <c r="B36" s="335"/>
      <c r="C36" s="312"/>
      <c r="D36" s="312"/>
      <c r="E36" s="312"/>
      <c r="F36" s="312"/>
      <c r="G36" s="312"/>
      <c r="H36" s="312"/>
      <c r="I36" s="336"/>
      <c r="J36" s="311"/>
      <c r="K36" s="311"/>
      <c r="L36" s="311" t="s">
        <v>527</v>
      </c>
      <c r="M36" s="311"/>
      <c r="N36" s="311"/>
      <c r="O36" s="311"/>
      <c r="P36" s="311"/>
      <c r="Q36" s="311"/>
      <c r="R36" s="311"/>
      <c r="S36" s="311"/>
      <c r="T36" s="311"/>
      <c r="U36" s="311" t="s">
        <v>509</v>
      </c>
      <c r="V36" s="311" t="s">
        <v>528</v>
      </c>
      <c r="W36" s="311"/>
      <c r="X36" s="312"/>
      <c r="Y36" s="311"/>
      <c r="Z36" s="311"/>
      <c r="AA36" s="311"/>
      <c r="AB36" s="311"/>
      <c r="AC36" s="311"/>
      <c r="AD36" s="311"/>
      <c r="AE36" s="311"/>
      <c r="AF36" s="311"/>
      <c r="AG36" s="311"/>
      <c r="AH36" s="311"/>
      <c r="AI36" s="311"/>
      <c r="AJ36" s="311"/>
      <c r="AK36" s="311"/>
      <c r="AL36" s="311"/>
      <c r="AM36" s="311"/>
      <c r="AN36" s="311"/>
      <c r="AO36" s="312"/>
      <c r="AP36" s="312"/>
      <c r="AQ36" s="312"/>
      <c r="AR36" s="312"/>
      <c r="AS36" s="312"/>
      <c r="AT36" s="312"/>
      <c r="AU36" s="312"/>
      <c r="AV36" s="312"/>
      <c r="AW36" s="312"/>
      <c r="AX36" s="312"/>
      <c r="AY36" s="312"/>
      <c r="AZ36" s="312"/>
      <c r="BA36" s="312"/>
      <c r="BB36" s="312"/>
      <c r="BC36" s="312"/>
      <c r="BD36" s="335"/>
      <c r="BE36" s="312"/>
      <c r="BF36" s="312"/>
      <c r="BG36" s="312"/>
      <c r="BH36" s="312"/>
      <c r="BI36" s="312"/>
      <c r="BJ36" s="312"/>
      <c r="BK36" s="338"/>
    </row>
    <row r="37" spans="1:63" s="190" customFormat="1" ht="15.75" customHeight="1">
      <c r="A37" s="334"/>
      <c r="B37" s="335"/>
      <c r="C37" s="312"/>
      <c r="D37" s="312"/>
      <c r="E37" s="312"/>
      <c r="F37" s="312"/>
      <c r="G37" s="312"/>
      <c r="H37" s="312"/>
      <c r="I37" s="336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46"/>
      <c r="W37" s="346" t="s">
        <v>529</v>
      </c>
      <c r="X37" s="312"/>
      <c r="Y37" s="311"/>
      <c r="Z37" s="311"/>
      <c r="AA37" s="311"/>
      <c r="AB37" s="311"/>
      <c r="AC37" s="311"/>
      <c r="AD37" s="311"/>
      <c r="AE37" s="311"/>
      <c r="AF37" s="311"/>
      <c r="AG37" s="311"/>
      <c r="AH37" s="311"/>
      <c r="AI37" s="311"/>
      <c r="AJ37" s="311"/>
      <c r="AK37" s="311"/>
      <c r="AL37" s="311"/>
      <c r="AM37" s="311"/>
      <c r="AN37" s="311"/>
      <c r="AO37" s="312"/>
      <c r="AP37" s="312"/>
      <c r="AQ37" s="312"/>
      <c r="AR37" s="312"/>
      <c r="AS37" s="312"/>
      <c r="AT37" s="312"/>
      <c r="AU37" s="312"/>
      <c r="AV37" s="312"/>
      <c r="AW37" s="312"/>
      <c r="AX37" s="312"/>
      <c r="AY37" s="312"/>
      <c r="AZ37" s="312"/>
      <c r="BA37" s="312"/>
      <c r="BB37" s="312"/>
      <c r="BC37" s="312"/>
      <c r="BD37" s="335"/>
      <c r="BE37" s="312"/>
      <c r="BF37" s="312"/>
      <c r="BG37" s="312"/>
      <c r="BH37" s="312"/>
      <c r="BI37" s="312"/>
      <c r="BJ37" s="312"/>
      <c r="BK37" s="338"/>
    </row>
    <row r="38" spans="1:63" s="190" customFormat="1" ht="15.75" customHeight="1">
      <c r="A38" s="334"/>
      <c r="B38" s="335"/>
      <c r="C38" s="312"/>
      <c r="D38" s="312"/>
      <c r="E38" s="312"/>
      <c r="F38" s="312"/>
      <c r="G38" s="312"/>
      <c r="H38" s="312"/>
      <c r="I38" s="336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46"/>
      <c r="W38" s="347" t="s">
        <v>530</v>
      </c>
      <c r="X38" s="312"/>
      <c r="Y38" s="311"/>
      <c r="Z38" s="311"/>
      <c r="AA38" s="311"/>
      <c r="AB38" s="311"/>
      <c r="AC38" s="311"/>
      <c r="AD38" s="311"/>
      <c r="AE38" s="311"/>
      <c r="AF38" s="311"/>
      <c r="AG38" s="311"/>
      <c r="AH38" s="311"/>
      <c r="AI38" s="311"/>
      <c r="AJ38" s="311"/>
      <c r="AK38" s="311"/>
      <c r="AL38" s="311"/>
      <c r="AM38" s="311"/>
      <c r="AN38" s="311"/>
      <c r="AO38" s="312"/>
      <c r="AP38" s="312"/>
      <c r="AQ38" s="312"/>
      <c r="AR38" s="312"/>
      <c r="AS38" s="312"/>
      <c r="AT38" s="312"/>
      <c r="AU38" s="312"/>
      <c r="AV38" s="312"/>
      <c r="AW38" s="312"/>
      <c r="AX38" s="312"/>
      <c r="AY38" s="312"/>
      <c r="AZ38" s="312"/>
      <c r="BA38" s="312"/>
      <c r="BB38" s="312"/>
      <c r="BC38" s="312"/>
      <c r="BD38" s="335" t="s">
        <v>531</v>
      </c>
      <c r="BE38" s="312"/>
      <c r="BF38" s="312"/>
      <c r="BG38" s="312"/>
      <c r="BH38" s="312"/>
      <c r="BI38" s="312"/>
      <c r="BJ38" s="312"/>
      <c r="BK38" s="338"/>
    </row>
    <row r="39" spans="1:63" s="190" customFormat="1" ht="15.75" customHeight="1">
      <c r="A39" s="334"/>
      <c r="B39" s="335"/>
      <c r="C39" s="312"/>
      <c r="D39" s="312"/>
      <c r="E39" s="312"/>
      <c r="F39" s="312"/>
      <c r="G39" s="312"/>
      <c r="H39" s="312"/>
      <c r="I39" s="336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08" t="s">
        <v>532</v>
      </c>
      <c r="V39" s="311"/>
      <c r="W39" s="311"/>
      <c r="X39" s="311"/>
      <c r="Y39" s="311"/>
      <c r="Z39" s="311"/>
      <c r="AA39" s="311"/>
      <c r="AB39" s="311"/>
      <c r="AC39" s="311"/>
      <c r="AD39" s="311"/>
      <c r="AE39" s="311"/>
      <c r="AF39" s="311"/>
      <c r="AG39" s="311"/>
      <c r="AH39" s="311"/>
      <c r="AI39" s="311"/>
      <c r="AJ39" s="311"/>
      <c r="AK39" s="311"/>
      <c r="AL39" s="311"/>
      <c r="AM39" s="311"/>
      <c r="AN39" s="311"/>
      <c r="AO39" s="312"/>
      <c r="AP39" s="312"/>
      <c r="AQ39" s="312"/>
      <c r="AR39" s="312"/>
      <c r="AS39" s="312"/>
      <c r="AT39" s="312"/>
      <c r="AU39" s="312"/>
      <c r="AV39" s="312"/>
      <c r="AW39" s="312"/>
      <c r="AX39" s="312"/>
      <c r="AY39" s="312"/>
      <c r="AZ39" s="312"/>
      <c r="BA39" s="312"/>
      <c r="BB39" s="312"/>
      <c r="BC39" s="312"/>
      <c r="BD39" s="335"/>
      <c r="BE39" s="312"/>
      <c r="BF39" s="312"/>
      <c r="BG39" s="312"/>
      <c r="BH39" s="312"/>
      <c r="BI39" s="312"/>
      <c r="BJ39" s="312"/>
      <c r="BK39" s="338"/>
    </row>
    <row r="40" spans="1:63" s="190" customFormat="1" ht="15.75" customHeight="1">
      <c r="A40" s="334"/>
      <c r="B40" s="335"/>
      <c r="C40" s="312"/>
      <c r="D40" s="312"/>
      <c r="E40" s="312"/>
      <c r="F40" s="312"/>
      <c r="G40" s="312"/>
      <c r="H40" s="312"/>
      <c r="I40" s="336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08" t="s">
        <v>533</v>
      </c>
      <c r="V40" s="311"/>
      <c r="W40" s="311"/>
      <c r="X40" s="311"/>
      <c r="Y40" s="311"/>
      <c r="Z40" s="311"/>
      <c r="AA40" s="311"/>
      <c r="AB40" s="311"/>
      <c r="AC40" s="311"/>
      <c r="AD40" s="311"/>
      <c r="AE40" s="311"/>
      <c r="AF40" s="311"/>
      <c r="AG40" s="311"/>
      <c r="AH40" s="311"/>
      <c r="AI40" s="311"/>
      <c r="AJ40" s="311"/>
      <c r="AK40" s="311"/>
      <c r="AL40" s="311"/>
      <c r="AM40" s="311"/>
      <c r="AN40" s="311"/>
      <c r="AO40" s="312"/>
      <c r="AP40" s="312"/>
      <c r="AQ40" s="312"/>
      <c r="AR40" s="312"/>
      <c r="AS40" s="312"/>
      <c r="AT40" s="312"/>
      <c r="AU40" s="312"/>
      <c r="AV40" s="312"/>
      <c r="AW40" s="312"/>
      <c r="AX40" s="312"/>
      <c r="AY40" s="312"/>
      <c r="AZ40" s="312"/>
      <c r="BA40" s="312"/>
      <c r="BB40" s="312"/>
      <c r="BC40" s="312"/>
      <c r="BD40" s="335"/>
      <c r="BE40" s="312"/>
      <c r="BF40" s="312"/>
      <c r="BG40" s="312"/>
      <c r="BH40" s="312"/>
      <c r="BI40" s="312"/>
      <c r="BJ40" s="312"/>
      <c r="BK40" s="338"/>
    </row>
    <row r="41" spans="1:63" ht="15.75" customHeight="1" thickBot="1">
      <c r="A41" s="348"/>
      <c r="B41" s="349"/>
      <c r="C41" s="350"/>
      <c r="D41" s="350"/>
      <c r="E41" s="350"/>
      <c r="F41" s="350"/>
      <c r="G41" s="350"/>
      <c r="H41" s="350"/>
      <c r="I41" s="351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  <c r="AR41" s="350"/>
      <c r="AS41" s="350"/>
      <c r="AT41" s="350"/>
      <c r="AU41" s="350"/>
      <c r="AV41" s="350"/>
      <c r="AW41" s="350"/>
      <c r="AX41" s="350"/>
      <c r="AY41" s="350"/>
      <c r="AZ41" s="350"/>
      <c r="BA41" s="350"/>
      <c r="BB41" s="350"/>
      <c r="BC41" s="350"/>
      <c r="BD41" s="349"/>
      <c r="BE41" s="350"/>
      <c r="BF41" s="350"/>
      <c r="BG41" s="350"/>
      <c r="BH41" s="350"/>
      <c r="BI41" s="350"/>
      <c r="BJ41" s="350"/>
      <c r="BK41" s="352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scale="76" fitToHeight="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BA56-3B2D-4E45-B3EA-E346DF6CEC9F}">
  <sheetPr>
    <tabColor rgb="FFFFFF00"/>
    <pageSetUpPr fitToPage="1"/>
  </sheetPr>
  <dimension ref="A1:CW170"/>
  <sheetViews>
    <sheetView showGridLines="0" showZeros="0" tabSelected="1" view="pageBreakPreview" topLeftCell="A35" zoomScale="115" zoomScaleNormal="100" zoomScaleSheetLayoutView="115" workbookViewId="0">
      <selection activeCell="X159" sqref="X159"/>
    </sheetView>
  </sheetViews>
  <sheetFormatPr defaultColWidth="2.125" defaultRowHeight="15.75" customHeight="1"/>
  <cols>
    <col min="1" max="2" width="2.125" style="981" customWidth="1"/>
    <col min="3" max="3" width="2.375" style="981" customWidth="1"/>
    <col min="4" max="4" width="2.125" style="981" customWidth="1"/>
    <col min="5" max="5" width="3" style="981" customWidth="1"/>
    <col min="6" max="62" width="2.125" style="981" customWidth="1"/>
    <col min="63" max="63" width="2.25" style="981" customWidth="1"/>
    <col min="64" max="16384" width="2.125" style="981"/>
  </cols>
  <sheetData>
    <row r="1" spans="1:101" ht="15.75" customHeight="1">
      <c r="A1" s="821" t="str">
        <f>表紙!A54</f>
        <v>Webシステム</v>
      </c>
      <c r="B1" s="822"/>
      <c r="C1" s="822"/>
      <c r="D1" s="822"/>
      <c r="E1" s="822"/>
      <c r="F1" s="822"/>
      <c r="G1" s="822"/>
      <c r="H1" s="822"/>
      <c r="I1" s="822"/>
      <c r="J1" s="823"/>
      <c r="K1" s="857" t="s">
        <v>132</v>
      </c>
      <c r="L1" s="858"/>
      <c r="M1" s="858"/>
      <c r="N1" s="858"/>
      <c r="O1" s="858"/>
      <c r="P1" s="858"/>
      <c r="Q1" s="858"/>
      <c r="R1" s="858"/>
      <c r="S1" s="858"/>
      <c r="T1" s="859"/>
      <c r="U1" s="860" t="s">
        <v>148</v>
      </c>
      <c r="V1" s="861"/>
      <c r="W1" s="861"/>
      <c r="X1" s="861"/>
      <c r="Y1" s="862"/>
      <c r="Z1" s="863" t="str">
        <f>表紙!$AJ$63</f>
        <v>MS</v>
      </c>
      <c r="AA1" s="864"/>
      <c r="AB1" s="864"/>
      <c r="AC1" s="864"/>
      <c r="AD1" s="865"/>
      <c r="AE1" s="866" t="s">
        <v>135</v>
      </c>
      <c r="AF1" s="832"/>
      <c r="AG1" s="832"/>
      <c r="AH1" s="832"/>
      <c r="AI1" s="833"/>
      <c r="AJ1" s="867" t="str">
        <f>表紙!$AX$63</f>
        <v>Webシステム</v>
      </c>
      <c r="AK1" s="868"/>
      <c r="AL1" s="868"/>
      <c r="AM1" s="868"/>
      <c r="AN1" s="868"/>
      <c r="AO1" s="868"/>
      <c r="AP1" s="868"/>
      <c r="AQ1" s="868"/>
      <c r="AR1" s="869"/>
      <c r="AS1" s="830" t="s">
        <v>101</v>
      </c>
      <c r="AT1" s="830"/>
      <c r="AU1" s="830"/>
      <c r="AV1" s="830"/>
      <c r="AW1" s="830"/>
      <c r="AX1" s="830"/>
      <c r="AY1" s="830"/>
      <c r="AZ1" s="831" t="s">
        <v>124</v>
      </c>
      <c r="BA1" s="832"/>
      <c r="BB1" s="832"/>
      <c r="BC1" s="832"/>
      <c r="BD1" s="832"/>
      <c r="BE1" s="833"/>
      <c r="BF1" s="831" t="s">
        <v>149</v>
      </c>
      <c r="BG1" s="832"/>
      <c r="BH1" s="832"/>
      <c r="BI1" s="832"/>
      <c r="BJ1" s="832"/>
      <c r="BK1" s="834"/>
    </row>
    <row r="2" spans="1:101" ht="15.75" customHeight="1">
      <c r="A2" s="824"/>
      <c r="B2" s="825"/>
      <c r="C2" s="825"/>
      <c r="D2" s="825"/>
      <c r="E2" s="825"/>
      <c r="F2" s="825"/>
      <c r="G2" s="825"/>
      <c r="H2" s="825"/>
      <c r="I2" s="825"/>
      <c r="J2" s="826"/>
      <c r="K2" s="835" t="str">
        <f>表紙!O64</f>
        <v>アドオン設計書</v>
      </c>
      <c r="L2" s="836"/>
      <c r="M2" s="836"/>
      <c r="N2" s="836"/>
      <c r="O2" s="836"/>
      <c r="P2" s="836"/>
      <c r="Q2" s="836"/>
      <c r="R2" s="836"/>
      <c r="S2" s="836"/>
      <c r="T2" s="837"/>
      <c r="U2" s="838" t="s">
        <v>150</v>
      </c>
      <c r="V2" s="839"/>
      <c r="W2" s="839"/>
      <c r="X2" s="839"/>
      <c r="Y2" s="840"/>
      <c r="Z2" s="841" t="str">
        <f>表紙!$AJ$64</f>
        <v>MSBB</v>
      </c>
      <c r="AA2" s="842"/>
      <c r="AB2" s="842"/>
      <c r="AC2" s="842"/>
      <c r="AD2" s="843"/>
      <c r="AE2" s="844" t="s">
        <v>141</v>
      </c>
      <c r="AF2" s="845"/>
      <c r="AG2" s="845"/>
      <c r="AH2" s="845"/>
      <c r="AI2" s="846"/>
      <c r="AJ2" s="847" t="str">
        <f>表紙!$AX$64</f>
        <v>販売Webシステム</v>
      </c>
      <c r="AK2" s="848"/>
      <c r="AL2" s="848"/>
      <c r="AM2" s="848"/>
      <c r="AN2" s="848"/>
      <c r="AO2" s="848"/>
      <c r="AP2" s="848"/>
      <c r="AQ2" s="848"/>
      <c r="AR2" s="849"/>
      <c r="AS2" s="850" t="str">
        <f>表紙!$BL$64</f>
        <v>M7-US-1140</v>
      </c>
      <c r="AT2" s="851"/>
      <c r="AU2" s="851"/>
      <c r="AV2" s="851"/>
      <c r="AW2" s="851"/>
      <c r="AX2" s="851"/>
      <c r="AY2" s="851"/>
      <c r="AZ2" s="853" t="str">
        <f>表紙!$BU$64</f>
        <v>7.0.2</v>
      </c>
      <c r="BA2" s="836"/>
      <c r="BB2" s="836"/>
      <c r="BC2" s="836"/>
      <c r="BD2" s="836"/>
      <c r="BE2" s="837"/>
      <c r="BF2" s="870">
        <f>表紙!$CB$64</f>
        <v>2</v>
      </c>
      <c r="BG2" s="836"/>
      <c r="BH2" s="836"/>
      <c r="BI2" s="836"/>
      <c r="BJ2" s="836"/>
      <c r="BK2" s="871"/>
    </row>
    <row r="3" spans="1:101" ht="15.75" customHeight="1" thickBot="1">
      <c r="A3" s="827"/>
      <c r="B3" s="828"/>
      <c r="C3" s="828"/>
      <c r="D3" s="828"/>
      <c r="E3" s="828"/>
      <c r="F3" s="828"/>
      <c r="G3" s="828"/>
      <c r="H3" s="828"/>
      <c r="I3" s="828"/>
      <c r="J3" s="829"/>
      <c r="K3" s="873" t="str">
        <f ca="1">RIGHT(CELL("filename",$A$1),LEN(CELL("filename",$A$1))-FIND("]",CELL("filename",$A$1)))</f>
        <v>処理詳細</v>
      </c>
      <c r="L3" s="874"/>
      <c r="M3" s="874"/>
      <c r="N3" s="874"/>
      <c r="O3" s="874"/>
      <c r="P3" s="874"/>
      <c r="Q3" s="874"/>
      <c r="R3" s="874"/>
      <c r="S3" s="874"/>
      <c r="T3" s="875"/>
      <c r="U3" s="810" t="s">
        <v>146</v>
      </c>
      <c r="V3" s="811"/>
      <c r="W3" s="811"/>
      <c r="X3" s="811"/>
      <c r="Y3" s="812"/>
      <c r="Z3" s="813" t="str">
        <f>表紙!$AJ$65</f>
        <v>MSBBPA120</v>
      </c>
      <c r="AA3" s="814"/>
      <c r="AB3" s="814"/>
      <c r="AC3" s="814"/>
      <c r="AD3" s="814"/>
      <c r="AE3" s="815" t="str">
        <f>表紙!$AQ$65</f>
        <v>Web取引先マスタ一覧照会</v>
      </c>
      <c r="AF3" s="816"/>
      <c r="AG3" s="816"/>
      <c r="AH3" s="816"/>
      <c r="AI3" s="816"/>
      <c r="AJ3" s="816"/>
      <c r="AK3" s="816"/>
      <c r="AL3" s="816"/>
      <c r="AM3" s="816"/>
      <c r="AN3" s="816"/>
      <c r="AO3" s="816"/>
      <c r="AP3" s="816"/>
      <c r="AQ3" s="816"/>
      <c r="AR3" s="817"/>
      <c r="AS3" s="852"/>
      <c r="AT3" s="852"/>
      <c r="AU3" s="852"/>
      <c r="AV3" s="852"/>
      <c r="AW3" s="852"/>
      <c r="AX3" s="852"/>
      <c r="AY3" s="852"/>
      <c r="AZ3" s="854"/>
      <c r="BA3" s="855"/>
      <c r="BB3" s="855"/>
      <c r="BC3" s="855"/>
      <c r="BD3" s="855"/>
      <c r="BE3" s="856"/>
      <c r="BF3" s="854"/>
      <c r="BG3" s="855"/>
      <c r="BH3" s="855"/>
      <c r="BI3" s="855"/>
      <c r="BJ3" s="855"/>
      <c r="BK3" s="872"/>
    </row>
    <row r="4" spans="1:101" ht="6.75" customHeight="1" thickBot="1">
      <c r="B4" s="150"/>
      <c r="C4" s="151"/>
      <c r="D4" s="151"/>
      <c r="E4" s="151"/>
      <c r="F4" s="152"/>
      <c r="G4" s="152"/>
      <c r="H4" s="152"/>
      <c r="I4" s="152"/>
      <c r="J4" s="151"/>
      <c r="K4" s="152"/>
      <c r="L4" s="152"/>
      <c r="M4" s="152"/>
      <c r="N4" s="152"/>
      <c r="O4" s="152"/>
      <c r="P4" s="152"/>
      <c r="Q4" s="153"/>
    </row>
    <row r="5" spans="1:101" ht="15.75" customHeight="1" thickBot="1">
      <c r="A5" s="186" t="s">
        <v>658</v>
      </c>
      <c r="B5" s="187" t="s">
        <v>659</v>
      </c>
      <c r="C5" s="187"/>
      <c r="D5" s="187"/>
      <c r="E5" s="187"/>
      <c r="F5" s="187"/>
      <c r="G5" s="187"/>
      <c r="H5" s="187"/>
      <c r="I5" s="188"/>
      <c r="J5" s="187" t="s">
        <v>660</v>
      </c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8"/>
      <c r="BD5" s="187" t="s">
        <v>661</v>
      </c>
      <c r="BE5" s="187"/>
      <c r="BF5" s="187"/>
      <c r="BG5" s="187"/>
      <c r="BH5" s="187"/>
      <c r="BI5" s="187"/>
      <c r="BJ5" s="187"/>
      <c r="BK5" s="189"/>
      <c r="BL5" s="154"/>
    </row>
    <row r="6" spans="1:101" ht="15.75" customHeight="1" thickTop="1">
      <c r="A6" s="982" t="s">
        <v>662</v>
      </c>
      <c r="B6" s="983" t="s">
        <v>663</v>
      </c>
      <c r="C6" s="983"/>
      <c r="D6" s="983"/>
      <c r="E6" s="983"/>
      <c r="F6" s="983"/>
      <c r="G6" s="983"/>
      <c r="H6" s="983"/>
      <c r="I6" s="983"/>
      <c r="J6" s="983"/>
      <c r="K6" s="983"/>
      <c r="L6" s="984"/>
      <c r="M6" s="984"/>
      <c r="N6" s="984"/>
      <c r="O6" s="984"/>
      <c r="P6" s="984"/>
      <c r="Q6" s="984"/>
      <c r="R6" s="984"/>
      <c r="S6" s="984"/>
      <c r="T6" s="984"/>
      <c r="U6" s="984"/>
      <c r="V6" s="984"/>
      <c r="W6" s="984"/>
      <c r="X6" s="984"/>
      <c r="Y6" s="984"/>
      <c r="Z6" s="984"/>
      <c r="AA6" s="984"/>
      <c r="AB6" s="984"/>
      <c r="AC6" s="984"/>
      <c r="AD6" s="984"/>
      <c r="AE6" s="984"/>
      <c r="AF6" s="984"/>
      <c r="AG6" s="984"/>
      <c r="AH6" s="984"/>
      <c r="AI6" s="984"/>
      <c r="AJ6" s="984"/>
      <c r="AK6" s="984"/>
      <c r="AL6" s="984"/>
      <c r="AM6" s="984"/>
      <c r="AN6" s="984"/>
      <c r="AO6" s="984"/>
      <c r="AP6" s="984"/>
      <c r="AQ6" s="984"/>
      <c r="AR6" s="984"/>
      <c r="AS6" s="984"/>
      <c r="AT6" s="984"/>
      <c r="AU6" s="984"/>
      <c r="AV6" s="984"/>
      <c r="AW6" s="984"/>
      <c r="AX6" s="984"/>
      <c r="AY6" s="984"/>
      <c r="AZ6" s="984"/>
      <c r="BA6" s="984"/>
      <c r="BB6" s="984"/>
      <c r="BC6" s="984"/>
      <c r="BD6" s="984"/>
      <c r="BE6" s="984"/>
      <c r="BF6" s="984"/>
      <c r="BG6" s="984"/>
      <c r="BH6" s="984"/>
      <c r="BI6" s="984"/>
      <c r="BJ6" s="984"/>
      <c r="BK6" s="985"/>
    </row>
    <row r="7" spans="1:101" ht="15.75" customHeight="1">
      <c r="A7" s="986"/>
      <c r="B7" s="987"/>
      <c r="C7" s="988"/>
      <c r="D7" s="988"/>
      <c r="E7" s="988"/>
      <c r="F7" s="988"/>
      <c r="G7" s="988"/>
      <c r="H7" s="988"/>
      <c r="I7" s="989"/>
      <c r="J7" s="990" t="s">
        <v>664</v>
      </c>
      <c r="K7" s="990"/>
      <c r="L7" s="990" t="s">
        <v>665</v>
      </c>
      <c r="M7" s="988"/>
      <c r="N7" s="988"/>
      <c r="O7" s="988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8"/>
      <c r="AK7" s="988"/>
      <c r="AL7" s="988"/>
      <c r="AM7" s="988"/>
      <c r="AN7" s="988"/>
      <c r="AO7" s="988"/>
      <c r="AP7" s="988"/>
      <c r="AQ7" s="988"/>
      <c r="AR7" s="988"/>
      <c r="AS7" s="988"/>
      <c r="AT7" s="988"/>
      <c r="AU7" s="988"/>
      <c r="AV7" s="988"/>
      <c r="AW7" s="988"/>
      <c r="AX7" s="988"/>
      <c r="AY7" s="988"/>
      <c r="AZ7" s="988"/>
      <c r="BA7" s="988"/>
      <c r="BB7" s="988"/>
      <c r="BC7" s="988"/>
      <c r="BD7" s="987"/>
      <c r="BE7" s="988"/>
      <c r="BF7" s="988"/>
      <c r="BG7" s="988"/>
      <c r="BH7" s="988"/>
      <c r="BI7" s="988"/>
      <c r="BJ7" s="988"/>
      <c r="BK7" s="991"/>
    </row>
    <row r="8" spans="1:101" ht="15.75" customHeight="1">
      <c r="A8" s="986"/>
      <c r="B8" s="988"/>
      <c r="C8" s="988"/>
      <c r="D8" s="988"/>
      <c r="E8" s="988"/>
      <c r="F8" s="988"/>
      <c r="G8" s="988"/>
      <c r="H8" s="988"/>
      <c r="I8" s="989"/>
      <c r="J8" s="990"/>
      <c r="K8" s="990"/>
      <c r="L8" s="990"/>
      <c r="M8" s="990"/>
      <c r="N8" s="990"/>
      <c r="O8" s="990"/>
      <c r="P8" s="990"/>
      <c r="Q8" s="990"/>
      <c r="R8" s="990"/>
      <c r="S8" s="990"/>
      <c r="T8" s="959"/>
      <c r="U8" s="990"/>
      <c r="V8" s="990"/>
      <c r="W8" s="990"/>
      <c r="X8" s="988"/>
      <c r="Y8" s="990"/>
      <c r="Z8" s="990"/>
      <c r="AA8" s="990"/>
      <c r="AB8" s="990"/>
      <c r="AC8" s="990"/>
      <c r="AD8" s="990"/>
      <c r="AE8" s="990"/>
      <c r="AF8" s="990"/>
      <c r="AG8" s="990"/>
      <c r="AH8" s="990"/>
      <c r="AI8" s="990"/>
      <c r="AJ8" s="990"/>
      <c r="AK8" s="990"/>
      <c r="AL8" s="990"/>
      <c r="AM8" s="990"/>
      <c r="AN8" s="990"/>
      <c r="AO8" s="988"/>
      <c r="AP8" s="988"/>
      <c r="AQ8" s="988"/>
      <c r="AR8" s="988"/>
      <c r="AS8" s="988"/>
      <c r="AT8" s="988"/>
      <c r="AU8" s="990"/>
      <c r="AV8" s="990"/>
      <c r="AW8" s="988"/>
      <c r="AX8" s="988"/>
      <c r="AY8" s="988"/>
      <c r="AZ8" s="988"/>
      <c r="BA8" s="988"/>
      <c r="BB8" s="988"/>
      <c r="BC8" s="989"/>
      <c r="BD8" s="988"/>
      <c r="BE8" s="988"/>
      <c r="BF8" s="988"/>
      <c r="BG8" s="988"/>
      <c r="BH8" s="988"/>
      <c r="BI8" s="988"/>
      <c r="BJ8" s="988"/>
      <c r="BK8" s="991"/>
    </row>
    <row r="9" spans="1:101" ht="15.75" customHeight="1">
      <c r="A9" s="992"/>
      <c r="B9" s="988"/>
      <c r="C9" s="988"/>
      <c r="D9" s="988"/>
      <c r="E9" s="988"/>
      <c r="F9" s="988"/>
      <c r="G9" s="988"/>
      <c r="H9" s="988"/>
      <c r="I9" s="989"/>
      <c r="J9" s="993"/>
      <c r="K9" s="993"/>
      <c r="L9" s="993"/>
      <c r="M9" s="993"/>
      <c r="N9" s="993"/>
      <c r="O9" s="993"/>
      <c r="P9" s="993"/>
      <c r="Q9" s="993"/>
      <c r="R9" s="993"/>
      <c r="S9" s="993"/>
      <c r="T9" s="993"/>
      <c r="U9" s="993"/>
      <c r="V9" s="993"/>
      <c r="W9" s="993"/>
      <c r="X9" s="993"/>
      <c r="Y9" s="993"/>
      <c r="Z9" s="993"/>
      <c r="AA9" s="993"/>
      <c r="AB9" s="993"/>
      <c r="AC9" s="993"/>
      <c r="AD9" s="993"/>
      <c r="AE9" s="993"/>
      <c r="AF9" s="993"/>
      <c r="AG9" s="993"/>
      <c r="AH9" s="993"/>
      <c r="AI9" s="993"/>
      <c r="AJ9" s="993"/>
      <c r="AK9" s="993"/>
      <c r="AL9" s="993"/>
      <c r="AM9" s="993"/>
      <c r="AN9" s="993"/>
      <c r="AO9" s="993"/>
      <c r="AP9" s="993"/>
      <c r="AQ9" s="993"/>
      <c r="AR9" s="993"/>
      <c r="AS9" s="993"/>
      <c r="AT9" s="993"/>
      <c r="AU9" s="993"/>
      <c r="AV9" s="993"/>
      <c r="AW9" s="993"/>
      <c r="AX9" s="993"/>
      <c r="AY9" s="993"/>
      <c r="AZ9" s="993"/>
      <c r="BA9" s="993"/>
      <c r="BB9" s="993"/>
      <c r="BC9" s="994"/>
      <c r="BD9" s="988"/>
      <c r="BE9" s="988"/>
      <c r="BF9" s="988"/>
      <c r="BG9" s="988"/>
      <c r="BH9" s="988"/>
      <c r="BI9" s="988"/>
      <c r="BJ9" s="988"/>
      <c r="BK9" s="991"/>
    </row>
    <row r="10" spans="1:101" ht="15.75" customHeight="1">
      <c r="A10" s="986" t="s">
        <v>666</v>
      </c>
      <c r="B10" s="983" t="s">
        <v>667</v>
      </c>
      <c r="C10" s="983"/>
      <c r="D10" s="983"/>
      <c r="E10" s="983"/>
      <c r="F10" s="983"/>
      <c r="G10" s="983"/>
      <c r="H10" s="983"/>
      <c r="I10" s="983"/>
      <c r="J10" s="983"/>
      <c r="K10" s="983"/>
      <c r="L10" s="984"/>
      <c r="M10" s="984"/>
      <c r="N10" s="984"/>
      <c r="O10" s="984"/>
      <c r="P10" s="984"/>
      <c r="Q10" s="984"/>
      <c r="R10" s="984"/>
      <c r="S10" s="984"/>
      <c r="T10" s="984"/>
      <c r="U10" s="984"/>
      <c r="V10" s="984"/>
      <c r="W10" s="984"/>
      <c r="X10" s="984"/>
      <c r="Y10" s="984"/>
      <c r="Z10" s="984"/>
      <c r="AA10" s="984"/>
      <c r="AB10" s="984"/>
      <c r="AC10" s="984"/>
      <c r="AD10" s="984"/>
      <c r="AE10" s="984"/>
      <c r="AF10" s="984"/>
      <c r="AG10" s="984"/>
      <c r="AH10" s="984"/>
      <c r="AI10" s="984"/>
      <c r="AJ10" s="984"/>
      <c r="AK10" s="984"/>
      <c r="AL10" s="984"/>
      <c r="AM10" s="984"/>
      <c r="AN10" s="984"/>
      <c r="AO10" s="984"/>
      <c r="AP10" s="984"/>
      <c r="AQ10" s="984"/>
      <c r="AR10" s="984"/>
      <c r="AS10" s="984"/>
      <c r="AT10" s="984"/>
      <c r="AU10" s="984"/>
      <c r="AV10" s="984"/>
      <c r="AW10" s="984"/>
      <c r="AX10" s="984"/>
      <c r="AY10" s="984"/>
      <c r="AZ10" s="984"/>
      <c r="BA10" s="984"/>
      <c r="BB10" s="984"/>
      <c r="BC10" s="984"/>
      <c r="BD10" s="984"/>
      <c r="BE10" s="984"/>
      <c r="BF10" s="984"/>
      <c r="BG10" s="984"/>
      <c r="BH10" s="984"/>
      <c r="BI10" s="984"/>
      <c r="BJ10" s="984"/>
      <c r="BK10" s="985"/>
    </row>
    <row r="11" spans="1:101" ht="15.75" customHeight="1">
      <c r="A11" s="986"/>
      <c r="B11" s="987"/>
      <c r="C11" s="988"/>
      <c r="D11" s="988"/>
      <c r="E11" s="988"/>
      <c r="F11" s="988"/>
      <c r="G11" s="988"/>
      <c r="H11" s="988"/>
      <c r="I11" s="989"/>
      <c r="J11" s="990" t="s">
        <v>668</v>
      </c>
      <c r="K11" s="990"/>
      <c r="L11" s="990" t="s">
        <v>665</v>
      </c>
      <c r="M11" s="990"/>
      <c r="N11" s="990"/>
      <c r="O11" s="990"/>
      <c r="P11" s="990"/>
      <c r="Q11" s="990"/>
      <c r="R11" s="990"/>
      <c r="S11" s="990"/>
      <c r="T11" s="990"/>
      <c r="U11" s="990"/>
      <c r="V11" s="990"/>
      <c r="W11" s="990"/>
      <c r="X11" s="990"/>
      <c r="Y11" s="990"/>
      <c r="Z11" s="990"/>
      <c r="AA11" s="990"/>
      <c r="AB11" s="990"/>
      <c r="AC11" s="990"/>
      <c r="AD11" s="990"/>
      <c r="AE11" s="990"/>
      <c r="AF11" s="990"/>
      <c r="AG11" s="990"/>
      <c r="AH11" s="990"/>
      <c r="AI11" s="990"/>
      <c r="AJ11" s="990"/>
      <c r="AK11" s="990"/>
      <c r="AL11" s="990"/>
      <c r="AM11" s="990"/>
      <c r="AN11" s="990"/>
      <c r="AO11" s="988"/>
      <c r="AP11" s="988"/>
      <c r="AQ11" s="988"/>
      <c r="AR11" s="988"/>
      <c r="AS11" s="988"/>
      <c r="AT11" s="988"/>
      <c r="AU11" s="988"/>
      <c r="AV11" s="988"/>
      <c r="AW11" s="988"/>
      <c r="AX11" s="988"/>
      <c r="AY11" s="988"/>
      <c r="AZ11" s="988"/>
      <c r="BA11" s="988"/>
      <c r="BB11" s="988"/>
      <c r="BC11" s="988"/>
      <c r="BD11" s="987"/>
      <c r="BE11" s="988"/>
      <c r="BF11" s="988"/>
      <c r="BG11" s="988"/>
      <c r="BH11" s="988"/>
      <c r="BI11" s="988"/>
      <c r="BJ11" s="988"/>
      <c r="BK11" s="991"/>
    </row>
    <row r="12" spans="1:101" ht="15.75" customHeight="1">
      <c r="A12" s="986"/>
      <c r="B12" s="987"/>
      <c r="C12" s="988"/>
      <c r="D12" s="988"/>
      <c r="E12" s="988"/>
      <c r="F12" s="988"/>
      <c r="G12" s="988"/>
      <c r="H12" s="988"/>
      <c r="I12" s="989"/>
      <c r="J12" s="990"/>
      <c r="K12" s="990"/>
      <c r="L12" s="990"/>
      <c r="M12" s="990"/>
      <c r="N12" s="990"/>
      <c r="O12" s="990"/>
      <c r="P12" s="990"/>
      <c r="Q12" s="990"/>
      <c r="R12" s="990"/>
      <c r="S12" s="990"/>
      <c r="T12" s="990"/>
      <c r="U12" s="990"/>
      <c r="V12" s="990"/>
      <c r="W12" s="990"/>
      <c r="X12" s="990"/>
      <c r="Y12" s="990"/>
      <c r="Z12" s="990"/>
      <c r="AA12" s="990"/>
      <c r="AB12" s="990"/>
      <c r="AC12" s="990"/>
      <c r="AD12" s="990"/>
      <c r="AE12" s="990"/>
      <c r="AF12" s="990"/>
      <c r="AG12" s="990"/>
      <c r="AH12" s="990"/>
      <c r="AI12" s="990"/>
      <c r="AJ12" s="990"/>
      <c r="AK12" s="990"/>
      <c r="AL12" s="990"/>
      <c r="AM12" s="990"/>
      <c r="AN12" s="990"/>
      <c r="AO12" s="988"/>
      <c r="AP12" s="988"/>
      <c r="AQ12" s="988"/>
      <c r="AR12" s="988"/>
      <c r="AS12" s="988"/>
      <c r="AT12" s="988"/>
      <c r="AU12" s="988"/>
      <c r="AV12" s="988"/>
      <c r="AW12" s="988"/>
      <c r="AX12" s="988"/>
      <c r="AY12" s="988"/>
      <c r="AZ12" s="988"/>
      <c r="BA12" s="988"/>
      <c r="BB12" s="988"/>
      <c r="BC12" s="988"/>
      <c r="BD12" s="987"/>
      <c r="BE12" s="988"/>
      <c r="BF12" s="988"/>
      <c r="BG12" s="988"/>
      <c r="BH12" s="988"/>
      <c r="BI12" s="988"/>
      <c r="BJ12" s="988"/>
      <c r="BK12" s="991"/>
    </row>
    <row r="13" spans="1:101" ht="15.75" customHeight="1">
      <c r="A13" s="986"/>
      <c r="B13" s="987"/>
      <c r="C13" s="988"/>
      <c r="D13" s="988"/>
      <c r="E13" s="988"/>
      <c r="F13" s="988"/>
      <c r="G13" s="988"/>
      <c r="H13" s="988"/>
      <c r="I13" s="989"/>
      <c r="J13" s="990"/>
      <c r="K13" s="990"/>
      <c r="L13" s="990"/>
      <c r="M13" s="990"/>
      <c r="N13" s="990"/>
      <c r="O13" s="990"/>
      <c r="P13" s="990"/>
      <c r="Q13" s="990"/>
      <c r="R13" s="990"/>
      <c r="S13" s="990"/>
      <c r="T13" s="990"/>
      <c r="U13" s="990"/>
      <c r="V13" s="995"/>
      <c r="W13" s="995"/>
      <c r="X13" s="988"/>
      <c r="Y13" s="990"/>
      <c r="Z13" s="990"/>
      <c r="AA13" s="990"/>
      <c r="AB13" s="990"/>
      <c r="AC13" s="990"/>
      <c r="AD13" s="990"/>
      <c r="AE13" s="990"/>
      <c r="AF13" s="990"/>
      <c r="AG13" s="990"/>
      <c r="AH13" s="990"/>
      <c r="AI13" s="990"/>
      <c r="AJ13" s="990"/>
      <c r="AK13" s="990"/>
      <c r="AL13" s="990"/>
      <c r="AM13" s="990"/>
      <c r="AN13" s="990"/>
      <c r="AO13" s="988"/>
      <c r="AP13" s="988"/>
      <c r="AQ13" s="988"/>
      <c r="AR13" s="988"/>
      <c r="AS13" s="988"/>
      <c r="AT13" s="988"/>
      <c r="AU13" s="988"/>
      <c r="AV13" s="988"/>
      <c r="AW13" s="988"/>
      <c r="AX13" s="988"/>
      <c r="AY13" s="988"/>
      <c r="AZ13" s="988"/>
      <c r="BA13" s="988"/>
      <c r="BB13" s="988"/>
      <c r="BC13" s="988"/>
      <c r="BD13" s="987"/>
      <c r="BE13" s="988"/>
      <c r="BF13" s="988"/>
      <c r="BG13" s="988"/>
      <c r="BH13" s="988"/>
      <c r="BI13" s="988"/>
      <c r="BJ13" s="988"/>
      <c r="BK13" s="991"/>
    </row>
    <row r="14" spans="1:101" ht="15.75" customHeight="1">
      <c r="A14" s="996">
        <v>3</v>
      </c>
      <c r="B14" s="997" t="s">
        <v>656</v>
      </c>
      <c r="C14" s="998"/>
      <c r="D14" s="998"/>
      <c r="E14" s="998"/>
      <c r="F14" s="998"/>
      <c r="G14" s="998"/>
      <c r="H14" s="998"/>
      <c r="I14" s="998"/>
      <c r="J14" s="998"/>
      <c r="K14" s="998"/>
      <c r="L14" s="998"/>
      <c r="M14" s="998"/>
      <c r="N14" s="998"/>
      <c r="O14" s="998"/>
      <c r="P14" s="998"/>
      <c r="Q14" s="998"/>
      <c r="R14" s="998"/>
      <c r="S14" s="998"/>
      <c r="T14" s="998"/>
      <c r="U14" s="998"/>
      <c r="V14" s="998"/>
      <c r="W14" s="998"/>
      <c r="X14" s="998"/>
      <c r="Y14" s="998"/>
      <c r="Z14" s="998"/>
      <c r="AA14" s="998"/>
      <c r="AB14" s="998"/>
      <c r="AC14" s="998"/>
      <c r="AD14" s="998"/>
      <c r="AE14" s="998"/>
      <c r="AF14" s="998"/>
      <c r="AG14" s="998"/>
      <c r="AH14" s="998"/>
      <c r="AI14" s="998"/>
      <c r="AJ14" s="998"/>
      <c r="AK14" s="998"/>
      <c r="AL14" s="998"/>
      <c r="AM14" s="998"/>
      <c r="AN14" s="998"/>
      <c r="AO14" s="998"/>
      <c r="AP14" s="998"/>
      <c r="AQ14" s="998"/>
      <c r="AR14" s="998"/>
      <c r="AS14" s="998"/>
      <c r="AT14" s="998"/>
      <c r="AU14" s="998"/>
      <c r="AV14" s="998"/>
      <c r="AW14" s="998"/>
      <c r="AX14" s="998"/>
      <c r="AY14" s="998"/>
      <c r="AZ14" s="998"/>
      <c r="BA14" s="998"/>
      <c r="BB14" s="998"/>
      <c r="BC14" s="998"/>
      <c r="BD14" s="998"/>
      <c r="BE14" s="998"/>
      <c r="BF14" s="998"/>
      <c r="BG14" s="998"/>
      <c r="BH14" s="998"/>
      <c r="BI14" s="998"/>
      <c r="BJ14" s="998"/>
      <c r="BK14" s="999"/>
      <c r="BL14" s="959"/>
      <c r="BM14" s="1000"/>
      <c r="BN14" s="1000"/>
      <c r="BO14" s="1000"/>
      <c r="BP14" s="1000"/>
      <c r="BQ14" s="1000"/>
      <c r="BR14" s="1000"/>
      <c r="BS14" s="1000"/>
      <c r="BT14" s="1000"/>
      <c r="BU14" s="1000"/>
      <c r="BV14" s="1000"/>
      <c r="BW14" s="1000"/>
      <c r="BX14" s="1000"/>
      <c r="BY14" s="1000"/>
      <c r="BZ14" s="1000"/>
      <c r="CA14" s="1000"/>
      <c r="CB14" s="1000"/>
      <c r="CC14" s="1000"/>
      <c r="CD14" s="1000"/>
      <c r="CE14" s="1000"/>
      <c r="CF14" s="1000"/>
      <c r="CG14" s="1000"/>
      <c r="CH14" s="1000"/>
      <c r="CI14" s="1000"/>
      <c r="CJ14" s="1000"/>
      <c r="CK14" s="1000"/>
      <c r="CL14" s="1000"/>
      <c r="CM14" s="1000"/>
      <c r="CN14" s="1000"/>
      <c r="CO14" s="1000"/>
      <c r="CP14" s="1000"/>
      <c r="CQ14" s="1000"/>
      <c r="CR14" s="1000"/>
      <c r="CS14" s="1000"/>
      <c r="CT14" s="1000"/>
      <c r="CU14" s="1000"/>
      <c r="CV14" s="1000"/>
      <c r="CW14" s="1000"/>
    </row>
    <row r="15" spans="1:101" ht="15.75" customHeight="1">
      <c r="A15" s="986"/>
      <c r="B15" s="987"/>
      <c r="C15" s="988"/>
      <c r="D15" s="988"/>
      <c r="E15" s="988"/>
      <c r="F15" s="988"/>
      <c r="G15" s="988"/>
      <c r="H15" s="988"/>
      <c r="I15" s="989"/>
      <c r="J15" s="990" t="s">
        <v>669</v>
      </c>
      <c r="K15" s="990"/>
      <c r="L15" s="990" t="s">
        <v>670</v>
      </c>
      <c r="M15" s="990"/>
      <c r="N15" s="990"/>
      <c r="O15" s="990"/>
      <c r="P15" s="990"/>
      <c r="Q15" s="990"/>
      <c r="R15" s="990"/>
      <c r="S15" s="990"/>
      <c r="T15" s="995"/>
      <c r="U15" s="1001"/>
      <c r="V15" s="988"/>
      <c r="W15" s="990"/>
      <c r="X15" s="990"/>
      <c r="Y15" s="990"/>
      <c r="Z15" s="990"/>
      <c r="AA15" s="990"/>
      <c r="AB15" s="990"/>
      <c r="AC15" s="990"/>
      <c r="AD15" s="990"/>
      <c r="AE15" s="990"/>
      <c r="AF15" s="990"/>
      <c r="AG15" s="990"/>
      <c r="AH15" s="990"/>
      <c r="AI15" s="990"/>
      <c r="AJ15" s="990"/>
      <c r="AK15" s="1002"/>
      <c r="AL15" s="1002"/>
      <c r="AM15" s="1002"/>
      <c r="AN15" s="1003"/>
      <c r="AO15" s="1003"/>
      <c r="AP15" s="1003"/>
      <c r="AQ15" s="988"/>
      <c r="AR15" s="988"/>
      <c r="AS15" s="988"/>
      <c r="AT15" s="988"/>
      <c r="AU15" s="988"/>
      <c r="AV15" s="988"/>
      <c r="AW15" s="988"/>
      <c r="AX15" s="988"/>
      <c r="AY15" s="988"/>
      <c r="AZ15" s="988"/>
      <c r="BA15" s="988"/>
      <c r="BB15" s="988"/>
      <c r="BC15" s="988"/>
      <c r="BD15" s="987"/>
      <c r="BE15" s="988"/>
      <c r="BF15" s="988"/>
      <c r="BG15" s="988"/>
      <c r="BH15" s="988"/>
      <c r="BI15" s="988"/>
      <c r="BJ15" s="988"/>
      <c r="BK15" s="991"/>
    </row>
    <row r="16" spans="1:101" ht="15.75" customHeight="1">
      <c r="A16" s="986"/>
      <c r="B16" s="988"/>
      <c r="C16" s="988"/>
      <c r="D16" s="988"/>
      <c r="E16" s="988"/>
      <c r="F16" s="988"/>
      <c r="G16" s="988"/>
      <c r="H16" s="988"/>
      <c r="I16" s="989"/>
      <c r="J16" s="990"/>
      <c r="K16" s="990"/>
      <c r="L16" s="990" t="s">
        <v>848</v>
      </c>
      <c r="M16" s="990"/>
      <c r="N16" s="990"/>
      <c r="O16" s="990"/>
      <c r="P16" s="990"/>
      <c r="Q16" s="990"/>
      <c r="R16" s="990"/>
      <c r="S16" s="1004"/>
      <c r="T16" s="990"/>
      <c r="U16" s="990"/>
      <c r="V16" s="990"/>
      <c r="W16" s="990"/>
      <c r="X16" s="990"/>
      <c r="Y16" s="990"/>
      <c r="Z16" s="990"/>
      <c r="AA16" s="990"/>
      <c r="AB16" s="990"/>
      <c r="AC16" s="990"/>
      <c r="AD16" s="990"/>
      <c r="AE16" s="990"/>
      <c r="AF16" s="990"/>
      <c r="AG16" s="990"/>
      <c r="AH16" s="990"/>
      <c r="AI16" s="990"/>
      <c r="AJ16" s="990"/>
      <c r="AK16" s="990"/>
      <c r="AL16" s="990"/>
      <c r="AM16" s="990"/>
      <c r="AN16" s="959"/>
      <c r="AO16" s="988"/>
      <c r="AP16" s="988"/>
      <c r="AQ16" s="988"/>
      <c r="AR16" s="988"/>
      <c r="AS16" s="988"/>
      <c r="AT16" s="988"/>
      <c r="AU16" s="990"/>
      <c r="AV16" s="990"/>
      <c r="AW16" s="988"/>
      <c r="AX16" s="988"/>
      <c r="AY16" s="988"/>
      <c r="AZ16" s="988"/>
      <c r="BA16" s="988"/>
      <c r="BB16" s="988"/>
      <c r="BC16" s="989"/>
      <c r="BD16" s="988"/>
      <c r="BE16" s="988"/>
      <c r="BF16" s="988"/>
      <c r="BG16" s="988"/>
      <c r="BH16" s="988"/>
      <c r="BI16" s="988"/>
      <c r="BJ16" s="988"/>
      <c r="BK16" s="991"/>
    </row>
    <row r="17" spans="1:63" ht="15.75" customHeight="1">
      <c r="A17" s="986"/>
      <c r="B17" s="988"/>
      <c r="C17" s="988"/>
      <c r="D17" s="988"/>
      <c r="E17" s="988"/>
      <c r="F17" s="988"/>
      <c r="G17" s="988"/>
      <c r="H17" s="988"/>
      <c r="I17" s="989"/>
      <c r="J17" s="990"/>
      <c r="K17" s="990"/>
      <c r="L17" s="990"/>
      <c r="M17" s="990" t="s">
        <v>672</v>
      </c>
      <c r="N17" s="990" t="s">
        <v>850</v>
      </c>
      <c r="O17" s="990"/>
      <c r="P17" s="990"/>
      <c r="Q17" s="990"/>
      <c r="R17" s="990"/>
      <c r="S17" s="1004"/>
      <c r="T17" s="990"/>
      <c r="U17" s="990"/>
      <c r="V17" s="990"/>
      <c r="W17" s="990"/>
      <c r="X17" s="990"/>
      <c r="Y17" s="990"/>
      <c r="Z17" s="990"/>
      <c r="AA17" s="990"/>
      <c r="AB17" s="990"/>
      <c r="AC17" s="990"/>
      <c r="AD17" s="990"/>
      <c r="AE17" s="990"/>
      <c r="AF17" s="990"/>
      <c r="AG17" s="990"/>
      <c r="AH17" s="990"/>
      <c r="AI17" s="990"/>
      <c r="AJ17" s="990"/>
      <c r="AK17" s="990"/>
      <c r="AL17" s="990"/>
      <c r="AM17" s="990"/>
      <c r="AN17" s="959"/>
      <c r="AO17" s="988"/>
      <c r="AP17" s="988"/>
      <c r="AQ17" s="988"/>
      <c r="AR17" s="988"/>
      <c r="AS17" s="988"/>
      <c r="AT17" s="988"/>
      <c r="AU17" s="990"/>
      <c r="AV17" s="990"/>
      <c r="AW17" s="988"/>
      <c r="AX17" s="988"/>
      <c r="AY17" s="988"/>
      <c r="AZ17" s="988"/>
      <c r="BA17" s="988"/>
      <c r="BB17" s="988"/>
      <c r="BC17" s="989"/>
      <c r="BD17" s="988"/>
      <c r="BE17" s="988"/>
      <c r="BF17" s="988"/>
      <c r="BG17" s="988"/>
      <c r="BH17" s="988"/>
      <c r="BI17" s="988"/>
      <c r="BJ17" s="988"/>
      <c r="BK17" s="991"/>
    </row>
    <row r="18" spans="1:63" ht="15.75" customHeight="1">
      <c r="A18" s="986"/>
      <c r="B18" s="988"/>
      <c r="C18" s="988"/>
      <c r="D18" s="988"/>
      <c r="E18" s="988"/>
      <c r="F18" s="988"/>
      <c r="G18" s="988"/>
      <c r="H18" s="988"/>
      <c r="I18" s="989"/>
      <c r="J18" s="990"/>
      <c r="K18" s="990"/>
      <c r="L18" s="990"/>
      <c r="M18" s="990"/>
      <c r="N18" s="990" t="s">
        <v>674</v>
      </c>
      <c r="O18" s="990"/>
      <c r="P18" s="990"/>
      <c r="Q18" s="990"/>
      <c r="R18" s="990"/>
      <c r="S18" s="1004"/>
      <c r="T18" s="990"/>
      <c r="U18" s="990"/>
      <c r="V18" s="990"/>
      <c r="W18" s="990"/>
      <c r="X18" s="990"/>
      <c r="Y18" s="990"/>
      <c r="Z18" s="990"/>
      <c r="AA18" s="990"/>
      <c r="AB18" s="990"/>
      <c r="AC18" s="990"/>
      <c r="AD18" s="990"/>
      <c r="AE18" s="990"/>
      <c r="AF18" s="990"/>
      <c r="AG18" s="990"/>
      <c r="AH18" s="990"/>
      <c r="AI18" s="990"/>
      <c r="AJ18" s="990"/>
      <c r="AK18" s="990"/>
      <c r="AL18" s="990"/>
      <c r="AM18" s="990"/>
      <c r="AN18" s="959"/>
      <c r="AO18" s="988"/>
      <c r="AP18" s="988"/>
      <c r="AQ18" s="988"/>
      <c r="AR18" s="988"/>
      <c r="AS18" s="988"/>
      <c r="AT18" s="988"/>
      <c r="AU18" s="990"/>
      <c r="AV18" s="990"/>
      <c r="AW18" s="988"/>
      <c r="AX18" s="988"/>
      <c r="AY18" s="988"/>
      <c r="AZ18" s="988"/>
      <c r="BA18" s="988"/>
      <c r="BB18" s="988"/>
      <c r="BC18" s="989"/>
      <c r="BD18" s="988"/>
      <c r="BE18" s="988"/>
      <c r="BF18" s="988"/>
      <c r="BG18" s="988"/>
      <c r="BH18" s="988"/>
      <c r="BI18" s="988"/>
      <c r="BJ18" s="988"/>
      <c r="BK18" s="991"/>
    </row>
    <row r="19" spans="1:63" ht="15.75" customHeight="1">
      <c r="A19" s="986"/>
      <c r="B19" s="988"/>
      <c r="C19" s="988"/>
      <c r="D19" s="988"/>
      <c r="E19" s="988"/>
      <c r="F19" s="988"/>
      <c r="G19" s="988"/>
      <c r="H19" s="988"/>
      <c r="I19" s="989"/>
      <c r="J19" s="990"/>
      <c r="K19" s="990"/>
      <c r="L19" s="990"/>
      <c r="M19" s="990"/>
      <c r="N19" s="990"/>
      <c r="O19" s="990"/>
      <c r="P19" s="990"/>
      <c r="Q19" s="990"/>
      <c r="R19" s="990"/>
      <c r="S19" s="1004"/>
      <c r="T19" s="990"/>
      <c r="U19" s="990"/>
      <c r="V19" s="990"/>
      <c r="W19" s="990"/>
      <c r="X19" s="990"/>
      <c r="Y19" s="990"/>
      <c r="Z19" s="990"/>
      <c r="AA19" s="990"/>
      <c r="AB19" s="990"/>
      <c r="AC19" s="990"/>
      <c r="AD19" s="990"/>
      <c r="AE19" s="990"/>
      <c r="AF19" s="990"/>
      <c r="AG19" s="990"/>
      <c r="AH19" s="990"/>
      <c r="AI19" s="990"/>
      <c r="AJ19" s="990"/>
      <c r="AK19" s="990"/>
      <c r="AL19" s="990"/>
      <c r="AM19" s="990"/>
      <c r="AN19" s="959"/>
      <c r="AO19" s="988"/>
      <c r="AP19" s="988"/>
      <c r="AQ19" s="988"/>
      <c r="AR19" s="988"/>
      <c r="AS19" s="988"/>
      <c r="AT19" s="988"/>
      <c r="AU19" s="990"/>
      <c r="AV19" s="990"/>
      <c r="AW19" s="988"/>
      <c r="AX19" s="988"/>
      <c r="AY19" s="988"/>
      <c r="AZ19" s="988"/>
      <c r="BA19" s="988"/>
      <c r="BB19" s="988"/>
      <c r="BC19" s="989"/>
      <c r="BD19" s="988"/>
      <c r="BE19" s="988"/>
      <c r="BF19" s="988"/>
      <c r="BG19" s="988"/>
      <c r="BH19" s="988"/>
      <c r="BI19" s="988"/>
      <c r="BJ19" s="988"/>
      <c r="BK19" s="991"/>
    </row>
    <row r="20" spans="1:63" ht="15.75" customHeight="1">
      <c r="A20" s="986"/>
      <c r="B20" s="988"/>
      <c r="C20" s="988"/>
      <c r="D20" s="988"/>
      <c r="E20" s="988"/>
      <c r="F20" s="988"/>
      <c r="G20" s="988"/>
      <c r="H20" s="988"/>
      <c r="I20" s="989"/>
      <c r="J20" s="990"/>
      <c r="K20" s="990"/>
      <c r="L20" s="990" t="s">
        <v>849</v>
      </c>
      <c r="M20" s="990"/>
      <c r="N20" s="990"/>
      <c r="O20" s="990"/>
      <c r="P20" s="990"/>
      <c r="Q20" s="990"/>
      <c r="R20" s="990"/>
      <c r="S20" s="1004"/>
      <c r="T20" s="990"/>
      <c r="U20" s="990"/>
      <c r="V20" s="990"/>
      <c r="W20" s="990"/>
      <c r="X20" s="990"/>
      <c r="Y20" s="990"/>
      <c r="Z20" s="990"/>
      <c r="AA20" s="990"/>
      <c r="AB20" s="990"/>
      <c r="AC20" s="990"/>
      <c r="AD20" s="990"/>
      <c r="AE20" s="990"/>
      <c r="AF20" s="990"/>
      <c r="AG20" s="990"/>
      <c r="AH20" s="990"/>
      <c r="AI20" s="990"/>
      <c r="AJ20" s="990"/>
      <c r="AK20" s="990"/>
      <c r="AL20" s="990"/>
      <c r="AM20" s="990"/>
      <c r="AN20" s="959"/>
      <c r="AO20" s="988"/>
      <c r="AP20" s="988"/>
      <c r="AQ20" s="988"/>
      <c r="AR20" s="988"/>
      <c r="AS20" s="988"/>
      <c r="AT20" s="988"/>
      <c r="AU20" s="990"/>
      <c r="AV20" s="990"/>
      <c r="AW20" s="988"/>
      <c r="AX20" s="988"/>
      <c r="AY20" s="988"/>
      <c r="AZ20" s="988"/>
      <c r="BA20" s="988"/>
      <c r="BB20" s="988"/>
      <c r="BC20" s="989"/>
      <c r="BD20" s="988"/>
      <c r="BE20" s="988"/>
      <c r="BF20" s="988"/>
      <c r="BG20" s="988"/>
      <c r="BH20" s="988"/>
      <c r="BI20" s="988"/>
      <c r="BJ20" s="988"/>
      <c r="BK20" s="991"/>
    </row>
    <row r="21" spans="1:63" ht="15.75" customHeight="1">
      <c r="A21" s="986"/>
      <c r="B21" s="988"/>
      <c r="C21" s="988"/>
      <c r="D21" s="988"/>
      <c r="E21" s="988"/>
      <c r="F21" s="988"/>
      <c r="G21" s="988"/>
      <c r="H21" s="988"/>
      <c r="I21" s="989"/>
      <c r="J21" s="990"/>
      <c r="K21" s="990"/>
      <c r="L21" s="990"/>
      <c r="M21" s="990" t="s">
        <v>672</v>
      </c>
      <c r="N21" s="990" t="s">
        <v>851</v>
      </c>
      <c r="O21" s="990"/>
      <c r="P21" s="990"/>
      <c r="Q21" s="990"/>
      <c r="R21" s="990"/>
      <c r="S21" s="990"/>
      <c r="T21" s="990"/>
      <c r="U21" s="990"/>
      <c r="V21" s="990"/>
      <c r="W21" s="990"/>
      <c r="X21" s="990"/>
      <c r="Y21" s="990"/>
      <c r="Z21" s="990"/>
      <c r="AA21" s="990"/>
      <c r="AB21" s="990"/>
      <c r="AC21" s="990"/>
      <c r="AD21" s="990"/>
      <c r="AE21" s="990"/>
      <c r="AF21" s="990"/>
      <c r="AG21" s="990"/>
      <c r="AH21" s="990"/>
      <c r="AI21" s="990"/>
      <c r="AJ21" s="990"/>
      <c r="AK21" s="990"/>
      <c r="AL21" s="990"/>
      <c r="AM21" s="990"/>
      <c r="AN21" s="959"/>
      <c r="AO21" s="988"/>
      <c r="AP21" s="988"/>
      <c r="AQ21" s="988"/>
      <c r="AR21" s="988"/>
      <c r="AS21" s="988"/>
      <c r="AT21" s="988"/>
      <c r="AU21" s="990"/>
      <c r="AV21" s="990"/>
      <c r="AW21" s="988"/>
      <c r="AX21" s="988"/>
      <c r="AY21" s="988"/>
      <c r="AZ21" s="988"/>
      <c r="BA21" s="988"/>
      <c r="BB21" s="988"/>
      <c r="BC21" s="989"/>
      <c r="BD21" s="988"/>
      <c r="BE21" s="988"/>
      <c r="BF21" s="988"/>
      <c r="BG21" s="988"/>
      <c r="BH21" s="988"/>
      <c r="BI21" s="988"/>
      <c r="BJ21" s="988"/>
      <c r="BK21" s="991"/>
    </row>
    <row r="22" spans="1:63" ht="15.75" customHeight="1">
      <c r="A22" s="986"/>
      <c r="B22" s="988"/>
      <c r="C22" s="988"/>
      <c r="D22" s="988"/>
      <c r="E22" s="988"/>
      <c r="F22" s="988"/>
      <c r="G22" s="988"/>
      <c r="H22" s="988"/>
      <c r="I22" s="989"/>
      <c r="J22" s="990"/>
      <c r="K22" s="990"/>
      <c r="L22" s="990"/>
      <c r="M22" s="990"/>
      <c r="N22" s="990" t="s">
        <v>674</v>
      </c>
      <c r="O22" s="990"/>
      <c r="P22" s="990"/>
      <c r="Q22" s="990"/>
      <c r="R22" s="990"/>
      <c r="S22" s="959"/>
      <c r="T22" s="990"/>
      <c r="U22" s="990"/>
      <c r="V22" s="990"/>
      <c r="W22" s="988"/>
      <c r="X22" s="990"/>
      <c r="Y22" s="990"/>
      <c r="Z22" s="990"/>
      <c r="AA22" s="990"/>
      <c r="AB22" s="990"/>
      <c r="AC22" s="990"/>
      <c r="AD22" s="990"/>
      <c r="AE22" s="990"/>
      <c r="AF22" s="990"/>
      <c r="AG22" s="990"/>
      <c r="AH22" s="990"/>
      <c r="AI22" s="990"/>
      <c r="AJ22" s="990"/>
      <c r="AK22" s="990"/>
      <c r="AL22" s="990"/>
      <c r="AM22" s="990"/>
      <c r="AN22" s="959"/>
      <c r="AO22" s="988"/>
      <c r="AP22" s="988"/>
      <c r="AQ22" s="988"/>
      <c r="AR22" s="988"/>
      <c r="AS22" s="988"/>
      <c r="AT22" s="988"/>
      <c r="AU22" s="990"/>
      <c r="AV22" s="990"/>
      <c r="AW22" s="988"/>
      <c r="AX22" s="988"/>
      <c r="AY22" s="988"/>
      <c r="AZ22" s="988"/>
      <c r="BA22" s="988"/>
      <c r="BB22" s="988"/>
      <c r="BC22" s="989"/>
      <c r="BD22" s="988"/>
      <c r="BE22" s="988"/>
      <c r="BF22" s="988"/>
      <c r="BG22" s="988"/>
      <c r="BH22" s="988"/>
      <c r="BI22" s="988"/>
      <c r="BJ22" s="988"/>
      <c r="BK22" s="991"/>
    </row>
    <row r="23" spans="1:63" ht="15.75" customHeight="1">
      <c r="A23" s="986"/>
      <c r="B23" s="988"/>
      <c r="C23" s="988"/>
      <c r="D23" s="988"/>
      <c r="E23" s="988"/>
      <c r="F23" s="988"/>
      <c r="G23" s="988"/>
      <c r="H23" s="988"/>
      <c r="I23" s="989"/>
      <c r="J23" s="990"/>
      <c r="K23" s="990"/>
      <c r="L23" s="990"/>
      <c r="M23" s="990"/>
      <c r="N23" s="990"/>
      <c r="O23" s="990"/>
      <c r="P23" s="990"/>
      <c r="Q23" s="990"/>
      <c r="R23" s="990"/>
      <c r="S23" s="990"/>
      <c r="T23" s="995"/>
      <c r="U23" s="995"/>
      <c r="V23" s="988"/>
      <c r="W23" s="990"/>
      <c r="X23" s="990"/>
      <c r="Y23" s="990"/>
      <c r="Z23" s="990"/>
      <c r="AA23" s="990"/>
      <c r="AB23" s="990"/>
      <c r="AC23" s="990"/>
      <c r="AD23" s="990"/>
      <c r="AE23" s="990"/>
      <c r="AF23" s="990"/>
      <c r="AG23" s="990"/>
      <c r="AH23" s="990"/>
      <c r="AI23" s="990"/>
      <c r="AJ23" s="990"/>
      <c r="AK23" s="990"/>
      <c r="AL23" s="990"/>
      <c r="AM23" s="990"/>
      <c r="AN23" s="990"/>
      <c r="AO23" s="988"/>
      <c r="AP23" s="988"/>
      <c r="AQ23" s="988"/>
      <c r="AR23" s="988"/>
      <c r="AS23" s="988"/>
      <c r="AT23" s="988"/>
      <c r="AU23" s="990"/>
      <c r="AV23" s="990"/>
      <c r="AW23" s="988"/>
      <c r="AX23" s="988"/>
      <c r="AY23" s="988"/>
      <c r="AZ23" s="988"/>
      <c r="BA23" s="988"/>
      <c r="BB23" s="988"/>
      <c r="BC23" s="989"/>
      <c r="BD23" s="988"/>
      <c r="BE23" s="988"/>
      <c r="BF23" s="988"/>
      <c r="BG23" s="988"/>
      <c r="BH23" s="988"/>
      <c r="BI23" s="988"/>
      <c r="BJ23" s="988"/>
      <c r="BK23" s="991"/>
    </row>
    <row r="24" spans="1:63" ht="15.75" customHeight="1">
      <c r="A24" s="986"/>
      <c r="B24" s="988"/>
      <c r="C24" s="988"/>
      <c r="D24" s="988"/>
      <c r="E24" s="988"/>
      <c r="F24" s="988"/>
      <c r="G24" s="988"/>
      <c r="H24" s="988"/>
      <c r="I24" s="989"/>
      <c r="J24" s="990"/>
      <c r="K24" s="990"/>
      <c r="L24" s="990" t="s">
        <v>671</v>
      </c>
      <c r="M24" s="990"/>
      <c r="N24" s="990"/>
      <c r="O24" s="990"/>
      <c r="P24" s="990"/>
      <c r="Q24" s="990"/>
      <c r="R24" s="990"/>
      <c r="S24" s="1004"/>
      <c r="T24" s="990"/>
      <c r="U24" s="990"/>
      <c r="V24" s="990"/>
      <c r="W24" s="990"/>
      <c r="X24" s="990"/>
      <c r="Y24" s="990"/>
      <c r="Z24" s="990"/>
      <c r="AA24" s="990"/>
      <c r="AB24" s="990"/>
      <c r="AC24" s="990"/>
      <c r="AD24" s="990"/>
      <c r="AE24" s="990"/>
      <c r="AF24" s="990"/>
      <c r="AG24" s="990"/>
      <c r="AH24" s="990"/>
      <c r="AI24" s="990"/>
      <c r="AJ24" s="990"/>
      <c r="AK24" s="990"/>
      <c r="AL24" s="990"/>
      <c r="AM24" s="990"/>
      <c r="AN24" s="959"/>
      <c r="AO24" s="988"/>
      <c r="AP24" s="988"/>
      <c r="AQ24" s="988"/>
      <c r="AR24" s="988"/>
      <c r="AS24" s="988"/>
      <c r="AT24" s="988"/>
      <c r="AU24" s="990"/>
      <c r="AV24" s="990"/>
      <c r="AW24" s="988"/>
      <c r="AX24" s="988"/>
      <c r="AY24" s="988"/>
      <c r="AZ24" s="988"/>
      <c r="BA24" s="988"/>
      <c r="BB24" s="988"/>
      <c r="BC24" s="989"/>
      <c r="BD24" s="988"/>
      <c r="BE24" s="988"/>
      <c r="BF24" s="988"/>
      <c r="BG24" s="988"/>
      <c r="BH24" s="988"/>
      <c r="BI24" s="988"/>
      <c r="BJ24" s="988"/>
      <c r="BK24" s="991"/>
    </row>
    <row r="25" spans="1:63" ht="15.75" customHeight="1">
      <c r="A25" s="986"/>
      <c r="B25" s="988"/>
      <c r="C25" s="988"/>
      <c r="D25" s="988"/>
      <c r="E25" s="988"/>
      <c r="F25" s="988"/>
      <c r="G25" s="988"/>
      <c r="H25" s="988"/>
      <c r="I25" s="989"/>
      <c r="J25" s="990"/>
      <c r="K25" s="990"/>
      <c r="L25" s="990"/>
      <c r="M25" s="990" t="s">
        <v>672</v>
      </c>
      <c r="N25" s="990" t="s">
        <v>673</v>
      </c>
      <c r="O25" s="990"/>
      <c r="P25" s="990"/>
      <c r="Q25" s="990"/>
      <c r="R25" s="990"/>
      <c r="S25" s="1004"/>
      <c r="T25" s="990"/>
      <c r="U25" s="990"/>
      <c r="V25" s="990"/>
      <c r="W25" s="990"/>
      <c r="X25" s="990"/>
      <c r="Y25" s="990"/>
      <c r="Z25" s="990"/>
      <c r="AA25" s="990"/>
      <c r="AB25" s="990"/>
      <c r="AC25" s="990"/>
      <c r="AD25" s="990"/>
      <c r="AE25" s="990"/>
      <c r="AF25" s="990"/>
      <c r="AG25" s="990"/>
      <c r="AH25" s="990"/>
      <c r="AI25" s="990"/>
      <c r="AJ25" s="990"/>
      <c r="AK25" s="990"/>
      <c r="AL25" s="990"/>
      <c r="AM25" s="990"/>
      <c r="AN25" s="959"/>
      <c r="AO25" s="988"/>
      <c r="AP25" s="988"/>
      <c r="AQ25" s="988"/>
      <c r="AR25" s="988"/>
      <c r="AS25" s="988"/>
      <c r="AT25" s="988"/>
      <c r="AU25" s="990"/>
      <c r="AV25" s="990"/>
      <c r="AW25" s="988"/>
      <c r="AX25" s="988"/>
      <c r="AY25" s="988"/>
      <c r="AZ25" s="988"/>
      <c r="BA25" s="988"/>
      <c r="BB25" s="988"/>
      <c r="BC25" s="989"/>
      <c r="BD25" s="988"/>
      <c r="BE25" s="988"/>
      <c r="BF25" s="988"/>
      <c r="BG25" s="988"/>
      <c r="BH25" s="988"/>
      <c r="BI25" s="988"/>
      <c r="BJ25" s="988"/>
      <c r="BK25" s="991"/>
    </row>
    <row r="26" spans="1:63" ht="15.75" customHeight="1">
      <c r="A26" s="986"/>
      <c r="B26" s="988"/>
      <c r="C26" s="988"/>
      <c r="D26" s="988"/>
      <c r="E26" s="988"/>
      <c r="F26" s="988"/>
      <c r="G26" s="988"/>
      <c r="H26" s="988"/>
      <c r="I26" s="989"/>
      <c r="J26" s="990"/>
      <c r="K26" s="990"/>
      <c r="L26" s="990"/>
      <c r="M26" s="990"/>
      <c r="N26" s="990" t="s">
        <v>674</v>
      </c>
      <c r="O26" s="990"/>
      <c r="P26" s="990"/>
      <c r="Q26" s="990"/>
      <c r="R26" s="990"/>
      <c r="S26" s="1004"/>
      <c r="T26" s="990"/>
      <c r="U26" s="990"/>
      <c r="V26" s="990"/>
      <c r="W26" s="990"/>
      <c r="X26" s="990"/>
      <c r="Y26" s="990"/>
      <c r="Z26" s="990"/>
      <c r="AA26" s="990"/>
      <c r="AB26" s="990"/>
      <c r="AC26" s="990"/>
      <c r="AD26" s="990"/>
      <c r="AE26" s="990"/>
      <c r="AF26" s="990"/>
      <c r="AG26" s="990"/>
      <c r="AH26" s="990"/>
      <c r="AI26" s="990"/>
      <c r="AJ26" s="990"/>
      <c r="AK26" s="990"/>
      <c r="AL26" s="990"/>
      <c r="AM26" s="990"/>
      <c r="AN26" s="959"/>
      <c r="AO26" s="988"/>
      <c r="AP26" s="988"/>
      <c r="AQ26" s="988"/>
      <c r="AR26" s="988"/>
      <c r="AS26" s="988"/>
      <c r="AT26" s="988"/>
      <c r="AU26" s="990"/>
      <c r="AV26" s="990"/>
      <c r="AW26" s="988"/>
      <c r="AX26" s="988"/>
      <c r="AY26" s="988"/>
      <c r="AZ26" s="988"/>
      <c r="BA26" s="988"/>
      <c r="BB26" s="988"/>
      <c r="BC26" s="989"/>
      <c r="BD26" s="988"/>
      <c r="BE26" s="988"/>
      <c r="BF26" s="988"/>
      <c r="BG26" s="988"/>
      <c r="BH26" s="988"/>
      <c r="BI26" s="988"/>
      <c r="BJ26" s="988"/>
      <c r="BK26" s="991"/>
    </row>
    <row r="27" spans="1:63" ht="15.75" customHeight="1">
      <c r="A27" s="986"/>
      <c r="B27" s="988"/>
      <c r="C27" s="988"/>
      <c r="D27" s="988"/>
      <c r="E27" s="988"/>
      <c r="F27" s="988"/>
      <c r="G27" s="988"/>
      <c r="H27" s="988"/>
      <c r="I27" s="989"/>
      <c r="J27" s="990"/>
      <c r="K27" s="990"/>
      <c r="L27" s="990"/>
      <c r="M27" s="990"/>
      <c r="N27" s="990"/>
      <c r="O27" s="990"/>
      <c r="P27" s="990"/>
      <c r="Q27" s="990"/>
      <c r="R27" s="990"/>
      <c r="S27" s="1004"/>
      <c r="T27" s="990"/>
      <c r="U27" s="990"/>
      <c r="V27" s="990"/>
      <c r="W27" s="990"/>
      <c r="X27" s="990"/>
      <c r="Y27" s="990"/>
      <c r="Z27" s="990"/>
      <c r="AA27" s="990"/>
      <c r="AB27" s="990"/>
      <c r="AC27" s="990"/>
      <c r="AD27" s="990"/>
      <c r="AE27" s="990"/>
      <c r="AF27" s="990"/>
      <c r="AG27" s="990"/>
      <c r="AH27" s="990"/>
      <c r="AI27" s="990"/>
      <c r="AJ27" s="990"/>
      <c r="AK27" s="990"/>
      <c r="AL27" s="990"/>
      <c r="AM27" s="990"/>
      <c r="AN27" s="959"/>
      <c r="AO27" s="988"/>
      <c r="AP27" s="988"/>
      <c r="AQ27" s="988"/>
      <c r="AR27" s="988"/>
      <c r="AS27" s="988"/>
      <c r="AT27" s="988"/>
      <c r="AU27" s="990"/>
      <c r="AV27" s="990"/>
      <c r="AW27" s="988"/>
      <c r="AX27" s="988"/>
      <c r="AY27" s="988"/>
      <c r="AZ27" s="988"/>
      <c r="BA27" s="988"/>
      <c r="BB27" s="988"/>
      <c r="BC27" s="989"/>
      <c r="BD27" s="988"/>
      <c r="BE27" s="988"/>
      <c r="BF27" s="988"/>
      <c r="BG27" s="988"/>
      <c r="BH27" s="988"/>
      <c r="BI27" s="988"/>
      <c r="BJ27" s="988"/>
      <c r="BK27" s="991"/>
    </row>
    <row r="28" spans="1:63" ht="15.75" customHeight="1">
      <c r="A28" s="986"/>
      <c r="B28" s="988"/>
      <c r="C28" s="988"/>
      <c r="D28" s="988"/>
      <c r="E28" s="988"/>
      <c r="F28" s="988"/>
      <c r="G28" s="988"/>
      <c r="H28" s="988"/>
      <c r="I28" s="989"/>
      <c r="J28" s="990"/>
      <c r="K28" s="990"/>
      <c r="L28" s="990" t="s">
        <v>675</v>
      </c>
      <c r="M28" s="990"/>
      <c r="N28" s="990"/>
      <c r="O28" s="990"/>
      <c r="P28" s="990"/>
      <c r="Q28" s="990"/>
      <c r="R28" s="990"/>
      <c r="S28" s="1004"/>
      <c r="T28" s="990"/>
      <c r="U28" s="990"/>
      <c r="V28" s="990"/>
      <c r="W28" s="990"/>
      <c r="X28" s="990"/>
      <c r="Y28" s="990"/>
      <c r="Z28" s="990"/>
      <c r="AA28" s="990"/>
      <c r="AB28" s="990"/>
      <c r="AC28" s="990"/>
      <c r="AD28" s="990"/>
      <c r="AE28" s="990"/>
      <c r="AF28" s="990"/>
      <c r="AG28" s="990"/>
      <c r="AH28" s="990"/>
      <c r="AI28" s="990"/>
      <c r="AJ28" s="990"/>
      <c r="AK28" s="990"/>
      <c r="AL28" s="990"/>
      <c r="AM28" s="990"/>
      <c r="AN28" s="959"/>
      <c r="AO28" s="988"/>
      <c r="AP28" s="988"/>
      <c r="AQ28" s="988"/>
      <c r="AR28" s="988"/>
      <c r="AS28" s="988"/>
      <c r="AT28" s="988"/>
      <c r="AU28" s="990"/>
      <c r="AV28" s="990"/>
      <c r="AW28" s="988"/>
      <c r="AX28" s="988"/>
      <c r="AY28" s="988"/>
      <c r="AZ28" s="988"/>
      <c r="BA28" s="988"/>
      <c r="BB28" s="988"/>
      <c r="BC28" s="989"/>
      <c r="BD28" s="988"/>
      <c r="BE28" s="988"/>
      <c r="BF28" s="988"/>
      <c r="BG28" s="988"/>
      <c r="BH28" s="988"/>
      <c r="BI28" s="988"/>
      <c r="BJ28" s="988"/>
      <c r="BK28" s="991"/>
    </row>
    <row r="29" spans="1:63" ht="15.75" customHeight="1">
      <c r="A29" s="986"/>
      <c r="B29" s="988"/>
      <c r="C29" s="988"/>
      <c r="D29" s="988"/>
      <c r="E29" s="988"/>
      <c r="F29" s="988"/>
      <c r="G29" s="988"/>
      <c r="H29" s="988"/>
      <c r="I29" s="989"/>
      <c r="J29" s="990"/>
      <c r="K29" s="990"/>
      <c r="L29" s="990"/>
      <c r="M29" s="990" t="s">
        <v>672</v>
      </c>
      <c r="N29" s="990" t="s">
        <v>676</v>
      </c>
      <c r="O29" s="990"/>
      <c r="P29" s="990"/>
      <c r="Q29" s="990"/>
      <c r="R29" s="990"/>
      <c r="S29" s="990"/>
      <c r="T29" s="990"/>
      <c r="U29" s="990"/>
      <c r="V29" s="990"/>
      <c r="W29" s="990"/>
      <c r="X29" s="990"/>
      <c r="Y29" s="990"/>
      <c r="Z29" s="990"/>
      <c r="AA29" s="990"/>
      <c r="AB29" s="990"/>
      <c r="AC29" s="990"/>
      <c r="AD29" s="990"/>
      <c r="AE29" s="990"/>
      <c r="AF29" s="990"/>
      <c r="AG29" s="990"/>
      <c r="AH29" s="990"/>
      <c r="AI29" s="990"/>
      <c r="AJ29" s="990"/>
      <c r="AK29" s="990"/>
      <c r="AL29" s="990"/>
      <c r="AM29" s="990"/>
      <c r="AN29" s="959"/>
      <c r="AO29" s="988"/>
      <c r="AP29" s="988"/>
      <c r="AQ29" s="988"/>
      <c r="AR29" s="988"/>
      <c r="AS29" s="988"/>
      <c r="AT29" s="988"/>
      <c r="AU29" s="990"/>
      <c r="AV29" s="990"/>
      <c r="AW29" s="988"/>
      <c r="AX29" s="988"/>
      <c r="AY29" s="988"/>
      <c r="AZ29" s="988"/>
      <c r="BA29" s="988"/>
      <c r="BB29" s="988"/>
      <c r="BC29" s="989"/>
      <c r="BD29" s="988"/>
      <c r="BE29" s="988"/>
      <c r="BF29" s="988"/>
      <c r="BG29" s="988"/>
      <c r="BH29" s="988"/>
      <c r="BI29" s="988"/>
      <c r="BJ29" s="988"/>
      <c r="BK29" s="991"/>
    </row>
    <row r="30" spans="1:63" ht="15.75" customHeight="1">
      <c r="A30" s="986"/>
      <c r="B30" s="988"/>
      <c r="C30" s="988"/>
      <c r="D30" s="988"/>
      <c r="E30" s="988"/>
      <c r="F30" s="988"/>
      <c r="G30" s="988"/>
      <c r="H30" s="988"/>
      <c r="I30" s="989"/>
      <c r="J30" s="990"/>
      <c r="K30" s="990"/>
      <c r="L30" s="990"/>
      <c r="M30" s="990"/>
      <c r="N30" s="990" t="s">
        <v>674</v>
      </c>
      <c r="O30" s="990"/>
      <c r="P30" s="990"/>
      <c r="Q30" s="990"/>
      <c r="R30" s="990"/>
      <c r="S30" s="959"/>
      <c r="T30" s="990"/>
      <c r="U30" s="990"/>
      <c r="V30" s="990"/>
      <c r="W30" s="988"/>
      <c r="X30" s="990"/>
      <c r="Y30" s="990"/>
      <c r="Z30" s="990"/>
      <c r="AA30" s="990"/>
      <c r="AB30" s="990"/>
      <c r="AC30" s="990"/>
      <c r="AD30" s="990"/>
      <c r="AE30" s="990"/>
      <c r="AF30" s="990"/>
      <c r="AG30" s="990"/>
      <c r="AH30" s="990"/>
      <c r="AI30" s="990"/>
      <c r="AJ30" s="990"/>
      <c r="AK30" s="990"/>
      <c r="AL30" s="990"/>
      <c r="AM30" s="990"/>
      <c r="AN30" s="959"/>
      <c r="AO30" s="988"/>
      <c r="AP30" s="988"/>
      <c r="AQ30" s="988"/>
      <c r="AR30" s="988"/>
      <c r="AS30" s="988"/>
      <c r="AT30" s="988"/>
      <c r="AU30" s="990"/>
      <c r="AV30" s="990"/>
      <c r="AW30" s="988"/>
      <c r="AX30" s="988"/>
      <c r="AY30" s="988"/>
      <c r="AZ30" s="988"/>
      <c r="BA30" s="988"/>
      <c r="BB30" s="988"/>
      <c r="BC30" s="989"/>
      <c r="BD30" s="988"/>
      <c r="BE30" s="988"/>
      <c r="BF30" s="988"/>
      <c r="BG30" s="988"/>
      <c r="BH30" s="988"/>
      <c r="BI30" s="988"/>
      <c r="BJ30" s="988"/>
      <c r="BK30" s="991"/>
    </row>
    <row r="31" spans="1:63" ht="15.75" customHeight="1">
      <c r="A31" s="986"/>
      <c r="B31" s="988"/>
      <c r="C31" s="988"/>
      <c r="D31" s="988"/>
      <c r="E31" s="988"/>
      <c r="F31" s="988"/>
      <c r="G31" s="988"/>
      <c r="H31" s="988"/>
      <c r="I31" s="989"/>
      <c r="J31" s="990"/>
      <c r="K31" s="990"/>
      <c r="L31" s="990"/>
      <c r="M31" s="990"/>
      <c r="N31" s="990"/>
      <c r="O31" s="990"/>
      <c r="P31" s="990"/>
      <c r="Q31" s="990"/>
      <c r="R31" s="990"/>
      <c r="S31" s="990"/>
      <c r="T31" s="995"/>
      <c r="U31" s="995"/>
      <c r="V31" s="988"/>
      <c r="W31" s="990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990"/>
      <c r="AL31" s="990"/>
      <c r="AM31" s="990"/>
      <c r="AN31" s="990"/>
      <c r="AO31" s="988"/>
      <c r="AP31" s="988"/>
      <c r="AQ31" s="988"/>
      <c r="AR31" s="988"/>
      <c r="AS31" s="988"/>
      <c r="AT31" s="988"/>
      <c r="AU31" s="990"/>
      <c r="AV31" s="990"/>
      <c r="AW31" s="988"/>
      <c r="AX31" s="988"/>
      <c r="AY31" s="988"/>
      <c r="AZ31" s="988"/>
      <c r="BA31" s="988"/>
      <c r="BB31" s="988"/>
      <c r="BC31" s="989"/>
      <c r="BD31" s="988"/>
      <c r="BE31" s="988"/>
      <c r="BF31" s="988"/>
      <c r="BG31" s="988"/>
      <c r="BH31" s="988"/>
      <c r="BI31" s="988"/>
      <c r="BJ31" s="988"/>
      <c r="BK31" s="991"/>
    </row>
    <row r="32" spans="1:63" ht="15.75" customHeight="1">
      <c r="A32" s="986"/>
      <c r="B32" s="988"/>
      <c r="C32" s="988"/>
      <c r="D32" s="988"/>
      <c r="E32" s="988"/>
      <c r="F32" s="988"/>
      <c r="G32" s="988"/>
      <c r="H32" s="988"/>
      <c r="I32" s="989"/>
      <c r="J32" s="990"/>
      <c r="K32" s="990"/>
      <c r="L32" s="990" t="s">
        <v>677</v>
      </c>
      <c r="M32" s="990"/>
      <c r="N32" s="990"/>
      <c r="O32" s="990"/>
      <c r="P32" s="990"/>
      <c r="Q32" s="990"/>
      <c r="R32" s="990"/>
      <c r="S32" s="990"/>
      <c r="T32" s="995"/>
      <c r="U32" s="1001"/>
      <c r="V32" s="988"/>
      <c r="W32" s="990"/>
      <c r="X32" s="990"/>
      <c r="Y32" s="990"/>
      <c r="Z32" s="990"/>
      <c r="AA32" s="990"/>
      <c r="AB32" s="990"/>
      <c r="AC32" s="990"/>
      <c r="AD32" s="990"/>
      <c r="AE32" s="990"/>
      <c r="AF32" s="990"/>
      <c r="AG32" s="990"/>
      <c r="AH32" s="990"/>
      <c r="AI32" s="990"/>
      <c r="AJ32" s="990"/>
      <c r="AK32" s="990"/>
      <c r="AL32" s="990"/>
      <c r="AM32" s="990"/>
      <c r="AN32" s="959"/>
      <c r="AO32" s="988"/>
      <c r="AP32" s="988"/>
      <c r="AQ32" s="988"/>
      <c r="AR32" s="988"/>
      <c r="AS32" s="988"/>
      <c r="AT32" s="988"/>
      <c r="AU32" s="990"/>
      <c r="AV32" s="990"/>
      <c r="AW32" s="988"/>
      <c r="AX32" s="988"/>
      <c r="AY32" s="988"/>
      <c r="AZ32" s="988"/>
      <c r="BA32" s="988"/>
      <c r="BB32" s="988"/>
      <c r="BC32" s="989"/>
      <c r="BD32" s="988"/>
      <c r="BE32" s="988"/>
      <c r="BF32" s="988"/>
      <c r="BG32" s="988"/>
      <c r="BH32" s="988"/>
      <c r="BI32" s="988"/>
      <c r="BJ32" s="988"/>
      <c r="BK32" s="991"/>
    </row>
    <row r="33" spans="1:63" ht="15.75" customHeight="1">
      <c r="A33" s="986"/>
      <c r="B33" s="988"/>
      <c r="C33" s="988"/>
      <c r="D33" s="988"/>
      <c r="E33" s="988"/>
      <c r="F33" s="988"/>
      <c r="G33" s="988"/>
      <c r="H33" s="988"/>
      <c r="I33" s="989"/>
      <c r="J33" s="990"/>
      <c r="K33" s="990"/>
      <c r="L33" s="990"/>
      <c r="M33" s="990" t="s">
        <v>672</v>
      </c>
      <c r="N33" s="990" t="s">
        <v>678</v>
      </c>
      <c r="O33" s="990"/>
      <c r="P33" s="990"/>
      <c r="Q33" s="990"/>
      <c r="R33" s="990"/>
      <c r="S33" s="1004"/>
      <c r="T33" s="990"/>
      <c r="U33" s="990"/>
      <c r="V33" s="990"/>
      <c r="W33" s="990"/>
      <c r="X33" s="990"/>
      <c r="Y33" s="990"/>
      <c r="Z33" s="990"/>
      <c r="AA33" s="990"/>
      <c r="AB33" s="990"/>
      <c r="AC33" s="990"/>
      <c r="AD33" s="990"/>
      <c r="AE33" s="990"/>
      <c r="AF33" s="990"/>
      <c r="AG33" s="990"/>
      <c r="AH33" s="990"/>
      <c r="AI33" s="990"/>
      <c r="AJ33" s="990"/>
      <c r="AK33" s="990"/>
      <c r="AL33" s="990"/>
      <c r="AM33" s="990"/>
      <c r="AN33" s="959"/>
      <c r="AO33" s="988"/>
      <c r="AP33" s="988"/>
      <c r="AQ33" s="988"/>
      <c r="AR33" s="988"/>
      <c r="AS33" s="988"/>
      <c r="AT33" s="988"/>
      <c r="AU33" s="990"/>
      <c r="AV33" s="990"/>
      <c r="AW33" s="988"/>
      <c r="AX33" s="988"/>
      <c r="AY33" s="988"/>
      <c r="AZ33" s="988"/>
      <c r="BA33" s="988"/>
      <c r="BB33" s="988"/>
      <c r="BC33" s="989"/>
      <c r="BD33" s="988"/>
      <c r="BE33" s="988"/>
      <c r="BF33" s="988"/>
      <c r="BG33" s="988"/>
      <c r="BH33" s="988"/>
      <c r="BI33" s="988"/>
      <c r="BJ33" s="988"/>
      <c r="BK33" s="991"/>
    </row>
    <row r="34" spans="1:63" ht="15.75" customHeight="1">
      <c r="A34" s="986"/>
      <c r="B34" s="988"/>
      <c r="C34" s="988"/>
      <c r="D34" s="988"/>
      <c r="E34" s="988"/>
      <c r="F34" s="988"/>
      <c r="G34" s="988"/>
      <c r="H34" s="988"/>
      <c r="I34" s="989"/>
      <c r="J34" s="990"/>
      <c r="K34" s="990"/>
      <c r="L34" s="990"/>
      <c r="M34" s="990"/>
      <c r="N34" s="990" t="s">
        <v>674</v>
      </c>
      <c r="O34" s="990"/>
      <c r="P34" s="990"/>
      <c r="Q34" s="990"/>
      <c r="R34" s="990"/>
      <c r="S34" s="1004"/>
      <c r="T34" s="990"/>
      <c r="U34" s="990"/>
      <c r="V34" s="990"/>
      <c r="W34" s="990"/>
      <c r="X34" s="990"/>
      <c r="Y34" s="990"/>
      <c r="Z34" s="990"/>
      <c r="AA34" s="990"/>
      <c r="AB34" s="990"/>
      <c r="AC34" s="990"/>
      <c r="AD34" s="990"/>
      <c r="AE34" s="990"/>
      <c r="AF34" s="990"/>
      <c r="AG34" s="990"/>
      <c r="AH34" s="990"/>
      <c r="AI34" s="990"/>
      <c r="AJ34" s="990"/>
      <c r="AK34" s="990"/>
      <c r="AL34" s="990"/>
      <c r="AM34" s="990"/>
      <c r="AN34" s="959"/>
      <c r="AO34" s="988"/>
      <c r="AP34" s="988"/>
      <c r="AQ34" s="988"/>
      <c r="AR34" s="988"/>
      <c r="AS34" s="988"/>
      <c r="AT34" s="988"/>
      <c r="AU34" s="990"/>
      <c r="AV34" s="990"/>
      <c r="AW34" s="988"/>
      <c r="AX34" s="988"/>
      <c r="AY34" s="988"/>
      <c r="AZ34" s="988"/>
      <c r="BA34" s="988"/>
      <c r="BB34" s="988"/>
      <c r="BC34" s="989"/>
      <c r="BD34" s="988"/>
      <c r="BE34" s="988"/>
      <c r="BF34" s="988"/>
      <c r="BG34" s="988"/>
      <c r="BH34" s="988"/>
      <c r="BI34" s="988"/>
      <c r="BJ34" s="988"/>
      <c r="BK34" s="991"/>
    </row>
    <row r="35" spans="1:63" ht="15.75" customHeight="1">
      <c r="A35" s="986"/>
      <c r="B35" s="988"/>
      <c r="C35" s="988"/>
      <c r="D35" s="988"/>
      <c r="E35" s="988"/>
      <c r="F35" s="988"/>
      <c r="G35" s="988"/>
      <c r="H35" s="988"/>
      <c r="I35" s="989"/>
      <c r="J35" s="990"/>
      <c r="K35" s="990"/>
      <c r="L35" s="990"/>
      <c r="M35" s="990"/>
      <c r="N35" s="990"/>
      <c r="O35" s="990"/>
      <c r="P35" s="990"/>
      <c r="Q35" s="990"/>
      <c r="R35" s="990"/>
      <c r="S35" s="1004"/>
      <c r="T35" s="990"/>
      <c r="U35" s="990"/>
      <c r="V35" s="990"/>
      <c r="W35" s="990"/>
      <c r="X35" s="990"/>
      <c r="Y35" s="990"/>
      <c r="Z35" s="990"/>
      <c r="AA35" s="990"/>
      <c r="AB35" s="990"/>
      <c r="AC35" s="990"/>
      <c r="AD35" s="990"/>
      <c r="AE35" s="990"/>
      <c r="AF35" s="990"/>
      <c r="AG35" s="990"/>
      <c r="AH35" s="990"/>
      <c r="AI35" s="990"/>
      <c r="AJ35" s="990"/>
      <c r="AK35" s="990"/>
      <c r="AL35" s="990"/>
      <c r="AM35" s="990"/>
      <c r="AN35" s="959"/>
      <c r="AO35" s="988"/>
      <c r="AP35" s="988"/>
      <c r="AQ35" s="988"/>
      <c r="AR35" s="988"/>
      <c r="AS35" s="988"/>
      <c r="AT35" s="988"/>
      <c r="AU35" s="990"/>
      <c r="AV35" s="990"/>
      <c r="AW35" s="988"/>
      <c r="AX35" s="988"/>
      <c r="AY35" s="988"/>
      <c r="AZ35" s="988"/>
      <c r="BA35" s="988"/>
      <c r="BB35" s="988"/>
      <c r="BC35" s="989"/>
      <c r="BD35" s="988"/>
      <c r="BE35" s="988"/>
      <c r="BF35" s="988"/>
      <c r="BG35" s="988"/>
      <c r="BH35" s="988"/>
      <c r="BI35" s="988"/>
      <c r="BJ35" s="988"/>
      <c r="BK35" s="991"/>
    </row>
    <row r="36" spans="1:63" ht="15.75" customHeight="1">
      <c r="A36" s="986"/>
      <c r="B36" s="988"/>
      <c r="C36" s="988"/>
      <c r="D36" s="988"/>
      <c r="E36" s="988"/>
      <c r="F36" s="988"/>
      <c r="G36" s="988"/>
      <c r="H36" s="988"/>
      <c r="I36" s="989"/>
      <c r="J36" s="990"/>
      <c r="K36" s="990"/>
      <c r="L36" s="990" t="s">
        <v>679</v>
      </c>
      <c r="M36" s="990"/>
      <c r="N36" s="990"/>
      <c r="O36" s="990"/>
      <c r="P36" s="990"/>
      <c r="Q36" s="990"/>
      <c r="R36" s="990"/>
      <c r="S36" s="1004"/>
      <c r="T36" s="990"/>
      <c r="U36" s="990"/>
      <c r="V36" s="990"/>
      <c r="W36" s="990"/>
      <c r="X36" s="990"/>
      <c r="Y36" s="990"/>
      <c r="Z36" s="990"/>
      <c r="AA36" s="990"/>
      <c r="AB36" s="990"/>
      <c r="AC36" s="990"/>
      <c r="AD36" s="990"/>
      <c r="AE36" s="990"/>
      <c r="AF36" s="990"/>
      <c r="AG36" s="990"/>
      <c r="AH36" s="990"/>
      <c r="AI36" s="990"/>
      <c r="AJ36" s="990"/>
      <c r="AK36" s="990"/>
      <c r="AL36" s="990"/>
      <c r="AM36" s="990"/>
      <c r="AN36" s="959"/>
      <c r="AO36" s="988"/>
      <c r="AP36" s="988"/>
      <c r="AQ36" s="988"/>
      <c r="AR36" s="988"/>
      <c r="AS36" s="988"/>
      <c r="AT36" s="988"/>
      <c r="AU36" s="990"/>
      <c r="AV36" s="990"/>
      <c r="AW36" s="988"/>
      <c r="AX36" s="988"/>
      <c r="AY36" s="988"/>
      <c r="AZ36" s="988"/>
      <c r="BA36" s="988"/>
      <c r="BB36" s="988"/>
      <c r="BC36" s="989"/>
      <c r="BD36" s="988"/>
      <c r="BE36" s="988"/>
      <c r="BF36" s="988"/>
      <c r="BG36" s="988"/>
      <c r="BH36" s="988"/>
      <c r="BI36" s="988"/>
      <c r="BJ36" s="988"/>
      <c r="BK36" s="991"/>
    </row>
    <row r="37" spans="1:63" ht="15.75" customHeight="1">
      <c r="A37" s="986"/>
      <c r="B37" s="988"/>
      <c r="C37" s="988"/>
      <c r="D37" s="988"/>
      <c r="E37" s="988"/>
      <c r="F37" s="988"/>
      <c r="G37" s="988"/>
      <c r="H37" s="988"/>
      <c r="I37" s="989"/>
      <c r="J37" s="990"/>
      <c r="K37" s="990"/>
      <c r="L37" s="990"/>
      <c r="M37" s="990" t="s">
        <v>672</v>
      </c>
      <c r="N37" s="990" t="s">
        <v>680</v>
      </c>
      <c r="O37" s="990"/>
      <c r="P37" s="990"/>
      <c r="Q37" s="990"/>
      <c r="R37" s="990"/>
      <c r="S37" s="1004"/>
      <c r="T37" s="990"/>
      <c r="U37" s="990"/>
      <c r="V37" s="990"/>
      <c r="W37" s="990"/>
      <c r="X37" s="990"/>
      <c r="Y37" s="990"/>
      <c r="Z37" s="990"/>
      <c r="AA37" s="990"/>
      <c r="AB37" s="990"/>
      <c r="AC37" s="990"/>
      <c r="AD37" s="990"/>
      <c r="AE37" s="990"/>
      <c r="AF37" s="990"/>
      <c r="AG37" s="990"/>
      <c r="AH37" s="990"/>
      <c r="AI37" s="990"/>
      <c r="AJ37" s="990"/>
      <c r="AK37" s="990"/>
      <c r="AL37" s="990"/>
      <c r="AM37" s="990"/>
      <c r="AN37" s="959"/>
      <c r="AO37" s="988"/>
      <c r="AP37" s="988"/>
      <c r="AQ37" s="988"/>
      <c r="AR37" s="988"/>
      <c r="AS37" s="988"/>
      <c r="AT37" s="988"/>
      <c r="AU37" s="990"/>
      <c r="AV37" s="990"/>
      <c r="AW37" s="988"/>
      <c r="AX37" s="988"/>
      <c r="AY37" s="988"/>
      <c r="AZ37" s="988"/>
      <c r="BA37" s="988"/>
      <c r="BB37" s="988"/>
      <c r="BC37" s="989"/>
      <c r="BD37" s="988"/>
      <c r="BE37" s="988"/>
      <c r="BF37" s="988"/>
      <c r="BG37" s="988"/>
      <c r="BH37" s="988"/>
      <c r="BI37" s="988"/>
      <c r="BJ37" s="988"/>
      <c r="BK37" s="991"/>
    </row>
    <row r="38" spans="1:63" ht="15.75" customHeight="1">
      <c r="A38" s="986"/>
      <c r="B38" s="988"/>
      <c r="C38" s="988"/>
      <c r="D38" s="988"/>
      <c r="E38" s="988"/>
      <c r="F38" s="988"/>
      <c r="G38" s="988"/>
      <c r="H38" s="988"/>
      <c r="I38" s="989"/>
      <c r="J38" s="990"/>
      <c r="K38" s="990"/>
      <c r="L38" s="990"/>
      <c r="M38" s="990"/>
      <c r="N38" s="990" t="s">
        <v>674</v>
      </c>
      <c r="O38" s="990"/>
      <c r="P38" s="990"/>
      <c r="Q38" s="990"/>
      <c r="R38" s="990"/>
      <c r="S38" s="990"/>
      <c r="T38" s="990"/>
      <c r="U38" s="990"/>
      <c r="V38" s="990"/>
      <c r="W38" s="990"/>
      <c r="X38" s="990"/>
      <c r="Y38" s="990"/>
      <c r="Z38" s="990"/>
      <c r="AA38" s="990"/>
      <c r="AB38" s="990"/>
      <c r="AC38" s="990"/>
      <c r="AD38" s="990"/>
      <c r="AE38" s="990"/>
      <c r="AF38" s="990"/>
      <c r="AG38" s="990"/>
      <c r="AH38" s="990"/>
      <c r="AI38" s="990"/>
      <c r="AJ38" s="990"/>
      <c r="AK38" s="990"/>
      <c r="AL38" s="990"/>
      <c r="AM38" s="990"/>
      <c r="AN38" s="959"/>
      <c r="AO38" s="988"/>
      <c r="AP38" s="988"/>
      <c r="AQ38" s="988"/>
      <c r="AR38" s="988"/>
      <c r="AS38" s="988"/>
      <c r="AT38" s="988"/>
      <c r="AU38" s="990"/>
      <c r="AV38" s="990"/>
      <c r="AW38" s="988"/>
      <c r="AX38" s="988"/>
      <c r="AY38" s="988"/>
      <c r="AZ38" s="988"/>
      <c r="BA38" s="988"/>
      <c r="BB38" s="988"/>
      <c r="BC38" s="989"/>
      <c r="BD38" s="988"/>
      <c r="BE38" s="988"/>
      <c r="BF38" s="988"/>
      <c r="BG38" s="988"/>
      <c r="BH38" s="988"/>
      <c r="BI38" s="988"/>
      <c r="BJ38" s="988"/>
      <c r="BK38" s="991"/>
    </row>
    <row r="39" spans="1:63" ht="15.75" customHeight="1">
      <c r="A39" s="986"/>
      <c r="B39" s="988"/>
      <c r="C39" s="988"/>
      <c r="D39" s="988"/>
      <c r="E39" s="988"/>
      <c r="F39" s="988"/>
      <c r="G39" s="988"/>
      <c r="H39" s="988"/>
      <c r="I39" s="989"/>
      <c r="J39" s="990"/>
      <c r="K39" s="990"/>
      <c r="L39" s="990"/>
      <c r="M39" s="990"/>
      <c r="N39" s="990"/>
      <c r="O39" s="990"/>
      <c r="P39" s="990"/>
      <c r="Q39" s="990"/>
      <c r="R39" s="990"/>
      <c r="S39" s="959"/>
      <c r="T39" s="990"/>
      <c r="U39" s="990"/>
      <c r="V39" s="990"/>
      <c r="W39" s="988"/>
      <c r="X39" s="990"/>
      <c r="Y39" s="990"/>
      <c r="Z39" s="990"/>
      <c r="AA39" s="990"/>
      <c r="AB39" s="990"/>
      <c r="AC39" s="990"/>
      <c r="AD39" s="990"/>
      <c r="AE39" s="990"/>
      <c r="AF39" s="990"/>
      <c r="AG39" s="990"/>
      <c r="AH39" s="990"/>
      <c r="AI39" s="990"/>
      <c r="AJ39" s="990"/>
      <c r="AK39" s="990"/>
      <c r="AL39" s="990"/>
      <c r="AM39" s="990"/>
      <c r="AN39" s="959"/>
      <c r="AO39" s="988"/>
      <c r="AP39" s="988"/>
      <c r="AQ39" s="988"/>
      <c r="AR39" s="988"/>
      <c r="AS39" s="988"/>
      <c r="AT39" s="988"/>
      <c r="AU39" s="990"/>
      <c r="AV39" s="990"/>
      <c r="AW39" s="988"/>
      <c r="AX39" s="988"/>
      <c r="AY39" s="988"/>
      <c r="AZ39" s="988"/>
      <c r="BA39" s="988"/>
      <c r="BB39" s="988"/>
      <c r="BC39" s="989"/>
      <c r="BD39" s="988"/>
      <c r="BE39" s="988"/>
      <c r="BF39" s="988"/>
      <c r="BG39" s="988"/>
      <c r="BH39" s="988"/>
      <c r="BI39" s="988"/>
      <c r="BJ39" s="988"/>
      <c r="BK39" s="991"/>
    </row>
    <row r="40" spans="1:63" ht="15.75" customHeight="1">
      <c r="A40" s="986"/>
      <c r="B40" s="988"/>
      <c r="C40" s="988"/>
      <c r="D40" s="988"/>
      <c r="E40" s="988"/>
      <c r="F40" s="988"/>
      <c r="G40" s="988"/>
      <c r="H40" s="988"/>
      <c r="I40" s="989"/>
      <c r="J40" s="990"/>
      <c r="K40" s="990"/>
      <c r="L40" s="990" t="s">
        <v>681</v>
      </c>
      <c r="M40" s="990"/>
      <c r="N40" s="990"/>
      <c r="O40" s="990"/>
      <c r="P40" s="990"/>
      <c r="Q40" s="990"/>
      <c r="R40" s="990"/>
      <c r="S40" s="990"/>
      <c r="T40" s="995"/>
      <c r="U40" s="995"/>
      <c r="V40" s="988"/>
      <c r="W40" s="990"/>
      <c r="X40" s="990"/>
      <c r="Y40" s="990"/>
      <c r="Z40" s="990"/>
      <c r="AA40" s="990"/>
      <c r="AB40" s="990"/>
      <c r="AC40" s="990"/>
      <c r="AD40" s="990"/>
      <c r="AE40" s="990"/>
      <c r="AF40" s="990"/>
      <c r="AG40" s="990"/>
      <c r="AH40" s="990"/>
      <c r="AI40" s="990"/>
      <c r="AJ40" s="990"/>
      <c r="AK40" s="990"/>
      <c r="AL40" s="990"/>
      <c r="AM40" s="990"/>
      <c r="AN40" s="990"/>
      <c r="AO40" s="988"/>
      <c r="AP40" s="988"/>
      <c r="AQ40" s="988"/>
      <c r="AR40" s="988"/>
      <c r="AS40" s="988"/>
      <c r="AT40" s="988"/>
      <c r="AU40" s="990"/>
      <c r="AV40" s="990"/>
      <c r="AW40" s="988"/>
      <c r="AX40" s="988"/>
      <c r="AY40" s="988"/>
      <c r="AZ40" s="988"/>
      <c r="BA40" s="988"/>
      <c r="BB40" s="988"/>
      <c r="BC40" s="989"/>
      <c r="BD40" s="988"/>
      <c r="BE40" s="988"/>
      <c r="BF40" s="988"/>
      <c r="BG40" s="988"/>
      <c r="BH40" s="988"/>
      <c r="BI40" s="988"/>
      <c r="BJ40" s="988"/>
      <c r="BK40" s="991"/>
    </row>
    <row r="41" spans="1:63" ht="15.75" customHeight="1">
      <c r="A41" s="986"/>
      <c r="B41" s="988"/>
      <c r="C41" s="988"/>
      <c r="D41" s="988"/>
      <c r="E41" s="988"/>
      <c r="F41" s="988"/>
      <c r="G41" s="988"/>
      <c r="H41" s="988"/>
      <c r="I41" s="989"/>
      <c r="J41" s="990"/>
      <c r="K41" s="990"/>
      <c r="L41" s="990"/>
      <c r="M41" s="990" t="s">
        <v>672</v>
      </c>
      <c r="N41" s="990" t="s">
        <v>682</v>
      </c>
      <c r="O41" s="990"/>
      <c r="P41" s="990"/>
      <c r="Q41" s="990"/>
      <c r="R41" s="990"/>
      <c r="S41" s="990"/>
      <c r="T41" s="995"/>
      <c r="U41" s="1001"/>
      <c r="V41" s="988"/>
      <c r="W41" s="990"/>
      <c r="X41" s="990"/>
      <c r="Y41" s="990"/>
      <c r="Z41" s="990"/>
      <c r="AA41" s="990"/>
      <c r="AB41" s="990"/>
      <c r="AC41" s="990"/>
      <c r="AD41" s="990"/>
      <c r="AE41" s="990"/>
      <c r="AF41" s="990"/>
      <c r="AG41" s="990"/>
      <c r="AH41" s="990"/>
      <c r="AI41" s="990"/>
      <c r="AJ41" s="990"/>
      <c r="AK41" s="990"/>
      <c r="AL41" s="990"/>
      <c r="AM41" s="990"/>
      <c r="AN41" s="959"/>
      <c r="AO41" s="988"/>
      <c r="AP41" s="988"/>
      <c r="AQ41" s="988"/>
      <c r="AR41" s="988"/>
      <c r="AS41" s="988"/>
      <c r="AT41" s="988"/>
      <c r="AU41" s="990"/>
      <c r="AV41" s="990"/>
      <c r="AW41" s="988"/>
      <c r="AX41" s="988"/>
      <c r="AY41" s="988"/>
      <c r="AZ41" s="988"/>
      <c r="BA41" s="988"/>
      <c r="BB41" s="988"/>
      <c r="BC41" s="989"/>
      <c r="BD41" s="988"/>
      <c r="BE41" s="988"/>
      <c r="BF41" s="988"/>
      <c r="BG41" s="988"/>
      <c r="BH41" s="988"/>
      <c r="BI41" s="988"/>
      <c r="BJ41" s="988"/>
      <c r="BK41" s="991"/>
    </row>
    <row r="42" spans="1:63" ht="15.75" customHeight="1">
      <c r="A42" s="986"/>
      <c r="B42" s="988"/>
      <c r="C42" s="988"/>
      <c r="D42" s="988"/>
      <c r="E42" s="988"/>
      <c r="F42" s="988"/>
      <c r="G42" s="988"/>
      <c r="H42" s="988"/>
      <c r="I42" s="989"/>
      <c r="J42" s="990"/>
      <c r="K42" s="990"/>
      <c r="L42" s="990"/>
      <c r="M42" s="990"/>
      <c r="N42" s="990" t="s">
        <v>674</v>
      </c>
      <c r="O42" s="990"/>
      <c r="P42" s="990"/>
      <c r="Q42" s="990"/>
      <c r="R42" s="990"/>
      <c r="S42" s="1004"/>
      <c r="T42" s="990"/>
      <c r="U42" s="990"/>
      <c r="V42" s="990"/>
      <c r="W42" s="990"/>
      <c r="X42" s="990"/>
      <c r="Y42" s="990"/>
      <c r="Z42" s="990"/>
      <c r="AA42" s="990"/>
      <c r="AB42" s="990"/>
      <c r="AC42" s="990"/>
      <c r="AD42" s="990"/>
      <c r="AE42" s="990"/>
      <c r="AF42" s="990"/>
      <c r="AG42" s="990"/>
      <c r="AH42" s="990"/>
      <c r="AI42" s="990"/>
      <c r="AJ42" s="990"/>
      <c r="AK42" s="990"/>
      <c r="AL42" s="990"/>
      <c r="AM42" s="990"/>
      <c r="AN42" s="959"/>
      <c r="AO42" s="988"/>
      <c r="AP42" s="988"/>
      <c r="AQ42" s="988"/>
      <c r="AR42" s="988"/>
      <c r="AS42" s="988"/>
      <c r="AT42" s="988"/>
      <c r="AU42" s="990"/>
      <c r="AV42" s="990"/>
      <c r="AW42" s="988"/>
      <c r="AX42" s="988"/>
      <c r="AY42" s="988"/>
      <c r="AZ42" s="988"/>
      <c r="BA42" s="988"/>
      <c r="BB42" s="988"/>
      <c r="BC42" s="989"/>
      <c r="BD42" s="988"/>
      <c r="BE42" s="988"/>
      <c r="BF42" s="988"/>
      <c r="BG42" s="988"/>
      <c r="BH42" s="988"/>
      <c r="BI42" s="988"/>
      <c r="BJ42" s="988"/>
      <c r="BK42" s="991"/>
    </row>
    <row r="43" spans="1:63" ht="15.75" customHeight="1">
      <c r="A43" s="986"/>
      <c r="B43" s="988"/>
      <c r="C43" s="988"/>
      <c r="D43" s="988"/>
      <c r="E43" s="988"/>
      <c r="F43" s="988"/>
      <c r="G43" s="988"/>
      <c r="H43" s="988"/>
      <c r="I43" s="989"/>
      <c r="J43" s="988"/>
      <c r="K43" s="990"/>
      <c r="L43" s="990"/>
      <c r="M43" s="990"/>
      <c r="N43" s="990"/>
      <c r="O43" s="990"/>
      <c r="P43" s="990"/>
      <c r="Q43" s="990"/>
      <c r="R43" s="990"/>
      <c r="S43" s="990"/>
      <c r="T43" s="990"/>
      <c r="U43" s="990"/>
      <c r="V43" s="990"/>
      <c r="W43" s="990"/>
      <c r="X43" s="990"/>
      <c r="Y43" s="990"/>
      <c r="Z43" s="990"/>
      <c r="AA43" s="990"/>
      <c r="AB43" s="990"/>
      <c r="AC43" s="990"/>
      <c r="AD43" s="990"/>
      <c r="AE43" s="990"/>
      <c r="AF43" s="990"/>
      <c r="AG43" s="990"/>
      <c r="AH43" s="990"/>
      <c r="AI43" s="990"/>
      <c r="AJ43" s="990"/>
      <c r="AK43" s="990"/>
      <c r="AL43" s="990"/>
      <c r="AM43" s="990"/>
      <c r="AN43" s="959"/>
      <c r="AO43" s="988"/>
      <c r="AP43" s="988"/>
      <c r="AQ43" s="988"/>
      <c r="AR43" s="988"/>
      <c r="AS43" s="988"/>
      <c r="AT43" s="988"/>
      <c r="AU43" s="990"/>
      <c r="AV43" s="990"/>
      <c r="AW43" s="988"/>
      <c r="AX43" s="988"/>
      <c r="AY43" s="988"/>
      <c r="AZ43" s="988"/>
      <c r="BA43" s="988"/>
      <c r="BB43" s="988"/>
      <c r="BC43" s="989"/>
      <c r="BD43" s="988"/>
      <c r="BE43" s="988"/>
      <c r="BF43" s="988"/>
      <c r="BG43" s="988"/>
      <c r="BH43" s="988"/>
      <c r="BI43" s="988"/>
      <c r="BJ43" s="988"/>
      <c r="BK43" s="991"/>
    </row>
    <row r="44" spans="1:63" ht="15.75" customHeight="1">
      <c r="A44" s="986"/>
      <c r="B44" s="987"/>
      <c r="C44" s="988"/>
      <c r="D44" s="988"/>
      <c r="E44" s="988"/>
      <c r="F44" s="988"/>
      <c r="G44" s="988"/>
      <c r="H44" s="988"/>
      <c r="I44" s="989"/>
      <c r="J44" s="990" t="s">
        <v>683</v>
      </c>
      <c r="K44" s="990"/>
      <c r="L44" s="990" t="s">
        <v>684</v>
      </c>
      <c r="M44" s="990"/>
      <c r="N44" s="990"/>
      <c r="O44" s="990"/>
      <c r="P44" s="990"/>
      <c r="Q44" s="990"/>
      <c r="R44" s="990"/>
      <c r="S44" s="959"/>
      <c r="T44" s="990"/>
      <c r="U44" s="990"/>
      <c r="V44" s="990"/>
      <c r="W44" s="988"/>
      <c r="X44" s="990"/>
      <c r="Y44" s="990"/>
      <c r="Z44" s="990"/>
      <c r="AA44" s="990"/>
      <c r="AB44" s="990"/>
      <c r="AC44" s="990"/>
      <c r="AD44" s="990"/>
      <c r="AE44" s="990"/>
      <c r="AF44" s="990"/>
      <c r="AG44" s="990"/>
      <c r="AH44" s="990"/>
      <c r="AI44" s="990"/>
      <c r="AJ44" s="990"/>
      <c r="AK44" s="990"/>
      <c r="AL44" s="990"/>
      <c r="AM44" s="990"/>
      <c r="AN44" s="988"/>
      <c r="AO44" s="988"/>
      <c r="AP44" s="988"/>
      <c r="AQ44" s="988"/>
      <c r="AR44" s="988"/>
      <c r="AS44" s="988"/>
      <c r="AT44" s="988"/>
      <c r="AU44" s="988"/>
      <c r="AV44" s="988"/>
      <c r="AW44" s="988"/>
      <c r="AX44" s="988"/>
      <c r="AY44" s="988"/>
      <c r="AZ44" s="988"/>
      <c r="BA44" s="988"/>
      <c r="BB44" s="988"/>
      <c r="BC44" s="989"/>
      <c r="BD44" s="988"/>
      <c r="BE44" s="988"/>
      <c r="BF44" s="988"/>
      <c r="BG44" s="988"/>
      <c r="BH44" s="988"/>
      <c r="BI44" s="988"/>
      <c r="BJ44" s="988"/>
      <c r="BK44" s="991"/>
    </row>
    <row r="45" spans="1:63" ht="15.75" customHeight="1">
      <c r="A45" s="986"/>
      <c r="B45" s="987"/>
      <c r="C45" s="988"/>
      <c r="D45" s="988"/>
      <c r="E45" s="988"/>
      <c r="F45" s="988"/>
      <c r="G45" s="988"/>
      <c r="H45" s="988"/>
      <c r="I45" s="989"/>
      <c r="J45" s="990"/>
      <c r="K45" s="990"/>
      <c r="L45" s="990" t="s">
        <v>685</v>
      </c>
      <c r="M45" s="990"/>
      <c r="N45" s="990" t="s">
        <v>686</v>
      </c>
      <c r="O45" s="990"/>
      <c r="P45" s="990"/>
      <c r="Q45" s="990"/>
      <c r="R45" s="990"/>
      <c r="S45" s="959"/>
      <c r="T45" s="990"/>
      <c r="U45" s="990"/>
      <c r="V45" s="990"/>
      <c r="W45" s="988"/>
      <c r="X45" s="990"/>
      <c r="Y45" s="990"/>
      <c r="Z45" s="990"/>
      <c r="AA45" s="990"/>
      <c r="AB45" s="990"/>
      <c r="AC45" s="990"/>
      <c r="AD45" s="990"/>
      <c r="AE45" s="990"/>
      <c r="AF45" s="990"/>
      <c r="AG45" s="990"/>
      <c r="AH45" s="990"/>
      <c r="AI45" s="990"/>
      <c r="AJ45" s="990"/>
      <c r="AK45" s="990"/>
      <c r="AL45" s="990"/>
      <c r="AM45" s="990"/>
      <c r="AN45" s="988"/>
      <c r="AO45" s="988"/>
      <c r="AP45" s="988"/>
      <c r="AQ45" s="988"/>
      <c r="AR45" s="988"/>
      <c r="AS45" s="988"/>
      <c r="AT45" s="988"/>
      <c r="AU45" s="988"/>
      <c r="AV45" s="988"/>
      <c r="AW45" s="988"/>
      <c r="AX45" s="988"/>
      <c r="AY45" s="988"/>
      <c r="AZ45" s="988"/>
      <c r="BA45" s="988"/>
      <c r="BB45" s="988"/>
      <c r="BC45" s="989"/>
      <c r="BD45" s="988"/>
      <c r="BE45" s="988"/>
      <c r="BF45" s="988"/>
      <c r="BG45" s="988"/>
      <c r="BH45" s="988"/>
      <c r="BI45" s="988"/>
      <c r="BJ45" s="988"/>
      <c r="BK45" s="991"/>
    </row>
    <row r="46" spans="1:63" ht="15.75" customHeight="1">
      <c r="A46" s="986"/>
      <c r="B46" s="987"/>
      <c r="C46" s="988"/>
      <c r="D46" s="988"/>
      <c r="E46" s="988"/>
      <c r="F46" s="988"/>
      <c r="G46" s="988"/>
      <c r="H46" s="988"/>
      <c r="I46" s="989"/>
      <c r="J46" s="990"/>
      <c r="K46" s="990"/>
      <c r="L46" s="990"/>
      <c r="M46" s="990"/>
      <c r="N46" s="990" t="s">
        <v>687</v>
      </c>
      <c r="O46" s="990"/>
      <c r="P46" s="990"/>
      <c r="Q46" s="990"/>
      <c r="R46" s="990"/>
      <c r="S46" s="959"/>
      <c r="T46" s="990"/>
      <c r="U46" s="990"/>
      <c r="V46" s="990"/>
      <c r="W46" s="988"/>
      <c r="X46" s="990"/>
      <c r="Y46" s="990"/>
      <c r="Z46" s="990"/>
      <c r="AA46" s="990"/>
      <c r="AB46" s="990"/>
      <c r="AC46" s="990"/>
      <c r="AD46" s="990"/>
      <c r="AE46" s="990"/>
      <c r="AF46" s="990"/>
      <c r="AG46" s="990"/>
      <c r="AH46" s="990"/>
      <c r="AI46" s="990"/>
      <c r="AJ46" s="990"/>
      <c r="AK46" s="990"/>
      <c r="AL46" s="990"/>
      <c r="AM46" s="990"/>
      <c r="AN46" s="988"/>
      <c r="AO46" s="988"/>
      <c r="AP46" s="988"/>
      <c r="AQ46" s="988"/>
      <c r="AR46" s="988"/>
      <c r="AS46" s="988"/>
      <c r="AT46" s="988"/>
      <c r="AU46" s="988"/>
      <c r="AV46" s="988"/>
      <c r="AW46" s="988"/>
      <c r="AX46" s="988"/>
      <c r="AY46" s="988"/>
      <c r="AZ46" s="988"/>
      <c r="BA46" s="988"/>
      <c r="BB46" s="988"/>
      <c r="BC46" s="989"/>
      <c r="BD46" s="988" t="s">
        <v>688</v>
      </c>
      <c r="BE46" s="988"/>
      <c r="BF46" s="988"/>
      <c r="BG46" s="988"/>
      <c r="BH46" s="988"/>
      <c r="BI46" s="988"/>
      <c r="BJ46" s="988"/>
      <c r="BK46" s="991"/>
    </row>
    <row r="47" spans="1:63" ht="15.75" customHeight="1">
      <c r="A47" s="986"/>
      <c r="B47" s="987"/>
      <c r="C47" s="988"/>
      <c r="D47" s="988"/>
      <c r="E47" s="988"/>
      <c r="F47" s="988"/>
      <c r="G47" s="988"/>
      <c r="H47" s="988"/>
      <c r="I47" s="989"/>
      <c r="J47" s="990"/>
      <c r="K47" s="990"/>
      <c r="L47" s="990"/>
      <c r="M47" s="990"/>
      <c r="N47" s="990" t="s">
        <v>689</v>
      </c>
      <c r="O47" s="990"/>
      <c r="P47" s="990"/>
      <c r="Q47" s="990"/>
      <c r="R47" s="990"/>
      <c r="S47" s="959"/>
      <c r="T47" s="990"/>
      <c r="U47" s="990"/>
      <c r="V47" s="990"/>
      <c r="W47" s="988"/>
      <c r="X47" s="990"/>
      <c r="Y47" s="990"/>
      <c r="Z47" s="990"/>
      <c r="AA47" s="990"/>
      <c r="AB47" s="990"/>
      <c r="AC47" s="990"/>
      <c r="AD47" s="990"/>
      <c r="AE47" s="990"/>
      <c r="AF47" s="990"/>
      <c r="AG47" s="990"/>
      <c r="AH47" s="990"/>
      <c r="AI47" s="990"/>
      <c r="AJ47" s="990"/>
      <c r="AK47" s="990"/>
      <c r="AL47" s="990"/>
      <c r="AM47" s="990"/>
      <c r="AN47" s="988"/>
      <c r="AO47" s="988"/>
      <c r="AP47" s="988"/>
      <c r="AQ47" s="988"/>
      <c r="AR47" s="988"/>
      <c r="AS47" s="988"/>
      <c r="AT47" s="988"/>
      <c r="AU47" s="988"/>
      <c r="AV47" s="988"/>
      <c r="AW47" s="988"/>
      <c r="AX47" s="988"/>
      <c r="AY47" s="988"/>
      <c r="AZ47" s="988"/>
      <c r="BA47" s="988"/>
      <c r="BB47" s="988"/>
      <c r="BC47" s="989"/>
      <c r="BD47" s="988" t="s">
        <v>690</v>
      </c>
      <c r="BE47" s="988"/>
      <c r="BF47" s="988"/>
      <c r="BG47" s="988"/>
      <c r="BH47" s="988"/>
      <c r="BI47" s="988"/>
      <c r="BJ47" s="988"/>
      <c r="BK47" s="991"/>
    </row>
    <row r="48" spans="1:63" ht="15.75" customHeight="1">
      <c r="A48" s="986"/>
      <c r="B48" s="987"/>
      <c r="C48" s="988"/>
      <c r="D48" s="988"/>
      <c r="E48" s="988"/>
      <c r="F48" s="988"/>
      <c r="G48" s="988"/>
      <c r="H48" s="988"/>
      <c r="I48" s="989"/>
      <c r="J48" s="990"/>
      <c r="K48" s="990"/>
      <c r="L48" s="990"/>
      <c r="M48" s="990"/>
      <c r="N48" s="990"/>
      <c r="O48" s="990"/>
      <c r="P48" s="990"/>
      <c r="Q48" s="990"/>
      <c r="R48" s="990"/>
      <c r="S48" s="959"/>
      <c r="T48" s="990"/>
      <c r="U48" s="990"/>
      <c r="V48" s="990"/>
      <c r="W48" s="988"/>
      <c r="X48" s="990"/>
      <c r="Y48" s="990"/>
      <c r="Z48" s="990"/>
      <c r="AA48" s="990"/>
      <c r="AB48" s="990"/>
      <c r="AC48" s="990"/>
      <c r="AD48" s="990"/>
      <c r="AE48" s="990"/>
      <c r="AF48" s="990"/>
      <c r="AG48" s="990"/>
      <c r="AH48" s="990"/>
      <c r="AI48" s="990"/>
      <c r="AJ48" s="990"/>
      <c r="AK48" s="990"/>
      <c r="AL48" s="990"/>
      <c r="AM48" s="990"/>
      <c r="AN48" s="988"/>
      <c r="AO48" s="988"/>
      <c r="AP48" s="988"/>
      <c r="AQ48" s="988"/>
      <c r="AR48" s="988"/>
      <c r="AS48" s="988"/>
      <c r="AT48" s="988"/>
      <c r="AU48" s="988"/>
      <c r="AV48" s="988"/>
      <c r="AW48" s="988"/>
      <c r="AX48" s="988"/>
      <c r="AY48" s="988"/>
      <c r="AZ48" s="988"/>
      <c r="BA48" s="988"/>
      <c r="BB48" s="988"/>
      <c r="BC48" s="988"/>
      <c r="BD48" s="987"/>
      <c r="BE48" s="988"/>
      <c r="BF48" s="988"/>
      <c r="BG48" s="988"/>
      <c r="BH48" s="988"/>
      <c r="BI48" s="988"/>
      <c r="BJ48" s="988"/>
      <c r="BK48" s="991"/>
    </row>
    <row r="49" spans="1:64" ht="15.75" customHeight="1">
      <c r="A49" s="986"/>
      <c r="B49" s="987"/>
      <c r="C49" s="988"/>
      <c r="D49" s="988"/>
      <c r="E49" s="988"/>
      <c r="F49" s="988"/>
      <c r="G49" s="988"/>
      <c r="H49" s="988"/>
      <c r="I49" s="989"/>
      <c r="J49" s="990"/>
      <c r="K49" s="990"/>
      <c r="L49" s="990" t="s">
        <v>691</v>
      </c>
      <c r="M49" s="990"/>
      <c r="N49" s="990" t="s">
        <v>692</v>
      </c>
      <c r="O49" s="990"/>
      <c r="P49" s="990"/>
      <c r="Q49" s="990"/>
      <c r="R49" s="990"/>
      <c r="S49" s="959"/>
      <c r="T49" s="990"/>
      <c r="U49" s="990"/>
      <c r="V49" s="990"/>
      <c r="W49" s="988"/>
      <c r="X49" s="990"/>
      <c r="Y49" s="990"/>
      <c r="Z49" s="990"/>
      <c r="AA49" s="990"/>
      <c r="AB49" s="990"/>
      <c r="AC49" s="990"/>
      <c r="AD49" s="990"/>
      <c r="AE49" s="990"/>
      <c r="AF49" s="990"/>
      <c r="AG49" s="990"/>
      <c r="AH49" s="990"/>
      <c r="AI49" s="990"/>
      <c r="AJ49" s="990"/>
      <c r="AK49" s="990"/>
      <c r="AL49" s="990"/>
      <c r="AM49" s="990"/>
      <c r="AN49" s="988"/>
      <c r="AO49" s="988"/>
      <c r="AP49" s="988"/>
      <c r="AQ49" s="988"/>
      <c r="AR49" s="988"/>
      <c r="AS49" s="988"/>
      <c r="AT49" s="988"/>
      <c r="AU49" s="988"/>
      <c r="AV49" s="988"/>
      <c r="AW49" s="988"/>
      <c r="AX49" s="988"/>
      <c r="AY49" s="988"/>
      <c r="AZ49" s="988"/>
      <c r="BA49" s="988"/>
      <c r="BB49" s="988"/>
      <c r="BC49" s="988"/>
      <c r="BD49" s="987" t="s">
        <v>693</v>
      </c>
      <c r="BE49" s="988"/>
      <c r="BF49" s="988"/>
      <c r="BG49" s="988"/>
      <c r="BH49" s="988"/>
      <c r="BI49" s="988"/>
      <c r="BJ49" s="988"/>
      <c r="BK49" s="991"/>
    </row>
    <row r="50" spans="1:64" ht="15.75" customHeight="1">
      <c r="A50" s="986"/>
      <c r="B50" s="987"/>
      <c r="C50" s="988"/>
      <c r="D50" s="988"/>
      <c r="E50" s="988"/>
      <c r="F50" s="988"/>
      <c r="G50" s="988"/>
      <c r="H50" s="988"/>
      <c r="I50" s="989"/>
      <c r="J50" s="990"/>
      <c r="K50" s="990"/>
      <c r="M50" s="990"/>
      <c r="N50" s="990" t="s">
        <v>694</v>
      </c>
      <c r="O50" s="990"/>
      <c r="P50" s="990"/>
      <c r="Q50" s="990"/>
      <c r="R50" s="990"/>
      <c r="S50" s="1004"/>
      <c r="T50" s="990"/>
      <c r="U50" s="990"/>
      <c r="V50" s="990"/>
      <c r="W50" s="990"/>
      <c r="X50" s="990"/>
      <c r="Y50" s="990"/>
      <c r="Z50" s="990"/>
      <c r="AA50" s="990"/>
      <c r="AB50" s="990"/>
      <c r="AC50" s="990"/>
      <c r="AD50" s="990"/>
      <c r="AE50" s="990"/>
      <c r="AF50" s="990"/>
      <c r="AG50" s="990"/>
      <c r="AH50" s="990"/>
      <c r="AI50" s="990"/>
      <c r="AJ50" s="990"/>
      <c r="AK50" s="990"/>
      <c r="AL50" s="990"/>
      <c r="AM50" s="990"/>
      <c r="AN50" s="988"/>
      <c r="AO50" s="988"/>
      <c r="AP50" s="988"/>
      <c r="AQ50" s="988"/>
      <c r="AR50" s="988"/>
      <c r="AS50" s="988"/>
      <c r="AT50" s="988"/>
      <c r="AU50" s="988"/>
      <c r="AV50" s="988"/>
      <c r="AW50" s="988"/>
      <c r="AX50" s="988"/>
      <c r="AY50" s="988"/>
      <c r="AZ50" s="988"/>
      <c r="BA50" s="988"/>
      <c r="BB50" s="988"/>
      <c r="BC50" s="988"/>
      <c r="BD50" s="987" t="s">
        <v>695</v>
      </c>
      <c r="BE50" s="988"/>
      <c r="BF50" s="988"/>
      <c r="BG50" s="988"/>
      <c r="BH50" s="988"/>
      <c r="BI50" s="988"/>
      <c r="BJ50" s="988"/>
      <c r="BK50" s="991"/>
    </row>
    <row r="51" spans="1:64" ht="15.75" customHeight="1">
      <c r="A51" s="986"/>
      <c r="B51" s="987"/>
      <c r="C51" s="988"/>
      <c r="D51" s="988"/>
      <c r="E51" s="988"/>
      <c r="F51" s="988"/>
      <c r="G51" s="988"/>
      <c r="H51" s="988"/>
      <c r="I51" s="989"/>
      <c r="J51" s="990"/>
      <c r="K51" s="990"/>
      <c r="M51" s="990"/>
      <c r="N51" s="990" t="s">
        <v>696</v>
      </c>
      <c r="O51" s="990"/>
      <c r="P51" s="990"/>
      <c r="Q51" s="990"/>
      <c r="R51" s="990"/>
      <c r="S51" s="1004"/>
      <c r="T51" s="990"/>
      <c r="U51" s="990"/>
      <c r="V51" s="990"/>
      <c r="W51" s="990"/>
      <c r="X51" s="990"/>
      <c r="Y51" s="990"/>
      <c r="Z51" s="990"/>
      <c r="AA51" s="990"/>
      <c r="AB51" s="990"/>
      <c r="AC51" s="990"/>
      <c r="AD51" s="990"/>
      <c r="AE51" s="990"/>
      <c r="AF51" s="990"/>
      <c r="AG51" s="990"/>
      <c r="AH51" s="990"/>
      <c r="AI51" s="990"/>
      <c r="AJ51" s="990"/>
      <c r="AK51" s="990"/>
      <c r="AL51" s="990"/>
      <c r="AM51" s="959"/>
      <c r="AN51" s="988"/>
      <c r="AO51" s="988"/>
      <c r="AP51" s="988"/>
      <c r="AQ51" s="988"/>
      <c r="AR51" s="988"/>
      <c r="AS51" s="988"/>
      <c r="AT51" s="988"/>
      <c r="AU51" s="988"/>
      <c r="AV51" s="988"/>
      <c r="AW51" s="988"/>
      <c r="AX51" s="988"/>
      <c r="AY51" s="988"/>
      <c r="AZ51" s="988"/>
      <c r="BA51" s="988"/>
      <c r="BB51" s="988"/>
      <c r="BC51" s="988"/>
      <c r="BD51" s="987"/>
      <c r="BE51" s="988"/>
      <c r="BF51" s="988"/>
      <c r="BG51" s="988"/>
      <c r="BH51" s="988"/>
      <c r="BI51" s="988"/>
      <c r="BJ51" s="988"/>
      <c r="BK51" s="991"/>
    </row>
    <row r="52" spans="1:64" ht="15.75" customHeight="1">
      <c r="A52" s="986"/>
      <c r="B52" s="987"/>
      <c r="C52" s="988"/>
      <c r="D52" s="988"/>
      <c r="E52" s="988"/>
      <c r="F52" s="988"/>
      <c r="G52" s="988"/>
      <c r="H52" s="988"/>
      <c r="I52" s="989"/>
      <c r="J52" s="990"/>
      <c r="K52" s="990"/>
      <c r="L52" s="990"/>
      <c r="M52" s="990"/>
      <c r="N52" s="990"/>
      <c r="O52" s="990"/>
      <c r="P52" s="990"/>
      <c r="Q52" s="990"/>
      <c r="R52" s="990"/>
      <c r="S52" s="995"/>
      <c r="T52" s="995"/>
      <c r="U52" s="988"/>
      <c r="V52" s="990"/>
      <c r="W52" s="990"/>
      <c r="X52" s="990"/>
      <c r="Y52" s="990"/>
      <c r="Z52" s="990"/>
      <c r="AA52" s="990"/>
      <c r="AB52" s="990"/>
      <c r="AC52" s="990"/>
      <c r="AD52" s="990"/>
      <c r="AE52" s="990"/>
      <c r="AF52" s="990"/>
      <c r="AG52" s="990"/>
      <c r="AH52" s="990"/>
      <c r="AI52" s="990"/>
      <c r="AJ52" s="990"/>
      <c r="AK52" s="990"/>
      <c r="AL52" s="990"/>
      <c r="AM52" s="959"/>
      <c r="AN52" s="988"/>
      <c r="AO52" s="988"/>
      <c r="AP52" s="988"/>
      <c r="AQ52" s="988"/>
      <c r="AR52" s="988"/>
      <c r="AS52" s="988"/>
      <c r="AT52" s="988"/>
      <c r="AU52" s="988"/>
      <c r="AV52" s="988"/>
      <c r="AW52" s="988"/>
      <c r="AX52" s="988"/>
      <c r="AY52" s="988"/>
      <c r="AZ52" s="988"/>
      <c r="BA52" s="988"/>
      <c r="BB52" s="988"/>
      <c r="BC52" s="988"/>
      <c r="BD52" s="987"/>
      <c r="BE52" s="988"/>
      <c r="BF52" s="988"/>
      <c r="BG52" s="988"/>
      <c r="BH52" s="988"/>
      <c r="BI52" s="988"/>
      <c r="BJ52" s="988"/>
      <c r="BK52" s="991"/>
    </row>
    <row r="53" spans="1:64" ht="15.75" customHeight="1">
      <c r="A53" s="986"/>
      <c r="B53" s="987"/>
      <c r="C53" s="988"/>
      <c r="D53" s="988"/>
      <c r="E53" s="988"/>
      <c r="F53" s="988"/>
      <c r="G53" s="988"/>
      <c r="H53" s="988"/>
      <c r="I53" s="989"/>
      <c r="J53" s="990"/>
      <c r="N53" s="990" t="s">
        <v>697</v>
      </c>
      <c r="O53" s="959"/>
      <c r="P53" s="990"/>
      <c r="Q53" s="990"/>
      <c r="R53" s="990"/>
      <c r="S53" s="990"/>
      <c r="T53" s="990"/>
      <c r="U53" s="990"/>
      <c r="V53" s="990"/>
      <c r="W53" s="990"/>
      <c r="X53" s="990"/>
      <c r="Y53" s="990"/>
      <c r="Z53" s="990"/>
      <c r="AA53" s="990"/>
      <c r="AB53" s="990"/>
      <c r="AC53" s="990"/>
      <c r="AD53" s="990"/>
      <c r="AE53" s="990"/>
      <c r="AF53" s="990"/>
      <c r="AG53" s="990"/>
      <c r="AH53" s="990"/>
      <c r="AI53" s="990"/>
      <c r="AJ53" s="990"/>
      <c r="AK53" s="990"/>
      <c r="AL53" s="990"/>
      <c r="AM53" s="959"/>
      <c r="AN53" s="988"/>
      <c r="AO53" s="988"/>
      <c r="AP53" s="988"/>
      <c r="AQ53" s="988"/>
      <c r="AR53" s="988"/>
      <c r="AS53" s="988"/>
      <c r="AT53" s="988"/>
      <c r="AU53" s="988"/>
      <c r="AV53" s="988"/>
      <c r="AW53" s="988"/>
      <c r="AX53" s="988"/>
      <c r="AY53" s="988"/>
      <c r="AZ53" s="988"/>
      <c r="BA53" s="988"/>
      <c r="BB53" s="988"/>
      <c r="BC53" s="988"/>
      <c r="BD53" s="987"/>
      <c r="BE53" s="988"/>
      <c r="BF53" s="988"/>
      <c r="BG53" s="988"/>
      <c r="BH53" s="988"/>
      <c r="BI53" s="988"/>
      <c r="BJ53" s="988"/>
      <c r="BK53" s="991"/>
    </row>
    <row r="54" spans="1:64" ht="15.75" customHeight="1">
      <c r="A54" s="986"/>
      <c r="B54" s="987"/>
      <c r="C54" s="988"/>
      <c r="D54" s="988"/>
      <c r="E54" s="988"/>
      <c r="F54" s="988"/>
      <c r="G54" s="988"/>
      <c r="H54" s="988"/>
      <c r="I54" s="989"/>
      <c r="J54" s="990"/>
      <c r="N54" s="990"/>
      <c r="O54" s="990"/>
      <c r="P54" s="990" t="s">
        <v>698</v>
      </c>
      <c r="Q54" s="990"/>
      <c r="R54" s="990"/>
      <c r="S54" s="990"/>
      <c r="T54" s="990"/>
      <c r="U54" s="990"/>
      <c r="V54" s="990"/>
      <c r="W54" s="990"/>
      <c r="X54" s="990"/>
      <c r="Y54" s="990"/>
      <c r="Z54" s="990"/>
      <c r="AA54" s="990"/>
      <c r="AB54" s="990"/>
      <c r="AC54" s="990"/>
      <c r="AD54" s="990"/>
      <c r="AE54" s="990"/>
      <c r="AF54" s="990"/>
      <c r="AG54" s="990"/>
      <c r="AH54" s="990"/>
      <c r="AI54" s="990"/>
      <c r="AJ54" s="990"/>
      <c r="AK54" s="990"/>
      <c r="AL54" s="990"/>
      <c r="AM54" s="990"/>
      <c r="AN54" s="990"/>
      <c r="AO54" s="959"/>
      <c r="AP54" s="988"/>
      <c r="AQ54" s="988"/>
      <c r="AR54" s="988"/>
      <c r="AS54" s="988"/>
      <c r="AT54" s="988"/>
      <c r="AU54" s="988"/>
      <c r="AV54" s="988"/>
      <c r="AW54" s="988"/>
      <c r="AX54" s="988"/>
      <c r="AY54" s="988"/>
      <c r="AZ54" s="988"/>
      <c r="BA54" s="988"/>
      <c r="BB54" s="988"/>
      <c r="BC54" s="988"/>
      <c r="BD54" s="987"/>
      <c r="BE54" s="988"/>
      <c r="BF54" s="988"/>
      <c r="BG54" s="988"/>
      <c r="BH54" s="988"/>
      <c r="BI54" s="988"/>
      <c r="BJ54" s="988"/>
      <c r="BK54" s="991"/>
    </row>
    <row r="55" spans="1:64" ht="15.75" customHeight="1">
      <c r="A55" s="986"/>
      <c r="B55" s="987"/>
      <c r="C55" s="988"/>
      <c r="D55" s="988"/>
      <c r="E55" s="988"/>
      <c r="F55" s="988"/>
      <c r="G55" s="988"/>
      <c r="H55" s="988"/>
      <c r="I55" s="989"/>
      <c r="J55" s="990"/>
      <c r="N55" s="990"/>
      <c r="O55" s="990"/>
      <c r="P55" s="959"/>
      <c r="Q55" s="990" t="s">
        <v>699</v>
      </c>
      <c r="R55" s="990" t="s">
        <v>700</v>
      </c>
      <c r="S55" s="990"/>
      <c r="T55" s="990"/>
      <c r="U55" s="990"/>
      <c r="V55" s="990"/>
      <c r="W55" s="990"/>
      <c r="X55" s="990"/>
      <c r="Y55" s="990"/>
      <c r="Z55" s="990"/>
      <c r="AA55" s="990"/>
      <c r="AB55" s="990"/>
      <c r="AC55" s="990"/>
      <c r="AD55" s="990"/>
      <c r="AE55" s="990"/>
      <c r="AF55" s="990"/>
      <c r="AG55" s="990"/>
      <c r="AH55" s="990"/>
      <c r="AI55" s="990"/>
      <c r="AJ55" s="990"/>
      <c r="AK55" s="990"/>
      <c r="AL55" s="990"/>
      <c r="AM55" s="990"/>
      <c r="AN55" s="990"/>
      <c r="AO55" s="959"/>
      <c r="AP55" s="988"/>
      <c r="AQ55" s="988"/>
      <c r="AR55" s="988"/>
      <c r="AS55" s="988"/>
      <c r="AT55" s="988"/>
      <c r="AU55" s="988"/>
      <c r="AV55" s="988"/>
      <c r="AW55" s="988"/>
      <c r="AX55" s="988"/>
      <c r="AY55" s="988"/>
      <c r="AZ55" s="988"/>
      <c r="BA55" s="988"/>
      <c r="BB55" s="988"/>
      <c r="BC55" s="988"/>
      <c r="BD55" s="987"/>
      <c r="BE55" s="988"/>
      <c r="BF55" s="988"/>
      <c r="BG55" s="988"/>
      <c r="BH55" s="988"/>
      <c r="BI55" s="988"/>
      <c r="BJ55" s="988"/>
      <c r="BK55" s="991"/>
    </row>
    <row r="56" spans="1:64" ht="15.75" customHeight="1">
      <c r="A56" s="986"/>
      <c r="B56" s="987"/>
      <c r="C56" s="988"/>
      <c r="D56" s="988"/>
      <c r="E56" s="988"/>
      <c r="F56" s="988"/>
      <c r="G56" s="988"/>
      <c r="H56" s="988"/>
      <c r="I56" s="989"/>
      <c r="J56" s="990"/>
      <c r="N56" s="990"/>
      <c r="O56" s="990"/>
      <c r="P56" s="959"/>
      <c r="Q56" s="990" t="s">
        <v>699</v>
      </c>
      <c r="R56" s="990" t="s">
        <v>701</v>
      </c>
      <c r="S56" s="990"/>
      <c r="T56" s="990"/>
      <c r="U56" s="990"/>
      <c r="V56" s="990"/>
      <c r="W56" s="990"/>
      <c r="X56" s="990"/>
      <c r="Y56" s="990"/>
      <c r="Z56" s="990"/>
      <c r="AA56" s="990"/>
      <c r="AB56" s="990"/>
      <c r="AC56" s="990"/>
      <c r="AD56" s="990"/>
      <c r="AE56" s="990" t="s">
        <v>702</v>
      </c>
      <c r="AF56" s="990"/>
      <c r="AG56" s="990"/>
      <c r="AH56" s="990"/>
      <c r="AI56" s="990"/>
      <c r="AJ56" s="990"/>
      <c r="AK56" s="990"/>
      <c r="AL56" s="990"/>
      <c r="AM56" s="990"/>
      <c r="AN56" s="990"/>
      <c r="AO56" s="990"/>
      <c r="AP56" s="988"/>
      <c r="AQ56" s="988"/>
      <c r="AR56" s="988"/>
      <c r="AS56" s="988"/>
      <c r="AT56" s="988"/>
      <c r="AU56" s="988"/>
      <c r="AV56" s="988"/>
      <c r="AW56" s="988"/>
      <c r="AX56" s="988"/>
      <c r="AY56" s="988"/>
      <c r="AZ56" s="988"/>
      <c r="BA56" s="988"/>
      <c r="BB56" s="988"/>
      <c r="BC56" s="988"/>
      <c r="BD56" s="987"/>
      <c r="BE56" s="988"/>
      <c r="BF56" s="988"/>
      <c r="BG56" s="988"/>
      <c r="BH56" s="988"/>
      <c r="BI56" s="988"/>
      <c r="BJ56" s="988"/>
      <c r="BK56" s="991"/>
    </row>
    <row r="57" spans="1:64" ht="15.75" customHeight="1">
      <c r="A57" s="986"/>
      <c r="B57" s="987"/>
      <c r="C57" s="988"/>
      <c r="D57" s="988"/>
      <c r="E57" s="988"/>
      <c r="F57" s="988"/>
      <c r="G57" s="988"/>
      <c r="H57" s="988"/>
      <c r="I57" s="989"/>
      <c r="J57" s="990"/>
      <c r="N57" s="990"/>
      <c r="O57" s="990"/>
      <c r="P57" s="959"/>
      <c r="Q57" s="990" t="s">
        <v>699</v>
      </c>
      <c r="R57" s="990" t="s">
        <v>701</v>
      </c>
      <c r="S57" s="990"/>
      <c r="T57" s="990"/>
      <c r="U57" s="990"/>
      <c r="V57" s="990"/>
      <c r="W57" s="990"/>
      <c r="X57" s="990"/>
      <c r="Y57" s="990"/>
      <c r="Z57" s="990"/>
      <c r="AA57" s="990"/>
      <c r="AB57" s="990"/>
      <c r="AC57" s="990"/>
      <c r="AD57" s="990"/>
      <c r="AE57" s="990" t="s">
        <v>703</v>
      </c>
      <c r="AF57" s="990"/>
      <c r="AG57" s="990"/>
      <c r="AH57" s="990"/>
      <c r="AI57" s="990"/>
      <c r="AJ57" s="990"/>
      <c r="AK57" s="990"/>
      <c r="AL57" s="990"/>
      <c r="AM57" s="990"/>
      <c r="AN57" s="990"/>
      <c r="AO57" s="990"/>
      <c r="AP57" s="988"/>
      <c r="AQ57" s="988"/>
      <c r="AR57" s="988"/>
      <c r="AS57" s="988"/>
      <c r="AT57" s="988"/>
      <c r="AU57" s="988"/>
      <c r="AV57" s="988"/>
      <c r="AW57" s="988"/>
      <c r="AX57" s="988"/>
      <c r="AY57" s="988"/>
      <c r="AZ57" s="988"/>
      <c r="BA57" s="988"/>
      <c r="BB57" s="988"/>
      <c r="BC57" s="988"/>
      <c r="BD57" s="987"/>
      <c r="BE57" s="988"/>
      <c r="BF57" s="988"/>
      <c r="BG57" s="988"/>
      <c r="BH57" s="988"/>
      <c r="BI57" s="988"/>
      <c r="BJ57" s="988"/>
      <c r="BK57" s="991"/>
    </row>
    <row r="58" spans="1:64" ht="15.75" customHeight="1">
      <c r="A58" s="986"/>
      <c r="B58" s="987"/>
      <c r="C58" s="988"/>
      <c r="D58" s="988"/>
      <c r="E58" s="988"/>
      <c r="F58" s="988"/>
      <c r="G58" s="988"/>
      <c r="H58" s="988"/>
      <c r="I58" s="989"/>
      <c r="J58" s="990"/>
      <c r="N58" s="990"/>
      <c r="O58" s="990"/>
      <c r="P58" s="959"/>
      <c r="Q58" s="990" t="s">
        <v>699</v>
      </c>
      <c r="R58" s="990" t="s">
        <v>701</v>
      </c>
      <c r="S58" s="990"/>
      <c r="T58" s="990"/>
      <c r="U58" s="990"/>
      <c r="V58" s="990"/>
      <c r="W58" s="990"/>
      <c r="X58" s="990"/>
      <c r="Y58" s="990"/>
      <c r="Z58" s="990"/>
      <c r="AA58" s="990"/>
      <c r="AB58" s="990"/>
      <c r="AC58" s="990"/>
      <c r="AD58" s="990"/>
      <c r="AE58" s="990" t="s">
        <v>704</v>
      </c>
      <c r="AF58" s="990"/>
      <c r="AG58" s="990"/>
      <c r="AH58" s="990"/>
      <c r="AI58" s="990"/>
      <c r="AJ58" s="990"/>
      <c r="AK58" s="990"/>
      <c r="AL58" s="990"/>
      <c r="AM58" s="990"/>
      <c r="AN58" s="990"/>
      <c r="AO58" s="990"/>
      <c r="AP58" s="988"/>
      <c r="AQ58" s="988"/>
      <c r="AR58" s="988"/>
      <c r="AS58" s="988"/>
      <c r="AT58" s="988"/>
      <c r="AU58" s="988"/>
      <c r="AV58" s="988"/>
      <c r="AW58" s="988"/>
      <c r="AX58" s="988"/>
      <c r="AY58" s="988"/>
      <c r="AZ58" s="988"/>
      <c r="BA58" s="988"/>
      <c r="BB58" s="988"/>
      <c r="BC58" s="988"/>
      <c r="BD58" s="987"/>
      <c r="BE58" s="988"/>
      <c r="BF58" s="988"/>
      <c r="BG58" s="988"/>
      <c r="BH58" s="988"/>
      <c r="BI58" s="988"/>
      <c r="BJ58" s="988"/>
      <c r="BK58" s="991"/>
    </row>
    <row r="59" spans="1:64" ht="15.75" customHeight="1">
      <c r="A59" s="986"/>
      <c r="B59" s="987"/>
      <c r="C59" s="988"/>
      <c r="D59" s="988"/>
      <c r="E59" s="988"/>
      <c r="F59" s="988"/>
      <c r="G59" s="988"/>
      <c r="H59" s="988"/>
      <c r="I59" s="989"/>
      <c r="J59" s="990"/>
      <c r="N59" s="990"/>
      <c r="O59" s="990"/>
      <c r="P59" s="959"/>
      <c r="Q59" s="990" t="s">
        <v>699</v>
      </c>
      <c r="R59" s="990" t="s">
        <v>705</v>
      </c>
      <c r="S59" s="990"/>
      <c r="T59" s="990"/>
      <c r="U59" s="990"/>
      <c r="V59" s="990"/>
      <c r="W59" s="990"/>
      <c r="X59" s="990"/>
      <c r="Y59" s="990"/>
      <c r="Z59" s="990"/>
      <c r="AA59" s="990"/>
      <c r="AB59" s="990"/>
      <c r="AC59" s="990"/>
      <c r="AD59" s="990"/>
      <c r="AE59" s="990"/>
      <c r="AF59" s="990"/>
      <c r="AG59" s="990"/>
      <c r="AH59" s="990"/>
      <c r="AI59" s="990"/>
      <c r="AJ59" s="990"/>
      <c r="AK59" s="990"/>
      <c r="AL59" s="990"/>
      <c r="AM59" s="990"/>
      <c r="AN59" s="990"/>
      <c r="AO59" s="959"/>
      <c r="AP59" s="988"/>
      <c r="AQ59" s="988"/>
      <c r="AR59" s="988"/>
      <c r="AS59" s="988"/>
      <c r="AT59" s="988"/>
      <c r="AU59" s="988"/>
      <c r="AV59" s="988"/>
      <c r="AW59" s="988"/>
      <c r="AX59" s="988"/>
      <c r="AY59" s="988"/>
      <c r="AZ59" s="988"/>
      <c r="BA59" s="988"/>
      <c r="BB59" s="988"/>
      <c r="BC59" s="988"/>
      <c r="BD59" s="987"/>
      <c r="BE59" s="988"/>
      <c r="BF59" s="988"/>
      <c r="BG59" s="988"/>
      <c r="BH59" s="988"/>
      <c r="BI59" s="988"/>
      <c r="BJ59" s="988"/>
      <c r="BK59" s="991"/>
      <c r="BL59" s="981" t="s">
        <v>706</v>
      </c>
    </row>
    <row r="60" spans="1:64" ht="15.75" customHeight="1">
      <c r="A60" s="986"/>
      <c r="B60" s="987"/>
      <c r="C60" s="988"/>
      <c r="D60" s="988"/>
      <c r="E60" s="988"/>
      <c r="F60" s="988"/>
      <c r="G60" s="988"/>
      <c r="H60" s="988"/>
      <c r="I60" s="989"/>
      <c r="J60" s="990"/>
      <c r="N60" s="990"/>
      <c r="O60" s="990"/>
      <c r="P60" s="959"/>
      <c r="Q60" s="990" t="s">
        <v>699</v>
      </c>
      <c r="R60" s="1002" t="s">
        <v>855</v>
      </c>
      <c r="S60" s="990"/>
      <c r="T60" s="990"/>
      <c r="U60" s="990"/>
      <c r="V60" s="990"/>
      <c r="W60" s="990"/>
      <c r="X60" s="990"/>
      <c r="Y60" s="990"/>
      <c r="Z60" s="990"/>
      <c r="AA60" s="990"/>
      <c r="AB60" s="990"/>
      <c r="AC60" s="990"/>
      <c r="AD60" s="990"/>
      <c r="AE60" s="990" t="s">
        <v>702</v>
      </c>
      <c r="AF60" s="990"/>
      <c r="AG60" s="990"/>
      <c r="AH60" s="990"/>
      <c r="AI60" s="990"/>
      <c r="AJ60" s="990"/>
      <c r="AK60" s="990"/>
      <c r="AL60" s="990"/>
      <c r="AM60" s="990"/>
      <c r="AN60" s="990"/>
      <c r="AO60" s="959"/>
      <c r="AP60" s="988"/>
      <c r="AQ60" s="988"/>
      <c r="AR60" s="988"/>
      <c r="AS60" s="988"/>
      <c r="AT60" s="988"/>
      <c r="AU60" s="988"/>
      <c r="AV60" s="988"/>
      <c r="AW60" s="988"/>
      <c r="AX60" s="988"/>
      <c r="AY60" s="988"/>
      <c r="AZ60" s="988"/>
      <c r="BA60" s="988"/>
      <c r="BB60" s="988"/>
      <c r="BC60" s="988"/>
      <c r="BD60" s="987"/>
      <c r="BE60" s="988"/>
      <c r="BF60" s="988"/>
      <c r="BG60" s="988"/>
      <c r="BH60" s="988"/>
      <c r="BI60" s="988"/>
      <c r="BJ60" s="988"/>
      <c r="BK60" s="991"/>
      <c r="BL60" s="1022" t="s">
        <v>864</v>
      </c>
    </row>
    <row r="61" spans="1:64" ht="15.75" customHeight="1">
      <c r="A61" s="986"/>
      <c r="B61" s="987"/>
      <c r="C61" s="988"/>
      <c r="D61" s="988"/>
      <c r="E61" s="988"/>
      <c r="F61" s="988"/>
      <c r="G61" s="988"/>
      <c r="H61" s="988"/>
      <c r="I61" s="989"/>
      <c r="J61" s="990"/>
      <c r="N61" s="990"/>
      <c r="O61" s="990"/>
      <c r="P61" s="959"/>
      <c r="Q61" s="990" t="s">
        <v>699</v>
      </c>
      <c r="R61" s="1002" t="s">
        <v>855</v>
      </c>
      <c r="S61" s="990"/>
      <c r="T61" s="990"/>
      <c r="U61" s="990"/>
      <c r="V61" s="990"/>
      <c r="W61" s="990"/>
      <c r="X61" s="990"/>
      <c r="Y61" s="990"/>
      <c r="Z61" s="990"/>
      <c r="AA61" s="990"/>
      <c r="AB61" s="990"/>
      <c r="AC61" s="990"/>
      <c r="AD61" s="990"/>
      <c r="AE61" s="990" t="s">
        <v>703</v>
      </c>
      <c r="AF61" s="990"/>
      <c r="AG61" s="990"/>
      <c r="AH61" s="990"/>
      <c r="AI61" s="990"/>
      <c r="AJ61" s="990"/>
      <c r="AK61" s="990"/>
      <c r="AL61" s="990"/>
      <c r="AM61" s="990"/>
      <c r="AN61" s="990"/>
      <c r="AO61" s="959"/>
      <c r="AP61" s="988"/>
      <c r="AQ61" s="988"/>
      <c r="AR61" s="988"/>
      <c r="AS61" s="988"/>
      <c r="AT61" s="988"/>
      <c r="AU61" s="988"/>
      <c r="AV61" s="988"/>
      <c r="AW61" s="988"/>
      <c r="AX61" s="988"/>
      <c r="AY61" s="988"/>
      <c r="AZ61" s="988"/>
      <c r="BA61" s="988"/>
      <c r="BB61" s="988"/>
      <c r="BC61" s="988"/>
      <c r="BD61" s="987"/>
      <c r="BE61" s="988"/>
      <c r="BF61" s="988"/>
      <c r="BG61" s="988"/>
      <c r="BH61" s="988"/>
      <c r="BI61" s="988"/>
      <c r="BJ61" s="988"/>
      <c r="BK61" s="991"/>
      <c r="BL61" s="1024" t="s">
        <v>884</v>
      </c>
    </row>
    <row r="62" spans="1:64" ht="15.75" customHeight="1">
      <c r="A62" s="986"/>
      <c r="B62" s="987"/>
      <c r="C62" s="988"/>
      <c r="D62" s="988"/>
      <c r="E62" s="988"/>
      <c r="F62" s="988"/>
      <c r="G62" s="988"/>
      <c r="H62" s="988"/>
      <c r="I62" s="989"/>
      <c r="J62" s="990"/>
      <c r="N62" s="990"/>
      <c r="O62" s="990"/>
      <c r="P62" s="959"/>
      <c r="Q62" s="990" t="s">
        <v>699</v>
      </c>
      <c r="R62" s="1002" t="s">
        <v>856</v>
      </c>
      <c r="S62" s="990"/>
      <c r="T62" s="990"/>
      <c r="U62" s="990"/>
      <c r="V62" s="990"/>
      <c r="W62" s="990"/>
      <c r="X62" s="990"/>
      <c r="Y62" s="990"/>
      <c r="Z62" s="990"/>
      <c r="AA62" s="990"/>
      <c r="AB62" s="990"/>
      <c r="AC62" s="990"/>
      <c r="AD62" s="990"/>
      <c r="AE62" s="990" t="s">
        <v>702</v>
      </c>
      <c r="AF62" s="990"/>
      <c r="AG62" s="990"/>
      <c r="AH62" s="990"/>
      <c r="AI62" s="990"/>
      <c r="AJ62" s="990"/>
      <c r="AK62" s="990"/>
      <c r="AL62" s="990"/>
      <c r="AM62" s="990"/>
      <c r="AN62" s="990"/>
      <c r="AO62" s="959"/>
      <c r="AP62" s="988"/>
      <c r="AQ62" s="988"/>
      <c r="AR62" s="988"/>
      <c r="AS62" s="988"/>
      <c r="AT62" s="988"/>
      <c r="AU62" s="988"/>
      <c r="AV62" s="988"/>
      <c r="AW62" s="988"/>
      <c r="AX62" s="988"/>
      <c r="AY62" s="988"/>
      <c r="AZ62" s="988"/>
      <c r="BA62" s="988"/>
      <c r="BB62" s="988"/>
      <c r="BC62" s="988"/>
      <c r="BD62" s="987"/>
      <c r="BE62" s="988"/>
      <c r="BF62" s="988"/>
      <c r="BG62" s="988"/>
      <c r="BH62" s="988"/>
      <c r="BI62" s="988"/>
      <c r="BJ62" s="988"/>
      <c r="BK62" s="991"/>
    </row>
    <row r="63" spans="1:64" ht="15.75" customHeight="1">
      <c r="A63" s="986"/>
      <c r="B63" s="987"/>
      <c r="C63" s="988"/>
      <c r="D63" s="988"/>
      <c r="E63" s="988"/>
      <c r="F63" s="988"/>
      <c r="G63" s="988"/>
      <c r="H63" s="988"/>
      <c r="I63" s="989"/>
      <c r="J63" s="990"/>
      <c r="N63" s="990"/>
      <c r="O63" s="990"/>
      <c r="P63" s="959"/>
      <c r="Q63" s="990" t="s">
        <v>699</v>
      </c>
      <c r="R63" s="1002" t="s">
        <v>856</v>
      </c>
      <c r="S63" s="990"/>
      <c r="T63" s="990"/>
      <c r="U63" s="990"/>
      <c r="V63" s="990"/>
      <c r="W63" s="990"/>
      <c r="X63" s="990"/>
      <c r="Y63" s="990"/>
      <c r="Z63" s="990"/>
      <c r="AA63" s="990"/>
      <c r="AB63" s="990"/>
      <c r="AC63" s="990"/>
      <c r="AD63" s="990"/>
      <c r="AE63" s="990" t="s">
        <v>703</v>
      </c>
      <c r="AF63" s="990"/>
      <c r="AG63" s="990"/>
      <c r="AH63" s="990"/>
      <c r="AI63" s="990"/>
      <c r="AJ63" s="990"/>
      <c r="AK63" s="990"/>
      <c r="AL63" s="990"/>
      <c r="AM63" s="990"/>
      <c r="AN63" s="990"/>
      <c r="AO63" s="959"/>
      <c r="AP63" s="988"/>
      <c r="AQ63" s="988"/>
      <c r="AR63" s="988"/>
      <c r="AS63" s="988"/>
      <c r="AT63" s="988"/>
      <c r="AU63" s="988"/>
      <c r="AV63" s="988"/>
      <c r="AW63" s="988"/>
      <c r="AX63" s="988"/>
      <c r="AY63" s="988"/>
      <c r="AZ63" s="988"/>
      <c r="BA63" s="988"/>
      <c r="BB63" s="988"/>
      <c r="BC63" s="988"/>
      <c r="BD63" s="987"/>
      <c r="BE63" s="988"/>
      <c r="BF63" s="988"/>
      <c r="BG63" s="988"/>
      <c r="BH63" s="988"/>
      <c r="BI63" s="988"/>
      <c r="BJ63" s="988"/>
      <c r="BK63" s="991"/>
    </row>
    <row r="64" spans="1:64" ht="15.75" customHeight="1">
      <c r="A64" s="986"/>
      <c r="B64" s="987"/>
      <c r="C64" s="988"/>
      <c r="D64" s="988"/>
      <c r="E64" s="988"/>
      <c r="F64" s="988"/>
      <c r="G64" s="988"/>
      <c r="H64" s="988"/>
      <c r="I64" s="989"/>
      <c r="J64" s="990"/>
      <c r="N64" s="990"/>
      <c r="O64" s="990"/>
      <c r="P64" s="959"/>
      <c r="Q64" s="990" t="s">
        <v>699</v>
      </c>
      <c r="R64" s="1002" t="s">
        <v>857</v>
      </c>
      <c r="S64" s="990"/>
      <c r="T64" s="990"/>
      <c r="U64" s="990"/>
      <c r="V64" s="990"/>
      <c r="W64" s="990"/>
      <c r="X64" s="990"/>
      <c r="Y64" s="990"/>
      <c r="Z64" s="990"/>
      <c r="AA64" s="990"/>
      <c r="AB64" s="990"/>
      <c r="AC64" s="990"/>
      <c r="AD64" s="990"/>
      <c r="AE64" s="990" t="s">
        <v>702</v>
      </c>
      <c r="AF64" s="990"/>
      <c r="AG64" s="990"/>
      <c r="AH64" s="990"/>
      <c r="AI64" s="990"/>
      <c r="AJ64" s="990"/>
      <c r="AK64" s="990"/>
      <c r="AL64" s="990"/>
      <c r="AM64" s="990"/>
      <c r="AN64" s="990"/>
      <c r="AO64" s="959"/>
      <c r="AP64" s="988"/>
      <c r="AQ64" s="988"/>
      <c r="AR64" s="988"/>
      <c r="AS64" s="988"/>
      <c r="AT64" s="988"/>
      <c r="AU64" s="988"/>
      <c r="AV64" s="988"/>
      <c r="AW64" s="988"/>
      <c r="AX64" s="988"/>
      <c r="AY64" s="988"/>
      <c r="AZ64" s="988"/>
      <c r="BA64" s="988"/>
      <c r="BB64" s="988"/>
      <c r="BC64" s="988"/>
      <c r="BD64" s="987"/>
      <c r="BE64" s="988"/>
      <c r="BF64" s="988"/>
      <c r="BG64" s="988"/>
      <c r="BH64" s="988"/>
      <c r="BI64" s="988"/>
      <c r="BJ64" s="988"/>
      <c r="BK64" s="991"/>
      <c r="BL64" s="1023" t="s">
        <v>883</v>
      </c>
    </row>
    <row r="65" spans="1:63" ht="15.75" customHeight="1">
      <c r="A65" s="986"/>
      <c r="B65" s="987"/>
      <c r="C65" s="988"/>
      <c r="D65" s="988"/>
      <c r="E65" s="988"/>
      <c r="F65" s="988"/>
      <c r="G65" s="988"/>
      <c r="H65" s="988"/>
      <c r="I65" s="989"/>
      <c r="J65" s="990"/>
      <c r="N65" s="990"/>
      <c r="O65" s="990"/>
      <c r="P65" s="959"/>
      <c r="Q65" s="990" t="s">
        <v>699</v>
      </c>
      <c r="R65" s="1002" t="s">
        <v>857</v>
      </c>
      <c r="S65" s="990"/>
      <c r="T65" s="990"/>
      <c r="U65" s="990"/>
      <c r="V65" s="990"/>
      <c r="W65" s="990"/>
      <c r="X65" s="990"/>
      <c r="Y65" s="990"/>
      <c r="Z65" s="990"/>
      <c r="AA65" s="990"/>
      <c r="AB65" s="990"/>
      <c r="AC65" s="990"/>
      <c r="AD65" s="990"/>
      <c r="AE65" s="990" t="s">
        <v>703</v>
      </c>
      <c r="AF65" s="990"/>
      <c r="AG65" s="990"/>
      <c r="AH65" s="990"/>
      <c r="AI65" s="990"/>
      <c r="AJ65" s="990"/>
      <c r="AK65" s="990"/>
      <c r="AL65" s="990"/>
      <c r="AM65" s="990"/>
      <c r="AN65" s="990"/>
      <c r="AO65" s="959"/>
      <c r="AP65" s="988"/>
      <c r="AQ65" s="988"/>
      <c r="AR65" s="988"/>
      <c r="AS65" s="988"/>
      <c r="AT65" s="988"/>
      <c r="AU65" s="988"/>
      <c r="AV65" s="988"/>
      <c r="AW65" s="988"/>
      <c r="AX65" s="988"/>
      <c r="AY65" s="988"/>
      <c r="AZ65" s="988"/>
      <c r="BA65" s="988"/>
      <c r="BB65" s="988"/>
      <c r="BC65" s="988"/>
      <c r="BD65" s="987"/>
      <c r="BE65" s="988"/>
      <c r="BF65" s="988"/>
      <c r="BG65" s="988"/>
      <c r="BH65" s="988"/>
      <c r="BI65" s="988"/>
      <c r="BJ65" s="988"/>
      <c r="BK65" s="991"/>
    </row>
    <row r="66" spans="1:63" ht="15.75" customHeight="1">
      <c r="A66" s="986"/>
      <c r="B66" s="987"/>
      <c r="C66" s="988"/>
      <c r="D66" s="988"/>
      <c r="E66" s="988"/>
      <c r="F66" s="988"/>
      <c r="G66" s="988"/>
      <c r="H66" s="988"/>
      <c r="I66" s="989"/>
      <c r="J66" s="990"/>
      <c r="N66" s="990"/>
      <c r="O66" s="990"/>
      <c r="P66" s="990" t="s">
        <v>707</v>
      </c>
      <c r="Q66" s="990"/>
      <c r="R66" s="990"/>
      <c r="S66" s="990"/>
      <c r="T66" s="990"/>
      <c r="U66" s="990"/>
      <c r="V66" s="990"/>
      <c r="W66" s="990"/>
      <c r="X66" s="990"/>
      <c r="Y66" s="990"/>
      <c r="Z66" s="990"/>
      <c r="AA66" s="990"/>
      <c r="AB66" s="990"/>
      <c r="AC66" s="990"/>
      <c r="AD66" s="990"/>
      <c r="AE66" s="990"/>
      <c r="AF66" s="990"/>
      <c r="AG66" s="990"/>
      <c r="AH66" s="990"/>
      <c r="AI66" s="990"/>
      <c r="AJ66" s="990"/>
      <c r="AK66" s="990"/>
      <c r="AL66" s="990"/>
      <c r="AM66" s="990"/>
      <c r="AN66" s="990"/>
      <c r="AO66" s="959"/>
      <c r="AP66" s="988"/>
      <c r="AQ66" s="988"/>
      <c r="AR66" s="988"/>
      <c r="AS66" s="988"/>
      <c r="AT66" s="988"/>
      <c r="AU66" s="988"/>
      <c r="AV66" s="988"/>
      <c r="AW66" s="988"/>
      <c r="AX66" s="988"/>
      <c r="AY66" s="988"/>
      <c r="AZ66" s="988"/>
      <c r="BA66" s="988"/>
      <c r="BB66" s="988"/>
      <c r="BC66" s="988"/>
      <c r="BD66" s="987"/>
      <c r="BE66" s="988"/>
      <c r="BF66" s="988"/>
      <c r="BG66" s="988"/>
      <c r="BH66" s="988"/>
      <c r="BI66" s="988"/>
      <c r="BJ66" s="988"/>
      <c r="BK66" s="991"/>
    </row>
    <row r="67" spans="1:63" ht="15.75" customHeight="1">
      <c r="A67" s="986"/>
      <c r="B67" s="987"/>
      <c r="C67" s="988"/>
      <c r="D67" s="988"/>
      <c r="E67" s="988"/>
      <c r="F67" s="988"/>
      <c r="G67" s="988"/>
      <c r="H67" s="988"/>
      <c r="I67" s="989"/>
      <c r="J67" s="990"/>
      <c r="N67" s="990"/>
      <c r="O67" s="990"/>
      <c r="P67" s="990"/>
      <c r="Q67" s="990" t="s">
        <v>708</v>
      </c>
      <c r="R67" s="990"/>
      <c r="S67" s="990"/>
      <c r="T67" s="990"/>
      <c r="U67" s="990"/>
      <c r="V67" s="990"/>
      <c r="W67" s="990"/>
      <c r="X67" s="990"/>
      <c r="Y67" s="990"/>
      <c r="Z67" s="990"/>
      <c r="AA67" s="990"/>
      <c r="AB67" s="990"/>
      <c r="AC67" s="990"/>
      <c r="AD67" s="990"/>
      <c r="AE67" s="990" t="s">
        <v>709</v>
      </c>
      <c r="AF67" s="990"/>
      <c r="AG67" s="990"/>
      <c r="AH67" s="990"/>
      <c r="AI67" s="990"/>
      <c r="AJ67" s="990"/>
      <c r="AK67" s="990"/>
      <c r="AL67" s="990"/>
      <c r="AM67" s="990"/>
      <c r="AN67" s="990"/>
      <c r="AO67" s="990"/>
      <c r="AP67" s="990"/>
      <c r="AQ67" s="990"/>
      <c r="AR67" s="990"/>
      <c r="AS67" s="988"/>
      <c r="AT67" s="988"/>
      <c r="AU67" s="988"/>
      <c r="AV67" s="988"/>
      <c r="AW67" s="988"/>
      <c r="AX67" s="988"/>
      <c r="AY67" s="988"/>
      <c r="AZ67" s="988"/>
      <c r="BA67" s="988"/>
      <c r="BB67" s="988"/>
      <c r="BC67" s="988"/>
      <c r="BD67" s="987"/>
      <c r="BE67" s="988"/>
      <c r="BF67" s="988"/>
      <c r="BG67" s="988"/>
      <c r="BH67" s="988"/>
      <c r="BI67" s="988"/>
      <c r="BJ67" s="988"/>
      <c r="BK67" s="991"/>
    </row>
    <row r="68" spans="1:63" ht="15.75" customHeight="1">
      <c r="A68" s="986"/>
      <c r="B68" s="987"/>
      <c r="C68" s="988"/>
      <c r="D68" s="988"/>
      <c r="E68" s="988"/>
      <c r="F68" s="988"/>
      <c r="G68" s="988"/>
      <c r="H68" s="988"/>
      <c r="I68" s="989"/>
      <c r="J68" s="990"/>
      <c r="N68" s="990"/>
      <c r="O68" s="990"/>
      <c r="P68" s="990"/>
      <c r="Q68" s="990" t="s">
        <v>710</v>
      </c>
      <c r="R68" s="990"/>
      <c r="S68" s="990"/>
      <c r="T68" s="990"/>
      <c r="U68" s="990"/>
      <c r="V68" s="990"/>
      <c r="W68" s="990"/>
      <c r="X68" s="990"/>
      <c r="Y68" s="990"/>
      <c r="Z68" s="990"/>
      <c r="AA68" s="990"/>
      <c r="AB68" s="990"/>
      <c r="AC68" s="990"/>
      <c r="AD68" s="990"/>
      <c r="AE68" s="990" t="s">
        <v>711</v>
      </c>
      <c r="AF68" s="990"/>
      <c r="AG68" s="990"/>
      <c r="AH68" s="990"/>
      <c r="AI68" s="990"/>
      <c r="AJ68" s="990"/>
      <c r="AK68" s="990"/>
      <c r="AL68" s="990"/>
      <c r="AM68" s="990"/>
      <c r="AN68" s="990"/>
      <c r="AO68" s="990"/>
      <c r="AP68" s="990"/>
      <c r="AQ68" s="990"/>
      <c r="AR68" s="990"/>
      <c r="AS68" s="990"/>
      <c r="AT68" s="988"/>
      <c r="AU68" s="988"/>
      <c r="AV68" s="988"/>
      <c r="AW68" s="988"/>
      <c r="AX68" s="988"/>
      <c r="AY68" s="988"/>
      <c r="AZ68" s="988"/>
      <c r="BA68" s="988"/>
      <c r="BB68" s="988"/>
      <c r="BC68" s="988"/>
      <c r="BD68" s="987"/>
      <c r="BE68" s="988"/>
      <c r="BF68" s="988"/>
      <c r="BG68" s="988"/>
      <c r="BH68" s="988"/>
      <c r="BI68" s="988"/>
      <c r="BJ68" s="988"/>
      <c r="BK68" s="991"/>
    </row>
    <row r="69" spans="1:63" ht="15.75" customHeight="1">
      <c r="A69" s="986"/>
      <c r="B69" s="987"/>
      <c r="C69" s="988"/>
      <c r="D69" s="988"/>
      <c r="E69" s="988"/>
      <c r="F69" s="988"/>
      <c r="G69" s="988"/>
      <c r="H69" s="988"/>
      <c r="I69" s="989"/>
      <c r="J69" s="990"/>
      <c r="N69" s="990"/>
      <c r="O69" s="990"/>
      <c r="P69" s="990"/>
      <c r="Q69" s="990" t="s">
        <v>712</v>
      </c>
      <c r="R69" s="990"/>
      <c r="S69" s="990"/>
      <c r="T69" s="990"/>
      <c r="U69" s="990"/>
      <c r="V69" s="990"/>
      <c r="W69" s="990"/>
      <c r="X69" s="990"/>
      <c r="Y69" s="990"/>
      <c r="Z69" s="990"/>
      <c r="AA69" s="990"/>
      <c r="AB69" s="990"/>
      <c r="AC69" s="990"/>
      <c r="AD69" s="990"/>
      <c r="AE69" s="990" t="s">
        <v>713</v>
      </c>
      <c r="AF69" s="990"/>
      <c r="AG69" s="990"/>
      <c r="AH69" s="990"/>
      <c r="AI69" s="990"/>
      <c r="AJ69" s="990"/>
      <c r="AK69" s="990"/>
      <c r="AL69" s="990"/>
      <c r="AM69" s="990"/>
      <c r="AN69" s="990"/>
      <c r="AO69" s="990"/>
      <c r="AP69" s="990"/>
      <c r="AQ69" s="990"/>
      <c r="AR69" s="990"/>
      <c r="AS69" s="990"/>
      <c r="AT69" s="988"/>
      <c r="AU69" s="988"/>
      <c r="AV69" s="988"/>
      <c r="AW69" s="988"/>
      <c r="AX69" s="988"/>
      <c r="AY69" s="988"/>
      <c r="AZ69" s="988"/>
      <c r="BA69" s="988"/>
      <c r="BB69" s="988"/>
      <c r="BC69" s="988"/>
      <c r="BD69" s="987"/>
      <c r="BE69" s="988"/>
      <c r="BF69" s="988"/>
      <c r="BG69" s="988"/>
      <c r="BH69" s="988"/>
      <c r="BI69" s="988"/>
      <c r="BJ69" s="988"/>
      <c r="BK69" s="991"/>
    </row>
    <row r="70" spans="1:63" ht="15.75" customHeight="1">
      <c r="A70" s="986"/>
      <c r="B70" s="987"/>
      <c r="C70" s="988"/>
      <c r="D70" s="988"/>
      <c r="E70" s="988"/>
      <c r="F70" s="988"/>
      <c r="G70" s="988"/>
      <c r="H70" s="988"/>
      <c r="I70" s="989"/>
      <c r="J70" s="990"/>
      <c r="N70" s="990"/>
      <c r="O70" s="990"/>
      <c r="P70" s="990"/>
      <c r="Q70" s="990" t="s">
        <v>714</v>
      </c>
      <c r="R70" s="990"/>
      <c r="S70" s="990"/>
      <c r="T70" s="990"/>
      <c r="U70" s="990"/>
      <c r="V70" s="990"/>
      <c r="W70" s="990"/>
      <c r="X70" s="990"/>
      <c r="Y70" s="990"/>
      <c r="Z70" s="990"/>
      <c r="AA70" s="990"/>
      <c r="AB70" s="990"/>
      <c r="AC70" s="990"/>
      <c r="AD70" s="990"/>
      <c r="AE70" s="990" t="s">
        <v>715</v>
      </c>
      <c r="AF70" s="990"/>
      <c r="AG70" s="990"/>
      <c r="AH70" s="990"/>
      <c r="AI70" s="990"/>
      <c r="AJ70" s="990"/>
      <c r="AK70" s="990"/>
      <c r="AL70" s="990"/>
      <c r="AM70" s="990"/>
      <c r="AN70" s="990"/>
      <c r="AO70" s="990"/>
      <c r="AP70" s="990"/>
      <c r="AQ70" s="990"/>
      <c r="AR70" s="990"/>
      <c r="AS70" s="990"/>
      <c r="AT70" s="988"/>
      <c r="AU70" s="988"/>
      <c r="AV70" s="988"/>
      <c r="AW70" s="988"/>
      <c r="AX70" s="988"/>
      <c r="AY70" s="988"/>
      <c r="AZ70" s="988"/>
      <c r="BA70" s="988"/>
      <c r="BB70" s="988"/>
      <c r="BC70" s="988"/>
      <c r="BD70" s="987"/>
      <c r="BE70" s="988"/>
      <c r="BF70" s="988"/>
      <c r="BG70" s="988"/>
      <c r="BH70" s="988"/>
      <c r="BI70" s="988"/>
      <c r="BJ70" s="988"/>
      <c r="BK70" s="991"/>
    </row>
    <row r="71" spans="1:63" s="1017" customFormat="1" ht="15.75" customHeight="1">
      <c r="A71" s="1020"/>
      <c r="B71" s="1019"/>
      <c r="C71" s="1003"/>
      <c r="D71" s="1003"/>
      <c r="E71" s="1003"/>
      <c r="F71" s="1003"/>
      <c r="G71" s="1003"/>
      <c r="H71" s="1003"/>
      <c r="I71" s="1018"/>
      <c r="J71" s="1002"/>
      <c r="N71" s="1002"/>
      <c r="O71" s="1002"/>
      <c r="P71" s="1002"/>
      <c r="Q71" s="1002" t="s">
        <v>862</v>
      </c>
      <c r="R71" s="1002"/>
      <c r="S71" s="1002"/>
      <c r="T71" s="1002"/>
      <c r="U71" s="1002"/>
      <c r="V71" s="1002"/>
      <c r="W71" s="1002"/>
      <c r="X71" s="1002"/>
      <c r="Y71" s="1002"/>
      <c r="Z71" s="1002"/>
      <c r="AA71" s="1002"/>
      <c r="AB71" s="1002"/>
      <c r="AC71" s="1002"/>
      <c r="AD71" s="1002"/>
      <c r="AE71" s="1002" t="s">
        <v>859</v>
      </c>
      <c r="AF71" s="1002"/>
      <c r="AG71" s="1002" t="s">
        <v>858</v>
      </c>
      <c r="AH71" s="1002"/>
      <c r="AI71" s="1002"/>
      <c r="AJ71" s="1002"/>
      <c r="AK71" s="1002"/>
      <c r="AL71" s="1002"/>
      <c r="AM71" s="1002"/>
      <c r="AN71" s="1002"/>
      <c r="AO71" s="1002"/>
      <c r="AP71" s="1002"/>
      <c r="AQ71" s="1002"/>
      <c r="AR71" s="1002"/>
      <c r="AS71" s="1002"/>
      <c r="AT71" s="1003"/>
      <c r="AU71" s="1003"/>
      <c r="AV71" s="1003"/>
      <c r="AW71" s="1003"/>
      <c r="AX71" s="1003"/>
      <c r="AY71" s="1003"/>
      <c r="AZ71" s="1003"/>
      <c r="BA71" s="1003"/>
      <c r="BB71" s="1003"/>
      <c r="BC71" s="1003"/>
      <c r="BD71" s="1019"/>
      <c r="BE71" s="1003"/>
      <c r="BF71" s="1003"/>
      <c r="BG71" s="1003"/>
      <c r="BH71" s="1003"/>
      <c r="BI71" s="1003"/>
      <c r="BJ71" s="1003"/>
      <c r="BK71" s="1016"/>
    </row>
    <row r="72" spans="1:63" s="1017" customFormat="1" ht="15.75" customHeight="1">
      <c r="A72" s="1020"/>
      <c r="B72" s="1019"/>
      <c r="C72" s="1003"/>
      <c r="D72" s="1003"/>
      <c r="E72" s="1003"/>
      <c r="F72" s="1003"/>
      <c r="G72" s="1003"/>
      <c r="H72" s="1003"/>
      <c r="I72" s="1018"/>
      <c r="J72" s="1002"/>
      <c r="N72" s="1002"/>
      <c r="O72" s="1002"/>
      <c r="P72" s="1002"/>
      <c r="Q72" s="1002" t="s">
        <v>863</v>
      </c>
      <c r="R72" s="1002"/>
      <c r="S72" s="1002"/>
      <c r="T72" s="1002"/>
      <c r="U72" s="1002"/>
      <c r="V72" s="1002"/>
      <c r="W72" s="1002"/>
      <c r="X72" s="1002"/>
      <c r="Y72" s="1002"/>
      <c r="Z72" s="1002"/>
      <c r="AA72" s="1002"/>
      <c r="AB72" s="1002"/>
      <c r="AC72" s="1002"/>
      <c r="AD72" s="1002"/>
      <c r="AE72" s="1002" t="s">
        <v>719</v>
      </c>
      <c r="AF72" s="1002"/>
      <c r="AG72" s="1002" t="s">
        <v>860</v>
      </c>
      <c r="AH72" s="1002"/>
      <c r="AI72" s="1002"/>
      <c r="AJ72" s="1002"/>
      <c r="AK72" s="1002"/>
      <c r="AL72" s="1002"/>
      <c r="AM72" s="1002"/>
      <c r="AN72" s="1002"/>
      <c r="AO72" s="1002"/>
      <c r="AP72" s="1002"/>
      <c r="AQ72" s="1002"/>
      <c r="AR72" s="1002"/>
      <c r="AS72" s="1002"/>
      <c r="AT72" s="1003"/>
      <c r="AU72" s="1003"/>
      <c r="AV72" s="1003"/>
      <c r="AW72" s="1003"/>
      <c r="AX72" s="1003"/>
      <c r="AY72" s="1003"/>
      <c r="AZ72" s="1003"/>
      <c r="BA72" s="1003"/>
      <c r="BB72" s="1003"/>
      <c r="BC72" s="1003"/>
      <c r="BD72" s="1019"/>
      <c r="BE72" s="1003"/>
      <c r="BF72" s="1003"/>
      <c r="BG72" s="1003"/>
      <c r="BH72" s="1003"/>
      <c r="BI72" s="1003"/>
      <c r="BJ72" s="1003"/>
      <c r="BK72" s="1016"/>
    </row>
    <row r="73" spans="1:63" ht="15.75" customHeight="1">
      <c r="A73" s="986"/>
      <c r="B73" s="987"/>
      <c r="C73" s="988"/>
      <c r="D73" s="988"/>
      <c r="E73" s="988"/>
      <c r="F73" s="988"/>
      <c r="G73" s="988"/>
      <c r="H73" s="988"/>
      <c r="I73" s="989"/>
      <c r="J73" s="990"/>
      <c r="N73" s="990"/>
      <c r="O73" s="990"/>
      <c r="P73" s="990"/>
      <c r="Q73" s="990" t="s">
        <v>708</v>
      </c>
      <c r="R73" s="990"/>
      <c r="S73" s="990"/>
      <c r="T73" s="990"/>
      <c r="U73" s="990"/>
      <c r="V73" s="990"/>
      <c r="W73" s="990"/>
      <c r="X73" s="990"/>
      <c r="Y73" s="990"/>
      <c r="Z73" s="990"/>
      <c r="AA73" s="990"/>
      <c r="AB73" s="990"/>
      <c r="AC73" s="990"/>
      <c r="AD73" s="990"/>
      <c r="AE73" s="990" t="s">
        <v>865</v>
      </c>
      <c r="AF73" s="990"/>
      <c r="AG73" s="990"/>
      <c r="AH73" s="990"/>
      <c r="AI73" s="990"/>
      <c r="AJ73" s="990"/>
      <c r="AK73" s="990"/>
      <c r="AL73" s="990"/>
      <c r="AM73" s="990"/>
      <c r="AN73" s="990"/>
      <c r="AO73" s="990"/>
      <c r="AP73" s="990"/>
      <c r="AQ73" s="990"/>
      <c r="AR73" s="990"/>
      <c r="AS73" s="990"/>
      <c r="AT73" s="988"/>
      <c r="AU73" s="988"/>
      <c r="AV73" s="988"/>
      <c r="AW73" s="988"/>
      <c r="AX73" s="988"/>
      <c r="AY73" s="988"/>
      <c r="AZ73" s="988"/>
      <c r="BA73" s="988"/>
      <c r="BB73" s="988"/>
      <c r="BC73" s="988"/>
      <c r="BD73" s="987"/>
      <c r="BE73" s="988"/>
      <c r="BF73" s="988"/>
      <c r="BG73" s="988"/>
      <c r="BH73" s="988"/>
      <c r="BI73" s="988"/>
      <c r="BJ73" s="988"/>
      <c r="BK73" s="991"/>
    </row>
    <row r="74" spans="1:63" ht="15.75" customHeight="1">
      <c r="A74" s="986"/>
      <c r="B74" s="987"/>
      <c r="C74" s="988"/>
      <c r="D74" s="988"/>
      <c r="E74" s="988"/>
      <c r="F74" s="988"/>
      <c r="G74" s="988"/>
      <c r="H74" s="988"/>
      <c r="I74" s="989"/>
      <c r="J74" s="990"/>
      <c r="N74" s="990"/>
      <c r="O74" s="990"/>
      <c r="P74" s="990"/>
      <c r="Q74" s="990" t="s">
        <v>863</v>
      </c>
      <c r="R74" s="990"/>
      <c r="S74" s="990"/>
      <c r="T74" s="990"/>
      <c r="U74" s="990"/>
      <c r="V74" s="990"/>
      <c r="W74" s="990"/>
      <c r="X74" s="990"/>
      <c r="Y74" s="990"/>
      <c r="Z74" s="990"/>
      <c r="AA74" s="990"/>
      <c r="AB74" s="990"/>
      <c r="AC74" s="990"/>
      <c r="AD74" s="990"/>
      <c r="AE74" s="990" t="s">
        <v>859</v>
      </c>
      <c r="AF74" s="990"/>
      <c r="AG74" s="990" t="s">
        <v>869</v>
      </c>
      <c r="AH74" s="990"/>
      <c r="AI74" s="990"/>
      <c r="AJ74" s="990"/>
      <c r="AK74" s="990"/>
      <c r="AL74" s="990"/>
      <c r="AM74" s="990"/>
      <c r="AN74" s="990"/>
      <c r="AO74" s="990"/>
      <c r="AP74" s="990"/>
      <c r="AQ74" s="990"/>
      <c r="AR74" s="990"/>
      <c r="AS74" s="990"/>
      <c r="AT74" s="988"/>
      <c r="AU74" s="988"/>
      <c r="AV74" s="988"/>
      <c r="AW74" s="988"/>
      <c r="AX74" s="988"/>
      <c r="AY74" s="988"/>
      <c r="AZ74" s="988"/>
      <c r="BA74" s="988"/>
      <c r="BB74" s="988"/>
      <c r="BC74" s="988"/>
      <c r="BD74" s="987"/>
      <c r="BE74" s="988"/>
      <c r="BF74" s="988"/>
      <c r="BG74" s="988"/>
      <c r="BH74" s="988"/>
      <c r="BI74" s="988"/>
      <c r="BJ74" s="988"/>
      <c r="BK74" s="991"/>
    </row>
    <row r="75" spans="1:63" ht="15.75" customHeight="1">
      <c r="A75" s="986"/>
      <c r="B75" s="987"/>
      <c r="C75" s="988"/>
      <c r="D75" s="988"/>
      <c r="E75" s="988"/>
      <c r="F75" s="988"/>
      <c r="G75" s="988"/>
      <c r="H75" s="988"/>
      <c r="I75" s="989"/>
      <c r="J75" s="990"/>
      <c r="N75" s="990"/>
      <c r="O75" s="990"/>
      <c r="P75" s="990"/>
      <c r="Q75" s="990" t="s">
        <v>863</v>
      </c>
      <c r="R75" s="990"/>
      <c r="S75" s="990"/>
      <c r="T75" s="990"/>
      <c r="U75" s="990"/>
      <c r="V75" s="990"/>
      <c r="W75" s="990"/>
      <c r="X75" s="990"/>
      <c r="Y75" s="990"/>
      <c r="Z75" s="990"/>
      <c r="AA75" s="990"/>
      <c r="AB75" s="990"/>
      <c r="AC75" s="990"/>
      <c r="AD75" s="990"/>
      <c r="AE75" s="990" t="s">
        <v>719</v>
      </c>
      <c r="AF75" s="990"/>
      <c r="AG75" s="990" t="s">
        <v>870</v>
      </c>
      <c r="AH75" s="990"/>
      <c r="AI75" s="990"/>
      <c r="AJ75" s="990"/>
      <c r="AK75" s="990"/>
      <c r="AL75" s="990"/>
      <c r="AM75" s="990"/>
      <c r="AN75" s="990"/>
      <c r="AO75" s="990"/>
      <c r="AP75" s="990"/>
      <c r="AQ75" s="990"/>
      <c r="AR75" s="990"/>
      <c r="AS75" s="990"/>
      <c r="AT75" s="988"/>
      <c r="AU75" s="988"/>
      <c r="AV75" s="988"/>
      <c r="AW75" s="988"/>
      <c r="AX75" s="988"/>
      <c r="AY75" s="988"/>
      <c r="AZ75" s="988"/>
      <c r="BA75" s="988"/>
      <c r="BB75" s="988"/>
      <c r="BC75" s="988"/>
      <c r="BD75" s="987"/>
      <c r="BE75" s="988"/>
      <c r="BF75" s="988"/>
      <c r="BG75" s="988"/>
      <c r="BH75" s="988"/>
      <c r="BI75" s="988"/>
      <c r="BJ75" s="988"/>
      <c r="BK75" s="991"/>
    </row>
    <row r="76" spans="1:63" ht="15.75" customHeight="1">
      <c r="A76" s="986"/>
      <c r="B76" s="987"/>
      <c r="C76" s="988"/>
      <c r="D76" s="988"/>
      <c r="E76" s="988"/>
      <c r="F76" s="988"/>
      <c r="G76" s="988"/>
      <c r="H76" s="988"/>
      <c r="I76" s="989"/>
      <c r="J76" s="990"/>
      <c r="N76" s="990"/>
      <c r="O76" s="990"/>
      <c r="P76" s="990"/>
      <c r="Q76" s="990" t="s">
        <v>712</v>
      </c>
      <c r="R76" s="990"/>
      <c r="S76" s="990"/>
      <c r="T76" s="990"/>
      <c r="U76" s="990"/>
      <c r="V76" s="990"/>
      <c r="W76" s="990"/>
      <c r="X76" s="990"/>
      <c r="Y76" s="990"/>
      <c r="Z76" s="990"/>
      <c r="AA76" s="990"/>
      <c r="AB76" s="990"/>
      <c r="AC76" s="990"/>
      <c r="AD76" s="990"/>
      <c r="AE76" s="990" t="s">
        <v>866</v>
      </c>
      <c r="AF76" s="990"/>
      <c r="AG76" s="990"/>
      <c r="AH76" s="990"/>
      <c r="AI76" s="990"/>
      <c r="AJ76" s="990"/>
      <c r="AK76" s="990"/>
      <c r="AL76" s="990"/>
      <c r="AM76" s="990"/>
      <c r="AN76" s="990"/>
      <c r="AO76" s="990"/>
      <c r="AP76" s="990"/>
      <c r="AQ76" s="990"/>
      <c r="AR76" s="990"/>
      <c r="AS76" s="990"/>
      <c r="AT76" s="988"/>
      <c r="AU76" s="988"/>
      <c r="AV76" s="988"/>
      <c r="AW76" s="988"/>
      <c r="AX76" s="988"/>
      <c r="AY76" s="988"/>
      <c r="AZ76" s="988"/>
      <c r="BA76" s="988"/>
      <c r="BB76" s="988"/>
      <c r="BC76" s="988"/>
      <c r="BD76" s="987"/>
      <c r="BE76" s="988"/>
      <c r="BF76" s="988"/>
      <c r="BG76" s="988"/>
      <c r="BH76" s="988"/>
      <c r="BI76" s="988"/>
      <c r="BJ76" s="988"/>
      <c r="BK76" s="991"/>
    </row>
    <row r="77" spans="1:63" ht="15.75" customHeight="1">
      <c r="A77" s="986"/>
      <c r="B77" s="987"/>
      <c r="C77" s="988"/>
      <c r="D77" s="988"/>
      <c r="E77" s="988"/>
      <c r="F77" s="988"/>
      <c r="G77" s="988"/>
      <c r="H77" s="988"/>
      <c r="I77" s="989"/>
      <c r="J77" s="990"/>
      <c r="N77" s="990"/>
      <c r="O77" s="990"/>
      <c r="P77" s="990"/>
      <c r="Q77" s="990" t="s">
        <v>863</v>
      </c>
      <c r="R77" s="990"/>
      <c r="S77" s="990"/>
      <c r="T77" s="990"/>
      <c r="U77" s="990"/>
      <c r="V77" s="990"/>
      <c r="W77" s="990"/>
      <c r="X77" s="990"/>
      <c r="Y77" s="990"/>
      <c r="Z77" s="990"/>
      <c r="AA77" s="990"/>
      <c r="AB77" s="990"/>
      <c r="AC77" s="990"/>
      <c r="AD77" s="990"/>
      <c r="AE77" s="990" t="s">
        <v>859</v>
      </c>
      <c r="AF77" s="990"/>
      <c r="AG77" s="990" t="s">
        <v>867</v>
      </c>
      <c r="AH77" s="990"/>
      <c r="AI77" s="990"/>
      <c r="AJ77" s="990"/>
      <c r="AK77" s="990"/>
      <c r="AL77" s="990"/>
      <c r="AM77" s="990"/>
      <c r="AN77" s="990"/>
      <c r="AO77" s="990"/>
      <c r="AP77" s="990"/>
      <c r="AQ77" s="990"/>
      <c r="AR77" s="990"/>
      <c r="AS77" s="990"/>
      <c r="AT77" s="988"/>
      <c r="AU77" s="988"/>
      <c r="AV77" s="988"/>
      <c r="AW77" s="988"/>
      <c r="AX77" s="988"/>
      <c r="AY77" s="988"/>
      <c r="AZ77" s="988"/>
      <c r="BA77" s="988"/>
      <c r="BB77" s="988"/>
      <c r="BC77" s="988"/>
      <c r="BD77" s="987"/>
      <c r="BE77" s="988"/>
      <c r="BF77" s="988"/>
      <c r="BG77" s="988"/>
      <c r="BH77" s="988"/>
      <c r="BI77" s="988"/>
      <c r="BJ77" s="988"/>
      <c r="BK77" s="991"/>
    </row>
    <row r="78" spans="1:63" ht="15.75" customHeight="1">
      <c r="A78" s="986"/>
      <c r="B78" s="987"/>
      <c r="C78" s="988"/>
      <c r="D78" s="988"/>
      <c r="E78" s="988"/>
      <c r="F78" s="988"/>
      <c r="G78" s="988"/>
      <c r="H78" s="988"/>
      <c r="I78" s="989"/>
      <c r="J78" s="990"/>
      <c r="N78" s="990"/>
      <c r="O78" s="990"/>
      <c r="P78" s="990"/>
      <c r="Q78" s="990" t="s">
        <v>863</v>
      </c>
      <c r="R78" s="990"/>
      <c r="S78" s="990"/>
      <c r="T78" s="990"/>
      <c r="U78" s="990"/>
      <c r="V78" s="990"/>
      <c r="W78" s="990"/>
      <c r="X78" s="990"/>
      <c r="Y78" s="990"/>
      <c r="Z78" s="990"/>
      <c r="AA78" s="990"/>
      <c r="AB78" s="990"/>
      <c r="AC78" s="990"/>
      <c r="AD78" s="990"/>
      <c r="AE78" s="990" t="s">
        <v>719</v>
      </c>
      <c r="AF78" s="990"/>
      <c r="AG78" s="990" t="s">
        <v>868</v>
      </c>
      <c r="AH78" s="990"/>
      <c r="AI78" s="990"/>
      <c r="AJ78" s="990"/>
      <c r="AK78" s="990"/>
      <c r="AL78" s="990"/>
      <c r="AM78" s="990"/>
      <c r="AN78" s="990"/>
      <c r="AO78" s="990"/>
      <c r="AP78" s="990"/>
      <c r="AQ78" s="990"/>
      <c r="AR78" s="990"/>
      <c r="AS78" s="990"/>
      <c r="AT78" s="988"/>
      <c r="AU78" s="988"/>
      <c r="AV78" s="988"/>
      <c r="AW78" s="988"/>
      <c r="AX78" s="988"/>
      <c r="AY78" s="988"/>
      <c r="AZ78" s="988"/>
      <c r="BA78" s="988"/>
      <c r="BB78" s="988"/>
      <c r="BC78" s="988"/>
      <c r="BD78" s="987"/>
      <c r="BE78" s="988"/>
      <c r="BF78" s="988"/>
      <c r="BG78" s="988"/>
      <c r="BH78" s="988"/>
      <c r="BI78" s="988"/>
      <c r="BJ78" s="988"/>
      <c r="BK78" s="991"/>
    </row>
    <row r="79" spans="1:63" ht="15.75" customHeight="1">
      <c r="A79" s="986"/>
      <c r="B79" s="987"/>
      <c r="C79" s="988"/>
      <c r="D79" s="988"/>
      <c r="E79" s="988"/>
      <c r="F79" s="988"/>
      <c r="G79" s="988"/>
      <c r="H79" s="988"/>
      <c r="I79" s="989"/>
      <c r="J79" s="990"/>
      <c r="N79" s="990"/>
      <c r="O79" s="990"/>
      <c r="P79" s="990"/>
      <c r="Q79" s="990" t="s">
        <v>871</v>
      </c>
      <c r="R79" s="990"/>
      <c r="S79" s="990"/>
      <c r="T79" s="990"/>
      <c r="U79" s="990"/>
      <c r="V79" s="990"/>
      <c r="W79" s="990"/>
      <c r="X79" s="990"/>
      <c r="Y79" s="990"/>
      <c r="Z79" s="990"/>
      <c r="AA79" s="990"/>
      <c r="AB79" s="990"/>
      <c r="AC79" s="990"/>
      <c r="AD79" s="990"/>
      <c r="AE79" s="990" t="s">
        <v>874</v>
      </c>
      <c r="AF79" s="990"/>
      <c r="AG79" s="990"/>
      <c r="AH79" s="990"/>
      <c r="AI79" s="990"/>
      <c r="AJ79" s="990"/>
      <c r="AK79" s="990"/>
      <c r="AL79" s="990"/>
      <c r="AM79" s="990"/>
      <c r="AN79" s="990"/>
      <c r="AO79" s="990"/>
      <c r="AP79" s="990"/>
      <c r="AQ79" s="990"/>
      <c r="AR79" s="990"/>
      <c r="AS79" s="990"/>
      <c r="AT79" s="988"/>
      <c r="AU79" s="988"/>
      <c r="AV79" s="988"/>
      <c r="AW79" s="988"/>
      <c r="AX79" s="988"/>
      <c r="AY79" s="988"/>
      <c r="AZ79" s="988"/>
      <c r="BA79" s="988"/>
      <c r="BB79" s="988"/>
      <c r="BC79" s="988"/>
      <c r="BD79" s="987"/>
      <c r="BE79" s="988"/>
      <c r="BF79" s="988"/>
      <c r="BG79" s="988"/>
      <c r="BH79" s="988"/>
      <c r="BI79" s="988"/>
      <c r="BJ79" s="988"/>
      <c r="BK79" s="991"/>
    </row>
    <row r="80" spans="1:63" ht="15.75" customHeight="1">
      <c r="A80" s="986"/>
      <c r="B80" s="987"/>
      <c r="C80" s="988"/>
      <c r="D80" s="988"/>
      <c r="E80" s="988"/>
      <c r="F80" s="988"/>
      <c r="G80" s="988"/>
      <c r="H80" s="988"/>
      <c r="I80" s="989"/>
      <c r="J80" s="990"/>
      <c r="N80" s="990"/>
      <c r="O80" s="990"/>
      <c r="P80" s="990"/>
      <c r="Q80" s="990" t="s">
        <v>863</v>
      </c>
      <c r="R80" s="990"/>
      <c r="S80" s="990"/>
      <c r="T80" s="990"/>
      <c r="U80" s="990"/>
      <c r="V80" s="990"/>
      <c r="W80" s="990"/>
      <c r="X80" s="990"/>
      <c r="Y80" s="990"/>
      <c r="Z80" s="990"/>
      <c r="AA80" s="990"/>
      <c r="AB80" s="990"/>
      <c r="AC80" s="990"/>
      <c r="AD80" s="990"/>
      <c r="AE80" s="990" t="s">
        <v>859</v>
      </c>
      <c r="AF80" s="990"/>
      <c r="AG80" s="990" t="s">
        <v>873</v>
      </c>
      <c r="AH80" s="990"/>
      <c r="AI80" s="990"/>
      <c r="AJ80" s="990"/>
      <c r="AK80" s="990"/>
      <c r="AL80" s="990"/>
      <c r="AM80" s="990"/>
      <c r="AN80" s="990"/>
      <c r="AO80" s="990"/>
      <c r="AP80" s="990"/>
      <c r="AQ80" s="990"/>
      <c r="AR80" s="990"/>
      <c r="AS80" s="990"/>
      <c r="AT80" s="988"/>
      <c r="AU80" s="988"/>
      <c r="AV80" s="988"/>
      <c r="AW80" s="988"/>
      <c r="AX80" s="988"/>
      <c r="AY80" s="988"/>
      <c r="AZ80" s="988"/>
      <c r="BA80" s="988"/>
      <c r="BB80" s="988"/>
      <c r="BC80" s="988"/>
      <c r="BD80" s="987"/>
      <c r="BE80" s="988"/>
      <c r="BF80" s="988"/>
      <c r="BG80" s="988"/>
      <c r="BH80" s="988"/>
      <c r="BI80" s="988"/>
      <c r="BJ80" s="988"/>
      <c r="BK80" s="991"/>
    </row>
    <row r="81" spans="1:63" ht="15.75" customHeight="1">
      <c r="A81" s="986"/>
      <c r="B81" s="987"/>
      <c r="C81" s="988"/>
      <c r="D81" s="988"/>
      <c r="E81" s="988"/>
      <c r="F81" s="988"/>
      <c r="G81" s="988"/>
      <c r="H81" s="988"/>
      <c r="I81" s="989"/>
      <c r="J81" s="990"/>
      <c r="N81" s="990"/>
      <c r="O81" s="990"/>
      <c r="P81" s="990"/>
      <c r="Q81" s="990" t="s">
        <v>863</v>
      </c>
      <c r="R81" s="990"/>
      <c r="S81" s="990"/>
      <c r="T81" s="990"/>
      <c r="U81" s="990"/>
      <c r="V81" s="990"/>
      <c r="W81" s="990"/>
      <c r="X81" s="990"/>
      <c r="Y81" s="990"/>
      <c r="Z81" s="990"/>
      <c r="AA81" s="990"/>
      <c r="AB81" s="990"/>
      <c r="AC81" s="990"/>
      <c r="AD81" s="990"/>
      <c r="AE81" s="990" t="s">
        <v>719</v>
      </c>
      <c r="AF81" s="990"/>
      <c r="AG81" s="990" t="s">
        <v>872</v>
      </c>
      <c r="AH81" s="990"/>
      <c r="AI81" s="990"/>
      <c r="AJ81" s="990"/>
      <c r="AK81" s="990"/>
      <c r="AL81" s="990"/>
      <c r="AM81" s="990"/>
      <c r="AN81" s="990"/>
      <c r="AO81" s="990"/>
      <c r="AP81" s="990"/>
      <c r="AQ81" s="990"/>
      <c r="AR81" s="990"/>
      <c r="AS81" s="990"/>
      <c r="AT81" s="988"/>
      <c r="AU81" s="988"/>
      <c r="AV81" s="988"/>
      <c r="AW81" s="988"/>
      <c r="AX81" s="988"/>
      <c r="AY81" s="988"/>
      <c r="AZ81" s="988"/>
      <c r="BA81" s="988"/>
      <c r="BB81" s="988"/>
      <c r="BC81" s="988"/>
      <c r="BD81" s="987"/>
      <c r="BE81" s="988"/>
      <c r="BF81" s="988"/>
      <c r="BG81" s="988"/>
      <c r="BH81" s="988"/>
      <c r="BI81" s="988"/>
      <c r="BJ81" s="988"/>
      <c r="BK81" s="991"/>
    </row>
    <row r="82" spans="1:63" ht="15.75" customHeight="1">
      <c r="A82" s="986"/>
      <c r="B82" s="987"/>
      <c r="C82" s="988"/>
      <c r="D82" s="988"/>
      <c r="E82" s="988"/>
      <c r="F82" s="988"/>
      <c r="G82" s="988"/>
      <c r="H82" s="988"/>
      <c r="I82" s="989"/>
      <c r="J82" s="990"/>
      <c r="N82" s="990"/>
      <c r="O82" s="990"/>
      <c r="P82" s="990"/>
      <c r="Q82" s="990" t="s">
        <v>878</v>
      </c>
      <c r="R82" s="990"/>
      <c r="S82" s="990"/>
      <c r="T82" s="990"/>
      <c r="U82" s="990"/>
      <c r="V82" s="990"/>
      <c r="W82" s="990"/>
      <c r="X82" s="990"/>
      <c r="Y82" s="990"/>
      <c r="Z82" s="990"/>
      <c r="AA82" s="990"/>
      <c r="AB82" s="990"/>
      <c r="AC82" s="990"/>
      <c r="AD82" s="990"/>
      <c r="AE82" s="990" t="s">
        <v>877</v>
      </c>
      <c r="AF82" s="990"/>
      <c r="AG82" s="990"/>
      <c r="AH82" s="990"/>
      <c r="AI82" s="990"/>
      <c r="AJ82" s="990"/>
      <c r="AK82" s="990"/>
      <c r="AL82" s="990"/>
      <c r="AM82" s="990"/>
      <c r="AN82" s="990"/>
      <c r="AO82" s="990"/>
      <c r="AP82" s="990"/>
      <c r="AQ82" s="990"/>
      <c r="AR82" s="990"/>
      <c r="AS82" s="990"/>
      <c r="AT82" s="988"/>
      <c r="AU82" s="988"/>
      <c r="AV82" s="988"/>
      <c r="AW82" s="988"/>
      <c r="AX82" s="988"/>
      <c r="AY82" s="988"/>
      <c r="AZ82" s="988"/>
      <c r="BA82" s="988"/>
      <c r="BB82" s="988"/>
      <c r="BC82" s="988"/>
      <c r="BD82" s="987"/>
      <c r="BE82" s="988"/>
      <c r="BF82" s="988"/>
      <c r="BG82" s="988"/>
      <c r="BH82" s="988"/>
      <c r="BI82" s="988"/>
      <c r="BJ82" s="988"/>
      <c r="BK82" s="991"/>
    </row>
    <row r="83" spans="1:63" ht="15.75" customHeight="1">
      <c r="A83" s="986"/>
      <c r="B83" s="987"/>
      <c r="C83" s="988"/>
      <c r="D83" s="988"/>
      <c r="E83" s="988"/>
      <c r="F83" s="988"/>
      <c r="G83" s="988"/>
      <c r="H83" s="988"/>
      <c r="I83" s="989"/>
      <c r="J83" s="990"/>
      <c r="N83" s="990"/>
      <c r="O83" s="990"/>
      <c r="P83" s="990"/>
      <c r="Q83" s="990" t="s">
        <v>863</v>
      </c>
      <c r="R83" s="990"/>
      <c r="S83" s="990"/>
      <c r="T83" s="990"/>
      <c r="U83" s="990"/>
      <c r="V83" s="990"/>
      <c r="W83" s="990"/>
      <c r="X83" s="990"/>
      <c r="Y83" s="990"/>
      <c r="Z83" s="990"/>
      <c r="AA83" s="990"/>
      <c r="AB83" s="990"/>
      <c r="AC83" s="990"/>
      <c r="AD83" s="990"/>
      <c r="AE83" s="990" t="s">
        <v>717</v>
      </c>
      <c r="AF83" s="990"/>
      <c r="AG83" s="990" t="s">
        <v>875</v>
      </c>
      <c r="AH83" s="990"/>
      <c r="AI83" s="990"/>
      <c r="AJ83" s="990"/>
      <c r="AK83" s="990"/>
      <c r="AL83" s="990"/>
      <c r="AM83" s="990"/>
      <c r="AN83" s="990"/>
      <c r="AO83" s="990"/>
      <c r="AP83" s="990"/>
      <c r="AQ83" s="990"/>
      <c r="AR83" s="990"/>
      <c r="AS83" s="990"/>
      <c r="AT83" s="988"/>
      <c r="AU83" s="988"/>
      <c r="AV83" s="988"/>
      <c r="AW83" s="988"/>
      <c r="AX83" s="988"/>
      <c r="AY83" s="988"/>
      <c r="AZ83" s="988"/>
      <c r="BA83" s="988"/>
      <c r="BB83" s="988"/>
      <c r="BC83" s="988"/>
      <c r="BD83" s="987"/>
      <c r="BE83" s="988"/>
      <c r="BF83" s="988"/>
      <c r="BG83" s="988"/>
      <c r="BH83" s="988"/>
      <c r="BI83" s="988"/>
      <c r="BJ83" s="988"/>
      <c r="BK83" s="991"/>
    </row>
    <row r="84" spans="1:63" ht="15.75" customHeight="1">
      <c r="A84" s="986"/>
      <c r="B84" s="987"/>
      <c r="C84" s="988"/>
      <c r="D84" s="988"/>
      <c r="E84" s="988"/>
      <c r="F84" s="988"/>
      <c r="G84" s="988"/>
      <c r="H84" s="988"/>
      <c r="I84" s="989"/>
      <c r="J84" s="990"/>
      <c r="N84" s="990"/>
      <c r="O84" s="990"/>
      <c r="P84" s="990"/>
      <c r="Q84" s="990" t="s">
        <v>861</v>
      </c>
      <c r="R84" s="990"/>
      <c r="S84" s="990"/>
      <c r="T84" s="990"/>
      <c r="U84" s="990"/>
      <c r="V84" s="990"/>
      <c r="W84" s="990"/>
      <c r="X84" s="990"/>
      <c r="Y84" s="990"/>
      <c r="Z84" s="990"/>
      <c r="AA84" s="990"/>
      <c r="AB84" s="990"/>
      <c r="AC84" s="990"/>
      <c r="AD84" s="990"/>
      <c r="AE84" s="990" t="s">
        <v>719</v>
      </c>
      <c r="AF84" s="990"/>
      <c r="AG84" s="990" t="s">
        <v>876</v>
      </c>
      <c r="AH84" s="990"/>
      <c r="AI84" s="990"/>
      <c r="AJ84" s="990"/>
      <c r="AK84" s="990"/>
      <c r="AL84" s="990"/>
      <c r="AM84" s="990"/>
      <c r="AN84" s="990"/>
      <c r="AO84" s="990"/>
      <c r="AP84" s="990"/>
      <c r="AQ84" s="990"/>
      <c r="AR84" s="990"/>
      <c r="AS84" s="990"/>
      <c r="AT84" s="988"/>
      <c r="AU84" s="988"/>
      <c r="AV84" s="988"/>
      <c r="AW84" s="988"/>
      <c r="AX84" s="988"/>
      <c r="AY84" s="988"/>
      <c r="AZ84" s="988"/>
      <c r="BA84" s="988"/>
      <c r="BB84" s="988"/>
      <c r="BC84" s="988"/>
      <c r="BD84" s="987"/>
      <c r="BE84" s="988"/>
      <c r="BF84" s="988"/>
      <c r="BG84" s="988"/>
      <c r="BH84" s="988"/>
      <c r="BI84" s="988"/>
      <c r="BJ84" s="988"/>
      <c r="BK84" s="991"/>
    </row>
    <row r="85" spans="1:63" ht="15.75" customHeight="1">
      <c r="A85" s="986"/>
      <c r="B85" s="987"/>
      <c r="C85" s="988"/>
      <c r="D85" s="988"/>
      <c r="E85" s="988"/>
      <c r="F85" s="988"/>
      <c r="G85" s="988"/>
      <c r="H85" s="988"/>
      <c r="I85" s="989"/>
      <c r="J85" s="990"/>
      <c r="N85" s="990"/>
      <c r="O85" s="990"/>
      <c r="P85" s="990"/>
      <c r="Q85" s="990" t="s">
        <v>880</v>
      </c>
      <c r="R85" s="990"/>
      <c r="S85" s="990"/>
      <c r="T85" s="990"/>
      <c r="U85" s="990"/>
      <c r="V85" s="990"/>
      <c r="W85" s="990"/>
      <c r="X85" s="990"/>
      <c r="Y85" s="990"/>
      <c r="Z85" s="990"/>
      <c r="AA85" s="990"/>
      <c r="AB85" s="990"/>
      <c r="AC85" s="990"/>
      <c r="AD85" s="990"/>
      <c r="AE85" s="990" t="s">
        <v>881</v>
      </c>
      <c r="AF85" s="990"/>
      <c r="AG85" s="990"/>
      <c r="AH85" s="990"/>
      <c r="AI85" s="990"/>
      <c r="AJ85" s="990"/>
      <c r="AK85" s="990"/>
      <c r="AL85" s="990"/>
      <c r="AM85" s="990"/>
      <c r="AN85" s="990"/>
      <c r="AO85" s="990"/>
      <c r="AP85" s="990"/>
      <c r="AQ85" s="990"/>
      <c r="AR85" s="990"/>
      <c r="AS85" s="990"/>
      <c r="AT85" s="988"/>
      <c r="AU85" s="988"/>
      <c r="AV85" s="988"/>
      <c r="AW85" s="988"/>
      <c r="AX85" s="988"/>
      <c r="AY85" s="988"/>
      <c r="AZ85" s="988"/>
      <c r="BA85" s="988"/>
      <c r="BB85" s="988"/>
      <c r="BC85" s="988"/>
      <c r="BD85" s="987"/>
      <c r="BE85" s="988"/>
      <c r="BF85" s="988"/>
      <c r="BG85" s="988"/>
      <c r="BH85" s="988"/>
      <c r="BI85" s="988"/>
      <c r="BJ85" s="988"/>
      <c r="BK85" s="991"/>
    </row>
    <row r="86" spans="1:63" ht="15.75" customHeight="1">
      <c r="A86" s="986"/>
      <c r="B86" s="987"/>
      <c r="C86" s="988"/>
      <c r="D86" s="988"/>
      <c r="E86" s="988"/>
      <c r="F86" s="988"/>
      <c r="G86" s="988"/>
      <c r="H86" s="988"/>
      <c r="I86" s="989"/>
      <c r="J86" s="990"/>
      <c r="N86" s="990"/>
      <c r="O86" s="990"/>
      <c r="P86" s="990"/>
      <c r="Q86" s="990" t="s">
        <v>879</v>
      </c>
      <c r="R86" s="990"/>
      <c r="S86" s="990"/>
      <c r="T86" s="990"/>
      <c r="U86" s="990"/>
      <c r="V86" s="990"/>
      <c r="W86" s="990"/>
      <c r="X86" s="990"/>
      <c r="Y86" s="990"/>
      <c r="Z86" s="990"/>
      <c r="AA86" s="990"/>
      <c r="AB86" s="990"/>
      <c r="AC86" s="990"/>
      <c r="AD86" s="990"/>
      <c r="AE86" s="990" t="s">
        <v>882</v>
      </c>
      <c r="AF86" s="990"/>
      <c r="AG86" s="990"/>
      <c r="AH86" s="990"/>
      <c r="AI86" s="990"/>
      <c r="AJ86" s="990"/>
      <c r="AK86" s="990"/>
      <c r="AL86" s="990"/>
      <c r="AM86" s="990"/>
      <c r="AN86" s="990"/>
      <c r="AO86" s="990"/>
      <c r="AP86" s="990"/>
      <c r="AQ86" s="990"/>
      <c r="AR86" s="990"/>
      <c r="AS86" s="990"/>
      <c r="AT86" s="988"/>
      <c r="AU86" s="988"/>
      <c r="AV86" s="988"/>
      <c r="AW86" s="988"/>
      <c r="AX86" s="988"/>
      <c r="AY86" s="988"/>
      <c r="AZ86" s="988"/>
      <c r="BA86" s="988"/>
      <c r="BB86" s="988"/>
      <c r="BC86" s="988"/>
      <c r="BD86" s="987"/>
      <c r="BE86" s="988"/>
      <c r="BF86" s="988"/>
      <c r="BG86" s="988"/>
      <c r="BH86" s="988"/>
      <c r="BI86" s="988"/>
      <c r="BJ86" s="988"/>
      <c r="BK86" s="991"/>
    </row>
    <row r="87" spans="1:63" ht="15.75" customHeight="1">
      <c r="A87" s="986"/>
      <c r="B87" s="987"/>
      <c r="C87" s="988"/>
      <c r="D87" s="988"/>
      <c r="E87" s="988"/>
      <c r="F87" s="988"/>
      <c r="G87" s="988"/>
      <c r="H87" s="988"/>
      <c r="I87" s="989"/>
      <c r="J87" s="990"/>
      <c r="N87" s="990"/>
      <c r="O87" s="990"/>
      <c r="P87" s="990" t="s">
        <v>891</v>
      </c>
      <c r="Q87" s="990"/>
      <c r="R87" s="990"/>
      <c r="S87" s="990"/>
      <c r="T87" s="990"/>
      <c r="U87" s="990"/>
      <c r="V87" s="990"/>
      <c r="W87" s="990"/>
      <c r="X87" s="990"/>
      <c r="Y87" s="990"/>
      <c r="Z87" s="990"/>
      <c r="AA87" s="990"/>
      <c r="AB87" s="990"/>
      <c r="AC87" s="990"/>
      <c r="AD87" s="990"/>
      <c r="AE87" s="990"/>
      <c r="AF87" s="990"/>
      <c r="AG87" s="990"/>
      <c r="AH87" s="990"/>
      <c r="AI87" s="990"/>
      <c r="AJ87" s="990"/>
      <c r="AK87" s="990"/>
      <c r="AL87" s="990"/>
      <c r="AM87" s="990"/>
      <c r="AN87" s="990"/>
      <c r="AO87" s="990"/>
      <c r="AP87" s="990"/>
      <c r="AQ87" s="990"/>
      <c r="AR87" s="990"/>
      <c r="AS87" s="990"/>
      <c r="AT87" s="988"/>
      <c r="AU87" s="988"/>
      <c r="AV87" s="988"/>
      <c r="AW87" s="988"/>
      <c r="AX87" s="988"/>
      <c r="AY87" s="988"/>
      <c r="AZ87" s="988"/>
      <c r="BA87" s="988"/>
      <c r="BB87" s="988"/>
      <c r="BC87" s="988"/>
      <c r="BD87" s="987"/>
      <c r="BE87" s="988"/>
      <c r="BF87" s="988"/>
      <c r="BG87" s="988"/>
      <c r="BH87" s="988"/>
      <c r="BI87" s="988"/>
      <c r="BJ87" s="988"/>
      <c r="BK87" s="991"/>
    </row>
    <row r="88" spans="1:63" ht="15.75" customHeight="1">
      <c r="A88" s="986"/>
      <c r="B88" s="987"/>
      <c r="C88" s="988"/>
      <c r="D88" s="988"/>
      <c r="E88" s="988"/>
      <c r="F88" s="988"/>
      <c r="G88" s="988"/>
      <c r="H88" s="988"/>
      <c r="I88" s="989"/>
      <c r="J88" s="990"/>
      <c r="K88" s="990"/>
      <c r="L88" s="990"/>
      <c r="M88" s="990"/>
      <c r="N88" s="990"/>
      <c r="O88" s="990"/>
      <c r="P88" s="990"/>
      <c r="Q88" s="990" t="s">
        <v>716</v>
      </c>
      <c r="R88" s="990"/>
      <c r="S88" s="990"/>
      <c r="T88" s="990"/>
      <c r="U88" s="995"/>
      <c r="V88" s="1001"/>
      <c r="W88" s="988"/>
      <c r="X88" s="990"/>
      <c r="Y88" s="990"/>
      <c r="Z88" s="990"/>
      <c r="AA88" s="990"/>
      <c r="AB88" s="990"/>
      <c r="AC88" s="990"/>
      <c r="AD88" s="990"/>
      <c r="AE88" s="990" t="s">
        <v>717</v>
      </c>
      <c r="AF88" s="990"/>
      <c r="AG88" s="990"/>
      <c r="AH88" s="990" t="s">
        <v>718</v>
      </c>
      <c r="AI88" s="990"/>
      <c r="AJ88" s="990"/>
      <c r="AK88" s="990"/>
      <c r="AL88" s="990"/>
      <c r="AM88" s="990"/>
      <c r="AN88" s="990"/>
      <c r="AO88" s="990"/>
      <c r="AP88" s="990"/>
      <c r="AQ88" s="990"/>
      <c r="AR88" s="990"/>
      <c r="AS88" s="990"/>
      <c r="AT88" s="988"/>
      <c r="AU88" s="988"/>
      <c r="AV88" s="988"/>
      <c r="AW88" s="988"/>
      <c r="AX88" s="988"/>
      <c r="AY88" s="988"/>
      <c r="AZ88" s="988"/>
      <c r="BA88" s="988"/>
      <c r="BB88" s="988"/>
      <c r="BC88" s="988"/>
      <c r="BD88" s="987"/>
      <c r="BE88" s="988"/>
      <c r="BF88" s="988"/>
      <c r="BG88" s="988"/>
      <c r="BH88" s="988"/>
      <c r="BI88" s="988"/>
      <c r="BJ88" s="988"/>
      <c r="BK88" s="991"/>
    </row>
    <row r="89" spans="1:63" ht="15.75" customHeight="1">
      <c r="A89" s="986"/>
      <c r="B89" s="987"/>
      <c r="C89" s="988"/>
      <c r="D89" s="988"/>
      <c r="E89" s="988"/>
      <c r="F89" s="988"/>
      <c r="G89" s="988"/>
      <c r="H89" s="988"/>
      <c r="I89" s="989"/>
      <c r="J89" s="990"/>
      <c r="K89" s="990"/>
      <c r="L89" s="990"/>
      <c r="M89" s="990"/>
      <c r="N89" s="990"/>
      <c r="O89" s="990"/>
      <c r="P89" s="990"/>
      <c r="Q89" s="990" t="s">
        <v>716</v>
      </c>
      <c r="R89" s="990"/>
      <c r="S89" s="990"/>
      <c r="T89" s="990"/>
      <c r="U89" s="995"/>
      <c r="V89" s="1004"/>
      <c r="W89" s="988"/>
      <c r="X89" s="990"/>
      <c r="Y89" s="990"/>
      <c r="Z89" s="990"/>
      <c r="AA89" s="990"/>
      <c r="AB89" s="990"/>
      <c r="AC89" s="990"/>
      <c r="AD89" s="990"/>
      <c r="AE89" s="990" t="s">
        <v>719</v>
      </c>
      <c r="AF89" s="990"/>
      <c r="AG89" s="990"/>
      <c r="AH89" s="990" t="s">
        <v>720</v>
      </c>
      <c r="AI89" s="990"/>
      <c r="AJ89" s="990"/>
      <c r="AK89" s="990"/>
      <c r="AL89" s="990"/>
      <c r="AM89" s="988"/>
      <c r="AN89" s="988"/>
      <c r="AO89" s="988"/>
      <c r="AP89" s="988"/>
      <c r="AS89" s="988"/>
      <c r="AT89" s="988"/>
      <c r="AU89" s="988"/>
      <c r="AV89" s="988"/>
      <c r="AW89" s="988"/>
      <c r="AX89" s="988"/>
      <c r="AY89" s="988"/>
      <c r="AZ89" s="988"/>
      <c r="BA89" s="988"/>
      <c r="BB89" s="988"/>
      <c r="BC89" s="988"/>
      <c r="BD89" s="987"/>
      <c r="BE89" s="988"/>
      <c r="BF89" s="988"/>
      <c r="BG89" s="988"/>
      <c r="BH89" s="988"/>
      <c r="BI89" s="988"/>
      <c r="BJ89" s="988"/>
      <c r="BK89" s="991"/>
    </row>
    <row r="90" spans="1:63" ht="15.75" customHeight="1">
      <c r="A90" s="986"/>
      <c r="B90" s="987"/>
      <c r="C90" s="988"/>
      <c r="D90" s="988"/>
      <c r="E90" s="988"/>
      <c r="F90" s="988"/>
      <c r="G90" s="988"/>
      <c r="H90" s="988"/>
      <c r="I90" s="989"/>
      <c r="J90" s="990"/>
      <c r="K90" s="990"/>
      <c r="L90" s="990"/>
      <c r="M90" s="990"/>
      <c r="N90" s="990"/>
      <c r="O90" s="990"/>
      <c r="P90" s="990"/>
      <c r="Q90" s="990" t="s">
        <v>721</v>
      </c>
      <c r="R90" s="990"/>
      <c r="S90" s="990"/>
      <c r="T90" s="990"/>
      <c r="U90" s="995"/>
      <c r="V90" s="1004"/>
      <c r="W90" s="988"/>
      <c r="X90" s="990"/>
      <c r="Y90" s="990"/>
      <c r="Z90" s="990"/>
      <c r="AA90" s="990"/>
      <c r="AB90" s="990"/>
      <c r="AC90" s="990"/>
      <c r="AD90" s="990"/>
      <c r="AE90" s="990" t="s">
        <v>722</v>
      </c>
      <c r="AF90" s="990"/>
      <c r="AG90" s="990"/>
      <c r="AH90" s="990" t="s">
        <v>723</v>
      </c>
      <c r="AI90" s="990"/>
      <c r="AJ90" s="990"/>
      <c r="AK90" s="990"/>
      <c r="AL90" s="990"/>
      <c r="AM90" s="988"/>
      <c r="AN90" s="988"/>
      <c r="AO90" s="988"/>
      <c r="AP90" s="988"/>
      <c r="AS90" s="988"/>
      <c r="AT90" s="988"/>
      <c r="AU90" s="988"/>
      <c r="AV90" s="988"/>
      <c r="AW90" s="988"/>
      <c r="AX90" s="988"/>
      <c r="AY90" s="988"/>
      <c r="AZ90" s="988"/>
      <c r="BA90" s="988"/>
      <c r="BB90" s="988"/>
      <c r="BC90" s="988"/>
      <c r="BD90" s="987"/>
      <c r="BE90" s="988"/>
      <c r="BF90" s="988"/>
      <c r="BG90" s="988"/>
      <c r="BH90" s="988"/>
      <c r="BI90" s="988"/>
      <c r="BJ90" s="988"/>
      <c r="BK90" s="991"/>
    </row>
    <row r="91" spans="1:63" ht="15.75" customHeight="1">
      <c r="A91" s="986"/>
      <c r="B91" s="987"/>
      <c r="C91" s="988"/>
      <c r="D91" s="988"/>
      <c r="E91" s="988"/>
      <c r="F91" s="988"/>
      <c r="G91" s="988"/>
      <c r="H91" s="988"/>
      <c r="I91" s="989"/>
      <c r="J91" s="990"/>
      <c r="K91" s="988"/>
      <c r="L91" s="990"/>
      <c r="M91" s="990"/>
      <c r="N91" s="990"/>
      <c r="O91" s="990"/>
      <c r="P91" s="990"/>
      <c r="Q91" s="990" t="s">
        <v>724</v>
      </c>
      <c r="R91" s="990"/>
      <c r="S91" s="990"/>
      <c r="T91" s="990"/>
      <c r="U91" s="990"/>
      <c r="V91" s="990"/>
      <c r="W91" s="988"/>
      <c r="X91" s="990"/>
      <c r="Y91" s="990"/>
      <c r="Z91" s="990"/>
      <c r="AA91" s="990"/>
      <c r="AB91" s="990"/>
      <c r="AC91" s="990"/>
      <c r="AD91" s="990"/>
      <c r="AE91" s="990" t="s">
        <v>722</v>
      </c>
      <c r="AF91" s="990"/>
      <c r="AG91" s="990"/>
      <c r="AH91" s="990" t="s">
        <v>725</v>
      </c>
      <c r="AI91" s="990"/>
      <c r="AJ91" s="990"/>
      <c r="AK91" s="990"/>
      <c r="AL91" s="990"/>
      <c r="AM91" s="988"/>
      <c r="AN91" s="988"/>
      <c r="AO91" s="988"/>
      <c r="AP91" s="988"/>
      <c r="AS91" s="988"/>
      <c r="AT91" s="988"/>
      <c r="AU91" s="988"/>
      <c r="AV91" s="988"/>
      <c r="AW91" s="988"/>
      <c r="AX91" s="988"/>
      <c r="AY91" s="988"/>
      <c r="AZ91" s="988"/>
      <c r="BA91" s="988"/>
      <c r="BB91" s="988"/>
      <c r="BC91" s="988"/>
      <c r="BD91" s="987"/>
      <c r="BE91" s="988"/>
      <c r="BF91" s="988"/>
      <c r="BG91" s="988"/>
      <c r="BH91" s="988"/>
      <c r="BI91" s="988"/>
      <c r="BJ91" s="988"/>
      <c r="BK91" s="991"/>
    </row>
    <row r="92" spans="1:63" ht="15.75" customHeight="1">
      <c r="A92" s="986"/>
      <c r="B92" s="987"/>
      <c r="C92" s="988"/>
      <c r="D92" s="988"/>
      <c r="E92" s="988"/>
      <c r="F92" s="988"/>
      <c r="G92" s="988"/>
      <c r="H92" s="988"/>
      <c r="I92" s="989"/>
      <c r="J92" s="990"/>
      <c r="K92" s="988"/>
      <c r="L92" s="990"/>
      <c r="M92" s="990"/>
      <c r="N92" s="990"/>
      <c r="O92" s="990"/>
      <c r="P92" s="990"/>
      <c r="Q92" s="990" t="s">
        <v>726</v>
      </c>
      <c r="R92" s="990"/>
      <c r="S92" s="990"/>
      <c r="T92" s="1004"/>
      <c r="U92" s="990"/>
      <c r="V92" s="990"/>
      <c r="W92" s="988"/>
      <c r="X92" s="990"/>
      <c r="Y92" s="990"/>
      <c r="Z92" s="990"/>
      <c r="AA92" s="990"/>
      <c r="AB92" s="990"/>
      <c r="AC92" s="990"/>
      <c r="AD92" s="990"/>
      <c r="AE92" s="990" t="s">
        <v>722</v>
      </c>
      <c r="AF92" s="990"/>
      <c r="AG92" s="990"/>
      <c r="AH92" s="990" t="s">
        <v>727</v>
      </c>
      <c r="AI92" s="990"/>
      <c r="AJ92" s="990"/>
      <c r="AK92" s="990"/>
      <c r="AL92" s="990"/>
      <c r="AM92" s="988"/>
      <c r="AN92" s="988"/>
      <c r="AO92" s="988"/>
      <c r="AP92" s="988"/>
      <c r="AS92" s="988"/>
      <c r="AT92" s="988"/>
      <c r="AU92" s="988"/>
      <c r="AV92" s="988"/>
      <c r="AW92" s="988"/>
      <c r="AX92" s="988"/>
      <c r="AY92" s="988"/>
      <c r="AZ92" s="988"/>
      <c r="BA92" s="988"/>
      <c r="BB92" s="988"/>
      <c r="BC92" s="988"/>
      <c r="BD92" s="987"/>
      <c r="BE92" s="988"/>
      <c r="BF92" s="988"/>
      <c r="BG92" s="988"/>
      <c r="BH92" s="988"/>
      <c r="BI92" s="988"/>
      <c r="BJ92" s="988"/>
      <c r="BK92" s="991"/>
    </row>
    <row r="93" spans="1:63" ht="15.75" customHeight="1">
      <c r="A93" s="986"/>
      <c r="B93" s="987"/>
      <c r="C93" s="988"/>
      <c r="D93" s="988"/>
      <c r="E93" s="988"/>
      <c r="F93" s="988"/>
      <c r="G93" s="988"/>
      <c r="H93" s="988"/>
      <c r="I93" s="989"/>
      <c r="J93" s="990"/>
      <c r="K93" s="988"/>
      <c r="L93" s="990"/>
      <c r="M93" s="990"/>
      <c r="N93" s="990"/>
      <c r="O93" s="990"/>
      <c r="P93" s="990"/>
      <c r="Q93" s="990" t="s">
        <v>728</v>
      </c>
      <c r="R93" s="990"/>
      <c r="S93" s="990"/>
      <c r="T93" s="1004"/>
      <c r="U93" s="990"/>
      <c r="V93" s="990"/>
      <c r="W93" s="988"/>
      <c r="X93" s="990"/>
      <c r="Y93" s="990"/>
      <c r="Z93" s="990"/>
      <c r="AA93" s="990"/>
      <c r="AB93" s="990"/>
      <c r="AC93" s="990"/>
      <c r="AD93" s="990"/>
      <c r="AE93" s="990" t="s">
        <v>722</v>
      </c>
      <c r="AF93" s="990"/>
      <c r="AG93" s="990"/>
      <c r="AH93" s="990" t="s">
        <v>729</v>
      </c>
      <c r="AI93" s="990"/>
      <c r="AJ93" s="990"/>
      <c r="AK93" s="990"/>
      <c r="AL93" s="990"/>
      <c r="AM93" s="988"/>
      <c r="AN93" s="988"/>
      <c r="AO93" s="988"/>
      <c r="AP93" s="988"/>
      <c r="AS93" s="988"/>
      <c r="AT93" s="988"/>
      <c r="AU93" s="988"/>
      <c r="AV93" s="988"/>
      <c r="AW93" s="988"/>
      <c r="AX93" s="988"/>
      <c r="AY93" s="988"/>
      <c r="AZ93" s="988"/>
      <c r="BA93" s="988"/>
      <c r="BB93" s="988"/>
      <c r="BC93" s="988"/>
      <c r="BD93" s="987"/>
      <c r="BE93" s="988"/>
      <c r="BF93" s="988"/>
      <c r="BG93" s="988"/>
      <c r="BH93" s="988"/>
      <c r="BI93" s="988"/>
      <c r="BJ93" s="988"/>
      <c r="BK93" s="991"/>
    </row>
    <row r="94" spans="1:63" ht="15.75" customHeight="1">
      <c r="A94" s="986"/>
      <c r="B94" s="987"/>
      <c r="C94" s="988"/>
      <c r="D94" s="988"/>
      <c r="E94" s="988"/>
      <c r="F94" s="988"/>
      <c r="G94" s="988"/>
      <c r="H94" s="988"/>
      <c r="I94" s="989"/>
      <c r="J94" s="990"/>
      <c r="K94" s="990"/>
      <c r="L94" s="990"/>
      <c r="M94" s="990"/>
      <c r="N94" s="990"/>
      <c r="O94" s="990"/>
      <c r="P94" s="990"/>
      <c r="Q94" s="990" t="s">
        <v>730</v>
      </c>
      <c r="R94" s="990"/>
      <c r="S94" s="990"/>
      <c r="T94" s="990"/>
      <c r="U94" s="990"/>
      <c r="V94" s="990"/>
      <c r="W94" s="988"/>
      <c r="X94" s="990"/>
      <c r="Y94" s="990"/>
      <c r="Z94" s="990"/>
      <c r="AA94" s="990"/>
      <c r="AB94" s="990"/>
      <c r="AC94" s="990"/>
      <c r="AD94" s="990"/>
      <c r="AE94" s="990" t="s">
        <v>731</v>
      </c>
      <c r="AF94" s="990"/>
      <c r="AG94" s="990"/>
      <c r="AH94" s="990" t="s">
        <v>732</v>
      </c>
      <c r="AI94" s="990"/>
      <c r="AJ94" s="990"/>
      <c r="AK94" s="990"/>
      <c r="AL94" s="990"/>
      <c r="AM94" s="988"/>
      <c r="AN94" s="988"/>
      <c r="AO94" s="988"/>
      <c r="AP94" s="988"/>
      <c r="AS94" s="988"/>
      <c r="AT94" s="988"/>
      <c r="AU94" s="988"/>
      <c r="AV94" s="988"/>
      <c r="AW94" s="988"/>
      <c r="AX94" s="988"/>
      <c r="AY94" s="988"/>
      <c r="AZ94" s="988"/>
      <c r="BA94" s="988"/>
      <c r="BB94" s="988"/>
      <c r="BC94" s="988"/>
      <c r="BD94" s="987"/>
      <c r="BE94" s="988"/>
      <c r="BF94" s="988"/>
      <c r="BG94" s="988"/>
      <c r="BH94" s="988"/>
      <c r="BI94" s="988"/>
      <c r="BJ94" s="988"/>
      <c r="BK94" s="991"/>
    </row>
    <row r="95" spans="1:63" ht="15.75" customHeight="1">
      <c r="A95" s="986"/>
      <c r="B95" s="987"/>
      <c r="C95" s="988"/>
      <c r="D95" s="988"/>
      <c r="E95" s="988"/>
      <c r="F95" s="988"/>
      <c r="G95" s="988"/>
      <c r="H95" s="988"/>
      <c r="I95" s="989"/>
      <c r="J95" s="990"/>
      <c r="K95" s="990"/>
      <c r="L95" s="990"/>
      <c r="M95" s="990"/>
      <c r="N95" s="990"/>
      <c r="O95" s="990"/>
      <c r="P95" s="990"/>
      <c r="Q95" s="990" t="s">
        <v>733</v>
      </c>
      <c r="R95" s="990"/>
      <c r="S95" s="990"/>
      <c r="T95" s="990"/>
      <c r="U95" s="995"/>
      <c r="V95" s="995"/>
      <c r="W95" s="988"/>
      <c r="X95" s="990"/>
      <c r="Y95" s="990"/>
      <c r="Z95" s="990"/>
      <c r="AA95" s="990"/>
      <c r="AB95" s="990"/>
      <c r="AC95" s="990"/>
      <c r="AD95" s="990"/>
      <c r="AE95" s="990" t="s">
        <v>722</v>
      </c>
      <c r="AF95" s="990"/>
      <c r="AG95" s="990"/>
      <c r="AH95" s="990" t="s">
        <v>734</v>
      </c>
      <c r="AI95" s="990"/>
      <c r="AJ95" s="990"/>
      <c r="AK95" s="990"/>
      <c r="AL95" s="990"/>
      <c r="AM95" s="988"/>
      <c r="AN95" s="988"/>
      <c r="AO95" s="988"/>
      <c r="AP95" s="988"/>
      <c r="AS95" s="988"/>
      <c r="AT95" s="988"/>
      <c r="AU95" s="988"/>
      <c r="AV95" s="988"/>
      <c r="AW95" s="988"/>
      <c r="AX95" s="988"/>
      <c r="AY95" s="988"/>
      <c r="AZ95" s="988"/>
      <c r="BA95" s="988"/>
      <c r="BB95" s="988"/>
      <c r="BC95" s="988"/>
      <c r="BD95" s="987"/>
      <c r="BE95" s="988"/>
      <c r="BF95" s="988"/>
      <c r="BG95" s="988"/>
      <c r="BH95" s="988"/>
      <c r="BI95" s="988"/>
      <c r="BJ95" s="988"/>
      <c r="BK95" s="991"/>
    </row>
    <row r="96" spans="1:63" ht="15.75" customHeight="1">
      <c r="A96" s="986"/>
      <c r="B96" s="987"/>
      <c r="C96" s="988"/>
      <c r="D96" s="988"/>
      <c r="E96" s="988"/>
      <c r="F96" s="988"/>
      <c r="G96" s="988"/>
      <c r="H96" s="988"/>
      <c r="I96" s="989"/>
      <c r="J96" s="990"/>
      <c r="K96" s="990"/>
      <c r="L96" s="990"/>
      <c r="M96" s="990"/>
      <c r="N96" s="990"/>
      <c r="O96" s="990"/>
      <c r="P96" s="990"/>
      <c r="Q96" s="990" t="s">
        <v>735</v>
      </c>
      <c r="R96" s="990"/>
      <c r="S96" s="990"/>
      <c r="T96" s="990"/>
      <c r="U96" s="995"/>
      <c r="V96" s="1001"/>
      <c r="W96" s="988"/>
      <c r="X96" s="990"/>
      <c r="Y96" s="990"/>
      <c r="Z96" s="990"/>
      <c r="AA96" s="990"/>
      <c r="AB96" s="990"/>
      <c r="AC96" s="990"/>
      <c r="AD96" s="990"/>
      <c r="AE96" s="990" t="s">
        <v>722</v>
      </c>
      <c r="AF96" s="990"/>
      <c r="AG96" s="990"/>
      <c r="AH96" s="990" t="s">
        <v>736</v>
      </c>
      <c r="AI96" s="990"/>
      <c r="AJ96" s="990"/>
      <c r="AK96" s="990"/>
      <c r="AL96" s="990"/>
      <c r="AM96" s="988"/>
      <c r="AN96" s="988"/>
      <c r="AO96" s="988"/>
      <c r="AP96" s="988"/>
      <c r="AS96" s="988"/>
      <c r="AT96" s="988"/>
      <c r="AU96" s="988"/>
      <c r="AV96" s="988"/>
      <c r="AW96" s="988"/>
      <c r="AX96" s="988"/>
      <c r="AY96" s="988"/>
      <c r="AZ96" s="988"/>
      <c r="BA96" s="988"/>
      <c r="BB96" s="988"/>
      <c r="BC96" s="988"/>
      <c r="BD96" s="987"/>
      <c r="BE96" s="988"/>
      <c r="BF96" s="988"/>
      <c r="BG96" s="988"/>
      <c r="BH96" s="988"/>
      <c r="BI96" s="988"/>
      <c r="BJ96" s="988"/>
      <c r="BK96" s="991"/>
    </row>
    <row r="97" spans="1:63" ht="15.75" customHeight="1">
      <c r="A97" s="986"/>
      <c r="B97" s="987"/>
      <c r="C97" s="988"/>
      <c r="D97" s="988"/>
      <c r="E97" s="988"/>
      <c r="F97" s="988"/>
      <c r="G97" s="988"/>
      <c r="H97" s="988"/>
      <c r="I97" s="989"/>
      <c r="J97" s="990"/>
      <c r="K97" s="990"/>
      <c r="L97" s="990"/>
      <c r="M97" s="990"/>
      <c r="N97" s="990"/>
      <c r="O97" s="990"/>
      <c r="P97" s="990"/>
      <c r="Q97" s="990" t="s">
        <v>737</v>
      </c>
      <c r="R97" s="990"/>
      <c r="S97" s="990"/>
      <c r="T97" s="1004"/>
      <c r="U97" s="990"/>
      <c r="V97" s="990"/>
      <c r="W97" s="990"/>
      <c r="X97" s="990"/>
      <c r="Y97" s="990"/>
      <c r="Z97" s="990"/>
      <c r="AA97" s="990"/>
      <c r="AB97" s="990"/>
      <c r="AC97" s="990"/>
      <c r="AD97" s="990"/>
      <c r="AE97" s="990" t="s">
        <v>722</v>
      </c>
      <c r="AF97" s="990"/>
      <c r="AG97" s="990"/>
      <c r="AH97" s="990" t="s">
        <v>738</v>
      </c>
      <c r="AI97" s="990"/>
      <c r="AJ97" s="990"/>
      <c r="AK97" s="990"/>
      <c r="AL97" s="990"/>
      <c r="AM97" s="988"/>
      <c r="AN97" s="988"/>
      <c r="AO97" s="988"/>
      <c r="AP97" s="988"/>
      <c r="AS97" s="988"/>
      <c r="AT97" s="988"/>
      <c r="AU97" s="988"/>
      <c r="AV97" s="988"/>
      <c r="AW97" s="988"/>
      <c r="AX97" s="988"/>
      <c r="AY97" s="988"/>
      <c r="AZ97" s="988"/>
      <c r="BA97" s="988"/>
      <c r="BB97" s="988"/>
      <c r="BC97" s="988"/>
      <c r="BD97" s="987"/>
      <c r="BE97" s="988"/>
      <c r="BF97" s="988"/>
      <c r="BG97" s="988"/>
      <c r="BH97" s="988"/>
      <c r="BI97" s="988"/>
      <c r="BJ97" s="988"/>
      <c r="BK97" s="991"/>
    </row>
    <row r="98" spans="1:63" ht="15.75" customHeight="1">
      <c r="A98" s="986"/>
      <c r="B98" s="987"/>
      <c r="C98" s="988"/>
      <c r="D98" s="988"/>
      <c r="E98" s="988"/>
      <c r="F98" s="988"/>
      <c r="G98" s="988"/>
      <c r="H98" s="988"/>
      <c r="I98" s="989"/>
      <c r="J98" s="990"/>
      <c r="K98" s="990"/>
      <c r="L98" s="990"/>
      <c r="M98" s="990"/>
      <c r="N98" s="990"/>
      <c r="O98" s="990"/>
      <c r="P98" s="990"/>
      <c r="Q98" s="990" t="s">
        <v>739</v>
      </c>
      <c r="R98" s="990"/>
      <c r="S98" s="990"/>
      <c r="T98" s="1004"/>
      <c r="U98" s="990"/>
      <c r="V98" s="990"/>
      <c r="W98" s="990"/>
      <c r="X98" s="990"/>
      <c r="Y98" s="990"/>
      <c r="Z98" s="990"/>
      <c r="AA98" s="990"/>
      <c r="AB98" s="990"/>
      <c r="AC98" s="990"/>
      <c r="AD98" s="990"/>
      <c r="AE98" s="990" t="s">
        <v>722</v>
      </c>
      <c r="AF98" s="990"/>
      <c r="AG98" s="990"/>
      <c r="AH98" s="990" t="s">
        <v>740</v>
      </c>
      <c r="AI98" s="990"/>
      <c r="AJ98" s="990"/>
      <c r="AK98" s="990"/>
      <c r="AL98" s="990"/>
      <c r="AM98" s="988"/>
      <c r="AN98" s="988"/>
      <c r="AO98" s="988"/>
      <c r="AP98" s="988"/>
      <c r="AS98" s="988"/>
      <c r="AT98" s="988"/>
      <c r="AU98" s="988"/>
      <c r="AV98" s="988"/>
      <c r="AW98" s="988"/>
      <c r="AX98" s="988"/>
      <c r="AY98" s="988"/>
      <c r="AZ98" s="988"/>
      <c r="BA98" s="988"/>
      <c r="BB98" s="988"/>
      <c r="BC98" s="988"/>
      <c r="BD98" s="987"/>
      <c r="BE98" s="988"/>
      <c r="BF98" s="988"/>
      <c r="BG98" s="988"/>
      <c r="BH98" s="988"/>
      <c r="BI98" s="988"/>
      <c r="BJ98" s="988"/>
      <c r="BK98" s="991"/>
    </row>
    <row r="99" spans="1:63" ht="15.75" customHeight="1">
      <c r="A99" s="986"/>
      <c r="B99" s="987"/>
      <c r="C99" s="988"/>
      <c r="D99" s="988"/>
      <c r="E99" s="988"/>
      <c r="F99" s="988"/>
      <c r="G99" s="988"/>
      <c r="H99" s="988"/>
      <c r="I99" s="989"/>
      <c r="J99" s="990"/>
      <c r="K99" s="1005"/>
      <c r="L99" s="990"/>
      <c r="M99" s="990"/>
      <c r="N99" s="990"/>
      <c r="O99" s="990"/>
      <c r="P99" s="990"/>
      <c r="Q99" s="990" t="s">
        <v>741</v>
      </c>
      <c r="R99" s="990"/>
      <c r="S99" s="990"/>
      <c r="T99" s="990"/>
      <c r="U99" s="990"/>
      <c r="V99" s="990"/>
      <c r="W99" s="988"/>
      <c r="X99" s="990"/>
      <c r="Y99" s="990"/>
      <c r="Z99" s="990"/>
      <c r="AA99" s="990"/>
      <c r="AB99" s="990"/>
      <c r="AC99" s="990"/>
      <c r="AD99" s="990"/>
      <c r="AE99" s="990" t="s">
        <v>731</v>
      </c>
      <c r="AF99" s="990"/>
      <c r="AG99" s="990"/>
      <c r="AH99" s="990" t="s">
        <v>742</v>
      </c>
      <c r="AI99" s="990"/>
      <c r="AJ99" s="990"/>
      <c r="AK99" s="990"/>
      <c r="AL99" s="990"/>
      <c r="AM99" s="988"/>
      <c r="AN99" s="988"/>
      <c r="AO99" s="988"/>
      <c r="AP99" s="988"/>
      <c r="AS99" s="988"/>
      <c r="AT99" s="988"/>
      <c r="AU99" s="988"/>
      <c r="AV99" s="988"/>
      <c r="AW99" s="988"/>
      <c r="AX99" s="988"/>
      <c r="AY99" s="988"/>
      <c r="AZ99" s="988"/>
      <c r="BA99" s="988"/>
      <c r="BB99" s="988"/>
      <c r="BC99" s="988"/>
      <c r="BD99" s="987"/>
      <c r="BE99" s="988"/>
      <c r="BF99" s="988"/>
      <c r="BG99" s="988"/>
      <c r="BH99" s="988"/>
      <c r="BI99" s="988"/>
      <c r="BJ99" s="988"/>
      <c r="BK99" s="991"/>
    </row>
    <row r="100" spans="1:63" s="1017" customFormat="1" ht="15.75" customHeight="1">
      <c r="A100" s="1020"/>
      <c r="B100" s="1019"/>
      <c r="C100" s="1003"/>
      <c r="D100" s="1003"/>
      <c r="E100" s="1003"/>
      <c r="F100" s="1003"/>
      <c r="G100" s="1003"/>
      <c r="H100" s="1003"/>
      <c r="I100" s="1018"/>
      <c r="J100" s="1002"/>
      <c r="K100" s="1002"/>
      <c r="L100" s="1002"/>
      <c r="M100" s="1002"/>
      <c r="N100" s="1002"/>
      <c r="O100" s="1002"/>
      <c r="P100" s="1002"/>
      <c r="Q100" s="1002" t="s">
        <v>887</v>
      </c>
      <c r="R100" s="1002"/>
      <c r="S100" s="1002"/>
      <c r="T100" s="1002"/>
      <c r="U100" s="1001"/>
      <c r="V100" s="1001"/>
      <c r="W100" s="1003"/>
      <c r="X100" s="1002"/>
      <c r="Y100" s="1002"/>
      <c r="Z100" s="1002"/>
      <c r="AA100" s="1002"/>
      <c r="AB100" s="1002"/>
      <c r="AC100" s="1002"/>
      <c r="AD100" s="1002"/>
      <c r="AE100" s="1002" t="s">
        <v>731</v>
      </c>
      <c r="AF100" s="1002"/>
      <c r="AG100" s="1002"/>
      <c r="AH100" s="1002" t="s">
        <v>888</v>
      </c>
      <c r="AI100" s="1002"/>
      <c r="AJ100" s="1002"/>
      <c r="AK100" s="1002"/>
      <c r="AL100" s="1002"/>
      <c r="AM100" s="1003"/>
      <c r="AN100" s="1003"/>
      <c r="AO100" s="1003"/>
      <c r="AP100" s="1003"/>
      <c r="AS100" s="1003"/>
      <c r="AT100" s="1003"/>
      <c r="AU100" s="1003"/>
      <c r="AV100" s="1003"/>
      <c r="AW100" s="1003"/>
      <c r="AX100" s="1003"/>
      <c r="AY100" s="1003"/>
      <c r="AZ100" s="1003"/>
      <c r="BA100" s="1003"/>
      <c r="BB100" s="1003"/>
      <c r="BC100" s="1003"/>
      <c r="BD100" s="1019"/>
      <c r="BE100" s="1003"/>
      <c r="BF100" s="1003"/>
      <c r="BG100" s="1003"/>
      <c r="BH100" s="1003"/>
      <c r="BI100" s="1003"/>
      <c r="BJ100" s="1003"/>
      <c r="BK100" s="1016"/>
    </row>
    <row r="101" spans="1:63" s="1017" customFormat="1" ht="15.75" customHeight="1">
      <c r="A101" s="1020"/>
      <c r="B101" s="1019"/>
      <c r="C101" s="1003"/>
      <c r="D101" s="1003"/>
      <c r="E101" s="1003"/>
      <c r="F101" s="1003"/>
      <c r="G101" s="1003"/>
      <c r="H101" s="1003"/>
      <c r="I101" s="1018"/>
      <c r="J101" s="1002"/>
      <c r="K101" s="1002"/>
      <c r="L101" s="1002"/>
      <c r="M101" s="1002"/>
      <c r="N101" s="1002"/>
      <c r="O101" s="1002"/>
      <c r="P101" s="1002"/>
      <c r="Q101" s="1002" t="s">
        <v>885</v>
      </c>
      <c r="R101" s="1002"/>
      <c r="S101" s="1002"/>
      <c r="T101" s="1002"/>
      <c r="U101" s="1001"/>
      <c r="V101" s="1001"/>
      <c r="W101" s="1003"/>
      <c r="X101" s="1002"/>
      <c r="Y101" s="1002"/>
      <c r="Z101" s="1002"/>
      <c r="AA101" s="1002"/>
      <c r="AB101" s="1002"/>
      <c r="AC101" s="1002"/>
      <c r="AD101" s="1002"/>
      <c r="AE101" s="1002" t="s">
        <v>731</v>
      </c>
      <c r="AF101" s="1002"/>
      <c r="AG101" s="1002"/>
      <c r="AH101" s="1002" t="s">
        <v>889</v>
      </c>
      <c r="AI101" s="1002"/>
      <c r="AJ101" s="1002"/>
      <c r="AK101" s="1002"/>
      <c r="AL101" s="1002"/>
      <c r="AM101" s="1003"/>
      <c r="AN101" s="1003"/>
      <c r="AO101" s="1003"/>
      <c r="AP101" s="1003"/>
      <c r="AS101" s="1003"/>
      <c r="AT101" s="1003"/>
      <c r="AU101" s="1003"/>
      <c r="AV101" s="1003"/>
      <c r="AW101" s="1003"/>
      <c r="AX101" s="1003"/>
      <c r="AY101" s="1003"/>
      <c r="AZ101" s="1003"/>
      <c r="BA101" s="1003"/>
      <c r="BB101" s="1003"/>
      <c r="BC101" s="1003"/>
      <c r="BD101" s="1019"/>
      <c r="BE101" s="1003"/>
      <c r="BF101" s="1003"/>
      <c r="BG101" s="1003"/>
      <c r="BH101" s="1003"/>
      <c r="BI101" s="1003"/>
      <c r="BJ101" s="1003"/>
      <c r="BK101" s="1016"/>
    </row>
    <row r="102" spans="1:63" ht="15.75" customHeight="1">
      <c r="A102" s="986"/>
      <c r="B102" s="987"/>
      <c r="C102" s="988"/>
      <c r="D102" s="988"/>
      <c r="E102" s="988"/>
      <c r="F102" s="988"/>
      <c r="G102" s="988"/>
      <c r="H102" s="988"/>
      <c r="I102" s="989"/>
      <c r="J102" s="990"/>
      <c r="K102" s="990"/>
      <c r="L102" s="990"/>
      <c r="M102" s="990"/>
      <c r="N102" s="990"/>
      <c r="O102" s="990"/>
      <c r="P102" s="990"/>
      <c r="Q102" s="1002" t="s">
        <v>890</v>
      </c>
      <c r="R102" s="990"/>
      <c r="S102" s="990"/>
      <c r="T102" s="990"/>
      <c r="U102" s="995"/>
      <c r="V102" s="995"/>
      <c r="W102" s="988"/>
      <c r="X102" s="990"/>
      <c r="Y102" s="990"/>
      <c r="Z102" s="990"/>
      <c r="AA102" s="990"/>
      <c r="AB102" s="990"/>
      <c r="AC102" s="990"/>
      <c r="AD102" s="990"/>
      <c r="AE102" s="990" t="s">
        <v>731</v>
      </c>
      <c r="AF102" s="990"/>
      <c r="AG102" s="990"/>
      <c r="AH102" s="990" t="s">
        <v>743</v>
      </c>
      <c r="AI102" s="990"/>
      <c r="AJ102" s="990"/>
      <c r="AK102" s="990"/>
      <c r="AL102" s="990"/>
      <c r="AM102" s="988"/>
      <c r="AN102" s="988"/>
      <c r="AO102" s="988"/>
      <c r="AP102" s="988"/>
      <c r="AS102" s="988"/>
      <c r="AT102" s="988"/>
      <c r="AU102" s="988"/>
      <c r="AV102" s="988"/>
      <c r="AW102" s="988"/>
      <c r="AX102" s="988"/>
      <c r="AY102" s="988"/>
      <c r="AZ102" s="988"/>
      <c r="BA102" s="988"/>
      <c r="BB102" s="988"/>
      <c r="BC102" s="988"/>
      <c r="BD102" s="987"/>
      <c r="BE102" s="988"/>
      <c r="BF102" s="988"/>
      <c r="BG102" s="988"/>
      <c r="BH102" s="988"/>
      <c r="BI102" s="988"/>
      <c r="BJ102" s="988"/>
      <c r="BK102" s="991"/>
    </row>
    <row r="103" spans="1:63" ht="15.75" customHeight="1">
      <c r="A103" s="986"/>
      <c r="B103" s="987"/>
      <c r="C103" s="988"/>
      <c r="D103" s="988"/>
      <c r="E103" s="988"/>
      <c r="F103" s="988"/>
      <c r="G103" s="988"/>
      <c r="H103" s="988"/>
      <c r="I103" s="989"/>
      <c r="J103" s="990"/>
      <c r="K103" s="990"/>
      <c r="L103" s="990"/>
      <c r="M103" s="990"/>
      <c r="N103" s="990"/>
      <c r="O103" s="990"/>
      <c r="P103" s="990"/>
      <c r="Q103" s="990" t="s">
        <v>892</v>
      </c>
      <c r="R103" s="990"/>
      <c r="S103" s="990"/>
      <c r="T103" s="990"/>
      <c r="U103" s="995"/>
      <c r="V103" s="995"/>
      <c r="W103" s="988"/>
      <c r="X103" s="990"/>
      <c r="Y103" s="990"/>
      <c r="Z103" s="990"/>
      <c r="AA103" s="990"/>
      <c r="AB103" s="990"/>
      <c r="AC103" s="990"/>
      <c r="AD103" s="990"/>
      <c r="AE103" s="990" t="s">
        <v>722</v>
      </c>
      <c r="AF103" s="990"/>
      <c r="AG103" s="990"/>
      <c r="AH103" s="990" t="s">
        <v>744</v>
      </c>
      <c r="AI103" s="990"/>
      <c r="AJ103" s="990"/>
      <c r="AK103" s="990"/>
      <c r="AL103" s="990"/>
      <c r="AM103" s="988"/>
      <c r="AN103" s="988"/>
      <c r="AO103" s="988"/>
      <c r="AP103" s="988"/>
      <c r="AS103" s="988"/>
      <c r="AT103" s="988"/>
      <c r="AU103" s="988"/>
      <c r="AV103" s="988"/>
      <c r="AW103" s="988"/>
      <c r="AX103" s="988"/>
      <c r="AY103" s="988"/>
      <c r="AZ103" s="988"/>
      <c r="BA103" s="988"/>
      <c r="BB103" s="988"/>
      <c r="BC103" s="988"/>
      <c r="BD103" s="987"/>
      <c r="BE103" s="988"/>
      <c r="BF103" s="988"/>
      <c r="BG103" s="988"/>
      <c r="BH103" s="988"/>
      <c r="BI103" s="988"/>
      <c r="BJ103" s="988"/>
      <c r="BK103" s="991"/>
    </row>
    <row r="104" spans="1:63" ht="15.75" customHeight="1">
      <c r="A104" s="986"/>
      <c r="B104" s="987"/>
      <c r="C104" s="988"/>
      <c r="D104" s="988"/>
      <c r="E104" s="988"/>
      <c r="F104" s="988"/>
      <c r="G104" s="988"/>
      <c r="H104" s="988"/>
      <c r="I104" s="989"/>
      <c r="J104" s="990"/>
      <c r="K104" s="990"/>
      <c r="L104" s="990"/>
      <c r="M104" s="990"/>
      <c r="N104" s="990"/>
      <c r="O104" s="990"/>
      <c r="P104" s="990"/>
      <c r="Q104" s="990" t="s">
        <v>886</v>
      </c>
      <c r="R104" s="990"/>
      <c r="S104" s="990"/>
      <c r="T104" s="990"/>
      <c r="U104" s="995"/>
      <c r="V104" s="1001"/>
      <c r="W104" s="988"/>
      <c r="X104" s="990"/>
      <c r="Y104" s="990"/>
      <c r="Z104" s="990"/>
      <c r="AA104" s="990"/>
      <c r="AB104" s="990"/>
      <c r="AC104" s="990"/>
      <c r="AD104" s="990"/>
      <c r="AE104" s="990" t="s">
        <v>731</v>
      </c>
      <c r="AF104" s="990"/>
      <c r="AG104" s="990"/>
      <c r="AH104" s="990" t="s">
        <v>745</v>
      </c>
      <c r="AI104" s="990"/>
      <c r="AJ104" s="990"/>
      <c r="AK104" s="990"/>
      <c r="AL104" s="990"/>
      <c r="AM104" s="988"/>
      <c r="AN104" s="988"/>
      <c r="AO104" s="988"/>
      <c r="AP104" s="988"/>
      <c r="AS104" s="988"/>
      <c r="AT104" s="988"/>
      <c r="AU104" s="988"/>
      <c r="AV104" s="988"/>
      <c r="AW104" s="988"/>
      <c r="AX104" s="988"/>
      <c r="AY104" s="988"/>
      <c r="AZ104" s="988"/>
      <c r="BA104" s="988"/>
      <c r="BB104" s="988"/>
      <c r="BC104" s="988"/>
      <c r="BD104" s="987"/>
      <c r="BE104" s="988"/>
      <c r="BF104" s="988"/>
      <c r="BG104" s="988"/>
      <c r="BH104" s="988"/>
      <c r="BI104" s="988"/>
      <c r="BJ104" s="988"/>
      <c r="BK104" s="991"/>
    </row>
    <row r="105" spans="1:63" ht="15.75" customHeight="1">
      <c r="A105" s="986"/>
      <c r="B105" s="987"/>
      <c r="C105" s="988"/>
      <c r="D105" s="988"/>
      <c r="E105" s="988"/>
      <c r="F105" s="988"/>
      <c r="G105" s="988"/>
      <c r="H105" s="988"/>
      <c r="I105" s="989"/>
      <c r="J105" s="990"/>
      <c r="K105" s="990"/>
      <c r="L105" s="990"/>
      <c r="M105" s="990"/>
      <c r="N105" s="990"/>
      <c r="O105" s="990"/>
      <c r="P105" s="990"/>
      <c r="Q105" s="990" t="s">
        <v>893</v>
      </c>
      <c r="R105" s="990"/>
      <c r="S105" s="990"/>
      <c r="T105" s="990"/>
      <c r="U105" s="995"/>
      <c r="V105" s="995"/>
      <c r="W105" s="988"/>
      <c r="X105" s="990"/>
      <c r="Y105" s="990"/>
      <c r="Z105" s="990"/>
      <c r="AA105" s="990"/>
      <c r="AB105" s="990"/>
      <c r="AC105" s="990"/>
      <c r="AD105" s="990"/>
      <c r="AE105" s="990" t="s">
        <v>722</v>
      </c>
      <c r="AF105" s="990"/>
      <c r="AG105" s="990"/>
      <c r="AH105" s="990" t="s">
        <v>746</v>
      </c>
      <c r="AI105" s="990"/>
      <c r="AJ105" s="990"/>
      <c r="AK105" s="990"/>
      <c r="AL105" s="990"/>
      <c r="AM105" s="988"/>
      <c r="AN105" s="988"/>
      <c r="AO105" s="988"/>
      <c r="AP105" s="988"/>
      <c r="AS105" s="988"/>
      <c r="AT105" s="988"/>
      <c r="AU105" s="988"/>
      <c r="AV105" s="988"/>
      <c r="AW105" s="988"/>
      <c r="AX105" s="988"/>
      <c r="AY105" s="988"/>
      <c r="AZ105" s="988"/>
      <c r="BA105" s="988"/>
      <c r="BB105" s="988"/>
      <c r="BC105" s="988"/>
      <c r="BD105" s="987"/>
      <c r="BE105" s="988"/>
      <c r="BF105" s="988"/>
      <c r="BG105" s="988"/>
      <c r="BH105" s="988"/>
      <c r="BI105" s="988"/>
      <c r="BJ105" s="988"/>
      <c r="BK105" s="991"/>
    </row>
    <row r="106" spans="1:63" ht="15.75" customHeight="1">
      <c r="A106" s="986"/>
      <c r="B106" s="987"/>
      <c r="C106" s="988"/>
      <c r="D106" s="988"/>
      <c r="E106" s="988"/>
      <c r="F106" s="988"/>
      <c r="G106" s="988"/>
      <c r="H106" s="988"/>
      <c r="I106" s="989"/>
      <c r="J106" s="990"/>
      <c r="K106" s="990"/>
      <c r="L106" s="990"/>
      <c r="M106" s="990"/>
      <c r="N106" s="990"/>
      <c r="O106" s="990"/>
      <c r="P106" s="990"/>
      <c r="Q106" s="990" t="s">
        <v>747</v>
      </c>
      <c r="R106" s="990"/>
      <c r="S106" s="990"/>
      <c r="T106" s="990"/>
      <c r="U106" s="995"/>
      <c r="V106" s="1001"/>
      <c r="W106" s="988"/>
      <c r="X106" s="990"/>
      <c r="Y106" s="990"/>
      <c r="Z106" s="990"/>
      <c r="AA106" s="990"/>
      <c r="AB106" s="990"/>
      <c r="AC106" s="990"/>
      <c r="AD106" s="990"/>
      <c r="AE106" s="990" t="s">
        <v>731</v>
      </c>
      <c r="AF106" s="990"/>
      <c r="AG106" s="990"/>
      <c r="AH106" s="990" t="s">
        <v>748</v>
      </c>
      <c r="AI106" s="990"/>
      <c r="AJ106" s="990"/>
      <c r="AK106" s="990"/>
      <c r="AL106" s="990"/>
      <c r="AM106" s="988"/>
      <c r="AN106" s="988"/>
      <c r="AO106" s="988"/>
      <c r="AP106" s="988"/>
      <c r="AS106" s="988"/>
      <c r="AT106" s="988"/>
      <c r="AU106" s="988"/>
      <c r="AV106" s="988"/>
      <c r="AW106" s="988"/>
      <c r="AX106" s="988"/>
      <c r="AY106" s="988"/>
      <c r="AZ106" s="988"/>
      <c r="BA106" s="988"/>
      <c r="BB106" s="988"/>
      <c r="BC106" s="988"/>
      <c r="BD106" s="987"/>
      <c r="BE106" s="988"/>
      <c r="BF106" s="988"/>
      <c r="BG106" s="988"/>
      <c r="BH106" s="988"/>
      <c r="BI106" s="988"/>
      <c r="BJ106" s="988"/>
      <c r="BK106" s="991"/>
    </row>
    <row r="107" spans="1:63" ht="15.75" customHeight="1">
      <c r="A107" s="986"/>
      <c r="B107" s="987"/>
      <c r="C107" s="988"/>
      <c r="D107" s="988"/>
      <c r="E107" s="988"/>
      <c r="F107" s="988"/>
      <c r="G107" s="988"/>
      <c r="H107" s="988"/>
      <c r="I107" s="989"/>
      <c r="J107" s="990"/>
      <c r="K107" s="990"/>
      <c r="L107" s="990"/>
      <c r="M107" s="990"/>
      <c r="N107" s="990"/>
      <c r="O107" s="990"/>
      <c r="P107" s="990"/>
      <c r="Q107" s="990" t="s">
        <v>894</v>
      </c>
      <c r="R107" s="990"/>
      <c r="S107" s="990"/>
      <c r="T107" s="990"/>
      <c r="U107" s="995"/>
      <c r="V107" s="995"/>
      <c r="W107" s="988"/>
      <c r="X107" s="990"/>
      <c r="Y107" s="990"/>
      <c r="Z107" s="990"/>
      <c r="AA107" s="990"/>
      <c r="AB107" s="990"/>
      <c r="AC107" s="990"/>
      <c r="AD107" s="990"/>
      <c r="AE107" s="990" t="s">
        <v>722</v>
      </c>
      <c r="AF107" s="990"/>
      <c r="AG107" s="990"/>
      <c r="AH107" s="990" t="s">
        <v>749</v>
      </c>
      <c r="AI107" s="990"/>
      <c r="AJ107" s="990"/>
      <c r="AK107" s="990"/>
      <c r="AL107" s="990"/>
      <c r="AM107" s="988"/>
      <c r="AN107" s="988"/>
      <c r="AO107" s="988"/>
      <c r="AP107" s="988"/>
      <c r="AS107" s="988"/>
      <c r="AT107" s="988"/>
      <c r="AU107" s="988"/>
      <c r="AV107" s="988"/>
      <c r="AW107" s="988"/>
      <c r="AX107" s="988"/>
      <c r="AY107" s="988"/>
      <c r="AZ107" s="988"/>
      <c r="BA107" s="988"/>
      <c r="BB107" s="988"/>
      <c r="BC107" s="988"/>
      <c r="BD107" s="987"/>
      <c r="BE107" s="988"/>
      <c r="BF107" s="988"/>
      <c r="BG107" s="988"/>
      <c r="BH107" s="988"/>
      <c r="BI107" s="988"/>
      <c r="BJ107" s="988"/>
      <c r="BK107" s="991"/>
    </row>
    <row r="108" spans="1:63" ht="15.75" customHeight="1">
      <c r="A108" s="986"/>
      <c r="B108" s="987"/>
      <c r="C108" s="988"/>
      <c r="D108" s="988"/>
      <c r="E108" s="988"/>
      <c r="F108" s="988"/>
      <c r="G108" s="988"/>
      <c r="H108" s="988"/>
      <c r="I108" s="989"/>
      <c r="J108" s="990"/>
      <c r="K108" s="990"/>
      <c r="L108" s="990"/>
      <c r="M108" s="990"/>
      <c r="N108" s="990"/>
      <c r="O108" s="990"/>
      <c r="P108" s="990"/>
      <c r="Q108" s="990" t="s">
        <v>750</v>
      </c>
      <c r="R108" s="990"/>
      <c r="S108" s="990"/>
      <c r="T108" s="990"/>
      <c r="U108" s="995"/>
      <c r="V108" s="1001"/>
      <c r="W108" s="988"/>
      <c r="X108" s="990"/>
      <c r="Y108" s="990"/>
      <c r="Z108" s="990"/>
      <c r="AA108" s="990"/>
      <c r="AB108" s="990"/>
      <c r="AC108" s="990"/>
      <c r="AD108" s="990"/>
      <c r="AE108" s="990" t="s">
        <v>731</v>
      </c>
      <c r="AF108" s="990"/>
      <c r="AG108" s="990"/>
      <c r="AH108" s="990" t="s">
        <v>751</v>
      </c>
      <c r="AI108" s="990"/>
      <c r="AJ108" s="990"/>
      <c r="AK108" s="990"/>
      <c r="AL108" s="990"/>
      <c r="AM108" s="988"/>
      <c r="AN108" s="988"/>
      <c r="AO108" s="988"/>
      <c r="AP108" s="988"/>
      <c r="AS108" s="988"/>
      <c r="AT108" s="988"/>
      <c r="AU108" s="988"/>
      <c r="AV108" s="988"/>
      <c r="AW108" s="988"/>
      <c r="AX108" s="988"/>
      <c r="AY108" s="988"/>
      <c r="AZ108" s="988"/>
      <c r="BA108" s="988"/>
      <c r="BB108" s="988"/>
      <c r="BC108" s="988"/>
      <c r="BD108" s="987"/>
      <c r="BE108" s="988"/>
      <c r="BF108" s="988"/>
      <c r="BG108" s="988"/>
      <c r="BH108" s="988"/>
      <c r="BI108" s="988"/>
      <c r="BJ108" s="988"/>
      <c r="BK108" s="991"/>
    </row>
    <row r="109" spans="1:63" ht="15.75" customHeight="1">
      <c r="A109" s="986"/>
      <c r="B109" s="987"/>
      <c r="C109" s="988"/>
      <c r="D109" s="988"/>
      <c r="E109" s="988"/>
      <c r="F109" s="988"/>
      <c r="G109" s="988"/>
      <c r="H109" s="988"/>
      <c r="I109" s="989"/>
      <c r="J109" s="990"/>
      <c r="K109" s="990"/>
      <c r="L109" s="990"/>
      <c r="M109" s="990"/>
      <c r="N109" s="990"/>
      <c r="O109" s="990"/>
      <c r="P109" s="990"/>
      <c r="Q109" s="990" t="s">
        <v>752</v>
      </c>
      <c r="R109" s="990"/>
      <c r="S109" s="990"/>
      <c r="T109" s="990"/>
      <c r="U109" s="995"/>
      <c r="V109" s="995"/>
      <c r="W109" s="988"/>
      <c r="X109" s="990"/>
      <c r="Y109" s="990"/>
      <c r="Z109" s="990"/>
      <c r="AA109" s="990"/>
      <c r="AB109" s="990"/>
      <c r="AC109" s="990"/>
      <c r="AD109" s="990"/>
      <c r="AE109" s="990" t="s">
        <v>722</v>
      </c>
      <c r="AF109" s="990"/>
      <c r="AG109" s="990"/>
      <c r="AH109" s="990" t="s">
        <v>753</v>
      </c>
      <c r="AI109" s="990"/>
      <c r="AJ109" s="990"/>
      <c r="AK109" s="990"/>
      <c r="AL109" s="990"/>
      <c r="AM109" s="988"/>
      <c r="AN109" s="988"/>
      <c r="AO109" s="988"/>
      <c r="AP109" s="988"/>
      <c r="AS109" s="988"/>
      <c r="AT109" s="988"/>
      <c r="AU109" s="988"/>
      <c r="AV109" s="988"/>
      <c r="AW109" s="988"/>
      <c r="AX109" s="988"/>
      <c r="AY109" s="988"/>
      <c r="AZ109" s="988"/>
      <c r="BA109" s="988"/>
      <c r="BB109" s="988"/>
      <c r="BC109" s="988"/>
      <c r="BD109" s="987"/>
      <c r="BE109" s="988"/>
      <c r="BF109" s="988"/>
      <c r="BG109" s="988"/>
      <c r="BH109" s="988"/>
      <c r="BI109" s="988"/>
      <c r="BJ109" s="988"/>
      <c r="BK109" s="991"/>
    </row>
    <row r="110" spans="1:63" ht="15.75" customHeight="1">
      <c r="A110" s="986"/>
      <c r="B110" s="987"/>
      <c r="C110" s="988"/>
      <c r="D110" s="988"/>
      <c r="E110" s="988"/>
      <c r="F110" s="988"/>
      <c r="G110" s="988"/>
      <c r="H110" s="988"/>
      <c r="I110" s="989"/>
      <c r="J110" s="990"/>
      <c r="K110" s="990"/>
      <c r="L110" s="990"/>
      <c r="M110" s="990"/>
      <c r="N110" s="990"/>
      <c r="O110" s="990"/>
      <c r="P110" s="990"/>
      <c r="Q110" s="990" t="s">
        <v>754</v>
      </c>
      <c r="R110" s="990"/>
      <c r="S110" s="990"/>
      <c r="T110" s="990"/>
      <c r="U110" s="995"/>
      <c r="V110" s="1001"/>
      <c r="W110" s="988"/>
      <c r="X110" s="990"/>
      <c r="Y110" s="990"/>
      <c r="Z110" s="990"/>
      <c r="AA110" s="990"/>
      <c r="AB110" s="990"/>
      <c r="AC110" s="990"/>
      <c r="AD110" s="990"/>
      <c r="AE110" s="990" t="s">
        <v>731</v>
      </c>
      <c r="AF110" s="990"/>
      <c r="AG110" s="990"/>
      <c r="AH110" s="990" t="s">
        <v>755</v>
      </c>
      <c r="AI110" s="990"/>
      <c r="AJ110" s="990"/>
      <c r="AK110" s="990"/>
      <c r="AL110" s="990"/>
      <c r="AM110" s="988"/>
      <c r="AN110" s="988"/>
      <c r="AO110" s="988"/>
      <c r="AP110" s="988"/>
      <c r="AS110" s="988"/>
      <c r="AT110" s="988"/>
      <c r="AU110" s="988"/>
      <c r="AV110" s="988"/>
      <c r="AW110" s="988"/>
      <c r="AX110" s="988"/>
      <c r="AY110" s="988"/>
      <c r="AZ110" s="988"/>
      <c r="BA110" s="988"/>
      <c r="BB110" s="988"/>
      <c r="BC110" s="988"/>
      <c r="BD110" s="987"/>
      <c r="BE110" s="988"/>
      <c r="BF110" s="988"/>
      <c r="BG110" s="988"/>
      <c r="BH110" s="988"/>
      <c r="BI110" s="988"/>
      <c r="BJ110" s="988"/>
      <c r="BK110" s="991"/>
    </row>
    <row r="111" spans="1:63" ht="15.75" customHeight="1">
      <c r="A111" s="986"/>
      <c r="B111" s="987"/>
      <c r="C111" s="988"/>
      <c r="D111" s="988"/>
      <c r="E111" s="988"/>
      <c r="F111" s="988"/>
      <c r="G111" s="988"/>
      <c r="H111" s="988"/>
      <c r="I111" s="989"/>
      <c r="J111" s="990"/>
      <c r="K111" s="990"/>
      <c r="L111" s="990"/>
      <c r="M111" s="990"/>
      <c r="N111" s="990"/>
      <c r="O111" s="990"/>
      <c r="P111" s="990"/>
      <c r="Q111" s="990" t="s">
        <v>756</v>
      </c>
      <c r="R111" s="990"/>
      <c r="S111" s="990"/>
      <c r="T111" s="990"/>
      <c r="U111" s="995"/>
      <c r="V111" s="995"/>
      <c r="W111" s="988"/>
      <c r="X111" s="990"/>
      <c r="Y111" s="990"/>
      <c r="Z111" s="990"/>
      <c r="AA111" s="990"/>
      <c r="AB111" s="990"/>
      <c r="AC111" s="990"/>
      <c r="AD111" s="990"/>
      <c r="AE111" s="990" t="s">
        <v>722</v>
      </c>
      <c r="AF111" s="990"/>
      <c r="AG111" s="990"/>
      <c r="AH111" s="990" t="s">
        <v>757</v>
      </c>
      <c r="AI111" s="990"/>
      <c r="AJ111" s="990"/>
      <c r="AK111" s="990"/>
      <c r="AL111" s="990"/>
      <c r="AM111" s="988"/>
      <c r="AN111" s="988"/>
      <c r="AO111" s="988"/>
      <c r="AP111" s="988"/>
      <c r="AS111" s="988"/>
      <c r="AT111" s="988"/>
      <c r="AU111" s="988"/>
      <c r="AV111" s="988"/>
      <c r="AW111" s="988"/>
      <c r="AX111" s="988"/>
      <c r="AY111" s="988"/>
      <c r="AZ111" s="988"/>
      <c r="BA111" s="988"/>
      <c r="BB111" s="988"/>
      <c r="BC111" s="988"/>
      <c r="BD111" s="987"/>
      <c r="BE111" s="988"/>
      <c r="BF111" s="988"/>
      <c r="BG111" s="988"/>
      <c r="BH111" s="988"/>
      <c r="BI111" s="988"/>
      <c r="BJ111" s="988"/>
      <c r="BK111" s="991"/>
    </row>
    <row r="112" spans="1:63" ht="15.75" customHeight="1">
      <c r="A112" s="986"/>
      <c r="B112" s="987"/>
      <c r="C112" s="988"/>
      <c r="D112" s="988"/>
      <c r="E112" s="988"/>
      <c r="F112" s="988"/>
      <c r="G112" s="988"/>
      <c r="H112" s="988"/>
      <c r="I112" s="989"/>
      <c r="J112" s="990"/>
      <c r="K112" s="990"/>
      <c r="L112" s="990"/>
      <c r="M112" s="990"/>
      <c r="N112" s="990"/>
      <c r="O112" s="990"/>
      <c r="P112" s="990"/>
      <c r="Q112" s="990" t="s">
        <v>758</v>
      </c>
      <c r="R112" s="990"/>
      <c r="S112" s="990"/>
      <c r="T112" s="990"/>
      <c r="U112" s="995"/>
      <c r="V112" s="1001"/>
      <c r="W112" s="988"/>
      <c r="X112" s="990"/>
      <c r="Y112" s="990"/>
      <c r="Z112" s="990"/>
      <c r="AA112" s="990"/>
      <c r="AB112" s="990"/>
      <c r="AC112" s="990"/>
      <c r="AD112" s="990"/>
      <c r="AE112" s="990" t="s">
        <v>731</v>
      </c>
      <c r="AF112" s="990"/>
      <c r="AG112" s="990"/>
      <c r="AH112" s="990" t="s">
        <v>759</v>
      </c>
      <c r="AI112" s="990"/>
      <c r="AJ112" s="990"/>
      <c r="AK112" s="990"/>
      <c r="AL112" s="990"/>
      <c r="AM112" s="988"/>
      <c r="AN112" s="988"/>
      <c r="AO112" s="988"/>
      <c r="AP112" s="988"/>
      <c r="AS112" s="988"/>
      <c r="AT112" s="988"/>
      <c r="AU112" s="988"/>
      <c r="AV112" s="988"/>
      <c r="AW112" s="988"/>
      <c r="AX112" s="988"/>
      <c r="AY112" s="988"/>
      <c r="AZ112" s="988"/>
      <c r="BA112" s="988"/>
      <c r="BB112" s="988"/>
      <c r="BC112" s="988"/>
      <c r="BD112" s="987"/>
      <c r="BE112" s="988"/>
      <c r="BF112" s="988"/>
      <c r="BG112" s="988"/>
      <c r="BH112" s="988"/>
      <c r="BI112" s="988"/>
      <c r="BJ112" s="988"/>
      <c r="BK112" s="991"/>
    </row>
    <row r="113" spans="1:63" ht="15.75" customHeight="1">
      <c r="A113" s="986"/>
      <c r="B113" s="987"/>
      <c r="C113" s="988"/>
      <c r="D113" s="988"/>
      <c r="E113" s="988"/>
      <c r="F113" s="988"/>
      <c r="G113" s="988"/>
      <c r="H113" s="988"/>
      <c r="I113" s="989"/>
      <c r="J113" s="990"/>
      <c r="K113" s="990"/>
      <c r="L113" s="990"/>
      <c r="M113" s="990"/>
      <c r="N113" s="990"/>
      <c r="O113" s="990"/>
      <c r="P113" s="990"/>
      <c r="Q113" s="990" t="s">
        <v>760</v>
      </c>
      <c r="R113" s="990"/>
      <c r="S113" s="990"/>
      <c r="T113" s="990"/>
      <c r="U113" s="995"/>
      <c r="V113" s="995"/>
      <c r="W113" s="988"/>
      <c r="X113" s="990"/>
      <c r="Y113" s="990"/>
      <c r="Z113" s="990"/>
      <c r="AA113" s="990"/>
      <c r="AB113" s="990"/>
      <c r="AC113" s="990"/>
      <c r="AD113" s="990"/>
      <c r="AE113" s="990" t="s">
        <v>722</v>
      </c>
      <c r="AF113" s="990"/>
      <c r="AG113" s="990"/>
      <c r="AH113" s="990" t="s">
        <v>761</v>
      </c>
      <c r="AI113" s="990"/>
      <c r="AJ113" s="990"/>
      <c r="AK113" s="990"/>
      <c r="AL113" s="990"/>
      <c r="AM113" s="988"/>
      <c r="AN113" s="988"/>
      <c r="AO113" s="988"/>
      <c r="AP113" s="988"/>
      <c r="AS113" s="988"/>
      <c r="AT113" s="988"/>
      <c r="AU113" s="988"/>
      <c r="AV113" s="988"/>
      <c r="AW113" s="988"/>
      <c r="AX113" s="988"/>
      <c r="AY113" s="988"/>
      <c r="AZ113" s="988"/>
      <c r="BA113" s="988"/>
      <c r="BB113" s="988"/>
      <c r="BC113" s="988"/>
      <c r="BD113" s="987"/>
      <c r="BE113" s="988"/>
      <c r="BF113" s="988"/>
      <c r="BG113" s="988"/>
      <c r="BH113" s="988"/>
      <c r="BI113" s="988"/>
      <c r="BJ113" s="988"/>
      <c r="BK113" s="991"/>
    </row>
    <row r="114" spans="1:63" ht="15.75" customHeight="1">
      <c r="A114" s="986"/>
      <c r="B114" s="987"/>
      <c r="C114" s="988"/>
      <c r="D114" s="988"/>
      <c r="E114" s="988"/>
      <c r="F114" s="988"/>
      <c r="G114" s="988"/>
      <c r="H114" s="988"/>
      <c r="I114" s="989"/>
      <c r="J114" s="990"/>
      <c r="K114" s="990"/>
      <c r="L114" s="990"/>
      <c r="M114" s="990"/>
      <c r="N114" s="990"/>
      <c r="O114" s="990"/>
      <c r="P114" s="990"/>
      <c r="Q114" s="990" t="s">
        <v>762</v>
      </c>
      <c r="R114" s="990"/>
      <c r="S114" s="990"/>
      <c r="T114" s="990"/>
      <c r="U114" s="995"/>
      <c r="V114" s="1001"/>
      <c r="W114" s="988"/>
      <c r="X114" s="990"/>
      <c r="Y114" s="990"/>
      <c r="Z114" s="990"/>
      <c r="AA114" s="990"/>
      <c r="AB114" s="990"/>
      <c r="AC114" s="990"/>
      <c r="AD114" s="990"/>
      <c r="AE114" s="990" t="s">
        <v>731</v>
      </c>
      <c r="AF114" s="990"/>
      <c r="AG114" s="990"/>
      <c r="AH114" s="990" t="s">
        <v>763</v>
      </c>
      <c r="AI114" s="990"/>
      <c r="AJ114" s="990"/>
      <c r="AK114" s="990"/>
      <c r="AL114" s="990"/>
      <c r="AM114" s="988"/>
      <c r="AN114" s="988"/>
      <c r="AO114" s="988"/>
      <c r="AP114" s="988"/>
      <c r="AS114" s="988"/>
      <c r="AT114" s="988"/>
      <c r="AU114" s="988"/>
      <c r="AV114" s="988"/>
      <c r="AW114" s="988"/>
      <c r="AX114" s="988"/>
      <c r="AY114" s="988"/>
      <c r="AZ114" s="988"/>
      <c r="BA114" s="988"/>
      <c r="BB114" s="988"/>
      <c r="BC114" s="988"/>
      <c r="BD114" s="987"/>
      <c r="BE114" s="988"/>
      <c r="BF114" s="988"/>
      <c r="BG114" s="988"/>
      <c r="BH114" s="988"/>
      <c r="BI114" s="988"/>
      <c r="BJ114" s="988"/>
      <c r="BK114" s="991"/>
    </row>
    <row r="115" spans="1:63" ht="15.75" customHeight="1">
      <c r="A115" s="986"/>
      <c r="B115" s="987"/>
      <c r="C115" s="988"/>
      <c r="D115" s="988"/>
      <c r="E115" s="988"/>
      <c r="F115" s="988"/>
      <c r="G115" s="988"/>
      <c r="H115" s="988"/>
      <c r="I115" s="989"/>
      <c r="J115" s="990"/>
      <c r="K115" s="990"/>
      <c r="L115" s="990"/>
      <c r="M115" s="990"/>
      <c r="N115" s="990"/>
      <c r="O115" s="990"/>
      <c r="P115" s="990"/>
      <c r="Q115" s="990" t="s">
        <v>764</v>
      </c>
      <c r="R115" s="990"/>
      <c r="S115" s="990"/>
      <c r="T115" s="990"/>
      <c r="U115" s="995"/>
      <c r="V115" s="995"/>
      <c r="W115" s="988"/>
      <c r="X115" s="990"/>
      <c r="Y115" s="990"/>
      <c r="Z115" s="990"/>
      <c r="AA115" s="990"/>
      <c r="AB115" s="990"/>
      <c r="AC115" s="990"/>
      <c r="AD115" s="990"/>
      <c r="AE115" s="990" t="s">
        <v>722</v>
      </c>
      <c r="AF115" s="990"/>
      <c r="AG115" s="990"/>
      <c r="AH115" s="990" t="s">
        <v>765</v>
      </c>
      <c r="AI115" s="990"/>
      <c r="AJ115" s="990"/>
      <c r="AK115" s="990"/>
      <c r="AL115" s="990"/>
      <c r="AM115" s="988"/>
      <c r="AN115" s="988"/>
      <c r="AO115" s="988"/>
      <c r="AP115" s="988"/>
      <c r="AS115" s="988"/>
      <c r="AT115" s="988"/>
      <c r="AU115" s="988"/>
      <c r="AV115" s="988"/>
      <c r="AW115" s="988"/>
      <c r="AX115" s="988"/>
      <c r="AY115" s="988"/>
      <c r="AZ115" s="988"/>
      <c r="BA115" s="988"/>
      <c r="BB115" s="988"/>
      <c r="BC115" s="988"/>
      <c r="BD115" s="987"/>
      <c r="BE115" s="988"/>
      <c r="BF115" s="988"/>
      <c r="BG115" s="988"/>
      <c r="BH115" s="988"/>
      <c r="BI115" s="988"/>
      <c r="BJ115" s="988"/>
      <c r="BK115" s="991"/>
    </row>
    <row r="116" spans="1:63" ht="15.75" customHeight="1">
      <c r="A116" s="986"/>
      <c r="B116" s="987"/>
      <c r="C116" s="988"/>
      <c r="D116" s="988"/>
      <c r="E116" s="988"/>
      <c r="F116" s="988"/>
      <c r="G116" s="988"/>
      <c r="H116" s="988"/>
      <c r="I116" s="989"/>
      <c r="J116" s="990"/>
      <c r="K116" s="990"/>
      <c r="L116" s="990"/>
      <c r="M116" s="990"/>
      <c r="N116" s="990"/>
      <c r="O116" s="990"/>
      <c r="P116" s="990"/>
      <c r="Q116" s="990" t="s">
        <v>766</v>
      </c>
      <c r="R116" s="990"/>
      <c r="S116" s="990"/>
      <c r="T116" s="990"/>
      <c r="U116" s="995"/>
      <c r="V116" s="1001"/>
      <c r="W116" s="988"/>
      <c r="X116" s="990"/>
      <c r="Y116" s="990"/>
      <c r="Z116" s="990"/>
      <c r="AA116" s="990"/>
      <c r="AB116" s="990"/>
      <c r="AC116" s="990"/>
      <c r="AD116" s="990"/>
      <c r="AE116" s="990" t="s">
        <v>731</v>
      </c>
      <c r="AF116" s="990"/>
      <c r="AG116" s="990"/>
      <c r="AH116" s="990" t="s">
        <v>767</v>
      </c>
      <c r="AI116" s="990"/>
      <c r="AJ116" s="990"/>
      <c r="AK116" s="990"/>
      <c r="AL116" s="990"/>
      <c r="AM116" s="988"/>
      <c r="AN116" s="988"/>
      <c r="AO116" s="988"/>
      <c r="AP116" s="988"/>
      <c r="AS116" s="988"/>
      <c r="AT116" s="988"/>
      <c r="AU116" s="988"/>
      <c r="AV116" s="988"/>
      <c r="AW116" s="988"/>
      <c r="AX116" s="988"/>
      <c r="AY116" s="988"/>
      <c r="AZ116" s="988"/>
      <c r="BA116" s="988"/>
      <c r="BB116" s="988"/>
      <c r="BC116" s="988"/>
      <c r="BD116" s="987"/>
      <c r="BE116" s="988"/>
      <c r="BF116" s="988"/>
      <c r="BG116" s="988"/>
      <c r="BH116" s="988"/>
      <c r="BI116" s="988"/>
      <c r="BJ116" s="988"/>
      <c r="BK116" s="991"/>
    </row>
    <row r="117" spans="1:63" ht="15.75" customHeight="1">
      <c r="A117" s="986"/>
      <c r="B117" s="987"/>
      <c r="C117" s="988"/>
      <c r="D117" s="988"/>
      <c r="E117" s="988"/>
      <c r="F117" s="988"/>
      <c r="G117" s="988"/>
      <c r="H117" s="988"/>
      <c r="I117" s="989"/>
      <c r="J117" s="990"/>
      <c r="K117" s="990"/>
      <c r="L117" s="990"/>
      <c r="M117" s="990"/>
      <c r="N117" s="990"/>
      <c r="O117" s="990"/>
      <c r="P117" s="990"/>
      <c r="Q117" s="990" t="s">
        <v>768</v>
      </c>
      <c r="R117" s="990"/>
      <c r="S117" s="990"/>
      <c r="T117" s="990"/>
      <c r="U117" s="995"/>
      <c r="V117" s="995"/>
      <c r="W117" s="988"/>
      <c r="X117" s="990"/>
      <c r="Y117" s="990"/>
      <c r="Z117" s="990"/>
      <c r="AA117" s="990"/>
      <c r="AB117" s="990"/>
      <c r="AC117" s="990"/>
      <c r="AD117" s="990"/>
      <c r="AE117" s="990" t="s">
        <v>722</v>
      </c>
      <c r="AF117" s="990"/>
      <c r="AG117" s="990"/>
      <c r="AH117" s="990" t="s">
        <v>769</v>
      </c>
      <c r="AI117" s="990"/>
      <c r="AJ117" s="990"/>
      <c r="AK117" s="990"/>
      <c r="AL117" s="990"/>
      <c r="AM117" s="988"/>
      <c r="AN117" s="988"/>
      <c r="AO117" s="988"/>
      <c r="AP117" s="988"/>
      <c r="AS117" s="988"/>
      <c r="AT117" s="988"/>
      <c r="AU117" s="988"/>
      <c r="AV117" s="988"/>
      <c r="AW117" s="988"/>
      <c r="AX117" s="988"/>
      <c r="AY117" s="988"/>
      <c r="AZ117" s="988"/>
      <c r="BA117" s="988"/>
      <c r="BB117" s="988"/>
      <c r="BC117" s="988"/>
      <c r="BD117" s="987"/>
      <c r="BE117" s="988"/>
      <c r="BF117" s="988"/>
      <c r="BG117" s="988"/>
      <c r="BH117" s="988"/>
      <c r="BI117" s="988"/>
      <c r="BJ117" s="988"/>
      <c r="BK117" s="991"/>
    </row>
    <row r="118" spans="1:63" ht="15.75" customHeight="1">
      <c r="A118" s="986"/>
      <c r="B118" s="987"/>
      <c r="C118" s="988"/>
      <c r="D118" s="988"/>
      <c r="E118" s="988"/>
      <c r="F118" s="988"/>
      <c r="G118" s="988"/>
      <c r="H118" s="988"/>
      <c r="I118" s="989"/>
      <c r="J118" s="990"/>
      <c r="K118" s="990"/>
      <c r="L118" s="990"/>
      <c r="M118" s="990"/>
      <c r="N118" s="990"/>
      <c r="O118" s="990"/>
      <c r="P118" s="990"/>
      <c r="Q118" s="990" t="s">
        <v>770</v>
      </c>
      <c r="R118" s="990"/>
      <c r="S118" s="990"/>
      <c r="T118" s="990"/>
      <c r="U118" s="995"/>
      <c r="V118" s="1001"/>
      <c r="W118" s="988"/>
      <c r="X118" s="990"/>
      <c r="Y118" s="990"/>
      <c r="Z118" s="990"/>
      <c r="AA118" s="990"/>
      <c r="AB118" s="990"/>
      <c r="AC118" s="990"/>
      <c r="AD118" s="990"/>
      <c r="AE118" s="990" t="s">
        <v>731</v>
      </c>
      <c r="AF118" s="990"/>
      <c r="AG118" s="990"/>
      <c r="AH118" s="990" t="s">
        <v>771</v>
      </c>
      <c r="AI118" s="990"/>
      <c r="AJ118" s="990"/>
      <c r="AK118" s="990"/>
      <c r="AL118" s="990"/>
      <c r="AM118" s="988"/>
      <c r="AN118" s="988"/>
      <c r="AO118" s="988"/>
      <c r="AP118" s="988"/>
      <c r="AS118" s="988"/>
      <c r="AT118" s="988"/>
      <c r="AU118" s="988"/>
      <c r="AV118" s="988"/>
      <c r="AW118" s="988"/>
      <c r="AX118" s="988"/>
      <c r="AY118" s="988"/>
      <c r="AZ118" s="988"/>
      <c r="BA118" s="988"/>
      <c r="BB118" s="988"/>
      <c r="BC118" s="988"/>
      <c r="BD118" s="987"/>
      <c r="BE118" s="988"/>
      <c r="BF118" s="988"/>
      <c r="BG118" s="988"/>
      <c r="BH118" s="988"/>
      <c r="BI118" s="988"/>
      <c r="BJ118" s="988"/>
      <c r="BK118" s="991"/>
    </row>
    <row r="119" spans="1:63" ht="15.75" customHeight="1">
      <c r="A119" s="986"/>
      <c r="B119" s="987"/>
      <c r="C119" s="988"/>
      <c r="D119" s="988"/>
      <c r="E119" s="988"/>
      <c r="F119" s="988"/>
      <c r="G119" s="988"/>
      <c r="H119" s="988"/>
      <c r="I119" s="989"/>
      <c r="J119" s="990"/>
      <c r="K119" s="990"/>
      <c r="L119" s="990"/>
      <c r="M119" s="990"/>
      <c r="N119" s="990"/>
      <c r="O119" s="990"/>
      <c r="P119" s="990"/>
      <c r="Q119" s="990" t="s">
        <v>772</v>
      </c>
      <c r="R119" s="990"/>
      <c r="S119" s="990"/>
      <c r="T119" s="990"/>
      <c r="U119" s="995"/>
      <c r="V119" s="995"/>
      <c r="W119" s="988"/>
      <c r="X119" s="990"/>
      <c r="Y119" s="990"/>
      <c r="Z119" s="990"/>
      <c r="AA119" s="990"/>
      <c r="AB119" s="990"/>
      <c r="AC119" s="990"/>
      <c r="AD119" s="990"/>
      <c r="AE119" s="990" t="s">
        <v>722</v>
      </c>
      <c r="AF119" s="990"/>
      <c r="AG119" s="990"/>
      <c r="AH119" s="990" t="s">
        <v>773</v>
      </c>
      <c r="AI119" s="990"/>
      <c r="AJ119" s="990"/>
      <c r="AK119" s="990"/>
      <c r="AL119" s="990"/>
      <c r="AM119" s="988"/>
      <c r="AN119" s="988"/>
      <c r="AO119" s="988"/>
      <c r="AP119" s="988"/>
      <c r="AS119" s="988"/>
      <c r="AT119" s="988"/>
      <c r="AU119" s="988"/>
      <c r="AV119" s="988"/>
      <c r="AW119" s="988"/>
      <c r="AX119" s="988"/>
      <c r="AY119" s="988"/>
      <c r="AZ119" s="988"/>
      <c r="BA119" s="988"/>
      <c r="BB119" s="988"/>
      <c r="BC119" s="988"/>
      <c r="BD119" s="987"/>
      <c r="BE119" s="988"/>
      <c r="BF119" s="988"/>
      <c r="BG119" s="988"/>
      <c r="BH119" s="988"/>
      <c r="BI119" s="988"/>
      <c r="BJ119" s="988"/>
      <c r="BK119" s="991"/>
    </row>
    <row r="120" spans="1:63" ht="15.75" customHeight="1">
      <c r="A120" s="986"/>
      <c r="B120" s="987"/>
      <c r="C120" s="988"/>
      <c r="D120" s="988"/>
      <c r="E120" s="988"/>
      <c r="F120" s="988"/>
      <c r="G120" s="988"/>
      <c r="H120" s="988"/>
      <c r="I120" s="989"/>
      <c r="J120" s="990"/>
      <c r="K120" s="990"/>
      <c r="L120" s="990"/>
      <c r="M120" s="990"/>
      <c r="N120" s="990"/>
      <c r="O120" s="990"/>
      <c r="P120" s="990"/>
      <c r="Q120" s="990" t="s">
        <v>774</v>
      </c>
      <c r="R120" s="990"/>
      <c r="S120" s="990"/>
      <c r="T120" s="990"/>
      <c r="U120" s="995"/>
      <c r="V120" s="1001"/>
      <c r="W120" s="988"/>
      <c r="X120" s="990"/>
      <c r="Y120" s="990"/>
      <c r="Z120" s="990"/>
      <c r="AA120" s="990"/>
      <c r="AB120" s="990"/>
      <c r="AC120" s="990"/>
      <c r="AD120" s="990"/>
      <c r="AE120" s="990" t="s">
        <v>731</v>
      </c>
      <c r="AF120" s="990"/>
      <c r="AG120" s="990"/>
      <c r="AH120" s="990" t="s">
        <v>775</v>
      </c>
      <c r="AI120" s="990"/>
      <c r="AJ120" s="990"/>
      <c r="AK120" s="990"/>
      <c r="AL120" s="990"/>
      <c r="AM120" s="988"/>
      <c r="AN120" s="988"/>
      <c r="AO120" s="988"/>
      <c r="AP120" s="988"/>
      <c r="AS120" s="988"/>
      <c r="AT120" s="988"/>
      <c r="AU120" s="988"/>
      <c r="AV120" s="988"/>
      <c r="AW120" s="988"/>
      <c r="AX120" s="988"/>
      <c r="AY120" s="988"/>
      <c r="AZ120" s="988"/>
      <c r="BA120" s="988"/>
      <c r="BB120" s="988"/>
      <c r="BC120" s="988"/>
      <c r="BD120" s="987"/>
      <c r="BE120" s="988"/>
      <c r="BF120" s="988"/>
      <c r="BG120" s="988"/>
      <c r="BH120" s="988"/>
      <c r="BI120" s="988"/>
      <c r="BJ120" s="988"/>
      <c r="BK120" s="991"/>
    </row>
    <row r="121" spans="1:63" ht="15.75" customHeight="1">
      <c r="A121" s="986"/>
      <c r="B121" s="987"/>
      <c r="C121" s="988"/>
      <c r="D121" s="988"/>
      <c r="E121" s="988"/>
      <c r="F121" s="988"/>
      <c r="G121" s="988"/>
      <c r="H121" s="988"/>
      <c r="I121" s="989"/>
      <c r="J121" s="990"/>
      <c r="K121" s="990"/>
      <c r="L121" s="990"/>
      <c r="M121" s="990"/>
      <c r="N121" s="990"/>
      <c r="O121" s="990"/>
      <c r="P121" s="990"/>
      <c r="Q121" s="990" t="s">
        <v>776</v>
      </c>
      <c r="R121" s="990"/>
      <c r="S121" s="990"/>
      <c r="T121" s="990"/>
      <c r="U121" s="995"/>
      <c r="V121" s="995"/>
      <c r="W121" s="988"/>
      <c r="X121" s="990"/>
      <c r="Y121" s="990"/>
      <c r="Z121" s="990"/>
      <c r="AA121" s="990"/>
      <c r="AB121" s="990"/>
      <c r="AC121" s="990"/>
      <c r="AD121" s="990"/>
      <c r="AE121" s="990" t="s">
        <v>722</v>
      </c>
      <c r="AF121" s="990"/>
      <c r="AG121" s="990"/>
      <c r="AH121" s="990" t="s">
        <v>777</v>
      </c>
      <c r="AI121" s="990"/>
      <c r="AJ121" s="990"/>
      <c r="AK121" s="990"/>
      <c r="AL121" s="990"/>
      <c r="AM121" s="988"/>
      <c r="AN121" s="988"/>
      <c r="AO121" s="988"/>
      <c r="AP121" s="988"/>
      <c r="AS121" s="988"/>
      <c r="AT121" s="988"/>
      <c r="AU121" s="988"/>
      <c r="AV121" s="988"/>
      <c r="AW121" s="988"/>
      <c r="AX121" s="988"/>
      <c r="AY121" s="988"/>
      <c r="AZ121" s="988"/>
      <c r="BA121" s="988"/>
      <c r="BB121" s="988"/>
      <c r="BC121" s="988"/>
      <c r="BD121" s="987"/>
      <c r="BE121" s="988"/>
      <c r="BF121" s="988"/>
      <c r="BG121" s="988"/>
      <c r="BH121" s="988"/>
      <c r="BI121" s="988"/>
      <c r="BJ121" s="988"/>
      <c r="BK121" s="991"/>
    </row>
    <row r="122" spans="1:63" ht="15.75" customHeight="1">
      <c r="A122" s="986"/>
      <c r="B122" s="987"/>
      <c r="C122" s="988"/>
      <c r="D122" s="988"/>
      <c r="E122" s="988"/>
      <c r="F122" s="988"/>
      <c r="G122" s="988"/>
      <c r="H122" s="988"/>
      <c r="I122" s="989"/>
      <c r="J122" s="990"/>
      <c r="K122" s="990"/>
      <c r="L122" s="990"/>
      <c r="M122" s="990"/>
      <c r="N122" s="990"/>
      <c r="O122" s="990"/>
      <c r="P122" s="990"/>
      <c r="Q122" s="990" t="s">
        <v>778</v>
      </c>
      <c r="R122" s="990"/>
      <c r="S122" s="990"/>
      <c r="T122" s="990"/>
      <c r="U122" s="995"/>
      <c r="V122" s="1001"/>
      <c r="W122" s="988"/>
      <c r="X122" s="990"/>
      <c r="Y122" s="990"/>
      <c r="Z122" s="990"/>
      <c r="AA122" s="990"/>
      <c r="AB122" s="990"/>
      <c r="AC122" s="990"/>
      <c r="AD122" s="990"/>
      <c r="AE122" s="990" t="s">
        <v>731</v>
      </c>
      <c r="AF122" s="990"/>
      <c r="AG122" s="990"/>
      <c r="AH122" s="990" t="s">
        <v>779</v>
      </c>
      <c r="AI122" s="990"/>
      <c r="AJ122" s="990"/>
      <c r="AK122" s="990"/>
      <c r="AL122" s="990"/>
      <c r="AM122" s="988"/>
      <c r="AN122" s="988"/>
      <c r="AO122" s="988"/>
      <c r="AP122" s="988"/>
      <c r="AS122" s="988"/>
      <c r="AT122" s="988"/>
      <c r="AU122" s="988"/>
      <c r="AV122" s="988"/>
      <c r="AW122" s="988"/>
      <c r="AX122" s="988"/>
      <c r="AY122" s="988"/>
      <c r="AZ122" s="988"/>
      <c r="BA122" s="988"/>
      <c r="BB122" s="988"/>
      <c r="BC122" s="988"/>
      <c r="BD122" s="987"/>
      <c r="BE122" s="988"/>
      <c r="BF122" s="988"/>
      <c r="BG122" s="988"/>
      <c r="BH122" s="988"/>
      <c r="BI122" s="988"/>
      <c r="BJ122" s="988"/>
      <c r="BK122" s="991"/>
    </row>
    <row r="123" spans="1:63" ht="15.75" customHeight="1">
      <c r="A123" s="986"/>
      <c r="B123" s="987"/>
      <c r="C123" s="988"/>
      <c r="D123" s="988"/>
      <c r="E123" s="988"/>
      <c r="F123" s="988"/>
      <c r="G123" s="988"/>
      <c r="H123" s="988"/>
      <c r="I123" s="989"/>
      <c r="J123" s="990"/>
      <c r="K123" s="990"/>
      <c r="L123" s="990"/>
      <c r="M123" s="990"/>
      <c r="N123" s="990"/>
      <c r="O123" s="990"/>
      <c r="P123" s="990"/>
      <c r="Q123" s="990" t="s">
        <v>780</v>
      </c>
      <c r="R123" s="990"/>
      <c r="S123" s="990"/>
      <c r="T123" s="990"/>
      <c r="U123" s="995"/>
      <c r="V123" s="995"/>
      <c r="W123" s="988"/>
      <c r="X123" s="990"/>
      <c r="Y123" s="990"/>
      <c r="Z123" s="990"/>
      <c r="AA123" s="990"/>
      <c r="AB123" s="990"/>
      <c r="AC123" s="990"/>
      <c r="AD123" s="990"/>
      <c r="AE123" s="990" t="s">
        <v>722</v>
      </c>
      <c r="AF123" s="990"/>
      <c r="AG123" s="990"/>
      <c r="AH123" s="990" t="s">
        <v>781</v>
      </c>
      <c r="AI123" s="990"/>
      <c r="AJ123" s="990"/>
      <c r="AK123" s="990"/>
      <c r="AL123" s="990"/>
      <c r="AM123" s="988"/>
      <c r="AN123" s="988"/>
      <c r="AO123" s="988"/>
      <c r="AP123" s="988"/>
      <c r="AS123" s="988"/>
      <c r="AT123" s="988"/>
      <c r="AU123" s="988"/>
      <c r="AV123" s="988"/>
      <c r="AW123" s="988"/>
      <c r="AX123" s="988"/>
      <c r="AY123" s="988"/>
      <c r="AZ123" s="988"/>
      <c r="BA123" s="988"/>
      <c r="BB123" s="988"/>
      <c r="BC123" s="988"/>
      <c r="BD123" s="987"/>
      <c r="BE123" s="988"/>
      <c r="BF123" s="988"/>
      <c r="BG123" s="988"/>
      <c r="BH123" s="988"/>
      <c r="BI123" s="988"/>
      <c r="BJ123" s="988"/>
      <c r="BK123" s="991"/>
    </row>
    <row r="124" spans="1:63" ht="15.75" customHeight="1">
      <c r="A124" s="986"/>
      <c r="B124" s="987"/>
      <c r="C124" s="988"/>
      <c r="D124" s="988"/>
      <c r="E124" s="988"/>
      <c r="F124" s="988"/>
      <c r="G124" s="988"/>
      <c r="H124" s="988"/>
      <c r="I124" s="989"/>
      <c r="J124" s="990"/>
      <c r="K124" s="990"/>
      <c r="L124" s="990"/>
      <c r="M124" s="990"/>
      <c r="N124" s="990"/>
      <c r="O124" s="990"/>
      <c r="P124" s="990"/>
      <c r="Q124" s="990" t="s">
        <v>782</v>
      </c>
      <c r="R124" s="990"/>
      <c r="S124" s="990"/>
      <c r="T124" s="990"/>
      <c r="U124" s="995"/>
      <c r="V124" s="1001"/>
      <c r="W124" s="988"/>
      <c r="X124" s="990"/>
      <c r="Y124" s="990"/>
      <c r="Z124" s="990"/>
      <c r="AA124" s="990"/>
      <c r="AB124" s="990"/>
      <c r="AC124" s="990"/>
      <c r="AD124" s="990"/>
      <c r="AE124" s="990" t="s">
        <v>731</v>
      </c>
      <c r="AF124" s="990"/>
      <c r="AG124" s="990"/>
      <c r="AH124" s="990" t="s">
        <v>783</v>
      </c>
      <c r="AI124" s="990"/>
      <c r="AJ124" s="990"/>
      <c r="AK124" s="990"/>
      <c r="AL124" s="990"/>
      <c r="AM124" s="988"/>
      <c r="AN124" s="988"/>
      <c r="AO124" s="988"/>
      <c r="AP124" s="988"/>
      <c r="AS124" s="988"/>
      <c r="AT124" s="988"/>
      <c r="AU124" s="988"/>
      <c r="AV124" s="988"/>
      <c r="AW124" s="988"/>
      <c r="AX124" s="988"/>
      <c r="AY124" s="988"/>
      <c r="AZ124" s="988"/>
      <c r="BA124" s="988"/>
      <c r="BB124" s="988"/>
      <c r="BC124" s="988"/>
      <c r="BD124" s="987"/>
      <c r="BE124" s="988"/>
      <c r="BF124" s="988"/>
      <c r="BG124" s="988"/>
      <c r="BH124" s="988"/>
      <c r="BI124" s="988"/>
      <c r="BJ124" s="988"/>
      <c r="BK124" s="991"/>
    </row>
    <row r="125" spans="1:63" ht="15.75" customHeight="1">
      <c r="A125" s="986"/>
      <c r="B125" s="987"/>
      <c r="C125" s="988"/>
      <c r="D125" s="988"/>
      <c r="E125" s="988"/>
      <c r="F125" s="988"/>
      <c r="G125" s="988"/>
      <c r="H125" s="988"/>
      <c r="I125" s="989"/>
      <c r="J125" s="990"/>
      <c r="K125" s="990"/>
      <c r="L125" s="990"/>
      <c r="M125" s="990"/>
      <c r="N125" s="990"/>
      <c r="O125" s="990"/>
      <c r="P125" s="990"/>
      <c r="Q125" s="990" t="s">
        <v>784</v>
      </c>
      <c r="R125" s="990"/>
      <c r="S125" s="990"/>
      <c r="T125" s="990"/>
      <c r="U125" s="995"/>
      <c r="V125" s="995"/>
      <c r="W125" s="988"/>
      <c r="X125" s="990"/>
      <c r="Y125" s="990"/>
      <c r="Z125" s="990"/>
      <c r="AA125" s="990"/>
      <c r="AB125" s="990"/>
      <c r="AC125" s="990"/>
      <c r="AD125" s="990"/>
      <c r="AE125" s="990" t="s">
        <v>722</v>
      </c>
      <c r="AF125" s="990"/>
      <c r="AG125" s="990"/>
      <c r="AH125" s="990" t="s">
        <v>785</v>
      </c>
      <c r="AI125" s="990"/>
      <c r="AJ125" s="990"/>
      <c r="AK125" s="990"/>
      <c r="AL125" s="990"/>
      <c r="AM125" s="988"/>
      <c r="AN125" s="988"/>
      <c r="AO125" s="988"/>
      <c r="AP125" s="988"/>
      <c r="AS125" s="988"/>
      <c r="AT125" s="988"/>
      <c r="AU125" s="988"/>
      <c r="AV125" s="988"/>
      <c r="AW125" s="988"/>
      <c r="AX125" s="988"/>
      <c r="AY125" s="988"/>
      <c r="AZ125" s="988"/>
      <c r="BA125" s="988"/>
      <c r="BB125" s="988"/>
      <c r="BC125" s="988"/>
      <c r="BD125" s="987"/>
      <c r="BE125" s="988"/>
      <c r="BF125" s="988"/>
      <c r="BG125" s="988"/>
      <c r="BH125" s="988"/>
      <c r="BI125" s="988"/>
      <c r="BJ125" s="988"/>
      <c r="BK125" s="991"/>
    </row>
    <row r="126" spans="1:63" ht="15.75" customHeight="1">
      <c r="A126" s="986"/>
      <c r="B126" s="987"/>
      <c r="C126" s="988"/>
      <c r="D126" s="988"/>
      <c r="E126" s="988"/>
      <c r="F126" s="988"/>
      <c r="G126" s="988"/>
      <c r="H126" s="988"/>
      <c r="I126" s="989"/>
      <c r="J126" s="990"/>
      <c r="K126" s="990"/>
      <c r="L126" s="990"/>
      <c r="M126" s="990"/>
      <c r="N126" s="990"/>
      <c r="O126" s="990"/>
      <c r="P126" s="990"/>
      <c r="Q126" s="990" t="s">
        <v>786</v>
      </c>
      <c r="R126" s="990"/>
      <c r="S126" s="990"/>
      <c r="T126" s="990"/>
      <c r="U126" s="995"/>
      <c r="V126" s="1001"/>
      <c r="W126" s="988"/>
      <c r="X126" s="990"/>
      <c r="Y126" s="990"/>
      <c r="Z126" s="990"/>
      <c r="AA126" s="990"/>
      <c r="AB126" s="990"/>
      <c r="AC126" s="990"/>
      <c r="AD126" s="990"/>
      <c r="AE126" s="990" t="s">
        <v>731</v>
      </c>
      <c r="AF126" s="990"/>
      <c r="AG126" s="990"/>
      <c r="AH126" s="990" t="s">
        <v>787</v>
      </c>
      <c r="AI126" s="990"/>
      <c r="AJ126" s="990"/>
      <c r="AK126" s="990"/>
      <c r="AL126" s="990"/>
      <c r="AM126" s="988"/>
      <c r="AN126" s="988"/>
      <c r="AO126" s="988"/>
      <c r="AP126" s="988"/>
      <c r="AS126" s="988"/>
      <c r="AT126" s="988"/>
      <c r="AU126" s="988"/>
      <c r="AV126" s="988"/>
      <c r="AW126" s="988"/>
      <c r="AX126" s="988"/>
      <c r="AY126" s="988"/>
      <c r="AZ126" s="988"/>
      <c r="BA126" s="988"/>
      <c r="BB126" s="988"/>
      <c r="BC126" s="988"/>
      <c r="BD126" s="987"/>
      <c r="BE126" s="988"/>
      <c r="BF126" s="988"/>
      <c r="BG126" s="988"/>
      <c r="BH126" s="988"/>
      <c r="BI126" s="988"/>
      <c r="BJ126" s="988"/>
      <c r="BK126" s="991"/>
    </row>
    <row r="127" spans="1:63" ht="15.75" customHeight="1">
      <c r="A127" s="986"/>
      <c r="B127" s="987"/>
      <c r="C127" s="988"/>
      <c r="D127" s="988"/>
      <c r="E127" s="988"/>
      <c r="F127" s="988"/>
      <c r="G127" s="988"/>
      <c r="H127" s="988"/>
      <c r="I127" s="989"/>
      <c r="J127" s="990"/>
      <c r="K127" s="990"/>
      <c r="L127" s="990"/>
      <c r="M127" s="990"/>
      <c r="N127" s="990"/>
      <c r="O127" s="990"/>
      <c r="P127" s="990"/>
      <c r="Q127" s="990" t="s">
        <v>788</v>
      </c>
      <c r="R127" s="990"/>
      <c r="S127" s="990"/>
      <c r="T127" s="990"/>
      <c r="U127" s="995"/>
      <c r="V127" s="1001"/>
      <c r="W127" s="988"/>
      <c r="X127" s="990"/>
      <c r="Y127" s="990"/>
      <c r="Z127" s="990"/>
      <c r="AA127" s="990"/>
      <c r="AB127" s="990"/>
      <c r="AC127" s="990"/>
      <c r="AD127" s="990"/>
      <c r="AE127" s="990" t="s">
        <v>731</v>
      </c>
      <c r="AF127" s="990"/>
      <c r="AG127" s="990"/>
      <c r="AH127" s="990" t="s">
        <v>789</v>
      </c>
      <c r="AI127" s="990"/>
      <c r="AJ127" s="990"/>
      <c r="AK127" s="990"/>
      <c r="AL127" s="990"/>
      <c r="AM127" s="988"/>
      <c r="AN127" s="988"/>
      <c r="AO127" s="988"/>
      <c r="AP127" s="988"/>
      <c r="AQ127" s="988"/>
      <c r="AR127" s="988"/>
      <c r="AS127" s="988"/>
      <c r="AT127" s="988"/>
      <c r="AU127" s="988"/>
      <c r="AV127" s="988"/>
      <c r="AW127" s="988"/>
      <c r="AX127" s="988"/>
      <c r="AY127" s="988"/>
      <c r="AZ127" s="988"/>
      <c r="BA127" s="988"/>
      <c r="BB127" s="988"/>
      <c r="BC127" s="988"/>
      <c r="BD127" s="987"/>
      <c r="BE127" s="988"/>
      <c r="BF127" s="988"/>
      <c r="BG127" s="988"/>
      <c r="BH127" s="988"/>
      <c r="BI127" s="988"/>
      <c r="BJ127" s="988"/>
      <c r="BK127" s="991"/>
    </row>
    <row r="128" spans="1:63" ht="15.75" customHeight="1">
      <c r="A128" s="986"/>
      <c r="B128" s="987"/>
      <c r="C128" s="988"/>
      <c r="D128" s="988"/>
      <c r="E128" s="988"/>
      <c r="F128" s="988"/>
      <c r="G128" s="988"/>
      <c r="H128" s="988"/>
      <c r="I128" s="989"/>
      <c r="J128" s="990"/>
      <c r="K128" s="990"/>
      <c r="L128" s="990"/>
      <c r="M128" s="990"/>
      <c r="N128" s="990"/>
      <c r="O128" s="990"/>
      <c r="P128" s="990"/>
      <c r="Q128" s="990" t="s">
        <v>790</v>
      </c>
      <c r="R128" s="990"/>
      <c r="S128" s="990"/>
      <c r="T128" s="990"/>
      <c r="U128" s="995"/>
      <c r="V128" s="1001"/>
      <c r="W128" s="988"/>
      <c r="X128" s="990"/>
      <c r="Y128" s="990"/>
      <c r="Z128" s="990"/>
      <c r="AA128" s="990"/>
      <c r="AB128" s="990"/>
      <c r="AC128" s="990"/>
      <c r="AD128" s="990"/>
      <c r="AE128" s="990" t="s">
        <v>731</v>
      </c>
      <c r="AF128" s="990"/>
      <c r="AG128" s="990"/>
      <c r="AH128" s="990" t="s">
        <v>791</v>
      </c>
      <c r="AI128" s="990"/>
      <c r="AJ128" s="990"/>
      <c r="AK128" s="990"/>
      <c r="AL128" s="990"/>
      <c r="AM128" s="988"/>
      <c r="AN128" s="988"/>
      <c r="AO128" s="988"/>
      <c r="AP128" s="988"/>
      <c r="AQ128" s="988"/>
      <c r="AR128" s="988"/>
      <c r="AS128" s="988"/>
      <c r="AT128" s="988"/>
      <c r="AU128" s="988"/>
      <c r="AV128" s="988"/>
      <c r="AW128" s="988"/>
      <c r="AX128" s="988"/>
      <c r="AY128" s="988"/>
      <c r="AZ128" s="988"/>
      <c r="BA128" s="988"/>
      <c r="BB128" s="988"/>
      <c r="BC128" s="988"/>
      <c r="BD128" s="987"/>
      <c r="BE128" s="988"/>
      <c r="BF128" s="988"/>
      <c r="BG128" s="988"/>
      <c r="BH128" s="988"/>
      <c r="BI128" s="988"/>
      <c r="BJ128" s="988"/>
      <c r="BK128" s="991"/>
    </row>
    <row r="129" spans="1:101" ht="15.75" customHeight="1">
      <c r="A129" s="986"/>
      <c r="B129" s="987"/>
      <c r="C129" s="988"/>
      <c r="D129" s="988"/>
      <c r="E129" s="988"/>
      <c r="F129" s="988"/>
      <c r="G129" s="988"/>
      <c r="H129" s="988"/>
      <c r="I129" s="989"/>
      <c r="J129" s="990"/>
      <c r="K129" s="990"/>
      <c r="L129" s="990"/>
      <c r="M129" s="990"/>
      <c r="N129" s="990"/>
      <c r="O129" s="990"/>
      <c r="P129" s="990"/>
      <c r="Q129" s="990" t="s">
        <v>792</v>
      </c>
      <c r="R129" s="990"/>
      <c r="S129" s="990"/>
      <c r="T129" s="990"/>
      <c r="U129" s="995"/>
      <c r="V129" s="1001"/>
      <c r="W129" s="988"/>
      <c r="X129" s="990"/>
      <c r="Y129" s="990"/>
      <c r="Z129" s="990"/>
      <c r="AA129" s="990"/>
      <c r="AB129" s="990"/>
      <c r="AC129" s="990"/>
      <c r="AD129" s="990"/>
      <c r="AE129" s="990" t="s">
        <v>731</v>
      </c>
      <c r="AF129" s="990"/>
      <c r="AG129" s="990"/>
      <c r="AH129" s="990" t="s">
        <v>793</v>
      </c>
      <c r="AI129" s="990"/>
      <c r="AJ129" s="990"/>
      <c r="AK129" s="990"/>
      <c r="AL129" s="990"/>
      <c r="AM129" s="988"/>
      <c r="AN129" s="988"/>
      <c r="AO129" s="988"/>
      <c r="AP129" s="988"/>
      <c r="AQ129" s="988"/>
      <c r="AR129" s="988"/>
      <c r="AS129" s="988"/>
      <c r="AT129" s="988"/>
      <c r="AU129" s="988"/>
      <c r="AV129" s="988"/>
      <c r="AW129" s="988"/>
      <c r="AX129" s="988"/>
      <c r="AY129" s="988"/>
      <c r="AZ129" s="988"/>
      <c r="BA129" s="988"/>
      <c r="BB129" s="988"/>
      <c r="BC129" s="988"/>
      <c r="BD129" s="987"/>
      <c r="BE129" s="988"/>
      <c r="BF129" s="988"/>
      <c r="BG129" s="988"/>
      <c r="BH129" s="988"/>
      <c r="BI129" s="988"/>
      <c r="BJ129" s="988"/>
      <c r="BK129" s="991"/>
    </row>
    <row r="130" spans="1:101" ht="15.75" customHeight="1">
      <c r="A130" s="986"/>
      <c r="B130" s="987"/>
      <c r="C130" s="988"/>
      <c r="D130" s="988"/>
      <c r="E130" s="988"/>
      <c r="F130" s="988"/>
      <c r="G130" s="988"/>
      <c r="H130" s="988"/>
      <c r="I130" s="989"/>
      <c r="J130" s="990"/>
      <c r="K130" s="990"/>
      <c r="L130" s="990"/>
      <c r="M130" s="990"/>
      <c r="N130" s="990"/>
      <c r="O130" s="990"/>
      <c r="P130" s="990"/>
      <c r="Q130" s="990" t="s">
        <v>794</v>
      </c>
      <c r="R130" s="990"/>
      <c r="S130" s="990"/>
      <c r="T130" s="990"/>
      <c r="U130" s="995"/>
      <c r="V130" s="1001"/>
      <c r="W130" s="988"/>
      <c r="X130" s="990"/>
      <c r="Y130" s="990"/>
      <c r="Z130" s="990"/>
      <c r="AA130" s="990"/>
      <c r="AB130" s="990"/>
      <c r="AC130" s="990"/>
      <c r="AD130" s="990"/>
      <c r="AE130" s="990" t="s">
        <v>731</v>
      </c>
      <c r="AF130" s="990"/>
      <c r="AG130" s="990"/>
      <c r="AH130" s="990" t="s">
        <v>795</v>
      </c>
      <c r="AI130" s="990"/>
      <c r="AJ130" s="990"/>
      <c r="AK130" s="990"/>
      <c r="AL130" s="990"/>
      <c r="AM130" s="988"/>
      <c r="AN130" s="988"/>
      <c r="AO130" s="988"/>
      <c r="AP130" s="988"/>
      <c r="AQ130" s="988"/>
      <c r="AR130" s="988"/>
      <c r="AS130" s="988"/>
      <c r="AT130" s="988"/>
      <c r="AU130" s="988"/>
      <c r="AV130" s="988"/>
      <c r="AW130" s="988"/>
      <c r="AX130" s="988"/>
      <c r="AY130" s="988"/>
      <c r="AZ130" s="988"/>
      <c r="BA130" s="988"/>
      <c r="BB130" s="988"/>
      <c r="BC130" s="988"/>
      <c r="BD130" s="987"/>
      <c r="BE130" s="988"/>
      <c r="BF130" s="988"/>
      <c r="BG130" s="988"/>
      <c r="BH130" s="988"/>
      <c r="BI130" s="988"/>
      <c r="BJ130" s="988"/>
      <c r="BK130" s="991"/>
    </row>
    <row r="131" spans="1:101" ht="15.75" customHeight="1">
      <c r="A131" s="986"/>
      <c r="B131" s="987"/>
      <c r="C131" s="988"/>
      <c r="D131" s="988"/>
      <c r="E131" s="988"/>
      <c r="F131" s="988"/>
      <c r="G131" s="988"/>
      <c r="H131" s="988"/>
      <c r="I131" s="989"/>
      <c r="J131" s="990"/>
      <c r="K131" s="990"/>
      <c r="L131" s="990"/>
      <c r="M131" s="990"/>
      <c r="N131" s="990"/>
      <c r="O131" s="990"/>
      <c r="P131" s="990"/>
      <c r="Q131" s="990" t="s">
        <v>796</v>
      </c>
      <c r="R131" s="990"/>
      <c r="S131" s="990"/>
      <c r="T131" s="990"/>
      <c r="U131" s="995"/>
      <c r="V131" s="1001"/>
      <c r="W131" s="988"/>
      <c r="X131" s="990"/>
      <c r="Y131" s="990"/>
      <c r="Z131" s="990"/>
      <c r="AA131" s="990"/>
      <c r="AB131" s="990"/>
      <c r="AC131" s="990"/>
      <c r="AD131" s="990"/>
      <c r="AE131" s="990" t="s">
        <v>731</v>
      </c>
      <c r="AF131" s="990"/>
      <c r="AG131" s="990"/>
      <c r="AH131" s="990" t="s">
        <v>797</v>
      </c>
      <c r="AI131" s="990"/>
      <c r="AJ131" s="990"/>
      <c r="AK131" s="990"/>
      <c r="AL131" s="990"/>
      <c r="AM131" s="988"/>
      <c r="AN131" s="988"/>
      <c r="AO131" s="988"/>
      <c r="AP131" s="988"/>
      <c r="AQ131" s="988"/>
      <c r="AR131" s="988"/>
      <c r="AS131" s="988"/>
      <c r="AT131" s="988"/>
      <c r="AU131" s="988"/>
      <c r="AV131" s="988"/>
      <c r="AW131" s="988"/>
      <c r="AX131" s="988"/>
      <c r="AY131" s="988"/>
      <c r="AZ131" s="988"/>
      <c r="BA131" s="988"/>
      <c r="BB131" s="988"/>
      <c r="BC131" s="988"/>
      <c r="BD131" s="987"/>
      <c r="BE131" s="988"/>
      <c r="BF131" s="988"/>
      <c r="BG131" s="988"/>
      <c r="BH131" s="988"/>
      <c r="BI131" s="988"/>
      <c r="BJ131" s="988"/>
      <c r="BK131" s="991"/>
    </row>
    <row r="132" spans="1:101" ht="15.75" customHeight="1">
      <c r="A132" s="986"/>
      <c r="B132" s="987"/>
      <c r="C132" s="988"/>
      <c r="D132" s="988"/>
      <c r="E132" s="988"/>
      <c r="F132" s="988"/>
      <c r="G132" s="988"/>
      <c r="H132" s="988"/>
      <c r="I132" s="989"/>
      <c r="J132" s="990"/>
      <c r="K132" s="990"/>
      <c r="L132" s="990"/>
      <c r="M132" s="990"/>
      <c r="N132" s="990"/>
      <c r="O132" s="990"/>
      <c r="P132" s="990"/>
      <c r="Q132" s="990" t="s">
        <v>798</v>
      </c>
      <c r="R132" s="990"/>
      <c r="S132" s="990"/>
      <c r="T132" s="990"/>
      <c r="U132" s="995"/>
      <c r="V132" s="1001"/>
      <c r="W132" s="988"/>
      <c r="X132" s="990"/>
      <c r="Y132" s="990"/>
      <c r="Z132" s="990"/>
      <c r="AA132" s="990"/>
      <c r="AB132" s="990"/>
      <c r="AC132" s="990"/>
      <c r="AD132" s="990"/>
      <c r="AE132" s="990" t="s">
        <v>731</v>
      </c>
      <c r="AF132" s="990"/>
      <c r="AG132" s="990"/>
      <c r="AH132" s="990" t="s">
        <v>799</v>
      </c>
      <c r="AI132" s="990"/>
      <c r="AJ132" s="990"/>
      <c r="AK132" s="990"/>
      <c r="AL132" s="990"/>
      <c r="AM132" s="988"/>
      <c r="AN132" s="988"/>
      <c r="AO132" s="988"/>
      <c r="AP132" s="988"/>
      <c r="AQ132" s="988"/>
      <c r="AR132" s="988"/>
      <c r="AS132" s="988"/>
      <c r="AT132" s="988"/>
      <c r="AU132" s="988"/>
      <c r="AV132" s="988"/>
      <c r="AW132" s="988"/>
      <c r="AX132" s="988"/>
      <c r="AY132" s="988"/>
      <c r="AZ132" s="988"/>
      <c r="BA132" s="988"/>
      <c r="BB132" s="988"/>
      <c r="BC132" s="988"/>
      <c r="BD132" s="987"/>
      <c r="BE132" s="988"/>
      <c r="BF132" s="988"/>
      <c r="BG132" s="988"/>
      <c r="BH132" s="988"/>
      <c r="BI132" s="988"/>
      <c r="BJ132" s="988"/>
      <c r="BK132" s="991"/>
    </row>
    <row r="133" spans="1:101" ht="15.75" customHeight="1">
      <c r="A133" s="986"/>
      <c r="B133" s="987"/>
      <c r="C133" s="988"/>
      <c r="D133" s="988"/>
      <c r="E133" s="988"/>
      <c r="F133" s="988"/>
      <c r="G133" s="988"/>
      <c r="H133" s="988"/>
      <c r="I133" s="989"/>
      <c r="J133" s="990"/>
      <c r="K133" s="990"/>
      <c r="L133" s="990"/>
      <c r="M133" s="990"/>
      <c r="N133" s="990"/>
      <c r="O133" s="990"/>
      <c r="P133" s="990"/>
      <c r="Q133" s="990" t="s">
        <v>800</v>
      </c>
      <c r="R133" s="990"/>
      <c r="S133" s="990"/>
      <c r="T133" s="990"/>
      <c r="U133" s="995"/>
      <c r="V133" s="1001"/>
      <c r="W133" s="988"/>
      <c r="X133" s="990"/>
      <c r="Y133" s="990"/>
      <c r="Z133" s="990"/>
      <c r="AA133" s="990"/>
      <c r="AB133" s="990"/>
      <c r="AC133" s="990"/>
      <c r="AD133" s="990"/>
      <c r="AE133" s="990" t="s">
        <v>731</v>
      </c>
      <c r="AF133" s="990"/>
      <c r="AG133" s="990"/>
      <c r="AH133" s="990" t="s">
        <v>801</v>
      </c>
      <c r="AI133" s="990"/>
      <c r="AJ133" s="990"/>
      <c r="AK133" s="990"/>
      <c r="AL133" s="990"/>
      <c r="AM133" s="988"/>
      <c r="AN133" s="988"/>
      <c r="AO133" s="988"/>
      <c r="AP133" s="988"/>
      <c r="AQ133" s="988"/>
      <c r="AR133" s="988"/>
      <c r="AS133" s="988"/>
      <c r="AT133" s="988"/>
      <c r="AU133" s="988"/>
      <c r="AV133" s="988"/>
      <c r="AW133" s="988"/>
      <c r="AX133" s="988"/>
      <c r="AY133" s="988"/>
      <c r="AZ133" s="988"/>
      <c r="BA133" s="988"/>
      <c r="BB133" s="988"/>
      <c r="BC133" s="988"/>
      <c r="BD133" s="987"/>
      <c r="BE133" s="988"/>
      <c r="BF133" s="988"/>
      <c r="BG133" s="988"/>
      <c r="BH133" s="988"/>
      <c r="BI133" s="988"/>
      <c r="BJ133" s="988"/>
      <c r="BK133" s="991"/>
    </row>
    <row r="134" spans="1:101" ht="15.75" customHeight="1">
      <c r="A134" s="986"/>
      <c r="B134" s="987"/>
      <c r="C134" s="988"/>
      <c r="D134" s="988"/>
      <c r="E134" s="988"/>
      <c r="F134" s="988"/>
      <c r="G134" s="988"/>
      <c r="H134" s="988"/>
      <c r="I134" s="989"/>
      <c r="J134" s="990"/>
      <c r="K134" s="990"/>
      <c r="L134" s="990"/>
      <c r="M134" s="990"/>
      <c r="N134" s="990"/>
      <c r="O134" s="990"/>
      <c r="P134" s="990"/>
      <c r="Q134" s="990" t="s">
        <v>802</v>
      </c>
      <c r="R134" s="990"/>
      <c r="S134" s="990"/>
      <c r="T134" s="990"/>
      <c r="U134" s="995"/>
      <c r="V134" s="1001"/>
      <c r="W134" s="988"/>
      <c r="X134" s="990"/>
      <c r="Y134" s="990"/>
      <c r="Z134" s="990"/>
      <c r="AA134" s="990"/>
      <c r="AB134" s="990"/>
      <c r="AC134" s="990"/>
      <c r="AD134" s="990"/>
      <c r="AE134" s="990" t="s">
        <v>731</v>
      </c>
      <c r="AF134" s="990"/>
      <c r="AG134" s="990"/>
      <c r="AH134" s="990" t="s">
        <v>803</v>
      </c>
      <c r="AI134" s="990"/>
      <c r="AJ134" s="990"/>
      <c r="AK134" s="990"/>
      <c r="AL134" s="990"/>
      <c r="AM134" s="988"/>
      <c r="AN134" s="988"/>
      <c r="AO134" s="988"/>
      <c r="AP134" s="988"/>
      <c r="AQ134" s="988"/>
      <c r="AR134" s="988"/>
      <c r="AS134" s="988"/>
      <c r="AT134" s="988"/>
      <c r="AU134" s="988"/>
      <c r="AV134" s="988"/>
      <c r="AW134" s="988"/>
      <c r="AX134" s="988"/>
      <c r="AY134" s="988"/>
      <c r="AZ134" s="988"/>
      <c r="BA134" s="988"/>
      <c r="BB134" s="988"/>
      <c r="BC134" s="988"/>
      <c r="BD134" s="987"/>
      <c r="BE134" s="988"/>
      <c r="BF134" s="988"/>
      <c r="BG134" s="988"/>
      <c r="BH134" s="988"/>
      <c r="BI134" s="988"/>
      <c r="BJ134" s="988"/>
      <c r="BK134" s="991"/>
    </row>
    <row r="135" spans="1:101" ht="15.75" customHeight="1">
      <c r="A135" s="986"/>
      <c r="B135" s="987"/>
      <c r="C135" s="988"/>
      <c r="D135" s="988"/>
      <c r="E135" s="988"/>
      <c r="F135" s="988"/>
      <c r="G135" s="988"/>
      <c r="H135" s="988"/>
      <c r="I135" s="989"/>
      <c r="J135" s="990"/>
      <c r="K135" s="990"/>
      <c r="L135" s="990"/>
      <c r="M135" s="990"/>
      <c r="N135" s="990"/>
      <c r="O135" s="990"/>
      <c r="P135" s="990"/>
      <c r="Q135" s="990" t="s">
        <v>804</v>
      </c>
      <c r="R135" s="990"/>
      <c r="S135" s="990"/>
      <c r="T135" s="990"/>
      <c r="U135" s="995"/>
      <c r="V135" s="1001"/>
      <c r="W135" s="988"/>
      <c r="X135" s="990"/>
      <c r="Y135" s="990"/>
      <c r="Z135" s="990"/>
      <c r="AA135" s="990"/>
      <c r="AB135" s="990"/>
      <c r="AC135" s="990"/>
      <c r="AD135" s="990"/>
      <c r="AE135" s="990" t="s">
        <v>731</v>
      </c>
      <c r="AF135" s="990"/>
      <c r="AG135" s="990"/>
      <c r="AH135" s="990" t="s">
        <v>805</v>
      </c>
      <c r="AI135" s="990"/>
      <c r="AJ135" s="990"/>
      <c r="AK135" s="990"/>
      <c r="AL135" s="990"/>
      <c r="AM135" s="988"/>
      <c r="AN135" s="988"/>
      <c r="AO135" s="988"/>
      <c r="AP135" s="988"/>
      <c r="AQ135" s="988"/>
      <c r="AR135" s="988"/>
      <c r="AS135" s="988"/>
      <c r="AT135" s="988"/>
      <c r="AU135" s="988"/>
      <c r="AV135" s="988"/>
      <c r="AW135" s="988"/>
      <c r="AX135" s="988"/>
      <c r="AY135" s="988"/>
      <c r="AZ135" s="988"/>
      <c r="BA135" s="988"/>
      <c r="BB135" s="988"/>
      <c r="BC135" s="988"/>
      <c r="BD135" s="987"/>
      <c r="BE135" s="988"/>
      <c r="BF135" s="988"/>
      <c r="BG135" s="988"/>
      <c r="BH135" s="988"/>
      <c r="BI135" s="988"/>
      <c r="BJ135" s="988"/>
      <c r="BK135" s="991"/>
    </row>
    <row r="136" spans="1:101" ht="15.75" customHeight="1">
      <c r="A136" s="986"/>
      <c r="B136" s="987"/>
      <c r="C136" s="988"/>
      <c r="D136" s="988"/>
      <c r="E136" s="988"/>
      <c r="F136" s="988"/>
      <c r="G136" s="988"/>
      <c r="H136" s="988"/>
      <c r="I136" s="989"/>
      <c r="J136" s="990"/>
      <c r="K136" s="990"/>
      <c r="L136" s="990"/>
      <c r="M136" s="990"/>
      <c r="N136" s="990"/>
      <c r="O136" s="990"/>
      <c r="P136" s="990"/>
      <c r="Q136" s="990" t="s">
        <v>806</v>
      </c>
      <c r="R136" s="990"/>
      <c r="S136" s="990"/>
      <c r="T136" s="990"/>
      <c r="U136" s="995"/>
      <c r="V136" s="1001"/>
      <c r="W136" s="988"/>
      <c r="X136" s="990"/>
      <c r="Y136" s="990"/>
      <c r="Z136" s="990"/>
      <c r="AA136" s="990"/>
      <c r="AB136" s="990"/>
      <c r="AC136" s="990"/>
      <c r="AD136" s="990"/>
      <c r="AE136" s="990" t="s">
        <v>731</v>
      </c>
      <c r="AF136" s="990"/>
      <c r="AG136" s="990"/>
      <c r="AH136" s="990" t="s">
        <v>807</v>
      </c>
      <c r="AI136" s="990"/>
      <c r="AJ136" s="990"/>
      <c r="AK136" s="990"/>
      <c r="AL136" s="990"/>
      <c r="AM136" s="988"/>
      <c r="AN136" s="988"/>
      <c r="AO136" s="988"/>
      <c r="AP136" s="988"/>
      <c r="AQ136" s="988"/>
      <c r="AR136" s="988"/>
      <c r="AS136" s="988"/>
      <c r="AT136" s="988"/>
      <c r="AU136" s="988"/>
      <c r="AV136" s="988"/>
      <c r="AW136" s="988"/>
      <c r="AX136" s="988"/>
      <c r="AY136" s="988"/>
      <c r="AZ136" s="988"/>
      <c r="BA136" s="988"/>
      <c r="BB136" s="988"/>
      <c r="BC136" s="988"/>
      <c r="BD136" s="987"/>
      <c r="BE136" s="988"/>
      <c r="BF136" s="988"/>
      <c r="BG136" s="988"/>
      <c r="BH136" s="988"/>
      <c r="BI136" s="988"/>
      <c r="BJ136" s="988"/>
      <c r="BK136" s="991"/>
    </row>
    <row r="137" spans="1:101" ht="15.75" customHeight="1">
      <c r="A137" s="986"/>
      <c r="B137" s="987"/>
      <c r="C137" s="988"/>
      <c r="D137" s="988"/>
      <c r="E137" s="988"/>
      <c r="F137" s="988"/>
      <c r="G137" s="988"/>
      <c r="H137" s="988"/>
      <c r="I137" s="989"/>
      <c r="J137" s="990"/>
      <c r="K137" s="990"/>
      <c r="L137" s="990"/>
      <c r="M137" s="990"/>
      <c r="N137" s="990"/>
      <c r="O137" s="990"/>
      <c r="P137" s="990"/>
      <c r="Q137" s="990" t="s">
        <v>808</v>
      </c>
      <c r="R137" s="990"/>
      <c r="S137" s="990"/>
      <c r="T137" s="990"/>
      <c r="U137" s="995"/>
      <c r="V137" s="1001"/>
      <c r="W137" s="988"/>
      <c r="X137" s="990"/>
      <c r="Y137" s="990"/>
      <c r="Z137" s="990"/>
      <c r="AA137" s="990"/>
      <c r="AB137" s="990"/>
      <c r="AC137" s="990"/>
      <c r="AD137" s="990"/>
      <c r="AE137" s="990" t="s">
        <v>731</v>
      </c>
      <c r="AF137" s="990"/>
      <c r="AG137" s="990"/>
      <c r="AH137" s="990" t="s">
        <v>809</v>
      </c>
      <c r="AI137" s="990"/>
      <c r="AJ137" s="990"/>
      <c r="AK137" s="990"/>
      <c r="AL137" s="990"/>
      <c r="AM137" s="988"/>
      <c r="AN137" s="988"/>
      <c r="AO137" s="988"/>
      <c r="AP137" s="988"/>
      <c r="AQ137" s="988"/>
      <c r="AR137" s="988"/>
      <c r="AS137" s="988"/>
      <c r="AT137" s="988"/>
      <c r="AU137" s="988"/>
      <c r="AV137" s="988"/>
      <c r="AW137" s="988"/>
      <c r="AX137" s="988"/>
      <c r="AY137" s="988"/>
      <c r="AZ137" s="988"/>
      <c r="BA137" s="988"/>
      <c r="BB137" s="988"/>
      <c r="BC137" s="988"/>
      <c r="BD137" s="987"/>
      <c r="BE137" s="988"/>
      <c r="BF137" s="988"/>
      <c r="BG137" s="988"/>
      <c r="BH137" s="988"/>
      <c r="BI137" s="988"/>
      <c r="BJ137" s="988"/>
      <c r="BK137" s="991"/>
    </row>
    <row r="138" spans="1:101" ht="15.75" customHeight="1">
      <c r="A138" s="986"/>
      <c r="B138" s="987"/>
      <c r="C138" s="988"/>
      <c r="D138" s="988"/>
      <c r="E138" s="988"/>
      <c r="F138" s="988"/>
      <c r="G138" s="988"/>
      <c r="H138" s="988"/>
      <c r="I138" s="989"/>
      <c r="J138" s="990"/>
      <c r="K138" s="990"/>
      <c r="L138" s="990"/>
      <c r="M138" s="990"/>
      <c r="N138" s="990"/>
      <c r="O138" s="990"/>
      <c r="P138" s="990"/>
      <c r="Q138" s="990" t="s">
        <v>810</v>
      </c>
      <c r="R138" s="990"/>
      <c r="S138" s="990"/>
      <c r="T138" s="990"/>
      <c r="U138" s="995"/>
      <c r="V138" s="1001"/>
      <c r="W138" s="988"/>
      <c r="X138" s="990"/>
      <c r="Y138" s="990"/>
      <c r="Z138" s="990"/>
      <c r="AA138" s="990"/>
      <c r="AB138" s="990"/>
      <c r="AC138" s="990"/>
      <c r="AD138" s="990"/>
      <c r="AE138" s="990" t="s">
        <v>731</v>
      </c>
      <c r="AF138" s="990"/>
      <c r="AG138" s="990"/>
      <c r="AH138" s="990" t="s">
        <v>811</v>
      </c>
      <c r="AI138" s="990"/>
      <c r="AJ138" s="990"/>
      <c r="AK138" s="990"/>
      <c r="AL138" s="990"/>
      <c r="AM138" s="988"/>
      <c r="AN138" s="988"/>
      <c r="AO138" s="988"/>
      <c r="AP138" s="988"/>
      <c r="AQ138" s="988"/>
      <c r="AR138" s="988"/>
      <c r="AS138" s="988"/>
      <c r="AT138" s="988"/>
      <c r="AU138" s="988"/>
      <c r="AV138" s="988"/>
      <c r="AW138" s="988"/>
      <c r="AX138" s="988"/>
      <c r="AY138" s="988"/>
      <c r="AZ138" s="988"/>
      <c r="BA138" s="988"/>
      <c r="BB138" s="988"/>
      <c r="BC138" s="988"/>
      <c r="BD138" s="987"/>
      <c r="BE138" s="988"/>
      <c r="BF138" s="988"/>
      <c r="BG138" s="988"/>
      <c r="BH138" s="988"/>
      <c r="BI138" s="988"/>
      <c r="BJ138" s="988"/>
      <c r="BK138" s="991"/>
    </row>
    <row r="139" spans="1:101" ht="15.75" customHeight="1">
      <c r="A139" s="986"/>
      <c r="B139" s="987"/>
      <c r="C139" s="988"/>
      <c r="D139" s="988"/>
      <c r="E139" s="988"/>
      <c r="F139" s="988"/>
      <c r="G139" s="988"/>
      <c r="H139" s="988"/>
      <c r="I139" s="989"/>
      <c r="J139" s="990"/>
      <c r="K139" s="990"/>
      <c r="L139" s="990"/>
      <c r="M139" s="990"/>
      <c r="N139" s="990"/>
      <c r="O139" s="990"/>
      <c r="P139" s="990"/>
      <c r="Q139" s="990"/>
      <c r="R139" s="990"/>
      <c r="S139" s="990"/>
      <c r="T139" s="990"/>
      <c r="U139" s="995"/>
      <c r="V139" s="1001"/>
      <c r="W139" s="988"/>
      <c r="X139" s="990"/>
      <c r="Y139" s="990"/>
      <c r="Z139" s="990"/>
      <c r="AA139" s="990"/>
      <c r="AB139" s="990"/>
      <c r="AC139" s="990"/>
      <c r="AD139" s="990"/>
      <c r="AE139" s="990"/>
      <c r="AF139" s="990"/>
      <c r="AG139" s="990"/>
      <c r="AH139" s="990"/>
      <c r="AI139" s="990"/>
      <c r="AJ139" s="990"/>
      <c r="AK139" s="990"/>
      <c r="AL139" s="990"/>
      <c r="AM139" s="988"/>
      <c r="AN139" s="988"/>
      <c r="AO139" s="988"/>
      <c r="AP139" s="988"/>
      <c r="AQ139" s="988"/>
      <c r="AR139" s="988"/>
      <c r="AS139" s="988"/>
      <c r="AT139" s="988"/>
      <c r="AU139" s="988"/>
      <c r="AV139" s="988"/>
      <c r="AW139" s="988"/>
      <c r="AX139" s="988"/>
      <c r="AY139" s="988"/>
      <c r="AZ139" s="988"/>
      <c r="BA139" s="988"/>
      <c r="BB139" s="988"/>
      <c r="BC139" s="988"/>
      <c r="BD139" s="987"/>
      <c r="BE139" s="988"/>
      <c r="BF139" s="988"/>
      <c r="BG139" s="988"/>
      <c r="BH139" s="988"/>
      <c r="BI139" s="988"/>
      <c r="BJ139" s="988"/>
      <c r="BK139" s="991"/>
    </row>
    <row r="140" spans="1:101" ht="15.75" customHeight="1">
      <c r="A140" s="986"/>
      <c r="B140" s="987"/>
      <c r="C140" s="988"/>
      <c r="D140" s="988"/>
      <c r="E140" s="988"/>
      <c r="F140" s="988"/>
      <c r="G140" s="988"/>
      <c r="H140" s="988"/>
      <c r="I140" s="989"/>
      <c r="J140" s="990"/>
      <c r="K140" s="990"/>
      <c r="L140" s="990"/>
      <c r="M140" s="990"/>
      <c r="N140" s="990"/>
      <c r="O140" s="990"/>
      <c r="P140" s="990" t="s">
        <v>812</v>
      </c>
      <c r="Q140" s="990"/>
      <c r="R140" s="990"/>
      <c r="S140" s="990"/>
      <c r="T140" s="990"/>
      <c r="U140" s="995"/>
      <c r="V140" s="1001"/>
      <c r="W140" s="988"/>
      <c r="X140" s="990"/>
      <c r="Y140" s="990"/>
      <c r="Z140" s="990"/>
      <c r="AA140" s="990"/>
      <c r="AB140" s="990"/>
      <c r="AC140" s="990"/>
      <c r="AD140" s="990"/>
      <c r="AE140" s="990"/>
      <c r="AF140" s="990"/>
      <c r="AG140" s="990"/>
      <c r="AH140" s="990"/>
      <c r="AI140" s="990"/>
      <c r="AJ140" s="990"/>
      <c r="AK140" s="990"/>
      <c r="AL140" s="990"/>
      <c r="AM140" s="990"/>
      <c r="AN140" s="990"/>
      <c r="AO140" s="988"/>
      <c r="AP140" s="988"/>
      <c r="AQ140" s="988"/>
      <c r="AR140" s="988"/>
      <c r="AS140" s="988"/>
      <c r="AT140" s="988"/>
      <c r="AU140" s="988"/>
      <c r="AV140" s="988"/>
      <c r="AW140" s="988"/>
      <c r="AX140" s="988"/>
      <c r="AY140" s="988"/>
      <c r="AZ140" s="988"/>
      <c r="BA140" s="988"/>
      <c r="BB140" s="988"/>
      <c r="BC140" s="988"/>
      <c r="BD140" s="987"/>
      <c r="BE140" s="988"/>
      <c r="BF140" s="988"/>
      <c r="BG140" s="988"/>
      <c r="BH140" s="988"/>
      <c r="BI140" s="988"/>
      <c r="BJ140" s="988"/>
      <c r="BK140" s="991"/>
    </row>
    <row r="141" spans="1:101" ht="15.75" customHeight="1">
      <c r="A141" s="986"/>
      <c r="B141" s="987"/>
      <c r="C141" s="988"/>
      <c r="D141" s="988"/>
      <c r="E141" s="988"/>
      <c r="F141" s="988"/>
      <c r="G141" s="988"/>
      <c r="H141" s="988"/>
      <c r="I141" s="989"/>
      <c r="J141" s="990"/>
      <c r="K141" s="990"/>
      <c r="L141" s="990"/>
      <c r="M141" s="990"/>
      <c r="N141" s="990"/>
      <c r="O141" s="990"/>
      <c r="P141" s="990"/>
      <c r="Q141" s="990" t="s">
        <v>699</v>
      </c>
      <c r="R141" s="990" t="s">
        <v>813</v>
      </c>
      <c r="S141" s="990"/>
      <c r="T141" s="990"/>
      <c r="U141" s="995"/>
      <c r="V141" s="1004"/>
      <c r="W141" s="988"/>
      <c r="X141" s="990"/>
      <c r="Y141" s="990"/>
      <c r="Z141" s="990"/>
      <c r="AA141" s="990"/>
      <c r="AB141" s="990"/>
      <c r="AC141" s="990"/>
      <c r="AD141" s="990"/>
      <c r="AE141" s="990"/>
      <c r="AF141" s="990"/>
      <c r="AG141" s="990"/>
      <c r="AH141" s="990"/>
      <c r="AI141" s="990"/>
      <c r="AJ141" s="990"/>
      <c r="AK141" s="990"/>
      <c r="AL141" s="990"/>
      <c r="AM141" s="990"/>
      <c r="AN141" s="990"/>
      <c r="AO141" s="988"/>
      <c r="AP141" s="988"/>
      <c r="AQ141" s="988"/>
      <c r="AR141" s="988"/>
      <c r="AS141" s="988"/>
      <c r="AT141" s="988"/>
      <c r="AU141" s="988"/>
      <c r="AV141" s="988"/>
      <c r="AW141" s="988"/>
      <c r="AX141" s="988"/>
      <c r="AY141" s="988"/>
      <c r="AZ141" s="988"/>
      <c r="BA141" s="988"/>
      <c r="BB141" s="988"/>
      <c r="BC141" s="988"/>
      <c r="BD141" s="987"/>
      <c r="BE141" s="988"/>
      <c r="BF141" s="988"/>
      <c r="BG141" s="988"/>
      <c r="BH141" s="988"/>
      <c r="BI141" s="988"/>
      <c r="BJ141" s="988"/>
      <c r="BK141" s="991"/>
    </row>
    <row r="142" spans="1:101" ht="15.75" customHeight="1">
      <c r="A142" s="986"/>
      <c r="B142" s="987"/>
      <c r="C142" s="988"/>
      <c r="D142" s="988"/>
      <c r="E142" s="988"/>
      <c r="F142" s="988"/>
      <c r="G142" s="988"/>
      <c r="H142" s="988"/>
      <c r="I142" s="989"/>
      <c r="J142" s="990"/>
      <c r="K142" s="990"/>
      <c r="L142" s="990"/>
      <c r="M142" s="990"/>
      <c r="N142" s="990"/>
      <c r="O142" s="990"/>
      <c r="P142" s="990"/>
      <c r="Q142" s="990"/>
      <c r="R142" s="990"/>
      <c r="S142" s="990"/>
      <c r="T142" s="990"/>
      <c r="U142" s="990"/>
      <c r="V142" s="995"/>
      <c r="W142" s="1004"/>
      <c r="X142" s="988"/>
      <c r="Y142" s="990"/>
      <c r="Z142" s="990"/>
      <c r="AA142" s="990"/>
      <c r="AB142" s="990"/>
      <c r="AC142" s="990"/>
      <c r="AD142" s="990"/>
      <c r="AE142" s="990"/>
      <c r="AF142" s="990"/>
      <c r="AG142" s="990"/>
      <c r="AH142" s="990"/>
      <c r="AI142" s="990"/>
      <c r="AJ142" s="990"/>
      <c r="AK142" s="990"/>
      <c r="AL142" s="990"/>
      <c r="AM142" s="990"/>
      <c r="AN142" s="990"/>
      <c r="AO142" s="988"/>
      <c r="AP142" s="988"/>
      <c r="AQ142" s="988"/>
      <c r="AR142" s="988"/>
      <c r="AS142" s="988"/>
      <c r="AT142" s="988"/>
      <c r="AU142" s="988"/>
      <c r="AV142" s="988"/>
      <c r="AW142" s="988"/>
      <c r="AX142" s="988"/>
      <c r="AY142" s="988"/>
      <c r="AZ142" s="988"/>
      <c r="BA142" s="988"/>
      <c r="BB142" s="988"/>
      <c r="BC142" s="988"/>
      <c r="BD142" s="987"/>
      <c r="BE142" s="988"/>
      <c r="BF142" s="988"/>
      <c r="BG142" s="988"/>
      <c r="BH142" s="988"/>
      <c r="BI142" s="988"/>
      <c r="BJ142" s="988"/>
      <c r="BK142" s="991"/>
    </row>
    <row r="143" spans="1:101" ht="15.75" customHeight="1">
      <c r="A143" s="986"/>
      <c r="B143" s="987"/>
      <c r="C143" s="988"/>
      <c r="D143" s="988"/>
      <c r="E143" s="988"/>
      <c r="F143" s="988"/>
      <c r="G143" s="988"/>
      <c r="H143" s="988"/>
      <c r="I143" s="989"/>
      <c r="J143" s="990"/>
      <c r="K143" s="990"/>
      <c r="L143" s="988"/>
      <c r="M143" s="990"/>
      <c r="N143" s="990"/>
      <c r="O143" s="990"/>
      <c r="P143" s="990"/>
      <c r="Q143" s="990"/>
      <c r="R143" s="990"/>
      <c r="S143" s="990"/>
      <c r="T143" s="990"/>
      <c r="U143" s="990"/>
      <c r="V143" s="990"/>
      <c r="W143" s="990"/>
      <c r="X143" s="988"/>
      <c r="Y143" s="990"/>
      <c r="Z143" s="990"/>
      <c r="AA143" s="990"/>
      <c r="AB143" s="990"/>
      <c r="AC143" s="990"/>
      <c r="AD143" s="990"/>
      <c r="AE143" s="990"/>
      <c r="AF143" s="990"/>
      <c r="AG143" s="990"/>
      <c r="AH143" s="990"/>
      <c r="AI143" s="990"/>
      <c r="AJ143" s="990"/>
      <c r="AK143" s="990"/>
      <c r="AL143" s="990"/>
      <c r="AM143" s="990"/>
      <c r="AN143" s="990"/>
      <c r="AO143" s="988"/>
      <c r="AP143" s="988"/>
      <c r="AQ143" s="988"/>
      <c r="AR143" s="988"/>
      <c r="AS143" s="988"/>
      <c r="AT143" s="988"/>
      <c r="AU143" s="988"/>
      <c r="AV143" s="988"/>
      <c r="AW143" s="988"/>
      <c r="AX143" s="988"/>
      <c r="AY143" s="988"/>
      <c r="AZ143" s="988"/>
      <c r="BA143" s="988"/>
      <c r="BB143" s="988"/>
      <c r="BC143" s="988"/>
      <c r="BD143" s="987"/>
      <c r="BE143" s="988"/>
      <c r="BF143" s="988"/>
      <c r="BG143" s="988"/>
      <c r="BH143" s="988"/>
      <c r="BI143" s="988"/>
      <c r="BJ143" s="988"/>
      <c r="BK143" s="991"/>
    </row>
    <row r="144" spans="1:101" ht="15.75" customHeight="1">
      <c r="A144" s="996">
        <v>4</v>
      </c>
      <c r="B144" s="997" t="s">
        <v>814</v>
      </c>
      <c r="C144" s="998"/>
      <c r="D144" s="998"/>
      <c r="E144" s="998"/>
      <c r="F144" s="998"/>
      <c r="G144" s="998"/>
      <c r="H144" s="998"/>
      <c r="I144" s="998"/>
      <c r="J144" s="998" t="s">
        <v>815</v>
      </c>
      <c r="K144" s="998"/>
      <c r="L144" s="998"/>
      <c r="M144" s="998"/>
      <c r="N144" s="998"/>
      <c r="O144" s="998"/>
      <c r="P144" s="998"/>
      <c r="Q144" s="998"/>
      <c r="R144" s="998"/>
      <c r="S144" s="998"/>
      <c r="T144" s="998"/>
      <c r="U144" s="998"/>
      <c r="V144" s="998"/>
      <c r="W144" s="998"/>
      <c r="X144" s="998"/>
      <c r="Y144" s="998"/>
      <c r="Z144" s="998"/>
      <c r="AA144" s="998"/>
      <c r="AB144" s="998"/>
      <c r="AC144" s="998"/>
      <c r="AD144" s="998"/>
      <c r="AE144" s="998"/>
      <c r="AF144" s="998"/>
      <c r="AG144" s="998"/>
      <c r="AH144" s="998"/>
      <c r="AI144" s="998"/>
      <c r="AJ144" s="998"/>
      <c r="AK144" s="998"/>
      <c r="AL144" s="998"/>
      <c r="AM144" s="998"/>
      <c r="AN144" s="998"/>
      <c r="AO144" s="998"/>
      <c r="AP144" s="998"/>
      <c r="AQ144" s="998"/>
      <c r="AR144" s="998"/>
      <c r="AS144" s="998"/>
      <c r="AT144" s="998"/>
      <c r="AU144" s="998"/>
      <c r="AV144" s="998"/>
      <c r="AW144" s="998"/>
      <c r="AX144" s="998"/>
      <c r="AY144" s="998"/>
      <c r="AZ144" s="998"/>
      <c r="BA144" s="998"/>
      <c r="BB144" s="998"/>
      <c r="BC144" s="998"/>
      <c r="BD144" s="998"/>
      <c r="BE144" s="998"/>
      <c r="BF144" s="998"/>
      <c r="BG144" s="998"/>
      <c r="BH144" s="998"/>
      <c r="BI144" s="998"/>
      <c r="BJ144" s="998"/>
      <c r="BK144" s="999"/>
      <c r="BM144" s="1000"/>
      <c r="BN144" s="1000"/>
      <c r="BO144" s="1000"/>
      <c r="BP144" s="1006"/>
      <c r="BQ144" s="1006"/>
      <c r="BR144" s="1006"/>
      <c r="BS144" s="1006"/>
      <c r="BT144" s="1006"/>
      <c r="BU144" s="1006"/>
      <c r="BV144" s="1006"/>
      <c r="BW144" s="1006"/>
      <c r="BX144" s="1006"/>
      <c r="BY144" s="1006"/>
      <c r="BZ144" s="1006"/>
      <c r="CA144" s="1006"/>
      <c r="CB144" s="1006"/>
      <c r="CC144" s="1006"/>
      <c r="CD144" s="1006"/>
      <c r="CE144" s="1006"/>
      <c r="CF144" s="1006"/>
      <c r="CG144" s="1006"/>
      <c r="CH144" s="1006"/>
      <c r="CI144" s="1006"/>
      <c r="CJ144" s="1006"/>
      <c r="CK144" s="1006"/>
      <c r="CL144" s="1006"/>
      <c r="CM144" s="1006"/>
      <c r="CN144" s="1006"/>
      <c r="CO144" s="1006"/>
      <c r="CP144" s="1006"/>
      <c r="CQ144" s="1006"/>
      <c r="CR144" s="1006"/>
      <c r="CS144" s="1006"/>
      <c r="CT144" s="1006"/>
      <c r="CU144" s="1006"/>
      <c r="CV144" s="1006"/>
      <c r="CW144" s="1006"/>
    </row>
    <row r="145" spans="1:101" ht="15.75" customHeight="1">
      <c r="A145" s="1007"/>
      <c r="B145" s="192"/>
      <c r="C145" s="1"/>
      <c r="D145" s="1"/>
      <c r="E145" s="1"/>
      <c r="F145" s="1"/>
      <c r="G145" s="1"/>
      <c r="H145" s="1"/>
      <c r="I145" s="193"/>
      <c r="J145" s="990" t="s">
        <v>816</v>
      </c>
      <c r="K145" s="990"/>
      <c r="L145" s="990" t="s">
        <v>817</v>
      </c>
      <c r="M145" s="990"/>
      <c r="N145" s="990"/>
      <c r="O145" s="990"/>
      <c r="P145" s="990"/>
      <c r="Q145" s="990"/>
      <c r="R145" s="990"/>
      <c r="S145" s="990"/>
      <c r="T145" s="990"/>
      <c r="U145" s="990"/>
      <c r="V145" s="990"/>
      <c r="W145" s="990"/>
      <c r="X145" s="990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93"/>
      <c r="BD145" s="1"/>
      <c r="BE145" s="1"/>
      <c r="BF145" s="1"/>
      <c r="BG145" s="1"/>
      <c r="BH145" s="1"/>
      <c r="BI145" s="1"/>
      <c r="BJ145" s="1"/>
      <c r="BK145" s="358"/>
      <c r="BM145" s="1000"/>
      <c r="BN145" s="1000"/>
      <c r="BO145" s="1000"/>
      <c r="BP145" s="1006"/>
      <c r="BQ145" s="1006"/>
      <c r="BR145" s="1006"/>
      <c r="BS145" s="1006"/>
      <c r="BT145" s="1006"/>
      <c r="BU145" s="1006"/>
      <c r="BV145" s="1006"/>
      <c r="BW145" s="1006"/>
      <c r="BX145" s="1006"/>
      <c r="BY145" s="1006"/>
      <c r="BZ145" s="1006"/>
      <c r="CA145" s="1006"/>
      <c r="CB145" s="1006"/>
      <c r="CC145" s="1006"/>
      <c r="CD145" s="1006"/>
      <c r="CE145" s="1006"/>
      <c r="CF145" s="1006"/>
      <c r="CG145" s="1006"/>
      <c r="CH145" s="1006"/>
      <c r="CI145" s="1006"/>
      <c r="CJ145" s="1006"/>
      <c r="CK145" s="1006"/>
      <c r="CL145" s="1000"/>
      <c r="CM145" s="1000"/>
      <c r="CN145" s="1000"/>
      <c r="CO145" s="1000"/>
      <c r="CP145" s="1000"/>
      <c r="CQ145" s="1000"/>
      <c r="CR145" s="1000"/>
      <c r="CS145" s="1000"/>
      <c r="CT145" s="1000"/>
      <c r="CU145" s="1000"/>
      <c r="CV145" s="1000"/>
      <c r="CW145" s="1000"/>
    </row>
    <row r="146" spans="1:101" ht="15.75" customHeight="1">
      <c r="A146" s="1007"/>
      <c r="B146" s="192"/>
      <c r="C146" s="1"/>
      <c r="D146" s="1"/>
      <c r="E146" s="1"/>
      <c r="F146" s="1"/>
      <c r="G146" s="1"/>
      <c r="H146" s="1"/>
      <c r="I146" s="193"/>
      <c r="J146" s="990"/>
      <c r="K146" s="990"/>
      <c r="L146" s="990" t="s">
        <v>818</v>
      </c>
      <c r="M146" s="990"/>
      <c r="N146" s="990"/>
      <c r="O146" s="990"/>
      <c r="P146" s="990"/>
      <c r="Q146" s="990"/>
      <c r="R146" s="990"/>
      <c r="S146" s="990"/>
      <c r="T146" s="990"/>
      <c r="U146" s="990"/>
      <c r="V146" s="990"/>
      <c r="W146" s="990"/>
      <c r="X146" s="990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93"/>
      <c r="BD146" s="1"/>
      <c r="BE146" s="1"/>
      <c r="BF146" s="1"/>
      <c r="BG146" s="1"/>
      <c r="BH146" s="1"/>
      <c r="BI146" s="1"/>
      <c r="BJ146" s="1"/>
      <c r="BK146" s="358"/>
      <c r="BM146" s="1000"/>
      <c r="BN146" s="1000"/>
      <c r="BO146" s="1000"/>
      <c r="BP146" s="1006"/>
      <c r="BQ146" s="1006"/>
      <c r="BR146" s="1006"/>
      <c r="BS146" s="1006"/>
      <c r="BT146" s="1006"/>
      <c r="BU146" s="1006"/>
      <c r="BV146" s="1006"/>
      <c r="BW146" s="1006"/>
      <c r="BX146" s="1006"/>
      <c r="BY146" s="1006"/>
      <c r="BZ146" s="1006"/>
      <c r="CA146" s="1006"/>
      <c r="CB146" s="1006"/>
      <c r="CC146" s="1006"/>
      <c r="CD146" s="1006"/>
      <c r="CE146" s="1006"/>
      <c r="CF146" s="1006"/>
      <c r="CG146" s="1006"/>
      <c r="CH146" s="1006"/>
      <c r="CI146" s="1006"/>
      <c r="CJ146" s="1006"/>
      <c r="CK146" s="1006"/>
      <c r="CL146" s="1000"/>
      <c r="CM146" s="1000"/>
      <c r="CN146" s="1000"/>
      <c r="CO146" s="1000"/>
      <c r="CP146" s="1000"/>
      <c r="CQ146" s="1000"/>
      <c r="CR146" s="1000"/>
      <c r="CS146" s="1000"/>
      <c r="CT146" s="1000"/>
      <c r="CU146" s="1000"/>
      <c r="CV146" s="1000"/>
      <c r="CW146" s="1000"/>
    </row>
    <row r="147" spans="1:101" ht="15.75" customHeight="1">
      <c r="A147" s="1007"/>
      <c r="B147" s="192"/>
      <c r="C147" s="1"/>
      <c r="D147" s="1"/>
      <c r="E147" s="1"/>
      <c r="F147" s="1"/>
      <c r="G147" s="1"/>
      <c r="H147" s="1"/>
      <c r="I147" s="193"/>
      <c r="J147" s="1008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93"/>
      <c r="BD147" s="1"/>
      <c r="BE147" s="1"/>
      <c r="BF147" s="1"/>
      <c r="BG147" s="1"/>
      <c r="BH147" s="1"/>
      <c r="BI147" s="1"/>
      <c r="BJ147" s="1"/>
      <c r="BK147" s="358"/>
      <c r="BM147" s="1000"/>
      <c r="BN147" s="1000"/>
      <c r="BO147" s="1000"/>
      <c r="BP147" s="1006"/>
      <c r="BQ147" s="1006"/>
      <c r="BR147" s="1006"/>
      <c r="BS147" s="1006"/>
      <c r="BT147" s="1006"/>
      <c r="BU147" s="1006"/>
      <c r="BV147" s="1006"/>
      <c r="BW147" s="1006"/>
      <c r="BX147" s="1006"/>
      <c r="BY147" s="1006"/>
      <c r="BZ147" s="1006"/>
      <c r="CA147" s="1006"/>
      <c r="CB147" s="1000"/>
      <c r="CC147" s="1000"/>
      <c r="CD147" s="1000"/>
      <c r="CE147" s="1000"/>
      <c r="CF147" s="1000"/>
      <c r="CG147" s="1000"/>
      <c r="CH147" s="1000"/>
      <c r="CI147" s="1000"/>
      <c r="CJ147" s="1000"/>
      <c r="CK147" s="1000"/>
      <c r="CL147" s="1000"/>
      <c r="CM147" s="1000"/>
      <c r="CN147" s="1000"/>
      <c r="CO147" s="1000"/>
      <c r="CP147" s="1000"/>
      <c r="CQ147" s="1000"/>
      <c r="CR147" s="1000"/>
      <c r="CS147" s="1000"/>
      <c r="CT147" s="1000"/>
      <c r="CU147" s="1000"/>
      <c r="CV147" s="1000"/>
      <c r="CW147" s="1000"/>
    </row>
    <row r="148" spans="1:101" ht="15.75" customHeight="1">
      <c r="A148" s="996">
        <v>5</v>
      </c>
      <c r="B148" s="997" t="s">
        <v>819</v>
      </c>
      <c r="C148" s="998"/>
      <c r="D148" s="998"/>
      <c r="E148" s="998"/>
      <c r="F148" s="998"/>
      <c r="G148" s="998"/>
      <c r="H148" s="998"/>
      <c r="I148" s="998"/>
      <c r="J148" s="998" t="s">
        <v>820</v>
      </c>
      <c r="K148" s="998"/>
      <c r="L148" s="998"/>
      <c r="M148" s="998"/>
      <c r="N148" s="998"/>
      <c r="O148" s="998"/>
      <c r="P148" s="998"/>
      <c r="Q148" s="998"/>
      <c r="R148" s="998"/>
      <c r="S148" s="998"/>
      <c r="T148" s="998"/>
      <c r="U148" s="998"/>
      <c r="V148" s="998"/>
      <c r="W148" s="998"/>
      <c r="X148" s="998"/>
      <c r="Y148" s="998"/>
      <c r="Z148" s="998"/>
      <c r="AA148" s="998"/>
      <c r="AB148" s="998"/>
      <c r="AC148" s="998"/>
      <c r="AD148" s="998"/>
      <c r="AE148" s="998"/>
      <c r="AF148" s="998"/>
      <c r="AG148" s="998"/>
      <c r="AH148" s="998"/>
      <c r="AI148" s="998"/>
      <c r="AJ148" s="998"/>
      <c r="AK148" s="998"/>
      <c r="AL148" s="998"/>
      <c r="AM148" s="998"/>
      <c r="AN148" s="998"/>
      <c r="AO148" s="998"/>
      <c r="AP148" s="998"/>
      <c r="AQ148" s="998"/>
      <c r="AR148" s="998"/>
      <c r="AS148" s="998"/>
      <c r="AT148" s="998"/>
      <c r="AU148" s="998"/>
      <c r="AV148" s="998"/>
      <c r="AW148" s="998"/>
      <c r="AX148" s="998"/>
      <c r="AY148" s="998"/>
      <c r="AZ148" s="998"/>
      <c r="BA148" s="998"/>
      <c r="BB148" s="998"/>
      <c r="BC148" s="998"/>
      <c r="BD148" s="998"/>
      <c r="BE148" s="998"/>
      <c r="BF148" s="998"/>
      <c r="BG148" s="998"/>
      <c r="BH148" s="998"/>
      <c r="BI148" s="998"/>
      <c r="BJ148" s="998"/>
      <c r="BK148" s="999"/>
      <c r="BM148" s="958"/>
      <c r="BN148" s="1000"/>
      <c r="BO148" s="1000"/>
      <c r="BP148" s="1000"/>
      <c r="BQ148" s="1000"/>
      <c r="BR148" s="1000"/>
      <c r="BS148" s="1000"/>
      <c r="BT148" s="1000"/>
      <c r="BU148" s="1000"/>
      <c r="BV148" s="1000"/>
      <c r="BW148" s="1000"/>
      <c r="BX148" s="1000"/>
      <c r="BY148" s="1000"/>
      <c r="BZ148" s="1000"/>
      <c r="CA148" s="1000"/>
      <c r="CB148" s="1000"/>
      <c r="CC148" s="1000"/>
      <c r="CD148" s="1000"/>
      <c r="CE148" s="1000"/>
      <c r="CF148" s="1000"/>
      <c r="CG148" s="1000"/>
      <c r="CH148" s="1000"/>
      <c r="CI148" s="1000"/>
      <c r="CJ148" s="1000"/>
      <c r="CK148" s="1000"/>
      <c r="CL148" s="1000"/>
      <c r="CM148" s="1000"/>
      <c r="CN148" s="1000"/>
      <c r="CO148" s="1000"/>
      <c r="CP148" s="1000"/>
      <c r="CQ148" s="1000"/>
      <c r="CR148" s="1000"/>
      <c r="CS148" s="1000"/>
      <c r="CT148" s="1000"/>
      <c r="CU148" s="1000"/>
      <c r="CV148" s="1000"/>
      <c r="CW148" s="1000"/>
    </row>
    <row r="149" spans="1:101" ht="15.75" customHeight="1">
      <c r="A149" s="986"/>
      <c r="B149" s="987"/>
      <c r="C149" s="988"/>
      <c r="D149" s="988"/>
      <c r="E149" s="988"/>
      <c r="F149" s="988"/>
      <c r="G149" s="988"/>
      <c r="H149" s="988"/>
      <c r="I149" s="989"/>
      <c r="J149" s="990" t="s">
        <v>821</v>
      </c>
      <c r="K149" s="990"/>
      <c r="L149" s="990" t="s">
        <v>822</v>
      </c>
      <c r="M149" s="990"/>
      <c r="N149" s="990"/>
      <c r="O149" s="990"/>
      <c r="P149" s="990"/>
      <c r="Q149" s="990"/>
      <c r="R149" s="990"/>
      <c r="S149" s="990"/>
      <c r="T149" s="990"/>
      <c r="U149" s="990"/>
      <c r="V149" s="990"/>
      <c r="W149" s="990"/>
      <c r="X149" s="990"/>
      <c r="Y149" s="990"/>
      <c r="Z149" s="990"/>
      <c r="AA149" s="990"/>
      <c r="AB149" s="990"/>
      <c r="AC149" s="990"/>
      <c r="AD149" s="990"/>
      <c r="AE149" s="990"/>
      <c r="AF149" s="990"/>
      <c r="AG149" s="990"/>
      <c r="AH149" s="990"/>
      <c r="AI149" s="990"/>
      <c r="AJ149" s="990"/>
      <c r="AK149" s="990"/>
      <c r="AL149" s="990"/>
      <c r="AM149" s="990"/>
      <c r="AN149" s="990"/>
      <c r="AO149" s="988"/>
      <c r="AP149" s="988"/>
      <c r="AQ149" s="988"/>
      <c r="AT149" s="988"/>
      <c r="AU149" s="988"/>
      <c r="AV149" s="988"/>
      <c r="AW149" s="988"/>
      <c r="AX149" s="988"/>
      <c r="AY149" s="988"/>
      <c r="AZ149" s="988"/>
      <c r="BA149" s="988"/>
      <c r="BB149" s="988"/>
      <c r="BC149" s="988"/>
      <c r="BD149" s="987"/>
      <c r="BE149" s="988"/>
      <c r="BF149" s="988"/>
      <c r="BG149" s="988"/>
      <c r="BH149" s="988"/>
      <c r="BI149" s="988"/>
      <c r="BJ149" s="988"/>
      <c r="BK149" s="991"/>
    </row>
    <row r="150" spans="1:101" ht="15.75" customHeight="1">
      <c r="A150" s="986"/>
      <c r="B150" s="987"/>
      <c r="C150" s="988"/>
      <c r="D150" s="988"/>
      <c r="E150" s="988"/>
      <c r="F150" s="988"/>
      <c r="G150" s="988"/>
      <c r="H150" s="988"/>
      <c r="I150" s="989"/>
      <c r="J150" s="990"/>
      <c r="K150" s="990"/>
      <c r="L150" s="990"/>
      <c r="M150" s="990"/>
      <c r="N150" s="990"/>
      <c r="O150" s="990"/>
      <c r="P150" s="990"/>
      <c r="Q150" s="990"/>
      <c r="R150" s="990"/>
      <c r="S150" s="990"/>
      <c r="T150" s="990"/>
      <c r="U150" s="990"/>
      <c r="V150" s="990"/>
      <c r="W150" s="990"/>
      <c r="X150" s="990"/>
      <c r="Y150" s="990"/>
      <c r="Z150" s="990"/>
      <c r="AA150" s="990"/>
      <c r="AB150" s="990"/>
      <c r="AC150" s="990"/>
      <c r="AD150" s="990"/>
      <c r="AE150" s="990"/>
      <c r="AF150" s="990"/>
      <c r="AG150" s="990"/>
      <c r="AH150" s="990"/>
      <c r="AI150" s="990"/>
      <c r="AJ150" s="990"/>
      <c r="AK150" s="990"/>
      <c r="AL150" s="990"/>
      <c r="AM150" s="990"/>
      <c r="AN150" s="990"/>
      <c r="AO150" s="988"/>
      <c r="AP150" s="988"/>
      <c r="AQ150" s="988"/>
      <c r="AT150" s="988"/>
      <c r="AU150" s="988"/>
      <c r="AV150" s="988"/>
      <c r="AW150" s="988"/>
      <c r="AX150" s="988"/>
      <c r="AY150" s="988"/>
      <c r="AZ150" s="988"/>
      <c r="BA150" s="988"/>
      <c r="BB150" s="988"/>
      <c r="BC150" s="988"/>
      <c r="BD150" s="987"/>
      <c r="BE150" s="988"/>
      <c r="BF150" s="988"/>
      <c r="BG150" s="988"/>
      <c r="BH150" s="988"/>
      <c r="BI150" s="988"/>
      <c r="BJ150" s="988"/>
      <c r="BK150" s="991"/>
    </row>
    <row r="151" spans="1:101" ht="15.75" customHeight="1">
      <c r="A151" s="986"/>
      <c r="B151" s="987"/>
      <c r="C151" s="988"/>
      <c r="D151" s="988"/>
      <c r="E151" s="988"/>
      <c r="F151" s="988"/>
      <c r="G151" s="988"/>
      <c r="H151" s="988"/>
      <c r="I151" s="989"/>
      <c r="J151" s="990" t="s">
        <v>823</v>
      </c>
      <c r="K151" s="990"/>
      <c r="L151" s="990" t="s">
        <v>824</v>
      </c>
      <c r="M151" s="990"/>
      <c r="N151" s="990"/>
      <c r="O151" s="990"/>
      <c r="P151" s="990"/>
      <c r="Q151" s="990"/>
      <c r="R151" s="990"/>
      <c r="S151" s="990"/>
      <c r="T151" s="990"/>
      <c r="U151" s="990"/>
      <c r="V151" s="990"/>
      <c r="W151" s="990"/>
      <c r="X151" s="990"/>
      <c r="Y151" s="990"/>
      <c r="Z151" s="990"/>
      <c r="AA151" s="990"/>
      <c r="AB151" s="990"/>
      <c r="AC151" s="990"/>
      <c r="AD151" s="990"/>
      <c r="AE151" s="990"/>
      <c r="AF151" s="988"/>
      <c r="AG151" s="988"/>
      <c r="AH151" s="988"/>
      <c r="AI151" s="988"/>
      <c r="AJ151" s="990"/>
      <c r="AK151" s="990"/>
      <c r="AL151" s="990"/>
      <c r="AM151" s="988"/>
      <c r="AN151" s="988"/>
      <c r="AO151" s="988"/>
      <c r="AP151" s="988"/>
      <c r="AQ151" s="988"/>
      <c r="AT151" s="988"/>
      <c r="AU151" s="988"/>
      <c r="AV151" s="988"/>
      <c r="AW151" s="988"/>
      <c r="AX151" s="988"/>
      <c r="AY151" s="988"/>
      <c r="AZ151" s="988"/>
      <c r="BA151" s="988"/>
      <c r="BB151" s="988"/>
      <c r="BC151" s="988"/>
      <c r="BD151" s="987"/>
      <c r="BE151" s="988"/>
      <c r="BF151" s="988"/>
      <c r="BG151" s="988"/>
      <c r="BH151" s="988"/>
      <c r="BI151" s="988"/>
      <c r="BJ151" s="988"/>
      <c r="BK151" s="991"/>
    </row>
    <row r="152" spans="1:101" ht="15.75" customHeight="1">
      <c r="A152" s="986"/>
      <c r="B152" s="987"/>
      <c r="C152" s="988"/>
      <c r="D152" s="988"/>
      <c r="E152" s="988"/>
      <c r="F152" s="988"/>
      <c r="G152" s="988"/>
      <c r="H152" s="988"/>
      <c r="I152" s="989"/>
      <c r="J152" s="990"/>
      <c r="K152" s="990"/>
      <c r="L152" s="990" t="s">
        <v>825</v>
      </c>
      <c r="M152" s="990"/>
      <c r="N152" s="990"/>
      <c r="O152" s="990"/>
      <c r="P152" s="990"/>
      <c r="Q152" s="990"/>
      <c r="R152" s="990"/>
      <c r="S152" s="990"/>
      <c r="T152" s="990"/>
      <c r="U152" s="990"/>
      <c r="V152" s="990"/>
      <c r="W152" s="990"/>
      <c r="X152" s="990"/>
      <c r="Y152" s="990"/>
      <c r="Z152" s="990"/>
      <c r="AA152" s="990"/>
      <c r="AB152" s="990"/>
      <c r="AC152" s="990"/>
      <c r="AD152" s="990"/>
      <c r="AE152" s="990"/>
      <c r="AF152" s="990"/>
      <c r="AG152" s="990"/>
      <c r="AH152" s="990"/>
      <c r="AI152" s="990"/>
      <c r="AJ152" s="990"/>
      <c r="AK152" s="990"/>
      <c r="AL152" s="990"/>
      <c r="AM152" s="990"/>
      <c r="AN152" s="990"/>
      <c r="AO152" s="990"/>
      <c r="AP152" s="990"/>
      <c r="AQ152" s="990"/>
      <c r="AT152" s="990"/>
      <c r="AU152" s="988"/>
      <c r="AV152" s="988"/>
      <c r="AW152" s="988"/>
      <c r="AX152" s="988"/>
      <c r="AY152" s="988"/>
      <c r="AZ152" s="988"/>
      <c r="BA152" s="988"/>
      <c r="BB152" s="988"/>
      <c r="BC152" s="988"/>
      <c r="BD152" s="987"/>
      <c r="BE152" s="988"/>
      <c r="BF152" s="988"/>
      <c r="BG152" s="988"/>
      <c r="BH152" s="988"/>
      <c r="BI152" s="988"/>
      <c r="BJ152" s="988"/>
      <c r="BK152" s="991"/>
    </row>
    <row r="153" spans="1:101" ht="15.75" customHeight="1">
      <c r="A153" s="986"/>
      <c r="B153" s="987"/>
      <c r="C153" s="988"/>
      <c r="D153" s="988"/>
      <c r="E153" s="988"/>
      <c r="F153" s="988"/>
      <c r="G153" s="988"/>
      <c r="H153" s="988"/>
      <c r="I153" s="989"/>
      <c r="J153" s="990"/>
      <c r="K153" s="990"/>
      <c r="L153" s="990"/>
      <c r="M153" s="990" t="s">
        <v>826</v>
      </c>
      <c r="N153" s="990"/>
      <c r="O153" s="990"/>
      <c r="P153" s="990"/>
      <c r="Q153" s="990"/>
      <c r="R153" s="990"/>
      <c r="S153" s="990"/>
      <c r="T153" s="990"/>
      <c r="U153" s="990"/>
      <c r="V153" s="990"/>
      <c r="W153" s="990"/>
      <c r="X153" s="990"/>
      <c r="Y153" s="990"/>
      <c r="Z153" s="990"/>
      <c r="AA153" s="990"/>
      <c r="AB153" s="990"/>
      <c r="AC153" s="990"/>
      <c r="AD153" s="990"/>
      <c r="AE153" s="990"/>
      <c r="AF153" s="990"/>
      <c r="AG153" s="990"/>
      <c r="AH153" s="990"/>
      <c r="AI153" s="990"/>
      <c r="AJ153" s="990"/>
      <c r="AK153" s="990"/>
      <c r="AL153" s="990"/>
      <c r="AM153" s="990"/>
      <c r="AN153" s="990"/>
      <c r="AO153" s="990"/>
      <c r="AP153" s="990"/>
      <c r="AQ153" s="990"/>
      <c r="AT153" s="990"/>
      <c r="AU153" s="988"/>
      <c r="AV153" s="988"/>
      <c r="AW153" s="988"/>
      <c r="AX153" s="988"/>
      <c r="AY153" s="988"/>
      <c r="AZ153" s="988"/>
      <c r="BA153" s="988"/>
      <c r="BB153" s="988"/>
      <c r="BC153" s="988"/>
      <c r="BD153" s="987"/>
      <c r="BE153" s="988"/>
      <c r="BF153" s="988"/>
      <c r="BG153" s="988"/>
      <c r="BH153" s="988"/>
      <c r="BI153" s="988"/>
      <c r="BJ153" s="988"/>
      <c r="BK153" s="991"/>
    </row>
    <row r="154" spans="1:101" ht="15.75" customHeight="1">
      <c r="A154" s="986"/>
      <c r="B154" s="987"/>
      <c r="C154" s="988"/>
      <c r="D154" s="988"/>
      <c r="E154" s="988"/>
      <c r="F154" s="988"/>
      <c r="G154" s="988"/>
      <c r="H154" s="988"/>
      <c r="I154" s="989"/>
      <c r="J154" s="990"/>
      <c r="K154" s="990"/>
      <c r="L154" s="990"/>
      <c r="M154" s="990" t="s">
        <v>827</v>
      </c>
      <c r="N154" s="990"/>
      <c r="O154" s="990"/>
      <c r="P154" s="990"/>
      <c r="Q154" s="990"/>
      <c r="R154" s="990"/>
      <c r="S154" s="990"/>
      <c r="T154" s="990"/>
      <c r="U154" s="990"/>
      <c r="V154" s="990"/>
      <c r="W154" s="990"/>
      <c r="X154" s="990"/>
      <c r="Y154" s="990"/>
      <c r="Z154" s="990"/>
      <c r="AA154" s="990"/>
      <c r="AB154" s="990"/>
      <c r="AC154" s="990"/>
      <c r="AD154" s="990"/>
      <c r="AE154" s="990"/>
      <c r="AF154" s="990"/>
      <c r="AG154" s="990"/>
      <c r="AH154" s="990"/>
      <c r="AI154" s="990"/>
      <c r="AJ154" s="990"/>
      <c r="AK154" s="990"/>
      <c r="AL154" s="990"/>
      <c r="AM154" s="990"/>
      <c r="AN154" s="990"/>
      <c r="AO154" s="990"/>
      <c r="AP154" s="990"/>
      <c r="AQ154" s="990"/>
      <c r="AT154" s="990"/>
      <c r="AU154" s="988"/>
      <c r="AV154" s="988"/>
      <c r="AW154" s="988"/>
      <c r="AX154" s="988"/>
      <c r="AY154" s="988"/>
      <c r="AZ154" s="988"/>
      <c r="BA154" s="988"/>
      <c r="BB154" s="988"/>
      <c r="BC154" s="988"/>
      <c r="BD154" s="987" t="s">
        <v>828</v>
      </c>
      <c r="BE154" s="988"/>
      <c r="BF154" s="988"/>
      <c r="BG154" s="988"/>
      <c r="BH154" s="988"/>
      <c r="BI154" s="988"/>
      <c r="BJ154" s="988"/>
      <c r="BK154" s="991"/>
    </row>
    <row r="155" spans="1:101" ht="15.75" customHeight="1">
      <c r="A155" s="986"/>
      <c r="B155" s="987"/>
      <c r="C155" s="988"/>
      <c r="D155" s="988"/>
      <c r="E155" s="988"/>
      <c r="F155" s="988"/>
      <c r="G155" s="988"/>
      <c r="H155" s="988"/>
      <c r="I155" s="989"/>
      <c r="J155" s="990"/>
      <c r="K155" s="990"/>
      <c r="L155" s="990"/>
      <c r="M155" s="990"/>
      <c r="N155" s="990" t="s">
        <v>829</v>
      </c>
      <c r="O155" s="990"/>
      <c r="P155" s="990"/>
      <c r="Q155" s="990"/>
      <c r="R155" s="990"/>
      <c r="S155" s="990"/>
      <c r="T155" s="990"/>
      <c r="U155" s="990"/>
      <c r="V155" s="990"/>
      <c r="W155" s="990"/>
      <c r="X155" s="990"/>
      <c r="Y155" s="990"/>
      <c r="Z155" s="990"/>
      <c r="AA155" s="990"/>
      <c r="AB155" s="990"/>
      <c r="AC155" s="990"/>
      <c r="AD155" s="990"/>
      <c r="AE155" s="990"/>
      <c r="AF155" s="990"/>
      <c r="AG155" s="990"/>
      <c r="AH155" s="990"/>
      <c r="AI155" s="990"/>
      <c r="AJ155" s="990"/>
      <c r="AK155" s="990"/>
      <c r="AL155" s="990"/>
      <c r="AM155" s="990"/>
      <c r="AN155" s="990"/>
      <c r="AO155" s="990"/>
      <c r="AP155" s="990"/>
      <c r="AQ155" s="990"/>
      <c r="AT155" s="990"/>
      <c r="AU155" s="988"/>
      <c r="AV155" s="988"/>
      <c r="AW155" s="988"/>
      <c r="AX155" s="988"/>
      <c r="AY155" s="988"/>
      <c r="AZ155" s="988"/>
      <c r="BA155" s="988"/>
      <c r="BB155" s="988"/>
      <c r="BC155" s="988"/>
      <c r="BD155" s="987"/>
      <c r="BE155" s="988"/>
      <c r="BF155" s="988"/>
      <c r="BG155" s="988"/>
      <c r="BH155" s="988"/>
      <c r="BI155" s="988"/>
      <c r="BJ155" s="988"/>
      <c r="BK155" s="991"/>
    </row>
    <row r="156" spans="1:101" ht="15.75" customHeight="1">
      <c r="A156" s="986"/>
      <c r="B156" s="987"/>
      <c r="C156" s="988"/>
      <c r="D156" s="988"/>
      <c r="E156" s="988"/>
      <c r="F156" s="988"/>
      <c r="G156" s="988"/>
      <c r="H156" s="988"/>
      <c r="I156" s="989"/>
      <c r="J156" s="990"/>
      <c r="K156" s="990"/>
      <c r="L156" s="990"/>
      <c r="M156" s="990"/>
      <c r="N156" s="990" t="s">
        <v>830</v>
      </c>
      <c r="O156" s="990"/>
      <c r="P156" s="990"/>
      <c r="Q156" s="990"/>
      <c r="R156" s="990"/>
      <c r="S156" s="990"/>
      <c r="T156" s="990"/>
      <c r="U156" s="990"/>
      <c r="V156" s="990"/>
      <c r="W156" s="990"/>
      <c r="X156" s="990"/>
      <c r="Y156" s="990"/>
      <c r="Z156" s="990"/>
      <c r="AA156" s="990"/>
      <c r="AB156" s="990"/>
      <c r="AC156" s="990"/>
      <c r="AD156" s="990"/>
      <c r="AE156" s="990"/>
      <c r="AF156" s="990"/>
      <c r="AG156" s="990"/>
      <c r="AH156" s="990"/>
      <c r="AI156" s="990"/>
      <c r="AJ156" s="990"/>
      <c r="AK156" s="990"/>
      <c r="AL156" s="990"/>
      <c r="AM156" s="990"/>
      <c r="AN156" s="990"/>
      <c r="AO156" s="990"/>
      <c r="AP156" s="990"/>
      <c r="AQ156" s="990"/>
      <c r="AT156" s="990"/>
      <c r="AU156" s="988"/>
      <c r="AV156" s="988"/>
      <c r="AW156" s="988"/>
      <c r="AX156" s="988"/>
      <c r="AY156" s="988"/>
      <c r="AZ156" s="988"/>
      <c r="BA156" s="988"/>
      <c r="BB156" s="988"/>
      <c r="BC156" s="988"/>
      <c r="BD156" s="987"/>
      <c r="BE156" s="988"/>
      <c r="BF156" s="988"/>
      <c r="BG156" s="988"/>
      <c r="BH156" s="988"/>
      <c r="BI156" s="988"/>
      <c r="BJ156" s="988"/>
      <c r="BK156" s="991"/>
    </row>
    <row r="157" spans="1:101" ht="15.75" customHeight="1">
      <c r="A157" s="986"/>
      <c r="B157" s="987"/>
      <c r="C157" s="988"/>
      <c r="D157" s="988"/>
      <c r="E157" s="988"/>
      <c r="F157" s="988"/>
      <c r="G157" s="988"/>
      <c r="H157" s="988"/>
      <c r="I157" s="989"/>
      <c r="J157" s="990"/>
      <c r="K157" s="990"/>
      <c r="L157" s="990"/>
      <c r="M157" s="990"/>
      <c r="N157" s="990"/>
      <c r="O157" s="990"/>
      <c r="P157" s="990"/>
      <c r="Q157" s="990"/>
      <c r="R157" s="990"/>
      <c r="S157" s="990"/>
      <c r="T157" s="990"/>
      <c r="U157" s="990"/>
      <c r="V157" s="990"/>
      <c r="W157" s="990"/>
      <c r="X157" s="990"/>
      <c r="Y157" s="990"/>
      <c r="Z157" s="990"/>
      <c r="AA157" s="990"/>
      <c r="AB157" s="990"/>
      <c r="AC157" s="990"/>
      <c r="AD157" s="990"/>
      <c r="AE157" s="990"/>
      <c r="AF157" s="990"/>
      <c r="AG157" s="990"/>
      <c r="AH157" s="990"/>
      <c r="AI157" s="990"/>
      <c r="AJ157" s="990"/>
      <c r="AK157" s="990"/>
      <c r="AL157" s="990"/>
      <c r="AM157" s="990"/>
      <c r="AN157" s="990"/>
      <c r="AO157" s="990"/>
      <c r="AP157" s="990"/>
      <c r="AQ157" s="990"/>
      <c r="AT157" s="990"/>
      <c r="AU157" s="988"/>
      <c r="AV157" s="988"/>
      <c r="AW157" s="988"/>
      <c r="AX157" s="988"/>
      <c r="AY157" s="988"/>
      <c r="AZ157" s="988"/>
      <c r="BA157" s="988"/>
      <c r="BB157" s="988"/>
      <c r="BC157" s="988"/>
      <c r="BD157" s="987"/>
      <c r="BE157" s="988"/>
      <c r="BF157" s="988"/>
      <c r="BG157" s="988"/>
      <c r="BH157" s="988"/>
      <c r="BI157" s="988"/>
      <c r="BJ157" s="988"/>
      <c r="BK157" s="991"/>
    </row>
    <row r="158" spans="1:101" ht="15.75" customHeight="1">
      <c r="A158" s="986"/>
      <c r="B158" s="987"/>
      <c r="C158" s="988"/>
      <c r="D158" s="988"/>
      <c r="E158" s="988"/>
      <c r="F158" s="988"/>
      <c r="G158" s="988"/>
      <c r="H158" s="988"/>
      <c r="I158" s="989"/>
      <c r="J158" s="990"/>
      <c r="K158" s="990"/>
      <c r="L158" s="990"/>
      <c r="M158" s="990" t="s">
        <v>831</v>
      </c>
      <c r="N158" s="990"/>
      <c r="O158" s="990"/>
      <c r="P158" s="990"/>
      <c r="Q158" s="990"/>
      <c r="R158" s="990"/>
      <c r="S158" s="990"/>
      <c r="T158" s="990"/>
      <c r="U158" s="990"/>
      <c r="V158" s="990"/>
      <c r="W158" s="990"/>
      <c r="X158" s="990"/>
      <c r="Y158" s="990"/>
      <c r="Z158" s="990"/>
      <c r="AA158" s="990"/>
      <c r="AB158" s="990"/>
      <c r="AC158" s="990"/>
      <c r="AD158" s="990"/>
      <c r="AE158" s="990"/>
      <c r="AF158" s="990"/>
      <c r="AG158" s="990"/>
      <c r="AH158" s="990"/>
      <c r="AI158" s="990"/>
      <c r="AJ158" s="990"/>
      <c r="AK158" s="990"/>
      <c r="AL158" s="990"/>
      <c r="AM158" s="990"/>
      <c r="AN158" s="990"/>
      <c r="AO158" s="990"/>
      <c r="AP158" s="990"/>
      <c r="AQ158" s="990"/>
      <c r="AT158" s="990"/>
      <c r="AU158" s="988"/>
      <c r="AV158" s="988"/>
      <c r="AW158" s="988"/>
      <c r="AX158" s="988"/>
      <c r="AY158" s="988"/>
      <c r="AZ158" s="988"/>
      <c r="BA158" s="988"/>
      <c r="BB158" s="988"/>
      <c r="BC158" s="988"/>
      <c r="BD158" s="987"/>
      <c r="BE158" s="988"/>
      <c r="BF158" s="988"/>
      <c r="BG158" s="988"/>
      <c r="BH158" s="988"/>
      <c r="BI158" s="988"/>
      <c r="BJ158" s="988"/>
      <c r="BK158" s="991"/>
    </row>
    <row r="159" spans="1:101" ht="15.75" customHeight="1">
      <c r="A159" s="986"/>
      <c r="B159" s="987"/>
      <c r="C159" s="988"/>
      <c r="D159" s="988"/>
      <c r="E159" s="988"/>
      <c r="F159" s="988"/>
      <c r="G159" s="988"/>
      <c r="H159" s="988"/>
      <c r="I159" s="989"/>
      <c r="J159" s="990"/>
      <c r="K159" s="990"/>
      <c r="M159" s="990" t="s">
        <v>832</v>
      </c>
      <c r="P159" s="990" t="s">
        <v>833</v>
      </c>
      <c r="Q159" s="990"/>
      <c r="R159" s="990"/>
      <c r="S159" s="990"/>
      <c r="T159" s="990"/>
      <c r="U159" s="990"/>
      <c r="V159" s="990"/>
      <c r="W159" s="990"/>
      <c r="X159" s="990"/>
      <c r="Y159" s="990"/>
      <c r="Z159" s="990"/>
      <c r="AA159" s="990"/>
      <c r="AB159" s="990"/>
      <c r="AC159" s="990"/>
      <c r="AD159" s="990"/>
      <c r="AE159" s="990"/>
      <c r="AF159" s="990"/>
      <c r="AG159" s="990"/>
      <c r="AH159" s="990"/>
      <c r="AI159" s="990"/>
      <c r="AJ159" s="990"/>
      <c r="AK159" s="990"/>
      <c r="AL159" s="990"/>
      <c r="AM159" s="990"/>
      <c r="AN159" s="990"/>
      <c r="AO159" s="990"/>
      <c r="AP159" s="990"/>
      <c r="AQ159" s="990"/>
      <c r="AT159" s="990"/>
      <c r="AU159" s="988"/>
      <c r="AV159" s="988"/>
      <c r="AW159" s="988"/>
      <c r="AX159" s="988"/>
      <c r="AY159" s="988"/>
      <c r="AZ159" s="988"/>
      <c r="BA159" s="988"/>
      <c r="BB159" s="988"/>
      <c r="BC159" s="988"/>
      <c r="BD159" s="987"/>
      <c r="BE159" s="988"/>
      <c r="BF159" s="988"/>
      <c r="BG159" s="988"/>
      <c r="BH159" s="988"/>
      <c r="BI159" s="988"/>
      <c r="BJ159" s="988"/>
      <c r="BK159" s="991"/>
    </row>
    <row r="160" spans="1:101" ht="15.75" customHeight="1">
      <c r="A160" s="986"/>
      <c r="B160" s="987"/>
      <c r="C160" s="988"/>
      <c r="D160" s="988"/>
      <c r="E160" s="988"/>
      <c r="F160" s="988"/>
      <c r="G160" s="988"/>
      <c r="H160" s="988"/>
      <c r="I160" s="989"/>
      <c r="J160" s="990"/>
      <c r="K160" s="990"/>
      <c r="L160" s="990"/>
      <c r="M160" s="990" t="s">
        <v>834</v>
      </c>
      <c r="N160" s="990"/>
      <c r="O160" s="990"/>
      <c r="P160" s="990"/>
      <c r="Q160" s="990"/>
      <c r="R160" s="990"/>
      <c r="S160" s="990"/>
      <c r="T160" s="990"/>
      <c r="U160" s="990"/>
      <c r="V160" s="990"/>
      <c r="W160" s="990"/>
      <c r="X160" s="990"/>
      <c r="Y160" s="990"/>
      <c r="Z160" s="990"/>
      <c r="AA160" s="990"/>
      <c r="AB160" s="990"/>
      <c r="AC160" s="990"/>
      <c r="AD160" s="990"/>
      <c r="AE160" s="990"/>
      <c r="AF160" s="990"/>
      <c r="AG160" s="990"/>
      <c r="AH160" s="990"/>
      <c r="AI160" s="990"/>
      <c r="AJ160" s="990"/>
      <c r="AK160" s="990"/>
      <c r="AL160" s="990"/>
      <c r="AM160" s="988"/>
      <c r="AN160" s="988"/>
      <c r="AO160" s="988"/>
      <c r="AP160" s="988"/>
      <c r="AQ160" s="988"/>
      <c r="AT160" s="988"/>
      <c r="AU160" s="988"/>
      <c r="AV160" s="988"/>
      <c r="AW160" s="988"/>
      <c r="AX160" s="988"/>
      <c r="AY160" s="988"/>
      <c r="AZ160" s="988"/>
      <c r="BA160" s="988"/>
      <c r="BB160" s="988"/>
      <c r="BC160" s="988"/>
      <c r="BD160" s="987"/>
      <c r="BE160" s="988"/>
      <c r="BF160" s="988"/>
      <c r="BG160" s="988"/>
      <c r="BH160" s="988"/>
      <c r="BI160" s="988"/>
      <c r="BJ160" s="988"/>
      <c r="BK160" s="991"/>
    </row>
    <row r="161" spans="1:101" ht="15.75" customHeight="1">
      <c r="A161" s="986"/>
      <c r="B161" s="987"/>
      <c r="C161" s="988"/>
      <c r="D161" s="988"/>
      <c r="E161" s="988"/>
      <c r="F161" s="988"/>
      <c r="G161" s="988"/>
      <c r="H161" s="988"/>
      <c r="I161" s="989"/>
      <c r="J161" s="990"/>
      <c r="K161" s="990"/>
      <c r="L161" s="990"/>
      <c r="M161" s="990"/>
      <c r="N161" s="990"/>
      <c r="O161" s="990"/>
      <c r="P161" s="990"/>
      <c r="Q161" s="990"/>
      <c r="R161" s="990"/>
      <c r="S161" s="990"/>
      <c r="T161" s="990"/>
      <c r="U161" s="990"/>
      <c r="V161" s="995"/>
      <c r="W161" s="1001"/>
      <c r="X161" s="988"/>
      <c r="Y161" s="990"/>
      <c r="Z161" s="990"/>
      <c r="AA161" s="990"/>
      <c r="AB161" s="990"/>
      <c r="AC161" s="990"/>
      <c r="AD161" s="990"/>
      <c r="AE161" s="990"/>
      <c r="AF161" s="990"/>
      <c r="AG161" s="990"/>
      <c r="AH161" s="990"/>
      <c r="AI161" s="990"/>
      <c r="AJ161" s="990"/>
      <c r="AK161" s="990"/>
      <c r="AL161" s="990"/>
      <c r="AM161" s="990"/>
      <c r="AN161" s="990"/>
      <c r="AO161" s="988"/>
      <c r="AP161" s="988"/>
      <c r="AQ161" s="988"/>
      <c r="AR161" s="988"/>
      <c r="AS161" s="988"/>
      <c r="AT161" s="988"/>
      <c r="AU161" s="988"/>
      <c r="AV161" s="988"/>
      <c r="AW161" s="988"/>
      <c r="AX161" s="988"/>
      <c r="AY161" s="988"/>
      <c r="AZ161" s="988"/>
      <c r="BA161" s="988"/>
      <c r="BB161" s="988"/>
      <c r="BC161" s="988"/>
      <c r="BD161" s="987"/>
      <c r="BE161" s="988"/>
      <c r="BF161" s="988"/>
      <c r="BG161" s="988"/>
      <c r="BH161" s="988"/>
      <c r="BI161" s="988"/>
      <c r="BJ161" s="988"/>
      <c r="BK161" s="991"/>
    </row>
    <row r="162" spans="1:101" ht="15.75" customHeight="1">
      <c r="A162" s="996">
        <v>6</v>
      </c>
      <c r="B162" s="997" t="s">
        <v>835</v>
      </c>
      <c r="C162" s="998"/>
      <c r="D162" s="998"/>
      <c r="E162" s="998"/>
      <c r="F162" s="998"/>
      <c r="G162" s="998"/>
      <c r="H162" s="998"/>
      <c r="I162" s="998"/>
      <c r="J162" s="998" t="s">
        <v>836</v>
      </c>
      <c r="K162" s="998"/>
      <c r="L162" s="998"/>
      <c r="M162" s="998"/>
      <c r="N162" s="998"/>
      <c r="O162" s="998"/>
      <c r="P162" s="998"/>
      <c r="Q162" s="998"/>
      <c r="R162" s="998"/>
      <c r="S162" s="998"/>
      <c r="T162" s="998"/>
      <c r="U162" s="998"/>
      <c r="V162" s="998"/>
      <c r="W162" s="998"/>
      <c r="X162" s="998"/>
      <c r="Y162" s="998"/>
      <c r="Z162" s="998"/>
      <c r="AA162" s="998"/>
      <c r="AB162" s="998"/>
      <c r="AC162" s="998"/>
      <c r="AD162" s="998"/>
      <c r="AE162" s="998"/>
      <c r="AF162" s="998"/>
      <c r="AG162" s="998"/>
      <c r="AH162" s="998"/>
      <c r="AI162" s="998"/>
      <c r="AJ162" s="998"/>
      <c r="AK162" s="998"/>
      <c r="AL162" s="998"/>
      <c r="AM162" s="998"/>
      <c r="AN162" s="998"/>
      <c r="AO162" s="998"/>
      <c r="AP162" s="998"/>
      <c r="AQ162" s="998"/>
      <c r="AR162" s="998"/>
      <c r="AS162" s="998"/>
      <c r="AT162" s="998"/>
      <c r="AU162" s="998"/>
      <c r="AV162" s="998"/>
      <c r="AW162" s="998"/>
      <c r="AX162" s="998"/>
      <c r="AY162" s="998"/>
      <c r="AZ162" s="998"/>
      <c r="BA162" s="998"/>
      <c r="BB162" s="998"/>
      <c r="BC162" s="998"/>
      <c r="BD162" s="998"/>
      <c r="BE162" s="998"/>
      <c r="BF162" s="998"/>
      <c r="BG162" s="998"/>
      <c r="BH162" s="998"/>
      <c r="BI162" s="998"/>
      <c r="BJ162" s="998"/>
      <c r="BK162" s="999"/>
      <c r="BM162" s="958"/>
      <c r="BN162" s="1000"/>
      <c r="BO162" s="1000"/>
      <c r="BP162" s="1000"/>
      <c r="BQ162" s="1000"/>
      <c r="BR162" s="1000"/>
      <c r="BS162" s="1000"/>
      <c r="BT162" s="1000"/>
      <c r="BU162" s="1000"/>
      <c r="BV162" s="1000"/>
      <c r="BW162" s="1000"/>
      <c r="BX162" s="1000"/>
      <c r="BY162" s="1000"/>
      <c r="BZ162" s="1000"/>
      <c r="CA162" s="1000"/>
      <c r="CB162" s="1000"/>
      <c r="CC162" s="1000"/>
      <c r="CD162" s="1000"/>
      <c r="CE162" s="1000"/>
      <c r="CF162" s="1000"/>
      <c r="CG162" s="1000"/>
      <c r="CH162" s="1000"/>
      <c r="CI162" s="1000"/>
      <c r="CJ162" s="1000"/>
      <c r="CK162" s="1000"/>
      <c r="CL162" s="1000"/>
      <c r="CM162" s="1000"/>
      <c r="CN162" s="1000"/>
      <c r="CO162" s="1000"/>
      <c r="CP162" s="1000"/>
      <c r="CQ162" s="1000"/>
      <c r="CR162" s="1000"/>
      <c r="CS162" s="1000"/>
      <c r="CT162" s="1000"/>
      <c r="CU162" s="1000"/>
      <c r="CV162" s="1000"/>
      <c r="CW162" s="1000"/>
    </row>
    <row r="163" spans="1:101" ht="15.75" customHeight="1">
      <c r="A163" s="986"/>
      <c r="B163" s="987"/>
      <c r="C163" s="988"/>
      <c r="D163" s="988"/>
      <c r="E163" s="988"/>
      <c r="F163" s="988"/>
      <c r="G163" s="988"/>
      <c r="H163" s="988"/>
      <c r="I163" s="989"/>
      <c r="J163" s="990" t="s">
        <v>837</v>
      </c>
      <c r="K163" s="990"/>
      <c r="L163" s="990" t="s">
        <v>838</v>
      </c>
      <c r="M163" s="990"/>
      <c r="N163" s="988"/>
      <c r="O163" s="990"/>
      <c r="P163" s="990"/>
      <c r="Q163" s="990"/>
      <c r="R163" s="990"/>
      <c r="S163" s="990"/>
      <c r="T163" s="990"/>
      <c r="U163" s="990"/>
      <c r="V163" s="990"/>
      <c r="W163" s="990"/>
      <c r="X163" s="990"/>
      <c r="Y163" s="990"/>
      <c r="Z163" s="990"/>
      <c r="AA163" s="990"/>
      <c r="AB163" s="990"/>
      <c r="AC163" s="990"/>
      <c r="AD163" s="990"/>
      <c r="AE163" s="988"/>
      <c r="AF163" s="988"/>
      <c r="AG163" s="988"/>
      <c r="AH163" s="988"/>
      <c r="AI163" s="988"/>
      <c r="AJ163" s="988"/>
      <c r="AL163" s="988"/>
      <c r="AM163" s="990"/>
      <c r="AN163" s="990"/>
      <c r="AO163" s="988"/>
      <c r="AP163" s="988"/>
      <c r="AQ163" s="988"/>
      <c r="AR163" s="988"/>
      <c r="AS163" s="988"/>
      <c r="AT163" s="988"/>
      <c r="AU163" s="988"/>
      <c r="AV163" s="988"/>
      <c r="AW163" s="988"/>
      <c r="AX163" s="988"/>
      <c r="AY163" s="988"/>
      <c r="AZ163" s="988"/>
      <c r="BA163" s="988"/>
      <c r="BB163" s="988"/>
      <c r="BC163" s="988"/>
      <c r="BD163" s="987"/>
      <c r="BE163" s="988"/>
      <c r="BF163" s="988"/>
      <c r="BG163" s="988"/>
      <c r="BH163" s="988"/>
      <c r="BI163" s="988"/>
      <c r="BJ163" s="988"/>
      <c r="BK163" s="991"/>
    </row>
    <row r="164" spans="1:101" ht="15.75" customHeight="1">
      <c r="A164" s="986"/>
      <c r="B164" s="987"/>
      <c r="C164" s="988"/>
      <c r="D164" s="988"/>
      <c r="E164" s="988"/>
      <c r="F164" s="988"/>
      <c r="G164" s="988"/>
      <c r="H164" s="988"/>
      <c r="I164" s="989"/>
      <c r="J164" s="990"/>
      <c r="K164" s="990"/>
      <c r="L164" s="995"/>
      <c r="M164" s="995" t="s">
        <v>839</v>
      </c>
      <c r="N164" s="988"/>
      <c r="O164" s="990"/>
      <c r="P164" s="990"/>
      <c r="Q164" s="990"/>
      <c r="R164" s="990"/>
      <c r="S164" s="990"/>
      <c r="T164" s="990"/>
      <c r="U164" s="990"/>
      <c r="V164" s="990"/>
      <c r="W164" s="990"/>
      <c r="X164" s="990"/>
      <c r="Y164" s="990"/>
      <c r="Z164" s="990"/>
      <c r="AA164" s="990"/>
      <c r="AB164" s="990"/>
      <c r="AC164" s="990"/>
      <c r="AD164" s="990"/>
      <c r="AE164" s="988"/>
      <c r="AF164" s="988"/>
      <c r="AG164" s="988"/>
      <c r="AH164" s="988"/>
      <c r="AI164" s="988"/>
      <c r="AJ164" s="988"/>
      <c r="AL164" s="988"/>
      <c r="AM164" s="990"/>
      <c r="AN164" s="990"/>
      <c r="AO164" s="988"/>
      <c r="AP164" s="988"/>
      <c r="AQ164" s="988"/>
      <c r="AR164" s="988"/>
      <c r="AS164" s="988"/>
      <c r="AT164" s="988"/>
      <c r="AU164" s="988"/>
      <c r="AV164" s="988"/>
      <c r="AW164" s="988"/>
      <c r="AX164" s="988"/>
      <c r="AY164" s="988"/>
      <c r="AZ164" s="988"/>
      <c r="BA164" s="988"/>
      <c r="BB164" s="988"/>
      <c r="BC164" s="988"/>
      <c r="BD164" s="987"/>
      <c r="BE164" s="988"/>
      <c r="BF164" s="988"/>
      <c r="BG164" s="988"/>
      <c r="BH164" s="988"/>
      <c r="BI164" s="988"/>
      <c r="BJ164" s="988"/>
      <c r="BK164" s="991"/>
    </row>
    <row r="165" spans="1:101" ht="15.75" customHeight="1">
      <c r="A165" s="986"/>
      <c r="B165" s="987"/>
      <c r="C165" s="988"/>
      <c r="D165" s="988"/>
      <c r="E165" s="988"/>
      <c r="F165" s="988"/>
      <c r="G165" s="988"/>
      <c r="H165" s="988"/>
      <c r="I165" s="989"/>
      <c r="J165" s="990"/>
      <c r="K165" s="990"/>
      <c r="L165" s="995"/>
      <c r="M165" s="1001" t="s">
        <v>840</v>
      </c>
      <c r="N165" s="988"/>
      <c r="O165" s="990"/>
      <c r="P165" s="990"/>
      <c r="Q165" s="990"/>
      <c r="R165" s="990"/>
      <c r="S165" s="990"/>
      <c r="T165" s="990"/>
      <c r="U165" s="990"/>
      <c r="V165" s="990"/>
      <c r="W165" s="990"/>
      <c r="X165" s="990"/>
      <c r="Y165" s="990"/>
      <c r="Z165" s="990"/>
      <c r="AA165" s="990"/>
      <c r="AB165" s="990"/>
      <c r="AC165" s="990"/>
      <c r="AD165" s="990"/>
      <c r="AE165" s="988"/>
      <c r="AF165" s="988"/>
      <c r="AG165" s="988"/>
      <c r="AH165" s="988"/>
      <c r="AI165" s="988"/>
      <c r="AJ165" s="988"/>
      <c r="AL165" s="988"/>
      <c r="AM165" s="990"/>
      <c r="AN165" s="990"/>
      <c r="AO165" s="988"/>
      <c r="AP165" s="988"/>
      <c r="AQ165" s="988"/>
      <c r="AR165" s="988"/>
      <c r="AS165" s="988"/>
      <c r="AT165" s="988"/>
      <c r="AU165" s="988"/>
      <c r="AV165" s="988"/>
      <c r="AW165" s="988"/>
      <c r="AX165" s="988"/>
      <c r="AY165" s="988"/>
      <c r="AZ165" s="988"/>
      <c r="BA165" s="988"/>
      <c r="BB165" s="988"/>
      <c r="BC165" s="988"/>
      <c r="BD165" s="987"/>
      <c r="BE165" s="988"/>
      <c r="BF165" s="988"/>
      <c r="BG165" s="988"/>
      <c r="BH165" s="988"/>
      <c r="BI165" s="988"/>
      <c r="BJ165" s="988"/>
      <c r="BK165" s="991"/>
    </row>
    <row r="166" spans="1:101" ht="15.75" customHeight="1">
      <c r="A166" s="986"/>
      <c r="B166" s="987"/>
      <c r="C166" s="988"/>
      <c r="D166" s="988"/>
      <c r="E166" s="988"/>
      <c r="F166" s="988"/>
      <c r="G166" s="988"/>
      <c r="H166" s="988"/>
      <c r="I166" s="989"/>
      <c r="J166" s="990"/>
      <c r="K166" s="990"/>
      <c r="AH166" s="988"/>
      <c r="AI166" s="988"/>
      <c r="AJ166" s="988"/>
      <c r="AK166" s="988"/>
      <c r="AL166" s="988"/>
      <c r="AM166" s="990"/>
      <c r="AN166" s="990"/>
      <c r="AO166" s="988"/>
      <c r="AP166" s="988"/>
      <c r="AQ166" s="988"/>
      <c r="AR166" s="988"/>
      <c r="AS166" s="988"/>
      <c r="AT166" s="988"/>
      <c r="AU166" s="988"/>
      <c r="AV166" s="988"/>
      <c r="AW166" s="988"/>
      <c r="AX166" s="988"/>
      <c r="AY166" s="988"/>
      <c r="AZ166" s="988"/>
      <c r="BA166" s="988"/>
      <c r="BB166" s="988"/>
      <c r="BC166" s="988"/>
      <c r="BD166" s="987" t="s">
        <v>841</v>
      </c>
      <c r="BE166" s="988"/>
      <c r="BF166" s="988"/>
      <c r="BG166" s="988"/>
      <c r="BH166" s="988"/>
      <c r="BI166" s="988"/>
      <c r="BJ166" s="988"/>
      <c r="BK166" s="991"/>
    </row>
    <row r="167" spans="1:101" ht="15.75" customHeight="1">
      <c r="A167" s="986"/>
      <c r="B167" s="987"/>
      <c r="C167" s="988"/>
      <c r="D167" s="988"/>
      <c r="E167" s="988"/>
      <c r="F167" s="988"/>
      <c r="G167" s="988"/>
      <c r="H167" s="988"/>
      <c r="I167" s="989"/>
      <c r="J167" s="990"/>
      <c r="K167" s="990"/>
      <c r="L167" s="1004" t="s">
        <v>842</v>
      </c>
      <c r="M167" s="990"/>
      <c r="N167" s="990"/>
      <c r="O167" s="990"/>
      <c r="P167" s="990"/>
      <c r="Q167" s="990"/>
      <c r="R167" s="990"/>
      <c r="S167" s="990"/>
      <c r="T167" s="990"/>
      <c r="U167" s="990"/>
      <c r="V167" s="990"/>
      <c r="W167" s="990"/>
      <c r="X167" s="990"/>
      <c r="Y167" s="990"/>
      <c r="Z167" s="990"/>
      <c r="AA167" s="990"/>
      <c r="AB167" s="990"/>
      <c r="AC167" s="990"/>
      <c r="AD167" s="990"/>
      <c r="AE167" s="990"/>
      <c r="AF167" s="988"/>
      <c r="AG167" s="988"/>
      <c r="AH167" s="988"/>
      <c r="AI167" s="988"/>
      <c r="AJ167" s="988"/>
      <c r="AK167" s="988"/>
      <c r="AL167" s="988"/>
      <c r="AM167" s="990"/>
      <c r="AN167" s="990"/>
      <c r="AO167" s="988"/>
      <c r="AP167" s="988"/>
      <c r="AQ167" s="988"/>
      <c r="AR167" s="988"/>
      <c r="AS167" s="988"/>
      <c r="AT167" s="988"/>
      <c r="AU167" s="988"/>
      <c r="AV167" s="988"/>
      <c r="AW167" s="988"/>
      <c r="AX167" s="988"/>
      <c r="AY167" s="988"/>
      <c r="AZ167" s="988"/>
      <c r="BA167" s="988"/>
      <c r="BB167" s="988"/>
      <c r="BC167" s="988"/>
      <c r="BD167" s="987"/>
      <c r="BE167" s="988"/>
      <c r="BF167" s="988"/>
      <c r="BG167" s="988"/>
      <c r="BH167" s="988"/>
      <c r="BI167" s="988"/>
      <c r="BJ167" s="988"/>
      <c r="BK167" s="991"/>
    </row>
    <row r="168" spans="1:101" ht="15.75" customHeight="1">
      <c r="A168" s="986"/>
      <c r="B168" s="987"/>
      <c r="C168" s="988"/>
      <c r="D168" s="988"/>
      <c r="E168" s="988"/>
      <c r="F168" s="988"/>
      <c r="G168" s="988"/>
      <c r="H168" s="988"/>
      <c r="I168" s="989"/>
      <c r="J168" s="990"/>
      <c r="K168" s="990"/>
      <c r="L168" s="1004" t="s">
        <v>843</v>
      </c>
      <c r="M168" s="990"/>
      <c r="N168" s="990"/>
      <c r="O168" s="990"/>
      <c r="P168" s="990"/>
      <c r="Q168" s="990"/>
      <c r="R168" s="990"/>
      <c r="S168" s="990"/>
      <c r="T168" s="990"/>
      <c r="U168" s="990"/>
      <c r="V168" s="990"/>
      <c r="W168" s="990"/>
      <c r="X168" s="990"/>
      <c r="Y168" s="990"/>
      <c r="Z168" s="990"/>
      <c r="AA168" s="990"/>
      <c r="AB168" s="990"/>
      <c r="AC168" s="990"/>
      <c r="AD168" s="990"/>
      <c r="AE168" s="990"/>
      <c r="AF168" s="988"/>
      <c r="AG168" s="988"/>
      <c r="AH168" s="990"/>
      <c r="AI168" s="990"/>
      <c r="AJ168" s="990"/>
      <c r="AK168" s="990"/>
      <c r="AL168" s="990"/>
      <c r="AM168" s="990"/>
      <c r="AN168" s="990"/>
      <c r="AO168" s="988"/>
      <c r="AP168" s="988"/>
      <c r="AQ168" s="988"/>
      <c r="AR168" s="988"/>
      <c r="AS168" s="988"/>
      <c r="AT168" s="988"/>
      <c r="AU168" s="988"/>
      <c r="AV168" s="988"/>
      <c r="AW168" s="988"/>
      <c r="AX168" s="988"/>
      <c r="AY168" s="988"/>
      <c r="AZ168" s="988"/>
      <c r="BA168" s="988"/>
      <c r="BB168" s="988"/>
      <c r="BC168" s="988"/>
      <c r="BD168" s="987"/>
      <c r="BE168" s="988"/>
      <c r="BF168" s="988"/>
      <c r="BG168" s="988"/>
      <c r="BH168" s="988"/>
      <c r="BI168" s="988"/>
      <c r="BJ168" s="988"/>
      <c r="BK168" s="991"/>
    </row>
    <row r="169" spans="1:101" ht="15.75" customHeight="1">
      <c r="A169" s="986"/>
      <c r="B169" s="987"/>
      <c r="C169" s="988"/>
      <c r="D169" s="988"/>
      <c r="E169" s="988"/>
      <c r="F169" s="988"/>
      <c r="G169" s="988"/>
      <c r="H169" s="988"/>
      <c r="I169" s="989"/>
      <c r="J169" s="990"/>
      <c r="K169" s="990"/>
      <c r="L169" s="990"/>
      <c r="M169" s="990"/>
      <c r="N169" s="990"/>
      <c r="O169" s="990"/>
      <c r="P169" s="990"/>
      <c r="Q169" s="990"/>
      <c r="R169" s="990"/>
      <c r="S169" s="990"/>
      <c r="T169" s="990"/>
      <c r="U169" s="990"/>
      <c r="V169" s="990"/>
      <c r="W169" s="990"/>
      <c r="X169" s="990"/>
      <c r="Y169" s="990"/>
      <c r="Z169" s="990"/>
      <c r="AA169" s="990"/>
      <c r="AB169" s="990"/>
      <c r="AC169" s="990"/>
      <c r="AD169" s="990"/>
      <c r="AE169" s="990"/>
      <c r="AF169" s="990"/>
      <c r="AG169" s="990"/>
      <c r="AH169" s="990"/>
      <c r="AI169" s="990"/>
      <c r="AJ169" s="990"/>
      <c r="AK169" s="990"/>
      <c r="AL169" s="990"/>
      <c r="AM169" s="990"/>
      <c r="AN169" s="990"/>
      <c r="AO169" s="988"/>
      <c r="AP169" s="988"/>
      <c r="AQ169" s="988"/>
      <c r="AR169" s="988"/>
      <c r="AS169" s="988"/>
      <c r="AT169" s="988"/>
      <c r="AU169" s="988"/>
      <c r="AV169" s="988"/>
      <c r="AW169" s="988"/>
      <c r="AX169" s="988"/>
      <c r="AY169" s="988"/>
      <c r="AZ169" s="988"/>
      <c r="BA169" s="988"/>
      <c r="BB169" s="988"/>
      <c r="BC169" s="988"/>
      <c r="BD169" s="987"/>
      <c r="BE169" s="988"/>
      <c r="BF169" s="988"/>
      <c r="BG169" s="988"/>
      <c r="BH169" s="988"/>
      <c r="BI169" s="988"/>
      <c r="BJ169" s="988"/>
      <c r="BK169" s="991"/>
    </row>
    <row r="170" spans="1:101" ht="15.75" customHeight="1" thickBot="1">
      <c r="A170" s="1009"/>
      <c r="B170" s="1010"/>
      <c r="C170" s="1011"/>
      <c r="D170" s="1011"/>
      <c r="E170" s="1011"/>
      <c r="F170" s="1011"/>
      <c r="G170" s="1011"/>
      <c r="H170" s="1011"/>
      <c r="I170" s="1012"/>
      <c r="J170" s="1011"/>
      <c r="K170" s="1011"/>
      <c r="L170" s="1011"/>
      <c r="M170" s="1011"/>
      <c r="N170" s="1011"/>
      <c r="O170" s="1011"/>
      <c r="P170" s="1011"/>
      <c r="Q170" s="1011"/>
      <c r="R170" s="1011"/>
      <c r="S170" s="1011"/>
      <c r="T170" s="1011"/>
      <c r="U170" s="1011"/>
      <c r="V170" s="1011"/>
      <c r="W170" s="1011"/>
      <c r="X170" s="1011"/>
      <c r="Y170" s="1011"/>
      <c r="Z170" s="1011"/>
      <c r="AA170" s="1011"/>
      <c r="AB170" s="1011"/>
      <c r="AC170" s="1011"/>
      <c r="AD170" s="1011"/>
      <c r="AE170" s="1011"/>
      <c r="AF170" s="1011"/>
      <c r="AG170" s="1011"/>
      <c r="AH170" s="1011"/>
      <c r="AI170" s="1011"/>
      <c r="AJ170" s="1011"/>
      <c r="AK170" s="1011"/>
      <c r="AL170" s="1011"/>
      <c r="AM170" s="1011"/>
      <c r="AN170" s="1011"/>
      <c r="AO170" s="1011"/>
      <c r="AP170" s="1011"/>
      <c r="AQ170" s="1011"/>
      <c r="AR170" s="1011"/>
      <c r="AS170" s="1011"/>
      <c r="AT170" s="1011"/>
      <c r="AU170" s="1011"/>
      <c r="AV170" s="1011"/>
      <c r="AW170" s="1011"/>
      <c r="AX170" s="1011"/>
      <c r="AY170" s="1011"/>
      <c r="AZ170" s="1011"/>
      <c r="BA170" s="1011"/>
      <c r="BB170" s="1011"/>
      <c r="BC170" s="1011"/>
      <c r="BD170" s="1010"/>
      <c r="BE170" s="1011"/>
      <c r="BF170" s="1011"/>
      <c r="BG170" s="1011"/>
      <c r="BH170" s="1011"/>
      <c r="BI170" s="1011"/>
      <c r="BJ170" s="1011"/>
      <c r="BK170" s="1013"/>
    </row>
  </sheetData>
  <mergeCells count="21">
    <mergeCell ref="BF2:BK3"/>
    <mergeCell ref="K3:T3"/>
    <mergeCell ref="U3:Y3"/>
    <mergeCell ref="Z3:AD3"/>
    <mergeCell ref="AE3:AR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1:J3"/>
    <mergeCell ref="K1:T1"/>
    <mergeCell ref="U1:Y1"/>
    <mergeCell ref="Z1:AD1"/>
    <mergeCell ref="AE1:AI1"/>
    <mergeCell ref="AJ1:AR1"/>
  </mergeCells>
  <phoneticPr fontId="8"/>
  <pageMargins left="0.511811023622047" right="0.74803149606299202" top="0.70866141732283505" bottom="0.43307086614173201" header="0.511811023622047" footer="0.35433070866141703"/>
  <pageSetup paperSize="9" fitToHeight="0" orientation="landscape" r:id="rId1"/>
  <headerFooter alignWithMargins="0">
    <oddFooter>&amp;C&amp;"Meiryo UI,標準"&amp;10&amp;P</oddFooter>
  </headerFooter>
  <rowBreaks count="1" manualBreakCount="1">
    <brk id="100" max="62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7CA0-1DCA-4BEF-B03D-CD5FF524651D}">
  <sheetPr codeName="Sheet8">
    <pageSetUpPr fitToPage="1"/>
  </sheetPr>
  <dimension ref="A1:BK18"/>
  <sheetViews>
    <sheetView showGridLines="0" showZeros="0" zoomScaleNormal="100" zoomScaleSheetLayoutView="85" workbookViewId="0">
      <pane ySplit="4" topLeftCell="A5" activePane="bottomLeft" state="frozen"/>
      <selection activeCell="AJ54" sqref="AJ54:AJ55"/>
      <selection pane="bottomLeft" activeCell="A26" sqref="A26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821" t="str">
        <f>表紙!A54</f>
        <v>Webシステム</v>
      </c>
      <c r="B1" s="822"/>
      <c r="C1" s="822"/>
      <c r="D1" s="822"/>
      <c r="E1" s="822"/>
      <c r="F1" s="822"/>
      <c r="G1" s="822"/>
      <c r="H1" s="822"/>
      <c r="I1" s="822"/>
      <c r="J1" s="823"/>
      <c r="K1" s="857" t="s">
        <v>132</v>
      </c>
      <c r="L1" s="858"/>
      <c r="M1" s="858"/>
      <c r="N1" s="858"/>
      <c r="O1" s="858"/>
      <c r="P1" s="858"/>
      <c r="Q1" s="858"/>
      <c r="R1" s="858"/>
      <c r="S1" s="858"/>
      <c r="T1" s="859"/>
      <c r="U1" s="860" t="s">
        <v>148</v>
      </c>
      <c r="V1" s="861"/>
      <c r="W1" s="861"/>
      <c r="X1" s="861"/>
      <c r="Y1" s="862"/>
      <c r="Z1" s="863" t="str">
        <f>表紙!$AJ$63</f>
        <v>MS</v>
      </c>
      <c r="AA1" s="864"/>
      <c r="AB1" s="864"/>
      <c r="AC1" s="864"/>
      <c r="AD1" s="865"/>
      <c r="AE1" s="866" t="s">
        <v>135</v>
      </c>
      <c r="AF1" s="832"/>
      <c r="AG1" s="832"/>
      <c r="AH1" s="832"/>
      <c r="AI1" s="833"/>
      <c r="AJ1" s="867" t="str">
        <f>表紙!$AX$63</f>
        <v>Webシステム</v>
      </c>
      <c r="AK1" s="868"/>
      <c r="AL1" s="868"/>
      <c r="AM1" s="868"/>
      <c r="AN1" s="868"/>
      <c r="AO1" s="868"/>
      <c r="AP1" s="868"/>
      <c r="AQ1" s="868"/>
      <c r="AR1" s="869"/>
      <c r="AS1" s="830" t="s">
        <v>101</v>
      </c>
      <c r="AT1" s="830"/>
      <c r="AU1" s="830"/>
      <c r="AV1" s="830"/>
      <c r="AW1" s="830"/>
      <c r="AX1" s="830"/>
      <c r="AY1" s="830"/>
      <c r="AZ1" s="831" t="s">
        <v>124</v>
      </c>
      <c r="BA1" s="832"/>
      <c r="BB1" s="832"/>
      <c r="BC1" s="832"/>
      <c r="BD1" s="832"/>
      <c r="BE1" s="833"/>
      <c r="BF1" s="831" t="s">
        <v>149</v>
      </c>
      <c r="BG1" s="832"/>
      <c r="BH1" s="832"/>
      <c r="BI1" s="832"/>
      <c r="BJ1" s="832"/>
      <c r="BK1" s="834"/>
    </row>
    <row r="2" spans="1:63" s="4" customFormat="1" ht="15.75" customHeight="1">
      <c r="A2" s="824"/>
      <c r="B2" s="825"/>
      <c r="C2" s="825"/>
      <c r="D2" s="825"/>
      <c r="E2" s="825"/>
      <c r="F2" s="825"/>
      <c r="G2" s="825"/>
      <c r="H2" s="825"/>
      <c r="I2" s="825"/>
      <c r="J2" s="826"/>
      <c r="K2" s="835" t="str">
        <f>表紙!O64</f>
        <v>アドオン設計書</v>
      </c>
      <c r="L2" s="836"/>
      <c r="M2" s="836"/>
      <c r="N2" s="836"/>
      <c r="O2" s="836"/>
      <c r="P2" s="836"/>
      <c r="Q2" s="836"/>
      <c r="R2" s="836"/>
      <c r="S2" s="836"/>
      <c r="T2" s="837"/>
      <c r="U2" s="838" t="s">
        <v>150</v>
      </c>
      <c r="V2" s="839"/>
      <c r="W2" s="839"/>
      <c r="X2" s="839"/>
      <c r="Y2" s="840"/>
      <c r="Z2" s="841" t="str">
        <f>表紙!$AJ$64</f>
        <v>MSBB</v>
      </c>
      <c r="AA2" s="842"/>
      <c r="AB2" s="842"/>
      <c r="AC2" s="842"/>
      <c r="AD2" s="843"/>
      <c r="AE2" s="844" t="s">
        <v>141</v>
      </c>
      <c r="AF2" s="845"/>
      <c r="AG2" s="845"/>
      <c r="AH2" s="845"/>
      <c r="AI2" s="846"/>
      <c r="AJ2" s="847" t="str">
        <f>表紙!$AX$64</f>
        <v>販売Webシステム</v>
      </c>
      <c r="AK2" s="848"/>
      <c r="AL2" s="848"/>
      <c r="AM2" s="848"/>
      <c r="AN2" s="848"/>
      <c r="AO2" s="848"/>
      <c r="AP2" s="848"/>
      <c r="AQ2" s="848"/>
      <c r="AR2" s="849"/>
      <c r="AS2" s="850" t="str">
        <f>表紙!$BL$64</f>
        <v>M7-US-1140</v>
      </c>
      <c r="AT2" s="851"/>
      <c r="AU2" s="851"/>
      <c r="AV2" s="851"/>
      <c r="AW2" s="851"/>
      <c r="AX2" s="851"/>
      <c r="AY2" s="851"/>
      <c r="AZ2" s="853" t="str">
        <f>表紙!$BU$64</f>
        <v>7.0.2</v>
      </c>
      <c r="BA2" s="836"/>
      <c r="BB2" s="836"/>
      <c r="BC2" s="836"/>
      <c r="BD2" s="836"/>
      <c r="BE2" s="837"/>
      <c r="BF2" s="870">
        <f>表紙!$CB$64</f>
        <v>2</v>
      </c>
      <c r="BG2" s="836"/>
      <c r="BH2" s="836"/>
      <c r="BI2" s="836"/>
      <c r="BJ2" s="836"/>
      <c r="BK2" s="871"/>
    </row>
    <row r="3" spans="1:63" s="4" customFormat="1" ht="15.75" customHeight="1" thickBot="1">
      <c r="A3" s="827"/>
      <c r="B3" s="828"/>
      <c r="C3" s="828"/>
      <c r="D3" s="828"/>
      <c r="E3" s="828"/>
      <c r="F3" s="828"/>
      <c r="G3" s="828"/>
      <c r="H3" s="828"/>
      <c r="I3" s="828"/>
      <c r="J3" s="829"/>
      <c r="K3" s="873" t="str">
        <f ca="1">RIGHT(CELL("filename",$A$1),LEN(CELL("filename",$A$1))-FIND("]",CELL("filename",$A$1)))</f>
        <v>処理・サービス関連図</v>
      </c>
      <c r="L3" s="874"/>
      <c r="M3" s="874"/>
      <c r="N3" s="874"/>
      <c r="O3" s="874"/>
      <c r="P3" s="874"/>
      <c r="Q3" s="874"/>
      <c r="R3" s="874"/>
      <c r="S3" s="874"/>
      <c r="T3" s="875"/>
      <c r="U3" s="810" t="s">
        <v>146</v>
      </c>
      <c r="V3" s="811"/>
      <c r="W3" s="811"/>
      <c r="X3" s="811"/>
      <c r="Y3" s="812"/>
      <c r="Z3" s="813" t="str">
        <f>表紙!$AJ$65</f>
        <v>MSBBPA120</v>
      </c>
      <c r="AA3" s="814"/>
      <c r="AB3" s="814"/>
      <c r="AC3" s="814"/>
      <c r="AD3" s="814"/>
      <c r="AE3" s="815" t="str">
        <f>表紙!$AQ$65</f>
        <v>Web取引先マスタ一覧照会</v>
      </c>
      <c r="AF3" s="816"/>
      <c r="AG3" s="816"/>
      <c r="AH3" s="816"/>
      <c r="AI3" s="816"/>
      <c r="AJ3" s="816"/>
      <c r="AK3" s="816"/>
      <c r="AL3" s="816"/>
      <c r="AM3" s="816"/>
      <c r="AN3" s="816"/>
      <c r="AO3" s="816"/>
      <c r="AP3" s="816"/>
      <c r="AQ3" s="816"/>
      <c r="AR3" s="817"/>
      <c r="AS3" s="852"/>
      <c r="AT3" s="852"/>
      <c r="AU3" s="852"/>
      <c r="AV3" s="852"/>
      <c r="AW3" s="852"/>
      <c r="AX3" s="852"/>
      <c r="AY3" s="852"/>
      <c r="AZ3" s="854"/>
      <c r="BA3" s="855"/>
      <c r="BB3" s="855"/>
      <c r="BC3" s="855"/>
      <c r="BD3" s="855"/>
      <c r="BE3" s="856"/>
      <c r="BF3" s="854"/>
      <c r="BG3" s="855"/>
      <c r="BH3" s="855"/>
      <c r="BI3" s="855"/>
      <c r="BJ3" s="855"/>
      <c r="BK3" s="872"/>
    </row>
    <row r="4" spans="1:63" s="4" customFormat="1" ht="6.75" customHeigh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7" spans="1:63" ht="15.75" customHeight="1">
      <c r="C7" s="173" t="s">
        <v>534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63" ht="15.75" customHeight="1">
      <c r="C8" s="29"/>
      <c r="D8" s="174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63" ht="15.75" customHeight="1">
      <c r="C9" s="29"/>
      <c r="D9" s="174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spans="1:63" ht="15.75" customHeight="1">
      <c r="C10" s="29"/>
      <c r="D10" s="174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63" ht="15.75" customHeight="1">
      <c r="C11" s="29"/>
      <c r="D11" s="174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63" ht="15.75" customHeight="1">
      <c r="C12" s="29"/>
      <c r="D12" s="174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63" ht="15.75" customHeight="1">
      <c r="C13" s="29"/>
      <c r="D13" s="174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63" ht="15.7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63" ht="15.75" customHeight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63" ht="15.75" customHeight="1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3:43" ht="15.7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3:43" ht="15.7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B45F-D38F-4CF5-A3AA-01E0BB2F95EA}">
  <sheetPr codeName="Sheet9">
    <pageSetUpPr fitToPage="1"/>
  </sheetPr>
  <dimension ref="A1:BM43"/>
  <sheetViews>
    <sheetView showGridLines="0" showZeros="0" zoomScaleNormal="100" zoomScaleSheetLayoutView="85" workbookViewId="0">
      <pane ySplit="4" topLeftCell="A5" activePane="bottomLeft" state="frozen"/>
      <selection activeCell="AJ54" sqref="AJ54:AJ55"/>
      <selection pane="bottomLeft" activeCell="BA39" sqref="BA39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5" s="4" customFormat="1" ht="15.75" customHeight="1">
      <c r="A1" s="821" t="str">
        <f>表紙!A54</f>
        <v>Webシステム</v>
      </c>
      <c r="B1" s="822"/>
      <c r="C1" s="822"/>
      <c r="D1" s="822"/>
      <c r="E1" s="822"/>
      <c r="F1" s="822"/>
      <c r="G1" s="822"/>
      <c r="H1" s="822"/>
      <c r="I1" s="822"/>
      <c r="J1" s="823"/>
      <c r="K1" s="857" t="s">
        <v>132</v>
      </c>
      <c r="L1" s="858"/>
      <c r="M1" s="858"/>
      <c r="N1" s="858"/>
      <c r="O1" s="858"/>
      <c r="P1" s="858"/>
      <c r="Q1" s="858"/>
      <c r="R1" s="858"/>
      <c r="S1" s="858"/>
      <c r="T1" s="859"/>
      <c r="U1" s="860" t="s">
        <v>148</v>
      </c>
      <c r="V1" s="861"/>
      <c r="W1" s="861"/>
      <c r="X1" s="861"/>
      <c r="Y1" s="862"/>
      <c r="Z1" s="863" t="str">
        <f>表紙!$AJ$63</f>
        <v>MS</v>
      </c>
      <c r="AA1" s="864"/>
      <c r="AB1" s="864"/>
      <c r="AC1" s="864"/>
      <c r="AD1" s="865"/>
      <c r="AE1" s="866" t="s">
        <v>135</v>
      </c>
      <c r="AF1" s="832"/>
      <c r="AG1" s="832"/>
      <c r="AH1" s="832"/>
      <c r="AI1" s="833"/>
      <c r="AJ1" s="867" t="str">
        <f>表紙!$AX$63</f>
        <v>Webシステム</v>
      </c>
      <c r="AK1" s="868"/>
      <c r="AL1" s="868"/>
      <c r="AM1" s="868"/>
      <c r="AN1" s="868"/>
      <c r="AO1" s="868"/>
      <c r="AP1" s="868"/>
      <c r="AQ1" s="868"/>
      <c r="AR1" s="869"/>
      <c r="AS1" s="830" t="s">
        <v>101</v>
      </c>
      <c r="AT1" s="830"/>
      <c r="AU1" s="830"/>
      <c r="AV1" s="830"/>
      <c r="AW1" s="830"/>
      <c r="AX1" s="830"/>
      <c r="AY1" s="830"/>
      <c r="AZ1" s="831" t="s">
        <v>124</v>
      </c>
      <c r="BA1" s="832"/>
      <c r="BB1" s="832"/>
      <c r="BC1" s="832"/>
      <c r="BD1" s="832"/>
      <c r="BE1" s="833"/>
      <c r="BF1" s="831" t="s">
        <v>149</v>
      </c>
      <c r="BG1" s="832"/>
      <c r="BH1" s="832"/>
      <c r="BI1" s="832"/>
      <c r="BJ1" s="832"/>
      <c r="BK1" s="834"/>
    </row>
    <row r="2" spans="1:65" s="4" customFormat="1" ht="15.75" customHeight="1">
      <c r="A2" s="824"/>
      <c r="B2" s="825"/>
      <c r="C2" s="825"/>
      <c r="D2" s="825"/>
      <c r="E2" s="825"/>
      <c r="F2" s="825"/>
      <c r="G2" s="825"/>
      <c r="H2" s="825"/>
      <c r="I2" s="825"/>
      <c r="J2" s="826"/>
      <c r="K2" s="835" t="str">
        <f>表紙!O64</f>
        <v>アドオン設計書</v>
      </c>
      <c r="L2" s="836"/>
      <c r="M2" s="836"/>
      <c r="N2" s="836"/>
      <c r="O2" s="836"/>
      <c r="P2" s="836"/>
      <c r="Q2" s="836"/>
      <c r="R2" s="836"/>
      <c r="S2" s="836"/>
      <c r="T2" s="837"/>
      <c r="U2" s="838" t="s">
        <v>150</v>
      </c>
      <c r="V2" s="839"/>
      <c r="W2" s="839"/>
      <c r="X2" s="839"/>
      <c r="Y2" s="840"/>
      <c r="Z2" s="841" t="str">
        <f>表紙!$AJ$64</f>
        <v>MSBB</v>
      </c>
      <c r="AA2" s="842"/>
      <c r="AB2" s="842"/>
      <c r="AC2" s="842"/>
      <c r="AD2" s="843"/>
      <c r="AE2" s="844" t="s">
        <v>141</v>
      </c>
      <c r="AF2" s="845"/>
      <c r="AG2" s="845"/>
      <c r="AH2" s="845"/>
      <c r="AI2" s="846"/>
      <c r="AJ2" s="847" t="str">
        <f>表紙!$AX$64</f>
        <v>販売Webシステム</v>
      </c>
      <c r="AK2" s="848"/>
      <c r="AL2" s="848"/>
      <c r="AM2" s="848"/>
      <c r="AN2" s="848"/>
      <c r="AO2" s="848"/>
      <c r="AP2" s="848"/>
      <c r="AQ2" s="848"/>
      <c r="AR2" s="849"/>
      <c r="AS2" s="850" t="str">
        <f>表紙!$BL$64</f>
        <v>M7-US-1140</v>
      </c>
      <c r="AT2" s="851"/>
      <c r="AU2" s="851"/>
      <c r="AV2" s="851"/>
      <c r="AW2" s="851"/>
      <c r="AX2" s="851"/>
      <c r="AY2" s="851"/>
      <c r="AZ2" s="853" t="str">
        <f>表紙!$BU$64</f>
        <v>7.0.2</v>
      </c>
      <c r="BA2" s="836"/>
      <c r="BB2" s="836"/>
      <c r="BC2" s="836"/>
      <c r="BD2" s="836"/>
      <c r="BE2" s="837"/>
      <c r="BF2" s="870">
        <f>表紙!$CB$64</f>
        <v>2</v>
      </c>
      <c r="BG2" s="836"/>
      <c r="BH2" s="836"/>
      <c r="BI2" s="836"/>
      <c r="BJ2" s="836"/>
      <c r="BK2" s="871"/>
    </row>
    <row r="3" spans="1:65" s="4" customFormat="1" ht="15.75" customHeight="1" thickBot="1">
      <c r="A3" s="827"/>
      <c r="B3" s="828"/>
      <c r="C3" s="828"/>
      <c r="D3" s="828"/>
      <c r="E3" s="828"/>
      <c r="F3" s="828"/>
      <c r="G3" s="828"/>
      <c r="H3" s="828"/>
      <c r="I3" s="828"/>
      <c r="J3" s="829"/>
      <c r="K3" s="873" t="str">
        <f ca="1">RIGHT(CELL("filename",$A$1),LEN(CELL("filename",$A$1))-FIND("]",CELL("filename",$A$1)))</f>
        <v>検索入出力仕様</v>
      </c>
      <c r="L3" s="874"/>
      <c r="M3" s="874"/>
      <c r="N3" s="874"/>
      <c r="O3" s="874"/>
      <c r="P3" s="874"/>
      <c r="Q3" s="874"/>
      <c r="R3" s="874"/>
      <c r="S3" s="874"/>
      <c r="T3" s="875"/>
      <c r="U3" s="810" t="s">
        <v>146</v>
      </c>
      <c r="V3" s="811"/>
      <c r="W3" s="811"/>
      <c r="X3" s="811"/>
      <c r="Y3" s="812"/>
      <c r="Z3" s="813" t="str">
        <f>表紙!$AJ$65</f>
        <v>MSBBPA120</v>
      </c>
      <c r="AA3" s="814"/>
      <c r="AB3" s="814"/>
      <c r="AC3" s="814"/>
      <c r="AD3" s="814"/>
      <c r="AE3" s="815" t="str">
        <f>表紙!$AQ$65</f>
        <v>Web取引先マスタ一覧照会</v>
      </c>
      <c r="AF3" s="816"/>
      <c r="AG3" s="816"/>
      <c r="AH3" s="816"/>
      <c r="AI3" s="816"/>
      <c r="AJ3" s="816"/>
      <c r="AK3" s="816"/>
      <c r="AL3" s="816"/>
      <c r="AM3" s="816"/>
      <c r="AN3" s="816"/>
      <c r="AO3" s="816"/>
      <c r="AP3" s="816"/>
      <c r="AQ3" s="816"/>
      <c r="AR3" s="817"/>
      <c r="AS3" s="852"/>
      <c r="AT3" s="852"/>
      <c r="AU3" s="852"/>
      <c r="AV3" s="852"/>
      <c r="AW3" s="852"/>
      <c r="AX3" s="852"/>
      <c r="AY3" s="852"/>
      <c r="AZ3" s="854"/>
      <c r="BA3" s="855"/>
      <c r="BB3" s="855"/>
      <c r="BC3" s="855"/>
      <c r="BD3" s="855"/>
      <c r="BE3" s="856"/>
      <c r="BF3" s="854"/>
      <c r="BG3" s="855"/>
      <c r="BH3" s="855"/>
      <c r="BI3" s="855"/>
      <c r="BJ3" s="855"/>
      <c r="BK3" s="872"/>
    </row>
    <row r="4" spans="1:65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5" ht="15.75" customHeight="1">
      <c r="A5" s="108" t="s">
        <v>484</v>
      </c>
      <c r="B5" s="109"/>
      <c r="C5" s="109"/>
      <c r="D5" s="109"/>
      <c r="E5" s="110"/>
      <c r="F5" s="111"/>
      <c r="G5" s="112">
        <v>1</v>
      </c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5"/>
      <c r="S5" s="116" t="s">
        <v>187</v>
      </c>
      <c r="T5" s="117"/>
      <c r="U5" s="117"/>
      <c r="V5" s="117"/>
      <c r="W5" s="117"/>
      <c r="X5" s="117"/>
      <c r="Y5" s="118"/>
      <c r="Z5" s="119" t="s">
        <v>474</v>
      </c>
      <c r="AA5" s="119"/>
      <c r="AB5" s="119"/>
      <c r="AC5" s="119"/>
      <c r="AD5" s="114"/>
      <c r="AE5" s="119"/>
      <c r="AF5" s="119"/>
      <c r="AG5" s="119"/>
      <c r="AH5" s="120" t="s">
        <v>535</v>
      </c>
      <c r="AI5" s="117"/>
      <c r="AJ5" s="118"/>
      <c r="AK5" s="119" t="s">
        <v>536</v>
      </c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21"/>
    </row>
    <row r="6" spans="1:65" ht="15.75" customHeight="1">
      <c r="A6" s="147" t="s">
        <v>537</v>
      </c>
      <c r="B6" s="222"/>
      <c r="C6" s="222"/>
      <c r="D6" s="223"/>
      <c r="E6" s="224" t="s">
        <v>538</v>
      </c>
      <c r="F6" s="225"/>
      <c r="G6" s="225"/>
      <c r="H6" s="226"/>
      <c r="I6" s="226"/>
      <c r="J6" s="226"/>
      <c r="K6" s="226"/>
      <c r="L6" s="227"/>
      <c r="M6" s="227"/>
      <c r="N6" s="227"/>
      <c r="O6" s="227"/>
      <c r="P6" s="227"/>
      <c r="Q6" s="227"/>
      <c r="R6" s="227"/>
      <c r="S6" s="148" t="s">
        <v>539</v>
      </c>
      <c r="T6" s="222"/>
      <c r="U6" s="222"/>
      <c r="V6" s="222"/>
      <c r="W6" s="222"/>
      <c r="X6" s="222"/>
      <c r="Y6" s="228"/>
      <c r="Z6" s="227" t="s">
        <v>540</v>
      </c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57"/>
    </row>
    <row r="7" spans="1:65" ht="15.75" customHeight="1">
      <c r="A7" s="128" t="s">
        <v>484</v>
      </c>
      <c r="B7" s="129"/>
      <c r="C7" s="230" t="s">
        <v>541</v>
      </c>
      <c r="D7" s="231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230" t="s">
        <v>542</v>
      </c>
      <c r="W7" s="231"/>
      <c r="X7" s="130"/>
      <c r="Y7" s="130"/>
      <c r="Z7" s="130"/>
      <c r="AA7" s="130"/>
      <c r="AB7" s="130"/>
      <c r="AC7" s="130"/>
      <c r="AD7" s="130"/>
      <c r="AE7" s="130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232" t="s">
        <v>482</v>
      </c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31"/>
    </row>
    <row r="8" spans="1:65" ht="15.75" customHeight="1" thickBot="1">
      <c r="A8" s="132"/>
      <c r="B8" s="233"/>
      <c r="C8" s="133" t="s">
        <v>543</v>
      </c>
      <c r="D8" s="106" t="s">
        <v>544</v>
      </c>
      <c r="E8" s="107"/>
      <c r="F8" s="107"/>
      <c r="G8" s="107"/>
      <c r="H8" s="107"/>
      <c r="I8" s="107"/>
      <c r="J8" s="134"/>
      <c r="K8" s="106" t="s">
        <v>481</v>
      </c>
      <c r="L8" s="107"/>
      <c r="M8" s="107"/>
      <c r="N8" s="107"/>
      <c r="O8" s="107"/>
      <c r="P8" s="107"/>
      <c r="Q8" s="107"/>
      <c r="R8" s="107"/>
      <c r="S8" s="107"/>
      <c r="T8" s="107"/>
      <c r="U8" s="134"/>
      <c r="V8" s="133" t="s">
        <v>543</v>
      </c>
      <c r="W8" s="106" t="s">
        <v>544</v>
      </c>
      <c r="X8" s="107"/>
      <c r="Y8" s="107"/>
      <c r="Z8" s="107"/>
      <c r="AA8" s="107"/>
      <c r="AB8" s="107"/>
      <c r="AC8" s="107"/>
      <c r="AD8" s="107"/>
      <c r="AE8" s="134"/>
      <c r="AF8" s="106" t="s">
        <v>481</v>
      </c>
      <c r="AG8" s="107"/>
      <c r="AH8" s="107"/>
      <c r="AI8" s="107"/>
      <c r="AJ8" s="107"/>
      <c r="AK8" s="107"/>
      <c r="AL8" s="107"/>
      <c r="AM8" s="107"/>
      <c r="AN8" s="107"/>
      <c r="AO8" s="107"/>
      <c r="AP8" s="134"/>
      <c r="AQ8" s="135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136"/>
    </row>
    <row r="9" spans="1:65" ht="15.75" customHeight="1" thickTop="1">
      <c r="A9" s="885">
        <v>1</v>
      </c>
      <c r="B9" s="886"/>
      <c r="C9" s="142" t="s">
        <v>545</v>
      </c>
      <c r="D9" s="143" t="s">
        <v>412</v>
      </c>
      <c r="E9" s="144"/>
      <c r="F9" s="144"/>
      <c r="G9" s="144"/>
      <c r="H9" s="144"/>
      <c r="I9" s="144"/>
      <c r="J9" s="145"/>
      <c r="K9" s="143" t="s">
        <v>413</v>
      </c>
      <c r="L9" s="144"/>
      <c r="M9" s="144"/>
      <c r="N9" s="144"/>
      <c r="O9" s="144"/>
      <c r="P9" s="144"/>
      <c r="Q9" s="144"/>
      <c r="R9" s="144"/>
      <c r="S9" s="144"/>
      <c r="T9" s="144"/>
      <c r="U9" s="145"/>
      <c r="V9" s="146"/>
      <c r="W9" s="143"/>
      <c r="X9" s="144"/>
      <c r="Y9" s="144"/>
      <c r="Z9" s="144"/>
      <c r="AA9" s="144"/>
      <c r="AB9" s="144"/>
      <c r="AC9" s="144"/>
      <c r="AD9" s="144"/>
      <c r="AE9" s="145"/>
      <c r="AF9" s="143" t="s">
        <v>546</v>
      </c>
      <c r="AG9" s="144"/>
      <c r="AH9" s="144"/>
      <c r="AI9" s="144"/>
      <c r="AJ9" s="144"/>
      <c r="AK9" s="144"/>
      <c r="AL9" s="144"/>
      <c r="AM9" s="144"/>
      <c r="AN9" s="144"/>
      <c r="AO9" s="144"/>
      <c r="AP9" s="145"/>
      <c r="AQ9" s="143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246"/>
    </row>
    <row r="10" spans="1:65" ht="15.75" customHeight="1">
      <c r="A10" s="883">
        <v>2</v>
      </c>
      <c r="B10" s="884"/>
      <c r="C10" s="234" t="s">
        <v>547</v>
      </c>
      <c r="D10" s="236" t="s">
        <v>412</v>
      </c>
      <c r="E10" s="220"/>
      <c r="F10" s="220"/>
      <c r="G10" s="220"/>
      <c r="H10" s="220"/>
      <c r="I10" s="220"/>
      <c r="J10" s="235"/>
      <c r="K10" s="37" t="s">
        <v>416</v>
      </c>
      <c r="L10" s="220"/>
      <c r="M10" s="220"/>
      <c r="N10" s="220"/>
      <c r="O10" s="220"/>
      <c r="P10" s="220"/>
      <c r="Q10" s="220"/>
      <c r="R10" s="220"/>
      <c r="S10" s="220"/>
      <c r="T10" s="220"/>
      <c r="U10" s="235"/>
      <c r="V10" s="237" t="s">
        <v>353</v>
      </c>
      <c r="W10" s="236" t="s">
        <v>548</v>
      </c>
      <c r="X10" s="220"/>
      <c r="Y10" s="220"/>
      <c r="Z10" s="220"/>
      <c r="AA10" s="220"/>
      <c r="AB10" s="220"/>
      <c r="AC10" s="220"/>
      <c r="AD10" s="220"/>
      <c r="AE10" s="235"/>
      <c r="AF10" s="37" t="s">
        <v>416</v>
      </c>
      <c r="AG10" s="220"/>
      <c r="AH10" s="220"/>
      <c r="AI10" s="220"/>
      <c r="AJ10" s="220"/>
      <c r="AK10" s="220"/>
      <c r="AL10" s="220"/>
      <c r="AM10" s="220"/>
      <c r="AN10" s="220"/>
      <c r="AO10" s="220"/>
      <c r="AP10" s="235"/>
      <c r="AQ10" s="238"/>
      <c r="AR10" s="239"/>
      <c r="AS10" s="239"/>
      <c r="AT10" s="239"/>
      <c r="AU10" s="239"/>
      <c r="AV10" s="239"/>
      <c r="AW10" s="239"/>
      <c r="AX10" s="239"/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39"/>
      <c r="BK10" s="240"/>
    </row>
    <row r="11" spans="1:65" ht="15.75" customHeight="1">
      <c r="A11" s="883">
        <v>3</v>
      </c>
      <c r="B11" s="884"/>
      <c r="C11" s="234" t="s">
        <v>547</v>
      </c>
      <c r="D11" s="236" t="s">
        <v>412</v>
      </c>
      <c r="E11" s="220"/>
      <c r="F11" s="220"/>
      <c r="G11" s="220"/>
      <c r="H11" s="220"/>
      <c r="I11" s="220"/>
      <c r="J11" s="235"/>
      <c r="K11" s="37" t="s">
        <v>350</v>
      </c>
      <c r="L11" s="220"/>
      <c r="M11" s="220"/>
      <c r="N11" s="220"/>
      <c r="O11" s="220"/>
      <c r="P11" s="220"/>
      <c r="Q11" s="220"/>
      <c r="R11" s="220"/>
      <c r="S11" s="220"/>
      <c r="T11" s="220"/>
      <c r="U11" s="235"/>
      <c r="V11" s="237" t="s">
        <v>353</v>
      </c>
      <c r="W11" s="236" t="s">
        <v>548</v>
      </c>
      <c r="X11" s="220"/>
      <c r="Y11" s="220"/>
      <c r="Z11" s="220"/>
      <c r="AA11" s="220"/>
      <c r="AB11" s="220"/>
      <c r="AC11" s="220"/>
      <c r="AD11" s="220"/>
      <c r="AE11" s="235"/>
      <c r="AF11" s="37" t="s">
        <v>193</v>
      </c>
      <c r="AG11" s="220"/>
      <c r="AH11" s="220"/>
      <c r="AI11" s="220"/>
      <c r="AJ11" s="220"/>
      <c r="AK11" s="220"/>
      <c r="AL11" s="220"/>
      <c r="AM11" s="220"/>
      <c r="AN11" s="220"/>
      <c r="AO11" s="220"/>
      <c r="AP11" s="235"/>
      <c r="AQ11" s="238"/>
      <c r="AR11" s="239"/>
      <c r="AS11" s="239"/>
      <c r="AT11" s="239"/>
      <c r="AU11" s="239"/>
      <c r="AV11" s="239"/>
      <c r="AW11" s="239"/>
      <c r="AX11" s="239"/>
      <c r="AY11" s="239"/>
      <c r="AZ11" s="239"/>
      <c r="BA11" s="239"/>
      <c r="BB11" s="239"/>
      <c r="BC11" s="239"/>
      <c r="BD11" s="239"/>
      <c r="BE11" s="239"/>
      <c r="BF11" s="239"/>
      <c r="BG11" s="239"/>
      <c r="BH11" s="239"/>
      <c r="BI11" s="239"/>
      <c r="BJ11" s="239"/>
      <c r="BK11" s="240"/>
    </row>
    <row r="12" spans="1:65" ht="15.75" customHeight="1">
      <c r="A12" s="883">
        <v>4</v>
      </c>
      <c r="B12" s="884"/>
      <c r="C12" s="234" t="s">
        <v>547</v>
      </c>
      <c r="D12" s="236" t="s">
        <v>412</v>
      </c>
      <c r="E12" s="220"/>
      <c r="F12" s="220"/>
      <c r="G12" s="220"/>
      <c r="H12" s="220"/>
      <c r="I12" s="220"/>
      <c r="J12" s="235"/>
      <c r="K12" s="37" t="s">
        <v>355</v>
      </c>
      <c r="L12" s="220"/>
      <c r="M12" s="220"/>
      <c r="N12" s="220"/>
      <c r="O12" s="220"/>
      <c r="P12" s="220"/>
      <c r="Q12" s="220"/>
      <c r="R12" s="220"/>
      <c r="S12" s="220"/>
      <c r="T12" s="220"/>
      <c r="U12" s="235"/>
      <c r="V12" s="237" t="s">
        <v>353</v>
      </c>
      <c r="W12" s="236" t="s">
        <v>548</v>
      </c>
      <c r="X12" s="220"/>
      <c r="Y12" s="220"/>
      <c r="Z12" s="220"/>
      <c r="AA12" s="220"/>
      <c r="AB12" s="220"/>
      <c r="AC12" s="220"/>
      <c r="AD12" s="220"/>
      <c r="AE12" s="235"/>
      <c r="AF12" s="37" t="s">
        <v>355</v>
      </c>
      <c r="AG12" s="220"/>
      <c r="AH12" s="220"/>
      <c r="AI12" s="220"/>
      <c r="AJ12" s="220"/>
      <c r="AK12" s="220"/>
      <c r="AL12" s="220"/>
      <c r="AM12" s="220"/>
      <c r="AN12" s="220"/>
      <c r="AO12" s="220"/>
      <c r="AP12" s="235"/>
      <c r="AQ12" s="238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40"/>
    </row>
    <row r="13" spans="1:65" ht="15.75" customHeight="1">
      <c r="A13" s="883">
        <v>5</v>
      </c>
      <c r="B13" s="884"/>
      <c r="C13" s="234" t="s">
        <v>547</v>
      </c>
      <c r="D13" s="236" t="s">
        <v>412</v>
      </c>
      <c r="E13" s="220"/>
      <c r="F13" s="220"/>
      <c r="G13" s="220"/>
      <c r="H13" s="220"/>
      <c r="I13" s="220"/>
      <c r="J13" s="235"/>
      <c r="K13" s="37" t="s">
        <v>420</v>
      </c>
      <c r="L13" s="220"/>
      <c r="M13" s="220"/>
      <c r="N13" s="220"/>
      <c r="O13" s="220"/>
      <c r="P13" s="220"/>
      <c r="Q13" s="220"/>
      <c r="R13" s="220"/>
      <c r="S13" s="220"/>
      <c r="T13" s="220"/>
      <c r="U13" s="235"/>
      <c r="V13" s="237" t="s">
        <v>353</v>
      </c>
      <c r="W13" s="236" t="s">
        <v>548</v>
      </c>
      <c r="X13" s="220"/>
      <c r="Y13" s="220"/>
      <c r="Z13" s="220"/>
      <c r="AA13" s="220"/>
      <c r="AB13" s="220"/>
      <c r="AC13" s="220"/>
      <c r="AD13" s="220"/>
      <c r="AE13" s="235"/>
      <c r="AF13" s="37" t="s">
        <v>420</v>
      </c>
      <c r="AG13" s="220"/>
      <c r="AH13" s="220"/>
      <c r="AI13" s="220"/>
      <c r="AJ13" s="220"/>
      <c r="AK13" s="220"/>
      <c r="AL13" s="220"/>
      <c r="AM13" s="220"/>
      <c r="AN13" s="220"/>
      <c r="AO13" s="220"/>
      <c r="AP13" s="235"/>
      <c r="AQ13" s="238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40"/>
    </row>
    <row r="14" spans="1:65" ht="15.75" customHeight="1">
      <c r="A14" s="883">
        <v>6</v>
      </c>
      <c r="B14" s="884"/>
      <c r="C14" s="234" t="s">
        <v>547</v>
      </c>
      <c r="D14" s="236" t="s">
        <v>412</v>
      </c>
      <c r="E14" s="220"/>
      <c r="F14" s="220"/>
      <c r="G14" s="220"/>
      <c r="H14" s="220"/>
      <c r="I14" s="220"/>
      <c r="J14" s="235"/>
      <c r="K14" s="37" t="s">
        <v>357</v>
      </c>
      <c r="L14" s="220"/>
      <c r="M14" s="220"/>
      <c r="N14" s="220"/>
      <c r="O14" s="220"/>
      <c r="P14" s="220"/>
      <c r="Q14" s="220"/>
      <c r="R14" s="220"/>
      <c r="S14" s="220"/>
      <c r="T14" s="220"/>
      <c r="U14" s="235"/>
      <c r="V14" s="237" t="s">
        <v>353</v>
      </c>
      <c r="W14" s="236" t="s">
        <v>548</v>
      </c>
      <c r="X14" s="220"/>
      <c r="Y14" s="220"/>
      <c r="Z14" s="220"/>
      <c r="AA14" s="220"/>
      <c r="AB14" s="220"/>
      <c r="AC14" s="220"/>
      <c r="AD14" s="220"/>
      <c r="AE14" s="235"/>
      <c r="AF14" s="37" t="s">
        <v>357</v>
      </c>
      <c r="AG14" s="220"/>
      <c r="AH14" s="220"/>
      <c r="AI14" s="220"/>
      <c r="AJ14" s="220"/>
      <c r="AK14" s="220"/>
      <c r="AL14" s="220"/>
      <c r="AM14" s="220"/>
      <c r="AN14" s="220"/>
      <c r="AO14" s="220"/>
      <c r="AP14" s="235"/>
      <c r="AQ14" s="238"/>
      <c r="AR14" s="239"/>
      <c r="AS14" s="239"/>
      <c r="AT14" s="239"/>
      <c r="AU14" s="239"/>
      <c r="AV14" s="239"/>
      <c r="AW14" s="239"/>
      <c r="AX14" s="239"/>
      <c r="AY14" s="239"/>
      <c r="AZ14" s="239"/>
      <c r="BA14" s="239"/>
      <c r="BB14" s="239"/>
      <c r="BC14" s="239"/>
      <c r="BD14" s="239"/>
      <c r="BE14" s="239"/>
      <c r="BF14" s="239"/>
      <c r="BG14" s="239"/>
      <c r="BH14" s="239"/>
      <c r="BI14" s="239"/>
      <c r="BJ14" s="239"/>
      <c r="BK14" s="240"/>
    </row>
    <row r="15" spans="1:65" ht="15.75" customHeight="1">
      <c r="A15" s="883">
        <v>7</v>
      </c>
      <c r="B15" s="884"/>
      <c r="C15" s="234" t="s">
        <v>547</v>
      </c>
      <c r="D15" s="236" t="s">
        <v>412</v>
      </c>
      <c r="E15" s="220"/>
      <c r="F15" s="220"/>
      <c r="G15" s="220"/>
      <c r="H15" s="220"/>
      <c r="I15" s="220"/>
      <c r="J15" s="235"/>
      <c r="K15" s="37" t="s">
        <v>363</v>
      </c>
      <c r="L15" s="220"/>
      <c r="M15" s="220"/>
      <c r="N15" s="220"/>
      <c r="O15" s="220"/>
      <c r="P15" s="220"/>
      <c r="Q15" s="220"/>
      <c r="R15" s="220"/>
      <c r="S15" s="220"/>
      <c r="T15" s="220"/>
      <c r="U15" s="235"/>
      <c r="V15" s="237" t="s">
        <v>353</v>
      </c>
      <c r="W15" s="236" t="s">
        <v>548</v>
      </c>
      <c r="X15" s="220"/>
      <c r="Y15" s="220"/>
      <c r="Z15" s="220"/>
      <c r="AA15" s="220"/>
      <c r="AB15" s="220"/>
      <c r="AC15" s="220"/>
      <c r="AD15" s="220"/>
      <c r="AE15" s="235"/>
      <c r="AF15" s="37" t="s">
        <v>363</v>
      </c>
      <c r="AG15" s="220"/>
      <c r="AH15" s="220"/>
      <c r="AI15" s="220"/>
      <c r="AJ15" s="220"/>
      <c r="AK15" s="220"/>
      <c r="AL15" s="220"/>
      <c r="AM15" s="220"/>
      <c r="AN15" s="220"/>
      <c r="AO15" s="220"/>
      <c r="AP15" s="235"/>
      <c r="AQ15" s="238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40"/>
    </row>
    <row r="16" spans="1:65" ht="15.75" customHeight="1">
      <c r="A16" s="883">
        <v>8</v>
      </c>
      <c r="B16" s="884"/>
      <c r="C16" s="234" t="s">
        <v>547</v>
      </c>
      <c r="D16" s="236" t="s">
        <v>412</v>
      </c>
      <c r="E16" s="220"/>
      <c r="F16" s="220"/>
      <c r="G16" s="220"/>
      <c r="H16" s="220"/>
      <c r="I16" s="220"/>
      <c r="J16" s="235"/>
      <c r="K16" s="41" t="s">
        <v>605</v>
      </c>
      <c r="L16" s="220"/>
      <c r="M16" s="220"/>
      <c r="N16" s="220"/>
      <c r="O16" s="220"/>
      <c r="P16" s="220"/>
      <c r="Q16" s="220"/>
      <c r="R16" s="220"/>
      <c r="S16" s="220"/>
      <c r="T16" s="220"/>
      <c r="U16" s="235"/>
      <c r="V16" s="237" t="s">
        <v>624</v>
      </c>
      <c r="W16" s="236" t="s">
        <v>628</v>
      </c>
      <c r="X16" s="220"/>
      <c r="Y16" s="220"/>
      <c r="Z16" s="220"/>
      <c r="AA16" s="220"/>
      <c r="AB16" s="220"/>
      <c r="AC16" s="220"/>
      <c r="AD16" s="220"/>
      <c r="AE16" s="235"/>
      <c r="AF16" s="41" t="s">
        <v>605</v>
      </c>
      <c r="AG16" s="220"/>
      <c r="AH16" s="220"/>
      <c r="AI16" s="220"/>
      <c r="AJ16" s="220"/>
      <c r="AK16" s="220"/>
      <c r="AL16" s="220"/>
      <c r="AM16" s="220"/>
      <c r="AN16" s="220"/>
      <c r="AO16" s="220"/>
      <c r="AP16" s="235"/>
      <c r="AQ16" s="238" t="s">
        <v>630</v>
      </c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39"/>
      <c r="BK16" s="240"/>
      <c r="BM16" s="413" t="s">
        <v>619</v>
      </c>
    </row>
    <row r="17" spans="1:65" ht="15.75" customHeight="1">
      <c r="A17" s="883">
        <v>9</v>
      </c>
      <c r="B17" s="884"/>
      <c r="C17" s="234" t="s">
        <v>547</v>
      </c>
      <c r="D17" s="236" t="s">
        <v>412</v>
      </c>
      <c r="E17" s="220"/>
      <c r="F17" s="220"/>
      <c r="G17" s="220"/>
      <c r="H17" s="220"/>
      <c r="I17" s="220"/>
      <c r="J17" s="235"/>
      <c r="K17" s="52" t="s">
        <v>626</v>
      </c>
      <c r="L17" s="220"/>
      <c r="M17" s="220"/>
      <c r="N17" s="220"/>
      <c r="O17" s="220"/>
      <c r="P17" s="220"/>
      <c r="Q17" s="220"/>
      <c r="R17" s="220"/>
      <c r="S17" s="220"/>
      <c r="T17" s="220"/>
      <c r="U17" s="235"/>
      <c r="V17" s="237" t="s">
        <v>624</v>
      </c>
      <c r="W17" s="236" t="s">
        <v>625</v>
      </c>
      <c r="X17" s="220"/>
      <c r="Y17" s="220"/>
      <c r="Z17" s="220"/>
      <c r="AA17" s="220"/>
      <c r="AB17" s="220"/>
      <c r="AC17" s="220"/>
      <c r="AD17" s="220"/>
      <c r="AE17" s="235"/>
      <c r="AF17" s="52" t="s">
        <v>602</v>
      </c>
      <c r="AG17" s="220"/>
      <c r="AH17" s="220"/>
      <c r="AI17" s="220"/>
      <c r="AJ17" s="220"/>
      <c r="AK17" s="220"/>
      <c r="AL17" s="220"/>
      <c r="AM17" s="220"/>
      <c r="AN17" s="220"/>
      <c r="AO17" s="220"/>
      <c r="AP17" s="235"/>
      <c r="AQ17" s="238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  <c r="BB17" s="239"/>
      <c r="BC17" s="239"/>
      <c r="BD17" s="239"/>
      <c r="BE17" s="239"/>
      <c r="BF17" s="239"/>
      <c r="BG17" s="239"/>
      <c r="BH17" s="239"/>
      <c r="BI17" s="239"/>
      <c r="BJ17" s="239"/>
      <c r="BK17" s="240"/>
      <c r="BM17" s="413" t="s">
        <v>619</v>
      </c>
    </row>
    <row r="18" spans="1:65" ht="15.75" customHeight="1">
      <c r="A18" s="883">
        <v>10</v>
      </c>
      <c r="B18" s="884"/>
      <c r="C18" s="234" t="s">
        <v>547</v>
      </c>
      <c r="D18" s="236" t="s">
        <v>412</v>
      </c>
      <c r="E18" s="220"/>
      <c r="F18" s="220"/>
      <c r="G18" s="220"/>
      <c r="H18" s="220"/>
      <c r="I18" s="220"/>
      <c r="J18" s="235"/>
      <c r="K18" s="41" t="s">
        <v>549</v>
      </c>
      <c r="L18" s="220"/>
      <c r="M18" s="220"/>
      <c r="N18" s="220"/>
      <c r="O18" s="220"/>
      <c r="P18" s="220"/>
      <c r="Q18" s="220"/>
      <c r="R18" s="220"/>
      <c r="S18" s="220"/>
      <c r="T18" s="220"/>
      <c r="U18" s="235"/>
      <c r="V18" s="237" t="s">
        <v>353</v>
      </c>
      <c r="W18" s="236" t="s">
        <v>550</v>
      </c>
      <c r="X18" s="220"/>
      <c r="Y18" s="220"/>
      <c r="Z18" s="220"/>
      <c r="AA18" s="220"/>
      <c r="AB18" s="220"/>
      <c r="AC18" s="220"/>
      <c r="AD18" s="220"/>
      <c r="AE18" s="235"/>
      <c r="AF18" s="41" t="s">
        <v>551</v>
      </c>
      <c r="AG18" s="220"/>
      <c r="AH18" s="220"/>
      <c r="AI18" s="220"/>
      <c r="AJ18" s="220"/>
      <c r="AK18" s="220"/>
      <c r="AL18" s="220"/>
      <c r="AM18" s="220"/>
      <c r="AN18" s="220"/>
      <c r="AO18" s="220"/>
      <c r="AP18" s="235"/>
      <c r="AQ18" s="238" t="s">
        <v>552</v>
      </c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39"/>
      <c r="BK18" s="240"/>
    </row>
    <row r="19" spans="1:65" ht="15.75" customHeight="1">
      <c r="A19" s="883">
        <v>11</v>
      </c>
      <c r="B19" s="884"/>
      <c r="C19" s="234" t="s">
        <v>547</v>
      </c>
      <c r="D19" s="236" t="s">
        <v>412</v>
      </c>
      <c r="E19" s="220"/>
      <c r="F19" s="220"/>
      <c r="G19" s="220"/>
      <c r="H19" s="220"/>
      <c r="I19" s="220"/>
      <c r="J19" s="235"/>
      <c r="K19" s="52" t="s">
        <v>553</v>
      </c>
      <c r="L19" s="220"/>
      <c r="M19" s="220"/>
      <c r="N19" s="220"/>
      <c r="O19" s="220"/>
      <c r="P19" s="220"/>
      <c r="Q19" s="220"/>
      <c r="R19" s="220"/>
      <c r="S19" s="220"/>
      <c r="T19" s="220"/>
      <c r="U19" s="235"/>
      <c r="V19" s="237" t="s">
        <v>353</v>
      </c>
      <c r="W19" s="236" t="s">
        <v>554</v>
      </c>
      <c r="X19" s="220"/>
      <c r="Y19" s="220"/>
      <c r="Z19" s="220"/>
      <c r="AA19" s="220"/>
      <c r="AB19" s="220"/>
      <c r="AC19" s="220"/>
      <c r="AD19" s="220"/>
      <c r="AE19" s="235"/>
      <c r="AF19" s="52" t="s">
        <v>276</v>
      </c>
      <c r="AG19" s="220"/>
      <c r="AH19" s="220"/>
      <c r="AI19" s="220"/>
      <c r="AJ19" s="220"/>
      <c r="AK19" s="220"/>
      <c r="AL19" s="220"/>
      <c r="AM19" s="220"/>
      <c r="AN19" s="220"/>
      <c r="AO19" s="220"/>
      <c r="AP19" s="235"/>
      <c r="AQ19" s="238"/>
      <c r="AR19" s="239"/>
      <c r="AS19" s="239"/>
      <c r="AT19" s="239"/>
      <c r="AU19" s="239"/>
      <c r="AV19" s="239"/>
      <c r="AW19" s="239"/>
      <c r="AX19" s="239"/>
      <c r="AY19" s="239"/>
      <c r="AZ19" s="239"/>
      <c r="BA19" s="239"/>
      <c r="BB19" s="239"/>
      <c r="BC19" s="239"/>
      <c r="BD19" s="239"/>
      <c r="BE19" s="239"/>
      <c r="BF19" s="239"/>
      <c r="BG19" s="239"/>
      <c r="BH19" s="239"/>
      <c r="BI19" s="239"/>
      <c r="BJ19" s="239"/>
      <c r="BK19" s="240"/>
    </row>
    <row r="20" spans="1:65" ht="15.75" customHeight="1">
      <c r="A20" s="883">
        <v>12</v>
      </c>
      <c r="B20" s="884"/>
      <c r="C20" s="234" t="s">
        <v>547</v>
      </c>
      <c r="D20" s="236" t="s">
        <v>412</v>
      </c>
      <c r="E20" s="220"/>
      <c r="F20" s="220"/>
      <c r="G20" s="220"/>
      <c r="H20" s="220"/>
      <c r="I20" s="220"/>
      <c r="J20" s="235"/>
      <c r="K20" s="41" t="s">
        <v>607</v>
      </c>
      <c r="L20" s="220"/>
      <c r="M20" s="220"/>
      <c r="N20" s="220"/>
      <c r="O20" s="220"/>
      <c r="P20" s="220"/>
      <c r="Q20" s="220"/>
      <c r="R20" s="220"/>
      <c r="S20" s="220"/>
      <c r="T20" s="220"/>
      <c r="U20" s="235"/>
      <c r="V20" s="237" t="s">
        <v>624</v>
      </c>
      <c r="W20" s="236" t="s">
        <v>629</v>
      </c>
      <c r="X20" s="220"/>
      <c r="Y20" s="220"/>
      <c r="Z20" s="220"/>
      <c r="AA20" s="220"/>
      <c r="AB20" s="220"/>
      <c r="AC20" s="220"/>
      <c r="AD20" s="220"/>
      <c r="AE20" s="235"/>
      <c r="AF20" s="41" t="s">
        <v>607</v>
      </c>
      <c r="AG20" s="220"/>
      <c r="AH20" s="220"/>
      <c r="AI20" s="220"/>
      <c r="AJ20" s="220"/>
      <c r="AK20" s="220"/>
      <c r="AL20" s="220"/>
      <c r="AM20" s="220"/>
      <c r="AN20" s="220"/>
      <c r="AO20" s="220"/>
      <c r="AP20" s="235"/>
      <c r="AQ20" s="238" t="s">
        <v>631</v>
      </c>
      <c r="AR20" s="239"/>
      <c r="AS20" s="239"/>
      <c r="AT20" s="239"/>
      <c r="AU20" s="239"/>
      <c r="AV20" s="239"/>
      <c r="AW20" s="239"/>
      <c r="AX20" s="239"/>
      <c r="AY20" s="239"/>
      <c r="AZ20" s="239"/>
      <c r="BA20" s="239"/>
      <c r="BB20" s="239"/>
      <c r="BC20" s="239"/>
      <c r="BD20" s="239"/>
      <c r="BE20" s="239"/>
      <c r="BF20" s="239"/>
      <c r="BG20" s="239"/>
      <c r="BH20" s="239"/>
      <c r="BI20" s="239"/>
      <c r="BJ20" s="239"/>
      <c r="BK20" s="240"/>
      <c r="BM20" s="413" t="s">
        <v>619</v>
      </c>
    </row>
    <row r="21" spans="1:65" ht="15.75" customHeight="1">
      <c r="A21" s="883">
        <v>13</v>
      </c>
      <c r="B21" s="884"/>
      <c r="C21" s="234" t="s">
        <v>547</v>
      </c>
      <c r="D21" s="236" t="s">
        <v>412</v>
      </c>
      <c r="E21" s="220"/>
      <c r="F21" s="220"/>
      <c r="G21" s="220"/>
      <c r="H21" s="220"/>
      <c r="I21" s="220"/>
      <c r="J21" s="235"/>
      <c r="K21" s="52" t="s">
        <v>627</v>
      </c>
      <c r="L21" s="220"/>
      <c r="M21" s="220"/>
      <c r="N21" s="220"/>
      <c r="O21" s="220"/>
      <c r="P21" s="220"/>
      <c r="Q21" s="220"/>
      <c r="R21" s="220"/>
      <c r="S21" s="220"/>
      <c r="T21" s="220"/>
      <c r="U21" s="235"/>
      <c r="V21" s="237" t="s">
        <v>624</v>
      </c>
      <c r="W21" s="236" t="s">
        <v>625</v>
      </c>
      <c r="X21" s="220"/>
      <c r="Y21" s="220"/>
      <c r="Z21" s="220"/>
      <c r="AA21" s="220"/>
      <c r="AB21" s="220"/>
      <c r="AC21" s="220"/>
      <c r="AD21" s="220"/>
      <c r="AE21" s="235"/>
      <c r="AF21" s="52" t="s">
        <v>602</v>
      </c>
      <c r="AG21" s="220"/>
      <c r="AH21" s="220"/>
      <c r="AI21" s="220"/>
      <c r="AJ21" s="220"/>
      <c r="AK21" s="220"/>
      <c r="AL21" s="220"/>
      <c r="AM21" s="220"/>
      <c r="AN21" s="220"/>
      <c r="AO21" s="220"/>
      <c r="AP21" s="235"/>
      <c r="AQ21" s="238"/>
      <c r="AR21" s="239"/>
      <c r="AS21" s="239"/>
      <c r="AT21" s="239"/>
      <c r="AU21" s="239"/>
      <c r="AV21" s="239"/>
      <c r="AW21" s="239"/>
      <c r="AX21" s="239"/>
      <c r="AY21" s="239"/>
      <c r="AZ21" s="239"/>
      <c r="BA21" s="239"/>
      <c r="BB21" s="239"/>
      <c r="BC21" s="239"/>
      <c r="BD21" s="239"/>
      <c r="BE21" s="239"/>
      <c r="BF21" s="239"/>
      <c r="BG21" s="239"/>
      <c r="BH21" s="239"/>
      <c r="BI21" s="239"/>
      <c r="BJ21" s="239"/>
      <c r="BK21" s="240"/>
      <c r="BM21" s="413" t="s">
        <v>619</v>
      </c>
    </row>
    <row r="22" spans="1:65" ht="15.75" customHeight="1">
      <c r="A22" s="883">
        <v>14</v>
      </c>
      <c r="B22" s="884"/>
      <c r="C22" s="234" t="s">
        <v>547</v>
      </c>
      <c r="D22" s="236" t="s">
        <v>412</v>
      </c>
      <c r="E22" s="220"/>
      <c r="F22" s="220"/>
      <c r="G22" s="220"/>
      <c r="H22" s="220"/>
      <c r="I22" s="220"/>
      <c r="J22" s="235"/>
      <c r="K22" s="41" t="s">
        <v>260</v>
      </c>
      <c r="L22" s="220"/>
      <c r="M22" s="220"/>
      <c r="N22" s="220"/>
      <c r="O22" s="220"/>
      <c r="P22" s="220"/>
      <c r="Q22" s="220"/>
      <c r="R22" s="220"/>
      <c r="S22" s="220"/>
      <c r="T22" s="220"/>
      <c r="U22" s="235"/>
      <c r="V22" s="237" t="s">
        <v>353</v>
      </c>
      <c r="W22" s="236" t="s">
        <v>548</v>
      </c>
      <c r="X22" s="220"/>
      <c r="Y22" s="220"/>
      <c r="Z22" s="220"/>
      <c r="AA22" s="220"/>
      <c r="AB22" s="220"/>
      <c r="AC22" s="220"/>
      <c r="AD22" s="220"/>
      <c r="AE22" s="235"/>
      <c r="AF22" s="41" t="s">
        <v>260</v>
      </c>
      <c r="AG22" s="220"/>
      <c r="AH22" s="220"/>
      <c r="AI22" s="220"/>
      <c r="AJ22" s="220"/>
      <c r="AK22" s="220"/>
      <c r="AL22" s="220"/>
      <c r="AM22" s="220"/>
      <c r="AN22" s="220"/>
      <c r="AO22" s="220"/>
      <c r="AP22" s="235"/>
      <c r="AQ22" s="238"/>
      <c r="AR22" s="239"/>
      <c r="AS22" s="239"/>
      <c r="AT22" s="239"/>
      <c r="AU22" s="239"/>
      <c r="AV22" s="239"/>
      <c r="AW22" s="239"/>
      <c r="AX22" s="239"/>
      <c r="AY22" s="239"/>
      <c r="AZ22" s="239"/>
      <c r="BA22" s="239"/>
      <c r="BB22" s="239"/>
      <c r="BC22" s="239"/>
      <c r="BD22" s="239"/>
      <c r="BE22" s="239"/>
      <c r="BF22" s="239"/>
      <c r="BG22" s="239"/>
      <c r="BH22" s="239"/>
      <c r="BI22" s="239"/>
      <c r="BJ22" s="239"/>
      <c r="BK22" s="240"/>
    </row>
    <row r="23" spans="1:65" ht="15.75" customHeight="1">
      <c r="A23" s="883">
        <v>15</v>
      </c>
      <c r="B23" s="884"/>
      <c r="C23" s="234" t="s">
        <v>547</v>
      </c>
      <c r="D23" s="236" t="s">
        <v>412</v>
      </c>
      <c r="E23" s="220"/>
      <c r="F23" s="220"/>
      <c r="G23" s="220"/>
      <c r="H23" s="220"/>
      <c r="I23" s="220"/>
      <c r="J23" s="235"/>
      <c r="K23" s="52" t="s">
        <v>555</v>
      </c>
      <c r="L23" s="220"/>
      <c r="M23" s="220"/>
      <c r="N23" s="220"/>
      <c r="O23" s="220"/>
      <c r="P23" s="220"/>
      <c r="Q23" s="220"/>
      <c r="R23" s="220"/>
      <c r="S23" s="220"/>
      <c r="T23" s="220"/>
      <c r="U23" s="235"/>
      <c r="V23" s="237" t="s">
        <v>353</v>
      </c>
      <c r="W23" s="236" t="s">
        <v>195</v>
      </c>
      <c r="X23" s="220"/>
      <c r="Y23" s="220"/>
      <c r="Z23" s="220"/>
      <c r="AA23" s="220"/>
      <c r="AB23" s="220"/>
      <c r="AC23" s="220"/>
      <c r="AD23" s="220"/>
      <c r="AE23" s="235"/>
      <c r="AF23" s="52" t="s">
        <v>556</v>
      </c>
      <c r="AG23" s="220"/>
      <c r="AH23" s="220"/>
      <c r="AI23" s="220"/>
      <c r="AJ23" s="220"/>
      <c r="AK23" s="220"/>
      <c r="AL23" s="220"/>
      <c r="AM23" s="220"/>
      <c r="AN23" s="220"/>
      <c r="AO23" s="220"/>
      <c r="AP23" s="235"/>
      <c r="AQ23" s="238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39"/>
      <c r="BK23" s="240"/>
    </row>
    <row r="24" spans="1:65" ht="15.75" customHeight="1">
      <c r="A24" s="883">
        <v>16</v>
      </c>
      <c r="B24" s="884"/>
      <c r="C24" s="234" t="s">
        <v>547</v>
      </c>
      <c r="D24" s="236" t="s">
        <v>412</v>
      </c>
      <c r="E24" s="220"/>
      <c r="F24" s="220"/>
      <c r="G24" s="220"/>
      <c r="H24" s="220"/>
      <c r="I24" s="220"/>
      <c r="J24" s="235"/>
      <c r="K24" s="37" t="s">
        <v>557</v>
      </c>
      <c r="L24" s="220"/>
      <c r="M24" s="220"/>
      <c r="N24" s="220"/>
      <c r="O24" s="220"/>
      <c r="P24" s="220"/>
      <c r="Q24" s="220"/>
      <c r="R24" s="220"/>
      <c r="S24" s="220"/>
      <c r="T24" s="220"/>
      <c r="U24" s="235"/>
      <c r="V24" s="237" t="s">
        <v>353</v>
      </c>
      <c r="W24" s="236" t="s">
        <v>548</v>
      </c>
      <c r="X24" s="220"/>
      <c r="Y24" s="220"/>
      <c r="Z24" s="220"/>
      <c r="AA24" s="220"/>
      <c r="AB24" s="220"/>
      <c r="AC24" s="220"/>
      <c r="AD24" s="220"/>
      <c r="AE24" s="235"/>
      <c r="AF24" s="37" t="s">
        <v>557</v>
      </c>
      <c r="AG24" s="220"/>
      <c r="AH24" s="220"/>
      <c r="AI24" s="220"/>
      <c r="AJ24" s="220"/>
      <c r="AK24" s="220"/>
      <c r="AL24" s="220"/>
      <c r="AM24" s="220"/>
      <c r="AN24" s="220"/>
      <c r="AO24" s="220"/>
      <c r="AP24" s="235"/>
      <c r="AQ24" s="238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39"/>
      <c r="BK24" s="240"/>
    </row>
    <row r="25" spans="1:65" ht="15.75" customHeight="1">
      <c r="A25" s="883">
        <v>17</v>
      </c>
      <c r="B25" s="884"/>
      <c r="C25" s="234" t="s">
        <v>547</v>
      </c>
      <c r="D25" s="236" t="s">
        <v>412</v>
      </c>
      <c r="E25" s="220"/>
      <c r="F25" s="220"/>
      <c r="G25" s="220"/>
      <c r="H25" s="220"/>
      <c r="I25" s="220"/>
      <c r="J25" s="235"/>
      <c r="K25" s="37" t="s">
        <v>432</v>
      </c>
      <c r="L25" s="220"/>
      <c r="M25" s="220"/>
      <c r="N25" s="220"/>
      <c r="O25" s="220"/>
      <c r="P25" s="220"/>
      <c r="Q25" s="220"/>
      <c r="R25" s="220"/>
      <c r="S25" s="220"/>
      <c r="T25" s="220"/>
      <c r="U25" s="235"/>
      <c r="V25" s="237" t="s">
        <v>353</v>
      </c>
      <c r="W25" s="236" t="s">
        <v>548</v>
      </c>
      <c r="X25" s="220"/>
      <c r="Y25" s="220"/>
      <c r="Z25" s="220"/>
      <c r="AA25" s="220"/>
      <c r="AB25" s="220"/>
      <c r="AC25" s="220"/>
      <c r="AD25" s="220"/>
      <c r="AE25" s="235"/>
      <c r="AF25" s="37" t="s">
        <v>432</v>
      </c>
      <c r="AG25" s="220"/>
      <c r="AH25" s="220"/>
      <c r="AI25" s="220"/>
      <c r="AJ25" s="220"/>
      <c r="AK25" s="220"/>
      <c r="AL25" s="220"/>
      <c r="AM25" s="220"/>
      <c r="AN25" s="220"/>
      <c r="AO25" s="220"/>
      <c r="AP25" s="235"/>
      <c r="AQ25" s="238"/>
      <c r="AR25" s="239"/>
      <c r="AS25" s="239"/>
      <c r="AT25" s="239"/>
      <c r="AU25" s="239"/>
      <c r="AV25" s="239"/>
      <c r="AW25" s="239"/>
      <c r="AX25" s="239"/>
      <c r="AY25" s="239"/>
      <c r="AZ25" s="239"/>
      <c r="BA25" s="239"/>
      <c r="BB25" s="239"/>
      <c r="BC25" s="239"/>
      <c r="BD25" s="239"/>
      <c r="BE25" s="239"/>
      <c r="BF25" s="239"/>
      <c r="BG25" s="239"/>
      <c r="BH25" s="239"/>
      <c r="BI25" s="239"/>
      <c r="BJ25" s="239"/>
      <c r="BK25" s="240"/>
    </row>
    <row r="26" spans="1:65" ht="15.75" customHeight="1">
      <c r="A26" s="883">
        <v>18</v>
      </c>
      <c r="B26" s="884"/>
      <c r="C26" s="234" t="s">
        <v>547</v>
      </c>
      <c r="D26" s="236" t="s">
        <v>412</v>
      </c>
      <c r="E26" s="220"/>
      <c r="F26" s="220"/>
      <c r="G26" s="220"/>
      <c r="H26" s="220"/>
      <c r="I26" s="220"/>
      <c r="J26" s="235"/>
      <c r="K26" s="37" t="s">
        <v>434</v>
      </c>
      <c r="L26" s="220"/>
      <c r="M26" s="220"/>
      <c r="N26" s="220"/>
      <c r="O26" s="220"/>
      <c r="P26" s="220"/>
      <c r="Q26" s="220"/>
      <c r="R26" s="220"/>
      <c r="S26" s="220"/>
      <c r="T26" s="220"/>
      <c r="U26" s="235"/>
      <c r="V26" s="237" t="s">
        <v>353</v>
      </c>
      <c r="W26" s="236" t="s">
        <v>548</v>
      </c>
      <c r="X26" s="220"/>
      <c r="Y26" s="220"/>
      <c r="Z26" s="220"/>
      <c r="AA26" s="220"/>
      <c r="AB26" s="220"/>
      <c r="AC26" s="220"/>
      <c r="AD26" s="220"/>
      <c r="AE26" s="235"/>
      <c r="AF26" s="37" t="s">
        <v>434</v>
      </c>
      <c r="AG26" s="220"/>
      <c r="AH26" s="220"/>
      <c r="AI26" s="220"/>
      <c r="AJ26" s="220"/>
      <c r="AK26" s="220"/>
      <c r="AL26" s="220"/>
      <c r="AM26" s="220"/>
      <c r="AN26" s="220"/>
      <c r="AO26" s="220"/>
      <c r="AP26" s="235"/>
      <c r="AQ26" s="238"/>
      <c r="AR26" s="239"/>
      <c r="AS26" s="239"/>
      <c r="AT26" s="239"/>
      <c r="AU26" s="239"/>
      <c r="AV26" s="239"/>
      <c r="AW26" s="239"/>
      <c r="AX26" s="239"/>
      <c r="AY26" s="239"/>
      <c r="AZ26" s="239"/>
      <c r="BA26" s="239"/>
      <c r="BB26" s="239"/>
      <c r="BC26" s="239"/>
      <c r="BD26" s="239"/>
      <c r="BE26" s="239"/>
      <c r="BF26" s="239"/>
      <c r="BG26" s="239"/>
      <c r="BH26" s="239"/>
      <c r="BI26" s="239"/>
      <c r="BJ26" s="239"/>
      <c r="BK26" s="240"/>
    </row>
    <row r="27" spans="1:65" ht="15.75" customHeight="1">
      <c r="A27" s="883">
        <v>19</v>
      </c>
      <c r="B27" s="884"/>
      <c r="C27" s="234" t="s">
        <v>547</v>
      </c>
      <c r="D27" s="236" t="s">
        <v>412</v>
      </c>
      <c r="E27" s="220"/>
      <c r="F27" s="220"/>
      <c r="G27" s="220"/>
      <c r="H27" s="220"/>
      <c r="I27" s="220"/>
      <c r="J27" s="235"/>
      <c r="K27" s="37" t="s">
        <v>436</v>
      </c>
      <c r="L27" s="220"/>
      <c r="M27" s="220"/>
      <c r="N27" s="220"/>
      <c r="O27" s="220"/>
      <c r="P27" s="220"/>
      <c r="Q27" s="220"/>
      <c r="R27" s="220"/>
      <c r="S27" s="220"/>
      <c r="T27" s="220"/>
      <c r="U27" s="235"/>
      <c r="V27" s="237" t="s">
        <v>353</v>
      </c>
      <c r="W27" s="236" t="s">
        <v>548</v>
      </c>
      <c r="X27" s="220"/>
      <c r="Y27" s="220"/>
      <c r="Z27" s="220"/>
      <c r="AA27" s="220"/>
      <c r="AB27" s="220"/>
      <c r="AC27" s="220"/>
      <c r="AD27" s="220"/>
      <c r="AE27" s="235"/>
      <c r="AF27" s="37" t="s">
        <v>436</v>
      </c>
      <c r="AG27" s="220"/>
      <c r="AH27" s="220"/>
      <c r="AI27" s="220"/>
      <c r="AJ27" s="220"/>
      <c r="AK27" s="220"/>
      <c r="AL27" s="220"/>
      <c r="AM27" s="220"/>
      <c r="AN27" s="220"/>
      <c r="AO27" s="220"/>
      <c r="AP27" s="235"/>
      <c r="AQ27" s="238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39"/>
      <c r="BH27" s="239"/>
      <c r="BI27" s="239"/>
      <c r="BJ27" s="239"/>
      <c r="BK27" s="240"/>
    </row>
    <row r="28" spans="1:65" ht="15.75" customHeight="1">
      <c r="A28" s="883">
        <v>20</v>
      </c>
      <c r="B28" s="884"/>
      <c r="C28" s="234" t="s">
        <v>547</v>
      </c>
      <c r="D28" s="236" t="s">
        <v>412</v>
      </c>
      <c r="E28" s="220"/>
      <c r="F28" s="220"/>
      <c r="G28" s="220"/>
      <c r="H28" s="220"/>
      <c r="I28" s="220"/>
      <c r="J28" s="235"/>
      <c r="K28" s="37" t="s">
        <v>438</v>
      </c>
      <c r="L28" s="220"/>
      <c r="M28" s="220"/>
      <c r="N28" s="220"/>
      <c r="O28" s="220"/>
      <c r="P28" s="220"/>
      <c r="Q28" s="220"/>
      <c r="R28" s="220"/>
      <c r="S28" s="220"/>
      <c r="T28" s="220"/>
      <c r="U28" s="235"/>
      <c r="V28" s="237" t="s">
        <v>353</v>
      </c>
      <c r="W28" s="236" t="s">
        <v>548</v>
      </c>
      <c r="X28" s="220"/>
      <c r="Y28" s="220"/>
      <c r="Z28" s="220"/>
      <c r="AA28" s="220"/>
      <c r="AB28" s="220"/>
      <c r="AC28" s="220"/>
      <c r="AD28" s="220"/>
      <c r="AE28" s="235"/>
      <c r="AF28" s="37" t="s">
        <v>558</v>
      </c>
      <c r="AG28" s="220"/>
      <c r="AH28" s="220"/>
      <c r="AI28" s="220"/>
      <c r="AJ28" s="220"/>
      <c r="AK28" s="220"/>
      <c r="AL28" s="220"/>
      <c r="AM28" s="220"/>
      <c r="AN28" s="220"/>
      <c r="AO28" s="220"/>
      <c r="AP28" s="235"/>
      <c r="AQ28" s="238"/>
      <c r="AR28" s="239"/>
      <c r="AS28" s="239"/>
      <c r="AT28" s="239"/>
      <c r="AU28" s="239"/>
      <c r="AV28" s="239"/>
      <c r="AW28" s="239"/>
      <c r="AX28" s="239"/>
      <c r="AY28" s="239"/>
      <c r="AZ28" s="239"/>
      <c r="BA28" s="239"/>
      <c r="BB28" s="239"/>
      <c r="BC28" s="239"/>
      <c r="BD28" s="239"/>
      <c r="BE28" s="239"/>
      <c r="BF28" s="239"/>
      <c r="BG28" s="239"/>
      <c r="BH28" s="239"/>
      <c r="BI28" s="239"/>
      <c r="BJ28" s="239"/>
      <c r="BK28" s="240"/>
    </row>
    <row r="29" spans="1:65" ht="15.75" customHeight="1">
      <c r="A29" s="883">
        <v>21</v>
      </c>
      <c r="B29" s="884"/>
      <c r="C29" s="234" t="s">
        <v>547</v>
      </c>
      <c r="D29" s="236" t="s">
        <v>412</v>
      </c>
      <c r="E29" s="220"/>
      <c r="F29" s="220"/>
      <c r="G29" s="220"/>
      <c r="H29" s="220"/>
      <c r="I29" s="220"/>
      <c r="J29" s="235"/>
      <c r="K29" s="37" t="s">
        <v>440</v>
      </c>
      <c r="L29" s="220"/>
      <c r="M29" s="220"/>
      <c r="N29" s="220"/>
      <c r="O29" s="220"/>
      <c r="P29" s="220"/>
      <c r="Q29" s="220"/>
      <c r="R29" s="220"/>
      <c r="S29" s="220"/>
      <c r="T29" s="220"/>
      <c r="U29" s="235"/>
      <c r="V29" s="237" t="s">
        <v>353</v>
      </c>
      <c r="W29" s="236" t="s">
        <v>548</v>
      </c>
      <c r="X29" s="220"/>
      <c r="Y29" s="220"/>
      <c r="Z29" s="220"/>
      <c r="AA29" s="220"/>
      <c r="AB29" s="220"/>
      <c r="AC29" s="220"/>
      <c r="AD29" s="220"/>
      <c r="AE29" s="235"/>
      <c r="AF29" s="37" t="s">
        <v>559</v>
      </c>
      <c r="AG29" s="220"/>
      <c r="AH29" s="220"/>
      <c r="AI29" s="220"/>
      <c r="AJ29" s="220"/>
      <c r="AK29" s="220"/>
      <c r="AL29" s="220"/>
      <c r="AM29" s="220"/>
      <c r="AN29" s="220"/>
      <c r="AO29" s="220"/>
      <c r="AP29" s="235"/>
      <c r="AQ29" s="238"/>
      <c r="AR29" s="239"/>
      <c r="AS29" s="239"/>
      <c r="AT29" s="239"/>
      <c r="AU29" s="239"/>
      <c r="AV29" s="239"/>
      <c r="AW29" s="239"/>
      <c r="AX29" s="239"/>
      <c r="AY29" s="239"/>
      <c r="AZ29" s="239"/>
      <c r="BA29" s="239"/>
      <c r="BB29" s="239"/>
      <c r="BC29" s="239"/>
      <c r="BD29" s="239"/>
      <c r="BE29" s="239"/>
      <c r="BF29" s="239"/>
      <c r="BG29" s="239"/>
      <c r="BH29" s="239"/>
      <c r="BI29" s="239"/>
      <c r="BJ29" s="239"/>
      <c r="BK29" s="240"/>
    </row>
    <row r="30" spans="1:65" ht="15.75" customHeight="1">
      <c r="A30" s="883">
        <v>22</v>
      </c>
      <c r="B30" s="884"/>
      <c r="C30" s="234" t="s">
        <v>547</v>
      </c>
      <c r="D30" s="236" t="s">
        <v>412</v>
      </c>
      <c r="E30" s="220"/>
      <c r="F30" s="220"/>
      <c r="G30" s="220"/>
      <c r="H30" s="220"/>
      <c r="I30" s="220"/>
      <c r="J30" s="235"/>
      <c r="K30" s="37" t="s">
        <v>442</v>
      </c>
      <c r="L30" s="220"/>
      <c r="M30" s="220"/>
      <c r="N30" s="220"/>
      <c r="O30" s="220"/>
      <c r="P30" s="220"/>
      <c r="Q30" s="220"/>
      <c r="R30" s="220"/>
      <c r="S30" s="220"/>
      <c r="T30" s="220"/>
      <c r="U30" s="235"/>
      <c r="V30" s="237" t="s">
        <v>353</v>
      </c>
      <c r="W30" s="236" t="s">
        <v>548</v>
      </c>
      <c r="X30" s="220"/>
      <c r="Y30" s="220"/>
      <c r="Z30" s="220"/>
      <c r="AA30" s="220"/>
      <c r="AB30" s="220"/>
      <c r="AC30" s="220"/>
      <c r="AD30" s="220"/>
      <c r="AE30" s="235"/>
      <c r="AF30" s="37" t="s">
        <v>560</v>
      </c>
      <c r="AG30" s="220"/>
      <c r="AH30" s="220"/>
      <c r="AI30" s="220"/>
      <c r="AJ30" s="220"/>
      <c r="AK30" s="220"/>
      <c r="AL30" s="220"/>
      <c r="AM30" s="220"/>
      <c r="AN30" s="220"/>
      <c r="AO30" s="220"/>
      <c r="AP30" s="235"/>
      <c r="AQ30" s="238"/>
      <c r="AR30" s="239"/>
      <c r="AS30" s="239"/>
      <c r="AT30" s="239"/>
      <c r="AU30" s="239"/>
      <c r="AV30" s="239"/>
      <c r="AW30" s="239"/>
      <c r="AX30" s="239"/>
      <c r="AY30" s="239"/>
      <c r="AZ30" s="239"/>
      <c r="BA30" s="239"/>
      <c r="BB30" s="239"/>
      <c r="BC30" s="239"/>
      <c r="BD30" s="239"/>
      <c r="BE30" s="239"/>
      <c r="BF30" s="239"/>
      <c r="BG30" s="239"/>
      <c r="BH30" s="239"/>
      <c r="BI30" s="239"/>
      <c r="BJ30" s="239"/>
      <c r="BK30" s="240"/>
    </row>
    <row r="31" spans="1:65" ht="15.75" customHeight="1">
      <c r="A31" s="883">
        <v>23</v>
      </c>
      <c r="B31" s="884"/>
      <c r="C31" s="234" t="s">
        <v>547</v>
      </c>
      <c r="D31" s="236" t="s">
        <v>412</v>
      </c>
      <c r="E31" s="220"/>
      <c r="F31" s="220"/>
      <c r="G31" s="220"/>
      <c r="H31" s="220"/>
      <c r="I31" s="220"/>
      <c r="J31" s="235"/>
      <c r="K31" s="37" t="s">
        <v>444</v>
      </c>
      <c r="L31" s="220"/>
      <c r="M31" s="220"/>
      <c r="N31" s="220"/>
      <c r="O31" s="220"/>
      <c r="P31" s="220"/>
      <c r="Q31" s="220"/>
      <c r="R31" s="220"/>
      <c r="S31" s="220"/>
      <c r="T31" s="220"/>
      <c r="U31" s="235"/>
      <c r="V31" s="237" t="s">
        <v>353</v>
      </c>
      <c r="W31" s="236" t="s">
        <v>548</v>
      </c>
      <c r="X31" s="220"/>
      <c r="Y31" s="220"/>
      <c r="Z31" s="220"/>
      <c r="AA31" s="220"/>
      <c r="AB31" s="220"/>
      <c r="AC31" s="220"/>
      <c r="AD31" s="220"/>
      <c r="AE31" s="235"/>
      <c r="AF31" s="41" t="s">
        <v>561</v>
      </c>
      <c r="AG31" s="220"/>
      <c r="AH31" s="220"/>
      <c r="AI31" s="220"/>
      <c r="AJ31" s="220"/>
      <c r="AK31" s="220"/>
      <c r="AL31" s="220"/>
      <c r="AM31" s="220"/>
      <c r="AN31" s="220"/>
      <c r="AO31" s="220"/>
      <c r="AP31" s="235"/>
      <c r="AQ31" s="238"/>
      <c r="AR31" s="239"/>
      <c r="AS31" s="239"/>
      <c r="AT31" s="239"/>
      <c r="AU31" s="239"/>
      <c r="AV31" s="239"/>
      <c r="AW31" s="239"/>
      <c r="AX31" s="239"/>
      <c r="AY31" s="239"/>
      <c r="AZ31" s="239"/>
      <c r="BA31" s="239"/>
      <c r="BB31" s="239"/>
      <c r="BC31" s="239"/>
      <c r="BD31" s="239"/>
      <c r="BE31" s="239"/>
      <c r="BF31" s="239"/>
      <c r="BG31" s="239"/>
      <c r="BH31" s="239"/>
      <c r="BI31" s="239"/>
      <c r="BJ31" s="239"/>
      <c r="BK31" s="240"/>
    </row>
    <row r="32" spans="1:65" ht="15.75" customHeight="1">
      <c r="A32" s="883">
        <v>24</v>
      </c>
      <c r="B32" s="884"/>
      <c r="C32" s="234" t="s">
        <v>547</v>
      </c>
      <c r="D32" s="236" t="s">
        <v>412</v>
      </c>
      <c r="E32" s="220"/>
      <c r="F32" s="220"/>
      <c r="G32" s="220"/>
      <c r="H32" s="220"/>
      <c r="I32" s="220"/>
      <c r="J32" s="235"/>
      <c r="K32" s="37" t="s">
        <v>446</v>
      </c>
      <c r="L32" s="220"/>
      <c r="M32" s="220"/>
      <c r="N32" s="220"/>
      <c r="O32" s="220"/>
      <c r="P32" s="220"/>
      <c r="Q32" s="220"/>
      <c r="R32" s="220"/>
      <c r="S32" s="220"/>
      <c r="T32" s="220"/>
      <c r="U32" s="235"/>
      <c r="V32" s="237" t="s">
        <v>353</v>
      </c>
      <c r="W32" s="236" t="s">
        <v>548</v>
      </c>
      <c r="X32" s="220"/>
      <c r="Y32" s="220"/>
      <c r="Z32" s="220"/>
      <c r="AA32" s="220"/>
      <c r="AB32" s="220"/>
      <c r="AC32" s="220"/>
      <c r="AD32" s="220"/>
      <c r="AE32" s="235"/>
      <c r="AF32" s="52" t="s">
        <v>562</v>
      </c>
      <c r="AG32" s="220"/>
      <c r="AH32" s="220"/>
      <c r="AI32" s="220"/>
      <c r="AJ32" s="220"/>
      <c r="AK32" s="220"/>
      <c r="AL32" s="220"/>
      <c r="AM32" s="220"/>
      <c r="AN32" s="220"/>
      <c r="AO32" s="220"/>
      <c r="AP32" s="235"/>
      <c r="AQ32" s="238"/>
      <c r="AR32" s="239"/>
      <c r="AS32" s="239"/>
      <c r="AT32" s="239"/>
      <c r="AU32" s="239"/>
      <c r="AV32" s="239"/>
      <c r="AW32" s="239"/>
      <c r="AX32" s="239"/>
      <c r="AY32" s="239"/>
      <c r="AZ32" s="239"/>
      <c r="BA32" s="239"/>
      <c r="BB32" s="239"/>
      <c r="BC32" s="239"/>
      <c r="BD32" s="239"/>
      <c r="BE32" s="239"/>
      <c r="BF32" s="239"/>
      <c r="BG32" s="239"/>
      <c r="BH32" s="239"/>
      <c r="BI32" s="239"/>
      <c r="BJ32" s="239"/>
      <c r="BK32" s="240"/>
    </row>
    <row r="33" spans="1:63" ht="15.75" customHeight="1">
      <c r="A33" s="883">
        <v>25</v>
      </c>
      <c r="B33" s="884"/>
      <c r="C33" s="234" t="s">
        <v>547</v>
      </c>
      <c r="D33" s="236" t="s">
        <v>412</v>
      </c>
      <c r="E33" s="220"/>
      <c r="F33" s="220"/>
      <c r="G33" s="220"/>
      <c r="H33" s="220"/>
      <c r="I33" s="220"/>
      <c r="J33" s="235"/>
      <c r="K33" s="52" t="s">
        <v>563</v>
      </c>
      <c r="L33" s="220"/>
      <c r="M33" s="220"/>
      <c r="N33" s="220"/>
      <c r="O33" s="220"/>
      <c r="P33" s="220"/>
      <c r="Q33" s="220"/>
      <c r="R33" s="220"/>
      <c r="S33" s="220"/>
      <c r="T33" s="220"/>
      <c r="U33" s="235"/>
      <c r="V33" s="237" t="s">
        <v>353</v>
      </c>
      <c r="W33" s="236" t="s">
        <v>548</v>
      </c>
      <c r="X33" s="220"/>
      <c r="Y33" s="220"/>
      <c r="Z33" s="220"/>
      <c r="AA33" s="220"/>
      <c r="AB33" s="220"/>
      <c r="AC33" s="220"/>
      <c r="AD33" s="220"/>
      <c r="AE33" s="235"/>
      <c r="AF33" s="52" t="s">
        <v>563</v>
      </c>
      <c r="AG33" s="220"/>
      <c r="AH33" s="220"/>
      <c r="AI33" s="220"/>
      <c r="AJ33" s="220"/>
      <c r="AK33" s="220"/>
      <c r="AL33" s="220"/>
      <c r="AM33" s="220"/>
      <c r="AN33" s="220"/>
      <c r="AO33" s="220"/>
      <c r="AP33" s="235"/>
      <c r="AQ33" s="238"/>
      <c r="AR33" s="239"/>
      <c r="AS33" s="239"/>
      <c r="AT33" s="239"/>
      <c r="AU33" s="239"/>
      <c r="AV33" s="239"/>
      <c r="AW33" s="239"/>
      <c r="AX33" s="239"/>
      <c r="AY33" s="239"/>
      <c r="AZ33" s="239"/>
      <c r="BA33" s="239"/>
      <c r="BB33" s="239"/>
      <c r="BC33" s="239"/>
      <c r="BD33" s="239"/>
      <c r="BE33" s="239"/>
      <c r="BF33" s="239"/>
      <c r="BG33" s="239"/>
      <c r="BH33" s="239"/>
      <c r="BI33" s="239"/>
      <c r="BJ33" s="239"/>
      <c r="BK33" s="240"/>
    </row>
    <row r="34" spans="1:63" ht="15.75" customHeight="1">
      <c r="A34" s="883">
        <v>26</v>
      </c>
      <c r="B34" s="884"/>
      <c r="C34" s="234" t="s">
        <v>547</v>
      </c>
      <c r="D34" s="236" t="s">
        <v>412</v>
      </c>
      <c r="E34" s="220"/>
      <c r="F34" s="220"/>
      <c r="G34" s="220"/>
      <c r="H34" s="220"/>
      <c r="I34" s="220"/>
      <c r="J34" s="235"/>
      <c r="K34" s="52" t="s">
        <v>449</v>
      </c>
      <c r="L34" s="220"/>
      <c r="M34" s="220"/>
      <c r="N34" s="220"/>
      <c r="O34" s="220"/>
      <c r="P34" s="220"/>
      <c r="Q34" s="220"/>
      <c r="R34" s="220"/>
      <c r="S34" s="220"/>
      <c r="T34" s="220"/>
      <c r="U34" s="235"/>
      <c r="V34" s="237" t="s">
        <v>353</v>
      </c>
      <c r="W34" s="236" t="s">
        <v>548</v>
      </c>
      <c r="X34" s="220"/>
      <c r="Y34" s="220"/>
      <c r="Z34" s="220"/>
      <c r="AA34" s="220"/>
      <c r="AB34" s="220"/>
      <c r="AC34" s="220"/>
      <c r="AD34" s="220"/>
      <c r="AE34" s="235"/>
      <c r="AF34" s="52" t="s">
        <v>564</v>
      </c>
      <c r="AG34" s="220"/>
      <c r="AH34" s="220"/>
      <c r="AI34" s="220"/>
      <c r="AJ34" s="220"/>
      <c r="AK34" s="220"/>
      <c r="AL34" s="220"/>
      <c r="AM34" s="220"/>
      <c r="AN34" s="220"/>
      <c r="AO34" s="220"/>
      <c r="AP34" s="235"/>
      <c r="AQ34" s="238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39"/>
      <c r="BC34" s="239"/>
      <c r="BD34" s="239"/>
      <c r="BE34" s="239"/>
      <c r="BF34" s="239"/>
      <c r="BG34" s="239"/>
      <c r="BH34" s="239"/>
      <c r="BI34" s="239"/>
      <c r="BJ34" s="239"/>
      <c r="BK34" s="240"/>
    </row>
    <row r="35" spans="1:63" ht="15.75" customHeight="1">
      <c r="A35" s="883">
        <v>27</v>
      </c>
      <c r="B35" s="884"/>
      <c r="C35" s="234" t="s">
        <v>547</v>
      </c>
      <c r="D35" s="236" t="s">
        <v>412</v>
      </c>
      <c r="E35" s="220"/>
      <c r="F35" s="220"/>
      <c r="G35" s="220"/>
      <c r="H35" s="220"/>
      <c r="I35" s="220"/>
      <c r="J35" s="235"/>
      <c r="K35" s="37" t="s">
        <v>451</v>
      </c>
      <c r="L35" s="220"/>
      <c r="M35" s="220"/>
      <c r="N35" s="220"/>
      <c r="O35" s="220"/>
      <c r="P35" s="220"/>
      <c r="Q35" s="220"/>
      <c r="R35" s="220"/>
      <c r="S35" s="220"/>
      <c r="T35" s="220"/>
      <c r="U35" s="235"/>
      <c r="V35" s="237" t="s">
        <v>353</v>
      </c>
      <c r="W35" s="236" t="s">
        <v>548</v>
      </c>
      <c r="X35" s="220"/>
      <c r="Y35" s="220"/>
      <c r="Z35" s="220"/>
      <c r="AA35" s="220"/>
      <c r="AB35" s="220"/>
      <c r="AC35" s="220"/>
      <c r="AD35" s="220"/>
      <c r="AE35" s="235"/>
      <c r="AF35" s="52" t="s">
        <v>565</v>
      </c>
      <c r="AG35" s="220"/>
      <c r="AH35" s="220"/>
      <c r="AI35" s="220"/>
      <c r="AJ35" s="220"/>
      <c r="AK35" s="220"/>
      <c r="AL35" s="220"/>
      <c r="AM35" s="220"/>
      <c r="AN35" s="220"/>
      <c r="AO35" s="220"/>
      <c r="AP35" s="235"/>
      <c r="AQ35" s="238"/>
      <c r="AR35" s="239"/>
      <c r="AS35" s="239"/>
      <c r="AT35" s="239"/>
      <c r="AU35" s="239"/>
      <c r="AV35" s="239"/>
      <c r="AW35" s="239"/>
      <c r="AX35" s="239"/>
      <c r="AY35" s="239"/>
      <c r="AZ35" s="239"/>
      <c r="BA35" s="239"/>
      <c r="BB35" s="239"/>
      <c r="BC35" s="239"/>
      <c r="BD35" s="239"/>
      <c r="BE35" s="239"/>
      <c r="BF35" s="239"/>
      <c r="BG35" s="239"/>
      <c r="BH35" s="239"/>
      <c r="BI35" s="239"/>
      <c r="BJ35" s="239"/>
      <c r="BK35" s="240"/>
    </row>
    <row r="36" spans="1:63" ht="15.75" customHeight="1">
      <c r="A36" s="883">
        <v>28</v>
      </c>
      <c r="B36" s="884"/>
      <c r="C36" s="234" t="s">
        <v>547</v>
      </c>
      <c r="D36" s="236" t="s">
        <v>412</v>
      </c>
      <c r="E36" s="220"/>
      <c r="F36" s="220"/>
      <c r="G36" s="220"/>
      <c r="H36" s="220"/>
      <c r="I36" s="220"/>
      <c r="J36" s="235"/>
      <c r="K36" s="37" t="s">
        <v>453</v>
      </c>
      <c r="L36" s="220"/>
      <c r="M36" s="220"/>
      <c r="N36" s="220"/>
      <c r="O36" s="220"/>
      <c r="P36" s="220"/>
      <c r="Q36" s="220"/>
      <c r="R36" s="220"/>
      <c r="S36" s="220"/>
      <c r="T36" s="220"/>
      <c r="U36" s="235"/>
      <c r="V36" s="237" t="s">
        <v>353</v>
      </c>
      <c r="W36" s="236" t="s">
        <v>548</v>
      </c>
      <c r="X36" s="220"/>
      <c r="Y36" s="220"/>
      <c r="Z36" s="220"/>
      <c r="AA36" s="220"/>
      <c r="AB36" s="220"/>
      <c r="AC36" s="220"/>
      <c r="AD36" s="220"/>
      <c r="AE36" s="235"/>
      <c r="AF36" s="52" t="s">
        <v>566</v>
      </c>
      <c r="AG36" s="220"/>
      <c r="AH36" s="220"/>
      <c r="AI36" s="220"/>
      <c r="AJ36" s="220"/>
      <c r="AK36" s="220"/>
      <c r="AL36" s="220"/>
      <c r="AM36" s="220"/>
      <c r="AN36" s="220"/>
      <c r="AO36" s="220"/>
      <c r="AP36" s="235"/>
      <c r="AQ36" s="238"/>
      <c r="AR36" s="239"/>
      <c r="AS36" s="239"/>
      <c r="AT36" s="239"/>
      <c r="AU36" s="239"/>
      <c r="AV36" s="239"/>
      <c r="AW36" s="239"/>
      <c r="AX36" s="239"/>
      <c r="AY36" s="239"/>
      <c r="AZ36" s="239"/>
      <c r="BA36" s="239"/>
      <c r="BB36" s="239"/>
      <c r="BC36" s="239"/>
      <c r="BD36" s="239"/>
      <c r="BE36" s="239"/>
      <c r="BF36" s="239"/>
      <c r="BG36" s="239"/>
      <c r="BH36" s="239"/>
      <c r="BI36" s="239"/>
      <c r="BJ36" s="239"/>
      <c r="BK36" s="240"/>
    </row>
    <row r="37" spans="1:63" ht="15.75" customHeight="1">
      <c r="A37" s="883">
        <v>29</v>
      </c>
      <c r="B37" s="884"/>
      <c r="C37" s="234" t="s">
        <v>547</v>
      </c>
      <c r="D37" s="236" t="s">
        <v>412</v>
      </c>
      <c r="E37" s="220"/>
      <c r="F37" s="220"/>
      <c r="G37" s="220"/>
      <c r="H37" s="220"/>
      <c r="I37" s="220"/>
      <c r="J37" s="235"/>
      <c r="K37" s="41" t="s">
        <v>455</v>
      </c>
      <c r="L37" s="220"/>
      <c r="M37" s="220"/>
      <c r="N37" s="220"/>
      <c r="O37" s="220"/>
      <c r="P37" s="220"/>
      <c r="Q37" s="220"/>
      <c r="R37" s="220"/>
      <c r="S37" s="220"/>
      <c r="T37" s="220"/>
      <c r="U37" s="235"/>
      <c r="V37" s="237" t="s">
        <v>353</v>
      </c>
      <c r="W37" s="236" t="s">
        <v>548</v>
      </c>
      <c r="X37" s="220"/>
      <c r="Y37" s="220"/>
      <c r="Z37" s="220"/>
      <c r="AA37" s="220"/>
      <c r="AB37" s="220"/>
      <c r="AC37" s="220"/>
      <c r="AD37" s="220"/>
      <c r="AE37" s="235"/>
      <c r="AF37" s="52" t="s">
        <v>567</v>
      </c>
      <c r="AG37" s="220"/>
      <c r="AH37" s="220"/>
      <c r="AI37" s="220"/>
      <c r="AJ37" s="220"/>
      <c r="AK37" s="220"/>
      <c r="AL37" s="220"/>
      <c r="AM37" s="220"/>
      <c r="AN37" s="220"/>
      <c r="AO37" s="220"/>
      <c r="AP37" s="235"/>
      <c r="AQ37" s="238"/>
      <c r="AR37" s="239"/>
      <c r="AS37" s="239"/>
      <c r="AT37" s="239"/>
      <c r="AU37" s="239"/>
      <c r="AV37" s="239"/>
      <c r="AW37" s="239"/>
      <c r="AX37" s="239"/>
      <c r="AY37" s="239"/>
      <c r="AZ37" s="239"/>
      <c r="BA37" s="239"/>
      <c r="BB37" s="239"/>
      <c r="BC37" s="239"/>
      <c r="BD37" s="239"/>
      <c r="BE37" s="239"/>
      <c r="BF37" s="239"/>
      <c r="BG37" s="239"/>
      <c r="BH37" s="239"/>
      <c r="BI37" s="239"/>
      <c r="BJ37" s="239"/>
      <c r="BK37" s="240"/>
    </row>
    <row r="38" spans="1:63" ht="15.75" customHeight="1">
      <c r="A38" s="883">
        <v>30</v>
      </c>
      <c r="B38" s="884"/>
      <c r="C38" s="234" t="s">
        <v>547</v>
      </c>
      <c r="D38" s="236" t="s">
        <v>412</v>
      </c>
      <c r="E38" s="220"/>
      <c r="F38" s="220"/>
      <c r="G38" s="220"/>
      <c r="H38" s="220"/>
      <c r="I38" s="220"/>
      <c r="J38" s="235"/>
      <c r="K38" s="52" t="s">
        <v>342</v>
      </c>
      <c r="L38" s="220"/>
      <c r="M38" s="220"/>
      <c r="N38" s="220"/>
      <c r="O38" s="220"/>
      <c r="P38" s="220"/>
      <c r="Q38" s="220"/>
      <c r="R38" s="220"/>
      <c r="S38" s="220"/>
      <c r="T38" s="220"/>
      <c r="U38" s="235"/>
      <c r="V38" s="237" t="s">
        <v>353</v>
      </c>
      <c r="W38" s="236" t="s">
        <v>548</v>
      </c>
      <c r="X38" s="220"/>
      <c r="Y38" s="220"/>
      <c r="Z38" s="220"/>
      <c r="AA38" s="220"/>
      <c r="AB38" s="220"/>
      <c r="AC38" s="220"/>
      <c r="AD38" s="220"/>
      <c r="AE38" s="235"/>
      <c r="AF38" s="52" t="s">
        <v>342</v>
      </c>
      <c r="AG38" s="220"/>
      <c r="AH38" s="220"/>
      <c r="AI38" s="220"/>
      <c r="AJ38" s="220"/>
      <c r="AK38" s="220"/>
      <c r="AL38" s="220"/>
      <c r="AM38" s="220"/>
      <c r="AN38" s="220"/>
      <c r="AO38" s="220"/>
      <c r="AP38" s="235"/>
      <c r="AQ38" s="238"/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  <c r="BB38" s="239"/>
      <c r="BC38" s="239"/>
      <c r="BD38" s="239"/>
      <c r="BE38" s="239"/>
      <c r="BF38" s="239"/>
      <c r="BG38" s="239"/>
      <c r="BH38" s="239"/>
      <c r="BI38" s="239"/>
      <c r="BJ38" s="239"/>
      <c r="BK38" s="240"/>
    </row>
    <row r="39" spans="1:63" ht="15.75" customHeight="1">
      <c r="A39" s="883">
        <v>31</v>
      </c>
      <c r="B39" s="884"/>
      <c r="C39" s="234" t="s">
        <v>547</v>
      </c>
      <c r="D39" s="236" t="s">
        <v>412</v>
      </c>
      <c r="E39" s="220"/>
      <c r="F39" s="220"/>
      <c r="G39" s="220"/>
      <c r="H39" s="220"/>
      <c r="I39" s="220"/>
      <c r="J39" s="235"/>
      <c r="K39" s="41" t="s">
        <v>458</v>
      </c>
      <c r="L39" s="220"/>
      <c r="M39" s="220"/>
      <c r="N39" s="220"/>
      <c r="O39" s="220"/>
      <c r="P39" s="220"/>
      <c r="Q39" s="220"/>
      <c r="R39" s="220"/>
      <c r="S39" s="220"/>
      <c r="T39" s="220"/>
      <c r="U39" s="235"/>
      <c r="V39" s="237" t="s">
        <v>353</v>
      </c>
      <c r="W39" s="236" t="s">
        <v>548</v>
      </c>
      <c r="X39" s="220"/>
      <c r="Y39" s="220"/>
      <c r="Z39" s="220"/>
      <c r="AA39" s="220"/>
      <c r="AB39" s="220"/>
      <c r="AC39" s="220"/>
      <c r="AD39" s="220"/>
      <c r="AE39" s="235"/>
      <c r="AF39" s="41" t="s">
        <v>458</v>
      </c>
      <c r="AG39" s="220"/>
      <c r="AH39" s="220"/>
      <c r="AI39" s="220"/>
      <c r="AJ39" s="220"/>
      <c r="AK39" s="220"/>
      <c r="AL39" s="220"/>
      <c r="AM39" s="220"/>
      <c r="AN39" s="220"/>
      <c r="AO39" s="220"/>
      <c r="AP39" s="235"/>
      <c r="AQ39" s="238"/>
      <c r="AR39" s="239"/>
      <c r="AS39" s="239"/>
      <c r="AT39" s="239"/>
      <c r="AU39" s="239"/>
      <c r="AV39" s="239"/>
      <c r="AW39" s="239"/>
      <c r="AX39" s="239"/>
      <c r="AY39" s="239"/>
      <c r="AZ39" s="239"/>
      <c r="BA39" s="239"/>
      <c r="BB39" s="239"/>
      <c r="BC39" s="239"/>
      <c r="BD39" s="239"/>
      <c r="BE39" s="239"/>
      <c r="BF39" s="239"/>
      <c r="BG39" s="239"/>
      <c r="BH39" s="239"/>
      <c r="BI39" s="239"/>
      <c r="BJ39" s="239"/>
      <c r="BK39" s="240"/>
    </row>
    <row r="40" spans="1:63" ht="15.75" customHeight="1">
      <c r="A40" s="883">
        <v>32</v>
      </c>
      <c r="B40" s="884"/>
      <c r="C40" s="234" t="s">
        <v>547</v>
      </c>
      <c r="D40" s="236" t="s">
        <v>412</v>
      </c>
      <c r="E40" s="220"/>
      <c r="F40" s="220"/>
      <c r="G40" s="220"/>
      <c r="H40" s="220"/>
      <c r="I40" s="220"/>
      <c r="J40" s="235"/>
      <c r="K40" s="41" t="s">
        <v>568</v>
      </c>
      <c r="L40" s="220"/>
      <c r="M40" s="220"/>
      <c r="N40" s="220"/>
      <c r="O40" s="220"/>
      <c r="P40" s="220"/>
      <c r="Q40" s="220"/>
      <c r="R40" s="220"/>
      <c r="S40" s="220"/>
      <c r="T40" s="220"/>
      <c r="U40" s="235"/>
      <c r="V40" s="237" t="s">
        <v>353</v>
      </c>
      <c r="W40" s="236" t="s">
        <v>548</v>
      </c>
      <c r="X40" s="220"/>
      <c r="Y40" s="220"/>
      <c r="Z40" s="220"/>
      <c r="AA40" s="220"/>
      <c r="AB40" s="220"/>
      <c r="AC40" s="220"/>
      <c r="AD40" s="220"/>
      <c r="AE40" s="235"/>
      <c r="AF40" s="41" t="s">
        <v>569</v>
      </c>
      <c r="AG40" s="220"/>
      <c r="AH40" s="220"/>
      <c r="AI40" s="220"/>
      <c r="AJ40" s="220"/>
      <c r="AK40" s="220"/>
      <c r="AL40" s="220"/>
      <c r="AM40" s="220"/>
      <c r="AN40" s="220"/>
      <c r="AO40" s="220"/>
      <c r="AP40" s="235"/>
      <c r="AQ40" s="238"/>
      <c r="AR40" s="239"/>
      <c r="AS40" s="239"/>
      <c r="AT40" s="239"/>
      <c r="AU40" s="239"/>
      <c r="AV40" s="239"/>
      <c r="AW40" s="239"/>
      <c r="AX40" s="239"/>
      <c r="AY40" s="239"/>
      <c r="AZ40" s="239"/>
      <c r="BA40" s="239"/>
      <c r="BB40" s="239"/>
      <c r="BC40" s="239"/>
      <c r="BD40" s="239"/>
      <c r="BE40" s="239"/>
      <c r="BF40" s="239"/>
      <c r="BG40" s="239"/>
      <c r="BH40" s="239"/>
      <c r="BI40" s="239"/>
      <c r="BJ40" s="239"/>
      <c r="BK40" s="240"/>
    </row>
    <row r="41" spans="1:63" ht="15.75" customHeight="1">
      <c r="A41" s="883">
        <v>33</v>
      </c>
      <c r="B41" s="884"/>
      <c r="C41" s="234" t="s">
        <v>547</v>
      </c>
      <c r="D41" s="236" t="s">
        <v>412</v>
      </c>
      <c r="E41" s="220"/>
      <c r="F41" s="220"/>
      <c r="G41" s="220"/>
      <c r="H41" s="220"/>
      <c r="I41" s="220"/>
      <c r="J41" s="235"/>
      <c r="K41" s="52" t="s">
        <v>464</v>
      </c>
      <c r="L41" s="220"/>
      <c r="M41" s="220"/>
      <c r="N41" s="220"/>
      <c r="O41" s="220"/>
      <c r="P41" s="220"/>
      <c r="Q41" s="220"/>
      <c r="R41" s="220"/>
      <c r="S41" s="220"/>
      <c r="T41" s="220"/>
      <c r="U41" s="235"/>
      <c r="V41" s="237" t="s">
        <v>353</v>
      </c>
      <c r="W41" s="236" t="s">
        <v>554</v>
      </c>
      <c r="X41" s="220"/>
      <c r="Y41" s="220"/>
      <c r="Z41" s="220"/>
      <c r="AA41" s="220"/>
      <c r="AB41" s="220"/>
      <c r="AC41" s="220"/>
      <c r="AD41" s="220"/>
      <c r="AE41" s="235"/>
      <c r="AF41" s="52" t="s">
        <v>276</v>
      </c>
      <c r="AG41" s="220"/>
      <c r="AH41" s="220"/>
      <c r="AI41" s="220"/>
      <c r="AJ41" s="220"/>
      <c r="AK41" s="220"/>
      <c r="AL41" s="220"/>
      <c r="AM41" s="220"/>
      <c r="AN41" s="220"/>
      <c r="AO41" s="220"/>
      <c r="AP41" s="235"/>
      <c r="AQ41" s="238"/>
      <c r="AR41" s="239"/>
      <c r="AS41" s="239"/>
      <c r="AT41" s="239"/>
      <c r="AU41" s="239"/>
      <c r="AV41" s="239"/>
      <c r="AW41" s="239"/>
      <c r="AX41" s="239"/>
      <c r="AY41" s="239"/>
      <c r="AZ41" s="239"/>
      <c r="BA41" s="239"/>
      <c r="BB41" s="239"/>
      <c r="BC41" s="239"/>
      <c r="BD41" s="239"/>
      <c r="BE41" s="239"/>
      <c r="BF41" s="239"/>
      <c r="BG41" s="239"/>
      <c r="BH41" s="239"/>
      <c r="BI41" s="239"/>
      <c r="BJ41" s="239"/>
      <c r="BK41" s="240"/>
    </row>
    <row r="42" spans="1:63" ht="15.75" customHeight="1">
      <c r="A42" s="883"/>
      <c r="B42" s="884"/>
      <c r="C42" s="234"/>
      <c r="D42" s="236"/>
      <c r="E42" s="220"/>
      <c r="F42" s="220"/>
      <c r="G42" s="220"/>
      <c r="H42" s="220"/>
      <c r="I42" s="220"/>
      <c r="J42" s="235"/>
      <c r="K42" s="236"/>
      <c r="L42" s="220"/>
      <c r="M42" s="220"/>
      <c r="N42" s="220"/>
      <c r="O42" s="220"/>
      <c r="P42" s="220"/>
      <c r="Q42" s="220"/>
      <c r="R42" s="220"/>
      <c r="S42" s="220"/>
      <c r="T42" s="220"/>
      <c r="U42" s="235"/>
      <c r="V42" s="237"/>
      <c r="W42" s="236"/>
      <c r="X42" s="220"/>
      <c r="Y42" s="220"/>
      <c r="Z42" s="220"/>
      <c r="AA42" s="220"/>
      <c r="AB42" s="220"/>
      <c r="AC42" s="220"/>
      <c r="AD42" s="220"/>
      <c r="AE42" s="235"/>
      <c r="AF42" s="236"/>
      <c r="AG42" s="220"/>
      <c r="AH42" s="220"/>
      <c r="AI42" s="220"/>
      <c r="AJ42" s="220"/>
      <c r="AK42" s="220"/>
      <c r="AL42" s="220"/>
      <c r="AM42" s="220"/>
      <c r="AN42" s="220"/>
      <c r="AO42" s="220"/>
      <c r="AP42" s="235"/>
      <c r="AQ42" s="238"/>
      <c r="AR42" s="239"/>
      <c r="AS42" s="239"/>
      <c r="AT42" s="239"/>
      <c r="AU42" s="239"/>
      <c r="AV42" s="239"/>
      <c r="AW42" s="239"/>
      <c r="AX42" s="239"/>
      <c r="AY42" s="239"/>
      <c r="AZ42" s="239"/>
      <c r="BA42" s="239"/>
      <c r="BB42" s="239"/>
      <c r="BC42" s="239"/>
      <c r="BD42" s="239"/>
      <c r="BE42" s="239"/>
      <c r="BF42" s="239"/>
      <c r="BG42" s="239"/>
      <c r="BH42" s="239"/>
      <c r="BI42" s="239"/>
      <c r="BJ42" s="239"/>
      <c r="BK42" s="240"/>
    </row>
    <row r="43" spans="1:63" ht="15.75" customHeight="1" thickBot="1">
      <c r="A43" s="881"/>
      <c r="B43" s="882"/>
      <c r="C43" s="241"/>
      <c r="D43" s="104"/>
      <c r="E43" s="102"/>
      <c r="F43" s="102"/>
      <c r="G43" s="102"/>
      <c r="H43" s="102"/>
      <c r="I43" s="102"/>
      <c r="J43" s="103"/>
      <c r="K43" s="104"/>
      <c r="L43" s="102"/>
      <c r="M43" s="102"/>
      <c r="N43" s="102"/>
      <c r="O43" s="102"/>
      <c r="P43" s="102"/>
      <c r="Q43" s="102"/>
      <c r="R43" s="102"/>
      <c r="S43" s="102"/>
      <c r="T43" s="102"/>
      <c r="U43" s="103"/>
      <c r="V43" s="242"/>
      <c r="W43" s="104"/>
      <c r="X43" s="102"/>
      <c r="Y43" s="102"/>
      <c r="Z43" s="102"/>
      <c r="AA43" s="102"/>
      <c r="AB43" s="102"/>
      <c r="AC43" s="102"/>
      <c r="AD43" s="102"/>
      <c r="AE43" s="103"/>
      <c r="AF43" s="104"/>
      <c r="AG43" s="102"/>
      <c r="AH43" s="102"/>
      <c r="AI43" s="102"/>
      <c r="AJ43" s="102"/>
      <c r="AK43" s="102"/>
      <c r="AL43" s="102"/>
      <c r="AM43" s="102"/>
      <c r="AN43" s="102"/>
      <c r="AO43" s="102"/>
      <c r="AP43" s="103"/>
      <c r="AQ43" s="243"/>
      <c r="AR43" s="244"/>
      <c r="AS43" s="244"/>
      <c r="AT43" s="244"/>
      <c r="AU43" s="244"/>
      <c r="AV43" s="244"/>
      <c r="AW43" s="244"/>
      <c r="AX43" s="244"/>
      <c r="AY43" s="244"/>
      <c r="AZ43" s="244"/>
      <c r="BA43" s="244"/>
      <c r="BB43" s="244"/>
      <c r="BC43" s="244"/>
      <c r="BD43" s="244"/>
      <c r="BE43" s="244"/>
      <c r="BF43" s="244"/>
      <c r="BG43" s="244"/>
      <c r="BH43" s="244"/>
      <c r="BI43" s="244"/>
      <c r="BJ43" s="244"/>
      <c r="BK43" s="245"/>
    </row>
  </sheetData>
  <mergeCells count="56">
    <mergeCell ref="BF1:BK1"/>
    <mergeCell ref="BF2:BK3"/>
    <mergeCell ref="AE3:AR3"/>
    <mergeCell ref="AS2:AY3"/>
    <mergeCell ref="AZ1:BE1"/>
    <mergeCell ref="AZ2:BE3"/>
    <mergeCell ref="AS1:AY1"/>
    <mergeCell ref="AJ2:AR2"/>
    <mergeCell ref="AE1:AI1"/>
    <mergeCell ref="AJ1:AR1"/>
    <mergeCell ref="AE2:AI2"/>
    <mergeCell ref="A14:B14"/>
    <mergeCell ref="A15:B15"/>
    <mergeCell ref="A19:B19"/>
    <mergeCell ref="A22:B22"/>
    <mergeCell ref="A39:B39"/>
    <mergeCell ref="A26:B26"/>
    <mergeCell ref="A24:B24"/>
    <mergeCell ref="A25:B25"/>
    <mergeCell ref="A23:B23"/>
    <mergeCell ref="A16:B16"/>
    <mergeCell ref="A17:B17"/>
    <mergeCell ref="A20:B20"/>
    <mergeCell ref="A21:B21"/>
    <mergeCell ref="A18:B18"/>
    <mergeCell ref="A1:J3"/>
    <mergeCell ref="K1:T1"/>
    <mergeCell ref="U1:Y1"/>
    <mergeCell ref="Z1:AD1"/>
    <mergeCell ref="K2:T2"/>
    <mergeCell ref="U2:Y2"/>
    <mergeCell ref="Z2:AD2"/>
    <mergeCell ref="K3:T3"/>
    <mergeCell ref="U3:Y3"/>
    <mergeCell ref="Z3:AD3"/>
    <mergeCell ref="A9:B9"/>
    <mergeCell ref="A10:B10"/>
    <mergeCell ref="A11:B11"/>
    <mergeCell ref="A12:B12"/>
    <mergeCell ref="A13:B13"/>
    <mergeCell ref="A43:B43"/>
    <mergeCell ref="A29:B29"/>
    <mergeCell ref="A42:B42"/>
    <mergeCell ref="A27:B27"/>
    <mergeCell ref="A28:B28"/>
    <mergeCell ref="A30:B30"/>
    <mergeCell ref="A31:B31"/>
    <mergeCell ref="A32:B32"/>
    <mergeCell ref="A33:B33"/>
    <mergeCell ref="A34:B34"/>
    <mergeCell ref="A35:B35"/>
    <mergeCell ref="A36:B36"/>
    <mergeCell ref="A40:B40"/>
    <mergeCell ref="A41:B41"/>
    <mergeCell ref="A37:B37"/>
    <mergeCell ref="A38:B38"/>
  </mergeCells>
  <phoneticPr fontId="8"/>
  <dataValidations count="1">
    <dataValidation imeMode="off" allowBlank="1" showInputMessage="1" showErrorMessage="1" sqref="D9:J43 W9:AE43" xr:uid="{8EF3B9DF-C2D8-41FD-AEF5-85BBE10EA9E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3220-A795-4C56-8C9A-9D86CE71B219}">
  <sheetPr codeName="Sheet10">
    <pageSetUpPr fitToPage="1"/>
  </sheetPr>
  <dimension ref="A1:BK16"/>
  <sheetViews>
    <sheetView showGridLines="0" showZeros="0" zoomScaleNormal="100" zoomScaleSheetLayoutView="85" workbookViewId="0">
      <pane ySplit="4" topLeftCell="A5" activePane="bottomLeft" state="frozen"/>
      <selection activeCell="AL26" sqref="AL26"/>
      <selection pane="bottomLeft" sqref="A1:J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821" t="str">
        <f>表紙!A54</f>
        <v>Webシステム</v>
      </c>
      <c r="B1" s="822"/>
      <c r="C1" s="822"/>
      <c r="D1" s="822"/>
      <c r="E1" s="822"/>
      <c r="F1" s="822"/>
      <c r="G1" s="822"/>
      <c r="H1" s="822"/>
      <c r="I1" s="822"/>
      <c r="J1" s="823"/>
      <c r="K1" s="857" t="s">
        <v>132</v>
      </c>
      <c r="L1" s="858"/>
      <c r="M1" s="858"/>
      <c r="N1" s="858"/>
      <c r="O1" s="858"/>
      <c r="P1" s="858"/>
      <c r="Q1" s="858"/>
      <c r="R1" s="858"/>
      <c r="S1" s="858"/>
      <c r="T1" s="859"/>
      <c r="U1" s="860" t="s">
        <v>148</v>
      </c>
      <c r="V1" s="861"/>
      <c r="W1" s="861"/>
      <c r="X1" s="861"/>
      <c r="Y1" s="862"/>
      <c r="Z1" s="863" t="str">
        <f>表紙!$AJ$63</f>
        <v>MS</v>
      </c>
      <c r="AA1" s="864"/>
      <c r="AB1" s="864"/>
      <c r="AC1" s="864"/>
      <c r="AD1" s="865"/>
      <c r="AE1" s="866" t="s">
        <v>135</v>
      </c>
      <c r="AF1" s="832"/>
      <c r="AG1" s="832"/>
      <c r="AH1" s="832"/>
      <c r="AI1" s="833"/>
      <c r="AJ1" s="867" t="str">
        <f>表紙!$AX$63</f>
        <v>Webシステム</v>
      </c>
      <c r="AK1" s="868"/>
      <c r="AL1" s="868"/>
      <c r="AM1" s="868"/>
      <c r="AN1" s="868"/>
      <c r="AO1" s="868"/>
      <c r="AP1" s="868"/>
      <c r="AQ1" s="868"/>
      <c r="AR1" s="869"/>
      <c r="AS1" s="830" t="s">
        <v>101</v>
      </c>
      <c r="AT1" s="830"/>
      <c r="AU1" s="830"/>
      <c r="AV1" s="830"/>
      <c r="AW1" s="830"/>
      <c r="AX1" s="830"/>
      <c r="AY1" s="830"/>
      <c r="AZ1" s="831" t="s">
        <v>124</v>
      </c>
      <c r="BA1" s="832"/>
      <c r="BB1" s="832"/>
      <c r="BC1" s="832"/>
      <c r="BD1" s="832"/>
      <c r="BE1" s="833"/>
      <c r="BF1" s="831" t="s">
        <v>149</v>
      </c>
      <c r="BG1" s="832"/>
      <c r="BH1" s="832"/>
      <c r="BI1" s="832"/>
      <c r="BJ1" s="832"/>
      <c r="BK1" s="834"/>
    </row>
    <row r="2" spans="1:63" s="4" customFormat="1" ht="15.75" customHeight="1">
      <c r="A2" s="824"/>
      <c r="B2" s="825"/>
      <c r="C2" s="825"/>
      <c r="D2" s="825"/>
      <c r="E2" s="825"/>
      <c r="F2" s="825"/>
      <c r="G2" s="825"/>
      <c r="H2" s="825"/>
      <c r="I2" s="825"/>
      <c r="J2" s="826"/>
      <c r="K2" s="835" t="str">
        <f>表紙!O64</f>
        <v>アドオン設計書</v>
      </c>
      <c r="L2" s="836"/>
      <c r="M2" s="836"/>
      <c r="N2" s="836"/>
      <c r="O2" s="836"/>
      <c r="P2" s="836"/>
      <c r="Q2" s="836"/>
      <c r="R2" s="836"/>
      <c r="S2" s="836"/>
      <c r="T2" s="837"/>
      <c r="U2" s="838" t="s">
        <v>150</v>
      </c>
      <c r="V2" s="839"/>
      <c r="W2" s="839"/>
      <c r="X2" s="839"/>
      <c r="Y2" s="840"/>
      <c r="Z2" s="841" t="str">
        <f>表紙!$AJ$64</f>
        <v>MSBB</v>
      </c>
      <c r="AA2" s="842"/>
      <c r="AB2" s="842"/>
      <c r="AC2" s="842"/>
      <c r="AD2" s="843"/>
      <c r="AE2" s="844" t="s">
        <v>141</v>
      </c>
      <c r="AF2" s="845"/>
      <c r="AG2" s="845"/>
      <c r="AH2" s="845"/>
      <c r="AI2" s="846"/>
      <c r="AJ2" s="847" t="str">
        <f>表紙!$AX$64</f>
        <v>販売Webシステム</v>
      </c>
      <c r="AK2" s="848"/>
      <c r="AL2" s="848"/>
      <c r="AM2" s="848"/>
      <c r="AN2" s="848"/>
      <c r="AO2" s="848"/>
      <c r="AP2" s="848"/>
      <c r="AQ2" s="848"/>
      <c r="AR2" s="849"/>
      <c r="AS2" s="850" t="str">
        <f>表紙!$BL$64</f>
        <v>M7-US-1140</v>
      </c>
      <c r="AT2" s="851"/>
      <c r="AU2" s="851"/>
      <c r="AV2" s="851"/>
      <c r="AW2" s="851"/>
      <c r="AX2" s="851"/>
      <c r="AY2" s="851"/>
      <c r="AZ2" s="853" t="str">
        <f>表紙!$BU$64</f>
        <v>7.0.2</v>
      </c>
      <c r="BA2" s="836"/>
      <c r="BB2" s="836"/>
      <c r="BC2" s="836"/>
      <c r="BD2" s="836"/>
      <c r="BE2" s="837"/>
      <c r="BF2" s="870">
        <f>表紙!$CB$64</f>
        <v>2</v>
      </c>
      <c r="BG2" s="836"/>
      <c r="BH2" s="836"/>
      <c r="BI2" s="836"/>
      <c r="BJ2" s="836"/>
      <c r="BK2" s="871"/>
    </row>
    <row r="3" spans="1:63" s="4" customFormat="1" ht="15.75" customHeight="1" thickBot="1">
      <c r="A3" s="827"/>
      <c r="B3" s="828"/>
      <c r="C3" s="828"/>
      <c r="D3" s="828"/>
      <c r="E3" s="828"/>
      <c r="F3" s="828"/>
      <c r="G3" s="828"/>
      <c r="H3" s="828"/>
      <c r="I3" s="828"/>
      <c r="J3" s="829"/>
      <c r="K3" s="873" t="str">
        <f ca="1">RIGHT(CELL("filename",$A$1),LEN(CELL("filename",$A$1))-FIND("]",CELL("filename",$A$1)))</f>
        <v>更新入出力仕様</v>
      </c>
      <c r="L3" s="874"/>
      <c r="M3" s="874"/>
      <c r="N3" s="874"/>
      <c r="O3" s="874"/>
      <c r="P3" s="874"/>
      <c r="Q3" s="874"/>
      <c r="R3" s="874"/>
      <c r="S3" s="874"/>
      <c r="T3" s="875"/>
      <c r="U3" s="810" t="s">
        <v>146</v>
      </c>
      <c r="V3" s="811"/>
      <c r="W3" s="811"/>
      <c r="X3" s="811"/>
      <c r="Y3" s="812"/>
      <c r="Z3" s="813" t="str">
        <f>表紙!$AJ$65</f>
        <v>MSBBPA120</v>
      </c>
      <c r="AA3" s="814"/>
      <c r="AB3" s="814"/>
      <c r="AC3" s="814"/>
      <c r="AD3" s="814"/>
      <c r="AE3" s="815" t="str">
        <f>表紙!$AQ$65</f>
        <v>Web取引先マスタ一覧照会</v>
      </c>
      <c r="AF3" s="816"/>
      <c r="AG3" s="816"/>
      <c r="AH3" s="816"/>
      <c r="AI3" s="816"/>
      <c r="AJ3" s="816"/>
      <c r="AK3" s="816"/>
      <c r="AL3" s="816"/>
      <c r="AM3" s="816"/>
      <c r="AN3" s="816"/>
      <c r="AO3" s="816"/>
      <c r="AP3" s="816"/>
      <c r="AQ3" s="816"/>
      <c r="AR3" s="817"/>
      <c r="AS3" s="852"/>
      <c r="AT3" s="852"/>
      <c r="AU3" s="852"/>
      <c r="AV3" s="852"/>
      <c r="AW3" s="852"/>
      <c r="AX3" s="852"/>
      <c r="AY3" s="852"/>
      <c r="AZ3" s="854"/>
      <c r="BA3" s="855"/>
      <c r="BB3" s="855"/>
      <c r="BC3" s="855"/>
      <c r="BD3" s="855"/>
      <c r="BE3" s="856"/>
      <c r="BF3" s="854"/>
      <c r="BG3" s="855"/>
      <c r="BH3" s="855"/>
      <c r="BI3" s="855"/>
      <c r="BJ3" s="855"/>
      <c r="BK3" s="872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ht="15.75" customHeight="1">
      <c r="A5" s="108" t="s">
        <v>484</v>
      </c>
      <c r="B5" s="109"/>
      <c r="C5" s="109"/>
      <c r="D5" s="109"/>
      <c r="E5" s="110"/>
      <c r="F5" s="111"/>
      <c r="G5" s="112">
        <v>1</v>
      </c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5"/>
      <c r="S5" s="116" t="s">
        <v>570</v>
      </c>
      <c r="T5" s="117"/>
      <c r="U5" s="117"/>
      <c r="V5" s="117"/>
      <c r="W5" s="117"/>
      <c r="X5" s="117"/>
      <c r="Y5" s="118"/>
      <c r="Z5" s="119"/>
      <c r="AA5" s="119"/>
      <c r="AB5" s="119"/>
      <c r="AC5" s="119"/>
      <c r="AD5" s="114"/>
      <c r="AE5" s="119"/>
      <c r="AF5" s="119"/>
      <c r="AG5" s="119"/>
      <c r="AH5" s="120" t="s">
        <v>535</v>
      </c>
      <c r="AI5" s="117"/>
      <c r="AJ5" s="118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21"/>
    </row>
    <row r="6" spans="1:63" ht="15.75" customHeight="1">
      <c r="A6" s="122" t="s">
        <v>537</v>
      </c>
      <c r="B6" s="123"/>
      <c r="C6" s="123"/>
      <c r="D6" s="124"/>
      <c r="E6" s="125" t="s">
        <v>571</v>
      </c>
      <c r="F6" s="126"/>
      <c r="G6" s="126"/>
      <c r="H6" s="226"/>
      <c r="I6" s="226"/>
      <c r="J6" s="226"/>
      <c r="K6" s="226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7"/>
    </row>
    <row r="7" spans="1:63" ht="15.75" customHeight="1">
      <c r="A7" s="128" t="s">
        <v>484</v>
      </c>
      <c r="B7" s="129"/>
      <c r="C7" s="230" t="s">
        <v>541</v>
      </c>
      <c r="D7" s="231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230" t="s">
        <v>542</v>
      </c>
      <c r="W7" s="231"/>
      <c r="X7" s="130"/>
      <c r="Y7" s="130"/>
      <c r="Z7" s="130"/>
      <c r="AA7" s="130"/>
      <c r="AB7" s="130"/>
      <c r="AC7" s="130"/>
      <c r="AD7" s="130"/>
      <c r="AE7" s="130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232" t="s">
        <v>482</v>
      </c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31"/>
    </row>
    <row r="8" spans="1:63" ht="15.75" customHeight="1" thickBot="1">
      <c r="A8" s="132"/>
      <c r="B8" s="233"/>
      <c r="C8" s="133" t="s">
        <v>543</v>
      </c>
      <c r="D8" s="106" t="s">
        <v>544</v>
      </c>
      <c r="E8" s="107"/>
      <c r="F8" s="107"/>
      <c r="G8" s="107"/>
      <c r="H8" s="107"/>
      <c r="I8" s="107"/>
      <c r="J8" s="134"/>
      <c r="K8" s="106" t="s">
        <v>481</v>
      </c>
      <c r="L8" s="107"/>
      <c r="M8" s="107"/>
      <c r="N8" s="107"/>
      <c r="O8" s="107"/>
      <c r="P8" s="107"/>
      <c r="Q8" s="107"/>
      <c r="R8" s="107"/>
      <c r="S8" s="107"/>
      <c r="T8" s="107"/>
      <c r="U8" s="134"/>
      <c r="V8" s="133" t="s">
        <v>543</v>
      </c>
      <c r="W8" s="106" t="s">
        <v>544</v>
      </c>
      <c r="X8" s="107"/>
      <c r="Y8" s="107"/>
      <c r="Z8" s="107"/>
      <c r="AA8" s="107"/>
      <c r="AB8" s="107"/>
      <c r="AC8" s="107"/>
      <c r="AD8" s="107"/>
      <c r="AE8" s="134"/>
      <c r="AF8" s="106" t="s">
        <v>481</v>
      </c>
      <c r="AG8" s="107"/>
      <c r="AH8" s="107"/>
      <c r="AI8" s="107"/>
      <c r="AJ8" s="107"/>
      <c r="AK8" s="107"/>
      <c r="AL8" s="107"/>
      <c r="AM8" s="107"/>
      <c r="AN8" s="107"/>
      <c r="AO8" s="107"/>
      <c r="AP8" s="134"/>
      <c r="AQ8" s="135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136"/>
    </row>
    <row r="9" spans="1:63" ht="15.75" customHeight="1" thickTop="1">
      <c r="A9" s="885"/>
      <c r="B9" s="886"/>
      <c r="C9" s="142"/>
      <c r="D9" s="143"/>
      <c r="E9" s="144"/>
      <c r="F9" s="144"/>
      <c r="G9" s="144"/>
      <c r="H9" s="144"/>
      <c r="I9" s="144"/>
      <c r="J9" s="145"/>
      <c r="K9" s="143"/>
      <c r="L9" s="144"/>
      <c r="M9" s="144"/>
      <c r="N9" s="144"/>
      <c r="O9" s="144"/>
      <c r="P9" s="144"/>
      <c r="Q9" s="144"/>
      <c r="R9" s="144"/>
      <c r="S9" s="144"/>
      <c r="T9" s="144"/>
      <c r="U9" s="145"/>
      <c r="V9" s="146"/>
      <c r="W9" s="143"/>
      <c r="X9" s="144"/>
      <c r="Y9" s="144"/>
      <c r="Z9" s="144"/>
      <c r="AA9" s="144"/>
      <c r="AB9" s="144"/>
      <c r="AC9" s="144"/>
      <c r="AD9" s="144"/>
      <c r="AE9" s="145"/>
      <c r="AF9" s="143"/>
      <c r="AG9" s="144"/>
      <c r="AH9" s="144"/>
      <c r="AI9" s="144"/>
      <c r="AJ9" s="144"/>
      <c r="AK9" s="144"/>
      <c r="AL9" s="144"/>
      <c r="AM9" s="144"/>
      <c r="AN9" s="144"/>
      <c r="AO9" s="144"/>
      <c r="AP9" s="145"/>
      <c r="AQ9" s="887"/>
      <c r="AR9" s="888"/>
      <c r="AS9" s="888"/>
      <c r="AT9" s="888"/>
      <c r="AU9" s="888"/>
      <c r="AV9" s="888"/>
      <c r="AW9" s="888"/>
      <c r="AX9" s="888"/>
      <c r="AY9" s="888"/>
      <c r="AZ9" s="888"/>
      <c r="BA9" s="888"/>
      <c r="BB9" s="888"/>
      <c r="BC9" s="888"/>
      <c r="BD9" s="888"/>
      <c r="BE9" s="888"/>
      <c r="BF9" s="888"/>
      <c r="BG9" s="888"/>
      <c r="BH9" s="888"/>
      <c r="BI9" s="888"/>
      <c r="BJ9" s="888"/>
      <c r="BK9" s="889"/>
    </row>
    <row r="10" spans="1:63" ht="15.75" customHeight="1">
      <c r="A10" s="895"/>
      <c r="B10" s="896"/>
      <c r="C10" s="405"/>
      <c r="D10" s="406"/>
      <c r="E10" s="407"/>
      <c r="F10" s="407"/>
      <c r="G10" s="407"/>
      <c r="H10" s="407"/>
      <c r="I10" s="407"/>
      <c r="J10" s="408"/>
      <c r="K10" s="406"/>
      <c r="L10" s="407"/>
      <c r="M10" s="407"/>
      <c r="N10" s="407"/>
      <c r="O10" s="407"/>
      <c r="P10" s="407"/>
      <c r="Q10" s="407"/>
      <c r="R10" s="407"/>
      <c r="S10" s="407"/>
      <c r="T10" s="407"/>
      <c r="U10" s="408"/>
      <c r="V10" s="409"/>
      <c r="W10" s="406"/>
      <c r="X10" s="407"/>
      <c r="Y10" s="407"/>
      <c r="Z10" s="407"/>
      <c r="AA10" s="407"/>
      <c r="AB10" s="407"/>
      <c r="AC10" s="407"/>
      <c r="AD10" s="407"/>
      <c r="AE10" s="408"/>
      <c r="AF10" s="406"/>
      <c r="AG10" s="407"/>
      <c r="AH10" s="407"/>
      <c r="AI10" s="407"/>
      <c r="AJ10" s="407"/>
      <c r="AK10" s="407"/>
      <c r="AL10" s="407"/>
      <c r="AM10" s="407"/>
      <c r="AN10" s="407"/>
      <c r="AO10" s="407"/>
      <c r="AP10" s="408"/>
      <c r="AQ10" s="897"/>
      <c r="AR10" s="898"/>
      <c r="AS10" s="898"/>
      <c r="AT10" s="898"/>
      <c r="AU10" s="898"/>
      <c r="AV10" s="898"/>
      <c r="AW10" s="898"/>
      <c r="AX10" s="898"/>
      <c r="AY10" s="898"/>
      <c r="AZ10" s="898"/>
      <c r="BA10" s="898"/>
      <c r="BB10" s="898"/>
      <c r="BC10" s="898"/>
      <c r="BD10" s="898"/>
      <c r="BE10" s="898"/>
      <c r="BF10" s="898"/>
      <c r="BG10" s="898"/>
      <c r="BH10" s="898"/>
      <c r="BI10" s="898"/>
      <c r="BJ10" s="898"/>
      <c r="BK10" s="899"/>
    </row>
    <row r="11" spans="1:63" ht="15.75" customHeight="1">
      <c r="A11" s="895"/>
      <c r="B11" s="896"/>
      <c r="C11" s="405"/>
      <c r="D11" s="406"/>
      <c r="E11" s="407"/>
      <c r="F11" s="407"/>
      <c r="G11" s="407"/>
      <c r="H11" s="407"/>
      <c r="I11" s="407"/>
      <c r="J11" s="408"/>
      <c r="K11" s="406"/>
      <c r="L11" s="407"/>
      <c r="M11" s="407"/>
      <c r="N11" s="407"/>
      <c r="O11" s="407"/>
      <c r="P11" s="407"/>
      <c r="Q11" s="407"/>
      <c r="R11" s="407"/>
      <c r="S11" s="407"/>
      <c r="T11" s="407"/>
      <c r="U11" s="408"/>
      <c r="V11" s="409"/>
      <c r="W11" s="406"/>
      <c r="X11" s="407"/>
      <c r="Y11" s="407"/>
      <c r="Z11" s="407"/>
      <c r="AA11" s="407"/>
      <c r="AB11" s="407"/>
      <c r="AC11" s="407"/>
      <c r="AD11" s="407"/>
      <c r="AE11" s="408"/>
      <c r="AF11" s="406"/>
      <c r="AG11" s="407"/>
      <c r="AH11" s="407"/>
      <c r="AI11" s="407"/>
      <c r="AJ11" s="407"/>
      <c r="AK11" s="407"/>
      <c r="AL11" s="407"/>
      <c r="AM11" s="407"/>
      <c r="AN11" s="407"/>
      <c r="AO11" s="407"/>
      <c r="AP11" s="408"/>
      <c r="AQ11" s="897"/>
      <c r="AR11" s="898"/>
      <c r="AS11" s="898"/>
      <c r="AT11" s="898"/>
      <c r="AU11" s="898"/>
      <c r="AV11" s="898"/>
      <c r="AW11" s="898"/>
      <c r="AX11" s="898"/>
      <c r="AY11" s="898"/>
      <c r="AZ11" s="898"/>
      <c r="BA11" s="898"/>
      <c r="BB11" s="898"/>
      <c r="BC11" s="898"/>
      <c r="BD11" s="898"/>
      <c r="BE11" s="898"/>
      <c r="BF11" s="898"/>
      <c r="BG11" s="898"/>
      <c r="BH11" s="898"/>
      <c r="BI11" s="898"/>
      <c r="BJ11" s="898"/>
      <c r="BK11" s="899"/>
    </row>
    <row r="12" spans="1:63" ht="15.75" customHeight="1">
      <c r="A12" s="895"/>
      <c r="B12" s="896"/>
      <c r="C12" s="405"/>
      <c r="D12" s="406"/>
      <c r="E12" s="407"/>
      <c r="F12" s="407"/>
      <c r="G12" s="407"/>
      <c r="H12" s="407"/>
      <c r="I12" s="407"/>
      <c r="J12" s="408"/>
      <c r="K12" s="406"/>
      <c r="L12" s="407"/>
      <c r="M12" s="407"/>
      <c r="N12" s="407"/>
      <c r="O12" s="407"/>
      <c r="P12" s="407"/>
      <c r="Q12" s="407"/>
      <c r="R12" s="407"/>
      <c r="S12" s="407"/>
      <c r="T12" s="407"/>
      <c r="U12" s="408"/>
      <c r="V12" s="409"/>
      <c r="W12" s="406"/>
      <c r="X12" s="407"/>
      <c r="Y12" s="407"/>
      <c r="Z12" s="407"/>
      <c r="AA12" s="407"/>
      <c r="AB12" s="407"/>
      <c r="AC12" s="407"/>
      <c r="AD12" s="407"/>
      <c r="AE12" s="408"/>
      <c r="AF12" s="406"/>
      <c r="AG12" s="407"/>
      <c r="AH12" s="407"/>
      <c r="AI12" s="407"/>
      <c r="AJ12" s="407"/>
      <c r="AK12" s="407"/>
      <c r="AL12" s="407"/>
      <c r="AM12" s="407"/>
      <c r="AN12" s="407"/>
      <c r="AO12" s="407"/>
      <c r="AP12" s="408"/>
      <c r="AQ12" s="897"/>
      <c r="AR12" s="898"/>
      <c r="AS12" s="898"/>
      <c r="AT12" s="898"/>
      <c r="AU12" s="898"/>
      <c r="AV12" s="898"/>
      <c r="AW12" s="898"/>
      <c r="AX12" s="898"/>
      <c r="AY12" s="898"/>
      <c r="AZ12" s="898"/>
      <c r="BA12" s="898"/>
      <c r="BB12" s="898"/>
      <c r="BC12" s="898"/>
      <c r="BD12" s="898"/>
      <c r="BE12" s="898"/>
      <c r="BF12" s="898"/>
      <c r="BG12" s="898"/>
      <c r="BH12" s="898"/>
      <c r="BI12" s="898"/>
      <c r="BJ12" s="898"/>
      <c r="BK12" s="899"/>
    </row>
    <row r="13" spans="1:63" ht="15.75" customHeight="1">
      <c r="A13" s="895"/>
      <c r="B13" s="896"/>
      <c r="C13" s="405"/>
      <c r="D13" s="406"/>
      <c r="E13" s="407"/>
      <c r="F13" s="407"/>
      <c r="G13" s="407"/>
      <c r="H13" s="407"/>
      <c r="I13" s="407"/>
      <c r="J13" s="408"/>
      <c r="K13" s="406"/>
      <c r="L13" s="407"/>
      <c r="M13" s="407"/>
      <c r="N13" s="407"/>
      <c r="O13" s="407"/>
      <c r="P13" s="407"/>
      <c r="Q13" s="407"/>
      <c r="R13" s="407"/>
      <c r="S13" s="407"/>
      <c r="T13" s="407"/>
      <c r="U13" s="408"/>
      <c r="V13" s="409"/>
      <c r="W13" s="406"/>
      <c r="X13" s="407"/>
      <c r="Y13" s="407"/>
      <c r="Z13" s="407"/>
      <c r="AA13" s="407"/>
      <c r="AB13" s="407"/>
      <c r="AC13" s="407"/>
      <c r="AD13" s="407"/>
      <c r="AE13" s="408"/>
      <c r="AF13" s="406"/>
      <c r="AG13" s="407"/>
      <c r="AH13" s="407"/>
      <c r="AI13" s="407"/>
      <c r="AJ13" s="407"/>
      <c r="AK13" s="407"/>
      <c r="AL13" s="407"/>
      <c r="AM13" s="407"/>
      <c r="AN13" s="407"/>
      <c r="AO13" s="407"/>
      <c r="AP13" s="408"/>
      <c r="AQ13" s="897"/>
      <c r="AR13" s="898"/>
      <c r="AS13" s="898"/>
      <c r="AT13" s="898"/>
      <c r="AU13" s="898"/>
      <c r="AV13" s="898"/>
      <c r="AW13" s="898"/>
      <c r="AX13" s="898"/>
      <c r="AY13" s="898"/>
      <c r="AZ13" s="898"/>
      <c r="BA13" s="898"/>
      <c r="BB13" s="898"/>
      <c r="BC13" s="898"/>
      <c r="BD13" s="898"/>
      <c r="BE13" s="898"/>
      <c r="BF13" s="898"/>
      <c r="BG13" s="898"/>
      <c r="BH13" s="898"/>
      <c r="BI13" s="898"/>
      <c r="BJ13" s="898"/>
      <c r="BK13" s="899"/>
    </row>
    <row r="14" spans="1:63" ht="15.75" customHeight="1">
      <c r="A14" s="895"/>
      <c r="B14" s="896"/>
      <c r="C14" s="405"/>
      <c r="D14" s="406"/>
      <c r="E14" s="407"/>
      <c r="F14" s="407"/>
      <c r="G14" s="407"/>
      <c r="H14" s="407"/>
      <c r="I14" s="407"/>
      <c r="J14" s="408"/>
      <c r="K14" s="406"/>
      <c r="L14" s="407"/>
      <c r="M14" s="407"/>
      <c r="N14" s="407"/>
      <c r="O14" s="407"/>
      <c r="P14" s="407"/>
      <c r="Q14" s="407"/>
      <c r="R14" s="407"/>
      <c r="S14" s="407"/>
      <c r="T14" s="407"/>
      <c r="U14" s="408"/>
      <c r="V14" s="409"/>
      <c r="W14" s="406"/>
      <c r="X14" s="407"/>
      <c r="Y14" s="407"/>
      <c r="Z14" s="407"/>
      <c r="AA14" s="407"/>
      <c r="AB14" s="407"/>
      <c r="AC14" s="407"/>
      <c r="AD14" s="407"/>
      <c r="AE14" s="408"/>
      <c r="AF14" s="406"/>
      <c r="AG14" s="407"/>
      <c r="AH14" s="407"/>
      <c r="AI14" s="407"/>
      <c r="AJ14" s="407"/>
      <c r="AK14" s="407"/>
      <c r="AL14" s="407"/>
      <c r="AM14" s="407"/>
      <c r="AN14" s="407"/>
      <c r="AO14" s="407"/>
      <c r="AP14" s="408"/>
      <c r="AQ14" s="897"/>
      <c r="AR14" s="898"/>
      <c r="AS14" s="898"/>
      <c r="AT14" s="898"/>
      <c r="AU14" s="898"/>
      <c r="AV14" s="898"/>
      <c r="AW14" s="898"/>
      <c r="AX14" s="898"/>
      <c r="AY14" s="898"/>
      <c r="AZ14" s="898"/>
      <c r="BA14" s="898"/>
      <c r="BB14" s="898"/>
      <c r="BC14" s="898"/>
      <c r="BD14" s="898"/>
      <c r="BE14" s="898"/>
      <c r="BF14" s="898"/>
      <c r="BG14" s="898"/>
      <c r="BH14" s="898"/>
      <c r="BI14" s="898"/>
      <c r="BJ14" s="898"/>
      <c r="BK14" s="899"/>
    </row>
    <row r="15" spans="1:63" ht="15.75" customHeight="1">
      <c r="A15" s="895"/>
      <c r="B15" s="896"/>
      <c r="C15" s="405"/>
      <c r="D15" s="406"/>
      <c r="E15" s="407"/>
      <c r="F15" s="407"/>
      <c r="G15" s="407"/>
      <c r="H15" s="407"/>
      <c r="I15" s="407"/>
      <c r="J15" s="408"/>
      <c r="K15" s="406"/>
      <c r="L15" s="407"/>
      <c r="M15" s="407"/>
      <c r="N15" s="407"/>
      <c r="O15" s="407"/>
      <c r="P15" s="407"/>
      <c r="Q15" s="407"/>
      <c r="R15" s="407"/>
      <c r="S15" s="407"/>
      <c r="T15" s="407"/>
      <c r="U15" s="408"/>
      <c r="V15" s="409"/>
      <c r="W15" s="406"/>
      <c r="X15" s="407"/>
      <c r="Y15" s="407"/>
      <c r="Z15" s="407"/>
      <c r="AA15" s="407"/>
      <c r="AB15" s="407"/>
      <c r="AC15" s="407"/>
      <c r="AD15" s="407"/>
      <c r="AE15" s="408"/>
      <c r="AF15" s="406"/>
      <c r="AG15" s="407"/>
      <c r="AH15" s="407"/>
      <c r="AI15" s="407"/>
      <c r="AJ15" s="407"/>
      <c r="AK15" s="407"/>
      <c r="AL15" s="407"/>
      <c r="AM15" s="407"/>
      <c r="AN15" s="407"/>
      <c r="AO15" s="407"/>
      <c r="AP15" s="408"/>
      <c r="AQ15" s="897"/>
      <c r="AR15" s="898"/>
      <c r="AS15" s="898"/>
      <c r="AT15" s="898"/>
      <c r="AU15" s="898"/>
      <c r="AV15" s="898"/>
      <c r="AW15" s="898"/>
      <c r="AX15" s="898"/>
      <c r="AY15" s="898"/>
      <c r="AZ15" s="898"/>
      <c r="BA15" s="898"/>
      <c r="BB15" s="898"/>
      <c r="BC15" s="898"/>
      <c r="BD15" s="898"/>
      <c r="BE15" s="898"/>
      <c r="BF15" s="898"/>
      <c r="BG15" s="898"/>
      <c r="BH15" s="898"/>
      <c r="BI15" s="898"/>
      <c r="BJ15" s="898"/>
      <c r="BK15" s="899"/>
    </row>
    <row r="16" spans="1:63" ht="15.75" customHeight="1" thickBot="1">
      <c r="A16" s="890"/>
      <c r="B16" s="891"/>
      <c r="C16" s="137"/>
      <c r="D16" s="138"/>
      <c r="E16" s="139"/>
      <c r="F16" s="139"/>
      <c r="G16" s="139"/>
      <c r="H16" s="139"/>
      <c r="I16" s="139"/>
      <c r="J16" s="140"/>
      <c r="K16" s="138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1"/>
      <c r="W16" s="138"/>
      <c r="X16" s="139"/>
      <c r="Y16" s="139"/>
      <c r="Z16" s="139"/>
      <c r="AA16" s="139"/>
      <c r="AB16" s="139"/>
      <c r="AC16" s="139"/>
      <c r="AD16" s="139"/>
      <c r="AE16" s="140"/>
      <c r="AF16" s="138"/>
      <c r="AG16" s="139"/>
      <c r="AH16" s="139"/>
      <c r="AI16" s="139"/>
      <c r="AJ16" s="139"/>
      <c r="AK16" s="139"/>
      <c r="AL16" s="139"/>
      <c r="AM16" s="139"/>
      <c r="AN16" s="139"/>
      <c r="AO16" s="139"/>
      <c r="AP16" s="140"/>
      <c r="AQ16" s="892"/>
      <c r="AR16" s="893"/>
      <c r="AS16" s="893"/>
      <c r="AT16" s="893"/>
      <c r="AU16" s="893"/>
      <c r="AV16" s="893"/>
      <c r="AW16" s="893"/>
      <c r="AX16" s="893"/>
      <c r="AY16" s="893"/>
      <c r="AZ16" s="893"/>
      <c r="BA16" s="893"/>
      <c r="BB16" s="893"/>
      <c r="BC16" s="893"/>
      <c r="BD16" s="893"/>
      <c r="BE16" s="893"/>
      <c r="BF16" s="893"/>
      <c r="BG16" s="893"/>
      <c r="BH16" s="893"/>
      <c r="BI16" s="893"/>
      <c r="BJ16" s="893"/>
      <c r="BK16" s="894"/>
    </row>
  </sheetData>
  <mergeCells count="37">
    <mergeCell ref="AE1:AI1"/>
    <mergeCell ref="AJ1:AR1"/>
    <mergeCell ref="A16:B16"/>
    <mergeCell ref="AQ16:BK16"/>
    <mergeCell ref="A15:B15"/>
    <mergeCell ref="AQ15:BK15"/>
    <mergeCell ref="A14:B14"/>
    <mergeCell ref="AQ14:BK14"/>
    <mergeCell ref="A12:B12"/>
    <mergeCell ref="AQ12:BK12"/>
    <mergeCell ref="A13:B13"/>
    <mergeCell ref="AQ13:BK13"/>
    <mergeCell ref="A10:B10"/>
    <mergeCell ref="AQ10:BK10"/>
    <mergeCell ref="A11:B11"/>
    <mergeCell ref="AQ11:BK11"/>
    <mergeCell ref="BF2:BK3"/>
    <mergeCell ref="K3:T3"/>
    <mergeCell ref="U3:Y3"/>
    <mergeCell ref="Z3:AD3"/>
    <mergeCell ref="AE3:AR3"/>
    <mergeCell ref="A9:B9"/>
    <mergeCell ref="AQ9:BK9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1:J3"/>
    <mergeCell ref="K1:T1"/>
    <mergeCell ref="U1:Y1"/>
    <mergeCell ref="Z1:AD1"/>
  </mergeCells>
  <phoneticPr fontId="8"/>
  <dataValidations count="1">
    <dataValidation imeMode="off" allowBlank="1" showInputMessage="1" showErrorMessage="1" sqref="W9:AE16 D9:J16" xr:uid="{5782DB89-237E-4E5F-9D0E-170AE06C7BEA}"/>
  </dataValidations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7D6D-A1F3-453D-9867-CE831264EF8C}">
  <sheetPr codeName="Sheet11">
    <pageSetUpPr fitToPage="1"/>
  </sheetPr>
  <dimension ref="A1:BM43"/>
  <sheetViews>
    <sheetView showGridLines="0" showZeros="0" zoomScaleNormal="100" zoomScaleSheetLayoutView="85" workbookViewId="0">
      <pane ySplit="4" topLeftCell="A5" activePane="bottomLeft" state="frozen"/>
      <selection activeCell="AJ54" sqref="AJ54:AJ55"/>
      <selection pane="bottomLeft" sqref="A1:J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5" s="4" customFormat="1" ht="15.75" customHeight="1">
      <c r="A1" s="821" t="str">
        <f>表紙!A54</f>
        <v>Webシステム</v>
      </c>
      <c r="B1" s="822"/>
      <c r="C1" s="822"/>
      <c r="D1" s="822"/>
      <c r="E1" s="822"/>
      <c r="F1" s="822"/>
      <c r="G1" s="822"/>
      <c r="H1" s="822"/>
      <c r="I1" s="822"/>
      <c r="J1" s="823"/>
      <c r="K1" s="857" t="s">
        <v>132</v>
      </c>
      <c r="L1" s="858"/>
      <c r="M1" s="858"/>
      <c r="N1" s="858"/>
      <c r="O1" s="858"/>
      <c r="P1" s="858"/>
      <c r="Q1" s="858"/>
      <c r="R1" s="858"/>
      <c r="S1" s="858"/>
      <c r="T1" s="859"/>
      <c r="U1" s="860" t="s">
        <v>148</v>
      </c>
      <c r="V1" s="861"/>
      <c r="W1" s="861"/>
      <c r="X1" s="861"/>
      <c r="Y1" s="862"/>
      <c r="Z1" s="863" t="str">
        <f>表紙!$AJ$63</f>
        <v>MS</v>
      </c>
      <c r="AA1" s="864"/>
      <c r="AB1" s="864"/>
      <c r="AC1" s="864"/>
      <c r="AD1" s="865"/>
      <c r="AE1" s="866" t="s">
        <v>135</v>
      </c>
      <c r="AF1" s="832"/>
      <c r="AG1" s="832"/>
      <c r="AH1" s="832"/>
      <c r="AI1" s="833"/>
      <c r="AJ1" s="867" t="str">
        <f>表紙!$AX$63</f>
        <v>Webシステム</v>
      </c>
      <c r="AK1" s="868"/>
      <c r="AL1" s="868"/>
      <c r="AM1" s="868"/>
      <c r="AN1" s="868"/>
      <c r="AO1" s="868"/>
      <c r="AP1" s="868"/>
      <c r="AQ1" s="868"/>
      <c r="AR1" s="869"/>
      <c r="AS1" s="830" t="s">
        <v>101</v>
      </c>
      <c r="AT1" s="830"/>
      <c r="AU1" s="830"/>
      <c r="AV1" s="830"/>
      <c r="AW1" s="830"/>
      <c r="AX1" s="830"/>
      <c r="AY1" s="830"/>
      <c r="AZ1" s="831" t="s">
        <v>124</v>
      </c>
      <c r="BA1" s="832"/>
      <c r="BB1" s="832"/>
      <c r="BC1" s="832"/>
      <c r="BD1" s="832"/>
      <c r="BE1" s="833"/>
      <c r="BF1" s="831" t="s">
        <v>149</v>
      </c>
      <c r="BG1" s="832"/>
      <c r="BH1" s="832"/>
      <c r="BI1" s="832"/>
      <c r="BJ1" s="832"/>
      <c r="BK1" s="834"/>
    </row>
    <row r="2" spans="1:65" s="4" customFormat="1" ht="15.75" customHeight="1">
      <c r="A2" s="824"/>
      <c r="B2" s="825"/>
      <c r="C2" s="825"/>
      <c r="D2" s="825"/>
      <c r="E2" s="825"/>
      <c r="F2" s="825"/>
      <c r="G2" s="825"/>
      <c r="H2" s="825"/>
      <c r="I2" s="825"/>
      <c r="J2" s="826"/>
      <c r="K2" s="835" t="str">
        <f>表紙!O64</f>
        <v>アドオン設計書</v>
      </c>
      <c r="L2" s="836"/>
      <c r="M2" s="836"/>
      <c r="N2" s="836"/>
      <c r="O2" s="836"/>
      <c r="P2" s="836"/>
      <c r="Q2" s="836"/>
      <c r="R2" s="836"/>
      <c r="S2" s="836"/>
      <c r="T2" s="837"/>
      <c r="U2" s="838" t="s">
        <v>150</v>
      </c>
      <c r="V2" s="839"/>
      <c r="W2" s="839"/>
      <c r="X2" s="839"/>
      <c r="Y2" s="840"/>
      <c r="Z2" s="841" t="str">
        <f>表紙!$AJ$64</f>
        <v>MSBB</v>
      </c>
      <c r="AA2" s="842"/>
      <c r="AB2" s="842"/>
      <c r="AC2" s="842"/>
      <c r="AD2" s="843"/>
      <c r="AE2" s="844" t="s">
        <v>141</v>
      </c>
      <c r="AF2" s="845"/>
      <c r="AG2" s="845"/>
      <c r="AH2" s="845"/>
      <c r="AI2" s="846"/>
      <c r="AJ2" s="847" t="str">
        <f>表紙!$AX$64</f>
        <v>販売Webシステム</v>
      </c>
      <c r="AK2" s="848"/>
      <c r="AL2" s="848"/>
      <c r="AM2" s="848"/>
      <c r="AN2" s="848"/>
      <c r="AO2" s="848"/>
      <c r="AP2" s="848"/>
      <c r="AQ2" s="848"/>
      <c r="AR2" s="849"/>
      <c r="AS2" s="850" t="str">
        <f>表紙!$BL$64</f>
        <v>M7-US-1140</v>
      </c>
      <c r="AT2" s="851"/>
      <c r="AU2" s="851"/>
      <c r="AV2" s="851"/>
      <c r="AW2" s="851"/>
      <c r="AX2" s="851"/>
      <c r="AY2" s="851"/>
      <c r="AZ2" s="853" t="str">
        <f>表紙!$BU$64</f>
        <v>7.0.2</v>
      </c>
      <c r="BA2" s="836"/>
      <c r="BB2" s="836"/>
      <c r="BC2" s="836"/>
      <c r="BD2" s="836"/>
      <c r="BE2" s="837"/>
      <c r="BF2" s="870">
        <f>表紙!$CB$64</f>
        <v>2</v>
      </c>
      <c r="BG2" s="836"/>
      <c r="BH2" s="836"/>
      <c r="BI2" s="836"/>
      <c r="BJ2" s="836"/>
      <c r="BK2" s="871"/>
    </row>
    <row r="3" spans="1:65" s="4" customFormat="1" ht="15.75" customHeight="1" thickBot="1">
      <c r="A3" s="827"/>
      <c r="B3" s="828"/>
      <c r="C3" s="828"/>
      <c r="D3" s="828"/>
      <c r="E3" s="828"/>
      <c r="F3" s="828"/>
      <c r="G3" s="828"/>
      <c r="H3" s="828"/>
      <c r="I3" s="828"/>
      <c r="J3" s="829"/>
      <c r="K3" s="873" t="str">
        <f ca="1">RIGHT(CELL("filename",$A$1),LEN(CELL("filename",$A$1))-FIND("]",CELL("filename",$A$1)))</f>
        <v>ファイル入出力仕様</v>
      </c>
      <c r="L3" s="874"/>
      <c r="M3" s="874"/>
      <c r="N3" s="874"/>
      <c r="O3" s="874"/>
      <c r="P3" s="874"/>
      <c r="Q3" s="874"/>
      <c r="R3" s="874"/>
      <c r="S3" s="874"/>
      <c r="T3" s="875"/>
      <c r="U3" s="810" t="s">
        <v>146</v>
      </c>
      <c r="V3" s="811"/>
      <c r="W3" s="811"/>
      <c r="X3" s="811"/>
      <c r="Y3" s="812"/>
      <c r="Z3" s="813" t="str">
        <f>表紙!$AJ$65</f>
        <v>MSBBPA120</v>
      </c>
      <c r="AA3" s="814"/>
      <c r="AB3" s="814"/>
      <c r="AC3" s="814"/>
      <c r="AD3" s="814"/>
      <c r="AE3" s="815" t="str">
        <f>表紙!$AQ$65</f>
        <v>Web取引先マスタ一覧照会</v>
      </c>
      <c r="AF3" s="816"/>
      <c r="AG3" s="816"/>
      <c r="AH3" s="816"/>
      <c r="AI3" s="816"/>
      <c r="AJ3" s="816"/>
      <c r="AK3" s="816"/>
      <c r="AL3" s="816"/>
      <c r="AM3" s="816"/>
      <c r="AN3" s="816"/>
      <c r="AO3" s="816"/>
      <c r="AP3" s="816"/>
      <c r="AQ3" s="816"/>
      <c r="AR3" s="817"/>
      <c r="AS3" s="852"/>
      <c r="AT3" s="852"/>
      <c r="AU3" s="852"/>
      <c r="AV3" s="852"/>
      <c r="AW3" s="852"/>
      <c r="AX3" s="852"/>
      <c r="AY3" s="852"/>
      <c r="AZ3" s="854"/>
      <c r="BA3" s="855"/>
      <c r="BB3" s="855"/>
      <c r="BC3" s="855"/>
      <c r="BD3" s="855"/>
      <c r="BE3" s="856"/>
      <c r="BF3" s="854"/>
      <c r="BG3" s="855"/>
      <c r="BH3" s="855"/>
      <c r="BI3" s="855"/>
      <c r="BJ3" s="855"/>
      <c r="BK3" s="872"/>
    </row>
    <row r="4" spans="1:65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5" ht="15.75" customHeight="1">
      <c r="A5" s="108" t="s">
        <v>484</v>
      </c>
      <c r="B5" s="109"/>
      <c r="C5" s="109"/>
      <c r="D5" s="109"/>
      <c r="E5" s="110"/>
      <c r="F5" s="111"/>
      <c r="G5" s="112">
        <v>1</v>
      </c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5"/>
      <c r="S5" s="116" t="s">
        <v>570</v>
      </c>
      <c r="T5" s="117"/>
      <c r="U5" s="117"/>
      <c r="V5" s="117"/>
      <c r="W5" s="117"/>
      <c r="X5" s="117"/>
      <c r="Y5" s="118"/>
      <c r="Z5" s="119" t="s">
        <v>572</v>
      </c>
      <c r="AA5" s="119"/>
      <c r="AB5" s="119"/>
      <c r="AC5" s="119"/>
      <c r="AD5" s="114"/>
      <c r="AE5" s="119"/>
      <c r="AF5" s="119"/>
      <c r="AG5" s="119"/>
      <c r="AH5" s="120" t="s">
        <v>535</v>
      </c>
      <c r="AI5" s="117"/>
      <c r="AJ5" s="118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21"/>
    </row>
    <row r="6" spans="1:65" ht="15.75" customHeight="1">
      <c r="A6" s="122" t="s">
        <v>537</v>
      </c>
      <c r="B6" s="123"/>
      <c r="C6" s="123"/>
      <c r="D6" s="124"/>
      <c r="E6" s="125" t="s">
        <v>573</v>
      </c>
      <c r="F6" s="126"/>
      <c r="G6" s="126"/>
      <c r="H6" s="226"/>
      <c r="I6" s="226"/>
      <c r="J6" s="226"/>
      <c r="K6" s="226"/>
      <c r="L6" s="227"/>
      <c r="M6" s="227"/>
      <c r="N6" s="227"/>
      <c r="O6" s="227"/>
      <c r="P6" s="227"/>
      <c r="Q6" s="227"/>
      <c r="R6" s="227"/>
      <c r="S6" s="148" t="s">
        <v>539</v>
      </c>
      <c r="T6" s="222"/>
      <c r="U6" s="222"/>
      <c r="V6" s="222"/>
      <c r="W6" s="222"/>
      <c r="X6" s="222"/>
      <c r="Y6" s="228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9"/>
    </row>
    <row r="7" spans="1:65" ht="15.75" customHeight="1">
      <c r="A7" s="128" t="s">
        <v>484</v>
      </c>
      <c r="B7" s="129"/>
      <c r="C7" s="230" t="s">
        <v>541</v>
      </c>
      <c r="D7" s="231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230" t="s">
        <v>542</v>
      </c>
      <c r="W7" s="231"/>
      <c r="X7" s="130"/>
      <c r="Y7" s="130"/>
      <c r="Z7" s="130"/>
      <c r="AA7" s="130"/>
      <c r="AB7" s="130"/>
      <c r="AC7" s="130"/>
      <c r="AD7" s="130"/>
      <c r="AE7" s="130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232" t="s">
        <v>482</v>
      </c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31"/>
    </row>
    <row r="8" spans="1:65" ht="15.75" customHeight="1" thickBot="1">
      <c r="A8" s="132"/>
      <c r="B8" s="233"/>
      <c r="C8" s="133" t="s">
        <v>543</v>
      </c>
      <c r="D8" s="106" t="s">
        <v>544</v>
      </c>
      <c r="E8" s="107"/>
      <c r="F8" s="107"/>
      <c r="G8" s="107"/>
      <c r="H8" s="107"/>
      <c r="I8" s="107"/>
      <c r="J8" s="134"/>
      <c r="K8" s="106" t="s">
        <v>481</v>
      </c>
      <c r="L8" s="107"/>
      <c r="M8" s="107"/>
      <c r="N8" s="107"/>
      <c r="O8" s="107"/>
      <c r="P8" s="107"/>
      <c r="Q8" s="107"/>
      <c r="R8" s="107"/>
      <c r="S8" s="107"/>
      <c r="T8" s="107"/>
      <c r="U8" s="134"/>
      <c r="V8" s="133" t="s">
        <v>543</v>
      </c>
      <c r="W8" s="106" t="s">
        <v>544</v>
      </c>
      <c r="X8" s="107"/>
      <c r="Y8" s="107"/>
      <c r="Z8" s="107"/>
      <c r="AA8" s="107"/>
      <c r="AB8" s="107"/>
      <c r="AC8" s="107"/>
      <c r="AD8" s="107"/>
      <c r="AE8" s="134"/>
      <c r="AF8" s="106" t="s">
        <v>481</v>
      </c>
      <c r="AG8" s="107"/>
      <c r="AH8" s="107"/>
      <c r="AI8" s="107"/>
      <c r="AJ8" s="107"/>
      <c r="AK8" s="107"/>
      <c r="AL8" s="107"/>
      <c r="AM8" s="107"/>
      <c r="AN8" s="107"/>
      <c r="AO8" s="107"/>
      <c r="AP8" s="134"/>
      <c r="AQ8" s="135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136"/>
    </row>
    <row r="9" spans="1:65" ht="15.75" customHeight="1" thickTop="1">
      <c r="A9" s="885">
        <v>1</v>
      </c>
      <c r="B9" s="886"/>
      <c r="C9" s="142" t="s">
        <v>574</v>
      </c>
      <c r="D9" s="143" t="s">
        <v>412</v>
      </c>
      <c r="E9" s="144"/>
      <c r="F9" s="144"/>
      <c r="G9" s="144"/>
      <c r="H9" s="144"/>
      <c r="I9" s="144"/>
      <c r="J9" s="145"/>
      <c r="K9" s="143" t="s">
        <v>413</v>
      </c>
      <c r="L9" s="144"/>
      <c r="M9" s="144"/>
      <c r="N9" s="144"/>
      <c r="O9" s="144"/>
      <c r="P9" s="144"/>
      <c r="Q9" s="144"/>
      <c r="R9" s="144"/>
      <c r="S9" s="144"/>
      <c r="T9" s="144"/>
      <c r="U9" s="145"/>
      <c r="V9" s="142" t="s">
        <v>545</v>
      </c>
      <c r="W9" s="143" t="s">
        <v>412</v>
      </c>
      <c r="X9" s="144"/>
      <c r="Y9" s="144"/>
      <c r="Z9" s="144"/>
      <c r="AA9" s="144"/>
      <c r="AB9" s="144"/>
      <c r="AC9" s="144"/>
      <c r="AD9" s="144"/>
      <c r="AE9" s="145"/>
      <c r="AF9" s="143" t="s">
        <v>413</v>
      </c>
      <c r="AG9" s="144"/>
      <c r="AH9" s="144"/>
      <c r="AI9" s="144"/>
      <c r="AJ9" s="144"/>
      <c r="AK9" s="144"/>
      <c r="AL9" s="144"/>
      <c r="AM9" s="144"/>
      <c r="AN9" s="144"/>
      <c r="AO9" s="144"/>
      <c r="AP9" s="145"/>
      <c r="AQ9" s="143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246"/>
    </row>
    <row r="10" spans="1:65" ht="15.75" customHeight="1">
      <c r="A10" s="883">
        <v>2</v>
      </c>
      <c r="B10" s="884"/>
      <c r="C10" s="234" t="s">
        <v>574</v>
      </c>
      <c r="D10" s="236" t="s">
        <v>412</v>
      </c>
      <c r="E10" s="220"/>
      <c r="F10" s="220"/>
      <c r="G10" s="220"/>
      <c r="H10" s="220"/>
      <c r="I10" s="220"/>
      <c r="J10" s="235"/>
      <c r="K10" s="37" t="s">
        <v>416</v>
      </c>
      <c r="L10" s="220"/>
      <c r="M10" s="220"/>
      <c r="N10" s="220"/>
      <c r="O10" s="220"/>
      <c r="P10" s="220"/>
      <c r="Q10" s="220"/>
      <c r="R10" s="220"/>
      <c r="S10" s="220"/>
      <c r="T10" s="220"/>
      <c r="U10" s="235"/>
      <c r="V10" s="234" t="s">
        <v>547</v>
      </c>
      <c r="W10" s="236" t="s">
        <v>412</v>
      </c>
      <c r="X10" s="220"/>
      <c r="Y10" s="220"/>
      <c r="Z10" s="220"/>
      <c r="AA10" s="220"/>
      <c r="AB10" s="220"/>
      <c r="AC10" s="220"/>
      <c r="AD10" s="220"/>
      <c r="AE10" s="235"/>
      <c r="AF10" s="37" t="s">
        <v>416</v>
      </c>
      <c r="AG10" s="220"/>
      <c r="AH10" s="220"/>
      <c r="AI10" s="220"/>
      <c r="AJ10" s="220"/>
      <c r="AK10" s="220"/>
      <c r="AL10" s="220"/>
      <c r="AM10" s="220"/>
      <c r="AN10" s="220"/>
      <c r="AO10" s="220"/>
      <c r="AP10" s="235"/>
      <c r="AQ10" s="238"/>
      <c r="AR10" s="239"/>
      <c r="AS10" s="239"/>
      <c r="AT10" s="239"/>
      <c r="AU10" s="239"/>
      <c r="AV10" s="239"/>
      <c r="AW10" s="239"/>
      <c r="AX10" s="239"/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39"/>
      <c r="BK10" s="240"/>
    </row>
    <row r="11" spans="1:65" ht="15.75" customHeight="1">
      <c r="A11" s="883">
        <v>3</v>
      </c>
      <c r="B11" s="884"/>
      <c r="C11" s="234" t="s">
        <v>574</v>
      </c>
      <c r="D11" s="236" t="s">
        <v>412</v>
      </c>
      <c r="E11" s="220"/>
      <c r="F11" s="220"/>
      <c r="G11" s="220"/>
      <c r="H11" s="220"/>
      <c r="I11" s="220"/>
      <c r="J11" s="235"/>
      <c r="K11" s="37" t="s">
        <v>350</v>
      </c>
      <c r="L11" s="220"/>
      <c r="M11" s="220"/>
      <c r="N11" s="220"/>
      <c r="O11" s="220"/>
      <c r="P11" s="220"/>
      <c r="Q11" s="220"/>
      <c r="R11" s="220"/>
      <c r="S11" s="220"/>
      <c r="T11" s="220"/>
      <c r="U11" s="235"/>
      <c r="V11" s="234" t="s">
        <v>547</v>
      </c>
      <c r="W11" s="236" t="s">
        <v>412</v>
      </c>
      <c r="X11" s="220"/>
      <c r="Y11" s="220"/>
      <c r="Z11" s="220"/>
      <c r="AA11" s="220"/>
      <c r="AB11" s="220"/>
      <c r="AC11" s="220"/>
      <c r="AD11" s="220"/>
      <c r="AE11" s="235"/>
      <c r="AF11" s="37" t="s">
        <v>350</v>
      </c>
      <c r="AG11" s="220"/>
      <c r="AH11" s="220"/>
      <c r="AI11" s="220"/>
      <c r="AJ11" s="220"/>
      <c r="AK11" s="220"/>
      <c r="AL11" s="220"/>
      <c r="AM11" s="220"/>
      <c r="AN11" s="220"/>
      <c r="AO11" s="220"/>
      <c r="AP11" s="235"/>
      <c r="AQ11" s="238"/>
      <c r="AR11" s="239"/>
      <c r="AS11" s="239"/>
      <c r="AT11" s="239"/>
      <c r="AU11" s="239"/>
      <c r="AV11" s="239"/>
      <c r="AW11" s="239"/>
      <c r="AX11" s="239"/>
      <c r="AY11" s="239"/>
      <c r="AZ11" s="239"/>
      <c r="BA11" s="239"/>
      <c r="BB11" s="239"/>
      <c r="BC11" s="239"/>
      <c r="BD11" s="239"/>
      <c r="BE11" s="239"/>
      <c r="BF11" s="239"/>
      <c r="BG11" s="239"/>
      <c r="BH11" s="239"/>
      <c r="BI11" s="239"/>
      <c r="BJ11" s="239"/>
      <c r="BK11" s="240"/>
    </row>
    <row r="12" spans="1:65" ht="15.75" customHeight="1">
      <c r="A12" s="883">
        <v>4</v>
      </c>
      <c r="B12" s="884"/>
      <c r="C12" s="234" t="s">
        <v>574</v>
      </c>
      <c r="D12" s="236" t="s">
        <v>412</v>
      </c>
      <c r="E12" s="220"/>
      <c r="F12" s="220"/>
      <c r="G12" s="220"/>
      <c r="H12" s="220"/>
      <c r="I12" s="220"/>
      <c r="J12" s="235"/>
      <c r="K12" s="37" t="s">
        <v>355</v>
      </c>
      <c r="L12" s="220"/>
      <c r="M12" s="220"/>
      <c r="N12" s="220"/>
      <c r="O12" s="220"/>
      <c r="P12" s="220"/>
      <c r="Q12" s="220"/>
      <c r="R12" s="220"/>
      <c r="S12" s="220"/>
      <c r="T12" s="220"/>
      <c r="U12" s="235"/>
      <c r="V12" s="234" t="s">
        <v>547</v>
      </c>
      <c r="W12" s="236" t="s">
        <v>412</v>
      </c>
      <c r="X12" s="220"/>
      <c r="Y12" s="220"/>
      <c r="Z12" s="220"/>
      <c r="AA12" s="220"/>
      <c r="AB12" s="220"/>
      <c r="AC12" s="220"/>
      <c r="AD12" s="220"/>
      <c r="AE12" s="235"/>
      <c r="AF12" s="37" t="s">
        <v>355</v>
      </c>
      <c r="AG12" s="220"/>
      <c r="AH12" s="220"/>
      <c r="AI12" s="220"/>
      <c r="AJ12" s="220"/>
      <c r="AK12" s="220"/>
      <c r="AL12" s="220"/>
      <c r="AM12" s="220"/>
      <c r="AN12" s="220"/>
      <c r="AO12" s="220"/>
      <c r="AP12" s="235"/>
      <c r="AQ12" s="238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40"/>
    </row>
    <row r="13" spans="1:65" ht="15.75" customHeight="1">
      <c r="A13" s="883">
        <v>5</v>
      </c>
      <c r="B13" s="884"/>
      <c r="C13" s="234" t="s">
        <v>574</v>
      </c>
      <c r="D13" s="236" t="s">
        <v>412</v>
      </c>
      <c r="E13" s="220"/>
      <c r="F13" s="220"/>
      <c r="G13" s="220"/>
      <c r="H13" s="220"/>
      <c r="I13" s="220"/>
      <c r="J13" s="235"/>
      <c r="K13" s="37" t="s">
        <v>420</v>
      </c>
      <c r="L13" s="220"/>
      <c r="M13" s="220"/>
      <c r="N13" s="220"/>
      <c r="O13" s="220"/>
      <c r="P13" s="220"/>
      <c r="Q13" s="220"/>
      <c r="R13" s="220"/>
      <c r="S13" s="220"/>
      <c r="T13" s="220"/>
      <c r="U13" s="235"/>
      <c r="V13" s="234" t="s">
        <v>547</v>
      </c>
      <c r="W13" s="236" t="s">
        <v>412</v>
      </c>
      <c r="X13" s="220"/>
      <c r="Y13" s="220"/>
      <c r="Z13" s="220"/>
      <c r="AA13" s="220"/>
      <c r="AB13" s="220"/>
      <c r="AC13" s="220"/>
      <c r="AD13" s="220"/>
      <c r="AE13" s="235"/>
      <c r="AF13" s="37" t="s">
        <v>420</v>
      </c>
      <c r="AG13" s="220"/>
      <c r="AH13" s="220"/>
      <c r="AI13" s="220"/>
      <c r="AJ13" s="220"/>
      <c r="AK13" s="220"/>
      <c r="AL13" s="220"/>
      <c r="AM13" s="220"/>
      <c r="AN13" s="220"/>
      <c r="AO13" s="220"/>
      <c r="AP13" s="235"/>
      <c r="AQ13" s="238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40"/>
    </row>
    <row r="14" spans="1:65" ht="15.75" customHeight="1">
      <c r="A14" s="883">
        <v>6</v>
      </c>
      <c r="B14" s="884"/>
      <c r="C14" s="234" t="s">
        <v>574</v>
      </c>
      <c r="D14" s="236" t="s">
        <v>412</v>
      </c>
      <c r="E14" s="220"/>
      <c r="F14" s="220"/>
      <c r="G14" s="220"/>
      <c r="H14" s="220"/>
      <c r="I14" s="220"/>
      <c r="J14" s="235"/>
      <c r="K14" s="37" t="s">
        <v>357</v>
      </c>
      <c r="L14" s="220"/>
      <c r="M14" s="220"/>
      <c r="N14" s="220"/>
      <c r="O14" s="220"/>
      <c r="P14" s="220"/>
      <c r="Q14" s="220"/>
      <c r="R14" s="220"/>
      <c r="S14" s="220"/>
      <c r="T14" s="220"/>
      <c r="U14" s="235"/>
      <c r="V14" s="234" t="s">
        <v>547</v>
      </c>
      <c r="W14" s="236" t="s">
        <v>412</v>
      </c>
      <c r="X14" s="220"/>
      <c r="Y14" s="220"/>
      <c r="Z14" s="220"/>
      <c r="AA14" s="220"/>
      <c r="AB14" s="220"/>
      <c r="AC14" s="220"/>
      <c r="AD14" s="220"/>
      <c r="AE14" s="235"/>
      <c r="AF14" s="37" t="s">
        <v>357</v>
      </c>
      <c r="AG14" s="220"/>
      <c r="AH14" s="220"/>
      <c r="AI14" s="220"/>
      <c r="AJ14" s="220"/>
      <c r="AK14" s="220"/>
      <c r="AL14" s="220"/>
      <c r="AM14" s="220"/>
      <c r="AN14" s="220"/>
      <c r="AO14" s="220"/>
      <c r="AP14" s="235"/>
      <c r="AQ14" s="238"/>
      <c r="AR14" s="239"/>
      <c r="AS14" s="239"/>
      <c r="AT14" s="239"/>
      <c r="AU14" s="239"/>
      <c r="AV14" s="239"/>
      <c r="AW14" s="239"/>
      <c r="AX14" s="239"/>
      <c r="AY14" s="239"/>
      <c r="AZ14" s="239"/>
      <c r="BA14" s="239"/>
      <c r="BB14" s="239"/>
      <c r="BC14" s="239"/>
      <c r="BD14" s="239"/>
      <c r="BE14" s="239"/>
      <c r="BF14" s="239"/>
      <c r="BG14" s="239"/>
      <c r="BH14" s="239"/>
      <c r="BI14" s="239"/>
      <c r="BJ14" s="239"/>
      <c r="BK14" s="240"/>
    </row>
    <row r="15" spans="1:65" ht="15.75" customHeight="1">
      <c r="A15" s="883">
        <v>7</v>
      </c>
      <c r="B15" s="884"/>
      <c r="C15" s="234" t="s">
        <v>574</v>
      </c>
      <c r="D15" s="236" t="s">
        <v>412</v>
      </c>
      <c r="E15" s="220"/>
      <c r="F15" s="220"/>
      <c r="G15" s="220"/>
      <c r="H15" s="220"/>
      <c r="I15" s="220"/>
      <c r="J15" s="235"/>
      <c r="K15" s="37" t="s">
        <v>363</v>
      </c>
      <c r="L15" s="220"/>
      <c r="M15" s="220"/>
      <c r="N15" s="220"/>
      <c r="O15" s="220"/>
      <c r="P15" s="220"/>
      <c r="Q15" s="220"/>
      <c r="R15" s="220"/>
      <c r="S15" s="220"/>
      <c r="T15" s="220"/>
      <c r="U15" s="235"/>
      <c r="V15" s="234" t="s">
        <v>547</v>
      </c>
      <c r="W15" s="236" t="s">
        <v>412</v>
      </c>
      <c r="X15" s="220"/>
      <c r="Y15" s="220"/>
      <c r="Z15" s="220"/>
      <c r="AA15" s="220"/>
      <c r="AB15" s="220"/>
      <c r="AC15" s="220"/>
      <c r="AD15" s="220"/>
      <c r="AE15" s="235"/>
      <c r="AF15" s="37" t="s">
        <v>363</v>
      </c>
      <c r="AG15" s="220"/>
      <c r="AH15" s="220"/>
      <c r="AI15" s="220"/>
      <c r="AJ15" s="220"/>
      <c r="AK15" s="220"/>
      <c r="AL15" s="220"/>
      <c r="AM15" s="220"/>
      <c r="AN15" s="220"/>
      <c r="AO15" s="220"/>
      <c r="AP15" s="235"/>
      <c r="AQ15" s="238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40"/>
    </row>
    <row r="16" spans="1:65" ht="15.75" customHeight="1">
      <c r="A16" s="883">
        <v>8</v>
      </c>
      <c r="B16" s="884"/>
      <c r="C16" s="234" t="s">
        <v>574</v>
      </c>
      <c r="D16" s="236" t="s">
        <v>412</v>
      </c>
      <c r="E16" s="220"/>
      <c r="F16" s="220"/>
      <c r="G16" s="220"/>
      <c r="H16" s="220"/>
      <c r="I16" s="220"/>
      <c r="J16" s="235"/>
      <c r="K16" s="41" t="s">
        <v>605</v>
      </c>
      <c r="L16" s="220"/>
      <c r="M16" s="220"/>
      <c r="N16" s="220"/>
      <c r="O16" s="220"/>
      <c r="P16" s="220"/>
      <c r="Q16" s="220"/>
      <c r="R16" s="220"/>
      <c r="S16" s="220"/>
      <c r="T16" s="220"/>
      <c r="U16" s="235"/>
      <c r="V16" s="234" t="s">
        <v>547</v>
      </c>
      <c r="W16" s="236" t="s">
        <v>412</v>
      </c>
      <c r="X16" s="220"/>
      <c r="Y16" s="220"/>
      <c r="Z16" s="220"/>
      <c r="AA16" s="220"/>
      <c r="AB16" s="220"/>
      <c r="AC16" s="220"/>
      <c r="AD16" s="220"/>
      <c r="AE16" s="235"/>
      <c r="AF16" s="41" t="s">
        <v>605</v>
      </c>
      <c r="AG16" s="220"/>
      <c r="AH16" s="220"/>
      <c r="AI16" s="220"/>
      <c r="AJ16" s="220"/>
      <c r="AK16" s="220"/>
      <c r="AL16" s="220"/>
      <c r="AM16" s="220"/>
      <c r="AN16" s="220"/>
      <c r="AO16" s="220"/>
      <c r="AP16" s="235"/>
      <c r="AQ16" s="238"/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39"/>
      <c r="BK16" s="240"/>
      <c r="BM16" s="413" t="s">
        <v>619</v>
      </c>
    </row>
    <row r="17" spans="1:65" ht="15.75" customHeight="1">
      <c r="A17" s="883">
        <v>9</v>
      </c>
      <c r="B17" s="884"/>
      <c r="C17" s="234" t="s">
        <v>574</v>
      </c>
      <c r="D17" s="236" t="s">
        <v>412</v>
      </c>
      <c r="E17" s="220"/>
      <c r="F17" s="220"/>
      <c r="G17" s="220"/>
      <c r="H17" s="220"/>
      <c r="I17" s="220"/>
      <c r="J17" s="235"/>
      <c r="K17" s="52" t="s">
        <v>626</v>
      </c>
      <c r="L17" s="220"/>
      <c r="M17" s="220"/>
      <c r="N17" s="220"/>
      <c r="O17" s="220"/>
      <c r="P17" s="220"/>
      <c r="Q17" s="220"/>
      <c r="R17" s="220"/>
      <c r="S17" s="220"/>
      <c r="T17" s="220"/>
      <c r="U17" s="235"/>
      <c r="V17" s="234" t="s">
        <v>547</v>
      </c>
      <c r="W17" s="236" t="s">
        <v>412</v>
      </c>
      <c r="X17" s="220"/>
      <c r="Y17" s="220"/>
      <c r="Z17" s="220"/>
      <c r="AA17" s="220"/>
      <c r="AB17" s="220"/>
      <c r="AC17" s="220"/>
      <c r="AD17" s="220"/>
      <c r="AE17" s="235"/>
      <c r="AF17" s="52" t="s">
        <v>602</v>
      </c>
      <c r="AG17" s="220"/>
      <c r="AH17" s="220"/>
      <c r="AI17" s="220"/>
      <c r="AJ17" s="220"/>
      <c r="AK17" s="220"/>
      <c r="AL17" s="220"/>
      <c r="AM17" s="220"/>
      <c r="AN17" s="220"/>
      <c r="AO17" s="220"/>
      <c r="AP17" s="235"/>
      <c r="AQ17" s="238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  <c r="BB17" s="239"/>
      <c r="BC17" s="239"/>
      <c r="BD17" s="239"/>
      <c r="BE17" s="239"/>
      <c r="BF17" s="239"/>
      <c r="BG17" s="239"/>
      <c r="BH17" s="239"/>
      <c r="BI17" s="239"/>
      <c r="BJ17" s="239"/>
      <c r="BK17" s="240"/>
      <c r="BM17" s="413" t="s">
        <v>619</v>
      </c>
    </row>
    <row r="18" spans="1:65" ht="15.75" customHeight="1">
      <c r="A18" s="883">
        <v>10</v>
      </c>
      <c r="B18" s="884"/>
      <c r="C18" s="234" t="s">
        <v>574</v>
      </c>
      <c r="D18" s="236" t="s">
        <v>412</v>
      </c>
      <c r="E18" s="220"/>
      <c r="F18" s="220"/>
      <c r="G18" s="220"/>
      <c r="H18" s="220"/>
      <c r="I18" s="220"/>
      <c r="J18" s="235"/>
      <c r="K18" s="37" t="s">
        <v>549</v>
      </c>
      <c r="L18" s="220"/>
      <c r="M18" s="220"/>
      <c r="N18" s="220"/>
      <c r="O18" s="220"/>
      <c r="P18" s="220"/>
      <c r="Q18" s="220"/>
      <c r="R18" s="220"/>
      <c r="S18" s="220"/>
      <c r="T18" s="220"/>
      <c r="U18" s="235"/>
      <c r="V18" s="234" t="s">
        <v>547</v>
      </c>
      <c r="W18" s="236" t="s">
        <v>412</v>
      </c>
      <c r="X18" s="220"/>
      <c r="Y18" s="220"/>
      <c r="Z18" s="220"/>
      <c r="AA18" s="220"/>
      <c r="AB18" s="220"/>
      <c r="AC18" s="220"/>
      <c r="AD18" s="220"/>
      <c r="AE18" s="235"/>
      <c r="AF18" s="37" t="s">
        <v>549</v>
      </c>
      <c r="AG18" s="220"/>
      <c r="AH18" s="220"/>
      <c r="AI18" s="220"/>
      <c r="AJ18" s="220"/>
      <c r="AK18" s="220"/>
      <c r="AL18" s="220"/>
      <c r="AM18" s="220"/>
      <c r="AN18" s="220"/>
      <c r="AO18" s="220"/>
      <c r="AP18" s="235"/>
      <c r="AQ18" s="238"/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39"/>
      <c r="BK18" s="240"/>
    </row>
    <row r="19" spans="1:65" ht="15.75" customHeight="1">
      <c r="A19" s="883">
        <v>11</v>
      </c>
      <c r="B19" s="884"/>
      <c r="C19" s="234" t="s">
        <v>574</v>
      </c>
      <c r="D19" s="236" t="s">
        <v>412</v>
      </c>
      <c r="E19" s="220"/>
      <c r="F19" s="220"/>
      <c r="G19" s="220"/>
      <c r="H19" s="220"/>
      <c r="I19" s="220"/>
      <c r="J19" s="235"/>
      <c r="K19" s="37" t="s">
        <v>575</v>
      </c>
      <c r="L19" s="220"/>
      <c r="M19" s="220"/>
      <c r="N19" s="220"/>
      <c r="O19" s="220"/>
      <c r="P19" s="220"/>
      <c r="Q19" s="220"/>
      <c r="R19" s="220"/>
      <c r="S19" s="220"/>
      <c r="T19" s="220"/>
      <c r="U19" s="235"/>
      <c r="V19" s="234" t="s">
        <v>547</v>
      </c>
      <c r="W19" s="236" t="s">
        <v>412</v>
      </c>
      <c r="X19" s="220"/>
      <c r="Y19" s="220"/>
      <c r="Z19" s="220"/>
      <c r="AA19" s="220"/>
      <c r="AB19" s="220"/>
      <c r="AC19" s="220"/>
      <c r="AD19" s="220"/>
      <c r="AE19" s="235"/>
      <c r="AF19" s="37" t="s">
        <v>575</v>
      </c>
      <c r="AG19" s="220"/>
      <c r="AH19" s="220"/>
      <c r="AI19" s="220"/>
      <c r="AJ19" s="220"/>
      <c r="AK19" s="220"/>
      <c r="AL19" s="220"/>
      <c r="AM19" s="220"/>
      <c r="AN19" s="220"/>
      <c r="AO19" s="220"/>
      <c r="AP19" s="235"/>
      <c r="AQ19" s="238"/>
      <c r="AR19" s="239"/>
      <c r="AS19" s="239"/>
      <c r="AT19" s="239"/>
      <c r="AU19" s="239"/>
      <c r="AV19" s="239"/>
      <c r="AW19" s="239"/>
      <c r="AX19" s="239"/>
      <c r="AY19" s="239"/>
      <c r="AZ19" s="239"/>
      <c r="BA19" s="239"/>
      <c r="BB19" s="239"/>
      <c r="BC19" s="239"/>
      <c r="BD19" s="239"/>
      <c r="BE19" s="239"/>
      <c r="BF19" s="239"/>
      <c r="BG19" s="239"/>
      <c r="BH19" s="239"/>
      <c r="BI19" s="239"/>
      <c r="BJ19" s="239"/>
      <c r="BK19" s="240"/>
    </row>
    <row r="20" spans="1:65" ht="15.75" customHeight="1">
      <c r="A20" s="883">
        <v>12</v>
      </c>
      <c r="B20" s="884"/>
      <c r="C20" s="234" t="s">
        <v>574</v>
      </c>
      <c r="D20" s="236" t="s">
        <v>412</v>
      </c>
      <c r="E20" s="220"/>
      <c r="F20" s="220"/>
      <c r="G20" s="220"/>
      <c r="H20" s="220"/>
      <c r="I20" s="220"/>
      <c r="J20" s="235"/>
      <c r="K20" s="41" t="s">
        <v>607</v>
      </c>
      <c r="L20" s="220"/>
      <c r="M20" s="220"/>
      <c r="N20" s="220"/>
      <c r="O20" s="220"/>
      <c r="P20" s="220"/>
      <c r="Q20" s="220"/>
      <c r="R20" s="220"/>
      <c r="S20" s="220"/>
      <c r="T20" s="220"/>
      <c r="U20" s="235"/>
      <c r="V20" s="234" t="s">
        <v>547</v>
      </c>
      <c r="W20" s="236" t="s">
        <v>412</v>
      </c>
      <c r="X20" s="220"/>
      <c r="Y20" s="220"/>
      <c r="Z20" s="220"/>
      <c r="AA20" s="220"/>
      <c r="AB20" s="220"/>
      <c r="AC20" s="220"/>
      <c r="AD20" s="220"/>
      <c r="AE20" s="235"/>
      <c r="AF20" s="41" t="s">
        <v>607</v>
      </c>
      <c r="AG20" s="220"/>
      <c r="AH20" s="220"/>
      <c r="AI20" s="220"/>
      <c r="AJ20" s="220"/>
      <c r="AK20" s="220"/>
      <c r="AL20" s="220"/>
      <c r="AM20" s="220"/>
      <c r="AN20" s="220"/>
      <c r="AO20" s="220"/>
      <c r="AP20" s="235"/>
      <c r="AQ20" s="238"/>
      <c r="AR20" s="239"/>
      <c r="AS20" s="239"/>
      <c r="AT20" s="239"/>
      <c r="AU20" s="239"/>
      <c r="AV20" s="239"/>
      <c r="AW20" s="239"/>
      <c r="AX20" s="239"/>
      <c r="AY20" s="239"/>
      <c r="AZ20" s="239"/>
      <c r="BA20" s="239"/>
      <c r="BB20" s="239"/>
      <c r="BC20" s="239"/>
      <c r="BD20" s="239"/>
      <c r="BE20" s="239"/>
      <c r="BF20" s="239"/>
      <c r="BG20" s="239"/>
      <c r="BH20" s="239"/>
      <c r="BI20" s="239"/>
      <c r="BJ20" s="239"/>
      <c r="BK20" s="240"/>
      <c r="BM20" s="413" t="s">
        <v>619</v>
      </c>
    </row>
    <row r="21" spans="1:65" ht="15.75" customHeight="1">
      <c r="A21" s="883">
        <v>13</v>
      </c>
      <c r="B21" s="884"/>
      <c r="C21" s="234" t="s">
        <v>574</v>
      </c>
      <c r="D21" s="236" t="s">
        <v>412</v>
      </c>
      <c r="E21" s="220"/>
      <c r="F21" s="220"/>
      <c r="G21" s="220"/>
      <c r="H21" s="220"/>
      <c r="I21" s="220"/>
      <c r="J21" s="235"/>
      <c r="K21" s="52" t="s">
        <v>627</v>
      </c>
      <c r="L21" s="220"/>
      <c r="M21" s="220"/>
      <c r="N21" s="220"/>
      <c r="O21" s="220"/>
      <c r="P21" s="220"/>
      <c r="Q21" s="220"/>
      <c r="R21" s="220"/>
      <c r="S21" s="220"/>
      <c r="T21" s="220"/>
      <c r="U21" s="235"/>
      <c r="V21" s="234" t="s">
        <v>547</v>
      </c>
      <c r="W21" s="236" t="s">
        <v>412</v>
      </c>
      <c r="X21" s="220"/>
      <c r="Y21" s="220"/>
      <c r="Z21" s="220"/>
      <c r="AA21" s="220"/>
      <c r="AB21" s="220"/>
      <c r="AC21" s="220"/>
      <c r="AD21" s="220"/>
      <c r="AE21" s="235"/>
      <c r="AF21" s="52" t="s">
        <v>602</v>
      </c>
      <c r="AG21" s="220"/>
      <c r="AH21" s="220"/>
      <c r="AI21" s="220"/>
      <c r="AJ21" s="220"/>
      <c r="AK21" s="220"/>
      <c r="AL21" s="220"/>
      <c r="AM21" s="220"/>
      <c r="AN21" s="220"/>
      <c r="AO21" s="220"/>
      <c r="AP21" s="235"/>
      <c r="AQ21" s="238"/>
      <c r="AR21" s="239"/>
      <c r="AS21" s="239"/>
      <c r="AT21" s="239"/>
      <c r="AU21" s="239"/>
      <c r="AV21" s="239"/>
      <c r="AW21" s="239"/>
      <c r="AX21" s="239"/>
      <c r="AY21" s="239"/>
      <c r="AZ21" s="239"/>
      <c r="BA21" s="239"/>
      <c r="BB21" s="239"/>
      <c r="BC21" s="239"/>
      <c r="BD21" s="239"/>
      <c r="BE21" s="239"/>
      <c r="BF21" s="239"/>
      <c r="BG21" s="239"/>
      <c r="BH21" s="239"/>
      <c r="BI21" s="239"/>
      <c r="BJ21" s="239"/>
      <c r="BK21" s="240"/>
      <c r="BM21" s="413" t="s">
        <v>619</v>
      </c>
    </row>
    <row r="22" spans="1:65" ht="15.75" customHeight="1">
      <c r="A22" s="883">
        <v>14</v>
      </c>
      <c r="B22" s="884"/>
      <c r="C22" s="234" t="s">
        <v>574</v>
      </c>
      <c r="D22" s="236" t="s">
        <v>412</v>
      </c>
      <c r="E22" s="220"/>
      <c r="F22" s="220"/>
      <c r="G22" s="220"/>
      <c r="H22" s="220"/>
      <c r="I22" s="220"/>
      <c r="J22" s="235"/>
      <c r="K22" s="37" t="s">
        <v>260</v>
      </c>
      <c r="L22" s="220"/>
      <c r="M22" s="220"/>
      <c r="N22" s="220"/>
      <c r="O22" s="220"/>
      <c r="P22" s="220"/>
      <c r="Q22" s="220"/>
      <c r="R22" s="220"/>
      <c r="S22" s="220"/>
      <c r="T22" s="220"/>
      <c r="U22" s="235"/>
      <c r="V22" s="234" t="s">
        <v>547</v>
      </c>
      <c r="W22" s="236" t="s">
        <v>412</v>
      </c>
      <c r="X22" s="220"/>
      <c r="Y22" s="220"/>
      <c r="Z22" s="220"/>
      <c r="AA22" s="220"/>
      <c r="AB22" s="220"/>
      <c r="AC22" s="220"/>
      <c r="AD22" s="220"/>
      <c r="AE22" s="235"/>
      <c r="AF22" s="37" t="s">
        <v>260</v>
      </c>
      <c r="AG22" s="220"/>
      <c r="AH22" s="220"/>
      <c r="AI22" s="220"/>
      <c r="AJ22" s="220"/>
      <c r="AK22" s="220"/>
      <c r="AL22" s="220"/>
      <c r="AM22" s="220"/>
      <c r="AN22" s="220"/>
      <c r="AO22" s="220"/>
      <c r="AP22" s="235"/>
      <c r="AQ22" s="238"/>
      <c r="AR22" s="239"/>
      <c r="AS22" s="239"/>
      <c r="AT22" s="239"/>
      <c r="AU22" s="239"/>
      <c r="AV22" s="239"/>
      <c r="AW22" s="239"/>
      <c r="AX22" s="239"/>
      <c r="AY22" s="239"/>
      <c r="AZ22" s="239"/>
      <c r="BA22" s="239"/>
      <c r="BB22" s="239"/>
      <c r="BC22" s="239"/>
      <c r="BD22" s="239"/>
      <c r="BE22" s="239"/>
      <c r="BF22" s="239"/>
      <c r="BG22" s="239"/>
      <c r="BH22" s="239"/>
      <c r="BI22" s="239"/>
      <c r="BJ22" s="239"/>
      <c r="BK22" s="240"/>
    </row>
    <row r="23" spans="1:65" ht="15.75" customHeight="1">
      <c r="A23" s="883">
        <v>15</v>
      </c>
      <c r="B23" s="884"/>
      <c r="C23" s="234" t="s">
        <v>574</v>
      </c>
      <c r="D23" s="236" t="s">
        <v>412</v>
      </c>
      <c r="E23" s="220"/>
      <c r="F23" s="220"/>
      <c r="G23" s="220"/>
      <c r="H23" s="220"/>
      <c r="I23" s="220"/>
      <c r="J23" s="235"/>
      <c r="K23" s="37" t="s">
        <v>576</v>
      </c>
      <c r="L23" s="220"/>
      <c r="M23" s="220"/>
      <c r="N23" s="220"/>
      <c r="O23" s="220"/>
      <c r="P23" s="220"/>
      <c r="Q23" s="220"/>
      <c r="R23" s="220"/>
      <c r="S23" s="220"/>
      <c r="T23" s="220"/>
      <c r="U23" s="235"/>
      <c r="V23" s="234" t="s">
        <v>547</v>
      </c>
      <c r="W23" s="236" t="s">
        <v>412</v>
      </c>
      <c r="X23" s="220"/>
      <c r="Y23" s="220"/>
      <c r="Z23" s="220"/>
      <c r="AA23" s="220"/>
      <c r="AB23" s="220"/>
      <c r="AC23" s="220"/>
      <c r="AD23" s="220"/>
      <c r="AE23" s="235"/>
      <c r="AF23" s="37" t="s">
        <v>576</v>
      </c>
      <c r="AG23" s="220"/>
      <c r="AH23" s="220"/>
      <c r="AI23" s="220"/>
      <c r="AJ23" s="220"/>
      <c r="AK23" s="220"/>
      <c r="AL23" s="220"/>
      <c r="AM23" s="220"/>
      <c r="AN23" s="220"/>
      <c r="AO23" s="220"/>
      <c r="AP23" s="235"/>
      <c r="AQ23" s="238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39"/>
      <c r="BK23" s="240"/>
    </row>
    <row r="24" spans="1:65" ht="15.75" customHeight="1">
      <c r="A24" s="883">
        <v>16</v>
      </c>
      <c r="B24" s="884"/>
      <c r="C24" s="234" t="s">
        <v>574</v>
      </c>
      <c r="D24" s="236" t="s">
        <v>412</v>
      </c>
      <c r="E24" s="220"/>
      <c r="F24" s="220"/>
      <c r="G24" s="220"/>
      <c r="H24" s="220"/>
      <c r="I24" s="220"/>
      <c r="J24" s="235"/>
      <c r="K24" s="37" t="s">
        <v>557</v>
      </c>
      <c r="L24" s="220"/>
      <c r="M24" s="220"/>
      <c r="N24" s="220"/>
      <c r="O24" s="220"/>
      <c r="P24" s="220"/>
      <c r="Q24" s="220"/>
      <c r="R24" s="220"/>
      <c r="S24" s="220"/>
      <c r="T24" s="220"/>
      <c r="U24" s="235"/>
      <c r="V24" s="234" t="s">
        <v>547</v>
      </c>
      <c r="W24" s="236" t="s">
        <v>412</v>
      </c>
      <c r="X24" s="220"/>
      <c r="Y24" s="220"/>
      <c r="Z24" s="220"/>
      <c r="AA24" s="220"/>
      <c r="AB24" s="220"/>
      <c r="AC24" s="220"/>
      <c r="AD24" s="220"/>
      <c r="AE24" s="235"/>
      <c r="AF24" s="37" t="s">
        <v>557</v>
      </c>
      <c r="AG24" s="220"/>
      <c r="AH24" s="220"/>
      <c r="AI24" s="220"/>
      <c r="AJ24" s="220"/>
      <c r="AK24" s="220"/>
      <c r="AL24" s="220"/>
      <c r="AM24" s="220"/>
      <c r="AN24" s="220"/>
      <c r="AO24" s="220"/>
      <c r="AP24" s="235"/>
      <c r="AQ24" s="238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39"/>
      <c r="BK24" s="240"/>
    </row>
    <row r="25" spans="1:65" ht="15.75" customHeight="1">
      <c r="A25" s="883">
        <v>17</v>
      </c>
      <c r="B25" s="884"/>
      <c r="C25" s="234" t="s">
        <v>574</v>
      </c>
      <c r="D25" s="236" t="s">
        <v>412</v>
      </c>
      <c r="E25" s="220"/>
      <c r="F25" s="220"/>
      <c r="G25" s="220"/>
      <c r="H25" s="220"/>
      <c r="I25" s="220"/>
      <c r="J25" s="235"/>
      <c r="K25" s="37" t="s">
        <v>432</v>
      </c>
      <c r="L25" s="220"/>
      <c r="M25" s="220"/>
      <c r="N25" s="220"/>
      <c r="O25" s="220"/>
      <c r="P25" s="220"/>
      <c r="Q25" s="220"/>
      <c r="R25" s="220"/>
      <c r="S25" s="220"/>
      <c r="T25" s="220"/>
      <c r="U25" s="235"/>
      <c r="V25" s="234" t="s">
        <v>547</v>
      </c>
      <c r="W25" s="236" t="s">
        <v>412</v>
      </c>
      <c r="X25" s="220"/>
      <c r="Y25" s="220"/>
      <c r="Z25" s="220"/>
      <c r="AA25" s="220"/>
      <c r="AB25" s="220"/>
      <c r="AC25" s="220"/>
      <c r="AD25" s="220"/>
      <c r="AE25" s="235"/>
      <c r="AF25" s="37" t="s">
        <v>432</v>
      </c>
      <c r="AG25" s="220"/>
      <c r="AH25" s="220"/>
      <c r="AI25" s="220"/>
      <c r="AJ25" s="220"/>
      <c r="AK25" s="220"/>
      <c r="AL25" s="220"/>
      <c r="AM25" s="220"/>
      <c r="AN25" s="220"/>
      <c r="AO25" s="220"/>
      <c r="AP25" s="235"/>
      <c r="AQ25" s="238"/>
      <c r="AR25" s="239"/>
      <c r="AS25" s="239"/>
      <c r="AT25" s="239"/>
      <c r="AU25" s="239"/>
      <c r="AV25" s="239"/>
      <c r="AW25" s="239"/>
      <c r="AX25" s="239"/>
      <c r="AY25" s="239"/>
      <c r="AZ25" s="239"/>
      <c r="BA25" s="239"/>
      <c r="BB25" s="239"/>
      <c r="BC25" s="239"/>
      <c r="BD25" s="239"/>
      <c r="BE25" s="239"/>
      <c r="BF25" s="239"/>
      <c r="BG25" s="239"/>
      <c r="BH25" s="239"/>
      <c r="BI25" s="239"/>
      <c r="BJ25" s="239"/>
      <c r="BK25" s="240"/>
    </row>
    <row r="26" spans="1:65" ht="15.75" customHeight="1">
      <c r="A26" s="883">
        <v>18</v>
      </c>
      <c r="B26" s="884"/>
      <c r="C26" s="234" t="s">
        <v>574</v>
      </c>
      <c r="D26" s="236" t="s">
        <v>412</v>
      </c>
      <c r="E26" s="220"/>
      <c r="F26" s="220"/>
      <c r="G26" s="220"/>
      <c r="H26" s="220"/>
      <c r="I26" s="220"/>
      <c r="J26" s="235"/>
      <c r="K26" s="52" t="s">
        <v>434</v>
      </c>
      <c r="L26" s="220"/>
      <c r="M26" s="220"/>
      <c r="N26" s="220"/>
      <c r="O26" s="220"/>
      <c r="P26" s="220"/>
      <c r="Q26" s="220"/>
      <c r="R26" s="220"/>
      <c r="S26" s="220"/>
      <c r="T26" s="220"/>
      <c r="U26" s="235"/>
      <c r="V26" s="234" t="s">
        <v>547</v>
      </c>
      <c r="W26" s="236" t="s">
        <v>412</v>
      </c>
      <c r="X26" s="220"/>
      <c r="Y26" s="220"/>
      <c r="Z26" s="220"/>
      <c r="AA26" s="220"/>
      <c r="AB26" s="220"/>
      <c r="AC26" s="220"/>
      <c r="AD26" s="220"/>
      <c r="AE26" s="235"/>
      <c r="AF26" s="52" t="s">
        <v>434</v>
      </c>
      <c r="AG26" s="220"/>
      <c r="AH26" s="220"/>
      <c r="AI26" s="220"/>
      <c r="AJ26" s="220"/>
      <c r="AK26" s="220"/>
      <c r="AL26" s="220"/>
      <c r="AM26" s="220"/>
      <c r="AN26" s="220"/>
      <c r="AO26" s="220"/>
      <c r="AP26" s="235"/>
      <c r="AQ26" s="238"/>
      <c r="AR26" s="239"/>
      <c r="AS26" s="239"/>
      <c r="AT26" s="239"/>
      <c r="AU26" s="239"/>
      <c r="AV26" s="239"/>
      <c r="AW26" s="239"/>
      <c r="AX26" s="239"/>
      <c r="AY26" s="239"/>
      <c r="AZ26" s="239"/>
      <c r="BA26" s="239"/>
      <c r="BB26" s="239"/>
      <c r="BC26" s="239"/>
      <c r="BD26" s="239"/>
      <c r="BE26" s="239"/>
      <c r="BF26" s="239"/>
      <c r="BG26" s="239"/>
      <c r="BH26" s="239"/>
      <c r="BI26" s="239"/>
      <c r="BJ26" s="239"/>
      <c r="BK26" s="240"/>
    </row>
    <row r="27" spans="1:65" ht="15.75" customHeight="1">
      <c r="A27" s="883">
        <v>19</v>
      </c>
      <c r="B27" s="884"/>
      <c r="C27" s="234" t="s">
        <v>574</v>
      </c>
      <c r="D27" s="236" t="s">
        <v>412</v>
      </c>
      <c r="E27" s="220"/>
      <c r="F27" s="220"/>
      <c r="G27" s="220"/>
      <c r="H27" s="220"/>
      <c r="I27" s="220"/>
      <c r="J27" s="235"/>
      <c r="K27" s="52" t="s">
        <v>436</v>
      </c>
      <c r="L27" s="220"/>
      <c r="M27" s="220"/>
      <c r="N27" s="220"/>
      <c r="O27" s="220"/>
      <c r="P27" s="220"/>
      <c r="Q27" s="220"/>
      <c r="R27" s="220"/>
      <c r="S27" s="220"/>
      <c r="T27" s="220"/>
      <c r="U27" s="235"/>
      <c r="V27" s="234" t="s">
        <v>547</v>
      </c>
      <c r="W27" s="236" t="s">
        <v>412</v>
      </c>
      <c r="X27" s="220"/>
      <c r="Y27" s="220"/>
      <c r="Z27" s="220"/>
      <c r="AA27" s="220"/>
      <c r="AB27" s="220"/>
      <c r="AC27" s="220"/>
      <c r="AD27" s="220"/>
      <c r="AE27" s="235"/>
      <c r="AF27" s="52" t="s">
        <v>436</v>
      </c>
      <c r="AG27" s="220"/>
      <c r="AH27" s="220"/>
      <c r="AI27" s="220"/>
      <c r="AJ27" s="220"/>
      <c r="AK27" s="220"/>
      <c r="AL27" s="220"/>
      <c r="AM27" s="220"/>
      <c r="AN27" s="220"/>
      <c r="AO27" s="220"/>
      <c r="AP27" s="235"/>
      <c r="AQ27" s="238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39"/>
      <c r="BH27" s="239"/>
      <c r="BI27" s="239"/>
      <c r="BJ27" s="239"/>
      <c r="BK27" s="240"/>
    </row>
    <row r="28" spans="1:65" ht="15.75" customHeight="1">
      <c r="A28" s="883">
        <v>20</v>
      </c>
      <c r="B28" s="884"/>
      <c r="C28" s="234" t="s">
        <v>574</v>
      </c>
      <c r="D28" s="236" t="s">
        <v>412</v>
      </c>
      <c r="E28" s="220"/>
      <c r="F28" s="220"/>
      <c r="G28" s="220"/>
      <c r="H28" s="220"/>
      <c r="I28" s="220"/>
      <c r="J28" s="235"/>
      <c r="K28" s="37" t="s">
        <v>438</v>
      </c>
      <c r="L28" s="220"/>
      <c r="M28" s="220"/>
      <c r="N28" s="220"/>
      <c r="O28" s="220"/>
      <c r="P28" s="220"/>
      <c r="Q28" s="220"/>
      <c r="R28" s="220"/>
      <c r="S28" s="220"/>
      <c r="T28" s="220"/>
      <c r="U28" s="235"/>
      <c r="V28" s="234" t="s">
        <v>547</v>
      </c>
      <c r="W28" s="236" t="s">
        <v>412</v>
      </c>
      <c r="X28" s="220"/>
      <c r="Y28" s="220"/>
      <c r="Z28" s="220"/>
      <c r="AA28" s="220"/>
      <c r="AB28" s="220"/>
      <c r="AC28" s="220"/>
      <c r="AD28" s="220"/>
      <c r="AE28" s="235"/>
      <c r="AF28" s="37" t="s">
        <v>438</v>
      </c>
      <c r="AG28" s="220"/>
      <c r="AH28" s="220"/>
      <c r="AI28" s="220"/>
      <c r="AJ28" s="220"/>
      <c r="AK28" s="220"/>
      <c r="AL28" s="220"/>
      <c r="AM28" s="220"/>
      <c r="AN28" s="220"/>
      <c r="AO28" s="220"/>
      <c r="AP28" s="235"/>
      <c r="AQ28" s="238"/>
      <c r="AR28" s="239"/>
      <c r="AS28" s="239"/>
      <c r="AT28" s="239"/>
      <c r="AU28" s="239"/>
      <c r="AV28" s="239"/>
      <c r="AW28" s="239"/>
      <c r="AX28" s="239"/>
      <c r="AY28" s="239"/>
      <c r="AZ28" s="239"/>
      <c r="BA28" s="239"/>
      <c r="BB28" s="239"/>
      <c r="BC28" s="239"/>
      <c r="BD28" s="239"/>
      <c r="BE28" s="239"/>
      <c r="BF28" s="239"/>
      <c r="BG28" s="239"/>
      <c r="BH28" s="239"/>
      <c r="BI28" s="239"/>
      <c r="BJ28" s="239"/>
      <c r="BK28" s="240"/>
    </row>
    <row r="29" spans="1:65" ht="15.75" customHeight="1">
      <c r="A29" s="883">
        <v>21</v>
      </c>
      <c r="B29" s="884"/>
      <c r="C29" s="234" t="s">
        <v>574</v>
      </c>
      <c r="D29" s="236" t="s">
        <v>412</v>
      </c>
      <c r="E29" s="220"/>
      <c r="F29" s="220"/>
      <c r="G29" s="220"/>
      <c r="H29" s="220"/>
      <c r="I29" s="220"/>
      <c r="J29" s="235"/>
      <c r="K29" s="37" t="s">
        <v>440</v>
      </c>
      <c r="L29" s="220"/>
      <c r="M29" s="220"/>
      <c r="N29" s="220"/>
      <c r="O29" s="220"/>
      <c r="P29" s="220"/>
      <c r="Q29" s="220"/>
      <c r="R29" s="220"/>
      <c r="S29" s="220"/>
      <c r="T29" s="220"/>
      <c r="U29" s="235"/>
      <c r="V29" s="234" t="s">
        <v>547</v>
      </c>
      <c r="W29" s="236" t="s">
        <v>412</v>
      </c>
      <c r="X29" s="220"/>
      <c r="Y29" s="220"/>
      <c r="Z29" s="220"/>
      <c r="AA29" s="220"/>
      <c r="AB29" s="220"/>
      <c r="AC29" s="220"/>
      <c r="AD29" s="220"/>
      <c r="AE29" s="235"/>
      <c r="AF29" s="37" t="s">
        <v>440</v>
      </c>
      <c r="AG29" s="220"/>
      <c r="AH29" s="220"/>
      <c r="AI29" s="220"/>
      <c r="AJ29" s="220"/>
      <c r="AK29" s="220"/>
      <c r="AL29" s="220"/>
      <c r="AM29" s="220"/>
      <c r="AN29" s="220"/>
      <c r="AO29" s="220"/>
      <c r="AP29" s="235"/>
      <c r="AQ29" s="238"/>
      <c r="AR29" s="239"/>
      <c r="AS29" s="239"/>
      <c r="AT29" s="239"/>
      <c r="AU29" s="239"/>
      <c r="AV29" s="239"/>
      <c r="AW29" s="239"/>
      <c r="AX29" s="239"/>
      <c r="AY29" s="239"/>
      <c r="AZ29" s="239"/>
      <c r="BA29" s="239"/>
      <c r="BB29" s="239"/>
      <c r="BC29" s="239"/>
      <c r="BD29" s="239"/>
      <c r="BE29" s="239"/>
      <c r="BF29" s="239"/>
      <c r="BG29" s="239"/>
      <c r="BH29" s="239"/>
      <c r="BI29" s="239"/>
      <c r="BJ29" s="239"/>
      <c r="BK29" s="240"/>
    </row>
    <row r="30" spans="1:65" ht="15.75" customHeight="1">
      <c r="A30" s="883">
        <v>22</v>
      </c>
      <c r="B30" s="884"/>
      <c r="C30" s="234" t="s">
        <v>574</v>
      </c>
      <c r="D30" s="236" t="s">
        <v>412</v>
      </c>
      <c r="E30" s="220"/>
      <c r="F30" s="220"/>
      <c r="G30" s="220"/>
      <c r="H30" s="220"/>
      <c r="I30" s="220"/>
      <c r="J30" s="235"/>
      <c r="K30" s="37" t="s">
        <v>442</v>
      </c>
      <c r="L30" s="220"/>
      <c r="M30" s="220"/>
      <c r="N30" s="220"/>
      <c r="O30" s="220"/>
      <c r="P30" s="220"/>
      <c r="Q30" s="220"/>
      <c r="R30" s="220"/>
      <c r="S30" s="220"/>
      <c r="T30" s="220"/>
      <c r="U30" s="235"/>
      <c r="V30" s="234" t="s">
        <v>547</v>
      </c>
      <c r="W30" s="236" t="s">
        <v>412</v>
      </c>
      <c r="X30" s="220"/>
      <c r="Y30" s="220"/>
      <c r="Z30" s="220"/>
      <c r="AA30" s="220"/>
      <c r="AB30" s="220"/>
      <c r="AC30" s="220"/>
      <c r="AD30" s="220"/>
      <c r="AE30" s="235"/>
      <c r="AF30" s="37" t="s">
        <v>442</v>
      </c>
      <c r="AG30" s="220"/>
      <c r="AH30" s="220"/>
      <c r="AI30" s="220"/>
      <c r="AJ30" s="220"/>
      <c r="AK30" s="220"/>
      <c r="AL30" s="220"/>
      <c r="AM30" s="220"/>
      <c r="AN30" s="220"/>
      <c r="AO30" s="220"/>
      <c r="AP30" s="235"/>
      <c r="AQ30" s="238"/>
      <c r="AR30" s="239"/>
      <c r="AS30" s="239"/>
      <c r="AT30" s="239"/>
      <c r="AU30" s="239"/>
      <c r="AV30" s="239"/>
      <c r="AW30" s="239"/>
      <c r="AX30" s="239"/>
      <c r="AY30" s="239"/>
      <c r="AZ30" s="239"/>
      <c r="BA30" s="239"/>
      <c r="BB30" s="239"/>
      <c r="BC30" s="239"/>
      <c r="BD30" s="239"/>
      <c r="BE30" s="239"/>
      <c r="BF30" s="239"/>
      <c r="BG30" s="239"/>
      <c r="BH30" s="239"/>
      <c r="BI30" s="239"/>
      <c r="BJ30" s="239"/>
      <c r="BK30" s="240"/>
    </row>
    <row r="31" spans="1:65" ht="15.75" customHeight="1">
      <c r="A31" s="883">
        <v>23</v>
      </c>
      <c r="B31" s="884"/>
      <c r="C31" s="234" t="s">
        <v>574</v>
      </c>
      <c r="D31" s="236" t="s">
        <v>412</v>
      </c>
      <c r="E31" s="220"/>
      <c r="F31" s="220"/>
      <c r="G31" s="220"/>
      <c r="H31" s="220"/>
      <c r="I31" s="220"/>
      <c r="J31" s="235"/>
      <c r="K31" s="37" t="s">
        <v>444</v>
      </c>
      <c r="L31" s="220"/>
      <c r="M31" s="220"/>
      <c r="N31" s="220"/>
      <c r="O31" s="220"/>
      <c r="P31" s="220"/>
      <c r="Q31" s="220"/>
      <c r="R31" s="220"/>
      <c r="S31" s="220"/>
      <c r="T31" s="220"/>
      <c r="U31" s="235"/>
      <c r="V31" s="234" t="s">
        <v>547</v>
      </c>
      <c r="W31" s="236" t="s">
        <v>412</v>
      </c>
      <c r="X31" s="220"/>
      <c r="Y31" s="220"/>
      <c r="Z31" s="220"/>
      <c r="AA31" s="220"/>
      <c r="AB31" s="220"/>
      <c r="AC31" s="220"/>
      <c r="AD31" s="220"/>
      <c r="AE31" s="235"/>
      <c r="AF31" s="37" t="s">
        <v>444</v>
      </c>
      <c r="AG31" s="220"/>
      <c r="AH31" s="220"/>
      <c r="AI31" s="220"/>
      <c r="AJ31" s="220"/>
      <c r="AK31" s="220"/>
      <c r="AL31" s="220"/>
      <c r="AM31" s="220"/>
      <c r="AN31" s="220"/>
      <c r="AO31" s="220"/>
      <c r="AP31" s="235"/>
      <c r="AQ31" s="238"/>
      <c r="AR31" s="239"/>
      <c r="AS31" s="239"/>
      <c r="AT31" s="239"/>
      <c r="AU31" s="239"/>
      <c r="AV31" s="239"/>
      <c r="AW31" s="239"/>
      <c r="AX31" s="239"/>
      <c r="AY31" s="239"/>
      <c r="AZ31" s="239"/>
      <c r="BA31" s="239"/>
      <c r="BB31" s="239"/>
      <c r="BC31" s="239"/>
      <c r="BD31" s="239"/>
      <c r="BE31" s="239"/>
      <c r="BF31" s="239"/>
      <c r="BG31" s="239"/>
      <c r="BH31" s="239"/>
      <c r="BI31" s="239"/>
      <c r="BJ31" s="239"/>
      <c r="BK31" s="240"/>
    </row>
    <row r="32" spans="1:65" ht="15.75" customHeight="1">
      <c r="A32" s="883">
        <v>24</v>
      </c>
      <c r="B32" s="884"/>
      <c r="C32" s="234" t="s">
        <v>574</v>
      </c>
      <c r="D32" s="236" t="s">
        <v>412</v>
      </c>
      <c r="E32" s="220"/>
      <c r="F32" s="220"/>
      <c r="G32" s="220"/>
      <c r="H32" s="220"/>
      <c r="I32" s="220"/>
      <c r="J32" s="235"/>
      <c r="K32" s="37" t="s">
        <v>446</v>
      </c>
      <c r="L32" s="220"/>
      <c r="M32" s="220"/>
      <c r="N32" s="220"/>
      <c r="O32" s="220"/>
      <c r="P32" s="220"/>
      <c r="Q32" s="220"/>
      <c r="R32" s="220"/>
      <c r="S32" s="220"/>
      <c r="T32" s="220"/>
      <c r="U32" s="235"/>
      <c r="V32" s="234" t="s">
        <v>547</v>
      </c>
      <c r="W32" s="236" t="s">
        <v>412</v>
      </c>
      <c r="X32" s="220"/>
      <c r="Y32" s="220"/>
      <c r="Z32" s="220"/>
      <c r="AA32" s="220"/>
      <c r="AB32" s="220"/>
      <c r="AC32" s="220"/>
      <c r="AD32" s="220"/>
      <c r="AE32" s="235"/>
      <c r="AF32" s="37" t="s">
        <v>446</v>
      </c>
      <c r="AG32" s="220"/>
      <c r="AH32" s="220"/>
      <c r="AI32" s="220"/>
      <c r="AJ32" s="220"/>
      <c r="AK32" s="220"/>
      <c r="AL32" s="220"/>
      <c r="AM32" s="220"/>
      <c r="AN32" s="220"/>
      <c r="AO32" s="220"/>
      <c r="AP32" s="235"/>
      <c r="AQ32" s="238"/>
      <c r="AR32" s="239"/>
      <c r="AS32" s="239"/>
      <c r="AT32" s="239"/>
      <c r="AU32" s="239"/>
      <c r="AV32" s="239"/>
      <c r="AW32" s="239"/>
      <c r="AX32" s="239"/>
      <c r="AY32" s="239"/>
      <c r="AZ32" s="239"/>
      <c r="BA32" s="239"/>
      <c r="BB32" s="239"/>
      <c r="BC32" s="239"/>
      <c r="BD32" s="239"/>
      <c r="BE32" s="239"/>
      <c r="BF32" s="239"/>
      <c r="BG32" s="239"/>
      <c r="BH32" s="239"/>
      <c r="BI32" s="239"/>
      <c r="BJ32" s="239"/>
      <c r="BK32" s="240"/>
    </row>
    <row r="33" spans="1:63" ht="15.75" customHeight="1">
      <c r="A33" s="883">
        <v>25</v>
      </c>
      <c r="B33" s="884"/>
      <c r="C33" s="234" t="s">
        <v>574</v>
      </c>
      <c r="D33" s="236" t="s">
        <v>412</v>
      </c>
      <c r="E33" s="220"/>
      <c r="F33" s="220"/>
      <c r="G33" s="220"/>
      <c r="H33" s="220"/>
      <c r="I33" s="220"/>
      <c r="J33" s="235"/>
      <c r="K33" s="37" t="s">
        <v>332</v>
      </c>
      <c r="L33" s="220"/>
      <c r="M33" s="220"/>
      <c r="N33" s="220"/>
      <c r="O33" s="220"/>
      <c r="P33" s="220"/>
      <c r="Q33" s="220"/>
      <c r="R33" s="220"/>
      <c r="S33" s="220"/>
      <c r="T33" s="220"/>
      <c r="U33" s="235"/>
      <c r="V33" s="234" t="s">
        <v>547</v>
      </c>
      <c r="W33" s="236" t="s">
        <v>412</v>
      </c>
      <c r="X33" s="220"/>
      <c r="Y33" s="220"/>
      <c r="Z33" s="220"/>
      <c r="AA33" s="220"/>
      <c r="AB33" s="220"/>
      <c r="AC33" s="220"/>
      <c r="AD33" s="220"/>
      <c r="AE33" s="235"/>
      <c r="AF33" s="37" t="s">
        <v>332</v>
      </c>
      <c r="AG33" s="220"/>
      <c r="AH33" s="220"/>
      <c r="AI33" s="220"/>
      <c r="AJ33" s="220"/>
      <c r="AK33" s="220"/>
      <c r="AL33" s="220"/>
      <c r="AM33" s="220"/>
      <c r="AN33" s="220"/>
      <c r="AO33" s="220"/>
      <c r="AP33" s="235"/>
      <c r="AQ33" s="238"/>
      <c r="AR33" s="239"/>
      <c r="AS33" s="239"/>
      <c r="AT33" s="239"/>
      <c r="AU33" s="239"/>
      <c r="AV33" s="239"/>
      <c r="AW33" s="239"/>
      <c r="AX33" s="239"/>
      <c r="AY33" s="239"/>
      <c r="AZ33" s="239"/>
      <c r="BA33" s="239"/>
      <c r="BB33" s="239"/>
      <c r="BC33" s="239"/>
      <c r="BD33" s="239"/>
      <c r="BE33" s="239"/>
      <c r="BF33" s="239"/>
      <c r="BG33" s="239"/>
      <c r="BH33" s="239"/>
      <c r="BI33" s="239"/>
      <c r="BJ33" s="239"/>
      <c r="BK33" s="240"/>
    </row>
    <row r="34" spans="1:63" ht="15.75" customHeight="1">
      <c r="A34" s="883">
        <v>26</v>
      </c>
      <c r="B34" s="884"/>
      <c r="C34" s="234" t="s">
        <v>574</v>
      </c>
      <c r="D34" s="236" t="s">
        <v>412</v>
      </c>
      <c r="E34" s="220"/>
      <c r="F34" s="220"/>
      <c r="G34" s="220"/>
      <c r="H34" s="220"/>
      <c r="I34" s="220"/>
      <c r="J34" s="235"/>
      <c r="K34" s="37" t="s">
        <v>449</v>
      </c>
      <c r="L34" s="220"/>
      <c r="M34" s="220"/>
      <c r="N34" s="220"/>
      <c r="O34" s="220"/>
      <c r="P34" s="220"/>
      <c r="Q34" s="220"/>
      <c r="R34" s="220"/>
      <c r="S34" s="220"/>
      <c r="T34" s="220"/>
      <c r="U34" s="235"/>
      <c r="V34" s="234" t="s">
        <v>547</v>
      </c>
      <c r="W34" s="236" t="s">
        <v>412</v>
      </c>
      <c r="X34" s="220"/>
      <c r="Y34" s="220"/>
      <c r="Z34" s="220"/>
      <c r="AA34" s="220"/>
      <c r="AB34" s="220"/>
      <c r="AC34" s="220"/>
      <c r="AD34" s="220"/>
      <c r="AE34" s="235"/>
      <c r="AF34" s="37" t="s">
        <v>449</v>
      </c>
      <c r="AG34" s="220"/>
      <c r="AH34" s="220"/>
      <c r="AI34" s="220"/>
      <c r="AJ34" s="220"/>
      <c r="AK34" s="220"/>
      <c r="AL34" s="220"/>
      <c r="AM34" s="220"/>
      <c r="AN34" s="220"/>
      <c r="AO34" s="220"/>
      <c r="AP34" s="235"/>
      <c r="AQ34" s="238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39"/>
      <c r="BC34" s="239"/>
      <c r="BD34" s="239"/>
      <c r="BE34" s="239"/>
      <c r="BF34" s="239"/>
      <c r="BG34" s="239"/>
      <c r="BH34" s="239"/>
      <c r="BI34" s="239"/>
      <c r="BJ34" s="239"/>
      <c r="BK34" s="240"/>
    </row>
    <row r="35" spans="1:63" ht="15.75" customHeight="1">
      <c r="A35" s="883">
        <v>27</v>
      </c>
      <c r="B35" s="884"/>
      <c r="C35" s="234" t="s">
        <v>574</v>
      </c>
      <c r="D35" s="236" t="s">
        <v>412</v>
      </c>
      <c r="E35" s="220"/>
      <c r="F35" s="220"/>
      <c r="G35" s="220"/>
      <c r="H35" s="220"/>
      <c r="I35" s="220"/>
      <c r="J35" s="235"/>
      <c r="K35" s="37" t="s">
        <v>451</v>
      </c>
      <c r="L35" s="220"/>
      <c r="M35" s="220"/>
      <c r="N35" s="220"/>
      <c r="O35" s="220"/>
      <c r="P35" s="220"/>
      <c r="Q35" s="220"/>
      <c r="R35" s="220"/>
      <c r="S35" s="220"/>
      <c r="T35" s="220"/>
      <c r="U35" s="235"/>
      <c r="V35" s="234" t="s">
        <v>547</v>
      </c>
      <c r="W35" s="236" t="s">
        <v>412</v>
      </c>
      <c r="X35" s="220"/>
      <c r="Y35" s="220"/>
      <c r="Z35" s="220"/>
      <c r="AA35" s="220"/>
      <c r="AB35" s="220"/>
      <c r="AC35" s="220"/>
      <c r="AD35" s="220"/>
      <c r="AE35" s="235"/>
      <c r="AF35" s="37" t="s">
        <v>451</v>
      </c>
      <c r="AG35" s="220"/>
      <c r="AH35" s="220"/>
      <c r="AI35" s="220"/>
      <c r="AJ35" s="220"/>
      <c r="AK35" s="220"/>
      <c r="AL35" s="220"/>
      <c r="AM35" s="220"/>
      <c r="AN35" s="220"/>
      <c r="AO35" s="220"/>
      <c r="AP35" s="235"/>
      <c r="AQ35" s="238"/>
      <c r="AR35" s="239"/>
      <c r="AS35" s="239"/>
      <c r="AT35" s="239"/>
      <c r="AU35" s="239"/>
      <c r="AV35" s="239"/>
      <c r="AW35" s="239"/>
      <c r="AX35" s="239"/>
      <c r="AY35" s="239"/>
      <c r="AZ35" s="239"/>
      <c r="BA35" s="239"/>
      <c r="BB35" s="239"/>
      <c r="BC35" s="239"/>
      <c r="BD35" s="239"/>
      <c r="BE35" s="239"/>
      <c r="BF35" s="239"/>
      <c r="BG35" s="239"/>
      <c r="BH35" s="239"/>
      <c r="BI35" s="239"/>
      <c r="BJ35" s="239"/>
      <c r="BK35" s="240"/>
    </row>
    <row r="36" spans="1:63" ht="15.75" customHeight="1">
      <c r="A36" s="883">
        <v>28</v>
      </c>
      <c r="B36" s="884"/>
      <c r="C36" s="234" t="s">
        <v>574</v>
      </c>
      <c r="D36" s="236" t="s">
        <v>412</v>
      </c>
      <c r="E36" s="220"/>
      <c r="F36" s="220"/>
      <c r="G36" s="220"/>
      <c r="H36" s="220"/>
      <c r="I36" s="220"/>
      <c r="J36" s="235"/>
      <c r="K36" s="37" t="s">
        <v>453</v>
      </c>
      <c r="L36" s="220"/>
      <c r="M36" s="220"/>
      <c r="N36" s="220"/>
      <c r="O36" s="220"/>
      <c r="P36" s="220"/>
      <c r="Q36" s="220"/>
      <c r="R36" s="220"/>
      <c r="S36" s="220"/>
      <c r="T36" s="220"/>
      <c r="U36" s="235"/>
      <c r="V36" s="234" t="s">
        <v>547</v>
      </c>
      <c r="W36" s="236" t="s">
        <v>412</v>
      </c>
      <c r="X36" s="220"/>
      <c r="Y36" s="220"/>
      <c r="Z36" s="220"/>
      <c r="AA36" s="220"/>
      <c r="AB36" s="220"/>
      <c r="AC36" s="220"/>
      <c r="AD36" s="220"/>
      <c r="AE36" s="235"/>
      <c r="AF36" s="37" t="s">
        <v>453</v>
      </c>
      <c r="AG36" s="220"/>
      <c r="AH36" s="220"/>
      <c r="AI36" s="220"/>
      <c r="AJ36" s="220"/>
      <c r="AK36" s="220"/>
      <c r="AL36" s="220"/>
      <c r="AM36" s="220"/>
      <c r="AN36" s="220"/>
      <c r="AO36" s="220"/>
      <c r="AP36" s="235"/>
      <c r="AQ36" s="238"/>
      <c r="AR36" s="239"/>
      <c r="AS36" s="239"/>
      <c r="AT36" s="239"/>
      <c r="AU36" s="239"/>
      <c r="AV36" s="239"/>
      <c r="AW36" s="239"/>
      <c r="AX36" s="239"/>
      <c r="AY36" s="239"/>
      <c r="AZ36" s="239"/>
      <c r="BA36" s="239"/>
      <c r="BB36" s="239"/>
      <c r="BC36" s="239"/>
      <c r="BD36" s="239"/>
      <c r="BE36" s="239"/>
      <c r="BF36" s="239"/>
      <c r="BG36" s="239"/>
      <c r="BH36" s="239"/>
      <c r="BI36" s="239"/>
      <c r="BJ36" s="239"/>
      <c r="BK36" s="240"/>
    </row>
    <row r="37" spans="1:63" ht="15.75" customHeight="1">
      <c r="A37" s="883">
        <v>29</v>
      </c>
      <c r="B37" s="884"/>
      <c r="C37" s="234" t="s">
        <v>574</v>
      </c>
      <c r="D37" s="236" t="s">
        <v>412</v>
      </c>
      <c r="E37" s="220"/>
      <c r="F37" s="220"/>
      <c r="G37" s="220"/>
      <c r="H37" s="220"/>
      <c r="I37" s="220"/>
      <c r="J37" s="235"/>
      <c r="K37" s="37" t="s">
        <v>455</v>
      </c>
      <c r="L37" s="220"/>
      <c r="M37" s="220"/>
      <c r="N37" s="220"/>
      <c r="O37" s="220"/>
      <c r="P37" s="220"/>
      <c r="Q37" s="220"/>
      <c r="R37" s="220"/>
      <c r="S37" s="220"/>
      <c r="T37" s="220"/>
      <c r="U37" s="235"/>
      <c r="V37" s="234" t="s">
        <v>547</v>
      </c>
      <c r="W37" s="236" t="s">
        <v>412</v>
      </c>
      <c r="X37" s="220"/>
      <c r="Y37" s="220"/>
      <c r="Z37" s="220"/>
      <c r="AA37" s="220"/>
      <c r="AB37" s="220"/>
      <c r="AC37" s="220"/>
      <c r="AD37" s="220"/>
      <c r="AE37" s="235"/>
      <c r="AF37" s="37" t="s">
        <v>455</v>
      </c>
      <c r="AG37" s="220"/>
      <c r="AH37" s="220"/>
      <c r="AI37" s="220"/>
      <c r="AJ37" s="220"/>
      <c r="AK37" s="220"/>
      <c r="AL37" s="220"/>
      <c r="AM37" s="220"/>
      <c r="AN37" s="220"/>
      <c r="AO37" s="220"/>
      <c r="AP37" s="235"/>
      <c r="AQ37" s="238"/>
      <c r="AR37" s="239"/>
      <c r="AS37" s="239"/>
      <c r="AT37" s="239"/>
      <c r="AU37" s="239"/>
      <c r="AV37" s="239"/>
      <c r="AW37" s="239"/>
      <c r="AX37" s="239"/>
      <c r="AY37" s="239"/>
      <c r="AZ37" s="239"/>
      <c r="BA37" s="239"/>
      <c r="BB37" s="239"/>
      <c r="BC37" s="239"/>
      <c r="BD37" s="239"/>
      <c r="BE37" s="239"/>
      <c r="BF37" s="239"/>
      <c r="BG37" s="239"/>
      <c r="BH37" s="239"/>
      <c r="BI37" s="239"/>
      <c r="BJ37" s="239"/>
      <c r="BK37" s="240"/>
    </row>
    <row r="38" spans="1:63" ht="15.75" customHeight="1">
      <c r="A38" s="883">
        <v>30</v>
      </c>
      <c r="B38" s="884"/>
      <c r="C38" s="234" t="s">
        <v>574</v>
      </c>
      <c r="D38" s="236" t="s">
        <v>412</v>
      </c>
      <c r="E38" s="220"/>
      <c r="F38" s="220"/>
      <c r="G38" s="220"/>
      <c r="H38" s="220"/>
      <c r="I38" s="220"/>
      <c r="J38" s="235"/>
      <c r="K38" s="37" t="s">
        <v>342</v>
      </c>
      <c r="L38" s="220"/>
      <c r="M38" s="220"/>
      <c r="N38" s="220"/>
      <c r="O38" s="220"/>
      <c r="P38" s="220"/>
      <c r="Q38" s="220"/>
      <c r="R38" s="220"/>
      <c r="S38" s="220"/>
      <c r="T38" s="220"/>
      <c r="U38" s="235"/>
      <c r="V38" s="234" t="s">
        <v>547</v>
      </c>
      <c r="W38" s="236" t="s">
        <v>412</v>
      </c>
      <c r="X38" s="220"/>
      <c r="Y38" s="220"/>
      <c r="Z38" s="220"/>
      <c r="AA38" s="220"/>
      <c r="AB38" s="220"/>
      <c r="AC38" s="220"/>
      <c r="AD38" s="220"/>
      <c r="AE38" s="235"/>
      <c r="AF38" s="37" t="s">
        <v>342</v>
      </c>
      <c r="AG38" s="220"/>
      <c r="AH38" s="220"/>
      <c r="AI38" s="220"/>
      <c r="AJ38" s="220"/>
      <c r="AK38" s="220"/>
      <c r="AL38" s="220"/>
      <c r="AM38" s="220"/>
      <c r="AN38" s="220"/>
      <c r="AO38" s="220"/>
      <c r="AP38" s="235"/>
      <c r="AQ38" s="238"/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  <c r="BB38" s="239"/>
      <c r="BC38" s="239"/>
      <c r="BD38" s="239"/>
      <c r="BE38" s="239"/>
      <c r="BF38" s="239"/>
      <c r="BG38" s="239"/>
      <c r="BH38" s="239"/>
      <c r="BI38" s="239"/>
      <c r="BJ38" s="239"/>
      <c r="BK38" s="240"/>
    </row>
    <row r="39" spans="1:63" ht="15.75" customHeight="1">
      <c r="A39" s="883">
        <v>31</v>
      </c>
      <c r="B39" s="884"/>
      <c r="C39" s="234" t="s">
        <v>574</v>
      </c>
      <c r="D39" s="236" t="s">
        <v>412</v>
      </c>
      <c r="E39" s="220"/>
      <c r="F39" s="220"/>
      <c r="G39" s="220"/>
      <c r="H39" s="220"/>
      <c r="I39" s="220"/>
      <c r="J39" s="235"/>
      <c r="K39" s="52" t="s">
        <v>458</v>
      </c>
      <c r="L39" s="220"/>
      <c r="M39" s="220"/>
      <c r="N39" s="220"/>
      <c r="O39" s="220"/>
      <c r="P39" s="220"/>
      <c r="Q39" s="220"/>
      <c r="R39" s="220"/>
      <c r="S39" s="220"/>
      <c r="T39" s="220"/>
      <c r="U39" s="235"/>
      <c r="V39" s="234" t="s">
        <v>547</v>
      </c>
      <c r="W39" s="236" t="s">
        <v>412</v>
      </c>
      <c r="X39" s="220"/>
      <c r="Y39" s="220"/>
      <c r="Z39" s="220"/>
      <c r="AA39" s="220"/>
      <c r="AB39" s="220"/>
      <c r="AC39" s="220"/>
      <c r="AD39" s="220"/>
      <c r="AE39" s="235"/>
      <c r="AF39" s="52" t="s">
        <v>458</v>
      </c>
      <c r="AG39" s="220"/>
      <c r="AH39" s="220"/>
      <c r="AI39" s="220"/>
      <c r="AJ39" s="220"/>
      <c r="AK39" s="220"/>
      <c r="AL39" s="220"/>
      <c r="AM39" s="220"/>
      <c r="AN39" s="220"/>
      <c r="AO39" s="220"/>
      <c r="AP39" s="235"/>
      <c r="AQ39" s="238"/>
      <c r="AR39" s="239"/>
      <c r="AS39" s="239"/>
      <c r="AT39" s="239"/>
      <c r="AU39" s="239"/>
      <c r="AV39" s="239"/>
      <c r="AW39" s="239"/>
      <c r="AX39" s="239"/>
      <c r="AY39" s="239"/>
      <c r="AZ39" s="239"/>
      <c r="BA39" s="239"/>
      <c r="BB39" s="239"/>
      <c r="BC39" s="239"/>
      <c r="BD39" s="239"/>
      <c r="BE39" s="239"/>
      <c r="BF39" s="239"/>
      <c r="BG39" s="239"/>
      <c r="BH39" s="239"/>
      <c r="BI39" s="239"/>
      <c r="BJ39" s="239"/>
      <c r="BK39" s="240"/>
    </row>
    <row r="40" spans="1:63" ht="15.75" customHeight="1">
      <c r="A40" s="883">
        <v>32</v>
      </c>
      <c r="B40" s="884"/>
      <c r="C40" s="234" t="s">
        <v>574</v>
      </c>
      <c r="D40" s="236" t="s">
        <v>412</v>
      </c>
      <c r="E40" s="220"/>
      <c r="F40" s="220"/>
      <c r="G40" s="220"/>
      <c r="H40" s="220"/>
      <c r="I40" s="220"/>
      <c r="J40" s="235"/>
      <c r="K40" s="52" t="s">
        <v>568</v>
      </c>
      <c r="L40" s="220"/>
      <c r="M40" s="220"/>
      <c r="N40" s="220"/>
      <c r="O40" s="220"/>
      <c r="P40" s="220"/>
      <c r="Q40" s="220"/>
      <c r="R40" s="220"/>
      <c r="S40" s="220"/>
      <c r="T40" s="220"/>
      <c r="U40" s="235"/>
      <c r="V40" s="234" t="s">
        <v>547</v>
      </c>
      <c r="W40" s="236" t="s">
        <v>412</v>
      </c>
      <c r="X40" s="220"/>
      <c r="Y40" s="220"/>
      <c r="Z40" s="220"/>
      <c r="AA40" s="220"/>
      <c r="AB40" s="220"/>
      <c r="AC40" s="220"/>
      <c r="AD40" s="220"/>
      <c r="AE40" s="235"/>
      <c r="AF40" s="52" t="s">
        <v>568</v>
      </c>
      <c r="AG40" s="220"/>
      <c r="AH40" s="220"/>
      <c r="AI40" s="220"/>
      <c r="AJ40" s="220"/>
      <c r="AK40" s="220"/>
      <c r="AL40" s="220"/>
      <c r="AM40" s="220"/>
      <c r="AN40" s="220"/>
      <c r="AO40" s="220"/>
      <c r="AP40" s="235"/>
      <c r="AQ40" s="238"/>
      <c r="AR40" s="239"/>
      <c r="AS40" s="239"/>
      <c r="AT40" s="239"/>
      <c r="AU40" s="239"/>
      <c r="AV40" s="239"/>
      <c r="AW40" s="239"/>
      <c r="AX40" s="239"/>
      <c r="AY40" s="239"/>
      <c r="AZ40" s="239"/>
      <c r="BA40" s="239"/>
      <c r="BB40" s="239"/>
      <c r="BC40" s="239"/>
      <c r="BD40" s="239"/>
      <c r="BE40" s="239"/>
      <c r="BF40" s="239"/>
      <c r="BG40" s="239"/>
      <c r="BH40" s="239"/>
      <c r="BI40" s="239"/>
      <c r="BJ40" s="239"/>
      <c r="BK40" s="240"/>
    </row>
    <row r="41" spans="1:63" ht="15.75" customHeight="1">
      <c r="A41" s="883">
        <v>33</v>
      </c>
      <c r="B41" s="884"/>
      <c r="C41" s="234" t="s">
        <v>574</v>
      </c>
      <c r="D41" s="236" t="s">
        <v>412</v>
      </c>
      <c r="E41" s="220"/>
      <c r="F41" s="220"/>
      <c r="G41" s="220"/>
      <c r="H41" s="220"/>
      <c r="I41" s="220"/>
      <c r="J41" s="235"/>
      <c r="K41" s="37" t="s">
        <v>577</v>
      </c>
      <c r="L41" s="220"/>
      <c r="M41" s="220"/>
      <c r="N41" s="220"/>
      <c r="O41" s="220"/>
      <c r="P41" s="220"/>
      <c r="Q41" s="220"/>
      <c r="R41" s="220"/>
      <c r="S41" s="220"/>
      <c r="T41" s="220"/>
      <c r="U41" s="235"/>
      <c r="V41" s="234" t="s">
        <v>547</v>
      </c>
      <c r="W41" s="236" t="s">
        <v>412</v>
      </c>
      <c r="X41" s="220"/>
      <c r="Y41" s="220"/>
      <c r="Z41" s="220"/>
      <c r="AA41" s="220"/>
      <c r="AB41" s="220"/>
      <c r="AC41" s="220"/>
      <c r="AD41" s="220"/>
      <c r="AE41" s="235"/>
      <c r="AF41" s="37" t="s">
        <v>577</v>
      </c>
      <c r="AG41" s="220"/>
      <c r="AH41" s="220"/>
      <c r="AI41" s="220"/>
      <c r="AJ41" s="220"/>
      <c r="AK41" s="220"/>
      <c r="AL41" s="220"/>
      <c r="AM41" s="220"/>
      <c r="AN41" s="220"/>
      <c r="AO41" s="220"/>
      <c r="AP41" s="235"/>
      <c r="AQ41" s="238"/>
      <c r="AR41" s="239"/>
      <c r="AS41" s="239"/>
      <c r="AT41" s="239"/>
      <c r="AU41" s="239"/>
      <c r="AV41" s="239"/>
      <c r="AW41" s="239"/>
      <c r="AX41" s="239"/>
      <c r="AY41" s="239"/>
      <c r="AZ41" s="239"/>
      <c r="BA41" s="239"/>
      <c r="BB41" s="239"/>
      <c r="BC41" s="239"/>
      <c r="BD41" s="239"/>
      <c r="BE41" s="239"/>
      <c r="BF41" s="239"/>
      <c r="BG41" s="239"/>
      <c r="BH41" s="239"/>
      <c r="BI41" s="239"/>
      <c r="BJ41" s="239"/>
      <c r="BK41" s="240"/>
    </row>
    <row r="42" spans="1:63" ht="15.75" customHeight="1">
      <c r="A42" s="883"/>
      <c r="B42" s="884"/>
      <c r="C42" s="234"/>
      <c r="D42" s="236"/>
      <c r="E42" s="220"/>
      <c r="F42" s="220"/>
      <c r="G42" s="220"/>
      <c r="H42" s="220"/>
      <c r="I42" s="220"/>
      <c r="J42" s="235"/>
      <c r="K42" s="37"/>
      <c r="L42" s="220"/>
      <c r="M42" s="220"/>
      <c r="N42" s="220"/>
      <c r="O42" s="220"/>
      <c r="P42" s="220"/>
      <c r="Q42" s="220"/>
      <c r="R42" s="220"/>
      <c r="S42" s="220"/>
      <c r="T42" s="220"/>
      <c r="U42" s="235"/>
      <c r="V42" s="234"/>
      <c r="W42" s="236"/>
      <c r="X42" s="220"/>
      <c r="Y42" s="220"/>
      <c r="Z42" s="220"/>
      <c r="AA42" s="220"/>
      <c r="AB42" s="220"/>
      <c r="AC42" s="220"/>
      <c r="AD42" s="220"/>
      <c r="AE42" s="235"/>
      <c r="AF42" s="37"/>
      <c r="AG42" s="220"/>
      <c r="AH42" s="220"/>
      <c r="AI42" s="220"/>
      <c r="AJ42" s="220"/>
      <c r="AK42" s="220"/>
      <c r="AL42" s="220"/>
      <c r="AM42" s="220"/>
      <c r="AN42" s="220"/>
      <c r="AO42" s="220"/>
      <c r="AP42" s="235"/>
      <c r="AQ42" s="238"/>
      <c r="AR42" s="239"/>
      <c r="AS42" s="239"/>
      <c r="AT42" s="239"/>
      <c r="AU42" s="239"/>
      <c r="AV42" s="239"/>
      <c r="AW42" s="239"/>
      <c r="AX42" s="239"/>
      <c r="AY42" s="239"/>
      <c r="AZ42" s="239"/>
      <c r="BA42" s="239"/>
      <c r="BB42" s="239"/>
      <c r="BC42" s="239"/>
      <c r="BD42" s="239"/>
      <c r="BE42" s="239"/>
      <c r="BF42" s="239"/>
      <c r="BG42" s="239"/>
      <c r="BH42" s="239"/>
      <c r="BI42" s="239"/>
      <c r="BJ42" s="239"/>
      <c r="BK42" s="240"/>
    </row>
    <row r="43" spans="1:63" ht="15.75" customHeight="1" thickBot="1">
      <c r="A43" s="881"/>
      <c r="B43" s="882"/>
      <c r="C43" s="241"/>
      <c r="D43" s="104"/>
      <c r="E43" s="102"/>
      <c r="F43" s="102"/>
      <c r="G43" s="102"/>
      <c r="H43" s="102"/>
      <c r="I43" s="102"/>
      <c r="J43" s="103"/>
      <c r="K43" s="104"/>
      <c r="L43" s="102"/>
      <c r="M43" s="102"/>
      <c r="N43" s="102"/>
      <c r="O43" s="102"/>
      <c r="P43" s="102"/>
      <c r="Q43" s="102"/>
      <c r="R43" s="102"/>
      <c r="S43" s="102"/>
      <c r="T43" s="102"/>
      <c r="U43" s="103"/>
      <c r="V43" s="242"/>
      <c r="W43" s="104"/>
      <c r="X43" s="102"/>
      <c r="Y43" s="102"/>
      <c r="Z43" s="102"/>
      <c r="AA43" s="102"/>
      <c r="AB43" s="102"/>
      <c r="AC43" s="102"/>
      <c r="AD43" s="102"/>
      <c r="AE43" s="103"/>
      <c r="AF43" s="104"/>
      <c r="AG43" s="102"/>
      <c r="AH43" s="102"/>
      <c r="AI43" s="102"/>
      <c r="AJ43" s="102"/>
      <c r="AK43" s="102"/>
      <c r="AL43" s="102"/>
      <c r="AM43" s="102"/>
      <c r="AN43" s="102"/>
      <c r="AO43" s="102"/>
      <c r="AP43" s="103"/>
      <c r="AQ43" s="243"/>
      <c r="AR43" s="244"/>
      <c r="AS43" s="244"/>
      <c r="AT43" s="244"/>
      <c r="AU43" s="244"/>
      <c r="AV43" s="244"/>
      <c r="AW43" s="244"/>
      <c r="AX43" s="244"/>
      <c r="AY43" s="244"/>
      <c r="AZ43" s="244"/>
      <c r="BA43" s="244"/>
      <c r="BB43" s="244"/>
      <c r="BC43" s="244"/>
      <c r="BD43" s="244"/>
      <c r="BE43" s="244"/>
      <c r="BF43" s="244"/>
      <c r="BG43" s="244"/>
      <c r="BH43" s="244"/>
      <c r="BI43" s="244"/>
      <c r="BJ43" s="244"/>
      <c r="BK43" s="245"/>
    </row>
  </sheetData>
  <mergeCells count="56">
    <mergeCell ref="A42:B42"/>
    <mergeCell ref="A43:B43"/>
    <mergeCell ref="A34:B34"/>
    <mergeCell ref="A35:B35"/>
    <mergeCell ref="A36:B36"/>
    <mergeCell ref="A37:B37"/>
    <mergeCell ref="A38:B38"/>
    <mergeCell ref="A39:B39"/>
    <mergeCell ref="A40:B40"/>
    <mergeCell ref="A41:B41"/>
    <mergeCell ref="BF1:BK1"/>
    <mergeCell ref="A10:B10"/>
    <mergeCell ref="BF2:BK3"/>
    <mergeCell ref="K3:T3"/>
    <mergeCell ref="U3:Y3"/>
    <mergeCell ref="Z3:AD3"/>
    <mergeCell ref="AE3:AR3"/>
    <mergeCell ref="A9:B9"/>
    <mergeCell ref="AS2:AY3"/>
    <mergeCell ref="AZ2:BE3"/>
    <mergeCell ref="A1:J3"/>
    <mergeCell ref="K1:T1"/>
    <mergeCell ref="U1:Y1"/>
    <mergeCell ref="Z1:AD1"/>
    <mergeCell ref="K2:T2"/>
    <mergeCell ref="U2:Y2"/>
    <mergeCell ref="A11:B11"/>
    <mergeCell ref="A12:B12"/>
    <mergeCell ref="A13:B13"/>
    <mergeCell ref="A28:B28"/>
    <mergeCell ref="A29:B29"/>
    <mergeCell ref="A20:B20"/>
    <mergeCell ref="A21:B21"/>
    <mergeCell ref="AS1:AY1"/>
    <mergeCell ref="AZ1:BE1"/>
    <mergeCell ref="Z2:AD2"/>
    <mergeCell ref="AE2:AI2"/>
    <mergeCell ref="AJ2:AR2"/>
    <mergeCell ref="AE1:AI1"/>
    <mergeCell ref="AJ1:AR1"/>
    <mergeCell ref="A31:B31"/>
    <mergeCell ref="A32:B32"/>
    <mergeCell ref="A33:B33"/>
    <mergeCell ref="A14:B14"/>
    <mergeCell ref="A15:B15"/>
    <mergeCell ref="A18:B18"/>
    <mergeCell ref="A19:B19"/>
    <mergeCell ref="A22:B22"/>
    <mergeCell ref="A23:B23"/>
    <mergeCell ref="A24:B24"/>
    <mergeCell ref="A25:B25"/>
    <mergeCell ref="A26:B26"/>
    <mergeCell ref="A27:B27"/>
    <mergeCell ref="A30:B30"/>
    <mergeCell ref="A16:B16"/>
    <mergeCell ref="A17:B17"/>
  </mergeCells>
  <phoneticPr fontId="8"/>
  <dataValidations count="1">
    <dataValidation imeMode="off" allowBlank="1" showInputMessage="1" showErrorMessage="1" sqref="D9:J43 W9:AE43" xr:uid="{53C2F3ED-CDDF-4DDF-87CE-42AA45E4D04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FA65-FA71-4AF9-95B2-FFEC8C526D9E}">
  <sheetPr codeName="Sheet13">
    <pageSetUpPr fitToPage="1"/>
  </sheetPr>
  <dimension ref="A1:BM29"/>
  <sheetViews>
    <sheetView showGridLines="0" showZeros="0" view="pageBreakPreview" zoomScale="115" zoomScaleNormal="100" zoomScaleSheetLayoutView="115" workbookViewId="0">
      <selection activeCell="G6" sqref="G6:G9"/>
    </sheetView>
  </sheetViews>
  <sheetFormatPr defaultColWidth="2.125" defaultRowHeight="15.75" customHeight="1"/>
  <cols>
    <col min="1" max="1" width="2.125" style="296" customWidth="1"/>
    <col min="2" max="2" width="2.125" style="282" customWidth="1"/>
    <col min="3" max="3" width="2.375" style="282" customWidth="1"/>
    <col min="4" max="4" width="2.125" style="282" customWidth="1"/>
    <col min="5" max="5" width="3" style="282" customWidth="1"/>
    <col min="6" max="62" width="2.125" style="282" customWidth="1"/>
    <col min="63" max="63" width="2.25" style="282" customWidth="1"/>
    <col min="64" max="16384" width="2.125" style="282"/>
  </cols>
  <sheetData>
    <row r="1" spans="1:65" s="279" customFormat="1" ht="15.75" customHeight="1">
      <c r="A1" s="821" t="str">
        <f>表紙!A54</f>
        <v>Webシステム</v>
      </c>
      <c r="B1" s="822"/>
      <c r="C1" s="822"/>
      <c r="D1" s="822"/>
      <c r="E1" s="822"/>
      <c r="F1" s="822"/>
      <c r="G1" s="822"/>
      <c r="H1" s="822"/>
      <c r="I1" s="822"/>
      <c r="J1" s="823"/>
      <c r="K1" s="857" t="s">
        <v>132</v>
      </c>
      <c r="L1" s="858"/>
      <c r="M1" s="858"/>
      <c r="N1" s="858"/>
      <c r="O1" s="858"/>
      <c r="P1" s="858"/>
      <c r="Q1" s="858"/>
      <c r="R1" s="858"/>
      <c r="S1" s="858"/>
      <c r="T1" s="859"/>
      <c r="U1" s="860" t="s">
        <v>148</v>
      </c>
      <c r="V1" s="861"/>
      <c r="W1" s="861"/>
      <c r="X1" s="861"/>
      <c r="Y1" s="862"/>
      <c r="Z1" s="863" t="str">
        <f>表紙!$AJ$63</f>
        <v>MS</v>
      </c>
      <c r="AA1" s="864"/>
      <c r="AB1" s="864"/>
      <c r="AC1" s="864"/>
      <c r="AD1" s="865"/>
      <c r="AE1" s="866" t="s">
        <v>135</v>
      </c>
      <c r="AF1" s="832"/>
      <c r="AG1" s="832"/>
      <c r="AH1" s="832"/>
      <c r="AI1" s="833"/>
      <c r="AJ1" s="867" t="str">
        <f>表紙!$AX$63</f>
        <v>Webシステム</v>
      </c>
      <c r="AK1" s="868"/>
      <c r="AL1" s="868"/>
      <c r="AM1" s="868"/>
      <c r="AN1" s="868"/>
      <c r="AO1" s="868"/>
      <c r="AP1" s="868"/>
      <c r="AQ1" s="868"/>
      <c r="AR1" s="869"/>
      <c r="AS1" s="830" t="s">
        <v>101</v>
      </c>
      <c r="AT1" s="830"/>
      <c r="AU1" s="830"/>
      <c r="AV1" s="830"/>
      <c r="AW1" s="830"/>
      <c r="AX1" s="830"/>
      <c r="AY1" s="830"/>
      <c r="AZ1" s="831" t="s">
        <v>124</v>
      </c>
      <c r="BA1" s="832"/>
      <c r="BB1" s="832"/>
      <c r="BC1" s="832"/>
      <c r="BD1" s="832"/>
      <c r="BE1" s="833"/>
      <c r="BF1" s="831" t="s">
        <v>149</v>
      </c>
      <c r="BG1" s="832"/>
      <c r="BH1" s="832"/>
      <c r="BI1" s="832"/>
      <c r="BJ1" s="832"/>
      <c r="BK1" s="834"/>
    </row>
    <row r="2" spans="1:65" s="279" customFormat="1" ht="15.75" customHeight="1">
      <c r="A2" s="824"/>
      <c r="B2" s="825"/>
      <c r="C2" s="825"/>
      <c r="D2" s="825"/>
      <c r="E2" s="825"/>
      <c r="F2" s="825"/>
      <c r="G2" s="825"/>
      <c r="H2" s="825"/>
      <c r="I2" s="825"/>
      <c r="J2" s="826"/>
      <c r="K2" s="835" t="str">
        <f>表紙!O64</f>
        <v>アドオン設計書</v>
      </c>
      <c r="L2" s="836"/>
      <c r="M2" s="836"/>
      <c r="N2" s="836"/>
      <c r="O2" s="836"/>
      <c r="P2" s="836"/>
      <c r="Q2" s="836"/>
      <c r="R2" s="836"/>
      <c r="S2" s="836"/>
      <c r="T2" s="837"/>
      <c r="U2" s="838" t="s">
        <v>150</v>
      </c>
      <c r="V2" s="839"/>
      <c r="W2" s="839"/>
      <c r="X2" s="839"/>
      <c r="Y2" s="840"/>
      <c r="Z2" s="841" t="str">
        <f>表紙!$AJ$64</f>
        <v>MSBB</v>
      </c>
      <c r="AA2" s="842"/>
      <c r="AB2" s="842"/>
      <c r="AC2" s="842"/>
      <c r="AD2" s="843"/>
      <c r="AE2" s="844" t="s">
        <v>141</v>
      </c>
      <c r="AF2" s="845"/>
      <c r="AG2" s="845"/>
      <c r="AH2" s="845"/>
      <c r="AI2" s="846"/>
      <c r="AJ2" s="847" t="str">
        <f>表紙!$AX$64</f>
        <v>販売Webシステム</v>
      </c>
      <c r="AK2" s="848"/>
      <c r="AL2" s="848"/>
      <c r="AM2" s="848"/>
      <c r="AN2" s="848"/>
      <c r="AO2" s="848"/>
      <c r="AP2" s="848"/>
      <c r="AQ2" s="848"/>
      <c r="AR2" s="849"/>
      <c r="AS2" s="850" t="str">
        <f>表紙!$BL$64</f>
        <v>M7-US-1140</v>
      </c>
      <c r="AT2" s="851"/>
      <c r="AU2" s="851"/>
      <c r="AV2" s="851"/>
      <c r="AW2" s="851"/>
      <c r="AX2" s="851"/>
      <c r="AY2" s="851"/>
      <c r="AZ2" s="853" t="str">
        <f>表紙!$BU$64</f>
        <v>7.0.2</v>
      </c>
      <c r="BA2" s="836"/>
      <c r="BB2" s="836"/>
      <c r="BC2" s="836"/>
      <c r="BD2" s="836"/>
      <c r="BE2" s="837"/>
      <c r="BF2" s="870">
        <f>表紙!$CB$64</f>
        <v>2</v>
      </c>
      <c r="BG2" s="836"/>
      <c r="BH2" s="836"/>
      <c r="BI2" s="836"/>
      <c r="BJ2" s="836"/>
      <c r="BK2" s="871"/>
    </row>
    <row r="3" spans="1:65" s="279" customFormat="1" ht="15.75" customHeight="1" thickBot="1">
      <c r="A3" s="827"/>
      <c r="B3" s="828"/>
      <c r="C3" s="828"/>
      <c r="D3" s="828"/>
      <c r="E3" s="828"/>
      <c r="F3" s="828"/>
      <c r="G3" s="828"/>
      <c r="H3" s="828"/>
      <c r="I3" s="828"/>
      <c r="J3" s="829"/>
      <c r="K3" s="873" t="str">
        <f ca="1">RIGHT(CELL("filename",$A$1),LEN(CELL("filename",$A$1))-FIND("]",CELL("filename",$A$1)))</f>
        <v>メッセージ一覧</v>
      </c>
      <c r="L3" s="874"/>
      <c r="M3" s="874"/>
      <c r="N3" s="874"/>
      <c r="O3" s="874"/>
      <c r="P3" s="874"/>
      <c r="Q3" s="874"/>
      <c r="R3" s="874"/>
      <c r="S3" s="874"/>
      <c r="T3" s="875"/>
      <c r="U3" s="810" t="s">
        <v>146</v>
      </c>
      <c r="V3" s="811"/>
      <c r="W3" s="811"/>
      <c r="X3" s="811"/>
      <c r="Y3" s="812"/>
      <c r="Z3" s="813" t="str">
        <f>表紙!$AJ$65</f>
        <v>MSBBPA120</v>
      </c>
      <c r="AA3" s="814"/>
      <c r="AB3" s="814"/>
      <c r="AC3" s="814"/>
      <c r="AD3" s="814"/>
      <c r="AE3" s="815" t="str">
        <f>表紙!$AQ$65</f>
        <v>Web取引先マスタ一覧照会</v>
      </c>
      <c r="AF3" s="816"/>
      <c r="AG3" s="816"/>
      <c r="AH3" s="816"/>
      <c r="AI3" s="816"/>
      <c r="AJ3" s="816"/>
      <c r="AK3" s="816"/>
      <c r="AL3" s="816"/>
      <c r="AM3" s="816"/>
      <c r="AN3" s="816"/>
      <c r="AO3" s="816"/>
      <c r="AP3" s="816"/>
      <c r="AQ3" s="816"/>
      <c r="AR3" s="817"/>
      <c r="AS3" s="852"/>
      <c r="AT3" s="852"/>
      <c r="AU3" s="852"/>
      <c r="AV3" s="852"/>
      <c r="AW3" s="852"/>
      <c r="AX3" s="852"/>
      <c r="AY3" s="852"/>
      <c r="AZ3" s="854"/>
      <c r="BA3" s="855"/>
      <c r="BB3" s="855"/>
      <c r="BC3" s="855"/>
      <c r="BD3" s="855"/>
      <c r="BE3" s="856"/>
      <c r="BF3" s="854"/>
      <c r="BG3" s="855"/>
      <c r="BH3" s="855"/>
      <c r="BI3" s="855"/>
      <c r="BJ3" s="855"/>
      <c r="BK3" s="872"/>
    </row>
    <row r="4" spans="1:65" ht="15.75" customHeight="1" thickBot="1">
      <c r="A4" s="280"/>
      <c r="B4" s="281"/>
      <c r="C4" s="282" t="s">
        <v>587</v>
      </c>
      <c r="Q4" s="283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0"/>
      <c r="AP4" s="280"/>
      <c r="AQ4" s="280"/>
      <c r="AR4" s="280"/>
      <c r="AS4" s="280"/>
      <c r="AT4" s="280"/>
      <c r="AU4" s="280"/>
      <c r="AV4" s="280"/>
      <c r="AW4" s="280"/>
      <c r="AX4" s="280"/>
      <c r="AY4" s="280"/>
      <c r="AZ4" s="280"/>
      <c r="BA4" s="280"/>
      <c r="BB4" s="280"/>
      <c r="BC4" s="280"/>
      <c r="BD4" s="280"/>
      <c r="BE4" s="280"/>
      <c r="BF4" s="280"/>
      <c r="BG4" s="280"/>
      <c r="BH4" s="280"/>
      <c r="BI4" s="280"/>
      <c r="BJ4" s="280"/>
      <c r="BK4" s="284"/>
    </row>
    <row r="5" spans="1:65" s="289" customFormat="1" ht="13.5" customHeight="1">
      <c r="A5" s="911" t="s">
        <v>484</v>
      </c>
      <c r="B5" s="912"/>
      <c r="C5" s="913" t="s">
        <v>588</v>
      </c>
      <c r="D5" s="914"/>
      <c r="E5" s="913" t="s">
        <v>589</v>
      </c>
      <c r="F5" s="914"/>
      <c r="G5" s="285" t="s">
        <v>590</v>
      </c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286"/>
      <c r="AK5" s="286"/>
      <c r="AL5" s="286"/>
      <c r="AM5" s="286"/>
      <c r="AN5" s="286"/>
      <c r="AO5" s="286"/>
      <c r="AP5" s="287"/>
      <c r="AQ5" s="285" t="s">
        <v>591</v>
      </c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/>
      <c r="BE5" s="286"/>
      <c r="BF5" s="287"/>
      <c r="BG5" s="285" t="s">
        <v>592</v>
      </c>
      <c r="BH5" s="286"/>
      <c r="BI5" s="286"/>
      <c r="BJ5" s="286"/>
      <c r="BK5" s="288"/>
    </row>
    <row r="6" spans="1:65" s="292" customFormat="1" ht="12">
      <c r="A6" s="915">
        <v>1</v>
      </c>
      <c r="B6" s="916"/>
      <c r="C6" s="917" t="s">
        <v>593</v>
      </c>
      <c r="D6" s="917"/>
      <c r="E6" s="917" t="s">
        <v>594</v>
      </c>
      <c r="F6" s="917"/>
      <c r="G6" s="314" t="s">
        <v>852</v>
      </c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15"/>
      <c r="AG6" s="315"/>
      <c r="AH6" s="315"/>
      <c r="AI6" s="315"/>
      <c r="AJ6" s="315"/>
      <c r="AK6" s="315"/>
      <c r="AL6" s="315"/>
      <c r="AM6" s="315"/>
      <c r="AN6" s="315"/>
      <c r="AO6" s="315"/>
      <c r="AP6" s="316"/>
      <c r="AQ6" s="314" t="s">
        <v>493</v>
      </c>
      <c r="AR6" s="315"/>
      <c r="AS6" s="315"/>
      <c r="AT6" s="315"/>
      <c r="AU6" s="315"/>
      <c r="AV6" s="315"/>
      <c r="AW6" s="315"/>
      <c r="AX6" s="315"/>
      <c r="AY6" s="315"/>
      <c r="AZ6" s="315"/>
      <c r="BA6" s="315"/>
      <c r="BB6" s="315"/>
      <c r="BC6" s="315"/>
      <c r="BD6" s="315"/>
      <c r="BE6" s="315"/>
      <c r="BF6" s="316"/>
      <c r="BG6" s="314" t="s">
        <v>847</v>
      </c>
      <c r="BH6" s="315"/>
      <c r="BI6" s="315"/>
      <c r="BJ6" s="315"/>
      <c r="BK6" s="317"/>
      <c r="BM6" s="314" t="s">
        <v>517</v>
      </c>
    </row>
    <row r="7" spans="1:65" s="292" customFormat="1" ht="12">
      <c r="A7" s="904">
        <v>2</v>
      </c>
      <c r="B7" s="905"/>
      <c r="C7" s="906" t="s">
        <v>593</v>
      </c>
      <c r="D7" s="906"/>
      <c r="E7" s="906" t="s">
        <v>594</v>
      </c>
      <c r="F7" s="906"/>
      <c r="G7" s="1014" t="s">
        <v>853</v>
      </c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310"/>
      <c r="AQ7" s="293" t="s">
        <v>595</v>
      </c>
      <c r="AR7" s="294"/>
      <c r="AS7" s="294"/>
      <c r="AT7" s="294"/>
      <c r="AU7" s="294"/>
      <c r="AV7" s="294"/>
      <c r="AW7" s="294"/>
      <c r="AX7" s="294"/>
      <c r="AY7" s="294"/>
      <c r="AZ7" s="294"/>
      <c r="BA7" s="294"/>
      <c r="BB7" s="294"/>
      <c r="BC7" s="294"/>
      <c r="BD7" s="294"/>
      <c r="BE7" s="294"/>
      <c r="BF7" s="295"/>
      <c r="BG7" s="1014" t="s">
        <v>844</v>
      </c>
      <c r="BH7" s="294"/>
      <c r="BI7" s="294"/>
      <c r="BJ7" s="294"/>
      <c r="BK7" s="318"/>
      <c r="BM7" s="309" t="s">
        <v>596</v>
      </c>
    </row>
    <row r="8" spans="1:65" s="292" customFormat="1" ht="12">
      <c r="A8" s="907">
        <v>3</v>
      </c>
      <c r="B8" s="908"/>
      <c r="C8" s="906" t="s">
        <v>593</v>
      </c>
      <c r="D8" s="906"/>
      <c r="E8" s="906" t="s">
        <v>594</v>
      </c>
      <c r="F8" s="906"/>
      <c r="G8" s="1014" t="s">
        <v>597</v>
      </c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310"/>
      <c r="AQ8" s="309"/>
      <c r="AR8" s="290"/>
      <c r="AS8" s="290"/>
      <c r="AT8" s="290"/>
      <c r="AU8" s="290"/>
      <c r="AV8" s="290"/>
      <c r="AW8" s="290"/>
      <c r="AX8" s="290"/>
      <c r="AY8" s="290"/>
      <c r="AZ8" s="290"/>
      <c r="BA8" s="290"/>
      <c r="BB8" s="290"/>
      <c r="BC8" s="290"/>
      <c r="BD8" s="290"/>
      <c r="BE8" s="290"/>
      <c r="BF8" s="310"/>
      <c r="BG8" s="1014" t="s">
        <v>845</v>
      </c>
      <c r="BH8" s="290"/>
      <c r="BI8" s="290"/>
      <c r="BJ8" s="290"/>
      <c r="BK8" s="291"/>
      <c r="BM8" s="309" t="s">
        <v>598</v>
      </c>
    </row>
    <row r="9" spans="1:65" s="292" customFormat="1" ht="12">
      <c r="A9" s="907">
        <v>4</v>
      </c>
      <c r="B9" s="908"/>
      <c r="C9" s="909" t="s">
        <v>593</v>
      </c>
      <c r="D9" s="910"/>
      <c r="E9" s="909" t="s">
        <v>594</v>
      </c>
      <c r="F9" s="910"/>
      <c r="G9" s="1014" t="s">
        <v>854</v>
      </c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290"/>
      <c r="AC9" s="290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310"/>
      <c r="AQ9" s="293"/>
      <c r="AR9" s="294"/>
      <c r="AS9" s="294"/>
      <c r="AT9" s="294"/>
      <c r="AU9" s="294"/>
      <c r="AV9" s="294"/>
      <c r="AW9" s="294"/>
      <c r="AX9" s="294"/>
      <c r="AY9" s="294"/>
      <c r="AZ9" s="294"/>
      <c r="BA9" s="294"/>
      <c r="BB9" s="294"/>
      <c r="BC9" s="294"/>
      <c r="BD9" s="294"/>
      <c r="BE9" s="294"/>
      <c r="BF9" s="295"/>
      <c r="BG9" s="1014" t="s">
        <v>846</v>
      </c>
      <c r="BH9" s="294"/>
      <c r="BI9" s="294"/>
      <c r="BJ9" s="294"/>
      <c r="BK9" s="318"/>
      <c r="BM9" s="309" t="s">
        <v>531</v>
      </c>
    </row>
    <row r="10" spans="1:65" s="292" customFormat="1" ht="12">
      <c r="A10" s="907"/>
      <c r="B10" s="908"/>
      <c r="C10" s="906"/>
      <c r="D10" s="906"/>
      <c r="E10" s="906"/>
      <c r="F10" s="906"/>
      <c r="G10" s="309"/>
      <c r="H10" s="290"/>
      <c r="I10" s="290"/>
      <c r="J10" s="290"/>
      <c r="K10" s="290"/>
      <c r="L10" s="290"/>
      <c r="M10" s="290"/>
      <c r="N10" s="290"/>
      <c r="O10" s="290"/>
      <c r="P10" s="290"/>
      <c r="Q10" s="290"/>
      <c r="R10" s="290"/>
      <c r="S10" s="290"/>
      <c r="T10" s="290"/>
      <c r="U10" s="290"/>
      <c r="V10" s="290"/>
      <c r="W10" s="290"/>
      <c r="X10" s="290"/>
      <c r="Y10" s="290"/>
      <c r="Z10" s="290"/>
      <c r="AA10" s="290"/>
      <c r="AB10" s="290"/>
      <c r="AC10" s="290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310"/>
      <c r="AQ10" s="293"/>
      <c r="AR10" s="294"/>
      <c r="AS10" s="294"/>
      <c r="AT10" s="294"/>
      <c r="AU10" s="294"/>
      <c r="AV10" s="294"/>
      <c r="AW10" s="294"/>
      <c r="AX10" s="294"/>
      <c r="AY10" s="294"/>
      <c r="AZ10" s="294"/>
      <c r="BA10" s="294"/>
      <c r="BB10" s="294"/>
      <c r="BC10" s="294"/>
      <c r="BD10" s="294"/>
      <c r="BE10" s="294"/>
      <c r="BF10" s="295"/>
      <c r="BG10" s="309"/>
      <c r="BH10" s="294"/>
      <c r="BI10" s="294"/>
      <c r="BJ10" s="294"/>
      <c r="BK10" s="318"/>
    </row>
    <row r="11" spans="1:65" s="292" customFormat="1" ht="12">
      <c r="A11" s="904"/>
      <c r="B11" s="905"/>
      <c r="C11" s="906"/>
      <c r="D11" s="906"/>
      <c r="E11" s="906"/>
      <c r="F11" s="906"/>
      <c r="G11" s="309"/>
      <c r="H11" s="290"/>
      <c r="I11" s="290"/>
      <c r="J11" s="290"/>
      <c r="K11" s="290"/>
      <c r="L11" s="290"/>
      <c r="M11" s="290"/>
      <c r="N11" s="290"/>
      <c r="O11" s="290"/>
      <c r="P11" s="290"/>
      <c r="Q11" s="290"/>
      <c r="R11" s="290"/>
      <c r="S11" s="290"/>
      <c r="T11" s="290"/>
      <c r="U11" s="290"/>
      <c r="V11" s="290"/>
      <c r="W11" s="290"/>
      <c r="X11" s="290"/>
      <c r="Y11" s="290"/>
      <c r="Z11" s="290"/>
      <c r="AA11" s="290"/>
      <c r="AB11" s="290"/>
      <c r="AC11" s="290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310"/>
      <c r="AQ11" s="309"/>
      <c r="AR11" s="290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310"/>
      <c r="BG11" s="293"/>
      <c r="BH11" s="290"/>
      <c r="BI11" s="290"/>
      <c r="BJ11" s="290"/>
      <c r="BK11" s="291"/>
    </row>
    <row r="12" spans="1:65" s="292" customFormat="1" ht="12">
      <c r="A12" s="907"/>
      <c r="B12" s="908"/>
      <c r="C12" s="906"/>
      <c r="D12" s="906"/>
      <c r="E12" s="906"/>
      <c r="F12" s="906"/>
      <c r="G12" s="309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310"/>
      <c r="AQ12" s="293"/>
      <c r="AR12" s="294"/>
      <c r="AS12" s="294"/>
      <c r="AT12" s="294"/>
      <c r="AU12" s="294"/>
      <c r="AV12" s="294"/>
      <c r="AW12" s="294"/>
      <c r="AX12" s="294"/>
      <c r="AY12" s="294"/>
      <c r="AZ12" s="294"/>
      <c r="BA12" s="294"/>
      <c r="BB12" s="294"/>
      <c r="BC12" s="294"/>
      <c r="BD12" s="294"/>
      <c r="BE12" s="294"/>
      <c r="BF12" s="295"/>
      <c r="BG12" s="309"/>
      <c r="BH12" s="294"/>
      <c r="BI12" s="294"/>
      <c r="BJ12" s="294"/>
      <c r="BK12" s="318"/>
    </row>
    <row r="13" spans="1:65" s="292" customFormat="1" ht="12">
      <c r="A13" s="904"/>
      <c r="B13" s="905"/>
      <c r="C13" s="906"/>
      <c r="D13" s="906"/>
      <c r="E13" s="906"/>
      <c r="F13" s="906"/>
      <c r="G13" s="309"/>
      <c r="H13" s="290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310"/>
      <c r="AQ13" s="293"/>
      <c r="AR13" s="294"/>
      <c r="AS13" s="294"/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5"/>
      <c r="BG13" s="293"/>
      <c r="BH13" s="294"/>
      <c r="BI13" s="294"/>
      <c r="BJ13" s="294"/>
      <c r="BK13" s="318"/>
    </row>
    <row r="14" spans="1:65" s="292" customFormat="1" ht="12">
      <c r="A14" s="907"/>
      <c r="B14" s="908"/>
      <c r="C14" s="906"/>
      <c r="D14" s="906"/>
      <c r="E14" s="906"/>
      <c r="F14" s="906"/>
      <c r="G14" s="309"/>
      <c r="H14" s="290"/>
      <c r="I14" s="290"/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0"/>
      <c r="AA14" s="290"/>
      <c r="AB14" s="290"/>
      <c r="AC14" s="290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310"/>
      <c r="AQ14" s="293"/>
      <c r="AR14" s="294"/>
      <c r="AS14" s="294"/>
      <c r="AT14" s="294"/>
      <c r="AU14" s="294"/>
      <c r="AV14" s="294"/>
      <c r="AW14" s="294"/>
      <c r="AX14" s="294"/>
      <c r="AY14" s="294"/>
      <c r="AZ14" s="294"/>
      <c r="BA14" s="294"/>
      <c r="BB14" s="294"/>
      <c r="BC14" s="294"/>
      <c r="BD14" s="294"/>
      <c r="BE14" s="294"/>
      <c r="BF14" s="295"/>
      <c r="BG14" s="309"/>
      <c r="BH14" s="294"/>
      <c r="BI14" s="294"/>
      <c r="BJ14" s="294"/>
      <c r="BK14" s="318"/>
    </row>
    <row r="15" spans="1:65" s="292" customFormat="1" ht="12">
      <c r="A15" s="904"/>
      <c r="B15" s="905"/>
      <c r="C15" s="906"/>
      <c r="D15" s="906"/>
      <c r="E15" s="906"/>
      <c r="F15" s="906"/>
      <c r="G15" s="309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10"/>
      <c r="AQ15" s="293"/>
      <c r="AR15" s="294"/>
      <c r="AS15" s="294"/>
      <c r="AT15" s="294"/>
      <c r="AU15" s="294"/>
      <c r="AV15" s="294"/>
      <c r="AW15" s="294"/>
      <c r="AX15" s="294"/>
      <c r="AY15" s="294"/>
      <c r="AZ15" s="294"/>
      <c r="BA15" s="294"/>
      <c r="BB15" s="294"/>
      <c r="BC15" s="294"/>
      <c r="BD15" s="294"/>
      <c r="BE15" s="294"/>
      <c r="BF15" s="295"/>
      <c r="BG15" s="293"/>
      <c r="BH15" s="294"/>
      <c r="BI15" s="294"/>
      <c r="BJ15" s="294"/>
      <c r="BK15" s="318"/>
    </row>
    <row r="16" spans="1:65" s="292" customFormat="1" ht="12">
      <c r="A16" s="907"/>
      <c r="B16" s="908"/>
      <c r="C16" s="906"/>
      <c r="D16" s="906"/>
      <c r="E16" s="906"/>
      <c r="F16" s="906"/>
      <c r="G16" s="309"/>
      <c r="H16" s="290"/>
      <c r="I16" s="290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310"/>
      <c r="AQ16" s="293"/>
      <c r="AR16" s="294"/>
      <c r="AS16" s="294"/>
      <c r="AT16" s="294"/>
      <c r="AU16" s="294"/>
      <c r="AV16" s="294"/>
      <c r="AW16" s="294"/>
      <c r="AX16" s="294"/>
      <c r="AY16" s="294"/>
      <c r="AZ16" s="294"/>
      <c r="BA16" s="294"/>
      <c r="BB16" s="294"/>
      <c r="BC16" s="294"/>
      <c r="BD16" s="294"/>
      <c r="BE16" s="294"/>
      <c r="BF16" s="295"/>
      <c r="BG16" s="309"/>
      <c r="BH16" s="294"/>
      <c r="BI16" s="294"/>
      <c r="BJ16" s="294"/>
      <c r="BK16" s="318"/>
    </row>
    <row r="17" spans="1:63" s="292" customFormat="1" ht="12">
      <c r="A17" s="904"/>
      <c r="B17" s="905"/>
      <c r="C17" s="906"/>
      <c r="D17" s="906"/>
      <c r="E17" s="906"/>
      <c r="F17" s="906"/>
      <c r="G17" s="309"/>
      <c r="H17" s="290"/>
      <c r="I17" s="290"/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310"/>
      <c r="AQ17" s="309"/>
      <c r="AR17" s="290"/>
      <c r="AS17" s="290"/>
      <c r="AT17" s="290"/>
      <c r="AU17" s="290"/>
      <c r="AV17" s="290"/>
      <c r="AW17" s="290"/>
      <c r="AX17" s="290"/>
      <c r="AY17" s="290"/>
      <c r="AZ17" s="290"/>
      <c r="BA17" s="290"/>
      <c r="BB17" s="290"/>
      <c r="BC17" s="290"/>
      <c r="BD17" s="290"/>
      <c r="BE17" s="290"/>
      <c r="BF17" s="310"/>
      <c r="BG17" s="293"/>
      <c r="BH17" s="290"/>
      <c r="BI17" s="290"/>
      <c r="BJ17" s="290"/>
      <c r="BK17" s="291"/>
    </row>
    <row r="18" spans="1:63" s="292" customFormat="1" ht="12">
      <c r="A18" s="907"/>
      <c r="B18" s="908"/>
      <c r="C18" s="906"/>
      <c r="D18" s="906"/>
      <c r="E18" s="906"/>
      <c r="F18" s="906"/>
      <c r="G18" s="309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310"/>
      <c r="AQ18" s="293"/>
      <c r="AR18" s="294"/>
      <c r="AS18" s="294"/>
      <c r="AT18" s="294"/>
      <c r="AU18" s="294"/>
      <c r="AV18" s="294"/>
      <c r="AW18" s="294"/>
      <c r="AX18" s="294"/>
      <c r="AY18" s="294"/>
      <c r="AZ18" s="294"/>
      <c r="BA18" s="294"/>
      <c r="BB18" s="294"/>
      <c r="BC18" s="294"/>
      <c r="BD18" s="294"/>
      <c r="BE18" s="294"/>
      <c r="BF18" s="295"/>
      <c r="BG18" s="309"/>
      <c r="BH18" s="294"/>
      <c r="BI18" s="294"/>
      <c r="BJ18" s="294"/>
      <c r="BK18" s="318"/>
    </row>
    <row r="19" spans="1:63" s="292" customFormat="1" ht="12">
      <c r="A19" s="904"/>
      <c r="B19" s="905"/>
      <c r="C19" s="906"/>
      <c r="D19" s="906"/>
      <c r="E19" s="906"/>
      <c r="F19" s="906"/>
      <c r="G19" s="309"/>
      <c r="H19" s="290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310"/>
      <c r="AQ19" s="293"/>
      <c r="AR19" s="294"/>
      <c r="AS19" s="294"/>
      <c r="AT19" s="294"/>
      <c r="AU19" s="294"/>
      <c r="AV19" s="294"/>
      <c r="AW19" s="294"/>
      <c r="AX19" s="294"/>
      <c r="AY19" s="294"/>
      <c r="AZ19" s="294"/>
      <c r="BA19" s="294"/>
      <c r="BB19" s="294"/>
      <c r="BC19" s="294"/>
      <c r="BD19" s="294"/>
      <c r="BE19" s="294"/>
      <c r="BF19" s="295"/>
      <c r="BG19" s="293"/>
      <c r="BH19" s="294"/>
      <c r="BI19" s="294"/>
      <c r="BJ19" s="294"/>
      <c r="BK19" s="318"/>
    </row>
    <row r="20" spans="1:63" s="292" customFormat="1" ht="12">
      <c r="A20" s="907"/>
      <c r="B20" s="908"/>
      <c r="C20" s="906"/>
      <c r="D20" s="906"/>
      <c r="E20" s="906"/>
      <c r="F20" s="906"/>
      <c r="G20" s="309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310"/>
      <c r="AQ20" s="293"/>
      <c r="AR20" s="294"/>
      <c r="AS20" s="294"/>
      <c r="AT20" s="294"/>
      <c r="AU20" s="294"/>
      <c r="AV20" s="294"/>
      <c r="AW20" s="294"/>
      <c r="AX20" s="294"/>
      <c r="AY20" s="294"/>
      <c r="AZ20" s="294"/>
      <c r="BA20" s="294"/>
      <c r="BB20" s="294"/>
      <c r="BC20" s="294"/>
      <c r="BD20" s="294"/>
      <c r="BE20" s="294"/>
      <c r="BF20" s="295"/>
      <c r="BG20" s="309"/>
      <c r="BH20" s="294"/>
      <c r="BI20" s="294"/>
      <c r="BJ20" s="294"/>
      <c r="BK20" s="318"/>
    </row>
    <row r="21" spans="1:63" s="292" customFormat="1" ht="12">
      <c r="A21" s="904"/>
      <c r="B21" s="905"/>
      <c r="C21" s="906"/>
      <c r="D21" s="906"/>
      <c r="E21" s="906"/>
      <c r="F21" s="906"/>
      <c r="G21" s="309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90"/>
      <c r="AB21" s="290"/>
      <c r="AC21" s="290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310"/>
      <c r="AQ21" s="293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5"/>
      <c r="BG21" s="293"/>
      <c r="BH21" s="294"/>
      <c r="BI21" s="294"/>
      <c r="BJ21" s="294"/>
      <c r="BK21" s="318"/>
    </row>
    <row r="22" spans="1:63" s="292" customFormat="1" ht="12">
      <c r="A22" s="907"/>
      <c r="B22" s="908"/>
      <c r="C22" s="906"/>
      <c r="D22" s="906"/>
      <c r="E22" s="906"/>
      <c r="F22" s="906"/>
      <c r="G22" s="309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10"/>
      <c r="AQ22" s="309"/>
      <c r="AR22" s="290"/>
      <c r="AS22" s="290"/>
      <c r="AT22" s="290"/>
      <c r="AU22" s="290"/>
      <c r="AV22" s="290"/>
      <c r="AW22" s="290"/>
      <c r="AX22" s="290"/>
      <c r="AY22" s="290"/>
      <c r="AZ22" s="290"/>
      <c r="BA22" s="290"/>
      <c r="BB22" s="290"/>
      <c r="BC22" s="290"/>
      <c r="BD22" s="290"/>
      <c r="BE22" s="290"/>
      <c r="BF22" s="310"/>
      <c r="BG22" s="309"/>
      <c r="BH22" s="290"/>
      <c r="BI22" s="290"/>
      <c r="BJ22" s="290"/>
      <c r="BK22" s="291"/>
    </row>
    <row r="23" spans="1:63" s="292" customFormat="1" ht="12">
      <c r="A23" s="904"/>
      <c r="B23" s="905"/>
      <c r="C23" s="906"/>
      <c r="D23" s="906"/>
      <c r="E23" s="906"/>
      <c r="F23" s="906"/>
      <c r="G23" s="309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310"/>
      <c r="AQ23" s="293"/>
      <c r="AR23" s="294"/>
      <c r="AS23" s="294"/>
      <c r="AT23" s="294"/>
      <c r="AU23" s="294"/>
      <c r="AV23" s="294"/>
      <c r="AW23" s="294"/>
      <c r="AX23" s="294"/>
      <c r="AY23" s="294"/>
      <c r="AZ23" s="294"/>
      <c r="BA23" s="294"/>
      <c r="BB23" s="294"/>
      <c r="BC23" s="294"/>
      <c r="BD23" s="294"/>
      <c r="BE23" s="294"/>
      <c r="BF23" s="295"/>
      <c r="BG23" s="293"/>
      <c r="BH23" s="294"/>
      <c r="BI23" s="294"/>
      <c r="BJ23" s="294"/>
      <c r="BK23" s="318"/>
    </row>
    <row r="24" spans="1:63" s="292" customFormat="1" ht="12">
      <c r="A24" s="907"/>
      <c r="B24" s="908"/>
      <c r="C24" s="906"/>
      <c r="D24" s="906"/>
      <c r="E24" s="906"/>
      <c r="F24" s="906"/>
      <c r="G24" s="309"/>
      <c r="H24" s="290"/>
      <c r="I24" s="290"/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  <c r="V24" s="290"/>
      <c r="W24" s="290"/>
      <c r="X24" s="290"/>
      <c r="Y24" s="290"/>
      <c r="Z24" s="290"/>
      <c r="AA24" s="290"/>
      <c r="AB24" s="290"/>
      <c r="AC24" s="290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310"/>
      <c r="AQ24" s="293"/>
      <c r="AR24" s="294"/>
      <c r="AS24" s="294"/>
      <c r="AT24" s="294"/>
      <c r="AU24" s="294"/>
      <c r="AV24" s="294"/>
      <c r="AW24" s="294"/>
      <c r="AX24" s="294"/>
      <c r="AY24" s="294"/>
      <c r="AZ24" s="294"/>
      <c r="BA24" s="294"/>
      <c r="BB24" s="294"/>
      <c r="BC24" s="294"/>
      <c r="BD24" s="294"/>
      <c r="BE24" s="294"/>
      <c r="BF24" s="295"/>
      <c r="BG24" s="309"/>
      <c r="BH24" s="294"/>
      <c r="BI24" s="294"/>
      <c r="BJ24" s="294"/>
      <c r="BK24" s="318"/>
    </row>
    <row r="25" spans="1:63" s="292" customFormat="1" ht="12">
      <c r="A25" s="904"/>
      <c r="B25" s="905"/>
      <c r="C25" s="909"/>
      <c r="D25" s="910"/>
      <c r="E25" s="909"/>
      <c r="F25" s="910"/>
      <c r="G25" s="309"/>
      <c r="H25" s="290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0"/>
      <c r="AC25" s="290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310"/>
      <c r="AQ25" s="293"/>
      <c r="AR25" s="294"/>
      <c r="AS25" s="294"/>
      <c r="AT25" s="294"/>
      <c r="AU25" s="294"/>
      <c r="AV25" s="294"/>
      <c r="AW25" s="294"/>
      <c r="AX25" s="294"/>
      <c r="AY25" s="294"/>
      <c r="AZ25" s="294"/>
      <c r="BA25" s="294"/>
      <c r="BB25" s="294"/>
      <c r="BC25" s="294"/>
      <c r="BD25" s="294"/>
      <c r="BE25" s="294"/>
      <c r="BF25" s="295"/>
      <c r="BG25" s="309"/>
      <c r="BH25" s="294"/>
      <c r="BI25" s="294"/>
      <c r="BJ25" s="294"/>
      <c r="BK25" s="318"/>
    </row>
    <row r="26" spans="1:63" s="292" customFormat="1" ht="12">
      <c r="A26" s="907"/>
      <c r="B26" s="908"/>
      <c r="C26" s="906"/>
      <c r="D26" s="906"/>
      <c r="E26" s="906"/>
      <c r="F26" s="906"/>
      <c r="G26" s="309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310"/>
      <c r="AQ26" s="309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310"/>
      <c r="BG26" s="309"/>
      <c r="BH26" s="290"/>
      <c r="BI26" s="290"/>
      <c r="BJ26" s="290"/>
      <c r="BK26" s="291"/>
    </row>
    <row r="27" spans="1:63" s="292" customFormat="1" ht="12">
      <c r="A27" s="904"/>
      <c r="B27" s="905"/>
      <c r="C27" s="906"/>
      <c r="D27" s="906"/>
      <c r="E27" s="906"/>
      <c r="F27" s="906"/>
      <c r="G27" s="309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  <c r="AC27" s="290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310"/>
      <c r="AQ27" s="293"/>
      <c r="AR27" s="294"/>
      <c r="AS27" s="294"/>
      <c r="AT27" s="294"/>
      <c r="AU27" s="294"/>
      <c r="AV27" s="294"/>
      <c r="AW27" s="294"/>
      <c r="AX27" s="294"/>
      <c r="AY27" s="294"/>
      <c r="AZ27" s="294"/>
      <c r="BA27" s="294"/>
      <c r="BB27" s="294"/>
      <c r="BC27" s="294"/>
      <c r="BD27" s="294"/>
      <c r="BE27" s="294"/>
      <c r="BF27" s="295"/>
      <c r="BG27" s="293"/>
      <c r="BH27" s="294"/>
      <c r="BI27" s="294"/>
      <c r="BJ27" s="294"/>
      <c r="BK27" s="318"/>
    </row>
    <row r="28" spans="1:63" s="292" customFormat="1" ht="12">
      <c r="A28" s="904"/>
      <c r="B28" s="905"/>
      <c r="C28" s="906"/>
      <c r="D28" s="906"/>
      <c r="E28" s="906"/>
      <c r="F28" s="906"/>
      <c r="G28" s="309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310"/>
      <c r="AQ28" s="309"/>
      <c r="AR28" s="290"/>
      <c r="AS28" s="290"/>
      <c r="AT28" s="290"/>
      <c r="AU28" s="290"/>
      <c r="AV28" s="290"/>
      <c r="AW28" s="290"/>
      <c r="AX28" s="290"/>
      <c r="AY28" s="290"/>
      <c r="AZ28" s="290"/>
      <c r="BA28" s="290"/>
      <c r="BB28" s="290"/>
      <c r="BC28" s="290"/>
      <c r="BD28" s="290"/>
      <c r="BE28" s="290"/>
      <c r="BF28" s="310"/>
      <c r="BG28" s="309"/>
      <c r="BH28" s="290"/>
      <c r="BI28" s="290"/>
      <c r="BJ28" s="290"/>
      <c r="BK28" s="291"/>
    </row>
    <row r="29" spans="1:63" s="292" customFormat="1" ht="12" customHeight="1" thickBot="1">
      <c r="A29" s="900"/>
      <c r="B29" s="901"/>
      <c r="C29" s="902"/>
      <c r="D29" s="903"/>
      <c r="E29" s="902"/>
      <c r="F29" s="903"/>
      <c r="G29" s="319"/>
      <c r="H29" s="320"/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Y29" s="320"/>
      <c r="Z29" s="320"/>
      <c r="AA29" s="320"/>
      <c r="AB29" s="320"/>
      <c r="AC29" s="320"/>
      <c r="AD29" s="320"/>
      <c r="AE29" s="320"/>
      <c r="AF29" s="320"/>
      <c r="AG29" s="320"/>
      <c r="AH29" s="320"/>
      <c r="AI29" s="320"/>
      <c r="AJ29" s="320"/>
      <c r="AK29" s="320"/>
      <c r="AL29" s="320"/>
      <c r="AM29" s="320"/>
      <c r="AN29" s="320"/>
      <c r="AO29" s="320"/>
      <c r="AP29" s="321"/>
      <c r="AQ29" s="322"/>
      <c r="AR29" s="323"/>
      <c r="AS29" s="323"/>
      <c r="AT29" s="323"/>
      <c r="AU29" s="323"/>
      <c r="AV29" s="323"/>
      <c r="AW29" s="323"/>
      <c r="AX29" s="323"/>
      <c r="AY29" s="323"/>
      <c r="AZ29" s="323"/>
      <c r="BA29" s="323"/>
      <c r="BB29" s="323"/>
      <c r="BC29" s="323"/>
      <c r="BD29" s="323"/>
      <c r="BE29" s="323"/>
      <c r="BF29" s="324"/>
      <c r="BG29" s="322"/>
      <c r="BH29" s="323"/>
      <c r="BI29" s="323"/>
      <c r="BJ29" s="323"/>
      <c r="BK29" s="325"/>
    </row>
  </sheetData>
  <mergeCells count="96">
    <mergeCell ref="A6:B6"/>
    <mergeCell ref="C6:D6"/>
    <mergeCell ref="E6:F6"/>
    <mergeCell ref="A12:B12"/>
    <mergeCell ref="C12:D12"/>
    <mergeCell ref="E12:F12"/>
    <mergeCell ref="A8:B8"/>
    <mergeCell ref="C8:D8"/>
    <mergeCell ref="E8:F8"/>
    <mergeCell ref="A9:B9"/>
    <mergeCell ref="C9:D9"/>
    <mergeCell ref="E9:F9"/>
    <mergeCell ref="A7:B7"/>
    <mergeCell ref="C7:D7"/>
    <mergeCell ref="E7:F7"/>
    <mergeCell ref="A10:B10"/>
    <mergeCell ref="AZ2:BE3"/>
    <mergeCell ref="K1:T1"/>
    <mergeCell ref="U1:Y1"/>
    <mergeCell ref="Z1:AD1"/>
    <mergeCell ref="AE1:AI1"/>
    <mergeCell ref="AJ1:AR1"/>
    <mergeCell ref="U2:Y2"/>
    <mergeCell ref="Z2:AD2"/>
    <mergeCell ref="AE2:AI2"/>
    <mergeCell ref="AJ2:AR2"/>
    <mergeCell ref="AS2:AY3"/>
    <mergeCell ref="A13:B13"/>
    <mergeCell ref="C13:D13"/>
    <mergeCell ref="E13:F13"/>
    <mergeCell ref="BF2:BK3"/>
    <mergeCell ref="K3:T3"/>
    <mergeCell ref="U3:Y3"/>
    <mergeCell ref="Z3:AD3"/>
    <mergeCell ref="AE3:AR3"/>
    <mergeCell ref="A5:B5"/>
    <mergeCell ref="C5:D5"/>
    <mergeCell ref="E5:F5"/>
    <mergeCell ref="A1:J3"/>
    <mergeCell ref="AS1:AY1"/>
    <mergeCell ref="AZ1:BE1"/>
    <mergeCell ref="BF1:BK1"/>
    <mergeCell ref="K2:T2"/>
    <mergeCell ref="C10:D10"/>
    <mergeCell ref="E10:F10"/>
    <mergeCell ref="A11:B11"/>
    <mergeCell ref="C11:D11"/>
    <mergeCell ref="E11:F11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9:B29"/>
    <mergeCell ref="C29:D29"/>
    <mergeCell ref="E29:F29"/>
    <mergeCell ref="A28:B28"/>
    <mergeCell ref="C28:D28"/>
    <mergeCell ref="E28:F28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0327-2259-4CCB-90A9-268189730267}">
  <sheetPr codeName="Sheet12">
    <pageSetUpPr fitToPage="1"/>
  </sheetPr>
  <dimension ref="A1:CH5"/>
  <sheetViews>
    <sheetView showGridLines="0" showZeros="0" zoomScale="85" zoomScaleNormal="85" zoomScaleSheetLayoutView="100" workbookViewId="0">
      <pane ySplit="4" topLeftCell="A5" activePane="bottomLeft" state="frozen"/>
      <selection activeCell="AJ54" sqref="AJ54:AJ55"/>
      <selection pane="bottomLeft" activeCell="AJ54" sqref="AJ54:AJ55"/>
    </sheetView>
  </sheetViews>
  <sheetFormatPr defaultColWidth="2.25" defaultRowHeight="15.75" customHeight="1"/>
  <cols>
    <col min="1" max="2" width="2.25" style="24" customWidth="1"/>
    <col min="3" max="3" width="2.5" style="25" customWidth="1"/>
    <col min="4" max="4" width="2.25" style="25" customWidth="1"/>
    <col min="5" max="5" width="3.25" style="25" customWidth="1"/>
    <col min="6" max="9" width="2.25" style="24" customWidth="1"/>
    <col min="10" max="10" width="2.25" style="25" customWidth="1"/>
    <col min="11" max="16" width="2.25" style="24" customWidth="1"/>
    <col min="17" max="17" width="2.25" style="26" customWidth="1"/>
    <col min="18" max="62" width="2.25" style="24" customWidth="1"/>
    <col min="63" max="63" width="2.5" style="24" customWidth="1"/>
    <col min="64" max="16384" width="2.25" style="24"/>
  </cols>
  <sheetData>
    <row r="1" spans="1:86" s="4" customFormat="1" ht="15.75" customHeight="1">
      <c r="A1" s="458" t="str">
        <f>表紙!A54</f>
        <v>Webシステム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6"/>
      <c r="O1" s="931" t="s">
        <v>132</v>
      </c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3"/>
      <c r="AC1" s="918" t="s">
        <v>148</v>
      </c>
      <c r="AD1" s="919"/>
      <c r="AE1" s="919"/>
      <c r="AF1" s="919"/>
      <c r="AG1" s="919"/>
      <c r="AH1" s="919"/>
      <c r="AI1" s="920"/>
      <c r="AJ1" s="444" t="str">
        <f>表紙!AJ64</f>
        <v>MSBB</v>
      </c>
      <c r="AK1" s="784"/>
      <c r="AL1" s="784"/>
      <c r="AM1" s="784"/>
      <c r="AN1" s="784"/>
      <c r="AO1" s="784"/>
      <c r="AP1" s="785"/>
      <c r="AQ1" s="918" t="s">
        <v>135</v>
      </c>
      <c r="AR1" s="919"/>
      <c r="AS1" s="919"/>
      <c r="AT1" s="919"/>
      <c r="AU1" s="919"/>
      <c r="AV1" s="919"/>
      <c r="AW1" s="920"/>
      <c r="AX1" s="444" t="str">
        <f>表紙!AX64</f>
        <v>販売Webシステム</v>
      </c>
      <c r="AY1" s="784"/>
      <c r="AZ1" s="784"/>
      <c r="BA1" s="784"/>
      <c r="BB1" s="784"/>
      <c r="BC1" s="784"/>
      <c r="BD1" s="784"/>
      <c r="BE1" s="784"/>
      <c r="BF1" s="784"/>
      <c r="BG1" s="784"/>
      <c r="BH1" s="784"/>
      <c r="BI1" s="784"/>
      <c r="BJ1" s="784"/>
      <c r="BK1" s="785"/>
      <c r="BL1" s="921" t="s">
        <v>101</v>
      </c>
      <c r="BM1" s="922"/>
      <c r="BN1" s="922"/>
      <c r="BO1" s="922"/>
      <c r="BP1" s="922"/>
      <c r="BQ1" s="922"/>
      <c r="BR1" s="922"/>
      <c r="BS1" s="922"/>
      <c r="BT1" s="923"/>
      <c r="BU1" s="924" t="s">
        <v>124</v>
      </c>
      <c r="BV1" s="925"/>
      <c r="BW1" s="925"/>
      <c r="BX1" s="925"/>
      <c r="BY1" s="925"/>
      <c r="BZ1" s="925"/>
      <c r="CA1" s="926"/>
      <c r="CB1" s="924" t="s">
        <v>149</v>
      </c>
      <c r="CC1" s="925"/>
      <c r="CD1" s="925"/>
      <c r="CE1" s="925"/>
      <c r="CF1" s="925"/>
      <c r="CG1" s="925"/>
      <c r="CH1" s="927"/>
    </row>
    <row r="2" spans="1:86" s="4" customFormat="1" ht="15.75" customHeight="1">
      <c r="A2" s="767"/>
      <c r="B2" s="768"/>
      <c r="C2" s="768"/>
      <c r="D2" s="768"/>
      <c r="E2" s="768"/>
      <c r="F2" s="768"/>
      <c r="G2" s="768"/>
      <c r="H2" s="768"/>
      <c r="I2" s="768"/>
      <c r="J2" s="768"/>
      <c r="K2" s="768"/>
      <c r="L2" s="768"/>
      <c r="M2" s="768"/>
      <c r="N2" s="769"/>
      <c r="O2" s="429" t="str">
        <f ca="1">表紙!O65</f>
        <v>表紙</v>
      </c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80"/>
      <c r="AC2" s="928" t="s">
        <v>152</v>
      </c>
      <c r="AD2" s="929"/>
      <c r="AE2" s="929"/>
      <c r="AF2" s="929"/>
      <c r="AG2" s="929"/>
      <c r="AH2" s="929"/>
      <c r="AI2" s="930"/>
      <c r="AJ2" s="434" t="str">
        <f>表紙!AJ65</f>
        <v>MSBBPA120</v>
      </c>
      <c r="AK2" s="435"/>
      <c r="AL2" s="435"/>
      <c r="AM2" s="435"/>
      <c r="AN2" s="435"/>
      <c r="AO2" s="435"/>
      <c r="AP2" s="436"/>
      <c r="AQ2" s="928" t="s">
        <v>153</v>
      </c>
      <c r="AR2" s="929"/>
      <c r="AS2" s="929"/>
      <c r="AT2" s="929"/>
      <c r="AU2" s="929"/>
      <c r="AV2" s="929"/>
      <c r="AW2" s="930"/>
      <c r="AX2" s="437">
        <f>表紙!AX65</f>
        <v>0</v>
      </c>
      <c r="AY2" s="478"/>
      <c r="AZ2" s="478"/>
      <c r="BA2" s="478"/>
      <c r="BB2" s="478"/>
      <c r="BC2" s="478"/>
      <c r="BD2" s="478"/>
      <c r="BE2" s="478"/>
      <c r="BF2" s="478"/>
      <c r="BG2" s="478"/>
      <c r="BH2" s="478"/>
      <c r="BI2" s="478"/>
      <c r="BJ2" s="478"/>
      <c r="BK2" s="479"/>
      <c r="BL2" s="443">
        <f>表紙!BL65</f>
        <v>0</v>
      </c>
      <c r="BM2" s="430"/>
      <c r="BN2" s="430"/>
      <c r="BO2" s="430"/>
      <c r="BP2" s="430"/>
      <c r="BQ2" s="430"/>
      <c r="BR2" s="430"/>
      <c r="BS2" s="430"/>
      <c r="BT2" s="439"/>
      <c r="BU2" s="443">
        <f>表紙!BU65</f>
        <v>0</v>
      </c>
      <c r="BV2" s="430"/>
      <c r="BW2" s="430"/>
      <c r="BX2" s="430"/>
      <c r="BY2" s="430"/>
      <c r="BZ2" s="430"/>
      <c r="CA2" s="439"/>
      <c r="CB2" s="445">
        <f>表紙!CB65</f>
        <v>0</v>
      </c>
      <c r="CC2" s="430"/>
      <c r="CD2" s="430"/>
      <c r="CE2" s="430"/>
      <c r="CF2" s="430"/>
      <c r="CG2" s="430"/>
      <c r="CH2" s="446"/>
    </row>
    <row r="3" spans="1:86" s="4" customFormat="1" ht="15.75" customHeight="1" thickBot="1">
      <c r="A3" s="770"/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71"/>
      <c r="N3" s="772"/>
      <c r="O3" s="448" t="str">
        <f ca="1">RIGHT(CELL("filename",$A$1),LEN(CELL("filename",$A$1))-FIND("]",CELL("filename",$A$1)))</f>
        <v>補足説明資料</v>
      </c>
      <c r="P3" s="793"/>
      <c r="Q3" s="793"/>
      <c r="R3" s="793"/>
      <c r="S3" s="793"/>
      <c r="T3" s="793"/>
      <c r="U3" s="793"/>
      <c r="V3" s="793"/>
      <c r="W3" s="793"/>
      <c r="X3" s="793"/>
      <c r="Y3" s="793"/>
      <c r="Z3" s="793"/>
      <c r="AA3" s="793"/>
      <c r="AB3" s="794"/>
      <c r="AC3" s="934" t="s">
        <v>146</v>
      </c>
      <c r="AD3" s="935"/>
      <c r="AE3" s="935"/>
      <c r="AF3" s="935"/>
      <c r="AG3" s="935"/>
      <c r="AH3" s="935"/>
      <c r="AI3" s="936"/>
      <c r="AJ3" s="453">
        <f>表紙!AJ66</f>
        <v>0</v>
      </c>
      <c r="AK3" s="454"/>
      <c r="AL3" s="454"/>
      <c r="AM3" s="454"/>
      <c r="AN3" s="454"/>
      <c r="AO3" s="454"/>
      <c r="AP3" s="454"/>
      <c r="AQ3" s="455">
        <f>表紙!AQ66</f>
        <v>0</v>
      </c>
      <c r="AR3" s="455"/>
      <c r="AS3" s="455"/>
      <c r="AT3" s="455"/>
      <c r="AU3" s="455"/>
      <c r="AV3" s="455"/>
      <c r="AW3" s="455"/>
      <c r="AX3" s="455"/>
      <c r="AY3" s="455"/>
      <c r="AZ3" s="455"/>
      <c r="BA3" s="455"/>
      <c r="BB3" s="455"/>
      <c r="BC3" s="455"/>
      <c r="BD3" s="455"/>
      <c r="BE3" s="455"/>
      <c r="BF3" s="455"/>
      <c r="BG3" s="455"/>
      <c r="BH3" s="455"/>
      <c r="BI3" s="455"/>
      <c r="BJ3" s="455"/>
      <c r="BK3" s="798"/>
      <c r="BL3" s="440"/>
      <c r="BM3" s="441"/>
      <c r="BN3" s="441"/>
      <c r="BO3" s="441"/>
      <c r="BP3" s="441"/>
      <c r="BQ3" s="441"/>
      <c r="BR3" s="441"/>
      <c r="BS3" s="441"/>
      <c r="BT3" s="442"/>
      <c r="BU3" s="440"/>
      <c r="BV3" s="441"/>
      <c r="BW3" s="441"/>
      <c r="BX3" s="441"/>
      <c r="BY3" s="441"/>
      <c r="BZ3" s="441"/>
      <c r="CA3" s="442"/>
      <c r="CB3" s="440"/>
      <c r="CC3" s="441"/>
      <c r="CD3" s="441"/>
      <c r="CE3" s="441"/>
      <c r="CF3" s="441"/>
      <c r="CG3" s="441"/>
      <c r="CH3" s="447"/>
    </row>
    <row r="4" spans="1:86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6" s="93" customFormat="1">
      <c r="A5" s="90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 t="s">
        <v>599</v>
      </c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2"/>
    </row>
  </sheetData>
  <mergeCells count="21">
    <mergeCell ref="BU1:CA1"/>
    <mergeCell ref="CB1:CH1"/>
    <mergeCell ref="O2:AB2"/>
    <mergeCell ref="AC2:AI2"/>
    <mergeCell ref="AJ2:AP2"/>
    <mergeCell ref="AQ2:AW2"/>
    <mergeCell ref="AX2:BK2"/>
    <mergeCell ref="BL2:BT3"/>
    <mergeCell ref="BU2:CA3"/>
    <mergeCell ref="O1:AB1"/>
    <mergeCell ref="AC1:AI1"/>
    <mergeCell ref="AJ1:AP1"/>
    <mergeCell ref="CB2:CH3"/>
    <mergeCell ref="O3:AB3"/>
    <mergeCell ref="AC3:AI3"/>
    <mergeCell ref="AJ3:AP3"/>
    <mergeCell ref="AQ1:AW1"/>
    <mergeCell ref="AX1:BK1"/>
    <mergeCell ref="BL1:BT1"/>
    <mergeCell ref="A1:N3"/>
    <mergeCell ref="AQ3:BK3"/>
  </mergeCells>
  <phoneticPr fontId="8"/>
  <pageMargins left="0.51181102362204722" right="0.74803149606299213" top="0.70866141732283472" bottom="0.43307086614173229" header="0.51181102362204722" footer="0.19685039370078738"/>
  <pageSetup paperSize="9" scale="73" fitToHeight="0" orientation="landscape" r:id="rId1"/>
  <headerFooter alignWithMargins="0">
    <oddFooter>&amp;C&amp;"Meiryo UI,標準"&amp;10&amp;P&amp;L&amp;"Meiryo UI"&amp;10MABCP0280&amp;R&amp;"Meiryo UI,標準"&amp;10(C)Business Engineering Corp.[Confidential]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EVCTUWYQZQYC-538864054-26220</_dlc_DocId>
    <_dlc_DocIdUrl xmlns="276bdb53-d102-4a67-8437-273e78fbb7dc">
      <Url>https://mitsubishielectricgroup.sharepoint.com/sites/009989/_layouts/15/DocIdRedir.aspx?ID=EVCTUWYQZQYC-538864054-26220</Url>
      <Description>EVCTUWYQZQYC-538864054-26220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D8D3276-2B08-41E6-9F54-5DEEA79C3F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2EC9DB-4E26-4A27-A79E-4D00C0BEDD4B}">
  <ds:schemaRefs>
    <ds:schemaRef ds:uri="http://schemas.microsoft.com/office/2006/metadata/properties"/>
    <ds:schemaRef ds:uri="http://schemas.microsoft.com/office/infopath/2007/PartnerControls"/>
    <ds:schemaRef ds:uri="761a324b-5d78-44cf-b9f7-03e8b2a8fda7"/>
    <ds:schemaRef ds:uri="276bdb53-d102-4a67-8437-273e78fbb7dc"/>
  </ds:schemaRefs>
</ds:datastoreItem>
</file>

<file path=customXml/itemProps3.xml><?xml version="1.0" encoding="utf-8"?>
<ds:datastoreItem xmlns:ds="http://schemas.openxmlformats.org/officeDocument/2006/customXml" ds:itemID="{F87ED714-E9FA-4276-A2E2-8DEB9327DB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47F8B9-C6C0-4EEB-A89E-0CBBC247AA2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47</vt:i4>
      </vt:variant>
    </vt:vector>
  </HeadingPairs>
  <TitlesOfParts>
    <vt:vector size="63" baseType="lpstr">
      <vt:lpstr>目次</vt:lpstr>
      <vt:lpstr>表紙</vt:lpstr>
      <vt:lpstr>改訂</vt:lpstr>
      <vt:lpstr>概要</vt:lpstr>
      <vt:lpstr>画面イメージ</vt:lpstr>
      <vt:lpstr>項目説明</vt:lpstr>
      <vt:lpstr>引数説明</vt:lpstr>
      <vt:lpstr>画面遷移</vt:lpstr>
      <vt:lpstr>処理概要</vt:lpstr>
      <vt:lpstr>処理詳細</vt:lpstr>
      <vt:lpstr>処理・サービス関連図</vt:lpstr>
      <vt:lpstr>検索入出力仕様</vt:lpstr>
      <vt:lpstr>更新入出力仕様</vt:lpstr>
      <vt:lpstr>ファイル入出力仕様</vt:lpstr>
      <vt:lpstr>メッセージ一覧</vt:lpstr>
      <vt:lpstr>補足説明資料</vt:lpstr>
      <vt:lpstr>引数説明!_FilterDatabase</vt:lpstr>
      <vt:lpstr>項目説明!_FilterDatabase</vt:lpstr>
      <vt:lpstr>ファイル入出力仕様!Print_Area</vt:lpstr>
      <vt:lpstr>メッセージ一覧!Print_Area</vt:lpstr>
      <vt:lpstr>引数説明!Print_Area</vt:lpstr>
      <vt:lpstr>画面イメージ!Print_Area</vt:lpstr>
      <vt:lpstr>画面遷移!Print_Area</vt:lpstr>
      <vt:lpstr>概要!Print_Area</vt:lpstr>
      <vt:lpstr>検索入出力仕様!Print_Area</vt:lpstr>
      <vt:lpstr>更新入出力仕様!Print_Area</vt:lpstr>
      <vt:lpstr>項目説明!Print_Area</vt:lpstr>
      <vt:lpstr>処理・サービス関連図!Print_Area</vt:lpstr>
      <vt:lpstr>処理概要!Print_Area</vt:lpstr>
      <vt:lpstr>処理詳細!Print_Area</vt:lpstr>
      <vt:lpstr>表紙!Print_Area</vt:lpstr>
      <vt:lpstr>補足説明資料!Print_Area</vt:lpstr>
      <vt:lpstr>ファイル入出力仕様!Print_Titles</vt:lpstr>
      <vt:lpstr>メッセージ一覧!Print_Titles</vt:lpstr>
      <vt:lpstr>引数説明!Print_Titles</vt:lpstr>
      <vt:lpstr>画面イメージ!Print_Titles</vt:lpstr>
      <vt:lpstr>画面遷移!Print_Titles</vt:lpstr>
      <vt:lpstr>概要!Print_Titles</vt:lpstr>
      <vt:lpstr>検索入出力仕様!Print_Titles</vt:lpstr>
      <vt:lpstr>更新入出力仕様!Print_Titles</vt:lpstr>
      <vt:lpstr>項目説明!Print_Titles</vt:lpstr>
      <vt:lpstr>処理・サービス関連図!Print_Titles</vt:lpstr>
      <vt:lpstr>処理概要!Print_Titles</vt:lpstr>
      <vt:lpstr>処理詳細!Print_Titles</vt:lpstr>
      <vt:lpstr>補足説明資料!Print_Titles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野村 将樹</cp:lastModifiedBy>
  <cp:revision/>
  <dcterms:created xsi:type="dcterms:W3CDTF">1997-07-09T00:24:33Z</dcterms:created>
  <dcterms:modified xsi:type="dcterms:W3CDTF">2023-01-10T03:12:22Z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280dc5b7-ba3a-4bea-a4c3-a909084e5399</vt:lpwstr>
  </property>
  <property fmtid="{D5CDD505-2E9C-101B-9397-08002B2CF9AE}" pid="4" name="MediaServiceImageTags">
    <vt:lpwstr/>
  </property>
</Properties>
</file>