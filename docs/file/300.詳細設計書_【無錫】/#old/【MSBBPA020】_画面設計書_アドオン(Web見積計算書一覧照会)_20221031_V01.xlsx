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Override PartName="/xl/comments1.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omments2.xml" ContentType="application/vnd.openxmlformats-officedocument.spreadsheetml.comment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25"/>
  <workbookPr codeName="ThisWorkbook"/>
  <mc:AlternateContent xmlns:mc="http://schemas.openxmlformats.org/markup-compatibility/2006">
    <mc:Choice Requires="x15">
      <x15ac:absPath xmlns:x15ac="http://schemas.microsoft.com/office/spreadsheetml/2010/11/ac" url="C:\Users\nomurama\Desktop\CP_20221102\"/>
    </mc:Choice>
  </mc:AlternateContent>
  <xr:revisionPtr revIDLastSave="0" documentId="13_ncr:1_{0B71171C-1CAC-4978-BEC0-5A126598B418}" xr6:coauthVersionLast="47" xr6:coauthVersionMax="47" xr10:uidLastSave="{00000000-0000-0000-0000-000000000000}"/>
  <bookViews>
    <workbookView xWindow="-120" yWindow="-120" windowWidth="29040" windowHeight="15525" tabRatio="726" firstSheet="6" activeTab="6" xr2:uid="{00000000-000D-0000-FFFF-FFFF00000000}"/>
  </bookViews>
  <sheets>
    <sheet name="目次" sheetId="124" state="hidden" r:id="rId1"/>
    <sheet name="表紙" sheetId="106" r:id="rId2"/>
    <sheet name="改訂" sheetId="107" r:id="rId3"/>
    <sheet name="概要" sheetId="98" r:id="rId4"/>
    <sheet name="画面イメージ" sheetId="102" r:id="rId5"/>
    <sheet name="旧レイアウト" sheetId="127" state="hidden" r:id="rId6"/>
    <sheet name="項目説明" sheetId="100" r:id="rId7"/>
    <sheet name="引数説明" sheetId="114" state="hidden" r:id="rId8"/>
    <sheet name="処理概要" sheetId="125" r:id="rId9"/>
    <sheet name="処理詳細" sheetId="126" state="hidden" r:id="rId10"/>
    <sheet name="処理・サービス関連図" sheetId="117" r:id="rId11"/>
    <sheet name="検索入出力仕様" sheetId="120" r:id="rId12"/>
    <sheet name="更新入出力仕様" sheetId="119" state="hidden" r:id="rId13"/>
    <sheet name="ファイル入出力仕様" sheetId="123" r:id="rId14"/>
    <sheet name="画面遷移" sheetId="129" r:id="rId15"/>
    <sheet name="メッセージ一覧" sheetId="128" r:id="rId16"/>
    <sheet name="補足説明資料" sheetId="112" state="hidden" r:id="rId17"/>
  </sheets>
  <definedNames>
    <definedName name="_xlnm._FilterDatabase" localSheetId="7">引数説明!$A$5:$BK$34</definedName>
    <definedName name="_xlnm._FilterDatabase" localSheetId="6">項目説明!$A$6:$BK$16</definedName>
    <definedName name="_xlnm.Print_Area" localSheetId="13">ファイル入出力仕様!$A$1:$BK$28</definedName>
    <definedName name="_xlnm.Print_Area" localSheetId="15">メッセージ一覧!$A$1:$BK$43</definedName>
    <definedName name="_xlnm.Print_Area" localSheetId="7">引数説明!$A$1:$BK$35</definedName>
    <definedName name="_xlnm.Print_Area" localSheetId="4">画面イメージ!$A$1:$CV$182</definedName>
    <definedName name="_xlnm.Print_Area" localSheetId="14">画面遷移!$A$1:$CH$37</definedName>
    <definedName name="_xlnm.Print_Area" localSheetId="3">概要!$A$1:$CH$34</definedName>
    <definedName name="_xlnm.Print_Area" localSheetId="5">旧レイアウト!$A$1:$BK$5</definedName>
    <definedName name="_xlnm.Print_Area" localSheetId="11">検索入出力仕様!$A$1:$BK$29</definedName>
    <definedName name="_xlnm.Print_Area" localSheetId="12">更新入出力仕様!$A$1:$BK$4</definedName>
    <definedName name="_xlnm.Print_Area" localSheetId="6">項目説明!$A$1:$BK$90</definedName>
    <definedName name="_xlnm.Print_Area" localSheetId="10">処理・サービス関連図!$A$1:$BK$30</definedName>
    <definedName name="_xlnm.Print_Area" localSheetId="8">処理概要!$A$1:$BK$52</definedName>
    <definedName name="_xlnm.Print_Area" localSheetId="9">処理詳細!$A$1:$BK$33</definedName>
    <definedName name="_xlnm.Print_Area" localSheetId="1">表紙!$A$1:$AV$45</definedName>
    <definedName name="_xlnm.Print_Area" localSheetId="16">補足説明資料!$A$1:$CH$5</definedName>
    <definedName name="_xlnm.Print_Titles" localSheetId="13">ファイル入出力仕様!$1:$4</definedName>
    <definedName name="_xlnm.Print_Titles" localSheetId="15">メッセージ一覧!$1:$3</definedName>
    <definedName name="_xlnm.Print_Titles" localSheetId="7">引数説明!$1:$4</definedName>
    <definedName name="_xlnm.Print_Titles" localSheetId="4">画面イメージ!$1:$4</definedName>
    <definedName name="_xlnm.Print_Titles" localSheetId="14">画面遷移!$1:$4</definedName>
    <definedName name="_xlnm.Print_Titles" localSheetId="3">概要!$1:$4</definedName>
    <definedName name="_xlnm.Print_Titles" localSheetId="5">旧レイアウト!$1:$4</definedName>
    <definedName name="_xlnm.Print_Titles" localSheetId="11">検索入出力仕様!$1:$4</definedName>
    <definedName name="_xlnm.Print_Titles" localSheetId="12">更新入出力仕様!$1:$4</definedName>
    <definedName name="_xlnm.Print_Titles" localSheetId="6">項目説明!$1:$4</definedName>
    <definedName name="_xlnm.Print_Titles" localSheetId="10">処理・サービス関連図!$1:$4</definedName>
    <definedName name="_xlnm.Print_Titles" localSheetId="8">処理概要!$1:$4</definedName>
    <definedName name="_xlnm.Print_Titles" localSheetId="9">処理詳細!$1:$4</definedName>
    <definedName name="_xlnm.Print_Titles" localSheetId="16">補足説明資料!$1:$4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29" l="1"/>
  <c r="Z3" i="129"/>
  <c r="K3" i="129"/>
  <c r="BF2" i="129"/>
  <c r="AZ2" i="129"/>
  <c r="AS2" i="129"/>
  <c r="AJ2" i="129"/>
  <c r="Z2" i="129"/>
  <c r="K2" i="129"/>
  <c r="AJ1" i="129"/>
  <c r="Z1" i="129"/>
  <c r="A1" i="129"/>
  <c r="AE3" i="128" l="1"/>
  <c r="Z3" i="128"/>
  <c r="K3" i="128"/>
  <c r="BF2" i="128"/>
  <c r="AZ2" i="128"/>
  <c r="AS2" i="128"/>
  <c r="AJ2" i="128"/>
  <c r="Z2" i="128"/>
  <c r="AJ1" i="128"/>
  <c r="Z1" i="128"/>
  <c r="A1" i="128"/>
  <c r="AE3" i="127" l="1"/>
  <c r="K3" i="127"/>
  <c r="BF2" i="127"/>
  <c r="AZ2" i="127"/>
  <c r="AS2" i="127"/>
  <c r="Z2" i="127"/>
  <c r="Z1" i="127"/>
  <c r="A1" i="127"/>
  <c r="BF2" i="126"/>
  <c r="AZ2" i="126"/>
  <c r="AS2" i="126"/>
  <c r="Z2" i="126"/>
  <c r="Z1" i="126"/>
  <c r="A1" i="126"/>
  <c r="BF2" i="125"/>
  <c r="AZ2" i="125"/>
  <c r="AS2" i="125"/>
  <c r="Z2" i="125"/>
  <c r="Z1" i="125"/>
  <c r="A1" i="125"/>
  <c r="K3" i="126"/>
  <c r="K3" i="125"/>
  <c r="A1" i="112"/>
  <c r="A1" i="123"/>
  <c r="A1" i="119"/>
  <c r="A1" i="120"/>
  <c r="A1" i="117"/>
  <c r="A1" i="114"/>
  <c r="A1" i="100"/>
  <c r="A1" i="102"/>
  <c r="A1" i="98"/>
  <c r="K3" i="123"/>
  <c r="AZ2" i="123"/>
  <c r="K3" i="120" l="1"/>
  <c r="AZ2" i="120"/>
  <c r="K3" i="119"/>
  <c r="AZ2" i="119"/>
  <c r="K3" i="117" l="1"/>
  <c r="AZ2" i="117"/>
  <c r="K3" i="114"/>
  <c r="AZ2" i="114"/>
  <c r="AQ3" i="112" l="1"/>
  <c r="AJ3" i="112"/>
  <c r="CB2" i="112"/>
  <c r="BU2" i="112"/>
  <c r="BL2" i="112"/>
  <c r="AX2" i="112"/>
  <c r="O3" i="112"/>
  <c r="AZ2" i="100" l="1"/>
  <c r="AZ2" i="102"/>
  <c r="BU2" i="98"/>
  <c r="K3" i="100"/>
  <c r="K3" i="102"/>
  <c r="O3" i="98"/>
  <c r="BJ1" i="107" l="1"/>
  <c r="O65" i="106"/>
  <c r="O2" i="112" s="1"/>
  <c r="CB64" i="106" a="1"/>
  <c r="CB64" i="106" s="1"/>
  <c r="AE60" i="106"/>
  <c r="AQ65" i="106" s="1"/>
  <c r="Z60" i="106"/>
  <c r="AJ65" i="106" s="1"/>
  <c r="K60" i="106"/>
  <c r="BF59" i="106"/>
  <c r="AZ59" i="106"/>
  <c r="AS59" i="106"/>
  <c r="BL64" i="106" s="1"/>
  <c r="AJ59" i="106"/>
  <c r="AX64" i="106" s="1"/>
  <c r="Z59" i="106"/>
  <c r="AJ64" i="106" s="1"/>
  <c r="K59" i="106"/>
  <c r="O64" i="106" s="1"/>
  <c r="AJ58" i="106"/>
  <c r="AX63" i="106" s="1"/>
  <c r="Z58" i="106"/>
  <c r="AJ63" i="106" s="1"/>
  <c r="A58" i="106"/>
  <c r="A63" i="106" s="1"/>
  <c r="U32" i="106"/>
  <c r="U30" i="106"/>
  <c r="U22" i="106" a="1"/>
  <c r="U22" i="106" s="1"/>
  <c r="K2" i="127" l="1"/>
  <c r="K2" i="128"/>
  <c r="Z3" i="125"/>
  <c r="Z3" i="127"/>
  <c r="Z3" i="126"/>
  <c r="AJ1" i="127"/>
  <c r="AJ1" i="126"/>
  <c r="AJ1" i="125"/>
  <c r="AJ2" i="127"/>
  <c r="AJ2" i="126"/>
  <c r="AJ2" i="125"/>
  <c r="AE3" i="126"/>
  <c r="AE3" i="125"/>
  <c r="K2" i="125"/>
  <c r="K2" i="126"/>
  <c r="BF2" i="123"/>
  <c r="BF2" i="120"/>
  <c r="BF2" i="119"/>
  <c r="BF2" i="114"/>
  <c r="BF2" i="117"/>
  <c r="Z3" i="123"/>
  <c r="Z3" i="120"/>
  <c r="Z3" i="119"/>
  <c r="Z3" i="114"/>
  <c r="Z3" i="117"/>
  <c r="AJ2" i="112"/>
  <c r="AE3" i="123"/>
  <c r="AE3" i="120"/>
  <c r="AE3" i="119"/>
  <c r="AE3" i="117"/>
  <c r="AE3" i="114"/>
  <c r="Z1" i="123"/>
  <c r="Z1" i="120"/>
  <c r="Z1" i="119"/>
  <c r="Z1" i="114"/>
  <c r="Z1" i="117"/>
  <c r="Z2" i="123"/>
  <c r="Z2" i="119"/>
  <c r="Z2" i="120"/>
  <c r="Z2" i="114"/>
  <c r="Z2" i="117"/>
  <c r="AJ1" i="112"/>
  <c r="AJ1" i="123"/>
  <c r="AJ1" i="120"/>
  <c r="AJ1" i="119"/>
  <c r="AJ1" i="117"/>
  <c r="AJ1" i="114"/>
  <c r="AJ2" i="123"/>
  <c r="AJ2" i="119"/>
  <c r="AJ2" i="120"/>
  <c r="AJ2" i="114"/>
  <c r="AJ2" i="117"/>
  <c r="AX1" i="112"/>
  <c r="AS2" i="123"/>
  <c r="AS2" i="120"/>
  <c r="AS2" i="119"/>
  <c r="AS2" i="114"/>
  <c r="AS2" i="117"/>
  <c r="K2" i="123"/>
  <c r="K2" i="119"/>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BE90258F-6029-47A1-B377-48EAE2961E61}">
      <text>
        <r>
          <rPr>
            <b/>
            <sz val="9"/>
            <color indexed="81"/>
            <rFont val="MS P ゴシック"/>
            <family val="3"/>
            <charset val="128"/>
          </rPr>
          <t>大分類見出し：緑
項目見出し：グレー</t>
        </r>
      </text>
    </comment>
    <comment ref="AP11" authorId="0" shapeId="0" xr:uid="{B133A575-D4FC-471B-8200-96B4071D621E}">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DC0CFD18-2830-4150-B9C6-D7C3177BFF8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460DC11-C08B-4DA4-B4B3-700D5B8135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81D0EFF-9C24-43B3-A46B-EB40AAE4DE3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8A0C1387-E4C3-4DEE-B954-32C34FDE7879}">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6135FF5B-67BB-43AA-8233-E4E058281C27}">
      <text>
        <r>
          <rPr>
            <b/>
            <sz val="9"/>
            <color indexed="81"/>
            <rFont val="MS P ゴシック"/>
            <family val="3"/>
            <charset val="128"/>
          </rPr>
          <t>検索、追加、更新、削除など</t>
        </r>
      </text>
    </comment>
    <comment ref="C8" authorId="1" shapeId="0" xr:uid="{2CA7BE97-890A-4840-BD5A-B89B8CCCB94E}">
      <text>
        <r>
          <rPr>
            <b/>
            <sz val="9"/>
            <color indexed="81"/>
            <rFont val="ＭＳ Ｐゴシック"/>
            <family val="3"/>
            <charset val="128"/>
          </rPr>
          <t>画面オブジェクト
　→「画」
DBテーブル
　→「T」
ファイル
　→「フ」
帳票（xmlフォーム、帳票CSV）
　→「帳」</t>
        </r>
      </text>
    </comment>
    <comment ref="V8" authorId="1" shapeId="0" xr:uid="{90720CA1-AEEB-40D2-9086-FA38D64ED9F8}">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<sst xmlns="http://schemas.openxmlformats.org/spreadsheetml/2006/main" count="2346" uniqueCount="687">
  <si>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</si>
  <si>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</si>
  <si>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</si>
  <si>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</si>
  <si>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</si>
  <si>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</si>
  <si>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</si>
  <si>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</si>
  <si>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</si>
  <si>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8"/>
  </si>
  <si>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</si>
  <si>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8"/>
  </si>
  <si>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</si>
  <si>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8"/>
  </si>
  <si>
    <t>‐</t>
  </si>
  <si>
    <t>不要</t>
  </si>
  <si>
    <t>ソフトウェア設計フェーズで作成</t>
    <rPh sb="6" eb="8">
      <t>セッケイ</t>
    </rPh>
    <rPh sb="13" eb="15">
      <t>サクセイ</t>
    </rPh>
    <phoneticPr fontId="8"/>
  </si>
  <si>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</si>
  <si>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</si>
  <si>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</si>
  <si>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8"/>
  </si>
  <si>
    <t>バッチ設計書</t>
    <rPh sb="3" eb="6">
      <t>セッケイショ</t>
    </rPh>
    <phoneticPr fontId="8"/>
  </si>
  <si>
    <t>帳票設計書</t>
    <rPh sb="0" eb="2">
      <t>チョウヒョウ</t>
    </rPh>
    <rPh sb="2" eb="5">
      <t>セッケイショ</t>
    </rPh>
    <phoneticPr fontId="8"/>
  </si>
  <si>
    <t>ＢＩ設計書</t>
    <rPh sb="2" eb="5">
      <t>セッケイショ</t>
    </rPh>
    <phoneticPr fontId="8"/>
  </si>
  <si>
    <t>.Net設計書</t>
    <rPh sb="4" eb="7">
      <t>セッケイショ</t>
    </rPh>
    <phoneticPr fontId="8"/>
  </si>
  <si>
    <t>WebDB設計書</t>
    <rPh sb="5" eb="8">
      <t>セッケイショ</t>
    </rPh>
    <phoneticPr fontId="8"/>
  </si>
  <si>
    <t>帳票設計書</t>
    <rPh sb="0" eb="2">
      <t>チョウヒョウ</t>
    </rPh>
    <rPh sb="2" eb="5">
      <t>セッケイショ</t>
    </rPh>
    <phoneticPr fontId="72"/>
  </si>
  <si>
    <t>汎用申請設計書</t>
    <rPh sb="4" eb="7">
      <t>セッケイショ</t>
    </rPh>
    <phoneticPr fontId="8"/>
  </si>
  <si>
    <t>カスタマイズ</t>
    <phoneticPr fontId="8"/>
  </si>
  <si>
    <t>アドオン</t>
    <phoneticPr fontId="8"/>
  </si>
  <si>
    <t>アドオン</t>
    <phoneticPr fontId="72"/>
  </si>
  <si>
    <t>概要</t>
    <rPh sb="0" eb="2">
      <t>ガイヨウ</t>
    </rPh>
    <phoneticPr fontId="8"/>
  </si>
  <si>
    <t>◎</t>
    <phoneticPr fontId="8"/>
  </si>
  <si>
    <t>※1</t>
    <phoneticPr fontId="72"/>
  </si>
  <si>
    <t>機能概要</t>
  </si>
  <si>
    <t>◎</t>
    <phoneticPr fontId="72"/>
  </si>
  <si>
    <t>レイアウト</t>
    <phoneticPr fontId="8"/>
  </si>
  <si>
    <t>※2</t>
    <phoneticPr fontId="72"/>
  </si>
  <si>
    <t>‐</t>
    <phoneticPr fontId="8"/>
  </si>
  <si>
    <t>アプリケーションフロー</t>
  </si>
  <si>
    <t>ー</t>
    <phoneticPr fontId="72"/>
  </si>
  <si>
    <t>項目説明</t>
    <rPh sb="0" eb="2">
      <t>コウモク</t>
    </rPh>
    <rPh sb="2" eb="4">
      <t>セツメイ</t>
    </rPh>
    <phoneticPr fontId="8"/>
  </si>
  <si>
    <t>△</t>
    <phoneticPr fontId="8"/>
  </si>
  <si>
    <t>○</t>
    <phoneticPr fontId="8"/>
  </si>
  <si>
    <t>データベース設定</t>
  </si>
  <si>
    <t>引数説明</t>
    <rPh sb="0" eb="2">
      <t>ヒキスウ</t>
    </rPh>
    <rPh sb="2" eb="4">
      <t>セツメイ</t>
    </rPh>
    <phoneticPr fontId="8"/>
  </si>
  <si>
    <t>フィールド設定</t>
  </si>
  <si>
    <t>処理概要</t>
    <rPh sb="0" eb="2">
      <t>ショリ</t>
    </rPh>
    <rPh sb="2" eb="4">
      <t>ガイヨウ</t>
    </rPh>
    <phoneticPr fontId="72"/>
  </si>
  <si>
    <t>一覧表示画面設定</t>
  </si>
  <si>
    <t>処理詳細</t>
    <rPh sb="0" eb="2">
      <t>ショリ</t>
    </rPh>
    <rPh sb="2" eb="4">
      <t>ショウサイ</t>
    </rPh>
    <phoneticPr fontId="8"/>
  </si>
  <si>
    <t>表示編集画面設定</t>
  </si>
  <si>
    <t>処理・サービス関連図</t>
    <rPh sb="0" eb="2">
      <t>ショリ</t>
    </rPh>
    <rPh sb="7" eb="9">
      <t>カンレン</t>
    </rPh>
    <rPh sb="9" eb="10">
      <t>ズ</t>
    </rPh>
    <phoneticPr fontId="8"/>
  </si>
  <si>
    <t>明細画面設定</t>
  </si>
  <si>
    <t>△</t>
    <phoneticPr fontId="72"/>
  </si>
  <si>
    <t>※3</t>
    <phoneticPr fontId="72"/>
  </si>
  <si>
    <t>検索入出力仕様</t>
    <rPh sb="0" eb="2">
      <t>ケンサク</t>
    </rPh>
    <rPh sb="2" eb="5">
      <t>ニュウシュツリョク</t>
    </rPh>
    <rPh sb="5" eb="7">
      <t>シヨウ</t>
    </rPh>
    <phoneticPr fontId="8"/>
  </si>
  <si>
    <t>集計表示設定</t>
    <phoneticPr fontId="72"/>
  </si>
  <si>
    <t>※4</t>
    <phoneticPr fontId="72"/>
  </si>
  <si>
    <t>更新入出力仕様</t>
    <rPh sb="0" eb="2">
      <t>コウシン</t>
    </rPh>
    <rPh sb="2" eb="5">
      <t>ニュウシュツリョク</t>
    </rPh>
    <rPh sb="5" eb="7">
      <t>シヨウ</t>
    </rPh>
    <phoneticPr fontId="8"/>
  </si>
  <si>
    <t>絞り込み条件設定</t>
  </si>
  <si>
    <t>※5</t>
    <phoneticPr fontId="72"/>
  </si>
  <si>
    <t>ファイル入出力仕様</t>
    <rPh sb="4" eb="7">
      <t>ニュウシュツリョク</t>
    </rPh>
    <rPh sb="7" eb="9">
      <t>シヨウ</t>
    </rPh>
    <phoneticPr fontId="8"/>
  </si>
  <si>
    <t>その他設定</t>
  </si>
  <si>
    <t>画面遷移</t>
    <rPh sb="0" eb="2">
      <t>ガメン</t>
    </rPh>
    <rPh sb="2" eb="4">
      <t>センイ</t>
    </rPh>
    <phoneticPr fontId="8"/>
  </si>
  <si>
    <t>帳票イメージ</t>
    <rPh sb="0" eb="2">
      <t>チョウヒョウ</t>
    </rPh>
    <phoneticPr fontId="72"/>
  </si>
  <si>
    <t>メッセージ一覧</t>
    <rPh sb="5" eb="7">
      <t>イチラン</t>
    </rPh>
    <phoneticPr fontId="8"/>
  </si>
  <si>
    <t>項目設計</t>
    <rPh sb="0" eb="2">
      <t>コウモク</t>
    </rPh>
    <rPh sb="2" eb="4">
      <t>セッケイ</t>
    </rPh>
    <phoneticPr fontId="72"/>
  </si>
  <si>
    <t>補足説明</t>
    <rPh sb="0" eb="4">
      <t>ホソクセツメイ</t>
    </rPh>
    <phoneticPr fontId="8"/>
  </si>
  <si>
    <t>補足説明</t>
    <phoneticPr fontId="72"/>
  </si>
  <si>
    <t>サービス呼出編集仕様</t>
    <rPh sb="4" eb="6">
      <t>ヨビダシ</t>
    </rPh>
    <rPh sb="6" eb="8">
      <t>ヘンシュウ</t>
    </rPh>
    <rPh sb="8" eb="10">
      <t>シヨウ</t>
    </rPh>
    <phoneticPr fontId="8"/>
  </si>
  <si>
    <t>-</t>
    <phoneticPr fontId="8"/>
  </si>
  <si>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</si>
  <si>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</si>
  <si>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</si>
  <si>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</si>
  <si>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</si>
  <si>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</si>
  <si>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</si>
  <si>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8"/>
  </si>
  <si>
    <t>MA_マスタ管理</t>
  </si>
  <si>
    <t>MB_業務共通</t>
  </si>
  <si>
    <t>MG_原価管理</t>
  </si>
  <si>
    <t>MSBA_需給管理</t>
  </si>
  <si>
    <t>基本設計</t>
    <rPh sb="0" eb="2">
      <t>キホン</t>
    </rPh>
    <rPh sb="2" eb="4">
      <t>セッケイ</t>
    </rPh>
    <phoneticPr fontId="8"/>
  </si>
  <si>
    <t>MSBB_販売管理</t>
  </si>
  <si>
    <t>MSBC_生産管理</t>
  </si>
  <si>
    <t>MSBD_購買管理</t>
  </si>
  <si>
    <t>アドオン設計書</t>
    <phoneticPr fontId="8"/>
  </si>
  <si>
    <t>MSBE_在庫物流管理</t>
  </si>
  <si>
    <t>MSBF_品質管理</t>
  </si>
  <si>
    <t>MSBG_債権管理</t>
  </si>
  <si>
    <t>MSBH_債務管理</t>
  </si>
  <si>
    <t>MSBI_締処理</t>
  </si>
  <si>
    <t>MSUA_リスト・入力補助</t>
  </si>
  <si>
    <t>顧客</t>
    <rPh sb="0" eb="2">
      <t>コキャク</t>
    </rPh>
    <phoneticPr fontId="8"/>
  </si>
  <si>
    <t>株式会社クラウン・パッケージ</t>
    <rPh sb="0" eb="4">
      <t>カブシキガイシャ</t>
    </rPh>
    <phoneticPr fontId="8"/>
  </si>
  <si>
    <t>PF_ESBアダプタ</t>
  </si>
  <si>
    <t>プロジェクト名</t>
    <rPh sb="6" eb="7">
      <t>メイ</t>
    </rPh>
    <phoneticPr fontId="8"/>
  </si>
  <si>
    <t>基幹システム刷新PJ</t>
    <rPh sb="0" eb="2">
      <t>キカン</t>
    </rPh>
    <rPh sb="6" eb="8">
      <t>サッシン</t>
    </rPh>
    <phoneticPr fontId="8"/>
  </si>
  <si>
    <t>機能区分</t>
    <rPh sb="0" eb="2">
      <t>キノウ</t>
    </rPh>
    <rPh sb="2" eb="4">
      <t>クブン</t>
    </rPh>
    <phoneticPr fontId="8"/>
  </si>
  <si>
    <t>画面</t>
    <rPh sb="0" eb="2">
      <t>ガメン</t>
    </rPh>
    <phoneticPr fontId="8"/>
  </si>
  <si>
    <t>文書番号</t>
    <rPh sb="0" eb="2">
      <t>ブンショ</t>
    </rPh>
    <rPh sb="2" eb="4">
      <t>バンゴウ</t>
    </rPh>
    <phoneticPr fontId="8"/>
  </si>
  <si>
    <t>帳票</t>
    <rPh sb="0" eb="2">
      <t>チョウヒョウ</t>
    </rPh>
    <phoneticPr fontId="8"/>
  </si>
  <si>
    <t>バッチ</t>
    <phoneticPr fontId="8"/>
  </si>
  <si>
    <t>Ｒｅｖ．</t>
    <phoneticPr fontId="8"/>
  </si>
  <si>
    <t>マスタ</t>
    <phoneticPr fontId="8"/>
  </si>
  <si>
    <t>機密性区分</t>
    <rPh sb="0" eb="2">
      <t>キミツ</t>
    </rPh>
    <rPh sb="2" eb="3">
      <t>セイ</t>
    </rPh>
    <rPh sb="3" eb="5">
      <t>クブン</t>
    </rPh>
    <phoneticPr fontId="8"/>
  </si>
  <si>
    <t>取扱注意（Ｃ）</t>
    <rPh sb="0" eb="2">
      <t>トリアツカ</t>
    </rPh>
    <rPh sb="2" eb="4">
      <t>チュウイ</t>
    </rPh>
    <phoneticPr fontId="8"/>
  </si>
  <si>
    <t>開発区分</t>
    <rPh sb="0" eb="2">
      <t>カイハツ</t>
    </rPh>
    <rPh sb="2" eb="4">
      <t>クブン</t>
    </rPh>
    <phoneticPr fontId="8"/>
  </si>
  <si>
    <t>システム名</t>
    <rPh sb="4" eb="5">
      <t>メイ</t>
    </rPh>
    <phoneticPr fontId="8"/>
  </si>
  <si>
    <t>Webシステム</t>
    <phoneticPr fontId="8"/>
  </si>
  <si>
    <t>Ver.</t>
    <phoneticPr fontId="8"/>
  </si>
  <si>
    <t>7.0.2</t>
    <phoneticPr fontId="8"/>
  </si>
  <si>
    <t>－</t>
    <phoneticPr fontId="8"/>
  </si>
  <si>
    <t>MSBB_販売管理</t>
    <phoneticPr fontId="8"/>
  </si>
  <si>
    <t>機能名</t>
    <rPh sb="0" eb="2">
      <t>キノウ</t>
    </rPh>
    <rPh sb="2" eb="3">
      <t>メイ</t>
    </rPh>
    <phoneticPr fontId="8"/>
  </si>
  <si>
    <t>機能ID</t>
    <rPh sb="0" eb="2">
      <t>キノウ</t>
    </rPh>
    <phoneticPr fontId="8"/>
  </si>
  <si>
    <t>アドオン</t>
  </si>
  <si>
    <t>作成</t>
    <rPh sb="0" eb="2">
      <t>サクセイ</t>
    </rPh>
    <phoneticPr fontId="8"/>
  </si>
  <si>
    <t>最終更新</t>
    <rPh sb="0" eb="2">
      <t>サイシュウ</t>
    </rPh>
    <rPh sb="2" eb="4">
      <t>コウシン</t>
    </rPh>
    <phoneticPr fontId="8"/>
  </si>
  <si>
    <t>ご確認</t>
    <rPh sb="1" eb="3">
      <t>カクニン</t>
    </rPh>
    <phoneticPr fontId="8"/>
  </si>
  <si>
    <t>MDSOL</t>
  </si>
  <si>
    <t>画面ID</t>
    <rPh sb="0" eb="2">
      <t>ガメン</t>
    </rPh>
    <phoneticPr fontId="8"/>
  </si>
  <si>
    <t>画面名</t>
    <rPh sb="0" eb="2">
      <t>ガメン</t>
    </rPh>
    <rPh sb="2" eb="3">
      <t>メイ</t>
    </rPh>
    <phoneticPr fontId="8"/>
  </si>
  <si>
    <t>Version</t>
    <phoneticPr fontId="8"/>
  </si>
  <si>
    <t>Revision</t>
    <phoneticPr fontId="8"/>
  </si>
  <si>
    <t>M7-US-1140</t>
    <phoneticPr fontId="8"/>
  </si>
  <si>
    <t>MSBBPA020</t>
    <phoneticPr fontId="8"/>
  </si>
  <si>
    <t>Web見積計算書一覧照会</t>
    <phoneticPr fontId="8"/>
  </si>
  <si>
    <t>1.0.0</t>
    <phoneticPr fontId="8"/>
  </si>
  <si>
    <t>r01.00</t>
    <phoneticPr fontId="8"/>
  </si>
  <si>
    <t>共通（元データ）</t>
    <rPh sb="0" eb="2">
      <t>キョウツウ</t>
    </rPh>
    <rPh sb="3" eb="4">
      <t>モト</t>
    </rPh>
    <phoneticPr fontId="8"/>
  </si>
  <si>
    <t>文書名</t>
    <rPh sb="0" eb="2">
      <t>ブンショ</t>
    </rPh>
    <rPh sb="2" eb="3">
      <t>メイ</t>
    </rPh>
    <phoneticPr fontId="8"/>
  </si>
  <si>
    <t>モジュールID</t>
  </si>
  <si>
    <t>MS</t>
    <phoneticPr fontId="8"/>
  </si>
  <si>
    <t>モジュール名</t>
    <rPh sb="5" eb="6">
      <t>メイ</t>
    </rPh>
    <phoneticPr fontId="8"/>
  </si>
  <si>
    <t>Version</t>
  </si>
  <si>
    <t>Rev.</t>
  </si>
  <si>
    <t>画面説明書</t>
  </si>
  <si>
    <t>ｻﾌﾞﾓｼﾞｭｰﾙID</t>
  </si>
  <si>
    <t>MSBB</t>
    <phoneticPr fontId="8"/>
  </si>
  <si>
    <t>ｻﾌﾞﾓｼﾞｭｰﾙ名</t>
    <rPh sb="9" eb="10">
      <t>メイ</t>
    </rPh>
    <phoneticPr fontId="8"/>
  </si>
  <si>
    <t>販売Webシステム</t>
    <rPh sb="0" eb="2">
      <t>ハンバイ</t>
    </rPh>
    <phoneticPr fontId="8"/>
  </si>
  <si>
    <t>M7-US-1140</t>
  </si>
  <si>
    <t>r00.00</t>
    <phoneticPr fontId="8"/>
  </si>
  <si>
    <t>表紙</t>
  </si>
  <si>
    <t>表題</t>
    <rPh sb="0" eb="2">
      <t>ヒョウダイ</t>
    </rPh>
    <phoneticPr fontId="8"/>
  </si>
  <si>
    <t>MSBBPA020</t>
  </si>
  <si>
    <t>共通（リンク用）</t>
    <rPh sb="0" eb="2">
      <t>キョウツウ</t>
    </rPh>
    <rPh sb="6" eb="7">
      <t>ヨウ</t>
    </rPh>
    <phoneticPr fontId="8"/>
  </si>
  <si>
    <t>モジュールID</t>
    <phoneticPr fontId="8"/>
  </si>
  <si>
    <t>Rev.</t>
    <phoneticPr fontId="8"/>
  </si>
  <si>
    <t>ｻﾌﾞﾓｼﾞｭｰﾙID</t>
    <phoneticPr fontId="8"/>
  </si>
  <si>
    <t>概要シート用</t>
    <rPh sb="0" eb="2">
      <t>ガイヨウ</t>
    </rPh>
    <rPh sb="5" eb="6">
      <t>ヨウ</t>
    </rPh>
    <phoneticPr fontId="8"/>
  </si>
  <si>
    <t>サブモジュールID</t>
    <phoneticPr fontId="8"/>
  </si>
  <si>
    <t>サブモジュール名</t>
    <rPh sb="7" eb="8">
      <t>メイ</t>
    </rPh>
    <phoneticPr fontId="8"/>
  </si>
  <si>
    <t>7.0.2</t>
  </si>
  <si>
    <t>第7章</t>
    <rPh sb="2" eb="3">
      <t>ショウ</t>
    </rPh>
    <phoneticPr fontId="8"/>
  </si>
  <si>
    <t>改訂</t>
    <phoneticPr fontId="8"/>
  </si>
  <si>
    <t>作成者</t>
    <rPh sb="0" eb="3">
      <t>サクセイシャ</t>
    </rPh>
    <phoneticPr fontId="86"/>
  </si>
  <si>
    <t>MDSOL</t>
    <phoneticPr fontId="8"/>
  </si>
  <si>
    <t>作成日</t>
    <phoneticPr fontId="8"/>
  </si>
  <si>
    <t>修正者</t>
    <rPh sb="0" eb="2">
      <t>シュウセイ</t>
    </rPh>
    <rPh sb="2" eb="3">
      <t>シャ</t>
    </rPh>
    <phoneticPr fontId="8"/>
  </si>
  <si>
    <t>改訂日</t>
    <rPh sb="0" eb="2">
      <t>カイテイ</t>
    </rPh>
    <phoneticPr fontId="8"/>
  </si>
  <si>
    <t>改定内容</t>
    <phoneticPr fontId="8"/>
  </si>
  <si>
    <t>頁</t>
    <rPh sb="0" eb="1">
      <t>ページ</t>
    </rPh>
    <phoneticPr fontId="8"/>
  </si>
  <si>
    <t>変更日
変更者</t>
    <rPh sb="0" eb="3">
      <t>ヘンコウビ</t>
    </rPh>
    <rPh sb="4" eb="6">
      <t>ヘンコウ</t>
    </rPh>
    <rPh sb="6" eb="7">
      <t>シャ</t>
    </rPh>
    <phoneticPr fontId="8"/>
  </si>
  <si>
    <t>確認日
確認者</t>
    <rPh sb="0" eb="2">
      <t>カクニン</t>
    </rPh>
    <rPh sb="2" eb="3">
      <t>ヒ</t>
    </rPh>
    <rPh sb="4" eb="6">
      <t>カクニン</t>
    </rPh>
    <rPh sb="6" eb="7">
      <t>シャ</t>
    </rPh>
    <phoneticPr fontId="8"/>
  </si>
  <si>
    <t>新規作成</t>
    <rPh sb="0" eb="2">
      <t>シンキ</t>
    </rPh>
    <rPh sb="2" eb="4">
      <t>サクセイ</t>
    </rPh>
    <phoneticPr fontId="8"/>
  </si>
  <si>
    <t>【説明】</t>
    <rPh sb="1" eb="3">
      <t>セツメイ</t>
    </rPh>
    <phoneticPr fontId="8"/>
  </si>
  <si>
    <t>見積計算書の一覧照会画面</t>
    <rPh sb="0" eb="2">
      <t>ミツモリ</t>
    </rPh>
    <rPh sb="2" eb="4">
      <t>ケイサン</t>
    </rPh>
    <rPh sb="6" eb="8">
      <t>イチラン</t>
    </rPh>
    <rPh sb="8" eb="10">
      <t>ショウカイ</t>
    </rPh>
    <rPh sb="10" eb="12">
      <t>ガメン</t>
    </rPh>
    <phoneticPr fontId="8"/>
  </si>
  <si>
    <t>【目的】</t>
    <rPh sb="1" eb="3">
      <t>モクテキ</t>
    </rPh>
    <phoneticPr fontId="8"/>
  </si>
  <si>
    <t>見積計算書を一覧照会する、見積計算書画面へ遷移する(参照・訂正)</t>
    <rPh sb="0" eb="5">
      <t>ミツモリケイサンショ</t>
    </rPh>
    <rPh sb="6" eb="8">
      <t>イチラン</t>
    </rPh>
    <rPh sb="8" eb="10">
      <t>ショウカイ</t>
    </rPh>
    <rPh sb="18" eb="20">
      <t>ガメン</t>
    </rPh>
    <rPh sb="21" eb="23">
      <t>センイ</t>
    </rPh>
    <rPh sb="26" eb="28">
      <t>サンショウ</t>
    </rPh>
    <rPh sb="29" eb="31">
      <t>テイセイ</t>
    </rPh>
    <phoneticPr fontId="8"/>
  </si>
  <si>
    <t>見積計算書を一括発行する</t>
    <rPh sb="0" eb="5">
      <t>ミツモリケイサンショ</t>
    </rPh>
    <rPh sb="6" eb="8">
      <t>イッカツハッコウ</t>
    </rPh>
    <phoneticPr fontId="8"/>
  </si>
  <si>
    <t>【処理関連図/サービス関連図】</t>
    <phoneticPr fontId="8"/>
  </si>
  <si>
    <t>※処理・サービス関連図シートに詳細記載</t>
    <rPh sb="15" eb="17">
      <t>ショウサイ</t>
    </rPh>
    <rPh sb="17" eb="19">
      <t>キサイ</t>
    </rPh>
    <phoneticPr fontId="8"/>
  </si>
  <si>
    <t>【オペレーション一覧】</t>
    <rPh sb="8" eb="10">
      <t>イチラン</t>
    </rPh>
    <phoneticPr fontId="8"/>
  </si>
  <si>
    <t>見積計算書の検索・照会処理を行う</t>
    <rPh sb="9" eb="11">
      <t>ショウカイ</t>
    </rPh>
    <phoneticPr fontId="8"/>
  </si>
  <si>
    <t>見積計算書の帳票発行を行う</t>
    <rPh sb="6" eb="8">
      <t>チョウヒョウ</t>
    </rPh>
    <rPh sb="8" eb="10">
      <t>ハッコウ</t>
    </rPh>
    <rPh sb="11" eb="12">
      <t>オコナ</t>
    </rPh>
    <phoneticPr fontId="8"/>
  </si>
  <si>
    <t>見積計算書のCSV出力を行う</t>
    <rPh sb="9" eb="11">
      <t>シュツリョク</t>
    </rPh>
    <rPh sb="12" eb="13">
      <t>オコナ</t>
    </rPh>
    <phoneticPr fontId="8"/>
  </si>
  <si>
    <t>【SQLID一覧】</t>
    <rPh sb="6" eb="8">
      <t>イチラン</t>
    </rPh>
    <phoneticPr fontId="8"/>
  </si>
  <si>
    <t>なし</t>
    <phoneticPr fontId="8"/>
  </si>
  <si>
    <t>【ソート順】</t>
    <rPh sb="4" eb="5">
      <t>ジュン</t>
    </rPh>
    <phoneticPr fontId="8"/>
  </si>
  <si>
    <t>担当、得意先、案件NO、見積計算書NO</t>
    <phoneticPr fontId="8"/>
  </si>
  <si>
    <t>【データアクセスコントロール】</t>
    <phoneticPr fontId="8"/>
  </si>
  <si>
    <t>拠点による制御</t>
    <rPh sb="0" eb="2">
      <t>キョテン</t>
    </rPh>
    <rPh sb="5" eb="7">
      <t>セイギョ</t>
    </rPh>
    <phoneticPr fontId="8"/>
  </si>
  <si>
    <t>※詳細は、【MSBBPA000】_共通設計書_アドオン(Webシステム共通仕様)にて定義</t>
    <rPh sb="1" eb="3">
      <t>ショウサイ</t>
    </rPh>
    <rPh sb="42" eb="44">
      <t>テイギ</t>
    </rPh>
    <phoneticPr fontId="8"/>
  </si>
  <si>
    <t>【自由記述】</t>
    <rPh sb="1" eb="3">
      <t>ジユウ</t>
    </rPh>
    <rPh sb="3" eb="5">
      <t>キジュツ</t>
    </rPh>
    <phoneticPr fontId="8"/>
  </si>
  <si>
    <t>画面イメージ</t>
    <rPh sb="0" eb="2">
      <t>ガメン</t>
    </rPh>
    <phoneticPr fontId="8"/>
  </si>
  <si>
    <t>≫凡例</t>
    <rPh sb="1" eb="3">
      <t>ハンレイ</t>
    </rPh>
    <phoneticPr fontId="8"/>
  </si>
  <si>
    <t>・・・</t>
    <phoneticPr fontId="8"/>
  </si>
  <si>
    <t>ボタン</t>
    <phoneticPr fontId="8"/>
  </si>
  <si>
    <t>見積計算書NO</t>
  </si>
  <si>
    <t>検索項目(検索画面表示選択)</t>
    <rPh sb="0" eb="2">
      <t>ケンサク</t>
    </rPh>
    <rPh sb="2" eb="4">
      <t>コウモク</t>
    </rPh>
    <rPh sb="5" eb="7">
      <t>ケンサク</t>
    </rPh>
    <rPh sb="7" eb="9">
      <t>ガメン</t>
    </rPh>
    <rPh sb="9" eb="11">
      <t>ヒョウジ</t>
    </rPh>
    <rPh sb="11" eb="13">
      <t>センタク</t>
    </rPh>
    <phoneticPr fontId="8"/>
  </si>
  <si>
    <t>参照情報</t>
    <rPh sb="0" eb="4">
      <t>サンショウジョウホウ</t>
    </rPh>
    <phoneticPr fontId="8"/>
  </si>
  <si>
    <t>品名</t>
    <rPh sb="0" eb="2">
      <t>ヒンメイ</t>
    </rPh>
    <phoneticPr fontId="8"/>
  </si>
  <si>
    <t>入力項目</t>
    <rPh sb="0" eb="2">
      <t>ニュウリョク</t>
    </rPh>
    <rPh sb="2" eb="4">
      <t>コウモク</t>
    </rPh>
    <phoneticPr fontId="8"/>
  </si>
  <si>
    <t>得意先</t>
    <rPh sb="0" eb="3">
      <t>トクイサキ</t>
    </rPh>
    <phoneticPr fontId="8"/>
  </si>
  <si>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8"/>
  </si>
  <si>
    <t>担当者</t>
    <rPh sb="0" eb="3">
      <t>タントウシャ</t>
    </rPh>
    <phoneticPr fontId="8"/>
  </si>
  <si>
    <t>操作種別</t>
    <rPh sb="0" eb="2">
      <t>ソウサ</t>
    </rPh>
    <rPh sb="2" eb="4">
      <t>シュベツ</t>
    </rPh>
    <phoneticPr fontId="8"/>
  </si>
  <si>
    <t>●登録</t>
    <rPh sb="1" eb="3">
      <t>トウロク</t>
    </rPh>
    <phoneticPr fontId="8"/>
  </si>
  <si>
    <t>○訂正</t>
    <rPh sb="1" eb="3">
      <t>テイセイ</t>
    </rPh>
    <phoneticPr fontId="8"/>
  </si>
  <si>
    <t>選択項目(一つのみ選択可能)</t>
    <rPh sb="0" eb="2">
      <t>センタク</t>
    </rPh>
    <rPh sb="2" eb="4">
      <t>コウモク</t>
    </rPh>
    <rPh sb="5" eb="6">
      <t>ヒト</t>
    </rPh>
    <rPh sb="9" eb="11">
      <t>センタク</t>
    </rPh>
    <rPh sb="11" eb="13">
      <t>カノウ</t>
    </rPh>
    <phoneticPr fontId="8"/>
  </si>
  <si>
    <t>受注区分</t>
    <rPh sb="0" eb="2">
      <t>ジュチュウ</t>
    </rPh>
    <rPh sb="2" eb="4">
      <t>クブン</t>
    </rPh>
    <phoneticPr fontId="8"/>
  </si>
  <si>
    <t>作業順</t>
    <rPh sb="0" eb="2">
      <t>サギョウ</t>
    </rPh>
    <rPh sb="2" eb="3">
      <t>ジュン</t>
    </rPh>
    <phoneticPr fontId="8"/>
  </si>
  <si>
    <t>☑AAA</t>
    <phoneticPr fontId="8"/>
  </si>
  <si>
    <t>☑BBB</t>
    <phoneticPr fontId="8"/>
  </si>
  <si>
    <t>選択項目(複数選択可能)</t>
    <rPh sb="0" eb="2">
      <t>センタク</t>
    </rPh>
    <rPh sb="2" eb="4">
      <t>コウモク</t>
    </rPh>
    <rPh sb="5" eb="7">
      <t>フクスウ</t>
    </rPh>
    <rPh sb="7" eb="9">
      <t>センタク</t>
    </rPh>
    <rPh sb="9" eb="11">
      <t>カノウ</t>
    </rPh>
    <phoneticPr fontId="8"/>
  </si>
  <si>
    <t>見積作成日</t>
    <rPh sb="0" eb="2">
      <t>ミツモリ</t>
    </rPh>
    <rPh sb="2" eb="4">
      <t>サクセイ</t>
    </rPh>
    <rPh sb="4" eb="5">
      <t>ビ</t>
    </rPh>
    <phoneticPr fontId="8"/>
  </si>
  <si>
    <t>カレンダー形式</t>
    <rPh sb="5" eb="7">
      <t>ケイシキ</t>
    </rPh>
    <phoneticPr fontId="8"/>
  </si>
  <si>
    <t>MDSOL 野村　2022/10/25 修正しました(カレンダー形式 誤字対応)</t>
    <rPh sb="6" eb="8">
      <t>ノムラ</t>
    </rPh>
    <rPh sb="20" eb="22">
      <t>シュウセイ</t>
    </rPh>
    <rPh sb="35" eb="39">
      <t>ゴジタイオウ</t>
    </rPh>
    <phoneticPr fontId="8"/>
  </si>
  <si>
    <t>2022/10/27 落合　問題なし</t>
    <rPh sb="11" eb="13">
      <t>オチアイ</t>
    </rPh>
    <rPh sb="14" eb="16">
      <t>モンダイ</t>
    </rPh>
    <phoneticPr fontId="8"/>
  </si>
  <si>
    <t>MDSOL 野村　2022/10/25 修正しました(メーカ追加)</t>
    <rPh sb="6" eb="8">
      <t>ノムラ</t>
    </rPh>
    <rPh sb="20" eb="22">
      <t>シュウセイ</t>
    </rPh>
    <rPh sb="30" eb="32">
      <t>ツイカ</t>
    </rPh>
    <phoneticPr fontId="8"/>
  </si>
  <si>
    <t>【MSBBPA080】_画面設計書_アドオン(Web受注一覧照会)の横展開</t>
    <rPh sb="34" eb="37">
      <t>ヨコテンカイ</t>
    </rPh>
    <phoneticPr fontId="8"/>
  </si>
  <si>
    <t>CP指摘　2022/10/02　落合　検索条件が多すぎる為、レイアウトを右記のようにする→</t>
  </si>
  <si>
    <t>詳細検索は折りたたんだ状態で表示し、必要時のみ入力する</t>
  </si>
  <si>
    <t>見積検索も合わせてください</t>
  </si>
  <si>
    <t>MDSOL 野村　2022/10/25 レイアウト修正→見積を合わせて修正します</t>
    <rPh sb="6" eb="8">
      <t>ノムラ</t>
    </rPh>
    <rPh sb="25" eb="27">
      <t>シュウセイ</t>
    </rPh>
    <rPh sb="35" eb="37">
      <t>シュウセイ</t>
    </rPh>
    <phoneticPr fontId="8"/>
  </si>
  <si>
    <t>拠点</t>
    <rPh sb="0" eb="2">
      <t>キョテン</t>
    </rPh>
    <phoneticPr fontId="8"/>
  </si>
  <si>
    <t>*</t>
    <phoneticPr fontId="8"/>
  </si>
  <si>
    <t>あいまい検索可能</t>
    <rPh sb="4" eb="6">
      <t>ケンサク</t>
    </rPh>
    <rPh sb="6" eb="8">
      <t>カノウ</t>
    </rPh>
    <phoneticPr fontId="8"/>
  </si>
  <si>
    <t>(得意先名:オートフィルタ)</t>
    <rPh sb="1" eb="5">
      <t>トクイサキメイ</t>
    </rPh>
    <phoneticPr fontId="8"/>
  </si>
  <si>
    <t>見積担当者</t>
    <rPh sb="0" eb="2">
      <t>ミツモリ</t>
    </rPh>
    <phoneticPr fontId="8"/>
  </si>
  <si>
    <t>案件No</t>
    <phoneticPr fontId="8"/>
  </si>
  <si>
    <t>9999999-999</t>
    <phoneticPr fontId="8"/>
  </si>
  <si>
    <t>(案件No親/子)</t>
    <phoneticPr fontId="8"/>
  </si>
  <si>
    <t>顧客品名</t>
    <rPh sb="0" eb="2">
      <t>コキャク</t>
    </rPh>
    <rPh sb="2" eb="4">
      <t>ヒンメイ</t>
    </rPh>
    <phoneticPr fontId="8"/>
  </si>
  <si>
    <t>見積作成日</t>
    <rPh sb="0" eb="5">
      <t>ミツモリサクセイビ</t>
    </rPh>
    <phoneticPr fontId="8"/>
  </si>
  <si>
    <t>~</t>
    <phoneticPr fontId="8"/>
  </si>
  <si>
    <t>受注区分</t>
    <rPh sb="0" eb="4">
      <t>ジュチュウクブン</t>
    </rPh>
    <phoneticPr fontId="8"/>
  </si>
  <si>
    <t>製品</t>
    <rPh sb="0" eb="2">
      <t>セイヒン</t>
    </rPh>
    <phoneticPr fontId="8"/>
  </si>
  <si>
    <t>製品区分</t>
  </si>
  <si>
    <t>大</t>
  </si>
  <si>
    <t>中</t>
    <rPh sb="0" eb="1">
      <t>チュウ</t>
    </rPh>
    <phoneticPr fontId="8"/>
  </si>
  <si>
    <t>小</t>
    <rPh sb="0" eb="1">
      <t>ショウ</t>
    </rPh>
    <phoneticPr fontId="8"/>
  </si>
  <si>
    <t>親子区分</t>
    <rPh sb="0" eb="4">
      <t>オヤコクブン</t>
    </rPh>
    <phoneticPr fontId="8"/>
  </si>
  <si>
    <t>FSC認証区分</t>
    <rPh sb="3" eb="5">
      <t>ニンショウ</t>
    </rPh>
    <rPh sb="5" eb="7">
      <t>クブン</t>
    </rPh>
    <phoneticPr fontId="8"/>
  </si>
  <si>
    <t>FSC材質区分</t>
    <rPh sb="3" eb="5">
      <t>ザイシツ</t>
    </rPh>
    <rPh sb="5" eb="7">
      <t>クブン</t>
    </rPh>
    <phoneticPr fontId="8"/>
  </si>
  <si>
    <t>原紙</t>
    <rPh sb="0" eb="2">
      <t>ゲンシ</t>
    </rPh>
    <phoneticPr fontId="8"/>
  </si>
  <si>
    <t>印刷</t>
    <rPh sb="0" eb="2">
      <t>インサツ</t>
    </rPh>
    <phoneticPr fontId="8"/>
  </si>
  <si>
    <t>エンボス</t>
    <phoneticPr fontId="8"/>
  </si>
  <si>
    <t>メーカ</t>
    <phoneticPr fontId="8"/>
  </si>
  <si>
    <t>段</t>
  </si>
  <si>
    <t>E</t>
  </si>
  <si>
    <t>表構成</t>
  </si>
  <si>
    <t>(メーカ名:ｵｰﾄﾌｨﾙﾀ)</t>
    <phoneticPr fontId="8"/>
  </si>
  <si>
    <t>シート寸法</t>
    <rPh sb="3" eb="5">
      <t>スンポウ</t>
    </rPh>
    <phoneticPr fontId="8"/>
  </si>
  <si>
    <t>巾</t>
    <rPh sb="0" eb="1">
      <t>ハバ</t>
    </rPh>
    <phoneticPr fontId="8"/>
  </si>
  <si>
    <t>流れ</t>
    <rPh sb="0" eb="1">
      <t>ナガ</t>
    </rPh>
    <phoneticPr fontId="8"/>
  </si>
  <si>
    <t>刃渡り（mm)</t>
    <rPh sb="0" eb="2">
      <t>ハワタ</t>
    </rPh>
    <phoneticPr fontId="8"/>
  </si>
  <si>
    <t>詳細検索</t>
    <phoneticPr fontId="8"/>
  </si>
  <si>
    <t>ー</t>
  </si>
  <si>
    <t>中構成</t>
  </si>
  <si>
    <t>裏構成</t>
  </si>
  <si>
    <t>製品形状</t>
    <rPh sb="0" eb="2">
      <t>セイヒン</t>
    </rPh>
    <rPh sb="2" eb="4">
      <t>ケイジョウ</t>
    </rPh>
    <phoneticPr fontId="8"/>
  </si>
  <si>
    <t>物流区分</t>
    <rPh sb="0" eb="2">
      <t>ブツリュウ</t>
    </rPh>
    <rPh sb="2" eb="4">
      <t>クブン</t>
    </rPh>
    <phoneticPr fontId="8"/>
  </si>
  <si>
    <t>印刷備考</t>
    <rPh sb="0" eb="2">
      <t>インサツ</t>
    </rPh>
    <rPh sb="2" eb="4">
      <t>ビコウ</t>
    </rPh>
    <phoneticPr fontId="8"/>
  </si>
  <si>
    <t>40byte</t>
    <phoneticPr fontId="8"/>
  </si>
  <si>
    <t>製造備考</t>
    <rPh sb="0" eb="4">
      <t>セイゾウビコウ</t>
    </rPh>
    <phoneticPr fontId="8"/>
  </si>
  <si>
    <t>伝票備考</t>
    <rPh sb="0" eb="2">
      <t>デンピョウ</t>
    </rPh>
    <rPh sb="2" eb="4">
      <t>ビコウ</t>
    </rPh>
    <phoneticPr fontId="8"/>
  </si>
  <si>
    <t>納入備考</t>
    <rPh sb="0" eb="2">
      <t>ノウニュウ</t>
    </rPh>
    <rPh sb="2" eb="4">
      <t>ビコウ</t>
    </rPh>
    <phoneticPr fontId="8"/>
  </si>
  <si>
    <t>出荷備考１</t>
    <rPh sb="0" eb="2">
      <t>シュッカ</t>
    </rPh>
    <rPh sb="2" eb="4">
      <t>ビコウ</t>
    </rPh>
    <phoneticPr fontId="8"/>
  </si>
  <si>
    <t>出荷備考２</t>
    <rPh sb="0" eb="2">
      <t>シュッカ</t>
    </rPh>
    <rPh sb="2" eb="4">
      <t>ビコウ</t>
    </rPh>
    <phoneticPr fontId="8"/>
  </si>
  <si>
    <t>決定予想</t>
    <rPh sb="0" eb="4">
      <t>ケッテイヨソウ</t>
    </rPh>
    <phoneticPr fontId="8"/>
  </si>
  <si>
    <t>☑決定予想のみ</t>
    <rPh sb="1" eb="5">
      <t>ケッテイヨソウ</t>
    </rPh>
    <phoneticPr fontId="8"/>
  </si>
  <si>
    <t>見積区分</t>
    <rPh sb="0" eb="4">
      <t>ミツモリクブン</t>
    </rPh>
    <phoneticPr fontId="8"/>
  </si>
  <si>
    <t>☑通常</t>
    <rPh sb="1" eb="3">
      <t>ツウジョウ</t>
    </rPh>
    <phoneticPr fontId="8"/>
  </si>
  <si>
    <t>☑決定</t>
    <rPh sb="1" eb="3">
      <t>ケッテイ</t>
    </rPh>
    <phoneticPr fontId="8"/>
  </si>
  <si>
    <t>ステータス</t>
    <phoneticPr fontId="8"/>
  </si>
  <si>
    <t>☑未承認</t>
    <rPh sb="1" eb="4">
      <t>ミショウニン</t>
    </rPh>
    <phoneticPr fontId="8"/>
  </si>
  <si>
    <t>☑承認済</t>
    <rPh sb="1" eb="3">
      <t>ショウニン</t>
    </rPh>
    <rPh sb="3" eb="4">
      <t>スミ</t>
    </rPh>
    <phoneticPr fontId="8"/>
  </si>
  <si>
    <t>☑マスタ採用済</t>
    <rPh sb="4" eb="6">
      <t>サイヨウ</t>
    </rPh>
    <rPh sb="6" eb="7">
      <t>ズ</t>
    </rPh>
    <phoneticPr fontId="8"/>
  </si>
  <si>
    <t>☑受注済</t>
    <rPh sb="1" eb="3">
      <t>ジュチュウ</t>
    </rPh>
    <rPh sb="3" eb="4">
      <t>スミ</t>
    </rPh>
    <phoneticPr fontId="8"/>
  </si>
  <si>
    <t>NO</t>
  </si>
  <si>
    <t>担当</t>
    <rPh sb="0" eb="2">
      <t>タントウ</t>
    </rPh>
    <phoneticPr fontId="8"/>
  </si>
  <si>
    <t>担当者名</t>
    <rPh sb="0" eb="3">
      <t>タントウシャ</t>
    </rPh>
    <rPh sb="3" eb="4">
      <t>メイ</t>
    </rPh>
    <phoneticPr fontId="8"/>
  </si>
  <si>
    <t>得意先名</t>
    <rPh sb="3" eb="4">
      <t>メイ</t>
    </rPh>
    <phoneticPr fontId="8"/>
  </si>
  <si>
    <t>案件NO</t>
    <rPh sb="0" eb="2">
      <t>アンケン</t>
    </rPh>
    <phoneticPr fontId="8"/>
  </si>
  <si>
    <t>案件名</t>
    <rPh sb="0" eb="3">
      <t>アンケンメイ</t>
    </rPh>
    <phoneticPr fontId="8"/>
  </si>
  <si>
    <t>見積計算書NO</t>
    <rPh sb="0" eb="5">
      <t>ミツモリケイサンショ</t>
    </rPh>
    <phoneticPr fontId="8"/>
  </si>
  <si>
    <t>見積作成日</t>
    <phoneticPr fontId="8"/>
  </si>
  <si>
    <t>顧客品名</t>
    <phoneticPr fontId="8"/>
  </si>
  <si>
    <t>見積数</t>
    <rPh sb="0" eb="3">
      <t>ミツモリスウ</t>
    </rPh>
    <phoneticPr fontId="8"/>
  </si>
  <si>
    <t>決定予想</t>
    <rPh sb="0" eb="2">
      <t>ケッテイ</t>
    </rPh>
    <rPh sb="2" eb="4">
      <t>ヨソウ</t>
    </rPh>
    <phoneticPr fontId="8"/>
  </si>
  <si>
    <t>見積平米</t>
    <rPh sb="0" eb="2">
      <t>ミツモリ</t>
    </rPh>
    <rPh sb="2" eb="4">
      <t>ヘイベイ</t>
    </rPh>
    <phoneticPr fontId="8"/>
  </si>
  <si>
    <t>㎡単価</t>
    <rPh sb="1" eb="3">
      <t>タンカ</t>
    </rPh>
    <phoneticPr fontId="8"/>
  </si>
  <si>
    <t>金額</t>
    <rPh sb="0" eb="2">
      <t>キンガク</t>
    </rPh>
    <phoneticPr fontId="8"/>
  </si>
  <si>
    <t>見積区分</t>
    <rPh sb="0" eb="2">
      <t>ミツモリ</t>
    </rPh>
    <rPh sb="2" eb="4">
      <t>クブン</t>
    </rPh>
    <phoneticPr fontId="8"/>
  </si>
  <si>
    <t>発行</t>
    <rPh sb="0" eb="2">
      <t>ハッコウ</t>
    </rPh>
    <phoneticPr fontId="8"/>
  </si>
  <si>
    <t>製品コード</t>
    <rPh sb="0" eb="2">
      <t>セイヒン</t>
    </rPh>
    <phoneticPr fontId="8"/>
  </si>
  <si>
    <t>1</t>
    <phoneticPr fontId="8"/>
  </si>
  <si>
    <t>1234</t>
    <phoneticPr fontId="8"/>
  </si>
  <si>
    <t>XXXXX6</t>
    <phoneticPr fontId="8"/>
  </si>
  <si>
    <t>12345</t>
    <phoneticPr fontId="8"/>
  </si>
  <si>
    <t>XXXXXXX8</t>
    <phoneticPr fontId="8"/>
  </si>
  <si>
    <t>1234567-001</t>
    <phoneticPr fontId="8"/>
  </si>
  <si>
    <t>12345678-01</t>
    <phoneticPr fontId="8"/>
  </si>
  <si>
    <t>2022/7/1</t>
    <phoneticPr fontId="8"/>
  </si>
  <si>
    <t>XXXXXXXXX1XXXXX6</t>
    <phoneticPr fontId="8"/>
  </si>
  <si>
    <t>通常</t>
    <rPh sb="0" eb="2">
      <t>ツウジョウ</t>
    </rPh>
    <phoneticPr fontId="8"/>
  </si>
  <si>
    <t>承認済</t>
    <rPh sb="0" eb="3">
      <t>ショウニンズ</t>
    </rPh>
    <phoneticPr fontId="8"/>
  </si>
  <si>
    <t>☑</t>
    <phoneticPr fontId="8"/>
  </si>
  <si>
    <t>2</t>
  </si>
  <si>
    <t>12345678-02</t>
    <phoneticPr fontId="8"/>
  </si>
  <si>
    <t>通常</t>
    <phoneticPr fontId="8"/>
  </si>
  <si>
    <t>3</t>
  </si>
  <si>
    <t>XXXXX6</t>
  </si>
  <si>
    <t>1234567-001</t>
  </si>
  <si>
    <t>XXXXXXX8</t>
  </si>
  <si>
    <t>12345678-03</t>
    <phoneticPr fontId="8"/>
  </si>
  <si>
    <t>●</t>
    <phoneticPr fontId="8"/>
  </si>
  <si>
    <t>A9999999-01</t>
    <phoneticPr fontId="8"/>
  </si>
  <si>
    <t>4</t>
  </si>
  <si>
    <t>1234</t>
  </si>
  <si>
    <t>12345</t>
  </si>
  <si>
    <t>12345678-04</t>
    <phoneticPr fontId="8"/>
  </si>
  <si>
    <t>□</t>
    <phoneticPr fontId="8"/>
  </si>
  <si>
    <t>5</t>
  </si>
  <si>
    <t>12345678-05</t>
    <phoneticPr fontId="8"/>
  </si>
  <si>
    <t>6</t>
  </si>
  <si>
    <t>12345680-01</t>
    <phoneticPr fontId="8"/>
  </si>
  <si>
    <t>YYYYYYYYY1XXXXX6</t>
    <phoneticPr fontId="8"/>
  </si>
  <si>
    <t>XXXXXX01</t>
    <phoneticPr fontId="8"/>
  </si>
  <si>
    <t>決定</t>
    <rPh sb="0" eb="2">
      <t>ケッテイ</t>
    </rPh>
    <phoneticPr fontId="8"/>
  </si>
  <si>
    <t>未承認</t>
    <phoneticPr fontId="8"/>
  </si>
  <si>
    <t>7</t>
  </si>
  <si>
    <t>12345681-01</t>
    <phoneticPr fontId="8"/>
  </si>
  <si>
    <t>YYYYYYYYY1XXXXX6</t>
  </si>
  <si>
    <t>XXXXXX02</t>
  </si>
  <si>
    <t>決定</t>
    <phoneticPr fontId="8"/>
  </si>
  <si>
    <t>8</t>
  </si>
  <si>
    <t>12345682-01</t>
    <phoneticPr fontId="8"/>
  </si>
  <si>
    <t>XXXXXX03</t>
  </si>
  <si>
    <t>9</t>
  </si>
  <si>
    <t>12345683-01</t>
    <phoneticPr fontId="8"/>
  </si>
  <si>
    <t>XXXXXX04</t>
  </si>
  <si>
    <t>10</t>
  </si>
  <si>
    <t>12345683-02</t>
    <phoneticPr fontId="8"/>
  </si>
  <si>
    <t>XXXXXX05</t>
  </si>
  <si>
    <t>◁</t>
    <phoneticPr fontId="8"/>
  </si>
  <si>
    <t>▷</t>
    <phoneticPr fontId="8"/>
  </si>
  <si>
    <t>発行</t>
    <phoneticPr fontId="8"/>
  </si>
  <si>
    <t>発行対象に☑する。</t>
    <rPh sb="0" eb="2">
      <t>ハッコウ</t>
    </rPh>
    <rPh sb="2" eb="4">
      <t>タイショウ</t>
    </rPh>
    <phoneticPr fontId="8"/>
  </si>
  <si>
    <t>☑された見積計算書を一括出力</t>
    <rPh sb="4" eb="9">
      <t>ミツモリケイサンショ</t>
    </rPh>
    <rPh sb="10" eb="14">
      <t>イッカツシュツリョク</t>
    </rPh>
    <phoneticPr fontId="8"/>
  </si>
  <si>
    <t>…</t>
    <phoneticPr fontId="8"/>
  </si>
  <si>
    <t>抽出条件を閉じる</t>
    <rPh sb="5" eb="6">
      <t>ト</t>
    </rPh>
    <phoneticPr fontId="8"/>
  </si>
  <si>
    <t>+</t>
    <phoneticPr fontId="8"/>
  </si>
  <si>
    <t>抽出条件を開く</t>
    <phoneticPr fontId="8"/>
  </si>
  <si>
    <t>承認ステータス</t>
    <rPh sb="0" eb="2">
      <t>ショウニン</t>
    </rPh>
    <phoneticPr fontId="8"/>
  </si>
  <si>
    <t>計算書</t>
    <rPh sb="0" eb="2">
      <t>ケイサン</t>
    </rPh>
    <rPh sb="2" eb="3">
      <t>ショ</t>
    </rPh>
    <phoneticPr fontId="8"/>
  </si>
  <si>
    <t>A9999999-01</t>
  </si>
  <si>
    <t>カンレンダー形式</t>
    <rPh sb="6" eb="8">
      <t>ケイシキ</t>
    </rPh>
    <phoneticPr fontId="8"/>
  </si>
  <si>
    <t>見積計算書№</t>
    <phoneticPr fontId="8"/>
  </si>
  <si>
    <t>案件№</t>
    <rPh sb="0" eb="2">
      <t>アンケン</t>
    </rPh>
    <phoneticPr fontId="8"/>
  </si>
  <si>
    <t>(案件名:オートフィルタ)</t>
    <rPh sb="1" eb="3">
      <t>アンケン</t>
    </rPh>
    <rPh sb="3" eb="4">
      <t>メイ</t>
    </rPh>
    <phoneticPr fontId="8"/>
  </si>
  <si>
    <t>(得意先名:オートフィルタ)</t>
    <rPh sb="1" eb="4">
      <t>トクイサキ</t>
    </rPh>
    <rPh sb="4" eb="5">
      <t>メイ</t>
    </rPh>
    <phoneticPr fontId="8"/>
  </si>
  <si>
    <t>刃渡り</t>
    <rPh sb="0" eb="2">
      <t>ハワタ</t>
    </rPh>
    <phoneticPr fontId="8"/>
  </si>
  <si>
    <t>FSC認証製品</t>
    <rPh sb="3" eb="5">
      <t>ニンショウ</t>
    </rPh>
    <rPh sb="5" eb="7">
      <t>セイヒン</t>
    </rPh>
    <phoneticPr fontId="8"/>
  </si>
  <si>
    <t>製品区分</t>
    <phoneticPr fontId="8"/>
  </si>
  <si>
    <t>製造備考</t>
    <rPh sb="0" eb="2">
      <t>セイゾウ</t>
    </rPh>
    <rPh sb="2" eb="4">
      <t>ビコウ</t>
    </rPh>
    <phoneticPr fontId="8"/>
  </si>
  <si>
    <t>横持備考</t>
    <rPh sb="0" eb="2">
      <t>ヨコモチ</t>
    </rPh>
    <rPh sb="2" eb="4">
      <t>ビコウ</t>
    </rPh>
    <phoneticPr fontId="8"/>
  </si>
  <si>
    <t>配車備考</t>
    <rPh sb="0" eb="2">
      <t>ハイシャ</t>
    </rPh>
    <rPh sb="2" eb="4">
      <t>ビコウ</t>
    </rPh>
    <phoneticPr fontId="8"/>
  </si>
  <si>
    <t>□一時保存</t>
    <rPh sb="1" eb="5">
      <t>イチジホゾン</t>
    </rPh>
    <phoneticPr fontId="8"/>
  </si>
  <si>
    <t>□未受注</t>
    <rPh sb="1" eb="2">
      <t>ミ</t>
    </rPh>
    <rPh sb="2" eb="4">
      <t>ジュチュウ</t>
    </rPh>
    <phoneticPr fontId="8"/>
  </si>
  <si>
    <t>□受注済</t>
    <rPh sb="1" eb="3">
      <t>ジュチュウ</t>
    </rPh>
    <rPh sb="3" eb="4">
      <t>ズ</t>
    </rPh>
    <phoneticPr fontId="8"/>
  </si>
  <si>
    <t>並び順</t>
    <rPh sb="0" eb="1">
      <t>ナラ</t>
    </rPh>
    <rPh sb="2" eb="3">
      <t>ジュン</t>
    </rPh>
    <phoneticPr fontId="8"/>
  </si>
  <si>
    <t>○昇順</t>
    <rPh sb="1" eb="3">
      <t>ショウジュン</t>
    </rPh>
    <phoneticPr fontId="8"/>
  </si>
  <si>
    <t>●降順</t>
    <rPh sb="1" eb="3">
      <t>コウジュン</t>
    </rPh>
    <phoneticPr fontId="8"/>
  </si>
  <si>
    <t>№</t>
    <phoneticPr fontId="8"/>
  </si>
  <si>
    <t>見積計算書№</t>
    <rPh sb="0" eb="5">
      <t>ミツモリケイサンショ</t>
    </rPh>
    <phoneticPr fontId="8"/>
  </si>
  <si>
    <t>製品区分</t>
    <rPh sb="0" eb="4">
      <t>セイヒンクブン</t>
    </rPh>
    <phoneticPr fontId="8"/>
  </si>
  <si>
    <t>見積り数</t>
    <rPh sb="0" eb="2">
      <t>ミツモ</t>
    </rPh>
    <rPh sb="3" eb="4">
      <t>スウ</t>
    </rPh>
    <phoneticPr fontId="8"/>
  </si>
  <si>
    <t>見積平米</t>
    <rPh sb="0" eb="2">
      <t>ミツモ</t>
    </rPh>
    <rPh sb="2" eb="4">
      <t>ヘイベイ</t>
    </rPh>
    <phoneticPr fontId="8"/>
  </si>
  <si>
    <t>加工</t>
    <rPh sb="0" eb="2">
      <t>カコウ</t>
    </rPh>
    <phoneticPr fontId="8"/>
  </si>
  <si>
    <t>受注済</t>
    <rPh sb="0" eb="2">
      <t>ジュチュウ</t>
    </rPh>
    <rPh sb="2" eb="3">
      <t>ズ</t>
    </rPh>
    <phoneticPr fontId="8"/>
  </si>
  <si>
    <t>受注済</t>
    <phoneticPr fontId="8"/>
  </si>
  <si>
    <t>参照モードで、「見積計算書」画面へ遷移</t>
    <rPh sb="0" eb="1">
      <t>サン</t>
    </rPh>
    <rPh sb="14" eb="16">
      <t>ガメン</t>
    </rPh>
    <rPh sb="17" eb="19">
      <t>センイ</t>
    </rPh>
    <phoneticPr fontId="8"/>
  </si>
  <si>
    <t>訂正モードで、「見積計算書」画面へ遷移</t>
    <rPh sb="0" eb="2">
      <t>テイセイ</t>
    </rPh>
    <phoneticPr fontId="8"/>
  </si>
  <si>
    <t>削除モードで、「見積計算書」画面へ遷移</t>
    <rPh sb="0" eb="2">
      <t>サクジョ</t>
    </rPh>
    <phoneticPr fontId="8"/>
  </si>
  <si>
    <t>過去見積・テンプレート見積を引用する場合に使用。過去見積・テンプレート見積をコピーし、新規登録。</t>
    <rPh sb="0" eb="2">
      <t>カコ</t>
    </rPh>
    <rPh sb="2" eb="4">
      <t>ミツモリ</t>
    </rPh>
    <rPh sb="11" eb="13">
      <t>ミツモリ</t>
    </rPh>
    <rPh sb="14" eb="16">
      <t>インヨウ</t>
    </rPh>
    <rPh sb="18" eb="20">
      <t>バアイ</t>
    </rPh>
    <rPh sb="21" eb="23">
      <t>シヨウ</t>
    </rPh>
    <rPh sb="43" eb="45">
      <t>シンキ</t>
    </rPh>
    <rPh sb="45" eb="47">
      <t>トウロク</t>
    </rPh>
    <phoneticPr fontId="8"/>
  </si>
  <si>
    <t>見積計算書出力対象に☑する。</t>
    <rPh sb="0" eb="2">
      <t>ミツモリ</t>
    </rPh>
    <rPh sb="2" eb="5">
      <t>ケイサンショ</t>
    </rPh>
    <rPh sb="5" eb="7">
      <t>シュツリョク</t>
    </rPh>
    <rPh sb="7" eb="9">
      <t>タイショウ</t>
    </rPh>
    <phoneticPr fontId="8"/>
  </si>
  <si>
    <t>見積計算書一覧照会</t>
    <phoneticPr fontId="8"/>
  </si>
  <si>
    <t>抽出条件</t>
    <rPh sb="0" eb="4">
      <t>チュウシュツジョウケン</t>
    </rPh>
    <phoneticPr fontId="8"/>
  </si>
  <si>
    <t>説明</t>
  </si>
  <si>
    <t>Ｗ</t>
    <phoneticPr fontId="8"/>
  </si>
  <si>
    <t>型</t>
  </si>
  <si>
    <t>参</t>
  </si>
  <si>
    <t>必</t>
    <rPh sb="0" eb="1">
      <t>ヒツ</t>
    </rPh>
    <phoneticPr fontId="8"/>
  </si>
  <si>
    <t>入</t>
  </si>
  <si>
    <t>非</t>
  </si>
  <si>
    <t>検</t>
    <phoneticPr fontId="8"/>
  </si>
  <si>
    <t>〇</t>
  </si>
  <si>
    <t>拠点</t>
  </si>
  <si>
    <t>【MSBBPACOM】_共通設計書_アドオン(共通ロジック)にて定義</t>
    <phoneticPr fontId="8"/>
  </si>
  <si>
    <t>C</t>
    <phoneticPr fontId="8"/>
  </si>
  <si>
    <t>S</t>
    <phoneticPr fontId="8"/>
  </si>
  <si>
    <t>得意先</t>
  </si>
  <si>
    <t>A</t>
    <phoneticPr fontId="8"/>
  </si>
  <si>
    <t>検</t>
    <rPh sb="0" eb="1">
      <t>ケン</t>
    </rPh>
    <phoneticPr fontId="8"/>
  </si>
  <si>
    <t>案件No</t>
  </si>
  <si>
    <t>顧客品名1</t>
    <phoneticPr fontId="8"/>
  </si>
  <si>
    <t>抽出条件として、顧客品名1を入力する</t>
  </si>
  <si>
    <t>あいまい検索可</t>
    <rPh sb="4" eb="6">
      <t>ケンサク</t>
    </rPh>
    <rPh sb="6" eb="7">
      <t>カ</t>
    </rPh>
    <phoneticPr fontId="8"/>
  </si>
  <si>
    <t>T</t>
    <phoneticPr fontId="8"/>
  </si>
  <si>
    <t>顧客品名2</t>
    <phoneticPr fontId="8"/>
  </si>
  <si>
    <t>抽出条件として、顧客品名2を入力する</t>
  </si>
  <si>
    <t>見積作成日(From)</t>
    <phoneticPr fontId="8"/>
  </si>
  <si>
    <t>抽出条件として、見積作成日(From)を入力する</t>
  </si>
  <si>
    <t>カ</t>
    <phoneticPr fontId="8"/>
  </si>
  <si>
    <t>D</t>
    <phoneticPr fontId="8"/>
  </si>
  <si>
    <t>見積作成日(To)</t>
    <phoneticPr fontId="8"/>
  </si>
  <si>
    <t>抽出条件として、見積作成日(To)を入力する</t>
  </si>
  <si>
    <t>見積計算書NO(From)</t>
  </si>
  <si>
    <t>抽出条件として、見積計算書NO(From)を入力する</t>
  </si>
  <si>
    <t>見積計算書NO(To)</t>
  </si>
  <si>
    <t>抽出条件として、見積計算書NO(To)を入力する</t>
  </si>
  <si>
    <t>受注区分</t>
    <phoneticPr fontId="9"/>
  </si>
  <si>
    <t>【MSBBPACOM】_共通設計書_アドオン(共通ロジック)にて定義</t>
  </si>
  <si>
    <t>製品区分_大</t>
    <rPh sb="5" eb="6">
      <t>ダイ</t>
    </rPh>
    <phoneticPr fontId="8"/>
  </si>
  <si>
    <t>S</t>
  </si>
  <si>
    <t>製品区分_中</t>
    <rPh sb="5" eb="6">
      <t>チュウ</t>
    </rPh>
    <phoneticPr fontId="8"/>
  </si>
  <si>
    <t>製品区分_小</t>
    <rPh sb="5" eb="6">
      <t>ショウ</t>
    </rPh>
    <phoneticPr fontId="8"/>
  </si>
  <si>
    <t>親子区分</t>
  </si>
  <si>
    <t>FSC認証区分</t>
  </si>
  <si>
    <t>FSC材質区分</t>
  </si>
  <si>
    <t>C</t>
  </si>
  <si>
    <t>シート段</t>
    <rPh sb="3" eb="4">
      <t>ダン</t>
    </rPh>
    <phoneticPr fontId="9"/>
  </si>
  <si>
    <t>原紙コード(表)</t>
  </si>
  <si>
    <t>印刷コード(表)</t>
  </si>
  <si>
    <t>エンボスコード(表)</t>
  </si>
  <si>
    <t>メーカコード(表)</t>
    <phoneticPr fontId="8"/>
  </si>
  <si>
    <t>抽出条件 - 詳細検索</t>
    <phoneticPr fontId="8"/>
  </si>
  <si>
    <t>詳細検索(+/-)</t>
    <phoneticPr fontId="8"/>
  </si>
  <si>
    <t>詳細検索領域を+時…開く、-時…閉じる</t>
    <rPh sb="4" eb="6">
      <t>リョウイキ</t>
    </rPh>
    <rPh sb="8" eb="9">
      <t>ジ</t>
    </rPh>
    <rPh sb="10" eb="11">
      <t>ヒラ</t>
    </rPh>
    <rPh sb="16" eb="17">
      <t>ト</t>
    </rPh>
    <phoneticPr fontId="8"/>
  </si>
  <si>
    <t>原紙コード(中)～出荷備考2までの領域の表示/非表示</t>
    <rPh sb="17" eb="19">
      <t>リョウイキ</t>
    </rPh>
    <rPh sb="20" eb="22">
      <t>ヒョウジ</t>
    </rPh>
    <rPh sb="23" eb="26">
      <t>ヒヒョウジ</t>
    </rPh>
    <phoneticPr fontId="8"/>
  </si>
  <si>
    <t>※初期は閉じた状態(折り畳み)とする</t>
    <rPh sb="1" eb="3">
      <t>ショキ</t>
    </rPh>
    <rPh sb="4" eb="5">
      <t>ト</t>
    </rPh>
    <rPh sb="7" eb="9">
      <t>ジョウタイ</t>
    </rPh>
    <rPh sb="10" eb="11">
      <t>オ</t>
    </rPh>
    <rPh sb="12" eb="13">
      <t>タタ</t>
    </rPh>
    <phoneticPr fontId="8"/>
  </si>
  <si>
    <t>原紙コード(中)</t>
    <phoneticPr fontId="8"/>
  </si>
  <si>
    <t>印刷コード(中)</t>
  </si>
  <si>
    <t>エンボスコード(中)</t>
    <phoneticPr fontId="8"/>
  </si>
  <si>
    <t>メーカコード(中)</t>
    <phoneticPr fontId="8"/>
  </si>
  <si>
    <t>原紙コード(裏)</t>
  </si>
  <si>
    <t>印刷コード(裏)</t>
  </si>
  <si>
    <t>エンボスコード(裏)</t>
    <phoneticPr fontId="8"/>
  </si>
  <si>
    <t>メーカコード(裏)</t>
    <phoneticPr fontId="8"/>
  </si>
  <si>
    <t>製品形状</t>
  </si>
  <si>
    <t>物流区分</t>
  </si>
  <si>
    <t>刃渡り_巾</t>
    <phoneticPr fontId="8"/>
  </si>
  <si>
    <t>抽出条件として、刃渡り_巾を入力する</t>
  </si>
  <si>
    <t>N</t>
    <phoneticPr fontId="8"/>
  </si>
  <si>
    <t>刃渡り_流れ</t>
    <phoneticPr fontId="8"/>
  </si>
  <si>
    <t>抽出条件として、刃渡り_流れを入力する</t>
  </si>
  <si>
    <t>シート寸法_巾</t>
    <phoneticPr fontId="8"/>
  </si>
  <si>
    <t>抽出条件として、シート寸法_巾を入力する</t>
  </si>
  <si>
    <t>シート寸法_流れ</t>
    <phoneticPr fontId="8"/>
  </si>
  <si>
    <t>抽出条件として、シート寸法_流れを入力する</t>
  </si>
  <si>
    <t>印刷備考</t>
  </si>
  <si>
    <t>抽出条件として、印刷備考を入力する</t>
  </si>
  <si>
    <t>製造備考</t>
  </si>
  <si>
    <t>抽出条件として、製造備考を入力する</t>
  </si>
  <si>
    <t>伝票備考</t>
  </si>
  <si>
    <t>抽出条件として、伝票備考を入力する</t>
  </si>
  <si>
    <t>納入備考</t>
  </si>
  <si>
    <t>抽出条件として、納入備考を入力する</t>
  </si>
  <si>
    <t>出荷備考1</t>
  </si>
  <si>
    <t>抽出条件として、出荷備考1を入力する</t>
  </si>
  <si>
    <t>出荷備考2</t>
    <phoneticPr fontId="8"/>
  </si>
  <si>
    <t>抽出条件として、出荷備考2を入力する</t>
  </si>
  <si>
    <t>抽出条件 - FLG関連</t>
    <rPh sb="10" eb="12">
      <t>カンレン</t>
    </rPh>
    <phoneticPr fontId="8"/>
  </si>
  <si>
    <t>決定予想</t>
    <phoneticPr fontId="8"/>
  </si>
  <si>
    <t>□決定予想のみ</t>
    <phoneticPr fontId="8"/>
  </si>
  <si>
    <t>初期値☑有</t>
    <rPh sb="0" eb="3">
      <t>ショキチ</t>
    </rPh>
    <rPh sb="4" eb="5">
      <t>ア</t>
    </rPh>
    <phoneticPr fontId="8"/>
  </si>
  <si>
    <t>チ</t>
    <phoneticPr fontId="8"/>
  </si>
  <si>
    <t>F</t>
    <phoneticPr fontId="8"/>
  </si>
  <si>
    <t>□通常、□決定</t>
    <rPh sb="1" eb="3">
      <t>ツウジョウ</t>
    </rPh>
    <rPh sb="5" eb="7">
      <t>ケッテイ</t>
    </rPh>
    <phoneticPr fontId="8"/>
  </si>
  <si>
    <t>□未承認、□承認済、□受注済、□マスタ採用済</t>
    <phoneticPr fontId="8"/>
  </si>
  <si>
    <t>見積計算書一覧</t>
    <phoneticPr fontId="8"/>
  </si>
  <si>
    <t>行番を表示</t>
    <phoneticPr fontId="8"/>
  </si>
  <si>
    <t>担当</t>
    <phoneticPr fontId="8"/>
  </si>
  <si>
    <t>担当を表示</t>
  </si>
  <si>
    <t>担当者名</t>
    <phoneticPr fontId="8"/>
  </si>
  <si>
    <t>担当者名を表示</t>
  </si>
  <si>
    <t>得意先を表示</t>
  </si>
  <si>
    <t>得意先名</t>
    <phoneticPr fontId="8"/>
  </si>
  <si>
    <t>得意先名を表示</t>
  </si>
  <si>
    <t>案件NO</t>
  </si>
  <si>
    <t>案件NOを表示</t>
  </si>
  <si>
    <t>案件名を表示</t>
  </si>
  <si>
    <t>見積計算書NOを表示</t>
  </si>
  <si>
    <t>見積作成日</t>
  </si>
  <si>
    <t>見積作成日を表示</t>
  </si>
  <si>
    <t>顧客品名1を表示</t>
  </si>
  <si>
    <t>顧客品名2を表示</t>
  </si>
  <si>
    <t>見積数</t>
  </si>
  <si>
    <t>見積数を表示</t>
  </si>
  <si>
    <t>決定予想を表示</t>
  </si>
  <si>
    <t>見積平米</t>
  </si>
  <si>
    <t>見積平米を表示</t>
  </si>
  <si>
    <t>㎡単価</t>
  </si>
  <si>
    <t>㎡単価を表示</t>
  </si>
  <si>
    <t>金額</t>
  </si>
  <si>
    <t>金額を表示</t>
  </si>
  <si>
    <t>見積区分</t>
    <rPh sb="0" eb="2">
      <t>ミツモ</t>
    </rPh>
    <rPh sb="2" eb="4">
      <t>クブン</t>
    </rPh>
    <phoneticPr fontId="8"/>
  </si>
  <si>
    <t>見積区分を表示</t>
  </si>
  <si>
    <t>ステータス</t>
  </si>
  <si>
    <t>ステータスを表示</t>
  </si>
  <si>
    <t>見積計算書を出力する場合にチェックする</t>
    <phoneticPr fontId="8"/>
  </si>
  <si>
    <t>製品コードを表示</t>
  </si>
  <si>
    <t>共通項目</t>
    <phoneticPr fontId="8"/>
  </si>
  <si>
    <t>全選択</t>
  </si>
  <si>
    <t>見積計算書一覧の発行チェックを全てチェック=ONとする</t>
    <rPh sb="5" eb="7">
      <t>イチラン</t>
    </rPh>
    <rPh sb="8" eb="10">
      <t>ハッコウ</t>
    </rPh>
    <rPh sb="15" eb="16">
      <t>スベ</t>
    </rPh>
    <phoneticPr fontId="8"/>
  </si>
  <si>
    <t>全解除</t>
  </si>
  <si>
    <t>見積計算書一覧の発行チェックを全てチェック=OFFとする</t>
    <phoneticPr fontId="8"/>
  </si>
  <si>
    <t>フッター</t>
    <phoneticPr fontId="8"/>
  </si>
  <si>
    <t>クリア</t>
    <phoneticPr fontId="8"/>
  </si>
  <si>
    <t>画面を初期化する</t>
    <rPh sb="0" eb="2">
      <t>ガメン</t>
    </rPh>
    <rPh sb="3" eb="6">
      <t>ショキカ</t>
    </rPh>
    <phoneticPr fontId="8"/>
  </si>
  <si>
    <t>B</t>
    <phoneticPr fontId="8"/>
  </si>
  <si>
    <t>表示</t>
    <rPh sb="0" eb="2">
      <t>ヒョウジ</t>
    </rPh>
    <phoneticPr fontId="8"/>
  </si>
  <si>
    <t>抽出条件をもとに見積計算書一覧に結果を表示する</t>
    <rPh sb="0" eb="4">
      <t>チュウシュツジョウケン</t>
    </rPh>
    <rPh sb="8" eb="10">
      <t>ミツモリ</t>
    </rPh>
    <rPh sb="10" eb="13">
      <t>ケイサンショ</t>
    </rPh>
    <rPh sb="13" eb="15">
      <t>イチラン</t>
    </rPh>
    <rPh sb="16" eb="18">
      <t>ケッカ</t>
    </rPh>
    <rPh sb="19" eb="21">
      <t>ヒョウジ</t>
    </rPh>
    <phoneticPr fontId="8"/>
  </si>
  <si>
    <t>見積詳細</t>
    <rPh sb="0" eb="2">
      <t>ミツモリ</t>
    </rPh>
    <rPh sb="2" eb="4">
      <t>ショウサイ</t>
    </rPh>
    <phoneticPr fontId="8"/>
  </si>
  <si>
    <t>見積計算書入力画面の「3ページ目：計算結果画面」に遷移する(参照モードで遷移する)</t>
    <rPh sb="7" eb="9">
      <t>ガメン</t>
    </rPh>
    <rPh sb="25" eb="27">
      <t>センイ</t>
    </rPh>
    <phoneticPr fontId="8"/>
  </si>
  <si>
    <t>見積計算書</t>
    <phoneticPr fontId="8"/>
  </si>
  <si>
    <t>見積計算書一覧の発行にチェックされたデータを帳票「見積計算書」として出力する</t>
    <rPh sb="8" eb="10">
      <t>ハッコウ</t>
    </rPh>
    <rPh sb="22" eb="24">
      <t>チョウヒョウ</t>
    </rPh>
    <rPh sb="34" eb="36">
      <t>シュツリョク</t>
    </rPh>
    <phoneticPr fontId="8"/>
  </si>
  <si>
    <t>CSV出力</t>
    <phoneticPr fontId="8"/>
  </si>
  <si>
    <t>見積計算書一覧のデータをCSV出力する</t>
    <rPh sb="15" eb="17">
      <t>シュツリョク</t>
    </rPh>
    <phoneticPr fontId="8"/>
  </si>
  <si>
    <t>選択</t>
    <phoneticPr fontId="8"/>
  </si>
  <si>
    <t>検索モードで開いた場合に選択結果を遷移元画面に返す(見積計算書)</t>
    <rPh sb="0" eb="2">
      <t>ケンサク</t>
    </rPh>
    <rPh sb="6" eb="7">
      <t>ヒラ</t>
    </rPh>
    <rPh sb="9" eb="11">
      <t>バアイ</t>
    </rPh>
    <rPh sb="12" eb="14">
      <t>センタク</t>
    </rPh>
    <rPh sb="14" eb="16">
      <t>ケッカ</t>
    </rPh>
    <rPh sb="17" eb="22">
      <t>センイモトガメン</t>
    </rPh>
    <rPh sb="23" eb="24">
      <t>カエ</t>
    </rPh>
    <rPh sb="26" eb="31">
      <t>ミツモリケイサンショ</t>
    </rPh>
    <phoneticPr fontId="8"/>
  </si>
  <si>
    <t>オペレーションＩＤ/名称：SloRecvIfImp_Upd01/取込</t>
    <rPh sb="10" eb="12">
      <t>メイショウ</t>
    </rPh>
    <rPh sb="32" eb="34">
      <t>トリコミ</t>
    </rPh>
    <phoneticPr fontId="8"/>
  </si>
  <si>
    <t>項目名</t>
    <rPh sb="0" eb="2">
      <t>コウモク</t>
    </rPh>
    <rPh sb="2" eb="3">
      <t>メイ</t>
    </rPh>
    <phoneticPr fontId="8"/>
  </si>
  <si>
    <t>説明</t>
    <rPh sb="0" eb="2">
      <t>セツメイ</t>
    </rPh>
    <phoneticPr fontId="8"/>
  </si>
  <si>
    <t>未設定時の振る舞い</t>
    <rPh sb="0" eb="3">
      <t>ミセッテイ</t>
    </rPh>
    <rPh sb="3" eb="4">
      <t>ジ</t>
    </rPh>
    <rPh sb="5" eb="6">
      <t>フ</t>
    </rPh>
    <rPh sb="7" eb="8">
      <t>マ</t>
    </rPh>
    <phoneticPr fontId="8"/>
  </si>
  <si>
    <t>No</t>
    <phoneticPr fontId="8"/>
  </si>
  <si>
    <t>入力</t>
    <rPh sb="0" eb="2">
      <t>ニュウリョク</t>
    </rPh>
    <phoneticPr fontId="8"/>
  </si>
  <si>
    <t>処理</t>
    <rPh sb="0" eb="2">
      <t>ショリ</t>
    </rPh>
    <phoneticPr fontId="8"/>
  </si>
  <si>
    <t>出力</t>
    <rPh sb="0" eb="2">
      <t>シュツリョク</t>
    </rPh>
    <phoneticPr fontId="8"/>
  </si>
  <si>
    <t>初期表示</t>
    <phoneticPr fontId="8"/>
  </si>
  <si>
    <t>1.処理概要</t>
    <rPh sb="2" eb="6">
      <t>ショリガイヨウ</t>
    </rPh>
    <phoneticPr fontId="8"/>
  </si>
  <si>
    <t>：</t>
    <phoneticPr fontId="8"/>
  </si>
  <si>
    <t>ログインに紐づく拠点CDを表示する</t>
    <rPh sb="5" eb="6">
      <t>ヒモ</t>
    </rPh>
    <rPh sb="8" eb="10">
      <t>キョテン</t>
    </rPh>
    <rPh sb="13" eb="15">
      <t>ヒョウジ</t>
    </rPh>
    <phoneticPr fontId="8"/>
  </si>
  <si>
    <t>ログイン.管理者区分 = 0(一般ユーザー時)、変更不可とする</t>
    <rPh sb="15" eb="17">
      <t>イッパン</t>
    </rPh>
    <rPh sb="21" eb="22">
      <t>ジ</t>
    </rPh>
    <rPh sb="24" eb="28">
      <t>ヘンコウフカ</t>
    </rPh>
    <phoneticPr fontId="8"/>
  </si>
  <si>
    <t>担当者</t>
    <phoneticPr fontId="8"/>
  </si>
  <si>
    <t>ログイン担当者CDを表示する</t>
    <rPh sb="4" eb="7">
      <t>タントウシャ</t>
    </rPh>
    <rPh sb="10" eb="12">
      <t>ヒョウジ</t>
    </rPh>
    <phoneticPr fontId="8"/>
  </si>
  <si>
    <t>見積作成日Fromに当日 - ログインマスタ.初期表示をセット、Toに当日をセットする</t>
    <phoneticPr fontId="8"/>
  </si>
  <si>
    <t>表示処理</t>
    <rPh sb="2" eb="4">
      <t>ショリ</t>
    </rPh>
    <phoneticPr fontId="8"/>
  </si>
  <si>
    <t>抽出条件をもとに見積計算書一覧に結果を表示する</t>
    <phoneticPr fontId="8"/>
  </si>
  <si>
    <t>検索入出力仕様.NO1</t>
    <phoneticPr fontId="8"/>
  </si>
  <si>
    <t>フッターボタン表示・非表示切替</t>
    <rPh sb="7" eb="9">
      <t>ヒョウジ</t>
    </rPh>
    <rPh sb="10" eb="13">
      <t>ヒヒョウジ</t>
    </rPh>
    <rPh sb="13" eb="15">
      <t>キリカエ</t>
    </rPh>
    <phoneticPr fontId="8"/>
  </si>
  <si>
    <t>メニューから呼び出された場合(照会画面モード)</t>
    <rPh sb="6" eb="7">
      <t>ヨ</t>
    </rPh>
    <rPh sb="8" eb="9">
      <t>ダ</t>
    </rPh>
    <rPh sb="12" eb="14">
      <t>バアイ</t>
    </rPh>
    <rPh sb="15" eb="17">
      <t>ショウカイ</t>
    </rPh>
    <rPh sb="17" eb="19">
      <t>ガメン</t>
    </rPh>
    <phoneticPr fontId="8"/>
  </si>
  <si>
    <t>見積詳細ボタンを表示、選択ボタンを非表示とする</t>
    <rPh sb="17" eb="20">
      <t>ヒヒョウジ</t>
    </rPh>
    <phoneticPr fontId="8"/>
  </si>
  <si>
    <t>検索画面として呼び出された場合(検索画面モード)</t>
    <rPh sb="7" eb="8">
      <t>ヨ</t>
    </rPh>
    <rPh sb="9" eb="10">
      <t>ダ</t>
    </rPh>
    <rPh sb="13" eb="15">
      <t>バアイ</t>
    </rPh>
    <rPh sb="16" eb="18">
      <t>ケンサク</t>
    </rPh>
    <phoneticPr fontId="8"/>
  </si>
  <si>
    <t>見積詳細ボタンを非表示、選択ボタンを表示とする</t>
    <rPh sb="8" eb="9">
      <t>ヒ</t>
    </rPh>
    <rPh sb="18" eb="20">
      <t>ヒョウジ</t>
    </rPh>
    <phoneticPr fontId="8"/>
  </si>
  <si>
    <t>例)検索画面モード:Web見積計算書入力から検索画面として呼び出され、選択行を返す場合</t>
    <rPh sb="0" eb="1">
      <t>レイ</t>
    </rPh>
    <rPh sb="22" eb="26">
      <t>ケンサクガメン</t>
    </rPh>
    <rPh sb="29" eb="30">
      <t>ヨ</t>
    </rPh>
    <rPh sb="31" eb="32">
      <t>ダ</t>
    </rPh>
    <rPh sb="35" eb="38">
      <t>センタクギョウ</t>
    </rPh>
    <rPh sb="39" eb="40">
      <t>カエ</t>
    </rPh>
    <rPh sb="41" eb="43">
      <t>バアイ</t>
    </rPh>
    <phoneticPr fontId="8"/>
  </si>
  <si>
    <t>2</t>
    <phoneticPr fontId="8"/>
  </si>
  <si>
    <t>画面操作</t>
    <rPh sb="0" eb="2">
      <t>ガメン</t>
    </rPh>
    <rPh sb="2" eb="4">
      <t>ソウサ</t>
    </rPh>
    <phoneticPr fontId="8"/>
  </si>
  <si>
    <t>1.処理概要</t>
    <phoneticPr fontId="8"/>
  </si>
  <si>
    <t>ボタン処理</t>
    <rPh sb="3" eb="5">
      <t>ショリ</t>
    </rPh>
    <phoneticPr fontId="8"/>
  </si>
  <si>
    <t>クリアボタン押下</t>
    <rPh sb="6" eb="8">
      <t>オウカ</t>
    </rPh>
    <phoneticPr fontId="8"/>
  </si>
  <si>
    <t>：</t>
  </si>
  <si>
    <t>画面を初期化する(起動時の状態とする)</t>
    <rPh sb="0" eb="2">
      <t>ガメン</t>
    </rPh>
    <rPh sb="3" eb="6">
      <t>ショキカ</t>
    </rPh>
    <rPh sb="9" eb="12">
      <t>キドウジ</t>
    </rPh>
    <rPh sb="13" eb="15">
      <t>ジョウタイ</t>
    </rPh>
    <phoneticPr fontId="8"/>
  </si>
  <si>
    <t>表示ボタン押下</t>
    <rPh sb="0" eb="2">
      <t>ヒョウジ</t>
    </rPh>
    <rPh sb="5" eb="7">
      <t>オウカ</t>
    </rPh>
    <phoneticPr fontId="8"/>
  </si>
  <si>
    <t>チェック処理にてエラーとなった場合、後続処理をキャンセルする</t>
    <rPh sb="4" eb="6">
      <t>ショリ</t>
    </rPh>
    <rPh sb="15" eb="17">
      <t>バアイ</t>
    </rPh>
    <rPh sb="18" eb="22">
      <t>コウゾクショリ</t>
    </rPh>
    <phoneticPr fontId="8"/>
  </si>
  <si>
    <t>(チェック処理)</t>
    <phoneticPr fontId="8"/>
  </si>
  <si>
    <t>FROM～TOの整合性チェック</t>
    <rPh sb="8" eb="11">
      <t>セイゴウセイ</t>
    </rPh>
    <phoneticPr fontId="8"/>
  </si>
  <si>
    <t>エラーメッセージ：FROM≦TOの関係で指定してください。</t>
    <rPh sb="17" eb="19">
      <t>カンケイ</t>
    </rPh>
    <rPh sb="20" eb="22">
      <t>シテイ</t>
    </rPh>
    <phoneticPr fontId="8"/>
  </si>
  <si>
    <t>メッセージID.001</t>
    <phoneticPr fontId="8"/>
  </si>
  <si>
    <t>チェックボックスチェック有無</t>
    <rPh sb="12" eb="14">
      <t>ウム</t>
    </rPh>
    <phoneticPr fontId="8"/>
  </si>
  <si>
    <t>エラーメッセージ：いずれかを選択してください。</t>
    <rPh sb="14" eb="16">
      <t>センタク</t>
    </rPh>
    <phoneticPr fontId="8"/>
  </si>
  <si>
    <t>メッセージID.002</t>
    <phoneticPr fontId="8"/>
  </si>
  <si>
    <t>データ取得できなかった場合、下記メッセージを表示</t>
    <rPh sb="3" eb="5">
      <t>シュトク</t>
    </rPh>
    <rPh sb="11" eb="13">
      <t>バアイ</t>
    </rPh>
    <rPh sb="14" eb="16">
      <t>カキ</t>
    </rPh>
    <rPh sb="22" eb="24">
      <t>ヒョウジ</t>
    </rPh>
    <phoneticPr fontId="8"/>
  </si>
  <si>
    <t>エラーメッセージ：検索結果がありません。</t>
    <rPh sb="9" eb="13">
      <t>ケンサクケッカ</t>
    </rPh>
    <phoneticPr fontId="8"/>
  </si>
  <si>
    <t>メッセージID.003</t>
    <phoneticPr fontId="8"/>
  </si>
  <si>
    <t>見積計算書発行ボタン押下</t>
    <rPh sb="2" eb="5">
      <t>ケイサンショ</t>
    </rPh>
    <rPh sb="5" eb="7">
      <t>ハッコウ</t>
    </rPh>
    <rPh sb="10" eb="12">
      <t>オウカ</t>
    </rPh>
    <phoneticPr fontId="8"/>
  </si>
  <si>
    <t>発行☑が1行もチェックされていない場合、下記メッセージを表示</t>
    <rPh sb="0" eb="2">
      <t>ハッコウ</t>
    </rPh>
    <rPh sb="5" eb="6">
      <t>ギョウ</t>
    </rPh>
    <rPh sb="17" eb="19">
      <t>バアイ</t>
    </rPh>
    <phoneticPr fontId="8"/>
  </si>
  <si>
    <t>エラーメッセージ：発行対象がありません。</t>
    <phoneticPr fontId="8"/>
  </si>
  <si>
    <t>メッセージID.004</t>
    <phoneticPr fontId="8"/>
  </si>
  <si>
    <t>※帳票出力は、【MSBBRA010】_帳票設計書_アドオン(見積計算書)を参照</t>
    <rPh sb="1" eb="3">
      <t>チョウヒョウ</t>
    </rPh>
    <rPh sb="3" eb="5">
      <t>シュツリョク</t>
    </rPh>
    <rPh sb="37" eb="39">
      <t>サンショウ</t>
    </rPh>
    <phoneticPr fontId="8"/>
  </si>
  <si>
    <t>ファイル入出力仕様.NO1</t>
    <phoneticPr fontId="8"/>
  </si>
  <si>
    <t>※1 CSV出力定義とファイル名は、【MSBBPACOM】_共通設計書_アドオン(共通ロジック)にて定義</t>
    <rPh sb="6" eb="10">
      <t>シュツリョクテイギ</t>
    </rPh>
    <rPh sb="15" eb="16">
      <t>メイ</t>
    </rPh>
    <phoneticPr fontId="8"/>
  </si>
  <si>
    <t>※2 画面に表示されたデータがCSVとして出力される</t>
    <rPh sb="3" eb="5">
      <t>ガメン</t>
    </rPh>
    <rPh sb="6" eb="8">
      <t>ヒョウジ</t>
    </rPh>
    <rPh sb="21" eb="23">
      <t>シュツリョク</t>
    </rPh>
    <phoneticPr fontId="8"/>
  </si>
  <si>
    <t>事前指摘</t>
    <rPh sb="0" eb="4">
      <t>ジゼンシテキ</t>
    </rPh>
    <phoneticPr fontId="8"/>
  </si>
  <si>
    <t>見積詳細ボタン押下</t>
    <rPh sb="0" eb="4">
      <t>ミツモリショウサイ</t>
    </rPh>
    <rPh sb="7" eb="9">
      <t>オウカ</t>
    </rPh>
    <phoneticPr fontId="8"/>
  </si>
  <si>
    <t>見積計算書入力画面の「3ページ目：計算結果画面」に遷移する(操作種別:参照で遷移する)</t>
    <rPh sb="7" eb="9">
      <t>ガメン</t>
    </rPh>
    <rPh sb="25" eb="27">
      <t>センイ</t>
    </rPh>
    <rPh sb="30" eb="34">
      <t>ソウサシュベツ</t>
    </rPh>
    <phoneticPr fontId="8"/>
  </si>
  <si>
    <t>一覧にデータが無いもしくは対象行が選択されてない場合、下記メッセージを表示</t>
    <rPh sb="0" eb="2">
      <t>イチラン</t>
    </rPh>
    <rPh sb="7" eb="8">
      <t>ナ</t>
    </rPh>
    <rPh sb="13" eb="16">
      <t>タイショウギョウ</t>
    </rPh>
    <rPh sb="17" eb="19">
      <t>センタク</t>
    </rPh>
    <rPh sb="24" eb="26">
      <t>バアイ</t>
    </rPh>
    <phoneticPr fontId="8"/>
  </si>
  <si>
    <t>CP指摘 2022/09/28　木﨑　選択した詳細画面へ遷移なら一覧にチェックボックス等の選択用項目が必要かと思います。(何を選択中か分からない。選択した行はハイライト表示ですか？)また[選択]→[詳細表示]ですと２ステップの操作になるので、各行の先頭に受注詳細ボタを設けた方が操作性は良いかと思います。(スクロール時は固定)</t>
    <phoneticPr fontId="8"/>
  </si>
  <si>
    <t>エラーメッセージ：選択行がありません。</t>
    <rPh sb="9" eb="12">
      <t>センタクギョウ</t>
    </rPh>
    <phoneticPr fontId="8"/>
  </si>
  <si>
    <t>メッセージID.005</t>
    <phoneticPr fontId="8"/>
  </si>
  <si>
    <t>MDSOL 野村　2022/10/25 選択行となります。初期想定は、一覧にて選択ボタンを設けておりましたが、打合せによりフッターにボタンを集約することになりました。</t>
    <rPh sb="6" eb="8">
      <t>ノムラ</t>
    </rPh>
    <rPh sb="20" eb="22">
      <t>センタク</t>
    </rPh>
    <rPh sb="22" eb="23">
      <t>ギョウ</t>
    </rPh>
    <rPh sb="29" eb="31">
      <t>ショキ</t>
    </rPh>
    <rPh sb="31" eb="33">
      <t>ソウテイ</t>
    </rPh>
    <rPh sb="35" eb="37">
      <t>イチラン</t>
    </rPh>
    <rPh sb="39" eb="41">
      <t>センタク</t>
    </rPh>
    <rPh sb="45" eb="46">
      <t>モウ</t>
    </rPh>
    <rPh sb="55" eb="57">
      <t>ウチアワ</t>
    </rPh>
    <rPh sb="70" eb="72">
      <t>シュウヤク</t>
    </rPh>
    <phoneticPr fontId="8"/>
  </si>
  <si>
    <t>　→  選択行の見積計算書NOをキーに見積計算書のデータを参照する</t>
    <rPh sb="4" eb="7">
      <t>センタクギョウ</t>
    </rPh>
    <rPh sb="8" eb="13">
      <t>ミツモリケイサンショ</t>
    </rPh>
    <rPh sb="29" eb="31">
      <t>サンショウ</t>
    </rPh>
    <phoneticPr fontId="8"/>
  </si>
  <si>
    <t>画面遷移.S01.NO1</t>
    <phoneticPr fontId="8"/>
  </si>
  <si>
    <t>選択</t>
    <rPh sb="0" eb="2">
      <t>センタク</t>
    </rPh>
    <phoneticPr fontId="8"/>
  </si>
  <si>
    <t>検索モードで開いた場合に選択結果(1行)を遷移元画面に返す</t>
    <rPh sb="0" eb="2">
      <t>ケンサク</t>
    </rPh>
    <rPh sb="6" eb="7">
      <t>ヒラ</t>
    </rPh>
    <rPh sb="9" eb="11">
      <t>バアイ</t>
    </rPh>
    <rPh sb="12" eb="14">
      <t>センタク</t>
    </rPh>
    <rPh sb="14" eb="16">
      <t>ケッカ</t>
    </rPh>
    <rPh sb="18" eb="19">
      <t>ギョウ</t>
    </rPh>
    <rPh sb="21" eb="26">
      <t>センイモトガメン</t>
    </rPh>
    <rPh sb="27" eb="28">
      <t>カエ</t>
    </rPh>
    <phoneticPr fontId="8"/>
  </si>
  <si>
    <t>CP指摘 2022/09/28　木﨑　選択ボタンは各行の先頭に設けた方が操作性は良くなると思います。</t>
    <phoneticPr fontId="8"/>
  </si>
  <si>
    <t>MDSOL 野村　2022/10/25 打合せにより、フッターにボタンを集めることになりました。</t>
    <rPh sb="6" eb="8">
      <t>ノムラ</t>
    </rPh>
    <rPh sb="20" eb="21">
      <t>ウ</t>
    </rPh>
    <rPh sb="21" eb="22">
      <t>ア</t>
    </rPh>
    <rPh sb="36" eb="37">
      <t>アツ</t>
    </rPh>
    <phoneticPr fontId="8"/>
  </si>
  <si>
    <t>※1 選択された見積計算書の1レコードを呼出元に返す</t>
    <rPh sb="3" eb="5">
      <t>センタク</t>
    </rPh>
    <rPh sb="8" eb="10">
      <t>ミツモリ</t>
    </rPh>
    <rPh sb="10" eb="13">
      <t>ケイサンショ</t>
    </rPh>
    <rPh sb="20" eb="21">
      <t>ヨ</t>
    </rPh>
    <rPh sb="21" eb="22">
      <t>ダ</t>
    </rPh>
    <rPh sb="22" eb="23">
      <t>モト</t>
    </rPh>
    <rPh sb="24" eb="25">
      <t>カエ</t>
    </rPh>
    <phoneticPr fontId="8"/>
  </si>
  <si>
    <t>※2 複数選択は許可しない</t>
    <rPh sb="3" eb="5">
      <t>フクスウ</t>
    </rPh>
    <rPh sb="5" eb="7">
      <t>センタク</t>
    </rPh>
    <rPh sb="8" eb="10">
      <t>キョカ</t>
    </rPh>
    <phoneticPr fontId="8"/>
  </si>
  <si>
    <t>3</t>
    <phoneticPr fontId="8"/>
  </si>
  <si>
    <t>検索【F1】</t>
    <rPh sb="0" eb="2">
      <t>ケンサク</t>
    </rPh>
    <phoneticPr fontId="8"/>
  </si>
  <si>
    <t>検索処理</t>
    <rPh sb="0" eb="2">
      <t>ケンサク</t>
    </rPh>
    <rPh sb="2" eb="4">
      <t>ショリ</t>
    </rPh>
    <phoneticPr fontId="8"/>
  </si>
  <si>
    <t>備考</t>
    <rPh sb="0" eb="2">
      <t>ビコウ</t>
    </rPh>
    <phoneticPr fontId="8"/>
  </si>
  <si>
    <t>表示ボタンクリック時処理</t>
    <rPh sb="0" eb="2">
      <t>ヒョウジ</t>
    </rPh>
    <rPh sb="9" eb="10">
      <t>ジ</t>
    </rPh>
    <rPh sb="10" eb="12">
      <t>ショリ</t>
    </rPh>
    <phoneticPr fontId="8"/>
  </si>
  <si>
    <t>処理分類</t>
    <rPh sb="0" eb="2">
      <t>ショリ</t>
    </rPh>
    <rPh sb="2" eb="4">
      <t>ブンルイ</t>
    </rPh>
    <phoneticPr fontId="8"/>
  </si>
  <si>
    <t>検索</t>
    <rPh sb="0" eb="2">
      <t>ケンサク</t>
    </rPh>
    <phoneticPr fontId="8"/>
  </si>
  <si>
    <t>ソート順</t>
    <rPh sb="3" eb="4">
      <t>ジュン</t>
    </rPh>
    <phoneticPr fontId="8"/>
  </si>
  <si>
    <t>転送先</t>
    <rPh sb="0" eb="2">
      <t>テンソウ</t>
    </rPh>
    <rPh sb="2" eb="3">
      <t>サキ</t>
    </rPh>
    <phoneticPr fontId="8"/>
  </si>
  <si>
    <t>転送元</t>
    <rPh sb="0" eb="2">
      <t>テンソウ</t>
    </rPh>
    <rPh sb="2" eb="3">
      <t>モト</t>
    </rPh>
    <phoneticPr fontId="8"/>
  </si>
  <si>
    <t>種</t>
    <rPh sb="0" eb="1">
      <t>タネ</t>
    </rPh>
    <phoneticPr fontId="8"/>
  </si>
  <si>
    <t>オブジェクト</t>
    <phoneticPr fontId="8"/>
  </si>
  <si>
    <t>画</t>
    <rPh sb="0" eb="1">
      <t>ガ</t>
    </rPh>
    <phoneticPr fontId="8"/>
  </si>
  <si>
    <t>行番</t>
    <rPh sb="0" eb="2">
      <t>ギョウバン</t>
    </rPh>
    <phoneticPr fontId="8"/>
  </si>
  <si>
    <t>画</t>
    <phoneticPr fontId="8"/>
  </si>
  <si>
    <t>担当</t>
  </si>
  <si>
    <t>担当者名</t>
  </si>
  <si>
    <t>得意先名</t>
  </si>
  <si>
    <t>顧客品名1</t>
  </si>
  <si>
    <t>顧客品名2</t>
  </si>
  <si>
    <t>定数定義</t>
    <rPh sb="0" eb="4">
      <t>テイスウテイギ</t>
    </rPh>
    <phoneticPr fontId="8"/>
  </si>
  <si>
    <t>[0:固定値]</t>
    <rPh sb="3" eb="6">
      <t>コテイチ</t>
    </rPh>
    <phoneticPr fontId="8"/>
  </si>
  <si>
    <t>チェックOFF</t>
    <phoneticPr fontId="8"/>
  </si>
  <si>
    <t>ロジック名称</t>
    <rPh sb="4" eb="6">
      <t>メイショウ</t>
    </rPh>
    <phoneticPr fontId="8"/>
  </si>
  <si>
    <t>更新</t>
    <rPh sb="0" eb="2">
      <t>コウシン</t>
    </rPh>
    <phoneticPr fontId="8"/>
  </si>
  <si>
    <t>ファイル出力</t>
    <phoneticPr fontId="8"/>
  </si>
  <si>
    <t>ファイル出力</t>
    <rPh sb="4" eb="6">
      <t>シュツリョク</t>
    </rPh>
    <phoneticPr fontId="8"/>
  </si>
  <si>
    <t>フ</t>
    <phoneticPr fontId="8"/>
  </si>
  <si>
    <t>見積計算書一覧</t>
  </si>
  <si>
    <t>画</t>
  </si>
  <si>
    <t>画面遷移フロー図</t>
    <rPh sb="0" eb="4">
      <t>ガメンセンイ</t>
    </rPh>
    <rPh sb="7" eb="8">
      <t>ズ</t>
    </rPh>
    <phoneticPr fontId="8"/>
  </si>
  <si>
    <t>ＩＤ</t>
    <phoneticPr fontId="8"/>
  </si>
  <si>
    <t>S01</t>
    <phoneticPr fontId="8"/>
  </si>
  <si>
    <t>Web見積計算書一覧照会から他画面の画面遷移</t>
    <rPh sb="3" eb="5">
      <t>ミツモリ</t>
    </rPh>
    <rPh sb="5" eb="8">
      <t>ケイサンショ</t>
    </rPh>
    <rPh sb="8" eb="10">
      <t>イチラン</t>
    </rPh>
    <rPh sb="10" eb="12">
      <t>ショウカイ</t>
    </rPh>
    <rPh sb="14" eb="15">
      <t>ホカ</t>
    </rPh>
    <rPh sb="15" eb="17">
      <t>ガメン</t>
    </rPh>
    <rPh sb="18" eb="20">
      <t>ガメン</t>
    </rPh>
    <rPh sb="20" eb="22">
      <t>センイ</t>
    </rPh>
    <phoneticPr fontId="8"/>
  </si>
  <si>
    <t>NO2</t>
    <phoneticPr fontId="8"/>
  </si>
  <si>
    <t>Web取引先一覧照会</t>
    <rPh sb="3" eb="5">
      <t>トリヒキ</t>
    </rPh>
    <rPh sb="5" eb="6">
      <t>サキ</t>
    </rPh>
    <rPh sb="6" eb="8">
      <t>イチラン</t>
    </rPh>
    <rPh sb="8" eb="10">
      <t>ショウカイ</t>
    </rPh>
    <phoneticPr fontId="8"/>
  </si>
  <si>
    <t>NO1</t>
    <phoneticPr fontId="8"/>
  </si>
  <si>
    <t>Web見積計算書入力</t>
    <phoneticPr fontId="8"/>
  </si>
  <si>
    <t>3ページ目：計算結果画面</t>
    <phoneticPr fontId="8"/>
  </si>
  <si>
    <t>見積詳細ボタン押下</t>
    <phoneticPr fontId="8"/>
  </si>
  <si>
    <t>NO3</t>
    <phoneticPr fontId="8"/>
  </si>
  <si>
    <t>Web汎用検索(共通検索)</t>
    <rPh sb="3" eb="5">
      <t>ハンヨウ</t>
    </rPh>
    <rPh sb="5" eb="7">
      <t>ケンサク</t>
    </rPh>
    <rPh sb="8" eb="10">
      <t>キョウツウ</t>
    </rPh>
    <rPh sb="10" eb="12">
      <t>ケンサク</t>
    </rPh>
    <phoneticPr fontId="8"/>
  </si>
  <si>
    <t>ID</t>
    <phoneticPr fontId="8"/>
  </si>
  <si>
    <t>処理名</t>
    <rPh sb="0" eb="2">
      <t>ショリ</t>
    </rPh>
    <rPh sb="2" eb="3">
      <t>メイ</t>
    </rPh>
    <phoneticPr fontId="8"/>
  </si>
  <si>
    <t>Web見積計算書一覧照会から他画面の画面遷移</t>
    <phoneticPr fontId="8"/>
  </si>
  <si>
    <t>NO</t>
    <phoneticPr fontId="8"/>
  </si>
  <si>
    <t>遷移元ＩＤ</t>
    <phoneticPr fontId="8"/>
  </si>
  <si>
    <t>遷移元画面名</t>
    <rPh sb="3" eb="5">
      <t>ガメン</t>
    </rPh>
    <rPh sb="5" eb="6">
      <t>メイ</t>
    </rPh>
    <phoneticPr fontId="8"/>
  </si>
  <si>
    <t>遷移先ＩＤ</t>
    <rPh sb="2" eb="3">
      <t>サキ</t>
    </rPh>
    <phoneticPr fontId="8"/>
  </si>
  <si>
    <t>遷移先画面名</t>
    <rPh sb="3" eb="5">
      <t>ガメン</t>
    </rPh>
    <rPh sb="5" eb="6">
      <t>メイ</t>
    </rPh>
    <phoneticPr fontId="8"/>
  </si>
  <si>
    <t>目的</t>
    <rPh sb="0" eb="2">
      <t>モクテキ</t>
    </rPh>
    <phoneticPr fontId="8"/>
  </si>
  <si>
    <t>引継項目</t>
    <phoneticPr fontId="8"/>
  </si>
  <si>
    <t>遷移後のアクション(遷移先)</t>
    <rPh sb="12" eb="13">
      <t>サキ</t>
    </rPh>
    <phoneticPr fontId="8"/>
  </si>
  <si>
    <t>戻り値</t>
    <rPh sb="0" eb="1">
      <t>モド</t>
    </rPh>
    <rPh sb="2" eb="3">
      <t>チ</t>
    </rPh>
    <phoneticPr fontId="8"/>
  </si>
  <si>
    <t>戻り値取得後のアクション(遷移元)</t>
    <rPh sb="0" eb="1">
      <t>モド</t>
    </rPh>
    <rPh sb="2" eb="3">
      <t>チ</t>
    </rPh>
    <rPh sb="3" eb="6">
      <t>シュトクゴ</t>
    </rPh>
    <rPh sb="13" eb="16">
      <t>センイモト</t>
    </rPh>
    <phoneticPr fontId="8"/>
  </si>
  <si>
    <t>MSBBPA010</t>
    <phoneticPr fontId="8"/>
  </si>
  <si>
    <t>Web見積計算入力(計算結果)</t>
    <rPh sb="3" eb="9">
      <t>ミツモリケイサンニュウリョク</t>
    </rPh>
    <rPh sb="10" eb="14">
      <t>ケイサンケッカ</t>
    </rPh>
    <phoneticPr fontId="8"/>
  </si>
  <si>
    <t>参照</t>
    <rPh sb="0" eb="2">
      <t>サンショウ</t>
    </rPh>
    <phoneticPr fontId="8"/>
  </si>
  <si>
    <t>見積計算書NO</t>
    <phoneticPr fontId="8"/>
  </si>
  <si>
    <t>操作種別:参照、データ参照</t>
    <rPh sb="0" eb="4">
      <t>ソウサシュベツ</t>
    </rPh>
    <rPh sb="5" eb="7">
      <t>サンショウ</t>
    </rPh>
    <rPh sb="11" eb="13">
      <t>サンショウ</t>
    </rPh>
    <phoneticPr fontId="8"/>
  </si>
  <si>
    <t>Web見積計算書一覧照会</t>
  </si>
  <si>
    <t>MSBBPA120</t>
    <phoneticPr fontId="8"/>
  </si>
  <si>
    <t>Web取引先一覧照会</t>
    <phoneticPr fontId="8"/>
  </si>
  <si>
    <t>検索結果取得</t>
    <rPh sb="0" eb="2">
      <t>ケンサク</t>
    </rPh>
    <rPh sb="2" eb="4">
      <t>ケッカ</t>
    </rPh>
    <rPh sb="4" eb="6">
      <t>シュトク</t>
    </rPh>
    <phoneticPr fontId="8"/>
  </si>
  <si>
    <t>得意先ＦＬＧ=1</t>
    <phoneticPr fontId="8"/>
  </si>
  <si>
    <t>検索</t>
    <phoneticPr fontId="8"/>
  </si>
  <si>
    <t>取引先選択データ(1行)</t>
    <rPh sb="0" eb="3">
      <t>トリヒキサキ</t>
    </rPh>
    <phoneticPr fontId="8"/>
  </si>
  <si>
    <t>対象データに値セット</t>
    <rPh sb="0" eb="2">
      <t>タイショウ</t>
    </rPh>
    <rPh sb="6" eb="7">
      <t>アタイ</t>
    </rPh>
    <phoneticPr fontId="8"/>
  </si>
  <si>
    <t>得意先CD、得意先名に値セット</t>
    <rPh sb="0" eb="3">
      <t>トクイサキ</t>
    </rPh>
    <rPh sb="6" eb="10">
      <t>トクイサキメイ</t>
    </rPh>
    <rPh sb="11" eb="12">
      <t>アタイ</t>
    </rPh>
    <phoneticPr fontId="8"/>
  </si>
  <si>
    <t>MSBBPA900</t>
  </si>
  <si>
    <t>Web汎用検索(共通検索)</t>
    <phoneticPr fontId="8"/>
  </si>
  <si>
    <t>各種検索画面の選択データ(1行)</t>
    <rPh sb="0" eb="6">
      <t>カクシュケンサクガメン</t>
    </rPh>
    <phoneticPr fontId="10"/>
  </si>
  <si>
    <t>対象データに値セット</t>
    <rPh sb="0" eb="2">
      <t>タイショウ</t>
    </rPh>
    <rPh sb="6" eb="7">
      <t>アタイ</t>
    </rPh>
    <phoneticPr fontId="10"/>
  </si>
  <si>
    <t>CD、名称に値セット</t>
  </si>
  <si>
    <t>↓アドオン画面のため、基本全て[新]</t>
    <rPh sb="5" eb="7">
      <t>ガメン</t>
    </rPh>
    <rPh sb="11" eb="13">
      <t>キホン</t>
    </rPh>
    <rPh sb="13" eb="14">
      <t>スベ</t>
    </rPh>
    <rPh sb="16" eb="17">
      <t>シン</t>
    </rPh>
    <phoneticPr fontId="8"/>
  </si>
  <si>
    <t>新/変</t>
    <rPh sb="0" eb="1">
      <t>シン</t>
    </rPh>
    <rPh sb="2" eb="3">
      <t>ヘン</t>
    </rPh>
    <phoneticPr fontId="8"/>
  </si>
  <si>
    <t>種別</t>
    <rPh sb="0" eb="2">
      <t>シュベツ</t>
    </rPh>
    <phoneticPr fontId="8"/>
  </si>
  <si>
    <t>メッセージ内容</t>
    <rPh sb="5" eb="7">
      <t>ナイヨウ</t>
    </rPh>
    <phoneticPr fontId="8"/>
  </si>
  <si>
    <t>備考（パラメータ等）</t>
    <rPh sb="0" eb="2">
      <t>ビコウ</t>
    </rPh>
    <rPh sb="8" eb="9">
      <t>トウ</t>
    </rPh>
    <phoneticPr fontId="8"/>
  </si>
  <si>
    <t>メッセージID</t>
    <phoneticPr fontId="8"/>
  </si>
  <si>
    <t>新</t>
    <rPh sb="0" eb="1">
      <t>シン</t>
    </rPh>
    <phoneticPr fontId="8"/>
  </si>
  <si>
    <t>W</t>
    <phoneticPr fontId="8"/>
  </si>
  <si>
    <t>「FROM≦TOの関係で指定してください。」</t>
    <phoneticPr fontId="8"/>
  </si>
  <si>
    <t>見積作成日、見積計算書NO</t>
  </si>
  <si>
    <t>「いずれかを選択してください。」</t>
  </si>
  <si>
    <t>見積区分、ステータス</t>
  </si>
  <si>
    <t>メッセージID.002</t>
  </si>
  <si>
    <t>「検索結果がありません。」</t>
  </si>
  <si>
    <t>メッセージID.003</t>
  </si>
  <si>
    <t>「発行対象がありません。」</t>
  </si>
  <si>
    <t>メッセージID.004</t>
  </si>
  <si>
    <t>「選択行がありません。」</t>
    <phoneticPr fontId="8"/>
  </si>
  <si>
    <t>補足説明</t>
    <rPh sb="0" eb="2">
      <t>ホソク</t>
    </rPh>
    <rPh sb="2" eb="4">
      <t>セツメイ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</si>
</sst>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s>
  <fonts count="11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C00000"/>
      <name val="Meiryo UI"/>
      <family val="3"/>
      <charset val="128"/>
    </font>
    <font>
      <sz val="9"/>
      <color rgb="FF003399"/>
      <name val="Meiryo UI"/>
      <family val="3"/>
      <charset val="128"/>
    </font>
    <font>
      <sz val="8"/>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9"/>
      <color theme="0"/>
      <name val="Meiryo UI"/>
      <family val="3"/>
      <charset val="128"/>
    </font>
    <font>
      <b/>
      <sz val="9"/>
      <color theme="0"/>
      <name val="Meiryo UI"/>
      <family val="3"/>
      <charset val="128"/>
    </font>
    <font>
      <sz val="8"/>
      <name val="メイリオ"/>
      <family val="3"/>
      <charset val="128"/>
    </font>
    <font>
      <b/>
      <sz val="7.5"/>
      <name val="Meiryo UI"/>
      <family val="3"/>
      <charset val="128"/>
    </font>
    <font>
      <sz val="7.5"/>
      <name val="Meiryo UI"/>
      <family val="3"/>
      <charset val="128"/>
    </font>
    <font>
      <sz val="9"/>
      <name val="Segoe UI Symbol"/>
      <family val="3"/>
    </font>
    <font>
      <b/>
      <sz val="8"/>
      <color rgb="FF0000FF"/>
      <name val="メイリオ"/>
      <family val="3"/>
      <charset val="128"/>
    </font>
    <font>
      <sz val="8"/>
      <color rgb="FFFF0000"/>
      <name val="メイリオ"/>
      <family val="3"/>
      <charset val="128"/>
    </font>
    <font>
      <b/>
      <sz val="8"/>
      <name val="メイリオ"/>
      <family val="3"/>
      <charset val="128"/>
    </font>
    <font>
      <sz val="9"/>
      <color rgb="FF0000FF"/>
      <name val="Meiryo UI"/>
      <family val="3"/>
      <charset val="128"/>
    </font>
    <font>
      <b/>
      <sz val="8"/>
      <color rgb="FF0000FF"/>
      <name val="Meiryo UI"/>
      <family val="3"/>
      <charset val="128"/>
    </font>
  </fonts>
  <fills count="62">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rgb="FF003399"/>
        <bgColor theme="0"/>
      </patternFill>
    </fill>
    <fill>
      <patternFill patternType="solid">
        <fgColor rgb="FF339966"/>
        <bgColor theme="0"/>
      </patternFill>
    </fill>
    <fill>
      <patternFill patternType="solid">
        <fgColor rgb="FFFFCCFF"/>
        <bgColor theme="0"/>
      </patternFill>
    </fill>
    <fill>
      <patternFill patternType="solid">
        <fgColor rgb="FFFFFFCC"/>
        <bgColor theme="0"/>
      </patternFill>
    </fill>
    <fill>
      <patternFill patternType="solid">
        <fgColor rgb="FFFFFFFF"/>
        <bgColor theme="0"/>
      </patternFill>
    </fill>
    <fill>
      <patternFill patternType="solid">
        <fgColor rgb="FFFFFFCC"/>
        <bgColor indexed="64"/>
      </patternFill>
    </fill>
    <fill>
      <patternFill patternType="solid">
        <fgColor theme="0"/>
        <bgColor theme="0"/>
      </patternFill>
    </fill>
    <fill>
      <patternFill patternType="solid">
        <fgColor theme="5" tint="-0.249977111117893"/>
        <bgColor indexed="64"/>
      </patternFill>
    </fill>
    <fill>
      <patternFill patternType="solid">
        <fgColor rgb="FF0070C0"/>
        <bgColor theme="0"/>
      </patternFill>
    </fill>
    <fill>
      <patternFill patternType="solid">
        <fgColor theme="9" tint="0.79998168889431442"/>
        <bgColor theme="0"/>
      </patternFill>
    </fill>
    <fill>
      <patternFill patternType="solid">
        <fgColor theme="0" tint="-4.9989318521683403E-2"/>
        <bgColor theme="0"/>
      </patternFill>
    </fill>
    <fill>
      <patternFill patternType="solid">
        <fgColor theme="7" tint="0.79998168889431442"/>
        <bgColor indexed="64"/>
      </patternFill>
    </fill>
    <fill>
      <patternFill patternType="solid">
        <fgColor rgb="FFD9D9D9"/>
        <bgColor indexed="64"/>
      </patternFill>
    </fill>
  </fills>
  <borders count="15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indexed="64"/>
      </left>
      <right/>
      <top style="medium">
        <color indexed="64"/>
      </top>
      <bottom style="medium">
        <color indexed="64"/>
      </bottom>
      <diagonal/>
    </border>
    <border>
      <left/>
      <right style="medium">
        <color auto="1"/>
      </right>
      <top style="medium">
        <color auto="1"/>
      </top>
      <bottom style="medium">
        <color auto="1"/>
      </bottom>
      <diagonal/>
    </border>
    <border>
      <left style="thin">
        <color indexed="64"/>
      </left>
      <right/>
      <top/>
      <bottom style="medium">
        <color auto="1"/>
      </bottom>
      <diagonal/>
    </border>
    <border>
      <left/>
      <right/>
      <top/>
      <bottom style="double">
        <color auto="1"/>
      </bottom>
      <diagonal/>
    </border>
    <border>
      <left/>
      <right style="thin">
        <color indexed="64"/>
      </right>
      <top/>
      <bottom style="medium">
        <color indexed="64"/>
      </bottom>
      <diagonal/>
    </border>
    <border>
      <left/>
      <right style="dotted">
        <color auto="1"/>
      </right>
      <top style="thin">
        <color auto="1"/>
      </top>
      <bottom style="thin">
        <color auto="1"/>
      </bottom>
      <diagonal/>
    </border>
    <border>
      <left style="dotted">
        <color auto="1"/>
      </left>
      <right/>
      <top style="thin">
        <color auto="1"/>
      </top>
      <bottom style="thin">
        <color auto="1"/>
      </bottom>
      <diagonal/>
    </border>
    <border>
      <left style="thin">
        <color theme="0" tint="-0.499984740745262"/>
      </left>
      <right style="thin">
        <color theme="0" tint="-0.499984740745262"/>
      </right>
      <top style="thin">
        <color theme="1"/>
      </top>
      <bottom style="thin">
        <color theme="0" tint="-0.499984740745262"/>
      </bottom>
      <diagonal/>
    </border>
    <border>
      <left style="hair">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auto="1"/>
      </left>
      <right/>
      <top style="thin">
        <color indexed="64"/>
      </top>
      <bottom/>
      <diagonal/>
    </border>
    <border>
      <left/>
      <right/>
      <top style="thin">
        <color indexed="64"/>
      </top>
      <bottom/>
      <diagonal/>
    </border>
    <border>
      <left/>
      <right style="thin">
        <color auto="1"/>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theme="0" tint="-0.499984740745262"/>
      </right>
      <top/>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right/>
      <top style="thin">
        <color auto="1"/>
      </top>
      <bottom style="thin">
        <color auto="1"/>
      </bottom>
      <diagonal/>
    </border>
  </borders>
  <cellStyleXfs count="57494">
    <xf numFmtId="0" fontId="0" fillId="0" borderId="0"/>
    <xf numFmtId="0" fontId="7" fillId="0" borderId="0"/>
    <xf numFmtId="0" fontId="7" fillId="0" borderId="0"/>
    <xf numFmtId="0" fontId="5" fillId="0" borderId="0">
      <alignment vertical="center"/>
    </xf>
    <xf numFmtId="0" fontId="4" fillId="0" borderId="0">
      <alignment vertical="center"/>
    </xf>
    <xf numFmtId="0" fontId="6" fillId="0" borderId="0">
      <alignment vertical="center"/>
    </xf>
    <xf numFmtId="0" fontId="23" fillId="0" borderId="0"/>
    <xf numFmtId="0" fontId="6" fillId="0" borderId="0"/>
    <xf numFmtId="0" fontId="6" fillId="0" borderId="0">
      <alignment vertical="center"/>
    </xf>
    <xf numFmtId="0" fontId="23" fillId="0" borderId="0"/>
    <xf numFmtId="0" fontId="11" fillId="0" borderId="0">
      <alignment vertical="top" wrapText="1"/>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179" fontId="36" fillId="0" borderId="0" applyFill="0" applyBorder="0" applyAlignment="0"/>
    <xf numFmtId="0" fontId="37" fillId="0" borderId="10" applyNumberFormat="0" applyAlignment="0" applyProtection="0">
      <alignment horizontal="left" vertical="center"/>
    </xf>
    <xf numFmtId="0" fontId="37" fillId="0" borderId="2">
      <alignment horizontal="left" vertical="center"/>
    </xf>
    <xf numFmtId="0" fontId="38" fillId="0" borderId="0"/>
    <xf numFmtId="0" fontId="39" fillId="0" borderId="0" applyNumberFormat="0" applyFont="0" applyFill="0" applyBorder="0" applyAlignment="0" applyProtection="0">
      <alignment horizontal="left"/>
    </xf>
    <xf numFmtId="0" fontId="40" fillId="0" borderId="7">
      <alignment horizontal="center"/>
    </xf>
    <xf numFmtId="0" fontId="20" fillId="0" borderId="0">
      <alignment wrapText="1"/>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28" fillId="19" borderId="36" applyNumberFormat="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42" fillId="12" borderId="0" applyNumberFormat="0" applyBorder="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30" fillId="0" borderId="38" applyNumberFormat="0" applyFill="0" applyAlignment="0" applyProtection="0">
      <alignment vertical="center"/>
    </xf>
    <xf numFmtId="0" fontId="12" fillId="0" borderId="0"/>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43" fillId="20" borderId="39"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1" fillId="0" borderId="43" applyNumberFormat="0" applyFill="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2" fillId="20" borderId="44"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34" fillId="12" borderId="39" applyNumberFormat="0" applyAlignment="0" applyProtection="0">
      <alignment vertical="center"/>
    </xf>
    <xf numFmtId="0" fontId="26" fillId="0" borderId="0">
      <alignment vertical="center"/>
    </xf>
    <xf numFmtId="0" fontId="6" fillId="0" borderId="0"/>
    <xf numFmtId="0" fontId="23" fillId="0" borderId="0"/>
    <xf numFmtId="0" fontId="6" fillId="0" borderId="0"/>
    <xf numFmtId="0" fontId="6" fillId="0" borderId="0"/>
    <xf numFmtId="0" fontId="47" fillId="0" borderId="0"/>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0" fontId="48" fillId="0" borderId="0"/>
    <xf numFmtId="0" fontId="12" fillId="0" borderId="0"/>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48" fillId="0" borderId="0"/>
    <xf numFmtId="0" fontId="12" fillId="0" borderId="0"/>
    <xf numFmtId="38" fontId="58" fillId="0" borderId="0" applyFont="0" applyFill="0" applyBorder="0" applyAlignment="0" applyProtection="0"/>
    <xf numFmtId="0" fontId="11" fillId="0" borderId="0">
      <alignment vertical="top"/>
    </xf>
    <xf numFmtId="0" fontId="56" fillId="0" borderId="0">
      <alignment vertical="center"/>
    </xf>
    <xf numFmtId="38" fontId="58" fillId="0" borderId="0" applyFont="0" applyFill="0" applyBorder="0" applyAlignment="0" applyProtection="0"/>
    <xf numFmtId="180" fontId="58" fillId="0" borderId="0" applyFont="0" applyFill="0" applyBorder="0" applyAlignment="0" applyProtection="0"/>
    <xf numFmtId="38" fontId="10" fillId="30" borderId="0" applyNumberFormat="0" applyBorder="0" applyAlignment="0" applyProtection="0"/>
    <xf numFmtId="10" fontId="10" fillId="2" borderId="3" applyNumberFormat="0" applyBorder="0" applyAlignment="0" applyProtection="0"/>
    <xf numFmtId="181" fontId="59" fillId="0" borderId="0"/>
    <xf numFmtId="10" fontId="38" fillId="0" borderId="0" applyFont="0" applyFill="0" applyBorder="0" applyAlignment="0" applyProtection="0"/>
    <xf numFmtId="0" fontId="48" fillId="0" borderId="0"/>
    <xf numFmtId="0" fontId="48" fillId="0" borderId="0"/>
    <xf numFmtId="0" fontId="48" fillId="0" borderId="0"/>
    <xf numFmtId="0" fontId="48" fillId="0" borderId="0"/>
    <xf numFmtId="0" fontId="11" fillId="0" borderId="0"/>
    <xf numFmtId="0" fontId="11" fillId="0" borderId="0" applyNumberFormat="0"/>
    <xf numFmtId="0" fontId="57" fillId="0" borderId="0" applyBorder="0" applyAlignment="0"/>
    <xf numFmtId="0" fontId="11" fillId="0" borderId="0">
      <alignment vertical="top" wrapText="1"/>
    </xf>
    <xf numFmtId="0" fontId="25" fillId="0" borderId="0"/>
    <xf numFmtId="0" fontId="11" fillId="0" borderId="0" applyNumberFormat="0"/>
    <xf numFmtId="0" fontId="57" fillId="0" borderId="0">
      <alignment vertical="center"/>
    </xf>
    <xf numFmtId="0" fontId="11" fillId="0" borderId="0" applyNumberFormat="0"/>
    <xf numFmtId="0" fontId="12" fillId="0" borderId="0"/>
    <xf numFmtId="0" fontId="6" fillId="0" borderId="0"/>
    <xf numFmtId="0" fontId="11" fillId="0" borderId="0">
      <alignment vertical="top"/>
    </xf>
    <xf numFmtId="0" fontId="60" fillId="0" borderId="0">
      <alignment vertical="center"/>
    </xf>
    <xf numFmtId="38" fontId="6" fillId="0" borderId="0" applyFont="0" applyFill="0" applyBorder="0" applyAlignment="0" applyProtection="0"/>
    <xf numFmtId="0" fontId="11" fillId="0" borderId="0">
      <alignment vertical="top"/>
    </xf>
    <xf numFmtId="0" fontId="12" fillId="0" borderId="0"/>
    <xf numFmtId="0" fontId="11" fillId="0" borderId="0">
      <alignment vertical="top"/>
    </xf>
    <xf numFmtId="38" fontId="6" fillId="0" borderId="0" applyFont="0" applyFill="0" applyBorder="0" applyAlignment="0" applyProtection="0"/>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6"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9" fillId="0" borderId="0" applyNumberFormat="0" applyFill="0" applyBorder="0" applyAlignment="0" applyProtection="0">
      <alignment vertical="top"/>
      <protection locked="0"/>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25" fillId="0" borderId="0"/>
    <xf numFmtId="0" fontId="3" fillId="0" borderId="0">
      <alignment vertical="center"/>
    </xf>
    <xf numFmtId="0" fontId="3" fillId="0" borderId="0">
      <alignment vertical="center"/>
    </xf>
    <xf numFmtId="0" fontId="26" fillId="21" borderId="0" applyNumberFormat="0" applyBorder="0" applyAlignment="0" applyProtection="0">
      <alignment vertical="center"/>
    </xf>
    <xf numFmtId="0" fontId="26" fillId="6" borderId="0" applyNumberFormat="0" applyBorder="0" applyAlignment="0" applyProtection="0">
      <alignment vertical="center"/>
    </xf>
    <xf numFmtId="0" fontId="26" fillId="22"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5" borderId="0" applyNumberFormat="0" applyBorder="0" applyAlignment="0" applyProtection="0">
      <alignment vertical="center"/>
    </xf>
    <xf numFmtId="0" fontId="26" fillId="23" borderId="0" applyNumberFormat="0" applyBorder="0" applyAlignment="0" applyProtection="0">
      <alignment vertical="center"/>
    </xf>
    <xf numFmtId="0" fontId="26" fillId="9" borderId="0" applyNumberFormat="0" applyBorder="0" applyAlignment="0" applyProtection="0">
      <alignment vertical="center"/>
    </xf>
    <xf numFmtId="0" fontId="26" fillId="5" borderId="0" applyNumberFormat="0" applyBorder="0" applyAlignment="0" applyProtection="0">
      <alignment vertical="center"/>
    </xf>
    <xf numFmtId="0" fontId="26" fillId="13" borderId="0" applyNumberFormat="0" applyBorder="0" applyAlignment="0" applyProtection="0">
      <alignment vertical="center"/>
    </xf>
    <xf numFmtId="0" fontId="27" fillId="24"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25" borderId="0" applyNumberFormat="0" applyBorder="0" applyAlignment="0" applyProtection="0">
      <alignment vertical="center"/>
    </xf>
    <xf numFmtId="0" fontId="27" fillId="1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7" fillId="17" borderId="0" applyNumberFormat="0" applyBorder="0" applyAlignment="0" applyProtection="0">
      <alignment vertical="center"/>
    </xf>
    <xf numFmtId="0" fontId="27" fillId="28"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49" fillId="0" borderId="0" applyNumberFormat="0" applyFill="0" applyBorder="0" applyAlignment="0" applyProtection="0">
      <alignment vertical="center"/>
    </xf>
    <xf numFmtId="0" fontId="50" fillId="12" borderId="0" applyNumberFormat="0" applyBorder="0" applyAlignment="0" applyProtection="0">
      <alignment vertical="center"/>
    </xf>
    <xf numFmtId="0" fontId="11" fillId="8" borderId="37" applyNumberFormat="0" applyFont="0" applyAlignment="0" applyProtection="0">
      <alignment vertical="center"/>
    </xf>
    <xf numFmtId="0" fontId="51" fillId="0" borderId="45" applyNumberFormat="0" applyFill="0" applyAlignment="0" applyProtection="0">
      <alignment vertical="center"/>
    </xf>
    <xf numFmtId="0" fontId="29" fillId="6" borderId="0" applyNumberFormat="0" applyBorder="0" applyAlignment="0" applyProtection="0">
      <alignment vertical="center"/>
    </xf>
    <xf numFmtId="0" fontId="52" fillId="29" borderId="39"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5" fillId="0" borderId="0" applyNumberFormat="0" applyFill="0" applyBorder="0" applyAlignment="0" applyProtection="0">
      <alignment vertical="center"/>
    </xf>
    <xf numFmtId="0" fontId="31" fillId="0" borderId="49" applyNumberFormat="0" applyFill="0" applyAlignment="0" applyProtection="0">
      <alignment vertical="center"/>
    </xf>
    <xf numFmtId="0" fontId="32" fillId="29" borderId="44" applyNumberFormat="0" applyAlignment="0" applyProtection="0">
      <alignment vertical="center"/>
    </xf>
    <xf numFmtId="0" fontId="34" fillId="10" borderId="39" applyNumberFormat="0" applyAlignment="0" applyProtection="0">
      <alignment vertical="center"/>
    </xf>
    <xf numFmtId="0" fontId="35" fillId="22"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12" fillId="0" borderId="0"/>
    <xf numFmtId="0" fontId="48" fillId="0" borderId="0"/>
    <xf numFmtId="0" fontId="3" fillId="0" borderId="0">
      <alignment vertical="center"/>
    </xf>
    <xf numFmtId="0" fontId="11" fillId="0" borderId="0">
      <alignment vertical="top" wrapText="1"/>
    </xf>
    <xf numFmtId="0" fontId="26" fillId="11" borderId="0" applyNumberFormat="0" applyBorder="0" applyAlignment="0" applyProtection="0">
      <alignment vertical="center"/>
    </xf>
    <xf numFmtId="0" fontId="26" fillId="7" borderId="0" applyNumberFormat="0" applyBorder="0" applyAlignment="0" applyProtection="0">
      <alignment vertical="center"/>
    </xf>
    <xf numFmtId="0" fontId="27" fillId="15" borderId="0" applyNumberFormat="0" applyBorder="0" applyAlignment="0" applyProtection="0">
      <alignment vertical="center"/>
    </xf>
    <xf numFmtId="0" fontId="28" fillId="19" borderId="36" applyNumberFormat="0" applyAlignment="0" applyProtection="0">
      <alignment vertical="center"/>
    </xf>
    <xf numFmtId="0" fontId="30"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60"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56"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48" fillId="0" borderId="0"/>
    <xf numFmtId="0" fontId="25"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2" fillId="0" borderId="0"/>
    <xf numFmtId="0" fontId="12" fillId="0" borderId="0"/>
    <xf numFmtId="0" fontId="48" fillId="0" borderId="0"/>
    <xf numFmtId="0" fontId="48" fillId="0" borderId="0"/>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48" fillId="0" borderId="0"/>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2" fillId="0" borderId="0"/>
    <xf numFmtId="0" fontId="12" fillId="0" borderId="0"/>
    <xf numFmtId="0" fontId="60"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11" fillId="0" borderId="0">
      <alignment vertical="top" wrapText="1"/>
    </xf>
    <xf numFmtId="0" fontId="25" fillId="0" borderId="0"/>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40" fillId="0" borderId="7">
      <alignment horizont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27" fillId="16"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27" fillId="13"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2" fillId="4" borderId="0" applyNumberFormat="0" applyBorder="0" applyAlignment="0" applyProtection="0">
      <alignment vertical="center"/>
    </xf>
    <xf numFmtId="0" fontId="6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6" fillId="8" borderId="37" applyNumberFormat="0" applyFont="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38" fontId="26" fillId="0" borderId="0" applyFont="0" applyFill="0" applyBorder="0" applyAlignment="0" applyProtection="0">
      <alignment vertical="center"/>
    </xf>
    <xf numFmtId="38" fontId="6" fillId="0" borderId="0" applyFont="0" applyFill="0" applyBorder="0" applyAlignment="0" applyProtection="0"/>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26" fillId="0" borderId="0" applyFont="0" applyFill="0" applyBorder="0" applyAlignment="0" applyProtection="0">
      <alignment vertical="center"/>
    </xf>
    <xf numFmtId="38" fontId="6" fillId="0" borderId="0" applyFont="0" applyFill="0" applyBorder="0" applyAlignment="0" applyProtection="0"/>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46" fillId="0" borderId="42"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55" fillId="0" borderId="48" applyNumberFormat="0" applyFill="0" applyAlignment="0" applyProtection="0">
      <alignment vertical="center"/>
    </xf>
    <xf numFmtId="0" fontId="64" fillId="0" borderId="0"/>
    <xf numFmtId="0" fontId="56" fillId="0" borderId="0">
      <alignment vertical="center"/>
    </xf>
    <xf numFmtId="0" fontId="64" fillId="0" borderId="0"/>
    <xf numFmtId="0" fontId="64" fillId="0" borderId="0"/>
    <xf numFmtId="0" fontId="11" fillId="0" borderId="0">
      <alignment vertical="top" wrapText="1"/>
    </xf>
    <xf numFmtId="0" fontId="11" fillId="0" borderId="0">
      <alignment vertical="top"/>
    </xf>
    <xf numFmtId="0" fontId="64" fillId="0" borderId="0"/>
    <xf numFmtId="0" fontId="11" fillId="0" borderId="0">
      <alignment vertical="top"/>
    </xf>
    <xf numFmtId="0" fontId="64" fillId="0" borderId="0"/>
    <xf numFmtId="0" fontId="64" fillId="0" borderId="0"/>
    <xf numFmtId="0" fontId="25" fillId="0" borderId="0"/>
    <xf numFmtId="0" fontId="11" fillId="0" borderId="0">
      <alignment vertical="top"/>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xf numFmtId="0" fontId="11" fillId="0" borderId="0">
      <alignment vertical="top"/>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3" fillId="0" borderId="0"/>
    <xf numFmtId="0" fontId="23" fillId="0" borderId="0"/>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xf numFmtId="0" fontId="64" fillId="0" borderId="0"/>
    <xf numFmtId="0" fontId="64" fillId="0" borderId="0"/>
    <xf numFmtId="0" fontId="64" fillId="0" borderId="0"/>
    <xf numFmtId="0" fontId="6" fillId="0" borderId="0"/>
    <xf numFmtId="0" fontId="64" fillId="0" borderId="0"/>
    <xf numFmtId="0" fontId="64" fillId="0" borderId="0"/>
    <xf numFmtId="0" fontId="64" fillId="0" borderId="0"/>
    <xf numFmtId="0" fontId="11" fillId="0" borderId="0">
      <alignment vertical="top"/>
    </xf>
    <xf numFmtId="0" fontId="11" fillId="0" borderId="0">
      <alignment vertical="top" wrapText="1"/>
    </xf>
    <xf numFmtId="0" fontId="6" fillId="0" borderId="0">
      <alignment vertical="center"/>
    </xf>
    <xf numFmtId="0" fontId="11" fillId="0" borderId="0">
      <alignment vertical="top"/>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6" fillId="0" borderId="0" applyFont="0" applyFill="0" applyBorder="0" applyAlignment="0" applyProtection="0">
      <alignment vertical="center"/>
    </xf>
    <xf numFmtId="0" fontId="48" fillId="0" borderId="0"/>
    <xf numFmtId="0" fontId="48" fillId="0" borderId="0"/>
    <xf numFmtId="0" fontId="48" fillId="0" borderId="0"/>
    <xf numFmtId="0" fontId="61" fillId="0" borderId="0" applyNumberFormat="0" applyFill="0" applyBorder="0" applyAlignment="0" applyProtection="0">
      <alignment vertical="top" wrapText="1"/>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65" fillId="0" borderId="0" applyBorder="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xf numFmtId="0" fontId="6" fillId="0" borderId="0"/>
    <xf numFmtId="0" fontId="6" fillId="0" borderId="0"/>
    <xf numFmtId="0" fontId="6"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1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38" fontId="58" fillId="0" borderId="0" applyFont="0" applyFill="0" applyBorder="0" applyAlignment="0" applyProtection="0"/>
    <xf numFmtId="0" fontId="3" fillId="0" borderId="0">
      <alignment vertical="center"/>
    </xf>
    <xf numFmtId="0" fontId="11" fillId="0" borderId="0">
      <alignment vertical="top" wrapText="1"/>
    </xf>
    <xf numFmtId="0" fontId="12" fillId="0" borderId="0"/>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3" fillId="0" borderId="0">
      <alignment vertical="center"/>
    </xf>
    <xf numFmtId="0" fontId="3" fillId="0" borderId="0">
      <alignment vertical="center"/>
    </xf>
    <xf numFmtId="0" fontId="6" fillId="0" borderId="0">
      <alignment vertical="center"/>
    </xf>
    <xf numFmtId="0" fontId="66" fillId="0" borderId="0">
      <alignment vertical="center"/>
    </xf>
    <xf numFmtId="0" fontId="6"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7"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12"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8" fillId="0" borderId="0">
      <alignment vertical="center"/>
    </xf>
    <xf numFmtId="0" fontId="69" fillId="0" borderId="0"/>
    <xf numFmtId="0" fontId="7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56" fillId="0" borderId="0">
      <alignment vertical="center"/>
    </xf>
    <xf numFmtId="0" fontId="48" fillId="0" borderId="0"/>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6" fillId="0" borderId="0">
      <alignment vertical="center"/>
    </xf>
    <xf numFmtId="0" fontId="6" fillId="0" borderId="0"/>
    <xf numFmtId="0" fontId="23" fillId="0" borderId="0"/>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2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alignment vertical="center"/>
    </xf>
    <xf numFmtId="0" fontId="3" fillId="0" borderId="0">
      <alignment vertical="center"/>
    </xf>
    <xf numFmtId="0" fontId="11" fillId="0" borderId="0">
      <alignment vertical="top" wrapText="1"/>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48" fillId="0" borderId="0"/>
    <xf numFmtId="0" fontId="48" fillId="0" borderId="0"/>
    <xf numFmtId="0" fontId="11" fillId="0" borderId="0">
      <alignment vertical="top" wrapText="1"/>
    </xf>
    <xf numFmtId="0" fontId="25" fillId="0" borderId="0"/>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6" fillId="0" borderId="0">
      <alignment vertical="center"/>
    </xf>
    <xf numFmtId="0" fontId="11" fillId="0" borderId="0">
      <alignment vertical="top" wrapText="1"/>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56" fillId="0" borderId="0">
      <alignment vertical="center"/>
    </xf>
    <xf numFmtId="0" fontId="3" fillId="0" borderId="0">
      <alignment vertical="center"/>
    </xf>
    <xf numFmtId="0" fontId="3" fillId="0" borderId="0">
      <alignment vertical="center"/>
    </xf>
    <xf numFmtId="0" fontId="11" fillId="0" borderId="0">
      <alignment vertical="top"/>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3" fillId="0" borderId="0">
      <alignment vertical="center"/>
    </xf>
    <xf numFmtId="0" fontId="11" fillId="0" borderId="0">
      <alignment vertical="top" wrapText="1"/>
    </xf>
    <xf numFmtId="0" fontId="3" fillId="0" borderId="0">
      <alignment vertical="center"/>
    </xf>
    <xf numFmtId="0" fontId="48"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2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xf>
    <xf numFmtId="0" fontId="11" fillId="0" borderId="0">
      <alignment vertical="top"/>
    </xf>
    <xf numFmtId="0" fontId="56"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1" fillId="0" borderId="0">
      <alignment vertical="top" wrapText="1"/>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 fillId="0" borderId="0"/>
    <xf numFmtId="0" fontId="6" fillId="0" borderId="0"/>
    <xf numFmtId="0" fontId="23" fillId="0" borderId="0"/>
    <xf numFmtId="0" fontId="69" fillId="0" borderId="0"/>
    <xf numFmtId="0" fontId="83" fillId="0" borderId="0" applyNumberFormat="0" applyFill="0" applyBorder="0" applyAlignment="0" applyProtection="0">
      <alignment vertical="top"/>
      <protection locked="0"/>
    </xf>
    <xf numFmtId="0" fontId="6" fillId="0" borderId="0">
      <alignment vertical="center"/>
    </xf>
    <xf numFmtId="0" fontId="2" fillId="0" borderId="0">
      <alignment vertical="center"/>
    </xf>
    <xf numFmtId="0" fontId="26" fillId="0" borderId="0" applyNumberFormat="0" applyFill="0" applyBorder="0" applyAlignment="0" applyProtection="0">
      <alignment vertical="center"/>
    </xf>
    <xf numFmtId="0" fontId="66" fillId="0" borderId="0">
      <alignment vertical="center"/>
    </xf>
    <xf numFmtId="0" fontId="1"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cellStyleXfs>
  <cellXfs count="1021">
    <xf numFmtId="0" fontId="0" fillId="0" borderId="0" xfId="0"/>
    <xf numFmtId="0" fontId="17" fillId="0" borderId="0" xfId="0" applyFont="1" applyAlignment="1">
      <alignment vertical="center"/>
    </xf>
    <xf numFmtId="0" fontId="17" fillId="0" borderId="0" xfId="224" applyFont="1" applyAlignment="1">
      <alignment vertical="center"/>
    </xf>
    <xf numFmtId="0" fontId="17" fillId="0" borderId="27" xfId="0" applyFont="1" applyBorder="1" applyAlignment="1">
      <alignment vertical="center"/>
    </xf>
    <xf numFmtId="0" fontId="14" fillId="31" borderId="0" xfId="224" applyFont="1" applyFill="1"/>
    <xf numFmtId="0" fontId="14" fillId="31" borderId="0" xfId="224" applyFont="1" applyFill="1" applyAlignment="1">
      <alignment vertical="top"/>
    </xf>
    <xf numFmtId="0" fontId="14" fillId="31" borderId="0" xfId="224" applyFont="1" applyFill="1" applyAlignment="1">
      <alignment horizontal="center" vertical="center"/>
    </xf>
    <xf numFmtId="0" fontId="14" fillId="31" borderId="0" xfId="224" applyFont="1" applyFill="1" applyAlignment="1">
      <alignment vertical="center"/>
    </xf>
    <xf numFmtId="0" fontId="14" fillId="31" borderId="0" xfId="224" applyFont="1" applyFill="1" applyAlignment="1">
      <alignment vertical="center" wrapText="1"/>
    </xf>
    <xf numFmtId="0" fontId="15" fillId="35" borderId="11" xfId="7" applyFont="1" applyFill="1" applyBorder="1" applyAlignment="1">
      <alignment vertical="center"/>
    </xf>
    <xf numFmtId="0" fontId="15" fillId="35" borderId="13" xfId="7" applyFont="1" applyFill="1" applyBorder="1" applyAlignment="1">
      <alignment vertical="center"/>
    </xf>
    <xf numFmtId="0" fontId="15" fillId="35" borderId="14" xfId="7" applyFont="1" applyFill="1" applyBorder="1"/>
    <xf numFmtId="0" fontId="14" fillId="0" borderId="0" xfId="7" applyFont="1"/>
    <xf numFmtId="0" fontId="17" fillId="0" borderId="8" xfId="7" applyFont="1" applyBorder="1" applyAlignment="1">
      <alignment vertical="center"/>
    </xf>
    <xf numFmtId="0" fontId="17" fillId="0" borderId="0" xfId="7" applyFont="1" applyAlignment="1">
      <alignment vertical="center"/>
    </xf>
    <xf numFmtId="0" fontId="17" fillId="0" borderId="0" xfId="7" applyFont="1" applyAlignment="1">
      <alignment vertical="center" wrapText="1"/>
    </xf>
    <xf numFmtId="0" fontId="17" fillId="0" borderId="9" xfId="7" applyFont="1" applyBorder="1" applyAlignment="1">
      <alignment vertical="center"/>
    </xf>
    <xf numFmtId="0" fontId="18" fillId="0" borderId="0" xfId="224" applyFont="1" applyAlignment="1">
      <alignment vertical="center"/>
    </xf>
    <xf numFmtId="0" fontId="17" fillId="0" borderId="8" xfId="224" applyFont="1" applyBorder="1" applyAlignment="1">
      <alignment vertical="center"/>
    </xf>
    <xf numFmtId="0" fontId="17" fillId="0" borderId="9" xfId="224" applyFont="1" applyBorder="1" applyAlignment="1">
      <alignment vertical="center"/>
    </xf>
    <xf numFmtId="0" fontId="18" fillId="0" borderId="0" xfId="7" applyFont="1" applyAlignment="1">
      <alignment vertical="center"/>
    </xf>
    <xf numFmtId="0" fontId="19" fillId="0" borderId="0" xfId="224" applyFont="1" applyAlignment="1">
      <alignment vertical="center"/>
    </xf>
    <xf numFmtId="20" fontId="17" fillId="0" borderId="0" xfId="7" applyNumberFormat="1" applyFont="1" applyAlignment="1">
      <alignment vertical="center"/>
    </xf>
    <xf numFmtId="0" fontId="17" fillId="31" borderId="6" xfId="224" applyFont="1" applyFill="1" applyBorder="1" applyAlignment="1">
      <alignment vertical="center"/>
    </xf>
    <xf numFmtId="0" fontId="17" fillId="31" borderId="0" xfId="224" applyFont="1" applyFill="1" applyAlignment="1">
      <alignment vertical="center"/>
    </xf>
    <xf numFmtId="0" fontId="17" fillId="31" borderId="0" xfId="224" applyFont="1" applyFill="1" applyAlignment="1">
      <alignment horizontal="center" vertical="center"/>
    </xf>
    <xf numFmtId="0" fontId="17" fillId="31" borderId="0" xfId="224" applyFont="1" applyFill="1" applyAlignment="1">
      <alignment vertical="center" wrapText="1"/>
    </xf>
    <xf numFmtId="0" fontId="17" fillId="0" borderId="0" xfId="24894" applyFont="1">
      <alignment vertical="center"/>
    </xf>
    <xf numFmtId="0" fontId="17" fillId="0" borderId="0" xfId="24894" applyFont="1" applyAlignment="1">
      <alignment vertical="center" wrapText="1"/>
    </xf>
    <xf numFmtId="0" fontId="17" fillId="36" borderId="0" xfId="0" applyFont="1" applyFill="1" applyAlignment="1">
      <alignment vertical="center"/>
    </xf>
    <xf numFmtId="0" fontId="71" fillId="35" borderId="4" xfId="0" applyFont="1" applyFill="1" applyBorder="1" applyAlignment="1">
      <alignment vertical="center"/>
    </xf>
    <xf numFmtId="49" fontId="71" fillId="35" borderId="57" xfId="0" applyNumberFormat="1" applyFont="1" applyFill="1" applyBorder="1" applyAlignment="1">
      <alignment vertical="center"/>
    </xf>
    <xf numFmtId="0" fontId="71" fillId="35" borderId="5" xfId="0" applyFont="1" applyFill="1" applyBorder="1" applyAlignment="1">
      <alignment vertical="center"/>
    </xf>
    <xf numFmtId="0" fontId="71" fillId="35" borderId="35" xfId="0" applyFont="1" applyFill="1" applyBorder="1" applyAlignment="1">
      <alignment vertical="center"/>
    </xf>
    <xf numFmtId="49" fontId="71" fillId="35" borderId="5" xfId="0" applyNumberFormat="1" applyFont="1" applyFill="1" applyBorder="1" applyAlignment="1">
      <alignment vertical="center"/>
    </xf>
    <xf numFmtId="49" fontId="71" fillId="35" borderId="58" xfId="0" applyNumberFormat="1" applyFont="1" applyFill="1" applyBorder="1" applyAlignment="1">
      <alignment vertical="center"/>
    </xf>
    <xf numFmtId="49" fontId="71" fillId="35" borderId="59" xfId="0" applyNumberFormat="1" applyFont="1" applyFill="1" applyBorder="1" applyAlignment="1">
      <alignment vertical="center"/>
    </xf>
    <xf numFmtId="49" fontId="22" fillId="0" borderId="56" xfId="0" applyNumberFormat="1" applyFont="1" applyBorder="1" applyAlignment="1">
      <alignment vertical="center"/>
    </xf>
    <xf numFmtId="0" fontId="22" fillId="0" borderId="23" xfId="0" applyFont="1" applyBorder="1" applyAlignment="1">
      <alignment vertical="center"/>
    </xf>
    <xf numFmtId="0" fontId="22" fillId="0" borderId="60" xfId="0" applyFont="1" applyBorder="1" applyAlignment="1">
      <alignment vertical="center"/>
    </xf>
    <xf numFmtId="0" fontId="22" fillId="0" borderId="30" xfId="0" applyFont="1" applyBorder="1" applyAlignment="1">
      <alignment vertical="center"/>
    </xf>
    <xf numFmtId="0" fontId="22" fillId="0" borderId="56" xfId="0" applyFont="1" applyBorder="1" applyAlignment="1">
      <alignment vertical="center"/>
    </xf>
    <xf numFmtId="0" fontId="22" fillId="0" borderId="18" xfId="0" applyFont="1" applyBorder="1" applyAlignment="1">
      <alignment vertical="center"/>
    </xf>
    <xf numFmtId="0" fontId="22" fillId="0" borderId="3" xfId="0" applyFont="1" applyBorder="1" applyAlignment="1">
      <alignment vertical="center"/>
    </xf>
    <xf numFmtId="0" fontId="22" fillId="0" borderId="62" xfId="0" applyFont="1" applyBorder="1" applyAlignment="1">
      <alignment vertical="center"/>
    </xf>
    <xf numFmtId="49" fontId="22" fillId="0" borderId="18" xfId="0" applyNumberFormat="1" applyFont="1" applyBorder="1" applyAlignment="1">
      <alignment vertical="center"/>
    </xf>
    <xf numFmtId="49" fontId="22" fillId="0" borderId="27" xfId="0" applyNumberFormat="1" applyFont="1" applyBorder="1" applyAlignment="1">
      <alignment vertical="center"/>
    </xf>
    <xf numFmtId="49" fontId="22" fillId="0" borderId="3" xfId="0" applyNumberFormat="1" applyFont="1" applyBorder="1" applyAlignment="1">
      <alignment vertical="center"/>
    </xf>
    <xf numFmtId="0" fontId="18" fillId="34" borderId="25" xfId="0" applyFont="1" applyFill="1" applyBorder="1" applyAlignment="1">
      <alignment vertical="center"/>
    </xf>
    <xf numFmtId="0" fontId="18" fillId="34" borderId="13" xfId="0" applyFont="1" applyFill="1" applyBorder="1" applyAlignment="1">
      <alignment vertical="center"/>
    </xf>
    <xf numFmtId="0" fontId="18" fillId="34" borderId="14" xfId="0" applyFont="1" applyFill="1" applyBorder="1" applyAlignment="1">
      <alignment vertical="center"/>
    </xf>
    <xf numFmtId="0" fontId="17" fillId="0" borderId="0" xfId="57482" applyFont="1" applyProtection="1">
      <protection locked="0"/>
    </xf>
    <xf numFmtId="0" fontId="13" fillId="0" borderId="0" xfId="57482" applyFont="1" applyProtection="1">
      <protection locked="0"/>
    </xf>
    <xf numFmtId="0" fontId="15" fillId="0" borderId="0" xfId="57482" applyFont="1" applyAlignment="1" applyProtection="1">
      <alignment horizontal="center" vertical="center"/>
      <protection locked="0"/>
    </xf>
    <xf numFmtId="0" fontId="13" fillId="0" borderId="0" xfId="57482" applyFont="1" applyAlignment="1" applyProtection="1">
      <alignment vertical="center"/>
      <protection locked="0"/>
    </xf>
    <xf numFmtId="0" fontId="73" fillId="0" borderId="0" xfId="57482" applyFont="1" applyProtection="1">
      <protection locked="0"/>
    </xf>
    <xf numFmtId="0" fontId="74" fillId="0" borderId="0" xfId="57482" applyFont="1" applyProtection="1">
      <protection locked="0"/>
    </xf>
    <xf numFmtId="177" fontId="16" fillId="0" borderId="0" xfId="57482" applyNumberFormat="1" applyFont="1" applyAlignment="1" applyProtection="1">
      <alignment horizontal="center" vertical="center"/>
      <protection locked="0"/>
    </xf>
    <xf numFmtId="0" fontId="75" fillId="0" borderId="0" xfId="57482" applyFont="1" applyProtection="1">
      <protection locked="0"/>
    </xf>
    <xf numFmtId="0" fontId="76" fillId="0" borderId="1" xfId="57482" applyFont="1" applyBorder="1" applyAlignment="1" applyProtection="1">
      <alignment vertical="center" wrapText="1"/>
      <protection locked="0"/>
    </xf>
    <xf numFmtId="0" fontId="80" fillId="0" borderId="0" xfId="57483" applyFont="1"/>
    <xf numFmtId="182" fontId="81" fillId="0" borderId="0" xfId="57482" applyNumberFormat="1" applyFont="1" applyAlignment="1" applyProtection="1">
      <alignment vertical="center"/>
      <protection locked="0"/>
    </xf>
    <xf numFmtId="182" fontId="18" fillId="0" borderId="0" xfId="57482" applyNumberFormat="1" applyFont="1" applyAlignment="1" applyProtection="1">
      <alignment vertical="center"/>
      <protection locked="0"/>
    </xf>
    <xf numFmtId="182" fontId="79" fillId="0" borderId="33" xfId="57482" applyNumberFormat="1" applyFont="1" applyBorder="1" applyAlignment="1" applyProtection="1">
      <alignment vertical="center"/>
      <protection locked="0"/>
    </xf>
    <xf numFmtId="182" fontId="13" fillId="0" borderId="0" xfId="57482" applyNumberFormat="1" applyFont="1" applyAlignment="1" applyProtection="1">
      <alignment vertical="center"/>
      <protection locked="0"/>
    </xf>
    <xf numFmtId="182" fontId="18" fillId="0" borderId="33" xfId="57482" applyNumberFormat="1" applyFont="1" applyBorder="1" applyAlignment="1" applyProtection="1">
      <alignment vertical="center"/>
      <protection locked="0"/>
    </xf>
    <xf numFmtId="0" fontId="16" fillId="0" borderId="0" xfId="57482" applyFont="1" applyProtection="1">
      <protection locked="0"/>
    </xf>
    <xf numFmtId="0" fontId="82" fillId="0" borderId="0" xfId="57482" applyFont="1" applyAlignment="1" applyProtection="1">
      <alignment horizontal="center" vertical="center"/>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protection locked="0"/>
    </xf>
    <xf numFmtId="178" fontId="17" fillId="0" borderId="0" xfId="57482" applyNumberFormat="1" applyFont="1" applyAlignment="1" applyProtection="1">
      <alignment horizontal="center"/>
      <protection locked="0"/>
    </xf>
    <xf numFmtId="0" fontId="16" fillId="0" borderId="0" xfId="6" applyFont="1"/>
    <xf numFmtId="0" fontId="6" fillId="0" borderId="0" xfId="224" applyAlignment="1">
      <alignment horizontal="center" vertical="center" wrapText="1"/>
    </xf>
    <xf numFmtId="0" fontId="15" fillId="0" borderId="0" xfId="8" applyFont="1" applyAlignment="1">
      <alignment horizontal="center" vertical="center"/>
    </xf>
    <xf numFmtId="0" fontId="6" fillId="0" borderId="0" xfId="224" applyAlignment="1">
      <alignment horizontal="center" vertical="center"/>
    </xf>
    <xf numFmtId="0" fontId="6" fillId="0" borderId="0" xfId="224" applyAlignment="1">
      <alignment horizontal="center" shrinkToFit="1"/>
    </xf>
    <xf numFmtId="0" fontId="17" fillId="0" borderId="0" xfId="8" applyFont="1" applyAlignment="1">
      <alignment horizontal="center"/>
    </xf>
    <xf numFmtId="0" fontId="6" fillId="0" borderId="0" xfId="224" applyAlignment="1">
      <alignment horizontal="center"/>
    </xf>
    <xf numFmtId="0" fontId="17" fillId="0" borderId="0" xfId="8" applyFont="1" applyAlignment="1">
      <alignment horizontal="center" shrinkToFit="1"/>
    </xf>
    <xf numFmtId="14" fontId="16" fillId="0" borderId="0" xfId="9" applyNumberFormat="1" applyFont="1" applyAlignment="1">
      <alignment horizontal="center" vertical="center"/>
    </xf>
    <xf numFmtId="0" fontId="16" fillId="0" borderId="0" xfId="57485" applyFont="1">
      <alignment vertical="center"/>
    </xf>
    <xf numFmtId="0" fontId="16" fillId="42" borderId="0" xfId="57485" applyFont="1" applyFill="1">
      <alignment vertical="center"/>
    </xf>
    <xf numFmtId="0" fontId="16" fillId="42" borderId="0" xfId="57485" applyFont="1" applyFill="1" applyAlignment="1">
      <alignment horizontal="center" vertical="center"/>
    </xf>
    <xf numFmtId="0" fontId="78" fillId="42" borderId="0" xfId="57485" applyFont="1" applyFill="1">
      <alignment vertical="center"/>
    </xf>
    <xf numFmtId="0" fontId="15" fillId="45" borderId="11" xfId="224" applyFont="1" applyFill="1" applyBorder="1" applyAlignment="1">
      <alignment vertical="center"/>
    </xf>
    <xf numFmtId="0" fontId="15" fillId="45" borderId="13" xfId="224" applyFont="1" applyFill="1" applyBorder="1" applyAlignment="1">
      <alignment vertical="center"/>
    </xf>
    <xf numFmtId="0" fontId="15" fillId="45" borderId="14" xfId="224" applyFont="1" applyFill="1" applyBorder="1"/>
    <xf numFmtId="0" fontId="14" fillId="0" borderId="0" xfId="224" applyFont="1"/>
    <xf numFmtId="0" fontId="18" fillId="34" borderId="24" xfId="0" applyFont="1" applyFill="1" applyBorder="1" applyAlignment="1">
      <alignment vertical="center" shrinkToFit="1"/>
    </xf>
    <xf numFmtId="0" fontId="18" fillId="34" borderId="26" xfId="0" applyFont="1" applyFill="1" applyBorder="1" applyAlignment="1">
      <alignment vertical="center" shrinkToFit="1"/>
    </xf>
    <xf numFmtId="0" fontId="18" fillId="34" borderId="27" xfId="0" applyFont="1" applyFill="1" applyBorder="1" applyAlignment="1">
      <alignment vertical="center"/>
    </xf>
    <xf numFmtId="0" fontId="17" fillId="0" borderId="90" xfId="0" applyFont="1" applyBorder="1" applyAlignment="1">
      <alignment vertical="center" shrinkToFit="1"/>
    </xf>
    <xf numFmtId="0" fontId="17" fillId="0" borderId="56" xfId="0" applyFont="1" applyBorder="1" applyAlignment="1">
      <alignment vertical="center"/>
    </xf>
    <xf numFmtId="0" fontId="17" fillId="0" borderId="26" xfId="0" applyFont="1" applyBorder="1" applyAlignment="1">
      <alignment vertical="center" shrinkToFit="1"/>
    </xf>
    <xf numFmtId="0" fontId="17" fillId="0" borderId="91" xfId="0" applyFont="1" applyBorder="1" applyAlignment="1">
      <alignment vertical="center" shrinkToFit="1"/>
    </xf>
    <xf numFmtId="0" fontId="17" fillId="0" borderId="28" xfId="0" applyFont="1" applyBorder="1" applyAlignment="1">
      <alignment vertical="center"/>
    </xf>
    <xf numFmtId="0" fontId="17" fillId="0" borderId="20" xfId="0" applyFont="1" applyBorder="1" applyAlignment="1">
      <alignment vertical="center"/>
    </xf>
    <xf numFmtId="0" fontId="17" fillId="0" borderId="17" xfId="0" applyFont="1" applyBorder="1" applyAlignment="1">
      <alignment vertical="center"/>
    </xf>
    <xf numFmtId="0" fontId="17" fillId="0" borderId="22" xfId="0" applyFont="1" applyBorder="1" applyAlignment="1">
      <alignment vertical="center"/>
    </xf>
    <xf numFmtId="0" fontId="17" fillId="0" borderId="21" xfId="0" applyFont="1" applyBorder="1" applyAlignment="1">
      <alignment vertical="center"/>
    </xf>
    <xf numFmtId="0" fontId="17" fillId="0" borderId="9" xfId="0" applyFont="1" applyBorder="1" applyAlignment="1">
      <alignment vertical="center"/>
    </xf>
    <xf numFmtId="0" fontId="18" fillId="47" borderId="94" xfId="0" applyFont="1" applyFill="1" applyBorder="1" applyAlignment="1">
      <alignment vertical="center"/>
    </xf>
    <xf numFmtId="0" fontId="18" fillId="47" borderId="95" xfId="0" applyFont="1" applyFill="1" applyBorder="1" applyAlignment="1">
      <alignment vertical="center"/>
    </xf>
    <xf numFmtId="0" fontId="18" fillId="40" borderId="11" xfId="0" applyFont="1" applyFill="1" applyBorder="1" applyAlignment="1">
      <alignment vertical="center"/>
    </xf>
    <xf numFmtId="0" fontId="18" fillId="40" borderId="13" xfId="0" applyFont="1" applyFill="1" applyBorder="1" applyAlignment="1">
      <alignment vertical="center"/>
    </xf>
    <xf numFmtId="0" fontId="18" fillId="42" borderId="16" xfId="0" applyFont="1" applyFill="1" applyBorder="1" applyAlignment="1">
      <alignment vertical="center"/>
    </xf>
    <xf numFmtId="0" fontId="18" fillId="42" borderId="13" xfId="0" applyFont="1" applyFill="1" applyBorder="1" applyAlignment="1">
      <alignment vertical="center"/>
    </xf>
    <xf numFmtId="0" fontId="18" fillId="42" borderId="15" xfId="0" applyFont="1" applyFill="1" applyBorder="1" applyAlignment="1">
      <alignment vertical="center"/>
    </xf>
    <xf numFmtId="0" fontId="18" fillId="0" borderId="16" xfId="0" applyFont="1" applyBorder="1" applyAlignment="1">
      <alignment vertical="center"/>
    </xf>
    <xf numFmtId="0" fontId="18" fillId="0" borderId="13" xfId="0" applyFont="1" applyBorder="1" applyAlignment="1">
      <alignment vertical="center"/>
    </xf>
    <xf numFmtId="0" fontId="18" fillId="0" borderId="15" xfId="0" applyFont="1" applyBorder="1" applyAlignment="1">
      <alignment vertical="center"/>
    </xf>
    <xf numFmtId="0" fontId="18" fillId="40" borderId="12" xfId="0" applyFont="1" applyFill="1" applyBorder="1" applyAlignment="1">
      <alignment horizontal="left" vertical="center"/>
    </xf>
    <xf numFmtId="0" fontId="18" fillId="40" borderId="13" xfId="0" applyFont="1" applyFill="1" applyBorder="1" applyAlignment="1">
      <alignment horizontal="left" vertical="center"/>
    </xf>
    <xf numFmtId="0" fontId="18" fillId="40" borderId="15" xfId="0" applyFont="1" applyFill="1" applyBorder="1" applyAlignment="1">
      <alignment horizontal="left" vertical="center"/>
    </xf>
    <xf numFmtId="0" fontId="18" fillId="0" borderId="13" xfId="0" applyFont="1" applyBorder="1" applyAlignment="1">
      <alignment horizontal="left" vertical="center"/>
    </xf>
    <xf numFmtId="0" fontId="18" fillId="40" borderId="16" xfId="0" applyFont="1" applyFill="1" applyBorder="1" applyAlignment="1">
      <alignment horizontal="left" vertical="center"/>
    </xf>
    <xf numFmtId="0" fontId="18" fillId="0" borderId="14" xfId="0" applyFont="1" applyBorder="1" applyAlignment="1">
      <alignment horizontal="left" vertical="center"/>
    </xf>
    <xf numFmtId="0" fontId="18" fillId="40" borderId="96" xfId="0" applyFont="1" applyFill="1" applyBorder="1" applyAlignment="1">
      <alignment horizontal="left" vertical="center"/>
    </xf>
    <xf numFmtId="0" fontId="18" fillId="40" borderId="1" xfId="0" applyFont="1" applyFill="1" applyBorder="1" applyAlignment="1">
      <alignment horizontal="left" vertical="center"/>
    </xf>
    <xf numFmtId="0" fontId="18" fillId="40" borderId="1" xfId="0" applyFont="1" applyFill="1" applyBorder="1" applyAlignment="1">
      <alignment vertical="center"/>
    </xf>
    <xf numFmtId="0" fontId="18" fillId="42" borderId="32" xfId="0" applyFont="1" applyFill="1" applyBorder="1" applyAlignment="1">
      <alignment vertical="center"/>
    </xf>
    <xf numFmtId="0" fontId="18" fillId="42" borderId="1" xfId="0" applyFont="1" applyFill="1" applyBorder="1" applyAlignment="1">
      <alignment vertical="center"/>
    </xf>
    <xf numFmtId="0" fontId="18" fillId="42" borderId="93" xfId="0" applyFont="1" applyFill="1" applyBorder="1" applyAlignment="1">
      <alignment vertical="center"/>
    </xf>
    <xf numFmtId="0" fontId="18" fillId="47" borderId="8" xfId="0" applyFont="1" applyFill="1" applyBorder="1" applyAlignment="1">
      <alignment vertical="center"/>
    </xf>
    <xf numFmtId="0" fontId="18" fillId="47" borderId="0" xfId="0" applyFont="1" applyFill="1" applyAlignment="1">
      <alignment vertical="center"/>
    </xf>
    <xf numFmtId="0" fontId="18" fillId="47" borderId="1" xfId="0" applyFont="1" applyFill="1" applyBorder="1" applyAlignment="1">
      <alignment vertical="center"/>
    </xf>
    <xf numFmtId="0" fontId="18" fillId="47" borderId="9" xfId="0" applyFont="1" applyFill="1" applyBorder="1" applyAlignment="1">
      <alignment vertical="center"/>
    </xf>
    <xf numFmtId="0" fontId="18" fillId="47" borderId="97" xfId="0" applyFont="1" applyFill="1" applyBorder="1" applyAlignment="1">
      <alignment vertical="center"/>
    </xf>
    <xf numFmtId="0" fontId="18" fillId="47" borderId="69" xfId="0" applyFont="1" applyFill="1" applyBorder="1" applyAlignment="1">
      <alignment horizontal="center" vertical="center"/>
    </xf>
    <xf numFmtId="0" fontId="18" fillId="47" borderId="98" xfId="0" applyFont="1" applyFill="1" applyBorder="1" applyAlignment="1">
      <alignment vertical="center"/>
    </xf>
    <xf numFmtId="0" fontId="18" fillId="47" borderId="69" xfId="0" applyFont="1" applyFill="1" applyBorder="1" applyAlignment="1">
      <alignment vertical="center"/>
    </xf>
    <xf numFmtId="0" fontId="18" fillId="47" borderId="99" xfId="0" applyFont="1" applyFill="1" applyBorder="1" applyAlignment="1">
      <alignment vertical="center"/>
    </xf>
    <xf numFmtId="0" fontId="89" fillId="0" borderId="22" xfId="0" applyFont="1" applyBorder="1" applyAlignment="1">
      <alignment horizontal="center" vertical="center" wrapText="1"/>
    </xf>
    <xf numFmtId="0" fontId="89" fillId="0" borderId="22" xfId="0" applyFont="1" applyBorder="1" applyAlignment="1">
      <alignment vertical="center"/>
    </xf>
    <xf numFmtId="0" fontId="89" fillId="0" borderId="20" xfId="0" applyFont="1" applyBorder="1" applyAlignment="1">
      <alignment vertical="center"/>
    </xf>
    <xf numFmtId="0" fontId="89" fillId="0" borderId="17" xfId="0" applyFont="1" applyBorder="1" applyAlignment="1">
      <alignment vertical="center"/>
    </xf>
    <xf numFmtId="0" fontId="89" fillId="0" borderId="22" xfId="0" applyFont="1" applyBorder="1" applyAlignment="1">
      <alignment horizontal="center" vertical="center"/>
    </xf>
    <xf numFmtId="0" fontId="17" fillId="0" borderId="100" xfId="0" applyFont="1" applyBorder="1" applyAlignment="1">
      <alignment horizontal="center" vertical="center" wrapText="1"/>
    </xf>
    <xf numFmtId="0" fontId="17" fillId="0" borderId="100" xfId="0" applyFont="1" applyBorder="1" applyAlignment="1">
      <alignment vertical="center"/>
    </xf>
    <xf numFmtId="0" fontId="17" fillId="0" borderId="101" xfId="0" applyFont="1" applyBorder="1" applyAlignment="1">
      <alignment vertical="center"/>
    </xf>
    <xf numFmtId="0" fontId="17" fillId="0" borderId="104" xfId="0" applyFont="1" applyBorder="1" applyAlignment="1">
      <alignment vertical="center"/>
    </xf>
    <xf numFmtId="0" fontId="17" fillId="0" borderId="100" xfId="0" applyFont="1" applyBorder="1" applyAlignment="1">
      <alignment horizontal="center" vertical="center"/>
    </xf>
    <xf numFmtId="0" fontId="18" fillId="40" borderId="92" xfId="0" applyFont="1" applyFill="1" applyBorder="1" applyAlignment="1">
      <alignment horizontal="left" vertical="center"/>
    </xf>
    <xf numFmtId="0" fontId="18" fillId="40" borderId="3" xfId="0" applyFont="1" applyFill="1" applyBorder="1" applyAlignment="1">
      <alignment horizontal="left" vertical="center"/>
    </xf>
    <xf numFmtId="0" fontId="14" fillId="0" borderId="0" xfId="0" applyFont="1"/>
    <xf numFmtId="0" fontId="14" fillId="0" borderId="0" xfId="0" applyFont="1" applyAlignment="1">
      <alignment vertical="top"/>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15" fillId="35" borderId="11" xfId="0" applyFont="1" applyFill="1" applyBorder="1" applyAlignment="1">
      <alignment vertical="center"/>
    </xf>
    <xf numFmtId="0" fontId="15" fillId="35" borderId="13" xfId="0" applyFont="1" applyFill="1" applyBorder="1" applyAlignment="1">
      <alignment vertical="center"/>
    </xf>
    <xf numFmtId="0" fontId="15" fillId="35" borderId="16" xfId="0" applyFont="1" applyFill="1" applyBorder="1" applyAlignment="1">
      <alignment vertical="center"/>
    </xf>
    <xf numFmtId="0" fontId="15" fillId="34" borderId="13" xfId="0" applyFont="1" applyFill="1" applyBorder="1" applyAlignment="1">
      <alignment vertical="center"/>
    </xf>
    <xf numFmtId="0" fontId="15" fillId="34" borderId="14" xfId="0" applyFont="1" applyFill="1" applyBorder="1"/>
    <xf numFmtId="0" fontId="17" fillId="0" borderId="18" xfId="0" applyFont="1" applyBorder="1" applyAlignment="1">
      <alignment vertical="center"/>
    </xf>
    <xf numFmtId="0" fontId="17" fillId="0" borderId="30" xfId="0" applyFont="1" applyBorder="1" applyAlignment="1">
      <alignment vertical="center"/>
    </xf>
    <xf numFmtId="0" fontId="17" fillId="0" borderId="8" xfId="0" applyFont="1" applyBorder="1" applyAlignment="1">
      <alignment vertical="center"/>
    </xf>
    <xf numFmtId="0" fontId="18"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17" fillId="0" borderId="6" xfId="0" applyFont="1" applyBorder="1" applyAlignment="1">
      <alignment vertical="center"/>
    </xf>
    <xf numFmtId="0" fontId="90" fillId="0" borderId="0" xfId="57489" applyFont="1">
      <alignment vertical="center"/>
    </xf>
    <xf numFmtId="0" fontId="91" fillId="0" borderId="0" xfId="57489" applyFont="1">
      <alignment vertical="center"/>
    </xf>
    <xf numFmtId="0" fontId="92" fillId="0" borderId="0" xfId="57489" applyFont="1">
      <alignment vertical="center"/>
    </xf>
    <xf numFmtId="0" fontId="92" fillId="0" borderId="0" xfId="57489" quotePrefix="1" applyFont="1">
      <alignment vertical="center"/>
    </xf>
    <xf numFmtId="0" fontId="92" fillId="0" borderId="33" xfId="57489" applyFont="1" applyBorder="1">
      <alignment vertical="center"/>
    </xf>
    <xf numFmtId="0" fontId="91" fillId="0" borderId="34" xfId="57489" applyFont="1" applyBorder="1">
      <alignment vertical="center"/>
    </xf>
    <xf numFmtId="0" fontId="93" fillId="0" borderId="0" xfId="57489" applyFont="1">
      <alignment vertical="center"/>
    </xf>
    <xf numFmtId="0" fontId="92" fillId="46" borderId="32" xfId="57489" applyFont="1" applyFill="1" applyBorder="1">
      <alignment vertical="center"/>
    </xf>
    <xf numFmtId="0" fontId="92" fillId="46" borderId="1" xfId="57489" applyFont="1" applyFill="1" applyBorder="1">
      <alignment vertical="center"/>
    </xf>
    <xf numFmtId="0" fontId="92" fillId="0" borderId="1" xfId="57489" applyFont="1" applyBorder="1">
      <alignment vertical="center"/>
    </xf>
    <xf numFmtId="0" fontId="91" fillId="0" borderId="1" xfId="57489" applyFont="1" applyBorder="1">
      <alignment vertical="center"/>
    </xf>
    <xf numFmtId="0" fontId="91" fillId="0" borderId="31" xfId="57489" applyFont="1" applyBorder="1">
      <alignment vertical="center"/>
    </xf>
    <xf numFmtId="0" fontId="92" fillId="36" borderId="32" xfId="57489" applyFont="1" applyFill="1" applyBorder="1">
      <alignment vertical="center"/>
    </xf>
    <xf numFmtId="0" fontId="92" fillId="36" borderId="1" xfId="57489" applyFont="1" applyFill="1" applyBorder="1">
      <alignment vertical="center"/>
    </xf>
    <xf numFmtId="0" fontId="92" fillId="36" borderId="31" xfId="57489" applyFont="1" applyFill="1" applyBorder="1">
      <alignment vertical="center"/>
    </xf>
    <xf numFmtId="0" fontId="90" fillId="36" borderId="1" xfId="57489" applyFont="1" applyFill="1" applyBorder="1">
      <alignment vertical="center"/>
    </xf>
    <xf numFmtId="0" fontId="90" fillId="36" borderId="31" xfId="57489" applyFont="1" applyFill="1" applyBorder="1">
      <alignment vertical="center"/>
    </xf>
    <xf numFmtId="0" fontId="17" fillId="0" borderId="0" xfId="57482" quotePrefix="1" applyFont="1" applyProtection="1">
      <protection locked="0"/>
    </xf>
    <xf numFmtId="0" fontId="18" fillId="36" borderId="0" xfId="0" applyFont="1" applyFill="1" applyAlignment="1">
      <alignment vertical="center"/>
    </xf>
    <xf numFmtId="0" fontId="17" fillId="36" borderId="0" xfId="0" quotePrefix="1" applyFont="1" applyFill="1" applyAlignment="1">
      <alignment vertical="center"/>
    </xf>
    <xf numFmtId="0" fontId="17" fillId="31" borderId="33" xfId="224" applyFont="1" applyFill="1" applyBorder="1" applyAlignment="1">
      <alignment vertical="center"/>
    </xf>
    <xf numFmtId="0" fontId="17" fillId="31" borderId="106" xfId="224" applyFont="1" applyFill="1" applyBorder="1" applyAlignment="1">
      <alignment vertical="center"/>
    </xf>
    <xf numFmtId="0" fontId="17" fillId="31" borderId="107" xfId="224" applyFont="1" applyFill="1" applyBorder="1" applyAlignment="1">
      <alignment vertical="center"/>
    </xf>
    <xf numFmtId="0" fontId="17" fillId="31" borderId="108" xfId="224" applyFont="1" applyFill="1" applyBorder="1" applyAlignment="1">
      <alignment vertical="center"/>
    </xf>
    <xf numFmtId="0" fontId="17" fillId="31" borderId="32" xfId="224" applyFont="1" applyFill="1" applyBorder="1" applyAlignment="1">
      <alignment vertical="center"/>
    </xf>
    <xf numFmtId="0" fontId="17" fillId="31" borderId="1" xfId="224" applyFont="1" applyFill="1" applyBorder="1" applyAlignment="1">
      <alignment vertical="center"/>
    </xf>
    <xf numFmtId="0" fontId="17" fillId="31" borderId="1" xfId="224" applyFont="1" applyFill="1" applyBorder="1" applyAlignment="1">
      <alignment vertical="center" wrapText="1"/>
    </xf>
    <xf numFmtId="0" fontId="17" fillId="48" borderId="106" xfId="224" applyFont="1" applyFill="1" applyBorder="1" applyAlignment="1">
      <alignment vertical="center"/>
    </xf>
    <xf numFmtId="0" fontId="17" fillId="48" borderId="107" xfId="224" applyFont="1" applyFill="1" applyBorder="1" applyAlignment="1">
      <alignment vertical="center"/>
    </xf>
    <xf numFmtId="0" fontId="17" fillId="48" borderId="108" xfId="224" applyFont="1" applyFill="1" applyBorder="1" applyAlignment="1">
      <alignment vertical="center"/>
    </xf>
    <xf numFmtId="0" fontId="17" fillId="31" borderId="105" xfId="224" applyFont="1" applyFill="1" applyBorder="1" applyAlignment="1">
      <alignment vertical="center"/>
    </xf>
    <xf numFmtId="0" fontId="17" fillId="0" borderId="106" xfId="224" applyFont="1" applyBorder="1" applyAlignment="1">
      <alignment vertical="center"/>
    </xf>
    <xf numFmtId="0" fontId="17" fillId="0" borderId="107" xfId="224" applyFont="1" applyBorder="1" applyAlignment="1">
      <alignment vertical="center"/>
    </xf>
    <xf numFmtId="0" fontId="17" fillId="0" borderId="108" xfId="224" applyFont="1" applyBorder="1" applyAlignment="1">
      <alignment vertical="center"/>
    </xf>
    <xf numFmtId="0" fontId="94" fillId="31" borderId="0" xfId="224" applyFont="1" applyFill="1" applyAlignment="1">
      <alignment vertical="center"/>
    </xf>
    <xf numFmtId="0" fontId="95" fillId="31" borderId="0" xfId="224" applyFont="1" applyFill="1" applyAlignment="1">
      <alignment vertical="center"/>
    </xf>
    <xf numFmtId="0" fontId="13" fillId="31" borderId="106" xfId="224" quotePrefix="1" applyFont="1" applyFill="1" applyBorder="1" applyAlignment="1">
      <alignment vertical="center"/>
    </xf>
    <xf numFmtId="0" fontId="13" fillId="31" borderId="108" xfId="224" applyFont="1" applyFill="1" applyBorder="1" applyAlignment="1">
      <alignment vertical="center"/>
    </xf>
    <xf numFmtId="0" fontId="13" fillId="31" borderId="106" xfId="224" applyFont="1" applyFill="1" applyBorder="1" applyAlignment="1">
      <alignment vertical="center"/>
    </xf>
    <xf numFmtId="0" fontId="13" fillId="31" borderId="107" xfId="224" applyFont="1" applyFill="1" applyBorder="1" applyAlignment="1">
      <alignment vertical="center"/>
    </xf>
    <xf numFmtId="0" fontId="13" fillId="31" borderId="110" xfId="224" applyFont="1" applyFill="1" applyBorder="1" applyAlignment="1">
      <alignment vertical="center"/>
    </xf>
    <xf numFmtId="0" fontId="13" fillId="31" borderId="111" xfId="224" applyFont="1" applyFill="1" applyBorder="1" applyAlignment="1">
      <alignment vertical="center"/>
    </xf>
    <xf numFmtId="49" fontId="81" fillId="40" borderId="116" xfId="0" applyNumberFormat="1" applyFont="1" applyFill="1" applyBorder="1" applyAlignment="1">
      <alignment vertical="center" shrinkToFit="1"/>
    </xf>
    <xf numFmtId="49" fontId="18" fillId="40" borderId="117" xfId="0" applyNumberFormat="1" applyFont="1" applyFill="1" applyBorder="1" applyAlignment="1">
      <alignment vertical="center"/>
    </xf>
    <xf numFmtId="49" fontId="18" fillId="40" borderId="118" xfId="0" applyNumberFormat="1" applyFont="1" applyFill="1" applyBorder="1" applyAlignment="1">
      <alignment vertical="center"/>
    </xf>
    <xf numFmtId="49" fontId="18" fillId="40" borderId="119" xfId="0" applyNumberFormat="1" applyFont="1" applyFill="1" applyBorder="1" applyAlignment="1">
      <alignment vertical="center"/>
    </xf>
    <xf numFmtId="49" fontId="17" fillId="0" borderId="120" xfId="0" applyNumberFormat="1" applyFont="1" applyBorder="1" applyAlignment="1">
      <alignment vertical="center" shrinkToFit="1"/>
    </xf>
    <xf numFmtId="49" fontId="17" fillId="41" borderId="121" xfId="0" applyNumberFormat="1" applyFont="1" applyFill="1" applyBorder="1" applyAlignment="1">
      <alignment vertical="center"/>
    </xf>
    <xf numFmtId="49" fontId="17" fillId="0" borderId="8" xfId="0" applyNumberFormat="1" applyFont="1" applyBorder="1" applyAlignment="1">
      <alignment vertical="center"/>
    </xf>
    <xf numFmtId="49" fontId="17" fillId="0" borderId="0" xfId="0" applyNumberFormat="1" applyFont="1" applyAlignment="1">
      <alignment vertical="center"/>
    </xf>
    <xf numFmtId="49" fontId="17" fillId="0" borderId="122" xfId="0" applyNumberFormat="1" applyFont="1" applyBorder="1" applyAlignment="1">
      <alignment vertical="center" shrinkToFit="1"/>
    </xf>
    <xf numFmtId="49" fontId="17" fillId="0" borderId="33" xfId="0" applyNumberFormat="1" applyFont="1" applyBorder="1" applyAlignment="1">
      <alignment vertical="center"/>
    </xf>
    <xf numFmtId="49" fontId="17" fillId="0" borderId="34" xfId="0" applyNumberFormat="1" applyFont="1" applyBorder="1" applyAlignment="1">
      <alignment vertical="center"/>
    </xf>
    <xf numFmtId="49" fontId="17" fillId="0" borderId="33" xfId="0" applyNumberFormat="1" applyFont="1" applyBorder="1" applyAlignment="1">
      <alignment horizontal="left" vertical="center"/>
    </xf>
    <xf numFmtId="49" fontId="17" fillId="0" borderId="9" xfId="0" applyNumberFormat="1" applyFont="1" applyBorder="1" applyAlignment="1">
      <alignment vertical="center"/>
    </xf>
    <xf numFmtId="49" fontId="17" fillId="0" borderId="96" xfId="0" applyNumberFormat="1" applyFont="1" applyBorder="1" applyAlignment="1">
      <alignment vertical="center" shrinkToFit="1"/>
    </xf>
    <xf numFmtId="49" fontId="17" fillId="0" borderId="32" xfId="0" applyNumberFormat="1" applyFont="1" applyBorder="1" applyAlignment="1">
      <alignment vertical="center"/>
    </xf>
    <xf numFmtId="49" fontId="17" fillId="0" borderId="1" xfId="0" applyNumberFormat="1" applyFont="1" applyBorder="1" applyAlignment="1">
      <alignment vertical="center"/>
    </xf>
    <xf numFmtId="49" fontId="17" fillId="0" borderId="31" xfId="0" applyNumberFormat="1" applyFont="1" applyBorder="1" applyAlignment="1">
      <alignment vertical="center"/>
    </xf>
    <xf numFmtId="49" fontId="97" fillId="0" borderId="33" xfId="57490" applyNumberFormat="1" applyFont="1" applyBorder="1">
      <alignment vertical="center"/>
    </xf>
    <xf numFmtId="49" fontId="97" fillId="0" borderId="0" xfId="57490" applyNumberFormat="1" applyFont="1">
      <alignment vertical="center"/>
    </xf>
    <xf numFmtId="49" fontId="97" fillId="0" borderId="0" xfId="0" applyNumberFormat="1" applyFont="1" applyAlignment="1">
      <alignment vertical="center"/>
    </xf>
    <xf numFmtId="0" fontId="17" fillId="0" borderId="0" xfId="0" applyFont="1" applyAlignment="1">
      <alignment vertical="center" shrinkToFit="1"/>
    </xf>
    <xf numFmtId="0" fontId="17" fillId="0" borderId="33" xfId="0" applyFont="1" applyBorder="1" applyAlignment="1">
      <alignment vertical="center"/>
    </xf>
    <xf numFmtId="0" fontId="17" fillId="0" borderId="34" xfId="0" applyFont="1" applyBorder="1" applyAlignment="1">
      <alignment vertical="center"/>
    </xf>
    <xf numFmtId="0" fontId="100" fillId="50" borderId="0" xfId="224" applyFont="1" applyFill="1" applyAlignment="1">
      <alignment vertical="center"/>
    </xf>
    <xf numFmtId="0" fontId="17" fillId="50" borderId="0" xfId="224" applyFont="1" applyFill="1" applyAlignment="1">
      <alignment vertical="center"/>
    </xf>
    <xf numFmtId="0" fontId="17" fillId="48" borderId="0" xfId="224" applyFont="1" applyFill="1" applyAlignment="1">
      <alignment vertical="center"/>
    </xf>
    <xf numFmtId="0" fontId="17" fillId="51" borderId="106" xfId="224" applyFont="1" applyFill="1" applyBorder="1" applyAlignment="1">
      <alignment vertical="center"/>
    </xf>
    <xf numFmtId="0" fontId="17" fillId="52" borderId="107" xfId="224" applyFont="1" applyFill="1" applyBorder="1" applyAlignment="1">
      <alignment vertical="center"/>
    </xf>
    <xf numFmtId="0" fontId="17" fillId="53" borderId="106" xfId="224" applyFont="1" applyFill="1" applyBorder="1" applyAlignment="1">
      <alignment vertical="center"/>
    </xf>
    <xf numFmtId="0" fontId="17" fillId="53" borderId="107" xfId="224" applyFont="1" applyFill="1" applyBorder="1" applyAlignment="1">
      <alignment vertical="center"/>
    </xf>
    <xf numFmtId="0" fontId="17" fillId="53" borderId="108" xfId="224" applyFont="1" applyFill="1" applyBorder="1" applyAlignment="1">
      <alignment vertical="center"/>
    </xf>
    <xf numFmtId="0" fontId="17" fillId="54" borderId="107" xfId="224" applyFont="1" applyFill="1" applyBorder="1" applyAlignment="1">
      <alignment vertical="center"/>
    </xf>
    <xf numFmtId="0" fontId="17" fillId="52" borderId="106" xfId="224" applyFont="1" applyFill="1" applyBorder="1" applyAlignment="1">
      <alignment vertical="center"/>
    </xf>
    <xf numFmtId="0" fontId="17" fillId="52" borderId="108" xfId="224" applyFont="1" applyFill="1" applyBorder="1" applyAlignment="1">
      <alignment vertical="center"/>
    </xf>
    <xf numFmtId="0" fontId="17" fillId="52" borderId="124" xfId="224" applyFont="1" applyFill="1" applyBorder="1" applyAlignment="1">
      <alignment vertical="center"/>
    </xf>
    <xf numFmtId="0" fontId="17" fillId="52" borderId="125" xfId="224" applyFont="1" applyFill="1" applyBorder="1" applyAlignment="1">
      <alignment vertical="center"/>
    </xf>
    <xf numFmtId="0" fontId="17" fillId="55" borderId="108" xfId="224" applyFont="1" applyFill="1" applyBorder="1" applyAlignment="1">
      <alignment vertical="center"/>
    </xf>
    <xf numFmtId="0" fontId="17" fillId="55" borderId="107" xfId="224" applyFont="1" applyFill="1" applyBorder="1" applyAlignment="1">
      <alignment vertical="center"/>
    </xf>
    <xf numFmtId="0" fontId="13" fillId="52" borderId="123" xfId="224" applyFont="1" applyFill="1" applyBorder="1" applyAlignment="1">
      <alignment vertical="center"/>
    </xf>
    <xf numFmtId="0" fontId="17" fillId="31" borderId="34" xfId="224" applyFont="1" applyFill="1" applyBorder="1" applyAlignment="1">
      <alignment vertical="center"/>
    </xf>
    <xf numFmtId="0" fontId="17" fillId="31" borderId="0" xfId="224" quotePrefix="1" applyFont="1" applyFill="1" applyAlignment="1">
      <alignment vertical="center"/>
    </xf>
    <xf numFmtId="0" fontId="17" fillId="48" borderId="0" xfId="224" applyFont="1" applyFill="1" applyAlignment="1">
      <alignment vertical="center" wrapText="1"/>
    </xf>
    <xf numFmtId="0" fontId="96" fillId="50" borderId="114" xfId="224" applyFont="1" applyFill="1" applyBorder="1" applyAlignment="1">
      <alignment vertical="center"/>
    </xf>
    <xf numFmtId="0" fontId="96" fillId="50" borderId="115" xfId="224" applyFont="1" applyFill="1" applyBorder="1" applyAlignment="1">
      <alignment vertical="center"/>
    </xf>
    <xf numFmtId="0" fontId="13" fillId="31" borderId="114" xfId="224" quotePrefix="1" applyFont="1" applyFill="1" applyBorder="1" applyAlignment="1">
      <alignment vertical="center"/>
    </xf>
    <xf numFmtId="0" fontId="13" fillId="31" borderId="114" xfId="224" applyFont="1" applyFill="1" applyBorder="1" applyAlignment="1">
      <alignment vertical="center"/>
    </xf>
    <xf numFmtId="0" fontId="13" fillId="31" borderId="115" xfId="224" applyFont="1" applyFill="1" applyBorder="1" applyAlignment="1">
      <alignment vertical="center"/>
    </xf>
    <xf numFmtId="0" fontId="101" fillId="56" borderId="128" xfId="0" applyFont="1" applyFill="1" applyBorder="1" applyAlignment="1">
      <alignment vertical="center"/>
    </xf>
    <xf numFmtId="0" fontId="71" fillId="56" borderId="10" xfId="0" applyFont="1" applyFill="1" applyBorder="1" applyAlignment="1">
      <alignment vertical="center"/>
    </xf>
    <xf numFmtId="0" fontId="71" fillId="56" borderId="129" xfId="0" applyFont="1" applyFill="1" applyBorder="1" applyAlignment="1">
      <alignment vertical="center"/>
    </xf>
    <xf numFmtId="0" fontId="71" fillId="35" borderId="11" xfId="0" applyFont="1" applyFill="1" applyBorder="1" applyAlignment="1">
      <alignment vertical="center"/>
    </xf>
    <xf numFmtId="49" fontId="71" fillId="35" borderId="25" xfId="0" applyNumberFormat="1" applyFont="1" applyFill="1" applyBorder="1" applyAlignment="1">
      <alignment vertical="center"/>
    </xf>
    <xf numFmtId="0" fontId="71" fillId="35" borderId="13" xfId="0" applyFont="1" applyFill="1" applyBorder="1" applyAlignment="1">
      <alignment vertical="center"/>
    </xf>
    <xf numFmtId="0" fontId="71" fillId="35" borderId="15" xfId="0" applyFont="1" applyFill="1" applyBorder="1" applyAlignment="1">
      <alignment vertical="center"/>
    </xf>
    <xf numFmtId="49" fontId="71" fillId="35" borderId="13" xfId="0" applyNumberFormat="1" applyFont="1" applyFill="1" applyBorder="1" applyAlignment="1">
      <alignment vertical="center"/>
    </xf>
    <xf numFmtId="0" fontId="22" fillId="0" borderId="115" xfId="0" applyFont="1" applyBorder="1" applyAlignment="1">
      <alignment vertical="center"/>
    </xf>
    <xf numFmtId="0" fontId="22" fillId="0" borderId="114" xfId="0" applyFont="1" applyBorder="1" applyAlignment="1">
      <alignment vertical="center"/>
    </xf>
    <xf numFmtId="0" fontId="18" fillId="42" borderId="114" xfId="0" applyFont="1" applyFill="1" applyBorder="1" applyAlignment="1">
      <alignment vertical="center"/>
    </xf>
    <xf numFmtId="0" fontId="18" fillId="40" borderId="115" xfId="0" applyFont="1" applyFill="1" applyBorder="1" applyAlignment="1">
      <alignment horizontal="left" vertical="center"/>
    </xf>
    <xf numFmtId="0" fontId="18" fillId="42" borderId="121" xfId="0" applyFont="1" applyFill="1" applyBorder="1" applyAlignment="1">
      <alignment vertical="center"/>
    </xf>
    <xf numFmtId="0" fontId="18" fillId="47" borderId="114" xfId="0" applyFont="1" applyFill="1" applyBorder="1" applyAlignment="1">
      <alignment vertical="center"/>
    </xf>
    <xf numFmtId="0" fontId="18" fillId="47" borderId="131" xfId="0" applyFont="1" applyFill="1" applyBorder="1" applyAlignment="1">
      <alignment vertical="center"/>
    </xf>
    <xf numFmtId="0" fontId="17" fillId="0" borderId="114" xfId="0" applyFont="1" applyBorder="1" applyAlignment="1">
      <alignment horizontal="center" vertical="center" wrapText="1"/>
    </xf>
    <xf numFmtId="0" fontId="17" fillId="0" borderId="115" xfId="0" applyFont="1" applyBorder="1" applyAlignment="1">
      <alignment vertical="center"/>
    </xf>
    <xf numFmtId="0" fontId="17" fillId="0" borderId="114" xfId="0" applyFont="1" applyBorder="1" applyAlignment="1">
      <alignment vertical="center"/>
    </xf>
    <xf numFmtId="0" fontId="17" fillId="0" borderId="114" xfId="0" applyFont="1" applyBorder="1" applyAlignment="1">
      <alignment horizontal="center" vertical="center"/>
    </xf>
    <xf numFmtId="0" fontId="17" fillId="0" borderId="114" xfId="0" applyFont="1" applyBorder="1" applyAlignment="1">
      <alignment vertical="top"/>
    </xf>
    <xf numFmtId="0" fontId="17" fillId="0" borderId="121" xfId="0" applyFont="1" applyBorder="1" applyAlignment="1">
      <alignment vertical="top"/>
    </xf>
    <xf numFmtId="0" fontId="17" fillId="0" borderId="22" xfId="0" applyFont="1" applyBorder="1" applyAlignment="1">
      <alignment horizontal="center" vertical="center" wrapText="1"/>
    </xf>
    <xf numFmtId="0" fontId="17" fillId="0" borderId="22" xfId="0" applyFont="1" applyBorder="1" applyAlignment="1">
      <alignment horizontal="center" vertical="center"/>
    </xf>
    <xf numFmtId="0" fontId="17" fillId="0" borderId="22" xfId="0" applyFont="1" applyBorder="1" applyAlignment="1">
      <alignment vertical="top"/>
    </xf>
    <xf numFmtId="0" fontId="17" fillId="0" borderId="20" xfId="0" applyFont="1" applyBorder="1" applyAlignment="1">
      <alignment vertical="top"/>
    </xf>
    <xf numFmtId="0" fontId="17" fillId="0" borderId="21" xfId="0" applyFont="1" applyBorder="1" applyAlignment="1">
      <alignment vertical="top"/>
    </xf>
    <xf numFmtId="0" fontId="17" fillId="0" borderId="102" xfId="0" applyFont="1" applyBorder="1" applyAlignment="1">
      <alignment vertical="center"/>
    </xf>
    <xf numFmtId="0" fontId="13" fillId="31" borderId="133" xfId="224" applyFont="1" applyFill="1" applyBorder="1" applyAlignment="1">
      <alignment vertical="center"/>
    </xf>
    <xf numFmtId="0" fontId="13" fillId="31" borderId="134" xfId="224" applyFont="1" applyFill="1" applyBorder="1" applyAlignment="1">
      <alignment vertical="center"/>
    </xf>
    <xf numFmtId="0" fontId="95" fillId="31" borderId="0" xfId="224" applyFont="1" applyFill="1" applyAlignment="1">
      <alignment horizontal="center" vertical="center"/>
    </xf>
    <xf numFmtId="0" fontId="100" fillId="57" borderId="105" xfId="224" applyFont="1" applyFill="1" applyBorder="1" applyAlignment="1">
      <alignment horizontal="center" vertical="center"/>
    </xf>
    <xf numFmtId="0" fontId="100" fillId="57" borderId="135" xfId="224" applyFont="1" applyFill="1" applyBorder="1" applyAlignment="1">
      <alignment horizontal="center" vertical="center"/>
    </xf>
    <xf numFmtId="0" fontId="22" fillId="0" borderId="115" xfId="0" applyFont="1" applyBorder="1" applyAlignment="1">
      <alignment vertical="center" wrapText="1"/>
    </xf>
    <xf numFmtId="49" fontId="22" fillId="0" borderId="8" xfId="0" applyNumberFormat="1" applyFont="1" applyBorder="1" applyAlignment="1">
      <alignment vertical="center"/>
    </xf>
    <xf numFmtId="49" fontId="22" fillId="0" borderId="136" xfId="0" applyNumberFormat="1" applyFont="1" applyBorder="1" applyAlignment="1">
      <alignment vertical="center"/>
    </xf>
    <xf numFmtId="0" fontId="22" fillId="0" borderId="0" xfId="0" applyFont="1" applyAlignment="1">
      <alignment vertical="center"/>
    </xf>
    <xf numFmtId="0" fontId="22" fillId="0" borderId="34" xfId="0" applyFont="1" applyBorder="1" applyAlignment="1">
      <alignment vertical="center"/>
    </xf>
    <xf numFmtId="0" fontId="22" fillId="0" borderId="137" xfId="0" applyFont="1" applyBorder="1" applyAlignment="1">
      <alignment vertical="center"/>
    </xf>
    <xf numFmtId="49" fontId="22" fillId="0" borderId="137" xfId="0" applyNumberFormat="1" applyFont="1" applyBorder="1" applyAlignment="1">
      <alignment vertical="center"/>
    </xf>
    <xf numFmtId="0" fontId="22" fillId="0" borderId="138" xfId="0" applyFont="1" applyBorder="1" applyAlignment="1">
      <alignment vertical="center"/>
    </xf>
    <xf numFmtId="0" fontId="22" fillId="0" borderId="19" xfId="0" applyFont="1" applyBorder="1" applyAlignment="1">
      <alignment vertical="center"/>
    </xf>
    <xf numFmtId="0" fontId="22" fillId="0" borderId="28" xfId="0" applyFont="1" applyBorder="1" applyAlignment="1">
      <alignment vertical="center"/>
    </xf>
    <xf numFmtId="0" fontId="22" fillId="0" borderId="20" xfId="0" applyFont="1" applyBorder="1" applyAlignment="1">
      <alignment vertical="center"/>
    </xf>
    <xf numFmtId="0" fontId="22" fillId="0" borderId="17" xfId="0" applyFont="1" applyBorder="1" applyAlignment="1">
      <alignment vertical="center"/>
    </xf>
    <xf numFmtId="0" fontId="22" fillId="0" borderId="29" xfId="0" applyFont="1" applyBorder="1" applyAlignment="1">
      <alignment vertical="center"/>
    </xf>
    <xf numFmtId="0" fontId="22" fillId="0" borderId="61" xfId="0" applyFont="1" applyBorder="1" applyAlignment="1">
      <alignment vertical="center"/>
    </xf>
    <xf numFmtId="0" fontId="17" fillId="52" borderId="107" xfId="224" quotePrefix="1" applyFont="1" applyFill="1" applyBorder="1" applyAlignment="1">
      <alignment vertical="center"/>
    </xf>
    <xf numFmtId="0" fontId="92" fillId="36" borderId="114" xfId="57489" applyFont="1" applyFill="1" applyBorder="1">
      <alignment vertical="center"/>
    </xf>
    <xf numFmtId="0" fontId="92" fillId="36" borderId="115" xfId="57489" applyFont="1" applyFill="1" applyBorder="1">
      <alignment vertical="center"/>
    </xf>
    <xf numFmtId="0" fontId="90" fillId="36" borderId="115" xfId="57489" applyFont="1" applyFill="1" applyBorder="1">
      <alignment vertical="center"/>
    </xf>
    <xf numFmtId="0" fontId="92" fillId="0" borderId="114" xfId="57489" applyFont="1" applyBorder="1">
      <alignment vertical="center"/>
    </xf>
    <xf numFmtId="0" fontId="92" fillId="0" borderId="115" xfId="57489" applyFont="1" applyBorder="1">
      <alignment vertical="center"/>
    </xf>
    <xf numFmtId="0" fontId="90" fillId="0" borderId="115" xfId="57489" applyFont="1" applyBorder="1">
      <alignment vertical="center"/>
    </xf>
    <xf numFmtId="0" fontId="92" fillId="46" borderId="114" xfId="57489" applyFont="1" applyFill="1" applyBorder="1">
      <alignment vertical="center"/>
    </xf>
    <xf numFmtId="0" fontId="92" fillId="46" borderId="115" xfId="57489" applyFont="1" applyFill="1" applyBorder="1">
      <alignment vertical="center"/>
    </xf>
    <xf numFmtId="0" fontId="90" fillId="46" borderId="115" xfId="57489" applyFont="1" applyFill="1" applyBorder="1">
      <alignment vertical="center"/>
    </xf>
    <xf numFmtId="0" fontId="17" fillId="31" borderId="66" xfId="224" applyFont="1" applyFill="1" applyBorder="1" applyAlignment="1">
      <alignment vertical="center"/>
    </xf>
    <xf numFmtId="0" fontId="17" fillId="31" borderId="66" xfId="224" applyFont="1" applyFill="1" applyBorder="1" applyAlignment="1">
      <alignment horizontal="center" vertical="center"/>
    </xf>
    <xf numFmtId="0" fontId="17" fillId="31" borderId="66" xfId="224" applyFont="1" applyFill="1" applyBorder="1" applyAlignment="1">
      <alignment vertical="center" wrapText="1"/>
    </xf>
    <xf numFmtId="0" fontId="17" fillId="34" borderId="115" xfId="0" applyFont="1" applyFill="1" applyBorder="1" applyAlignment="1">
      <alignment vertical="center"/>
    </xf>
    <xf numFmtId="0" fontId="18" fillId="34" borderId="114" xfId="0" applyFont="1" applyFill="1" applyBorder="1" applyAlignment="1">
      <alignment vertical="center"/>
    </xf>
    <xf numFmtId="0" fontId="17" fillId="34" borderId="121" xfId="0" applyFont="1" applyFill="1" applyBorder="1" applyAlignment="1">
      <alignment vertical="center"/>
    </xf>
    <xf numFmtId="0" fontId="17" fillId="0" borderId="121" xfId="0" applyFont="1" applyBorder="1" applyAlignment="1">
      <alignment vertical="center"/>
    </xf>
    <xf numFmtId="0" fontId="89" fillId="0" borderId="114" xfId="0" applyFont="1" applyBorder="1" applyAlignment="1">
      <alignment horizontal="center" vertical="center" wrapText="1"/>
    </xf>
    <xf numFmtId="0" fontId="89" fillId="0" borderId="114" xfId="0" applyFont="1" applyBorder="1" applyAlignment="1">
      <alignment vertical="center"/>
    </xf>
    <xf numFmtId="0" fontId="89" fillId="0" borderId="115" xfId="0" applyFont="1" applyBorder="1" applyAlignment="1">
      <alignment vertical="center"/>
    </xf>
    <xf numFmtId="0" fontId="89" fillId="0" borderId="114" xfId="0" applyFont="1" applyBorder="1" applyAlignment="1">
      <alignment horizontal="center" vertical="center"/>
    </xf>
    <xf numFmtId="49" fontId="102" fillId="0" borderId="0" xfId="57490" applyNumberFormat="1" applyFont="1">
      <alignment vertical="center"/>
    </xf>
    <xf numFmtId="0" fontId="14" fillId="0" borderId="0" xfId="57481" applyFont="1"/>
    <xf numFmtId="0" fontId="13" fillId="0" borderId="0" xfId="57481" applyFont="1"/>
    <xf numFmtId="0" fontId="13" fillId="0" borderId="0" xfId="57481" applyFont="1" applyAlignment="1">
      <alignment vertical="top"/>
    </xf>
    <xf numFmtId="0" fontId="13" fillId="0" borderId="0" xfId="57481" applyFont="1" applyAlignment="1">
      <alignment vertical="center"/>
    </xf>
    <xf numFmtId="0" fontId="13" fillId="0" borderId="0" xfId="57481" applyFont="1" applyAlignment="1">
      <alignment vertical="center" wrapText="1"/>
    </xf>
    <xf numFmtId="0" fontId="13" fillId="0" borderId="9" xfId="57481" applyFont="1" applyBorder="1" applyAlignment="1">
      <alignment vertical="center"/>
    </xf>
    <xf numFmtId="0" fontId="103" fillId="40" borderId="16" xfId="57492" applyFont="1" applyFill="1" applyBorder="1">
      <alignment vertical="center"/>
    </xf>
    <xf numFmtId="0" fontId="103" fillId="40" borderId="13" xfId="57492" applyFont="1" applyFill="1" applyBorder="1">
      <alignment vertical="center"/>
    </xf>
    <xf numFmtId="0" fontId="103" fillId="40" borderId="15" xfId="57492" applyFont="1" applyFill="1" applyBorder="1">
      <alignment vertical="center"/>
    </xf>
    <xf numFmtId="0" fontId="103" fillId="40" borderId="14" xfId="57492" applyFont="1" applyFill="1" applyBorder="1">
      <alignment vertical="center"/>
    </xf>
    <xf numFmtId="0" fontId="104" fillId="0" borderId="0" xfId="57492" applyFont="1" applyAlignment="1"/>
    <xf numFmtId="0" fontId="13" fillId="0" borderId="121" xfId="57493" applyFont="1" applyBorder="1">
      <alignment vertical="center"/>
    </xf>
    <xf numFmtId="0" fontId="13" fillId="0" borderId="0" xfId="57492" applyFont="1" applyAlignment="1">
      <alignment horizontal="right" vertical="center"/>
    </xf>
    <xf numFmtId="0" fontId="13" fillId="0" borderId="114" xfId="57492" applyFont="1" applyBorder="1">
      <alignment vertical="center"/>
    </xf>
    <xf numFmtId="0" fontId="13" fillId="0" borderId="115" xfId="57492" applyFont="1" applyBorder="1">
      <alignment vertical="center"/>
    </xf>
    <xf numFmtId="0" fontId="13" fillId="0" borderId="0" xfId="57481" applyFont="1" applyAlignment="1">
      <alignment vertical="center" shrinkToFit="1"/>
    </xf>
    <xf numFmtId="0" fontId="17" fillId="59" borderId="0" xfId="224" applyFont="1" applyFill="1" applyAlignment="1">
      <alignment horizontal="center" vertical="center"/>
    </xf>
    <xf numFmtId="0" fontId="105" fillId="59" borderId="0" xfId="224" applyFont="1" applyFill="1" applyAlignment="1">
      <alignment horizontal="center" vertical="center"/>
    </xf>
    <xf numFmtId="49" fontId="18" fillId="60" borderId="128" xfId="0" applyNumberFormat="1" applyFont="1" applyFill="1" applyBorder="1" applyAlignment="1">
      <alignment vertical="center"/>
    </xf>
    <xf numFmtId="0" fontId="17" fillId="60" borderId="10" xfId="0" applyFont="1" applyFill="1" applyBorder="1" applyAlignment="1">
      <alignment vertical="center"/>
    </xf>
    <xf numFmtId="49" fontId="18" fillId="60" borderId="10" xfId="0" applyNumberFormat="1" applyFont="1" applyFill="1" applyBorder="1" applyAlignment="1">
      <alignment vertical="center"/>
    </xf>
    <xf numFmtId="49" fontId="17" fillId="60" borderId="10" xfId="0" applyNumberFormat="1" applyFont="1" applyFill="1" applyBorder="1" applyAlignment="1">
      <alignment vertical="center"/>
    </xf>
    <xf numFmtId="49" fontId="17" fillId="60" borderId="129" xfId="0" applyNumberFormat="1" applyFont="1" applyFill="1" applyBorder="1" applyAlignment="1">
      <alignment vertical="center"/>
    </xf>
    <xf numFmtId="0" fontId="17" fillId="0" borderId="140" xfId="0" applyFont="1" applyBorder="1" applyAlignment="1">
      <alignment vertical="center"/>
    </xf>
    <xf numFmtId="0" fontId="18" fillId="0" borderId="8" xfId="0" applyFont="1" applyBorder="1" applyAlignment="1">
      <alignment vertical="center"/>
    </xf>
    <xf numFmtId="0" fontId="103" fillId="33" borderId="114" xfId="0" applyFont="1" applyFill="1" applyBorder="1" applyAlignment="1">
      <alignment vertical="center"/>
    </xf>
    <xf numFmtId="0" fontId="103" fillId="33" borderId="115" xfId="0" applyFont="1" applyFill="1" applyBorder="1" applyAlignment="1">
      <alignment vertical="center"/>
    </xf>
    <xf numFmtId="0" fontId="18" fillId="0" borderId="9" xfId="0" applyFont="1" applyBorder="1" applyAlignment="1">
      <alignment vertical="center"/>
    </xf>
    <xf numFmtId="0" fontId="103" fillId="0" borderId="114" xfId="0" applyFont="1" applyBorder="1" applyAlignment="1">
      <alignment vertical="center"/>
    </xf>
    <xf numFmtId="0" fontId="103" fillId="0" borderId="115" xfId="0" applyFont="1" applyBorder="1" applyAlignment="1">
      <alignment vertical="center"/>
    </xf>
    <xf numFmtId="0" fontId="13" fillId="52" borderId="106" xfId="224" applyFont="1" applyFill="1" applyBorder="1" applyAlignment="1">
      <alignment vertical="center"/>
    </xf>
    <xf numFmtId="49" fontId="22" fillId="0" borderId="23" xfId="0" applyNumberFormat="1" applyFont="1" applyBorder="1" applyAlignment="1">
      <alignment vertical="center"/>
    </xf>
    <xf numFmtId="0" fontId="13" fillId="0" borderId="114" xfId="57493" applyFont="1" applyBorder="1">
      <alignment vertical="center"/>
    </xf>
    <xf numFmtId="0" fontId="13" fillId="0" borderId="115" xfId="57493" applyFont="1" applyBorder="1">
      <alignment vertical="center"/>
    </xf>
    <xf numFmtId="49" fontId="106" fillId="0" borderId="0" xfId="57490" applyNumberFormat="1" applyFont="1">
      <alignment vertical="center"/>
    </xf>
    <xf numFmtId="49" fontId="107" fillId="0" borderId="0" xfId="57490" applyNumberFormat="1" applyFont="1">
      <alignment vertical="center"/>
    </xf>
    <xf numFmtId="0" fontId="13" fillId="0" borderId="142" xfId="57493" applyFont="1" applyBorder="1">
      <alignment vertical="center"/>
    </xf>
    <xf numFmtId="0" fontId="13" fillId="0" borderId="143" xfId="57493" applyFont="1" applyBorder="1">
      <alignment vertical="center"/>
    </xf>
    <xf numFmtId="0" fontId="13" fillId="0" borderId="144" xfId="57493" applyFont="1" applyBorder="1">
      <alignment vertical="center"/>
    </xf>
    <xf numFmtId="0" fontId="13" fillId="0" borderId="145" xfId="57493" applyFont="1" applyBorder="1">
      <alignment vertical="center"/>
    </xf>
    <xf numFmtId="0" fontId="13" fillId="0" borderId="33" xfId="57493" applyFont="1" applyBorder="1">
      <alignment vertical="center"/>
    </xf>
    <xf numFmtId="0" fontId="13" fillId="0" borderId="0" xfId="57493" applyFont="1">
      <alignment vertical="center"/>
    </xf>
    <xf numFmtId="0" fontId="13" fillId="0" borderId="34" xfId="57493" applyFont="1" applyBorder="1">
      <alignment vertical="center"/>
    </xf>
    <xf numFmtId="0" fontId="13" fillId="0" borderId="33" xfId="57492" applyFont="1" applyBorder="1">
      <alignment vertical="center"/>
    </xf>
    <xf numFmtId="0" fontId="13" fillId="0" borderId="0" xfId="57492" applyFont="1">
      <alignment vertical="center"/>
    </xf>
    <xf numFmtId="0" fontId="13" fillId="0" borderId="34" xfId="57492" applyFont="1" applyBorder="1">
      <alignment vertical="center"/>
    </xf>
    <xf numFmtId="0" fontId="13" fillId="0" borderId="32" xfId="57493" applyFont="1" applyBorder="1">
      <alignment vertical="center"/>
    </xf>
    <xf numFmtId="0" fontId="13" fillId="0" borderId="1" xfId="57493" applyFont="1" applyBorder="1">
      <alignment vertical="center"/>
    </xf>
    <xf numFmtId="0" fontId="13" fillId="0" borderId="31" xfId="57493" applyFont="1" applyBorder="1">
      <alignment vertical="center"/>
    </xf>
    <xf numFmtId="0" fontId="13" fillId="0" borderId="32" xfId="57492" applyFont="1" applyBorder="1">
      <alignment vertical="center"/>
    </xf>
    <xf numFmtId="0" fontId="13" fillId="0" borderId="1" xfId="57492" applyFont="1" applyBorder="1">
      <alignment vertical="center"/>
    </xf>
    <xf numFmtId="0" fontId="13" fillId="0" borderId="31" xfId="57492" applyFont="1" applyBorder="1">
      <alignment vertical="center"/>
    </xf>
    <xf numFmtId="0" fontId="13" fillId="0" borderId="9" xfId="57492" applyFont="1" applyBorder="1">
      <alignment vertical="center"/>
    </xf>
    <xf numFmtId="0" fontId="13" fillId="0" borderId="93" xfId="57492" applyFont="1" applyBorder="1">
      <alignment vertical="center"/>
    </xf>
    <xf numFmtId="0" fontId="13" fillId="0" borderId="121" xfId="57492" applyFont="1" applyBorder="1">
      <alignment vertical="center"/>
    </xf>
    <xf numFmtId="0" fontId="13" fillId="0" borderId="22" xfId="57493" applyFont="1" applyBorder="1">
      <alignment vertical="center"/>
    </xf>
    <xf numFmtId="0" fontId="13" fillId="0" borderId="20" xfId="57493" applyFont="1" applyBorder="1">
      <alignment vertical="center"/>
    </xf>
    <xf numFmtId="0" fontId="13" fillId="0" borderId="17" xfId="57493" applyFont="1" applyBorder="1">
      <alignment vertical="center"/>
    </xf>
    <xf numFmtId="0" fontId="13" fillId="0" borderId="22" xfId="57492" applyFont="1" applyBorder="1">
      <alignment vertical="center"/>
    </xf>
    <xf numFmtId="0" fontId="13" fillId="0" borderId="20" xfId="57492" applyFont="1" applyBorder="1">
      <alignment vertical="center"/>
    </xf>
    <xf numFmtId="0" fontId="13" fillId="0" borderId="17" xfId="57492" applyFont="1" applyBorder="1">
      <alignment vertical="center"/>
    </xf>
    <xf numFmtId="0" fontId="13" fillId="0" borderId="21" xfId="57492" applyFont="1" applyBorder="1">
      <alignment vertical="center"/>
    </xf>
    <xf numFmtId="49" fontId="102" fillId="0" borderId="33" xfId="57490" applyNumberFormat="1" applyFont="1" applyBorder="1">
      <alignment vertical="center"/>
    </xf>
    <xf numFmtId="49" fontId="102" fillId="0" borderId="0" xfId="0" applyNumberFormat="1" applyFont="1" applyAlignment="1">
      <alignment vertical="center"/>
    </xf>
    <xf numFmtId="49" fontId="108" fillId="40" borderId="116" xfId="0" applyNumberFormat="1" applyFont="1" applyFill="1" applyBorder="1" applyAlignment="1">
      <alignment vertical="center" shrinkToFit="1"/>
    </xf>
    <xf numFmtId="49" fontId="108" fillId="40" borderId="117" xfId="0" applyNumberFormat="1" applyFont="1" applyFill="1" applyBorder="1" applyAlignment="1">
      <alignment vertical="center"/>
    </xf>
    <xf numFmtId="49" fontId="108" fillId="40" borderId="118" xfId="0" applyNumberFormat="1" applyFont="1" applyFill="1" applyBorder="1" applyAlignment="1">
      <alignment vertical="center"/>
    </xf>
    <xf numFmtId="49" fontId="108" fillId="40" borderId="119" xfId="0" applyNumberFormat="1" applyFont="1" applyFill="1" applyBorder="1" applyAlignment="1">
      <alignment vertical="center"/>
    </xf>
    <xf numFmtId="49" fontId="102" fillId="0" borderId="120" xfId="0" applyNumberFormat="1" applyFont="1" applyBorder="1" applyAlignment="1">
      <alignment vertical="center" shrinkToFit="1"/>
    </xf>
    <xf numFmtId="49" fontId="102" fillId="41" borderId="121" xfId="0" applyNumberFormat="1" applyFont="1" applyFill="1" applyBorder="1" applyAlignment="1">
      <alignment vertical="center"/>
    </xf>
    <xf numFmtId="49" fontId="102" fillId="0" borderId="122" xfId="0" applyNumberFormat="1" applyFont="1" applyBorder="1" applyAlignment="1">
      <alignment vertical="center" shrinkToFit="1"/>
    </xf>
    <xf numFmtId="49" fontId="102" fillId="0" borderId="33" xfId="0" applyNumberFormat="1" applyFont="1" applyBorder="1" applyAlignment="1">
      <alignment vertical="center"/>
    </xf>
    <xf numFmtId="49" fontId="102" fillId="0" borderId="34" xfId="0" applyNumberFormat="1" applyFont="1" applyBorder="1" applyAlignment="1">
      <alignment vertical="center"/>
    </xf>
    <xf numFmtId="0" fontId="102" fillId="0" borderId="0" xfId="57491" applyFont="1" applyAlignment="1">
      <alignment vertical="center"/>
    </xf>
    <xf numFmtId="49" fontId="102" fillId="0" borderId="9" xfId="0" applyNumberFormat="1" applyFont="1" applyBorder="1" applyAlignment="1">
      <alignment vertical="center"/>
    </xf>
    <xf numFmtId="49" fontId="102" fillId="0" borderId="0" xfId="0" applyNumberFormat="1" applyFont="1" applyAlignment="1">
      <alignment horizontal="left" vertical="center"/>
    </xf>
    <xf numFmtId="49" fontId="106" fillId="0" borderId="0" xfId="0" applyNumberFormat="1" applyFont="1" applyAlignment="1">
      <alignment vertical="center"/>
    </xf>
    <xf numFmtId="49" fontId="102" fillId="0" borderId="96" xfId="0" applyNumberFormat="1" applyFont="1" applyBorder="1" applyAlignment="1">
      <alignment vertical="center" shrinkToFit="1"/>
    </xf>
    <xf numFmtId="49" fontId="102" fillId="0" borderId="32" xfId="0" applyNumberFormat="1" applyFont="1" applyBorder="1" applyAlignment="1">
      <alignment vertical="center"/>
    </xf>
    <xf numFmtId="49" fontId="102" fillId="0" borderId="1" xfId="0" applyNumberFormat="1" applyFont="1" applyBorder="1" applyAlignment="1">
      <alignment vertical="center"/>
    </xf>
    <xf numFmtId="49" fontId="102" fillId="0" borderId="31" xfId="0" applyNumberFormat="1" applyFont="1" applyBorder="1" applyAlignment="1">
      <alignment vertical="center"/>
    </xf>
    <xf numFmtId="0" fontId="102" fillId="0" borderId="0" xfId="0" applyFont="1" applyAlignment="1">
      <alignment vertical="center"/>
    </xf>
    <xf numFmtId="0" fontId="107" fillId="0" borderId="0" xfId="0" applyFont="1" applyAlignment="1">
      <alignment vertical="center"/>
    </xf>
    <xf numFmtId="0" fontId="102" fillId="0" borderId="6" xfId="0" applyFont="1" applyBorder="1" applyAlignment="1">
      <alignment vertical="center" shrinkToFit="1"/>
    </xf>
    <xf numFmtId="0" fontId="102" fillId="0" borderId="130" xfId="0" applyFont="1" applyBorder="1" applyAlignment="1">
      <alignment vertical="center"/>
    </xf>
    <xf numFmtId="0" fontId="102" fillId="0" borderId="66" xfId="0" applyFont="1" applyBorder="1" applyAlignment="1">
      <alignment vertical="center"/>
    </xf>
    <xf numFmtId="0" fontId="102" fillId="0" borderId="132" xfId="0" applyFont="1" applyBorder="1" applyAlignment="1">
      <alignment vertical="center"/>
    </xf>
    <xf numFmtId="0" fontId="92" fillId="0" borderId="142" xfId="57489" applyFont="1" applyBorder="1">
      <alignment vertical="center"/>
    </xf>
    <xf numFmtId="0" fontId="91" fillId="0" borderId="143" xfId="57489" applyFont="1" applyBorder="1">
      <alignment vertical="center"/>
    </xf>
    <xf numFmtId="0" fontId="92" fillId="0" borderId="143" xfId="57489" applyFont="1" applyBorder="1">
      <alignment vertical="center"/>
    </xf>
    <xf numFmtId="0" fontId="91" fillId="0" borderId="144" xfId="57489" applyFont="1" applyBorder="1">
      <alignment vertical="center"/>
    </xf>
    <xf numFmtId="0" fontId="92" fillId="36" borderId="142" xfId="57489" applyFont="1" applyFill="1" applyBorder="1">
      <alignment vertical="center"/>
    </xf>
    <xf numFmtId="0" fontId="92" fillId="36" borderId="143" xfId="57489" applyFont="1" applyFill="1" applyBorder="1">
      <alignment vertical="center"/>
    </xf>
    <xf numFmtId="0" fontId="92" fillId="36" borderId="144" xfId="57489" applyFont="1" applyFill="1" applyBorder="1">
      <alignment vertical="center"/>
    </xf>
    <xf numFmtId="0" fontId="17" fillId="31" borderId="140" xfId="224" applyFont="1" applyFill="1" applyBorder="1" applyAlignment="1">
      <alignment vertical="center"/>
    </xf>
    <xf numFmtId="0" fontId="17" fillId="58" borderId="142" xfId="224" applyFont="1" applyFill="1" applyBorder="1" applyAlignment="1">
      <alignment vertical="center"/>
    </xf>
    <xf numFmtId="0" fontId="17" fillId="58" borderId="143" xfId="224" applyFont="1" applyFill="1" applyBorder="1" applyAlignment="1">
      <alignment vertical="center"/>
    </xf>
    <xf numFmtId="0" fontId="17" fillId="58" borderId="143" xfId="224" applyFont="1" applyFill="1" applyBorder="1" applyAlignment="1">
      <alignment vertical="center" wrapText="1"/>
    </xf>
    <xf numFmtId="0" fontId="17" fillId="31" borderId="142" xfId="224" applyFont="1" applyFill="1" applyBorder="1" applyAlignment="1">
      <alignment vertical="center"/>
    </xf>
    <xf numFmtId="0" fontId="17" fillId="31" borderId="143" xfId="224" applyFont="1" applyFill="1" applyBorder="1" applyAlignment="1">
      <alignment vertical="center"/>
    </xf>
    <xf numFmtId="0" fontId="17" fillId="31" borderId="143" xfId="224" applyFont="1" applyFill="1" applyBorder="1" applyAlignment="1">
      <alignment vertical="center" wrapText="1"/>
    </xf>
    <xf numFmtId="0" fontId="96" fillId="49" borderId="142" xfId="224" applyFont="1" applyFill="1" applyBorder="1" applyAlignment="1">
      <alignment vertical="center"/>
    </xf>
    <xf numFmtId="0" fontId="96" fillId="49" borderId="144" xfId="224" applyFont="1" applyFill="1" applyBorder="1" applyAlignment="1">
      <alignment vertical="center"/>
    </xf>
    <xf numFmtId="0" fontId="96" fillId="49" borderId="143" xfId="224" applyFont="1" applyFill="1" applyBorder="1" applyAlignment="1">
      <alignment vertical="center"/>
    </xf>
    <xf numFmtId="0" fontId="22" fillId="0" borderId="143" xfId="0" applyFont="1" applyBorder="1" applyAlignment="1">
      <alignment vertical="center"/>
    </xf>
    <xf numFmtId="0" fontId="22" fillId="0" borderId="144" xfId="0" applyFont="1" applyBorder="1" applyAlignment="1">
      <alignment vertical="center"/>
    </xf>
    <xf numFmtId="0" fontId="17" fillId="0" borderId="143" xfId="0" applyFont="1" applyBorder="1" applyAlignment="1">
      <alignment vertical="center"/>
    </xf>
    <xf numFmtId="0" fontId="17" fillId="0" borderId="144" xfId="0" applyFont="1" applyBorder="1" applyAlignment="1">
      <alignment vertical="center"/>
    </xf>
    <xf numFmtId="0" fontId="17" fillId="0" borderId="142" xfId="0" applyFont="1" applyBorder="1" applyAlignment="1">
      <alignment vertical="center"/>
    </xf>
    <xf numFmtId="0" fontId="17" fillId="0" borderId="145" xfId="0" applyFont="1" applyBorder="1" applyAlignment="1">
      <alignment vertical="center"/>
    </xf>
    <xf numFmtId="0" fontId="102" fillId="0" borderId="140" xfId="0" applyFont="1" applyBorder="1" applyAlignment="1">
      <alignment vertical="center"/>
    </xf>
    <xf numFmtId="0" fontId="18" fillId="47" borderId="142" xfId="0" applyFont="1" applyFill="1" applyBorder="1" applyAlignment="1">
      <alignment vertical="center"/>
    </xf>
    <xf numFmtId="0" fontId="17" fillId="0" borderId="142" xfId="0" applyFont="1" applyBorder="1" applyAlignment="1">
      <alignment horizontal="center" vertical="center" wrapText="1"/>
    </xf>
    <xf numFmtId="0" fontId="17" fillId="0" borderId="142" xfId="0" applyFont="1" applyBorder="1" applyAlignment="1">
      <alignment horizontal="center" vertical="center"/>
    </xf>
    <xf numFmtId="0" fontId="17" fillId="0" borderId="142" xfId="0" applyFont="1" applyBorder="1" applyAlignment="1">
      <alignment vertical="top"/>
    </xf>
    <xf numFmtId="0" fontId="17" fillId="0" borderId="143" xfId="0" applyFont="1" applyBorder="1" applyAlignment="1">
      <alignment vertical="top"/>
    </xf>
    <xf numFmtId="0" fontId="17" fillId="0" borderId="145" xfId="0" applyFont="1" applyBorder="1" applyAlignment="1">
      <alignment vertical="top"/>
    </xf>
    <xf numFmtId="0" fontId="17" fillId="0" borderId="66" xfId="0" applyFont="1" applyBorder="1" applyAlignment="1">
      <alignment vertical="center"/>
    </xf>
    <xf numFmtId="0" fontId="17" fillId="0" borderId="143" xfId="0" applyFont="1" applyBorder="1" applyAlignment="1">
      <alignment horizontal="center" vertical="center"/>
    </xf>
    <xf numFmtId="0" fontId="17" fillId="0" borderId="143" xfId="0" applyFont="1" applyBorder="1" applyAlignment="1">
      <alignment vertical="center" wrapText="1"/>
    </xf>
    <xf numFmtId="0" fontId="18" fillId="0" borderId="66" xfId="0" applyFont="1" applyBorder="1" applyAlignment="1">
      <alignment vertical="center"/>
    </xf>
    <xf numFmtId="0" fontId="17" fillId="0" borderId="66" xfId="0" applyFont="1" applyBorder="1" applyAlignment="1">
      <alignment horizontal="center" vertical="center"/>
    </xf>
    <xf numFmtId="0" fontId="17" fillId="0" borderId="66" xfId="0" applyFont="1" applyBorder="1" applyAlignment="1">
      <alignment vertical="center" wrapText="1"/>
    </xf>
    <xf numFmtId="0" fontId="17" fillId="31" borderId="109" xfId="224" applyFont="1" applyFill="1" applyBorder="1" applyAlignment="1">
      <alignment horizontal="center" vertical="center"/>
    </xf>
    <xf numFmtId="0" fontId="17" fillId="52" borderId="126" xfId="224" applyFont="1" applyFill="1" applyBorder="1" applyAlignment="1">
      <alignment horizontal="center" vertical="center"/>
    </xf>
    <xf numFmtId="0" fontId="17" fillId="52" borderId="127" xfId="224" applyFont="1" applyFill="1" applyBorder="1" applyAlignment="1">
      <alignment horizontal="center" vertical="center"/>
    </xf>
    <xf numFmtId="0" fontId="17" fillId="52" borderId="106" xfId="224" applyFont="1" applyFill="1" applyBorder="1" applyAlignment="1">
      <alignment horizontal="center" vertical="center" shrinkToFit="1"/>
    </xf>
    <xf numFmtId="0" fontId="17" fillId="52" borderId="107" xfId="224" applyFont="1" applyFill="1" applyBorder="1" applyAlignment="1">
      <alignment horizontal="center" vertical="center" shrinkToFit="1"/>
    </xf>
    <xf numFmtId="0" fontId="17" fillId="52" borderId="108" xfId="224" applyFont="1" applyFill="1" applyBorder="1" applyAlignment="1">
      <alignment horizontal="center" vertical="center" shrinkToFit="1"/>
    </xf>
    <xf numFmtId="0" fontId="109" fillId="31" borderId="0" xfId="224" applyFont="1" applyFill="1" applyAlignment="1">
      <alignment vertical="center"/>
    </xf>
    <xf numFmtId="0" fontId="17" fillId="48" borderId="147" xfId="224" applyFont="1" applyFill="1" applyBorder="1" applyAlignment="1">
      <alignment vertical="center"/>
    </xf>
    <xf numFmtId="0" fontId="17" fillId="31" borderId="147" xfId="224" applyFont="1" applyFill="1" applyBorder="1" applyAlignment="1">
      <alignment horizontal="center" vertical="center"/>
    </xf>
    <xf numFmtId="0" fontId="17" fillId="61" borderId="0" xfId="224" applyFont="1" applyFill="1" applyAlignment="1">
      <alignment vertical="center"/>
    </xf>
    <xf numFmtId="0" fontId="100" fillId="50" borderId="0" xfId="224" applyFont="1" applyFill="1" applyAlignment="1">
      <alignment horizontal="left" vertical="center"/>
    </xf>
    <xf numFmtId="0" fontId="100" fillId="50" borderId="0" xfId="224" applyFont="1" applyFill="1" applyAlignment="1">
      <alignment horizontal="center" vertical="center"/>
    </xf>
    <xf numFmtId="49" fontId="109" fillId="0" borderId="0" xfId="0" applyNumberFormat="1" applyFont="1" applyAlignment="1">
      <alignment vertical="center"/>
    </xf>
    <xf numFmtId="49" fontId="19" fillId="0" borderId="0" xfId="0" applyNumberFormat="1" applyFont="1" applyAlignment="1">
      <alignment vertical="center"/>
    </xf>
    <xf numFmtId="0" fontId="19" fillId="31" borderId="0" xfId="224" applyFont="1" applyFill="1" applyAlignment="1">
      <alignment vertical="center"/>
    </xf>
    <xf numFmtId="0" fontId="110" fillId="0" borderId="151" xfId="0" applyFont="1" applyBorder="1" applyAlignment="1">
      <alignment vertical="center"/>
    </xf>
    <xf numFmtId="0" fontId="92" fillId="36" borderId="151" xfId="57489" applyFont="1" applyFill="1" applyBorder="1">
      <alignment vertical="center"/>
    </xf>
    <xf numFmtId="0" fontId="90" fillId="36" borderId="151" xfId="57489" applyFont="1" applyFill="1" applyBorder="1">
      <alignment vertical="center"/>
    </xf>
    <xf numFmtId="0" fontId="92" fillId="0" borderId="151" xfId="57489" applyFont="1" applyBorder="1">
      <alignment vertical="center"/>
    </xf>
    <xf numFmtId="0" fontId="90" fillId="0" borderId="151" xfId="57489" applyFont="1" applyBorder="1">
      <alignment vertical="center"/>
    </xf>
    <xf numFmtId="0" fontId="92" fillId="46" borderId="151" xfId="57489" applyFont="1" applyFill="1" applyBorder="1">
      <alignment vertical="center"/>
    </xf>
    <xf numFmtId="0" fontId="90" fillId="46" borderId="151" xfId="57489" applyFont="1" applyFill="1" applyBorder="1">
      <alignment vertical="center"/>
    </xf>
    <xf numFmtId="0" fontId="96" fillId="50" borderId="151" xfId="224" applyFont="1" applyFill="1" applyBorder="1" applyAlignment="1">
      <alignment vertical="center"/>
    </xf>
    <xf numFmtId="0" fontId="13" fillId="31" borderId="151" xfId="224" applyFont="1" applyFill="1" applyBorder="1" applyAlignment="1">
      <alignment vertical="center"/>
    </xf>
    <xf numFmtId="0" fontId="22" fillId="0" borderId="151" xfId="0" applyFont="1" applyBorder="1" applyAlignment="1">
      <alignment vertical="center"/>
    </xf>
    <xf numFmtId="0" fontId="17" fillId="0" borderId="151" xfId="0" applyFont="1" applyBorder="1" applyAlignment="1">
      <alignment vertical="center"/>
    </xf>
    <xf numFmtId="0" fontId="13" fillId="0" borderId="151" xfId="0" applyFont="1" applyBorder="1" applyAlignment="1">
      <alignment vertical="center"/>
    </xf>
    <xf numFmtId="0" fontId="22" fillId="0" borderId="151" xfId="0" applyFont="1" applyBorder="1" applyAlignment="1">
      <alignment vertical="center" wrapText="1"/>
    </xf>
    <xf numFmtId="0" fontId="17" fillId="34" borderId="151" xfId="0" applyFont="1" applyFill="1" applyBorder="1" applyAlignment="1">
      <alignment vertical="center"/>
    </xf>
    <xf numFmtId="0" fontId="18" fillId="34" borderId="151" xfId="0" applyFont="1" applyFill="1" applyBorder="1" applyAlignment="1">
      <alignment vertical="center"/>
    </xf>
    <xf numFmtId="49" fontId="108" fillId="41" borderId="151" xfId="0" applyNumberFormat="1" applyFont="1" applyFill="1" applyBorder="1" applyAlignment="1">
      <alignment vertical="center"/>
    </xf>
    <xf numFmtId="49" fontId="102" fillId="41" borderId="151" xfId="0" applyNumberFormat="1" applyFont="1" applyFill="1" applyBorder="1" applyAlignment="1">
      <alignment vertical="center"/>
    </xf>
    <xf numFmtId="49" fontId="18" fillId="41" borderId="151" xfId="0" applyNumberFormat="1" applyFont="1" applyFill="1" applyBorder="1" applyAlignment="1">
      <alignment vertical="center"/>
    </xf>
    <xf numFmtId="49" fontId="17" fillId="41" borderId="151" xfId="0" applyNumberFormat="1" applyFont="1" applyFill="1" applyBorder="1" applyAlignment="1">
      <alignment vertical="center"/>
    </xf>
    <xf numFmtId="0" fontId="18" fillId="40" borderId="151" xfId="0" applyFont="1" applyFill="1" applyBorder="1" applyAlignment="1">
      <alignment horizontal="left" vertical="center"/>
    </xf>
    <xf numFmtId="0" fontId="18" fillId="40" borderId="151" xfId="0" applyFont="1" applyFill="1" applyBorder="1" applyAlignment="1">
      <alignment vertical="center"/>
    </xf>
    <xf numFmtId="0" fontId="18" fillId="42" borderId="151" xfId="0" applyFont="1" applyFill="1" applyBorder="1" applyAlignment="1">
      <alignment vertical="center"/>
    </xf>
    <xf numFmtId="0" fontId="18" fillId="0" borderId="151" xfId="0" applyFont="1" applyBorder="1" applyAlignment="1">
      <alignment horizontal="left" vertical="center"/>
    </xf>
    <xf numFmtId="0" fontId="18" fillId="0" borderId="151" xfId="0" applyFont="1" applyBorder="1" applyAlignment="1">
      <alignment vertical="center"/>
    </xf>
    <xf numFmtId="0" fontId="18" fillId="47" borderId="151" xfId="0" applyFont="1" applyFill="1" applyBorder="1" applyAlignment="1">
      <alignment vertical="center"/>
    </xf>
    <xf numFmtId="0" fontId="17" fillId="0" borderId="151" xfId="0" applyFont="1" applyBorder="1" applyAlignment="1">
      <alignment vertical="top"/>
    </xf>
    <xf numFmtId="0" fontId="89" fillId="0" borderId="151" xfId="0" applyFont="1" applyBorder="1" applyAlignment="1">
      <alignment vertical="center"/>
    </xf>
    <xf numFmtId="0" fontId="103" fillId="33" borderId="151" xfId="0" applyFont="1" applyFill="1" applyBorder="1" applyAlignment="1">
      <alignment vertical="center"/>
    </xf>
    <xf numFmtId="0" fontId="103" fillId="33" borderId="151" xfId="0" applyFont="1" applyFill="1" applyBorder="1" applyAlignment="1">
      <alignment horizontal="left" vertical="center"/>
    </xf>
    <xf numFmtId="0" fontId="103" fillId="33" borderId="151" xfId="0" applyFont="1" applyFill="1" applyBorder="1" applyAlignment="1">
      <alignment horizontal="center" vertical="center"/>
    </xf>
    <xf numFmtId="0" fontId="103" fillId="0" borderId="151" xfId="0" applyFont="1" applyBorder="1" applyAlignment="1">
      <alignment vertical="center"/>
    </xf>
    <xf numFmtId="0" fontId="103" fillId="0" borderId="151" xfId="0" applyFont="1" applyBorder="1" applyAlignment="1">
      <alignment horizontal="left" vertical="center"/>
    </xf>
    <xf numFmtId="0" fontId="103" fillId="0" borderId="151" xfId="0" applyFont="1" applyBorder="1" applyAlignment="1">
      <alignment horizontal="center" vertical="center"/>
    </xf>
    <xf numFmtId="0" fontId="13" fillId="0" borderId="151" xfId="57493" applyFont="1" applyBorder="1">
      <alignment vertical="center"/>
    </xf>
    <xf numFmtId="0" fontId="13" fillId="0" borderId="151" xfId="57492" applyFont="1" applyBorder="1">
      <alignment vertical="center"/>
    </xf>
    <xf numFmtId="0" fontId="15" fillId="34" borderId="16" xfId="9" applyFont="1" applyFill="1" applyBorder="1" applyAlignment="1">
      <alignment horizontal="center" wrapText="1"/>
    </xf>
    <xf numFmtId="0" fontId="6" fillId="0" borderId="13" xfId="224" applyBorder="1" applyAlignment="1">
      <alignment horizontal="center" wrapText="1"/>
    </xf>
    <xf numFmtId="0" fontId="6" fillId="0" borderId="15" xfId="224" applyBorder="1" applyAlignment="1">
      <alignment horizontal="center" wrapText="1"/>
    </xf>
    <xf numFmtId="0" fontId="15" fillId="34" borderId="16" xfId="9" applyFont="1" applyFill="1" applyBorder="1" applyAlignment="1">
      <alignment horizontal="center"/>
    </xf>
    <xf numFmtId="0" fontId="6" fillId="0" borderId="13" xfId="224" applyBorder="1" applyAlignment="1">
      <alignment horizontal="center"/>
    </xf>
    <xf numFmtId="0" fontId="6" fillId="0" borderId="15" xfId="224" applyBorder="1" applyAlignment="1">
      <alignment horizontal="center"/>
    </xf>
    <xf numFmtId="0" fontId="6" fillId="0" borderId="14" xfId="224" applyBorder="1" applyAlignment="1">
      <alignment horizontal="center"/>
    </xf>
    <xf numFmtId="0" fontId="15" fillId="0" borderId="142" xfId="8" applyFont="1" applyBorder="1" applyAlignment="1">
      <alignment horizontal="center" vertical="center" wrapText="1"/>
    </xf>
    <xf numFmtId="0" fontId="6" fillId="0" borderId="143" xfId="224" applyBorder="1" applyAlignment="1">
      <alignment horizontal="center" vertical="center" wrapText="1"/>
    </xf>
    <xf numFmtId="0" fontId="15" fillId="34" borderId="114" xfId="8" applyFont="1" applyFill="1" applyBorder="1" applyAlignment="1">
      <alignment horizontal="center" wrapText="1"/>
    </xf>
    <xf numFmtId="0" fontId="6" fillId="0" borderId="151" xfId="224" applyBorder="1" applyAlignment="1">
      <alignment horizontal="center" wrapText="1"/>
    </xf>
    <xf numFmtId="0" fontId="6" fillId="0" borderId="115" xfId="224" applyBorder="1" applyAlignment="1">
      <alignment horizontal="center" wrapText="1"/>
    </xf>
    <xf numFmtId="0" fontId="16" fillId="0" borderId="114" xfId="8" applyFont="1" applyBorder="1" applyAlignment="1">
      <alignment horizontal="center" wrapText="1"/>
    </xf>
    <xf numFmtId="0" fontId="16" fillId="0" borderId="151" xfId="8" applyFont="1" applyBorder="1" applyAlignment="1">
      <alignment horizontal="center" wrapText="1"/>
    </xf>
    <xf numFmtId="0" fontId="16" fillId="0" borderId="115" xfId="8" applyFont="1" applyBorder="1" applyAlignment="1">
      <alignment horizontal="center" wrapText="1"/>
    </xf>
    <xf numFmtId="0" fontId="16" fillId="0" borderId="114" xfId="224" applyFont="1" applyBorder="1" applyAlignment="1">
      <alignment horizontal="center" wrapText="1"/>
    </xf>
    <xf numFmtId="14" fontId="16" fillId="0" borderId="142" xfId="9" applyNumberFormat="1" applyFont="1" applyBorder="1" applyAlignment="1">
      <alignment horizontal="center" vertical="center" wrapText="1"/>
    </xf>
    <xf numFmtId="0" fontId="6" fillId="0" borderId="144" xfId="224" applyBorder="1" applyAlignment="1">
      <alignment horizontal="center" vertical="center" wrapText="1"/>
    </xf>
    <xf numFmtId="0" fontId="6" fillId="0" borderId="130" xfId="224" applyBorder="1" applyAlignment="1">
      <alignment horizontal="center" vertical="center" wrapText="1"/>
    </xf>
    <xf numFmtId="0" fontId="6" fillId="0" borderId="66" xfId="224" applyBorder="1" applyAlignment="1">
      <alignment horizontal="center" vertical="center" wrapText="1"/>
    </xf>
    <xf numFmtId="0" fontId="6" fillId="0" borderId="132" xfId="224" applyBorder="1" applyAlignment="1">
      <alignment horizontal="center" vertical="center" wrapText="1"/>
    </xf>
    <xf numFmtId="0" fontId="16" fillId="0" borderId="142" xfId="9" applyFont="1" applyBorder="1" applyAlignment="1">
      <alignment horizontal="center" vertical="center" wrapText="1"/>
    </xf>
    <xf numFmtId="0" fontId="16" fillId="0" borderId="16" xfId="8" applyFont="1" applyBorder="1" applyAlignment="1">
      <alignment horizontal="center" wrapText="1"/>
    </xf>
    <xf numFmtId="176" fontId="16" fillId="0" borderId="142" xfId="9" applyNumberFormat="1" applyFont="1" applyBorder="1" applyAlignment="1">
      <alignment horizontal="center" vertical="center" wrapText="1"/>
    </xf>
    <xf numFmtId="0" fontId="6" fillId="0" borderId="145" xfId="224" applyBorder="1" applyAlignment="1">
      <alignment horizontal="center" vertical="center" wrapText="1"/>
    </xf>
    <xf numFmtId="0" fontId="6" fillId="0" borderId="140" xfId="224" applyBorder="1" applyAlignment="1">
      <alignment horizontal="center" vertical="center" wrapText="1"/>
    </xf>
    <xf numFmtId="0" fontId="18" fillId="0" borderId="130" xfId="8" applyFont="1" applyBorder="1" applyAlignment="1">
      <alignment horizontal="center" vertical="center" shrinkToFit="1"/>
    </xf>
    <xf numFmtId="0" fontId="23" fillId="0" borderId="66" xfId="224" applyFont="1" applyBorder="1" applyAlignment="1">
      <alignment horizontal="center" vertical="center" shrinkToFit="1"/>
    </xf>
    <xf numFmtId="0" fontId="15" fillId="34" borderId="22" xfId="8" applyFont="1" applyFill="1" applyBorder="1" applyAlignment="1">
      <alignment horizontal="center" wrapText="1"/>
    </xf>
    <xf numFmtId="0" fontId="6" fillId="0" borderId="20" xfId="224" applyBorder="1" applyAlignment="1">
      <alignment horizontal="center" wrapText="1"/>
    </xf>
    <xf numFmtId="0" fontId="6" fillId="0" borderId="17" xfId="224" applyBorder="1" applyAlignment="1">
      <alignment horizontal="center" wrapText="1"/>
    </xf>
    <xf numFmtId="0" fontId="17" fillId="0" borderId="22" xfId="6" applyFont="1" applyBorder="1" applyAlignment="1">
      <alignment horizontal="center" wrapText="1"/>
    </xf>
    <xf numFmtId="0" fontId="17" fillId="0" borderId="20" xfId="6" applyFont="1" applyBorder="1" applyAlignment="1">
      <alignment horizontal="center" wrapText="1"/>
    </xf>
    <xf numFmtId="0" fontId="17" fillId="0" borderId="20" xfId="6" quotePrefix="1" applyFont="1" applyBorder="1" applyAlignment="1">
      <alignment wrapText="1"/>
    </xf>
    <xf numFmtId="0" fontId="23" fillId="0" borderId="20" xfId="224" applyFont="1" applyBorder="1" applyAlignment="1">
      <alignment wrapText="1"/>
    </xf>
    <xf numFmtId="0" fontId="23" fillId="0" borderId="17" xfId="224" applyFont="1" applyBorder="1" applyAlignment="1">
      <alignment wrapText="1"/>
    </xf>
    <xf numFmtId="0" fontId="24" fillId="0" borderId="4" xfId="8" applyFont="1" applyBorder="1" applyAlignment="1">
      <alignment horizontal="center" vertical="center" wrapText="1"/>
    </xf>
    <xf numFmtId="0" fontId="21" fillId="0" borderId="5" xfId="224" applyFont="1" applyBorder="1" applyAlignment="1">
      <alignment horizontal="center" vertical="center" wrapText="1"/>
    </xf>
    <xf numFmtId="0" fontId="21" fillId="0" borderId="35" xfId="224" applyFont="1" applyBorder="1" applyAlignment="1">
      <alignment horizontal="center" vertical="center" wrapText="1"/>
    </xf>
    <xf numFmtId="0" fontId="21" fillId="0" borderId="8" xfId="224" applyFont="1" applyBorder="1" applyAlignment="1">
      <alignment horizontal="center" vertical="center" wrapText="1"/>
    </xf>
    <xf numFmtId="0" fontId="21" fillId="0" borderId="0" xfId="224" applyFont="1" applyAlignment="1">
      <alignment horizontal="center" vertical="center" wrapText="1"/>
    </xf>
    <xf numFmtId="0" fontId="21" fillId="0" borderId="34" xfId="224" applyFont="1" applyBorder="1" applyAlignment="1">
      <alignment horizontal="center" vertical="center" wrapText="1"/>
    </xf>
    <xf numFmtId="0" fontId="21" fillId="0" borderId="6" xfId="224" applyFont="1" applyBorder="1" applyAlignment="1">
      <alignment horizontal="center" vertical="center" wrapText="1"/>
    </xf>
    <xf numFmtId="0" fontId="21" fillId="0" borderId="66" xfId="224" applyFont="1" applyBorder="1" applyAlignment="1">
      <alignment horizontal="center" vertical="center" wrapText="1"/>
    </xf>
    <xf numFmtId="0" fontId="21" fillId="0" borderId="132" xfId="224" applyFont="1" applyBorder="1" applyAlignment="1">
      <alignment horizontal="center" vertical="center" wrapText="1"/>
    </xf>
    <xf numFmtId="0" fontId="15" fillId="34" borderId="16" xfId="8" applyFont="1" applyFill="1" applyBorder="1" applyAlignment="1">
      <alignment horizontal="center" vertical="center" wrapText="1"/>
    </xf>
    <xf numFmtId="0" fontId="6" fillId="0" borderId="13" xfId="224" applyBorder="1" applyAlignment="1">
      <alignment horizontal="center" vertical="center" wrapText="1"/>
    </xf>
    <xf numFmtId="0" fontId="15" fillId="34" borderId="16" xfId="8" applyFont="1" applyFill="1" applyBorder="1" applyAlignment="1">
      <alignment horizontal="center" wrapText="1"/>
    </xf>
    <xf numFmtId="0" fontId="16" fillId="0" borderId="16" xfId="8" applyFont="1" applyBorder="1" applyAlignment="1">
      <alignment horizontal="center" shrinkToFit="1"/>
    </xf>
    <xf numFmtId="0" fontId="6" fillId="0" borderId="13" xfId="224" applyBorder="1" applyAlignment="1">
      <alignment horizontal="center" shrinkToFit="1"/>
    </xf>
    <xf numFmtId="0" fontId="6" fillId="0" borderId="15" xfId="224" applyBorder="1" applyAlignment="1">
      <alignment horizontal="center" shrinkToFit="1"/>
    </xf>
    <xf numFmtId="0" fontId="15" fillId="34" borderId="12" xfId="9" applyFont="1" applyFill="1" applyBorder="1" applyAlignment="1">
      <alignment horizontal="center"/>
    </xf>
    <xf numFmtId="0" fontId="6" fillId="0" borderId="14" xfId="224" applyBorder="1" applyAlignment="1">
      <alignment horizontal="center" wrapText="1"/>
    </xf>
    <xf numFmtId="0" fontId="15" fillId="34" borderId="114" xfId="8" applyFont="1" applyFill="1" applyBorder="1" applyAlignment="1">
      <alignment horizontal="center" shrinkToFit="1"/>
    </xf>
    <xf numFmtId="0" fontId="6" fillId="0" borderId="151" xfId="224" applyBorder="1" applyAlignment="1">
      <alignment horizontal="center" shrinkToFit="1"/>
    </xf>
    <xf numFmtId="0" fontId="6" fillId="0" borderId="115" xfId="224" applyBorder="1" applyAlignment="1">
      <alignment horizontal="center" shrinkToFit="1"/>
    </xf>
    <xf numFmtId="0" fontId="16" fillId="0" borderId="151" xfId="224" applyFont="1" applyBorder="1" applyAlignment="1">
      <alignment horizontal="center" wrapText="1"/>
    </xf>
    <xf numFmtId="0" fontId="16" fillId="0" borderId="115" xfId="224" applyFont="1" applyBorder="1" applyAlignment="1">
      <alignment horizontal="center" wrapText="1"/>
    </xf>
    <xf numFmtId="14" fontId="16" fillId="0" borderId="3" xfId="9" applyNumberFormat="1" applyFont="1" applyBorder="1" applyAlignment="1">
      <alignment horizontal="center" vertical="center"/>
    </xf>
    <xf numFmtId="0" fontId="16" fillId="0" borderId="3" xfId="9" applyFont="1" applyBorder="1" applyAlignment="1">
      <alignment horizontal="center" vertical="center"/>
    </xf>
    <xf numFmtId="0" fontId="16" fillId="0" borderId="29" xfId="9" applyFont="1" applyBorder="1" applyAlignment="1">
      <alignment horizontal="center" vertical="center"/>
    </xf>
    <xf numFmtId="0" fontId="23" fillId="0" borderId="132" xfId="224" applyFont="1" applyBorder="1" applyAlignment="1">
      <alignment horizontal="center" vertical="center" shrinkToFit="1"/>
    </xf>
    <xf numFmtId="0" fontId="15" fillId="34" borderId="22" xfId="8" applyFont="1" applyFill="1" applyBorder="1" applyAlignment="1">
      <alignment horizontal="center" shrinkToFit="1"/>
    </xf>
    <xf numFmtId="0" fontId="6" fillId="0" borderId="20" xfId="224" applyBorder="1" applyAlignment="1">
      <alignment horizontal="center" shrinkToFit="1"/>
    </xf>
    <xf numFmtId="0" fontId="6" fillId="0" borderId="17" xfId="224" applyBorder="1" applyAlignment="1">
      <alignment horizontal="center" shrinkToFit="1"/>
    </xf>
    <xf numFmtId="0" fontId="17" fillId="0" borderId="22" xfId="8" applyFont="1" applyBorder="1" applyAlignment="1">
      <alignment horizontal="center" wrapText="1"/>
    </xf>
    <xf numFmtId="0" fontId="17" fillId="0" borderId="20" xfId="8" applyFont="1" applyBorder="1" applyAlignment="1">
      <alignment horizontal="center" wrapText="1"/>
    </xf>
    <xf numFmtId="0" fontId="17" fillId="0" borderId="20" xfId="8" quotePrefix="1" applyFont="1" applyBorder="1" applyAlignment="1">
      <alignment horizontal="left" wrapText="1"/>
    </xf>
    <xf numFmtId="0" fontId="23" fillId="0" borderId="20" xfId="224" applyFont="1" applyBorder="1" applyAlignment="1">
      <alignment horizontal="left" wrapText="1"/>
    </xf>
    <xf numFmtId="0" fontId="23" fillId="0" borderId="17" xfId="224" applyFont="1" applyBorder="1" applyAlignment="1">
      <alignment horizontal="left" wrapText="1"/>
    </xf>
    <xf numFmtId="14" fontId="16" fillId="31" borderId="142" xfId="6" applyNumberFormat="1" applyFont="1" applyFill="1" applyBorder="1" applyAlignment="1">
      <alignment horizontal="center" vertical="center" wrapText="1"/>
    </xf>
    <xf numFmtId="14" fontId="16" fillId="31" borderId="143" xfId="6" applyNumberFormat="1" applyFont="1" applyFill="1" applyBorder="1" applyAlignment="1">
      <alignment horizontal="center" vertical="center" wrapText="1"/>
    </xf>
    <xf numFmtId="14" fontId="16" fillId="31" borderId="144" xfId="6" applyNumberFormat="1" applyFont="1" applyFill="1" applyBorder="1" applyAlignment="1">
      <alignment horizontal="center" vertical="center" wrapText="1"/>
    </xf>
    <xf numFmtId="14" fontId="16" fillId="31" borderId="32" xfId="6" applyNumberFormat="1" applyFont="1" applyFill="1" applyBorder="1" applyAlignment="1">
      <alignment horizontal="center" vertical="center" wrapText="1"/>
    </xf>
    <xf numFmtId="14" fontId="16" fillId="31" borderId="1" xfId="6" applyNumberFormat="1" applyFont="1" applyFill="1" applyBorder="1" applyAlignment="1">
      <alignment horizontal="center" vertical="center" wrapText="1"/>
    </xf>
    <xf numFmtId="14" fontId="16" fillId="31" borderId="31" xfId="6" applyNumberFormat="1" applyFont="1" applyFill="1" applyBorder="1" applyAlignment="1">
      <alignment horizontal="center" vertical="center" wrapText="1"/>
    </xf>
    <xf numFmtId="14" fontId="17" fillId="31" borderId="142" xfId="6" quotePrefix="1" applyNumberFormat="1" applyFont="1" applyFill="1" applyBorder="1" applyAlignment="1">
      <alignment horizontal="center" vertical="center" wrapText="1" shrinkToFit="1"/>
    </xf>
    <xf numFmtId="0" fontId="6" fillId="31" borderId="143" xfId="7" applyFill="1" applyBorder="1" applyAlignment="1">
      <alignment horizontal="center" vertical="center" wrapText="1" shrinkToFit="1"/>
    </xf>
    <xf numFmtId="0" fontId="6" fillId="31" borderId="144" xfId="7" applyFill="1" applyBorder="1" applyAlignment="1">
      <alignment horizontal="center" vertical="center" wrapText="1" shrinkToFit="1"/>
    </xf>
    <xf numFmtId="0" fontId="6" fillId="31" borderId="32" xfId="7" applyFill="1" applyBorder="1" applyAlignment="1">
      <alignment horizontal="center" vertical="center" wrapText="1" shrinkToFit="1"/>
    </xf>
    <xf numFmtId="0" fontId="6" fillId="31" borderId="1" xfId="7" applyFill="1" applyBorder="1" applyAlignment="1">
      <alignment horizontal="center" vertical="center" wrapText="1" shrinkToFit="1"/>
    </xf>
    <xf numFmtId="0" fontId="6" fillId="31" borderId="31" xfId="7" applyFill="1" applyBorder="1" applyAlignment="1">
      <alignment horizontal="center" vertical="center" wrapText="1" shrinkToFit="1"/>
    </xf>
    <xf numFmtId="0" fontId="16" fillId="31" borderId="142" xfId="6" applyFont="1" applyFill="1" applyBorder="1" applyAlignment="1">
      <alignment horizontal="center" vertical="center"/>
    </xf>
    <xf numFmtId="0" fontId="16" fillId="31" borderId="143" xfId="6" applyFont="1" applyFill="1" applyBorder="1" applyAlignment="1">
      <alignment horizontal="center" vertical="center"/>
    </xf>
    <xf numFmtId="0" fontId="16" fillId="31" borderId="144" xfId="6" applyFont="1" applyFill="1" applyBorder="1" applyAlignment="1">
      <alignment horizontal="center" vertical="center"/>
    </xf>
    <xf numFmtId="0" fontId="16" fillId="31" borderId="32" xfId="6" applyFont="1" applyFill="1" applyBorder="1" applyAlignment="1">
      <alignment horizontal="center" vertical="center"/>
    </xf>
    <xf numFmtId="0" fontId="16" fillId="31" borderId="1" xfId="6" applyFont="1" applyFill="1" applyBorder="1" applyAlignment="1">
      <alignment horizontal="center" vertical="center"/>
    </xf>
    <xf numFmtId="0" fontId="16" fillId="31" borderId="31" xfId="6" applyFont="1" applyFill="1" applyBorder="1" applyAlignment="1">
      <alignment horizontal="center" vertical="center"/>
    </xf>
    <xf numFmtId="177" fontId="16" fillId="31" borderId="142" xfId="6" quotePrefix="1" applyNumberFormat="1" applyFont="1" applyFill="1" applyBorder="1" applyAlignment="1">
      <alignment horizontal="center" vertical="center"/>
    </xf>
    <xf numFmtId="177" fontId="16" fillId="31" borderId="143" xfId="6" quotePrefix="1" applyNumberFormat="1" applyFont="1" applyFill="1" applyBorder="1" applyAlignment="1">
      <alignment horizontal="center" vertical="center"/>
    </xf>
    <xf numFmtId="177" fontId="16" fillId="31" borderId="144" xfId="6" quotePrefix="1" applyNumberFormat="1" applyFont="1" applyFill="1" applyBorder="1" applyAlignment="1">
      <alignment horizontal="center" vertical="center"/>
    </xf>
    <xf numFmtId="177" fontId="16" fillId="31" borderId="32" xfId="6" quotePrefix="1" applyNumberFormat="1" applyFont="1" applyFill="1" applyBorder="1" applyAlignment="1">
      <alignment horizontal="center" vertical="center"/>
    </xf>
    <xf numFmtId="177" fontId="16" fillId="31" borderId="1" xfId="6" quotePrefix="1" applyNumberFormat="1" applyFont="1" applyFill="1" applyBorder="1" applyAlignment="1">
      <alignment horizontal="center" vertical="center"/>
    </xf>
    <xf numFmtId="177" fontId="16" fillId="31" borderId="31" xfId="6" quotePrefix="1" applyNumberFormat="1" applyFont="1" applyFill="1" applyBorder="1" applyAlignment="1">
      <alignment horizontal="center" vertical="center"/>
    </xf>
    <xf numFmtId="0" fontId="6" fillId="0" borderId="15" xfId="224" applyBorder="1" applyAlignment="1">
      <alignment horizontal="center" vertical="center" wrapText="1"/>
    </xf>
    <xf numFmtId="0" fontId="15" fillId="34" borderId="16" xfId="8" applyFont="1" applyFill="1" applyBorder="1" applyAlignment="1">
      <alignment horizontal="center" shrinkToFit="1"/>
    </xf>
    <xf numFmtId="178" fontId="13" fillId="0" borderId="50" xfId="57482" applyNumberFormat="1" applyFont="1" applyBorder="1" applyAlignment="1">
      <alignment horizontal="center" vertical="center"/>
    </xf>
    <xf numFmtId="178" fontId="13" fillId="0" borderId="51" xfId="57482" applyNumberFormat="1" applyFont="1" applyBorder="1" applyAlignment="1">
      <alignment horizontal="center" vertical="center"/>
    </xf>
    <xf numFmtId="178" fontId="13" fillId="0" borderId="52" xfId="57482" applyNumberFormat="1" applyFont="1" applyBorder="1" applyAlignment="1">
      <alignment horizontal="center" vertical="center"/>
    </xf>
    <xf numFmtId="178" fontId="13" fillId="0" borderId="53" xfId="57482" applyNumberFormat="1" applyFont="1" applyBorder="1" applyAlignment="1">
      <alignment horizontal="center" vertical="center"/>
    </xf>
    <xf numFmtId="178" fontId="13" fillId="0" borderId="54" xfId="57482" applyNumberFormat="1" applyFont="1" applyBorder="1" applyAlignment="1">
      <alignment horizontal="center" vertical="center"/>
    </xf>
    <xf numFmtId="178" fontId="13" fillId="0" borderId="55" xfId="57482" applyNumberFormat="1" applyFont="1" applyBorder="1" applyAlignment="1">
      <alignment horizontal="center" vertical="center"/>
    </xf>
    <xf numFmtId="178" fontId="17" fillId="0" borderId="50" xfId="57482" applyNumberFormat="1" applyFont="1" applyBorder="1" applyAlignment="1">
      <alignment horizontal="center" vertical="center"/>
    </xf>
    <xf numFmtId="178" fontId="17" fillId="0" borderId="51" xfId="57482" applyNumberFormat="1" applyFont="1" applyBorder="1" applyAlignment="1">
      <alignment horizontal="center" vertical="center"/>
    </xf>
    <xf numFmtId="178" fontId="17" fillId="0" borderId="52" xfId="57482" applyNumberFormat="1" applyFont="1" applyBorder="1" applyAlignment="1">
      <alignment horizontal="center" vertical="center"/>
    </xf>
    <xf numFmtId="178" fontId="17" fillId="0" borderId="53" xfId="57482" applyNumberFormat="1" applyFont="1" applyBorder="1" applyAlignment="1">
      <alignment horizontal="center" vertical="center"/>
    </xf>
    <xf numFmtId="178" fontId="17" fillId="0" borderId="54" xfId="57482" applyNumberFormat="1" applyFont="1" applyBorder="1" applyAlignment="1">
      <alignment horizontal="center" vertical="center"/>
    </xf>
    <xf numFmtId="178" fontId="17" fillId="0" borderId="55" xfId="57482" applyNumberFormat="1" applyFont="1" applyBorder="1" applyAlignment="1">
      <alignment horizontal="center" vertical="center"/>
    </xf>
    <xf numFmtId="178" fontId="17" fillId="2" borderId="50" xfId="57482" applyNumberFormat="1" applyFont="1" applyFill="1" applyBorder="1" applyAlignment="1" applyProtection="1">
      <alignment horizontal="center" vertical="center"/>
      <protection locked="0"/>
    </xf>
    <xf numFmtId="178" fontId="17" fillId="2" borderId="51" xfId="57482" applyNumberFormat="1" applyFont="1" applyFill="1" applyBorder="1" applyAlignment="1" applyProtection="1">
      <alignment horizontal="center" vertical="center"/>
      <protection locked="0"/>
    </xf>
    <xf numFmtId="178" fontId="17" fillId="2" borderId="52" xfId="57482" applyNumberFormat="1" applyFont="1" applyFill="1" applyBorder="1" applyAlignment="1" applyProtection="1">
      <alignment horizontal="center" vertical="center"/>
      <protection locked="0"/>
    </xf>
    <xf numFmtId="178" fontId="17" fillId="2" borderId="53" xfId="57482" applyNumberFormat="1" applyFont="1" applyFill="1" applyBorder="1" applyAlignment="1" applyProtection="1">
      <alignment horizontal="center" vertical="center"/>
      <protection locked="0"/>
    </xf>
    <xf numFmtId="178" fontId="17" fillId="2" borderId="54" xfId="57482" applyNumberFormat="1" applyFont="1" applyFill="1" applyBorder="1" applyAlignment="1" applyProtection="1">
      <alignment horizontal="center" vertical="center"/>
      <protection locked="0"/>
    </xf>
    <xf numFmtId="178" fontId="17" fillId="2" borderId="55" xfId="57482" applyNumberFormat="1" applyFont="1" applyFill="1" applyBorder="1" applyAlignment="1" applyProtection="1">
      <alignment horizontal="center" vertical="center"/>
      <protection locked="0"/>
    </xf>
    <xf numFmtId="0" fontId="15" fillId="0" borderId="0" xfId="57482" applyFont="1" applyAlignment="1" applyProtection="1">
      <alignment horizontal="center" vertical="center"/>
      <protection locked="0"/>
    </xf>
    <xf numFmtId="14" fontId="16" fillId="0" borderId="0" xfId="57482" applyNumberFormat="1" applyFont="1" applyAlignment="1" applyProtection="1">
      <alignment horizontal="center" vertical="center"/>
      <protection locked="0"/>
    </xf>
    <xf numFmtId="0" fontId="15" fillId="34" borderId="142" xfId="6" applyFont="1" applyFill="1" applyBorder="1" applyAlignment="1">
      <alignment horizontal="center" vertical="center" wrapText="1"/>
    </xf>
    <xf numFmtId="0" fontId="15" fillId="34" borderId="143" xfId="6" applyFont="1" applyFill="1" applyBorder="1" applyAlignment="1">
      <alignment horizontal="center" vertical="center" wrapText="1"/>
    </xf>
    <xf numFmtId="0" fontId="15" fillId="34" borderId="144" xfId="6" applyFont="1" applyFill="1" applyBorder="1" applyAlignment="1">
      <alignment horizontal="center" vertical="center" wrapText="1"/>
    </xf>
    <xf numFmtId="0" fontId="15" fillId="34" borderId="32" xfId="6" applyFont="1" applyFill="1" applyBorder="1" applyAlignment="1">
      <alignment horizontal="center" vertical="center" wrapText="1"/>
    </xf>
    <xf numFmtId="0" fontId="15" fillId="34" borderId="1" xfId="6" applyFont="1" applyFill="1" applyBorder="1" applyAlignment="1">
      <alignment horizontal="center" vertical="center" wrapText="1"/>
    </xf>
    <xf numFmtId="0" fontId="15" fillId="34" borderId="31" xfId="6" applyFont="1" applyFill="1" applyBorder="1" applyAlignment="1">
      <alignment horizontal="center" vertical="center" wrapText="1"/>
    </xf>
    <xf numFmtId="0" fontId="6" fillId="0" borderId="143" xfId="5" applyBorder="1" applyAlignment="1">
      <alignment horizontal="center" vertical="center" wrapText="1"/>
    </xf>
    <xf numFmtId="0" fontId="6" fillId="0" borderId="144" xfId="5" applyBorder="1" applyAlignment="1">
      <alignment horizontal="center" vertical="center" wrapText="1"/>
    </xf>
    <xf numFmtId="0" fontId="6" fillId="0" borderId="32" xfId="5" applyBorder="1" applyAlignment="1">
      <alignment horizontal="center" vertical="center" wrapText="1"/>
    </xf>
    <xf numFmtId="0" fontId="6" fillId="0" borderId="1" xfId="5" applyBorder="1" applyAlignment="1">
      <alignment horizontal="center" vertical="center" wrapText="1"/>
    </xf>
    <xf numFmtId="0" fontId="6" fillId="0" borderId="31" xfId="5" applyBorder="1" applyAlignment="1">
      <alignment horizontal="center" vertical="center" wrapText="1"/>
    </xf>
    <xf numFmtId="0" fontId="15" fillId="34" borderId="142" xfId="6" applyFont="1" applyFill="1" applyBorder="1" applyAlignment="1">
      <alignment horizontal="center" vertical="center"/>
    </xf>
    <xf numFmtId="0" fontId="15" fillId="34" borderId="143" xfId="6" applyFont="1" applyFill="1" applyBorder="1" applyAlignment="1">
      <alignment horizontal="center" vertical="center"/>
    </xf>
    <xf numFmtId="0" fontId="15" fillId="34" borderId="144" xfId="6" applyFont="1" applyFill="1" applyBorder="1" applyAlignment="1">
      <alignment horizontal="center" vertical="center"/>
    </xf>
    <xf numFmtId="0" fontId="15" fillId="34" borderId="32" xfId="6" applyFont="1" applyFill="1" applyBorder="1" applyAlignment="1">
      <alignment horizontal="center" vertical="center"/>
    </xf>
    <xf numFmtId="0" fontId="15" fillId="34" borderId="1" xfId="6" applyFont="1" applyFill="1" applyBorder="1" applyAlignment="1">
      <alignment horizontal="center" vertical="center"/>
    </xf>
    <xf numFmtId="0" fontId="15" fillId="34" borderId="31" xfId="6" applyFont="1" applyFill="1" applyBorder="1" applyAlignment="1">
      <alignment horizontal="center" vertical="center"/>
    </xf>
    <xf numFmtId="0" fontId="17" fillId="0" borderId="63" xfId="57482" applyFont="1" applyBorder="1" applyAlignment="1">
      <alignment horizontal="center" vertical="center"/>
    </xf>
    <xf numFmtId="0" fontId="17" fillId="0" borderId="64" xfId="57482" applyFont="1" applyBorder="1" applyAlignment="1">
      <alignment horizontal="center" vertical="center"/>
    </xf>
    <xf numFmtId="0" fontId="17" fillId="0" borderId="65" xfId="57482" applyFont="1" applyBorder="1" applyAlignment="1">
      <alignment horizontal="center" vertical="center"/>
    </xf>
    <xf numFmtId="0" fontId="17" fillId="0" borderId="50" xfId="57482" applyFont="1" applyBorder="1" applyAlignment="1">
      <alignment horizontal="center" vertical="center"/>
    </xf>
    <xf numFmtId="0" fontId="17" fillId="0" borderId="51" xfId="57482" applyFont="1" applyBorder="1" applyAlignment="1">
      <alignment horizontal="center" vertical="center"/>
    </xf>
    <xf numFmtId="0" fontId="17" fillId="0" borderId="52" xfId="57482" applyFont="1" applyBorder="1" applyAlignment="1">
      <alignment horizontal="center" vertical="center"/>
    </xf>
    <xf numFmtId="0" fontId="17" fillId="2" borderId="63" xfId="57482" applyFont="1" applyFill="1" applyBorder="1" applyAlignment="1" applyProtection="1">
      <alignment horizontal="center" vertical="center"/>
      <protection locked="0"/>
    </xf>
    <xf numFmtId="0" fontId="17" fillId="2" borderId="64" xfId="57482" applyFont="1" applyFill="1" applyBorder="1" applyAlignment="1" applyProtection="1">
      <alignment horizontal="center" vertical="center"/>
      <protection locked="0"/>
    </xf>
    <xf numFmtId="0" fontId="17" fillId="2" borderId="65" xfId="57482" applyFont="1" applyFill="1" applyBorder="1" applyAlignment="1" applyProtection="1">
      <alignment horizontal="center" vertical="center"/>
      <protection locked="0"/>
    </xf>
    <xf numFmtId="0" fontId="17" fillId="2" borderId="50" xfId="57482" applyFont="1" applyFill="1" applyBorder="1" applyAlignment="1" applyProtection="1">
      <alignment horizontal="center" vertical="center"/>
      <protection locked="0"/>
    </xf>
    <xf numFmtId="0" fontId="17" fillId="2" borderId="51" xfId="57482" applyFont="1" applyFill="1" applyBorder="1" applyAlignment="1" applyProtection="1">
      <alignment horizontal="center" vertical="center"/>
      <protection locked="0"/>
    </xf>
    <xf numFmtId="0" fontId="17" fillId="2" borderId="52" xfId="57482" applyFont="1" applyFill="1" applyBorder="1" applyAlignment="1" applyProtection="1">
      <alignment horizontal="center" vertical="center"/>
      <protection locked="0"/>
    </xf>
    <xf numFmtId="0" fontId="78" fillId="39" borderId="142" xfId="57482" applyFont="1" applyFill="1" applyBorder="1" applyAlignment="1" applyProtection="1">
      <alignment horizontal="left" vertical="center" indent="1"/>
      <protection locked="0"/>
    </xf>
    <xf numFmtId="0" fontId="78" fillId="39" borderId="143" xfId="57482" applyFont="1" applyFill="1" applyBorder="1" applyAlignment="1" applyProtection="1">
      <alignment horizontal="left" vertical="center" indent="1"/>
      <protection locked="0"/>
    </xf>
    <xf numFmtId="0" fontId="78" fillId="39" borderId="144" xfId="57482" applyFont="1" applyFill="1" applyBorder="1" applyAlignment="1" applyProtection="1">
      <alignment horizontal="left" vertical="center" indent="1"/>
      <protection locked="0"/>
    </xf>
    <xf numFmtId="0" fontId="78" fillId="39" borderId="32" xfId="57482" applyFont="1" applyFill="1" applyBorder="1" applyAlignment="1" applyProtection="1">
      <alignment horizontal="left" vertical="center" indent="1"/>
      <protection locked="0"/>
    </xf>
    <xf numFmtId="0" fontId="78" fillId="39" borderId="1" xfId="57482" applyFont="1" applyFill="1" applyBorder="1" applyAlignment="1" applyProtection="1">
      <alignment horizontal="left" vertical="center" indent="1"/>
      <protection locked="0"/>
    </xf>
    <xf numFmtId="0" fontId="78" fillId="39" borderId="31" xfId="57482" applyFont="1" applyFill="1" applyBorder="1" applyAlignment="1" applyProtection="1">
      <alignment horizontal="left" vertical="center" indent="1"/>
      <protection locked="0"/>
    </xf>
    <xf numFmtId="14" fontId="79" fillId="2" borderId="142" xfId="57482" applyNumberFormat="1" applyFont="1" applyFill="1" applyBorder="1" applyAlignment="1" applyProtection="1">
      <alignment horizontal="left" vertical="center" indent="1"/>
      <protection locked="0"/>
    </xf>
    <xf numFmtId="0" fontId="18" fillId="2" borderId="143" xfId="57482" applyFont="1" applyFill="1" applyBorder="1" applyAlignment="1" applyProtection="1">
      <alignment horizontal="left" vertical="center" indent="1"/>
      <protection locked="0"/>
    </xf>
    <xf numFmtId="0" fontId="18" fillId="2" borderId="144" xfId="57482" applyFont="1" applyFill="1" applyBorder="1" applyAlignment="1" applyProtection="1">
      <alignment horizontal="left" vertical="center" indent="1"/>
      <protection locked="0"/>
    </xf>
    <xf numFmtId="0" fontId="18" fillId="2" borderId="32" xfId="57482" applyFont="1" applyFill="1" applyBorder="1" applyAlignment="1" applyProtection="1">
      <alignment horizontal="left" vertical="center" indent="1"/>
      <protection locked="0"/>
    </xf>
    <xf numFmtId="0" fontId="18" fillId="2" borderId="1" xfId="57482" applyFont="1" applyFill="1" applyBorder="1" applyAlignment="1" applyProtection="1">
      <alignment horizontal="left" vertical="center" indent="1"/>
      <protection locked="0"/>
    </xf>
    <xf numFmtId="0" fontId="18" fillId="2" borderId="31" xfId="57482" applyFont="1" applyFill="1" applyBorder="1" applyAlignment="1" applyProtection="1">
      <alignment horizontal="left" vertical="center" indent="1"/>
      <protection locked="0"/>
    </xf>
    <xf numFmtId="182" fontId="79" fillId="2" borderId="142" xfId="57482" applyNumberFormat="1" applyFont="1" applyFill="1" applyBorder="1" applyAlignment="1" applyProtection="1">
      <alignment horizontal="left" vertical="center" indent="1"/>
      <protection locked="0"/>
    </xf>
    <xf numFmtId="182" fontId="18" fillId="2" borderId="143" xfId="57482" applyNumberFormat="1" applyFont="1" applyFill="1" applyBorder="1" applyAlignment="1" applyProtection="1">
      <alignment horizontal="left" vertical="center" indent="1"/>
      <protection locked="0"/>
    </xf>
    <xf numFmtId="182" fontId="18" fillId="2" borderId="144" xfId="57482" applyNumberFormat="1" applyFont="1" applyFill="1" applyBorder="1" applyAlignment="1" applyProtection="1">
      <alignment horizontal="left" vertical="center" indent="1"/>
      <protection locked="0"/>
    </xf>
    <xf numFmtId="182" fontId="18" fillId="2" borderId="32" xfId="57482" applyNumberFormat="1" applyFont="1" applyFill="1" applyBorder="1" applyAlignment="1" applyProtection="1">
      <alignment horizontal="left" vertical="center" indent="1"/>
      <protection locked="0"/>
    </xf>
    <xf numFmtId="182" fontId="18" fillId="2" borderId="1" xfId="57482" applyNumberFormat="1" applyFont="1" applyFill="1" applyBorder="1" applyAlignment="1" applyProtection="1">
      <alignment horizontal="left" vertical="center" indent="1"/>
      <protection locked="0"/>
    </xf>
    <xf numFmtId="182" fontId="18" fillId="2" borderId="31" xfId="57482" applyNumberFormat="1" applyFont="1" applyFill="1" applyBorder="1" applyAlignment="1" applyProtection="1">
      <alignment horizontal="left" vertical="center" indent="1"/>
      <protection locked="0"/>
    </xf>
    <xf numFmtId="0" fontId="17" fillId="38" borderId="114" xfId="57482" applyFont="1" applyFill="1" applyBorder="1" applyAlignment="1" applyProtection="1">
      <alignment horizontal="center" vertical="center"/>
      <protection locked="0"/>
    </xf>
    <xf numFmtId="0" fontId="17" fillId="38" borderId="151" xfId="57482" applyFont="1" applyFill="1" applyBorder="1" applyAlignment="1" applyProtection="1">
      <alignment horizontal="center" vertical="center"/>
      <protection locked="0"/>
    </xf>
    <xf numFmtId="0" fontId="17" fillId="38" borderId="115" xfId="57482" applyFont="1" applyFill="1" applyBorder="1" applyAlignment="1" applyProtection="1">
      <alignment horizontal="center" vertical="center"/>
      <protection locked="0"/>
    </xf>
    <xf numFmtId="182" fontId="79" fillId="0" borderId="142" xfId="57482" applyNumberFormat="1" applyFont="1" applyBorder="1" applyAlignment="1" applyProtection="1">
      <alignment horizontal="left" vertical="center" indent="1"/>
      <protection locked="0"/>
    </xf>
    <xf numFmtId="182" fontId="79" fillId="0" borderId="143" xfId="57482" applyNumberFormat="1" applyFont="1" applyBorder="1" applyAlignment="1" applyProtection="1">
      <alignment horizontal="left" vertical="center" indent="1"/>
      <protection locked="0"/>
    </xf>
    <xf numFmtId="182" fontId="79" fillId="0" borderId="144" xfId="57482" applyNumberFormat="1" applyFont="1" applyBorder="1" applyAlignment="1" applyProtection="1">
      <alignment horizontal="left" vertical="center" indent="1"/>
      <protection locked="0"/>
    </xf>
    <xf numFmtId="182" fontId="79" fillId="0" borderId="32" xfId="57482" applyNumberFormat="1" applyFont="1" applyBorder="1" applyAlignment="1" applyProtection="1">
      <alignment horizontal="left" vertical="center" indent="1"/>
      <protection locked="0"/>
    </xf>
    <xf numFmtId="182" fontId="79" fillId="0" borderId="1" xfId="57482" applyNumberFormat="1" applyFont="1" applyBorder="1" applyAlignment="1" applyProtection="1">
      <alignment horizontal="left" vertical="center" indent="1"/>
      <protection locked="0"/>
    </xf>
    <xf numFmtId="182" fontId="79" fillId="0" borderId="31" xfId="57482" applyNumberFormat="1" applyFont="1" applyBorder="1" applyAlignment="1" applyProtection="1">
      <alignment horizontal="left" vertical="center" indent="1"/>
      <protection locked="0"/>
    </xf>
    <xf numFmtId="182" fontId="78" fillId="38" borderId="142" xfId="57482" applyNumberFormat="1" applyFont="1" applyFill="1" applyBorder="1" applyAlignment="1" applyProtection="1">
      <alignment horizontal="center" vertical="center"/>
      <protection locked="0"/>
    </xf>
    <xf numFmtId="182" fontId="78" fillId="38" borderId="144" xfId="57482" applyNumberFormat="1" applyFont="1" applyFill="1" applyBorder="1" applyAlignment="1" applyProtection="1">
      <alignment horizontal="center" vertical="center"/>
      <protection locked="0"/>
    </xf>
    <xf numFmtId="182" fontId="78" fillId="38" borderId="32" xfId="57482" applyNumberFormat="1" applyFont="1" applyFill="1" applyBorder="1" applyAlignment="1" applyProtection="1">
      <alignment horizontal="center" vertical="center"/>
      <protection locked="0"/>
    </xf>
    <xf numFmtId="182" fontId="78" fillId="38" borderId="31" xfId="57482" applyNumberFormat="1" applyFont="1" applyFill="1" applyBorder="1" applyAlignment="1" applyProtection="1">
      <alignment horizontal="center" vertical="center"/>
      <protection locked="0"/>
    </xf>
    <xf numFmtId="0" fontId="79" fillId="2" borderId="142" xfId="57482" applyFont="1" applyFill="1" applyBorder="1" applyAlignment="1" applyProtection="1">
      <alignment horizontal="left" vertical="center" indent="1"/>
      <protection locked="0"/>
    </xf>
    <xf numFmtId="0" fontId="79" fillId="0" borderId="142" xfId="57482" applyFont="1" applyBorder="1" applyAlignment="1" applyProtection="1">
      <alignment horizontal="left" vertical="center" indent="1"/>
      <protection locked="0"/>
    </xf>
    <xf numFmtId="0" fontId="79" fillId="0" borderId="143" xfId="57482" applyFont="1" applyBorder="1" applyAlignment="1" applyProtection="1">
      <alignment horizontal="left" vertical="center" indent="1"/>
      <protection locked="0"/>
    </xf>
    <xf numFmtId="0" fontId="79" fillId="0" borderId="144" xfId="57482" applyFont="1" applyBorder="1" applyAlignment="1" applyProtection="1">
      <alignment horizontal="left" vertical="center" indent="1"/>
      <protection locked="0"/>
    </xf>
    <xf numFmtId="0" fontId="79" fillId="0" borderId="32" xfId="57482" applyFont="1" applyBorder="1" applyAlignment="1" applyProtection="1">
      <alignment horizontal="left" vertical="center" indent="1"/>
      <protection locked="0"/>
    </xf>
    <xf numFmtId="0" fontId="79" fillId="0" borderId="1" xfId="57482" applyFont="1" applyBorder="1" applyAlignment="1" applyProtection="1">
      <alignment horizontal="left" vertical="center" indent="1"/>
      <protection locked="0"/>
    </xf>
    <xf numFmtId="0" fontId="79" fillId="0" borderId="31" xfId="57482" applyFont="1" applyBorder="1" applyAlignment="1" applyProtection="1">
      <alignment horizontal="left" vertical="center" indent="1"/>
      <protection locked="0"/>
    </xf>
    <xf numFmtId="2" fontId="79" fillId="0" borderId="142" xfId="57482" applyNumberFormat="1" applyFont="1" applyBorder="1" applyAlignment="1">
      <alignment horizontal="left" vertical="center" indent="1"/>
    </xf>
    <xf numFmtId="2" fontId="18" fillId="0" borderId="143" xfId="57482" applyNumberFormat="1" applyFont="1" applyBorder="1" applyAlignment="1">
      <alignment horizontal="left" vertical="center" indent="1"/>
    </xf>
    <xf numFmtId="2" fontId="18" fillId="0" borderId="144" xfId="57482" applyNumberFormat="1" applyFont="1" applyBorder="1" applyAlignment="1">
      <alignment horizontal="left" vertical="center" indent="1"/>
    </xf>
    <xf numFmtId="2" fontId="18" fillId="0" borderId="32" xfId="57482" applyNumberFormat="1" applyFont="1" applyBorder="1" applyAlignment="1">
      <alignment horizontal="left" vertical="center" indent="1"/>
    </xf>
    <xf numFmtId="2" fontId="18" fillId="0" borderId="1" xfId="57482" applyNumberFormat="1" applyFont="1" applyBorder="1" applyAlignment="1">
      <alignment horizontal="left" vertical="center" indent="1"/>
    </xf>
    <xf numFmtId="2" fontId="18" fillId="0" borderId="31" xfId="57482" applyNumberFormat="1" applyFont="1" applyBorder="1" applyAlignment="1">
      <alignment horizontal="left" vertical="center" indent="1"/>
    </xf>
    <xf numFmtId="182" fontId="18" fillId="0" borderId="143" xfId="57482" applyNumberFormat="1" applyFont="1" applyBorder="1" applyAlignment="1" applyProtection="1">
      <alignment horizontal="left" vertical="center" indent="1"/>
      <protection locked="0"/>
    </xf>
    <xf numFmtId="182" fontId="18" fillId="0" borderId="144" xfId="57482" applyNumberFormat="1" applyFont="1" applyBorder="1" applyAlignment="1" applyProtection="1">
      <alignment horizontal="left" vertical="center" indent="1"/>
      <protection locked="0"/>
    </xf>
    <xf numFmtId="182" fontId="18" fillId="0" borderId="32" xfId="57482" applyNumberFormat="1" applyFont="1" applyBorder="1" applyAlignment="1" applyProtection="1">
      <alignment horizontal="left" vertical="center" indent="1"/>
      <protection locked="0"/>
    </xf>
    <xf numFmtId="182" fontId="18" fillId="0" borderId="1" xfId="57482" applyNumberFormat="1" applyFont="1" applyBorder="1" applyAlignment="1" applyProtection="1">
      <alignment horizontal="left" vertical="center" indent="1"/>
      <protection locked="0"/>
    </xf>
    <xf numFmtId="182" fontId="18" fillId="0" borderId="31" xfId="57482" applyNumberFormat="1" applyFont="1" applyBorder="1" applyAlignment="1" applyProtection="1">
      <alignment horizontal="left" vertical="center" indent="1"/>
      <protection locked="0"/>
    </xf>
    <xf numFmtId="0" fontId="76" fillId="0" borderId="33" xfId="57482" applyFont="1" applyBorder="1" applyAlignment="1" applyProtection="1">
      <alignment horizontal="center" vertical="center" wrapText="1"/>
      <protection locked="0"/>
    </xf>
    <xf numFmtId="0" fontId="76" fillId="0" borderId="0" xfId="57482" applyFont="1" applyAlignment="1" applyProtection="1">
      <alignment horizontal="center" vertical="center" wrapText="1"/>
      <protection locked="0"/>
    </xf>
    <xf numFmtId="0" fontId="76" fillId="0" borderId="34" xfId="57482" applyFont="1" applyBorder="1" applyAlignment="1" applyProtection="1">
      <alignment horizontal="center" vertical="center" wrapText="1"/>
      <protection locked="0"/>
    </xf>
    <xf numFmtId="0" fontId="77" fillId="0" borderId="33" xfId="57482" applyFont="1" applyBorder="1" applyAlignment="1" applyProtection="1">
      <alignment horizontal="center" vertical="center"/>
      <protection locked="0"/>
    </xf>
    <xf numFmtId="0" fontId="77" fillId="0" borderId="0" xfId="57482" applyFont="1" applyAlignment="1" applyProtection="1">
      <alignment horizontal="center" vertical="center"/>
      <protection locked="0"/>
    </xf>
    <xf numFmtId="0" fontId="77" fillId="0" borderId="34" xfId="57482" applyFont="1" applyBorder="1" applyAlignment="1" applyProtection="1">
      <alignment horizontal="center" vertical="center"/>
      <protection locked="0"/>
    </xf>
    <xf numFmtId="0" fontId="77" fillId="0" borderId="32" xfId="57482" applyFont="1" applyBorder="1" applyAlignment="1" applyProtection="1">
      <alignment horizontal="center" vertical="center"/>
      <protection locked="0"/>
    </xf>
    <xf numFmtId="0" fontId="77" fillId="0" borderId="1" xfId="57482" applyFont="1" applyBorder="1" applyAlignment="1" applyProtection="1">
      <alignment horizontal="center" vertical="center"/>
      <protection locked="0"/>
    </xf>
    <xf numFmtId="0" fontId="77" fillId="0" borderId="31" xfId="57482" applyFont="1" applyBorder="1" applyAlignment="1" applyProtection="1">
      <alignment horizontal="center" vertical="center"/>
      <protection locked="0"/>
    </xf>
    <xf numFmtId="0" fontId="18" fillId="0" borderId="143" xfId="57482" applyFont="1" applyBorder="1" applyAlignment="1" applyProtection="1">
      <alignment horizontal="left" vertical="center" indent="1"/>
      <protection locked="0"/>
    </xf>
    <xf numFmtId="0" fontId="18" fillId="0" borderId="144" xfId="57482" applyFont="1" applyBorder="1" applyAlignment="1" applyProtection="1">
      <alignment horizontal="left" vertical="center" indent="1"/>
      <protection locked="0"/>
    </xf>
    <xf numFmtId="0" fontId="18" fillId="0" borderId="32" xfId="57482" applyFont="1" applyBorder="1" applyAlignment="1" applyProtection="1">
      <alignment horizontal="left" vertical="center" indent="1"/>
      <protection locked="0"/>
    </xf>
    <xf numFmtId="0" fontId="18" fillId="0" borderId="1" xfId="57482" applyFont="1" applyBorder="1" applyAlignment="1" applyProtection="1">
      <alignment horizontal="left" vertical="center" indent="1"/>
      <protection locked="0"/>
    </xf>
    <xf numFmtId="0" fontId="18" fillId="0" borderId="31" xfId="57482" applyFont="1" applyBorder="1" applyAlignment="1" applyProtection="1">
      <alignment horizontal="left" vertical="center" indent="1"/>
      <protection locked="0"/>
    </xf>
    <xf numFmtId="0" fontId="15" fillId="0" borderId="0" xfId="57482" applyFont="1" applyAlignment="1" applyProtection="1">
      <alignment horizontal="center" vertical="center" wrapText="1"/>
      <protection locked="0"/>
    </xf>
    <xf numFmtId="0" fontId="17"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177" fontId="16" fillId="0" borderId="0" xfId="57482" applyNumberFormat="1" applyFont="1" applyAlignment="1" applyProtection="1">
      <alignment horizontal="center" vertical="center"/>
      <protection locked="0"/>
    </xf>
    <xf numFmtId="0" fontId="16" fillId="0" borderId="30" xfId="57485" applyFont="1" applyBorder="1" applyAlignment="1">
      <alignment horizontal="center" vertical="center"/>
    </xf>
    <xf numFmtId="0" fontId="16" fillId="0" borderId="143" xfId="57485" applyFont="1" applyBorder="1" applyAlignment="1">
      <alignment horizontal="center" vertical="center"/>
    </xf>
    <xf numFmtId="0" fontId="16" fillId="0" borderId="144" xfId="57485" applyFont="1" applyBorder="1" applyAlignment="1">
      <alignment horizontal="center" vertical="center"/>
    </xf>
    <xf numFmtId="0" fontId="16" fillId="0" borderId="6" xfId="57485" applyFont="1" applyBorder="1" applyAlignment="1">
      <alignment horizontal="center" vertical="center"/>
    </xf>
    <xf numFmtId="0" fontId="16" fillId="0" borderId="66" xfId="57485" applyFont="1" applyBorder="1" applyAlignment="1">
      <alignment horizontal="center" vertical="center"/>
    </xf>
    <xf numFmtId="0" fontId="16" fillId="0" borderId="132" xfId="57485" applyFont="1" applyBorder="1" applyAlignment="1">
      <alignment horizontal="center" vertical="center"/>
    </xf>
    <xf numFmtId="0" fontId="16" fillId="0" borderId="142" xfId="57485" applyFont="1" applyBorder="1" applyAlignment="1">
      <alignment horizontal="center" vertical="center"/>
    </xf>
    <xf numFmtId="0" fontId="16" fillId="0" borderId="130" xfId="57485" applyFont="1" applyBorder="1" applyAlignment="1">
      <alignment horizontal="center" vertical="center"/>
    </xf>
    <xf numFmtId="0" fontId="16" fillId="0" borderId="63" xfId="57485" applyFont="1" applyBorder="1" applyAlignment="1">
      <alignment horizontal="center" vertical="center"/>
    </xf>
    <xf numFmtId="0" fontId="16" fillId="0" borderId="64" xfId="57485" applyFont="1" applyBorder="1" applyAlignment="1">
      <alignment horizontal="center" vertical="center"/>
    </xf>
    <xf numFmtId="0" fontId="16" fillId="0" borderId="65" xfId="57485" applyFont="1" applyBorder="1" applyAlignment="1">
      <alignment horizontal="center" vertical="center"/>
    </xf>
    <xf numFmtId="0" fontId="16" fillId="0" borderId="83" xfId="57485" applyFont="1" applyBorder="1" applyAlignment="1">
      <alignment horizontal="center" vertical="center"/>
    </xf>
    <xf numFmtId="0" fontId="16" fillId="0" borderId="86" xfId="57485" applyFont="1" applyBorder="1" applyAlignment="1">
      <alignment horizontal="center" vertical="center"/>
    </xf>
    <xf numFmtId="0" fontId="16" fillId="0" borderId="87" xfId="57485" applyFont="1" applyBorder="1" applyAlignment="1">
      <alignment horizontal="center" vertical="center"/>
    </xf>
    <xf numFmtId="0" fontId="16" fillId="0" borderId="88" xfId="57485" applyFont="1" applyBorder="1" applyAlignment="1">
      <alignment horizontal="center" vertical="center"/>
    </xf>
    <xf numFmtId="0" fontId="16" fillId="0" borderId="89" xfId="57485" applyFont="1" applyBorder="1" applyAlignment="1">
      <alignment horizontal="center" vertical="center"/>
    </xf>
    <xf numFmtId="0" fontId="16" fillId="0" borderId="8" xfId="57485" applyFont="1" applyBorder="1" applyAlignment="1">
      <alignment horizontal="center" vertical="center"/>
    </xf>
    <xf numFmtId="0" fontId="16" fillId="0" borderId="0" xfId="57485" applyFont="1" applyAlignment="1">
      <alignment horizontal="center" vertical="center"/>
    </xf>
    <xf numFmtId="0" fontId="16" fillId="0" borderId="34" xfId="57485" applyFont="1" applyBorder="1" applyAlignment="1">
      <alignment horizontal="center" vertical="center"/>
    </xf>
    <xf numFmtId="0" fontId="16" fillId="0" borderId="33" xfId="57485" applyFont="1" applyBorder="1" applyAlignment="1">
      <alignment horizontal="center" vertical="center"/>
    </xf>
    <xf numFmtId="0" fontId="16" fillId="0" borderId="79" xfId="57485" applyFont="1" applyBorder="1" applyAlignment="1">
      <alignment horizontal="center" vertical="center"/>
    </xf>
    <xf numFmtId="0" fontId="16" fillId="0" borderId="80" xfId="57485" applyFont="1" applyBorder="1" applyAlignment="1">
      <alignment horizontal="center" vertical="center"/>
    </xf>
    <xf numFmtId="0" fontId="16" fillId="0" borderId="81" xfId="57485" applyFont="1" applyBorder="1" applyAlignment="1">
      <alignment horizontal="center" vertical="center"/>
    </xf>
    <xf numFmtId="0" fontId="16" fillId="0" borderId="82" xfId="57485" applyFont="1" applyBorder="1" applyAlignment="1">
      <alignment horizontal="center" vertical="center"/>
    </xf>
    <xf numFmtId="0" fontId="16" fillId="0" borderId="84" xfId="57485" applyFont="1" applyBorder="1" applyAlignment="1">
      <alignment horizontal="center" vertical="center"/>
    </xf>
    <xf numFmtId="0" fontId="16" fillId="0" borderId="1" xfId="57485" applyFont="1" applyBorder="1" applyAlignment="1">
      <alignment horizontal="center" vertical="center"/>
    </xf>
    <xf numFmtId="0" fontId="16" fillId="0" borderId="31" xfId="57485" applyFont="1" applyBorder="1" applyAlignment="1">
      <alignment horizontal="center" vertical="center"/>
    </xf>
    <xf numFmtId="0" fontId="16" fillId="0" borderId="32" xfId="57485" applyFont="1" applyBorder="1" applyAlignment="1">
      <alignment horizontal="center" vertical="center"/>
    </xf>
    <xf numFmtId="0" fontId="16" fillId="0" borderId="53" xfId="57485" applyFont="1" applyBorder="1" applyAlignment="1">
      <alignment horizontal="center" vertical="center"/>
    </xf>
    <xf numFmtId="0" fontId="16" fillId="0" borderId="54" xfId="57485" applyFont="1" applyBorder="1" applyAlignment="1">
      <alignment horizontal="center" vertical="center"/>
    </xf>
    <xf numFmtId="0" fontId="16" fillId="0" borderId="55" xfId="57485" applyFont="1" applyBorder="1" applyAlignment="1">
      <alignment horizontal="center" vertical="center"/>
    </xf>
    <xf numFmtId="0" fontId="16" fillId="0" borderId="85" xfId="57485" applyFont="1" applyBorder="1" applyAlignment="1">
      <alignment horizontal="center" vertical="center"/>
    </xf>
    <xf numFmtId="0" fontId="16" fillId="0" borderId="142" xfId="57485" applyFont="1" applyBorder="1" applyAlignment="1">
      <alignment horizontal="left" vertical="center"/>
    </xf>
    <xf numFmtId="0" fontId="16" fillId="0" borderId="143" xfId="57485" applyFont="1" applyBorder="1" applyAlignment="1">
      <alignment horizontal="left" vertical="center"/>
    </xf>
    <xf numFmtId="0" fontId="16" fillId="0" borderId="144" xfId="57485" applyFont="1" applyBorder="1" applyAlignment="1">
      <alignment horizontal="left" vertical="center"/>
    </xf>
    <xf numFmtId="0" fontId="16" fillId="0" borderId="32" xfId="57485" applyFont="1" applyBorder="1" applyAlignment="1">
      <alignment horizontal="left" vertical="center"/>
    </xf>
    <xf numFmtId="0" fontId="16" fillId="0" borderId="1" xfId="57485" applyFont="1" applyBorder="1" applyAlignment="1">
      <alignment horizontal="left" vertical="center"/>
    </xf>
    <xf numFmtId="0" fontId="16" fillId="0" borderId="31" xfId="57485" applyFont="1" applyBorder="1" applyAlignment="1">
      <alignment horizontal="left" vertical="center"/>
    </xf>
    <xf numFmtId="56" fontId="16" fillId="0" borderId="63" xfId="57485" quotePrefix="1" applyNumberFormat="1" applyFont="1" applyBorder="1" applyAlignment="1">
      <alignment horizontal="center" vertical="center"/>
    </xf>
    <xf numFmtId="0" fontId="16" fillId="0" borderId="33" xfId="57485" applyFont="1" applyBorder="1" applyAlignment="1">
      <alignment horizontal="left" vertical="center"/>
    </xf>
    <xf numFmtId="0" fontId="16" fillId="0" borderId="0" xfId="57485" applyFont="1" applyAlignment="1">
      <alignment horizontal="left" vertical="center"/>
    </xf>
    <xf numFmtId="0" fontId="16" fillId="0" borderId="34" xfId="57485" applyFont="1" applyBorder="1" applyAlignment="1">
      <alignment horizontal="left" vertical="center"/>
    </xf>
    <xf numFmtId="56" fontId="16" fillId="0" borderId="63" xfId="57485" applyNumberFormat="1" applyFont="1" applyBorder="1" applyAlignment="1">
      <alignment horizontal="center" vertical="center"/>
    </xf>
    <xf numFmtId="0" fontId="16" fillId="43" borderId="4" xfId="57482" applyFont="1" applyFill="1" applyBorder="1" applyAlignment="1">
      <alignment horizontal="center" vertical="center"/>
    </xf>
    <xf numFmtId="0" fontId="16" fillId="43" borderId="5" xfId="57482" applyFont="1" applyFill="1" applyBorder="1" applyAlignment="1">
      <alignment horizontal="center" vertical="center"/>
    </xf>
    <xf numFmtId="0" fontId="16" fillId="43" borderId="35" xfId="57482" applyFont="1" applyFill="1" applyBorder="1" applyAlignment="1">
      <alignment horizontal="center" vertical="center"/>
    </xf>
    <xf numFmtId="0" fontId="16" fillId="43" borderId="8" xfId="57482" applyFont="1" applyFill="1" applyBorder="1" applyAlignment="1">
      <alignment horizontal="center" vertical="center"/>
    </xf>
    <xf numFmtId="0" fontId="16" fillId="43" borderId="0" xfId="57482" applyFont="1" applyFill="1" applyAlignment="1">
      <alignment horizontal="center" vertical="center"/>
    </xf>
    <xf numFmtId="0" fontId="16" fillId="43" borderId="34" xfId="57482" applyFont="1" applyFill="1" applyBorder="1" applyAlignment="1">
      <alignment horizontal="center" vertical="center"/>
    </xf>
    <xf numFmtId="0" fontId="16" fillId="43" borderId="67" xfId="57485" applyFont="1" applyFill="1" applyBorder="1" applyAlignment="1">
      <alignment horizontal="center" vertical="center"/>
    </xf>
    <xf numFmtId="0" fontId="16" fillId="43" borderId="5" xfId="57485" applyFont="1" applyFill="1" applyBorder="1" applyAlignment="1">
      <alignment horizontal="center" vertical="center"/>
    </xf>
    <xf numFmtId="0" fontId="16" fillId="43" borderId="35" xfId="57485" applyFont="1" applyFill="1" applyBorder="1" applyAlignment="1">
      <alignment horizontal="center" vertical="center"/>
    </xf>
    <xf numFmtId="0" fontId="16" fillId="43" borderId="69" xfId="57485" applyFont="1" applyFill="1" applyBorder="1" applyAlignment="1">
      <alignment horizontal="center" vertical="center"/>
    </xf>
    <xf numFmtId="0" fontId="16" fillId="43" borderId="131" xfId="57485" applyFont="1" applyFill="1" applyBorder="1" applyAlignment="1">
      <alignment horizontal="center" vertical="center"/>
    </xf>
    <xf numFmtId="0" fontId="16" fillId="43" borderId="70" xfId="57485" applyFont="1" applyFill="1" applyBorder="1" applyAlignment="1">
      <alignment horizontal="center" vertical="center"/>
    </xf>
    <xf numFmtId="0" fontId="16" fillId="43" borderId="67" xfId="57482" applyFont="1" applyFill="1" applyBorder="1" applyAlignment="1">
      <alignment horizontal="center" vertical="center"/>
    </xf>
    <xf numFmtId="0" fontId="16" fillId="43" borderId="69" xfId="57482" applyFont="1" applyFill="1" applyBorder="1" applyAlignment="1">
      <alignment horizontal="center" vertical="center"/>
    </xf>
    <xf numFmtId="0" fontId="16" fillId="43" borderId="131" xfId="57482" applyFont="1" applyFill="1" applyBorder="1" applyAlignment="1">
      <alignment horizontal="center" vertical="center"/>
    </xf>
    <xf numFmtId="0" fontId="16" fillId="43" borderId="70" xfId="57482" applyFont="1" applyFill="1" applyBorder="1" applyAlignment="1">
      <alignment horizontal="center" vertical="center"/>
    </xf>
    <xf numFmtId="0" fontId="16" fillId="43" borderId="67" xfId="57482" applyFont="1" applyFill="1" applyBorder="1" applyAlignment="1">
      <alignment horizontal="center" vertical="center" wrapText="1"/>
    </xf>
    <xf numFmtId="0" fontId="16" fillId="43" borderId="33" xfId="57482" applyFont="1" applyFill="1" applyBorder="1" applyAlignment="1">
      <alignment horizontal="center" vertical="center"/>
    </xf>
    <xf numFmtId="0" fontId="16" fillId="43" borderId="68" xfId="57482" applyFont="1" applyFill="1" applyBorder="1" applyAlignment="1">
      <alignment horizontal="center" vertical="center"/>
    </xf>
    <xf numFmtId="0" fontId="16" fillId="43" borderId="9" xfId="57482" applyFont="1" applyFill="1" applyBorder="1" applyAlignment="1">
      <alignment horizontal="center" vertical="center"/>
    </xf>
    <xf numFmtId="176" fontId="16" fillId="0" borderId="71" xfId="57485" applyNumberFormat="1" applyFont="1" applyBorder="1" applyAlignment="1">
      <alignment horizontal="center" vertical="center"/>
    </xf>
    <xf numFmtId="176" fontId="16" fillId="0" borderId="72" xfId="57485" applyNumberFormat="1" applyFont="1" applyBorder="1" applyAlignment="1">
      <alignment horizontal="center" vertical="center"/>
    </xf>
    <xf numFmtId="176" fontId="16" fillId="0" borderId="73" xfId="57485" applyNumberFormat="1" applyFont="1" applyBorder="1" applyAlignment="1">
      <alignment horizontal="center" vertical="center"/>
    </xf>
    <xf numFmtId="176" fontId="16" fillId="0" borderId="8" xfId="57485" applyNumberFormat="1" applyFont="1" applyBorder="1" applyAlignment="1">
      <alignment horizontal="center" vertical="center"/>
    </xf>
    <xf numFmtId="176" fontId="16" fillId="0" borderId="0" xfId="57485" applyNumberFormat="1" applyFont="1" applyAlignment="1">
      <alignment horizontal="center" vertical="center"/>
    </xf>
    <xf numFmtId="176" fontId="16" fillId="0" borderId="34" xfId="57485" applyNumberFormat="1" applyFont="1" applyBorder="1" applyAlignment="1">
      <alignment horizontal="center" vertical="center"/>
    </xf>
    <xf numFmtId="0" fontId="16" fillId="0" borderId="74" xfId="57485" applyFont="1" applyBorder="1" applyAlignment="1">
      <alignment horizontal="left" vertical="center"/>
    </xf>
    <xf numFmtId="0" fontId="16" fillId="0" borderId="72" xfId="57485" applyFont="1" applyBorder="1" applyAlignment="1">
      <alignment horizontal="left" vertical="center"/>
    </xf>
    <xf numFmtId="0" fontId="16" fillId="0" borderId="73" xfId="57485" applyFont="1" applyBorder="1" applyAlignment="1">
      <alignment horizontal="left" vertical="center"/>
    </xf>
    <xf numFmtId="0" fontId="16" fillId="0" borderId="74" xfId="57485" applyFont="1" applyBorder="1" applyAlignment="1">
      <alignment horizontal="center" vertical="center"/>
    </xf>
    <xf numFmtId="0" fontId="16" fillId="0" borderId="72" xfId="57485" applyFont="1" applyBorder="1" applyAlignment="1">
      <alignment horizontal="center" vertical="center"/>
    </xf>
    <xf numFmtId="0" fontId="16" fillId="0" borderId="73" xfId="57485" applyFont="1" applyBorder="1" applyAlignment="1">
      <alignment horizontal="center" vertical="center"/>
    </xf>
    <xf numFmtId="56" fontId="16" fillId="0" borderId="75" xfId="57485" quotePrefix="1" applyNumberFormat="1" applyFont="1" applyBorder="1" applyAlignment="1">
      <alignment horizontal="center" vertical="center"/>
    </xf>
    <xf numFmtId="0" fontId="16" fillId="0" borderId="76" xfId="57485" applyFont="1" applyBorder="1" applyAlignment="1">
      <alignment horizontal="center" vertical="center"/>
    </xf>
    <xf numFmtId="0" fontId="16" fillId="0" borderId="77" xfId="57485" applyFont="1" applyBorder="1" applyAlignment="1">
      <alignment horizontal="center" vertical="center"/>
    </xf>
    <xf numFmtId="56" fontId="16" fillId="0" borderId="75" xfId="57485" applyNumberFormat="1" applyFont="1" applyBorder="1" applyAlignment="1">
      <alignment horizontal="center" vertical="center"/>
    </xf>
    <xf numFmtId="0" fontId="16" fillId="0" borderId="78" xfId="57485" applyFont="1" applyBorder="1" applyAlignment="1">
      <alignment horizontal="center" vertical="center"/>
    </xf>
    <xf numFmtId="0" fontId="79" fillId="41" borderId="16" xfId="57485" applyFont="1" applyFill="1" applyBorder="1" applyAlignment="1">
      <alignment horizontal="center" vertical="center"/>
    </xf>
    <xf numFmtId="0" fontId="79" fillId="41" borderId="13" xfId="57485" applyFont="1" applyFill="1" applyBorder="1" applyAlignment="1">
      <alignment horizontal="center" vertical="center"/>
    </xf>
    <xf numFmtId="0" fontId="79" fillId="41" borderId="14" xfId="57485" applyFont="1" applyFill="1" applyBorder="1" applyAlignment="1">
      <alignment horizontal="center" vertical="center"/>
    </xf>
    <xf numFmtId="0" fontId="79" fillId="41" borderId="22" xfId="57485" applyFont="1" applyFill="1" applyBorder="1" applyAlignment="1">
      <alignment horizontal="center" vertical="center"/>
    </xf>
    <xf numFmtId="0" fontId="79" fillId="41" borderId="20" xfId="57485" applyFont="1" applyFill="1" applyBorder="1" applyAlignment="1">
      <alignment horizontal="center" vertical="center"/>
    </xf>
    <xf numFmtId="0" fontId="79" fillId="41" borderId="17" xfId="57485" applyFont="1" applyFill="1" applyBorder="1" applyAlignment="1">
      <alignment horizontal="center" vertical="center"/>
    </xf>
    <xf numFmtId="0" fontId="78" fillId="0" borderId="22" xfId="57485" applyFont="1" applyBorder="1" applyAlignment="1">
      <alignment horizontal="center" vertical="center"/>
    </xf>
    <xf numFmtId="0" fontId="78" fillId="0" borderId="20" xfId="57485" applyFont="1" applyBorder="1" applyAlignment="1">
      <alignment horizontal="center" vertical="center"/>
    </xf>
    <xf numFmtId="0" fontId="78" fillId="0" borderId="17" xfId="57485" applyFont="1" applyBorder="1" applyAlignment="1">
      <alignment horizontal="center" vertical="center"/>
    </xf>
    <xf numFmtId="14" fontId="79" fillId="41" borderId="22" xfId="57485" applyNumberFormat="1" applyFont="1" applyFill="1" applyBorder="1" applyAlignment="1">
      <alignment horizontal="center" vertical="center"/>
    </xf>
    <xf numFmtId="14" fontId="79" fillId="41" borderId="20" xfId="57485" applyNumberFormat="1" applyFont="1" applyFill="1" applyBorder="1" applyAlignment="1">
      <alignment horizontal="center" vertical="center"/>
    </xf>
    <xf numFmtId="14" fontId="79" fillId="41" borderId="17" xfId="57485" applyNumberFormat="1" applyFont="1" applyFill="1" applyBorder="1" applyAlignment="1">
      <alignment horizontal="center" vertical="center"/>
    </xf>
    <xf numFmtId="14" fontId="78" fillId="0" borderId="22" xfId="57485" applyNumberFormat="1" applyFont="1" applyBorder="1" applyAlignment="1">
      <alignment horizontal="center" vertical="center"/>
    </xf>
    <xf numFmtId="14" fontId="78" fillId="0" borderId="20" xfId="57485" applyNumberFormat="1" applyFont="1" applyBorder="1" applyAlignment="1">
      <alignment horizontal="center" vertical="center"/>
    </xf>
    <xf numFmtId="14" fontId="78" fillId="0" borderId="17" xfId="57485" applyNumberFormat="1" applyFont="1" applyBorder="1" applyAlignment="1">
      <alignment horizontal="center" vertical="center"/>
    </xf>
    <xf numFmtId="0" fontId="78" fillId="0" borderId="22" xfId="57485" quotePrefix="1" applyFont="1" applyBorder="1" applyAlignment="1">
      <alignment horizontal="center" vertical="center"/>
    </xf>
    <xf numFmtId="0" fontId="78" fillId="0" borderId="21" xfId="57485" applyFont="1" applyBorder="1" applyAlignment="1">
      <alignment horizontal="center" vertical="center"/>
    </xf>
    <xf numFmtId="0" fontId="84" fillId="40" borderId="4" xfId="57484" applyFont="1" applyFill="1" applyBorder="1" applyAlignment="1" applyProtection="1">
      <alignment horizontal="center" vertical="center"/>
    </xf>
    <xf numFmtId="0" fontId="84" fillId="40" borderId="5" xfId="57484" applyFont="1" applyFill="1" applyBorder="1" applyAlignment="1" applyProtection="1">
      <alignment horizontal="center" vertical="center"/>
    </xf>
    <xf numFmtId="0" fontId="84" fillId="40" borderId="35" xfId="57484" applyFont="1" applyFill="1" applyBorder="1" applyAlignment="1" applyProtection="1">
      <alignment horizontal="center" vertical="center"/>
    </xf>
    <xf numFmtId="0" fontId="84" fillId="40" borderId="6" xfId="57484" applyFont="1" applyFill="1" applyBorder="1" applyAlignment="1" applyProtection="1">
      <alignment horizontal="center" vertical="center"/>
    </xf>
    <xf numFmtId="0" fontId="84" fillId="40" borderId="66" xfId="57484" applyFont="1" applyFill="1" applyBorder="1" applyAlignment="1" applyProtection="1">
      <alignment horizontal="center" vertical="center"/>
    </xf>
    <xf numFmtId="0" fontId="84" fillId="40" borderId="132" xfId="57484" applyFont="1" applyFill="1" applyBorder="1" applyAlignment="1" applyProtection="1">
      <alignment horizontal="center" vertical="center"/>
    </xf>
    <xf numFmtId="0" fontId="85" fillId="0" borderId="67" xfId="57485" applyFont="1" applyBorder="1" applyAlignment="1">
      <alignment horizontal="center" vertical="center" shrinkToFit="1"/>
    </xf>
    <xf numFmtId="0" fontId="85" fillId="0" borderId="5" xfId="57485" applyFont="1" applyBorder="1" applyAlignment="1">
      <alignment horizontal="center" vertical="center" shrinkToFit="1"/>
    </xf>
    <xf numFmtId="0" fontId="85" fillId="0" borderId="35" xfId="57485" applyFont="1" applyBorder="1" applyAlignment="1">
      <alignment horizontal="center" vertical="center" shrinkToFit="1"/>
    </xf>
    <xf numFmtId="0" fontId="85" fillId="0" borderId="130" xfId="57485" applyFont="1" applyBorder="1" applyAlignment="1">
      <alignment horizontal="center" vertical="center" shrinkToFit="1"/>
    </xf>
    <xf numFmtId="0" fontId="85" fillId="0" borderId="66" xfId="57485" applyFont="1" applyBorder="1" applyAlignment="1">
      <alignment horizontal="center" vertical="center" shrinkToFit="1"/>
    </xf>
    <xf numFmtId="0" fontId="85" fillId="0" borderId="132" xfId="57485" applyFont="1" applyBorder="1" applyAlignment="1">
      <alignment horizontal="center" vertical="center" shrinkToFit="1"/>
    </xf>
    <xf numFmtId="0" fontId="79" fillId="41" borderId="15" xfId="57485" applyFont="1" applyFill="1" applyBorder="1" applyAlignment="1">
      <alignment horizontal="center" vertical="center"/>
    </xf>
    <xf numFmtId="0" fontId="78" fillId="0" borderId="16" xfId="57485" applyFont="1" applyBorder="1" applyAlignment="1">
      <alignment horizontal="center" vertical="center" shrinkToFit="1"/>
    </xf>
    <xf numFmtId="0" fontId="78" fillId="0" borderId="13" xfId="57485" applyFont="1" applyBorder="1" applyAlignment="1">
      <alignment horizontal="center" vertical="center" shrinkToFit="1"/>
    </xf>
    <xf numFmtId="0" fontId="78" fillId="0" borderId="15" xfId="57485" applyFont="1" applyBorder="1" applyAlignment="1">
      <alignment horizontal="center" vertical="center" shrinkToFit="1"/>
    </xf>
    <xf numFmtId="14" fontId="78" fillId="0" borderId="16" xfId="57485" applyNumberFormat="1" applyFont="1" applyBorder="1" applyAlignment="1">
      <alignment horizontal="center" vertical="center"/>
    </xf>
    <xf numFmtId="14" fontId="78" fillId="0" borderId="13" xfId="57485" applyNumberFormat="1" applyFont="1" applyBorder="1" applyAlignment="1">
      <alignment horizontal="center" vertical="center"/>
    </xf>
    <xf numFmtId="14" fontId="78" fillId="0" borderId="15" xfId="57485" applyNumberFormat="1" applyFont="1" applyBorder="1" applyAlignment="1">
      <alignment horizontal="center" vertical="center"/>
    </xf>
    <xf numFmtId="0" fontId="24" fillId="0" borderId="5" xfId="8" applyFont="1" applyBorder="1" applyAlignment="1">
      <alignment horizontal="center" vertical="center" wrapText="1"/>
    </xf>
    <xf numFmtId="0" fontId="24" fillId="0" borderId="35" xfId="8" applyFont="1" applyBorder="1" applyAlignment="1">
      <alignment horizontal="center" vertical="center" wrapText="1"/>
    </xf>
    <xf numFmtId="0" fontId="24" fillId="0" borderId="8" xfId="8" applyFont="1" applyBorder="1" applyAlignment="1">
      <alignment horizontal="center" vertical="center" wrapText="1"/>
    </xf>
    <xf numFmtId="0" fontId="24" fillId="0" borderId="0" xfId="8" applyFont="1" applyAlignment="1">
      <alignment horizontal="center" vertical="center" wrapText="1"/>
    </xf>
    <xf numFmtId="0" fontId="24" fillId="0" borderId="34" xfId="8" applyFont="1" applyBorder="1" applyAlignment="1">
      <alignment horizontal="center" vertical="center" wrapText="1"/>
    </xf>
    <xf numFmtId="0" fontId="24" fillId="0" borderId="6" xfId="8" applyFont="1" applyBorder="1" applyAlignment="1">
      <alignment horizontal="center" vertical="center" wrapText="1"/>
    </xf>
    <xf numFmtId="0" fontId="24" fillId="0" borderId="66" xfId="8" applyFont="1" applyBorder="1" applyAlignment="1">
      <alignment horizontal="center" vertical="center" wrapText="1"/>
    </xf>
    <xf numFmtId="0" fontId="24" fillId="0" borderId="132" xfId="8" applyFont="1" applyBorder="1" applyAlignment="1">
      <alignment horizontal="center" vertical="center" wrapText="1"/>
    </xf>
    <xf numFmtId="0" fontId="15" fillId="44" borderId="16" xfId="8" applyFont="1" applyFill="1" applyBorder="1" applyAlignment="1">
      <alignment horizontal="center" vertical="center" wrapText="1"/>
    </xf>
    <xf numFmtId="0" fontId="15" fillId="44" borderId="13" xfId="8" applyFont="1" applyFill="1" applyBorder="1" applyAlignment="1">
      <alignment horizontal="center" vertical="center" wrapText="1"/>
    </xf>
    <xf numFmtId="0" fontId="15" fillId="44" borderId="15" xfId="8" applyFont="1" applyFill="1" applyBorder="1" applyAlignment="1">
      <alignment horizontal="center" vertical="center" wrapText="1"/>
    </xf>
    <xf numFmtId="0" fontId="15" fillId="44" borderId="16" xfId="8" applyFont="1" applyFill="1" applyBorder="1" applyAlignment="1">
      <alignment horizontal="center" wrapText="1"/>
    </xf>
    <xf numFmtId="0" fontId="15" fillId="44" borderId="13" xfId="8" applyFont="1" applyFill="1" applyBorder="1" applyAlignment="1">
      <alignment horizontal="center" wrapText="1"/>
    </xf>
    <xf numFmtId="0" fontId="15" fillId="44" borderId="15" xfId="8" applyFont="1" applyFill="1" applyBorder="1" applyAlignment="1">
      <alignment horizontal="center" wrapText="1"/>
    </xf>
    <xf numFmtId="0" fontId="15" fillId="0" borderId="143" xfId="8" applyFont="1" applyBorder="1" applyAlignment="1">
      <alignment horizontal="center" vertical="center" wrapText="1"/>
    </xf>
    <xf numFmtId="0" fontId="15" fillId="0" borderId="144" xfId="8" applyFont="1" applyBorder="1" applyAlignment="1">
      <alignment horizontal="center" vertical="center" wrapText="1"/>
    </xf>
    <xf numFmtId="0" fontId="15" fillId="44" borderId="114" xfId="8" applyFont="1" applyFill="1" applyBorder="1" applyAlignment="1">
      <alignment horizontal="center" wrapText="1"/>
    </xf>
    <xf numFmtId="0" fontId="15" fillId="44" borderId="151" xfId="8" applyFont="1" applyFill="1" applyBorder="1" applyAlignment="1">
      <alignment horizontal="center" wrapText="1"/>
    </xf>
    <xf numFmtId="0" fontId="15" fillId="44" borderId="115" xfId="8" applyFont="1" applyFill="1" applyBorder="1" applyAlignment="1">
      <alignment horizontal="center" wrapText="1"/>
    </xf>
    <xf numFmtId="0" fontId="16" fillId="0" borderId="13" xfId="8" applyFont="1" applyBorder="1" applyAlignment="1">
      <alignment horizontal="center" wrapText="1"/>
    </xf>
    <xf numFmtId="0" fontId="16" fillId="0" borderId="15" xfId="8" applyFont="1" applyBorder="1" applyAlignment="1">
      <alignment horizontal="center" wrapText="1"/>
    </xf>
    <xf numFmtId="0" fontId="15" fillId="44" borderId="16" xfId="9" applyFont="1" applyFill="1" applyBorder="1" applyAlignment="1">
      <alignment horizontal="center" wrapText="1"/>
    </xf>
    <xf numFmtId="0" fontId="6" fillId="44" borderId="13" xfId="224" applyFill="1" applyBorder="1" applyAlignment="1">
      <alignment horizontal="center" wrapText="1"/>
    </xf>
    <xf numFmtId="0" fontId="6" fillId="44" borderId="15" xfId="224" applyFill="1" applyBorder="1" applyAlignment="1">
      <alignment horizontal="center" wrapText="1"/>
    </xf>
    <xf numFmtId="0" fontId="15" fillId="44" borderId="16" xfId="9" applyFont="1" applyFill="1" applyBorder="1" applyAlignment="1">
      <alignment horizontal="center"/>
    </xf>
    <xf numFmtId="0" fontId="6" fillId="44" borderId="13" xfId="224" applyFill="1" applyBorder="1" applyAlignment="1">
      <alignment horizontal="center"/>
    </xf>
    <xf numFmtId="0" fontId="6" fillId="44" borderId="15" xfId="224" applyFill="1" applyBorder="1" applyAlignment="1">
      <alignment horizontal="center"/>
    </xf>
    <xf numFmtId="0" fontId="6" fillId="44" borderId="14" xfId="224" applyFill="1" applyBorder="1" applyAlignment="1">
      <alignment horizontal="center"/>
    </xf>
    <xf numFmtId="0" fontId="18" fillId="0" borderId="66" xfId="8" applyFont="1" applyBorder="1" applyAlignment="1">
      <alignment horizontal="center" vertical="center" shrinkToFit="1"/>
    </xf>
    <xf numFmtId="0" fontId="18" fillId="0" borderId="132" xfId="8" applyFont="1" applyBorder="1" applyAlignment="1">
      <alignment horizontal="center" vertical="center" shrinkToFit="1"/>
    </xf>
    <xf numFmtId="0" fontId="15" fillId="44" borderId="22" xfId="8" applyFont="1" applyFill="1" applyBorder="1" applyAlignment="1">
      <alignment horizontal="center" wrapText="1"/>
    </xf>
    <xf numFmtId="0" fontId="15" fillId="44" borderId="20" xfId="8" applyFont="1" applyFill="1" applyBorder="1" applyAlignment="1">
      <alignment horizontal="center" wrapText="1"/>
    </xf>
    <xf numFmtId="0" fontId="15" fillId="44" borderId="17" xfId="8" applyFont="1" applyFill="1" applyBorder="1" applyAlignment="1">
      <alignment horizontal="center" wrapText="1"/>
    </xf>
    <xf numFmtId="0" fontId="17" fillId="0" borderId="17" xfId="6" quotePrefix="1" applyFont="1" applyBorder="1" applyAlignment="1">
      <alignment wrapText="1"/>
    </xf>
    <xf numFmtId="0" fontId="17" fillId="52" borderId="106" xfId="224" applyFont="1" applyFill="1" applyBorder="1" applyAlignment="1">
      <alignment horizontal="center" vertical="center" shrinkToFit="1"/>
    </xf>
    <xf numFmtId="0" fontId="17" fillId="52" borderId="107" xfId="224" applyFont="1" applyFill="1" applyBorder="1" applyAlignment="1">
      <alignment horizontal="center" vertical="center" shrinkToFit="1"/>
    </xf>
    <xf numFmtId="0" fontId="17" fillId="52" borderId="108" xfId="224" applyFont="1" applyFill="1" applyBorder="1" applyAlignment="1">
      <alignment horizontal="center" vertical="center" shrinkToFit="1"/>
    </xf>
    <xf numFmtId="14" fontId="19" fillId="31" borderId="0" xfId="224" applyNumberFormat="1" applyFont="1" applyFill="1" applyAlignment="1">
      <alignment horizontal="left" vertical="center"/>
    </xf>
    <xf numFmtId="0" fontId="19" fillId="31" borderId="0" xfId="224" applyFont="1" applyFill="1" applyAlignment="1">
      <alignment horizontal="left" vertical="center"/>
    </xf>
    <xf numFmtId="0" fontId="17" fillId="48" borderId="0" xfId="224" applyFont="1" applyFill="1" applyAlignment="1">
      <alignment vertical="center"/>
    </xf>
    <xf numFmtId="0" fontId="17" fillId="48" borderId="147" xfId="224" applyFont="1" applyFill="1" applyBorder="1" applyAlignment="1">
      <alignment vertical="center"/>
    </xf>
    <xf numFmtId="0" fontId="17" fillId="31" borderId="109" xfId="224" applyFont="1" applyFill="1" applyBorder="1" applyAlignment="1">
      <alignment horizontal="center" vertical="center"/>
    </xf>
    <xf numFmtId="0" fontId="17" fillId="31" borderId="0" xfId="224" applyFont="1" applyFill="1" applyAlignment="1">
      <alignment horizontal="center" vertical="center"/>
    </xf>
    <xf numFmtId="0" fontId="17" fillId="52" borderId="148" xfId="224" applyFont="1" applyFill="1" applyBorder="1" applyAlignment="1">
      <alignment horizontal="center" vertical="center"/>
    </xf>
    <xf numFmtId="0" fontId="17" fillId="52" borderId="149" xfId="224" applyFont="1" applyFill="1" applyBorder="1" applyAlignment="1">
      <alignment horizontal="center" vertical="center"/>
    </xf>
    <xf numFmtId="0" fontId="17" fillId="52" borderId="150" xfId="224" applyFont="1" applyFill="1" applyBorder="1" applyAlignment="1">
      <alignment horizontal="center" vertical="center"/>
    </xf>
    <xf numFmtId="0" fontId="13" fillId="31" borderId="114" xfId="224" quotePrefix="1" applyFont="1" applyFill="1" applyBorder="1" applyAlignment="1">
      <alignment horizontal="center" vertical="center"/>
    </xf>
    <xf numFmtId="0" fontId="13" fillId="31" borderId="151" xfId="224" quotePrefix="1" applyFont="1" applyFill="1" applyBorder="1" applyAlignment="1">
      <alignment horizontal="center" vertical="center"/>
    </xf>
    <xf numFmtId="0" fontId="13" fillId="31" borderId="115" xfId="224" quotePrefix="1" applyFont="1" applyFill="1" applyBorder="1" applyAlignment="1">
      <alignment horizontal="center" vertical="center"/>
    </xf>
    <xf numFmtId="184" fontId="13" fillId="31" borderId="114" xfId="224" quotePrefix="1" applyNumberFormat="1" applyFont="1" applyFill="1" applyBorder="1" applyAlignment="1">
      <alignment horizontal="right" vertical="center"/>
    </xf>
    <xf numFmtId="184" fontId="13" fillId="31" borderId="115" xfId="224" quotePrefix="1" applyNumberFormat="1" applyFont="1" applyFill="1" applyBorder="1" applyAlignment="1">
      <alignment horizontal="right" vertical="center"/>
    </xf>
    <xf numFmtId="0" fontId="13" fillId="31" borderId="114" xfId="224" applyFont="1" applyFill="1" applyBorder="1" applyAlignment="1">
      <alignment horizontal="center" vertical="center"/>
    </xf>
    <xf numFmtId="0" fontId="13" fillId="31" borderId="115" xfId="224" applyFont="1" applyFill="1" applyBorder="1" applyAlignment="1">
      <alignment horizontal="center" vertical="center"/>
    </xf>
    <xf numFmtId="183" fontId="13" fillId="31" borderId="114" xfId="224" applyNumberFormat="1" applyFont="1" applyFill="1" applyBorder="1" applyAlignment="1">
      <alignment vertical="center"/>
    </xf>
    <xf numFmtId="183" fontId="13" fillId="31" borderId="151" xfId="224" applyNumberFormat="1" applyFont="1" applyFill="1" applyBorder="1" applyAlignment="1">
      <alignment vertical="center"/>
    </xf>
    <xf numFmtId="183" fontId="13" fillId="31" borderId="115" xfId="224" applyNumberFormat="1" applyFont="1" applyFill="1" applyBorder="1" applyAlignment="1">
      <alignment vertical="center"/>
    </xf>
    <xf numFmtId="0" fontId="96" fillId="50" borderId="114" xfId="224" applyFont="1" applyFill="1" applyBorder="1" applyAlignment="1">
      <alignment vertical="center" shrinkToFit="1"/>
    </xf>
    <xf numFmtId="0" fontId="0" fillId="0" borderId="115" xfId="0" applyBorder="1" applyAlignment="1">
      <alignment vertical="center" shrinkToFit="1"/>
    </xf>
    <xf numFmtId="0" fontId="96" fillId="50" borderId="114" xfId="224" applyFont="1" applyFill="1" applyBorder="1" applyAlignment="1">
      <alignment horizontal="center" vertical="center" shrinkToFit="1"/>
    </xf>
    <xf numFmtId="0" fontId="96" fillId="50" borderId="115" xfId="224" applyFont="1" applyFill="1" applyBorder="1" applyAlignment="1">
      <alignment horizontal="center" vertical="center" shrinkToFit="1"/>
    </xf>
    <xf numFmtId="0" fontId="0" fillId="0" borderId="151" xfId="0" applyBorder="1" applyAlignment="1">
      <alignment vertical="center" shrinkToFit="1"/>
    </xf>
    <xf numFmtId="0" fontId="16" fillId="31" borderId="16" xfId="8" applyFont="1" applyFill="1" applyBorder="1" applyAlignment="1">
      <alignment horizontal="center" shrinkToFit="1"/>
    </xf>
    <xf numFmtId="0" fontId="6" fillId="31" borderId="13" xfId="224" applyFill="1" applyBorder="1" applyAlignment="1">
      <alignment horizontal="center" shrinkToFit="1"/>
    </xf>
    <xf numFmtId="0" fontId="6" fillId="31" borderId="15" xfId="224" applyFill="1" applyBorder="1" applyAlignment="1">
      <alignment horizontal="center" shrinkToFit="1"/>
    </xf>
    <xf numFmtId="176" fontId="16" fillId="31" borderId="142" xfId="9" applyNumberFormat="1" applyFont="1" applyFill="1" applyBorder="1" applyAlignment="1">
      <alignment horizontal="center" vertical="center" wrapText="1"/>
    </xf>
    <xf numFmtId="0" fontId="6" fillId="31" borderId="143" xfId="224" applyFill="1" applyBorder="1" applyAlignment="1">
      <alignment horizontal="center" vertical="center" wrapText="1"/>
    </xf>
    <xf numFmtId="0" fontId="6" fillId="31" borderId="145" xfId="224" applyFill="1" applyBorder="1" applyAlignment="1">
      <alignment horizontal="center" vertical="center" wrapText="1"/>
    </xf>
    <xf numFmtId="0" fontId="6" fillId="31" borderId="130" xfId="224" applyFill="1" applyBorder="1" applyAlignment="1">
      <alignment horizontal="center" vertical="center" wrapText="1"/>
    </xf>
    <xf numFmtId="0" fontId="6" fillId="31" borderId="66" xfId="224" applyFill="1" applyBorder="1" applyAlignment="1">
      <alignment horizontal="center" vertical="center" wrapText="1"/>
    </xf>
    <xf numFmtId="0" fontId="6" fillId="31" borderId="140" xfId="224" applyFill="1" applyBorder="1" applyAlignment="1">
      <alignment horizontal="center" vertical="center" wrapText="1"/>
    </xf>
    <xf numFmtId="0" fontId="18" fillId="31" borderId="130" xfId="8" applyFont="1" applyFill="1" applyBorder="1" applyAlignment="1">
      <alignment horizontal="center" vertical="center" shrinkToFit="1"/>
    </xf>
    <xf numFmtId="0" fontId="23" fillId="31" borderId="66" xfId="224" applyFont="1" applyFill="1" applyBorder="1" applyAlignment="1">
      <alignment horizontal="center" vertical="center" shrinkToFit="1"/>
    </xf>
    <xf numFmtId="0" fontId="23" fillId="31" borderId="132" xfId="224" applyFont="1" applyFill="1" applyBorder="1" applyAlignment="1">
      <alignment horizontal="center" vertical="center" shrinkToFit="1"/>
    </xf>
    <xf numFmtId="0" fontId="15" fillId="37" borderId="22" xfId="8" applyFont="1" applyFill="1" applyBorder="1" applyAlignment="1">
      <alignment horizontal="center" shrinkToFit="1"/>
    </xf>
    <xf numFmtId="0" fontId="6" fillId="37" borderId="20" xfId="224" applyFill="1" applyBorder="1" applyAlignment="1">
      <alignment horizontal="center" shrinkToFit="1"/>
    </xf>
    <xf numFmtId="0" fontId="6" fillId="37" borderId="17" xfId="224" applyFill="1" applyBorder="1" applyAlignment="1">
      <alignment horizontal="center" shrinkToFit="1"/>
    </xf>
    <xf numFmtId="0" fontId="17" fillId="31" borderId="22" xfId="8" applyFont="1" applyFill="1" applyBorder="1" applyAlignment="1">
      <alignment horizontal="center" wrapText="1"/>
    </xf>
    <xf numFmtId="0" fontId="6" fillId="31" borderId="20" xfId="224" applyFill="1" applyBorder="1" applyAlignment="1">
      <alignment horizontal="center" wrapText="1"/>
    </xf>
    <xf numFmtId="0" fontId="17" fillId="31" borderId="20" xfId="8" quotePrefix="1" applyFont="1" applyFill="1" applyBorder="1" applyAlignment="1">
      <alignment horizontal="left" wrapText="1"/>
    </xf>
    <xf numFmtId="0" fontId="23" fillId="31" borderId="20" xfId="224" applyFont="1" applyFill="1" applyBorder="1" applyAlignment="1">
      <alignment horizontal="left" wrapText="1"/>
    </xf>
    <xf numFmtId="0" fontId="23" fillId="31" borderId="17" xfId="224" applyFont="1" applyFill="1" applyBorder="1" applyAlignment="1">
      <alignment horizontal="left" wrapText="1"/>
    </xf>
    <xf numFmtId="0" fontId="15" fillId="32" borderId="11" xfId="224" applyFont="1" applyFill="1" applyBorder="1" applyAlignment="1">
      <alignment horizontal="center" vertical="center"/>
    </xf>
    <xf numFmtId="0" fontId="15" fillId="32" borderId="13" xfId="224" applyFont="1" applyFill="1" applyBorder="1" applyAlignment="1">
      <alignment horizontal="center" vertical="center"/>
    </xf>
    <xf numFmtId="0" fontId="15" fillId="32" borderId="14" xfId="224" applyFont="1" applyFill="1" applyBorder="1" applyAlignment="1">
      <alignment horizontal="center" vertical="center"/>
    </xf>
    <xf numFmtId="0" fontId="24" fillId="31" borderId="4" xfId="8" applyFont="1" applyFill="1" applyBorder="1" applyAlignment="1">
      <alignment horizontal="center" vertical="center" wrapText="1"/>
    </xf>
    <xf numFmtId="0" fontId="21" fillId="31" borderId="5" xfId="224" applyFont="1" applyFill="1" applyBorder="1" applyAlignment="1">
      <alignment horizontal="center" vertical="center" wrapText="1"/>
    </xf>
    <xf numFmtId="0" fontId="21" fillId="31" borderId="35" xfId="224" applyFont="1" applyFill="1" applyBorder="1" applyAlignment="1">
      <alignment horizontal="center" vertical="center" wrapText="1"/>
    </xf>
    <xf numFmtId="0" fontId="21" fillId="31" borderId="8" xfId="224" applyFont="1" applyFill="1" applyBorder="1" applyAlignment="1">
      <alignment horizontal="center" vertical="center" wrapText="1"/>
    </xf>
    <xf numFmtId="0" fontId="21" fillId="31" borderId="0" xfId="224" applyFont="1" applyFill="1" applyAlignment="1">
      <alignment horizontal="center" vertical="center" wrapText="1"/>
    </xf>
    <xf numFmtId="0" fontId="21" fillId="31" borderId="34" xfId="224" applyFont="1" applyFill="1" applyBorder="1" applyAlignment="1">
      <alignment horizontal="center" vertical="center" wrapText="1"/>
    </xf>
    <xf numFmtId="0" fontId="21" fillId="31" borderId="6" xfId="224" applyFont="1" applyFill="1" applyBorder="1" applyAlignment="1">
      <alignment horizontal="center" vertical="center" wrapText="1"/>
    </xf>
    <xf numFmtId="0" fontId="21" fillId="31" borderId="66" xfId="224" applyFont="1" applyFill="1" applyBorder="1" applyAlignment="1">
      <alignment horizontal="center" vertical="center" wrapText="1"/>
    </xf>
    <xf numFmtId="0" fontId="21" fillId="31" borderId="132" xfId="224" applyFont="1" applyFill="1" applyBorder="1" applyAlignment="1">
      <alignment horizontal="center" vertical="center" wrapText="1"/>
    </xf>
    <xf numFmtId="0" fontId="15" fillId="37" borderId="12" xfId="9" applyFont="1" applyFill="1" applyBorder="1" applyAlignment="1">
      <alignment horizontal="center"/>
    </xf>
    <xf numFmtId="0" fontId="15" fillId="37" borderId="16" xfId="9" applyFont="1" applyFill="1" applyBorder="1" applyAlignment="1">
      <alignment horizontal="center" wrapText="1"/>
    </xf>
    <xf numFmtId="0" fontId="6" fillId="37" borderId="13" xfId="224" applyFill="1" applyBorder="1" applyAlignment="1">
      <alignment horizontal="center" wrapText="1"/>
    </xf>
    <xf numFmtId="0" fontId="6" fillId="37" borderId="15" xfId="224" applyFill="1" applyBorder="1" applyAlignment="1">
      <alignment horizontal="center" wrapText="1"/>
    </xf>
    <xf numFmtId="0" fontId="6" fillId="37" borderId="14" xfId="224" applyFill="1" applyBorder="1" applyAlignment="1">
      <alignment horizontal="center" wrapText="1"/>
    </xf>
    <xf numFmtId="0" fontId="15" fillId="31" borderId="142" xfId="8" applyFont="1" applyFill="1" applyBorder="1" applyAlignment="1">
      <alignment horizontal="center" vertical="center" wrapText="1"/>
    </xf>
    <xf numFmtId="0" fontId="6" fillId="31" borderId="144" xfId="224" applyFill="1" applyBorder="1" applyAlignment="1">
      <alignment horizontal="center" vertical="center" wrapText="1"/>
    </xf>
    <xf numFmtId="0" fontId="15" fillId="37" borderId="114" xfId="8" applyFont="1" applyFill="1" applyBorder="1" applyAlignment="1">
      <alignment horizontal="center" shrinkToFit="1"/>
    </xf>
    <xf numFmtId="0" fontId="6" fillId="37" borderId="151" xfId="224" applyFill="1" applyBorder="1" applyAlignment="1">
      <alignment horizontal="center" shrinkToFit="1"/>
    </xf>
    <xf numFmtId="0" fontId="6" fillId="37" borderId="115" xfId="224" applyFill="1" applyBorder="1" applyAlignment="1">
      <alignment horizontal="center" shrinkToFit="1"/>
    </xf>
    <xf numFmtId="0" fontId="16" fillId="31" borderId="114" xfId="8" applyFont="1" applyFill="1" applyBorder="1" applyAlignment="1">
      <alignment horizontal="center" wrapText="1"/>
    </xf>
    <xf numFmtId="0" fontId="6" fillId="31" borderId="151" xfId="224" applyFill="1" applyBorder="1" applyAlignment="1">
      <alignment horizontal="center" wrapText="1"/>
    </xf>
    <xf numFmtId="0" fontId="6" fillId="31" borderId="115" xfId="224" applyFill="1" applyBorder="1" applyAlignment="1">
      <alignment horizontal="center" wrapText="1"/>
    </xf>
    <xf numFmtId="0" fontId="15" fillId="37" borderId="114" xfId="8" applyFont="1" applyFill="1" applyBorder="1" applyAlignment="1">
      <alignment horizontal="center" wrapText="1"/>
    </xf>
    <xf numFmtId="0" fontId="6" fillId="37" borderId="151" xfId="224" applyFill="1" applyBorder="1" applyAlignment="1">
      <alignment horizontal="center" wrapText="1"/>
    </xf>
    <xf numFmtId="0" fontId="6" fillId="37" borderId="115" xfId="224" applyFill="1" applyBorder="1" applyAlignment="1">
      <alignment horizontal="center" wrapText="1"/>
    </xf>
    <xf numFmtId="0" fontId="16" fillId="31" borderId="114" xfId="224" applyFont="1" applyFill="1" applyBorder="1" applyAlignment="1">
      <alignment horizontal="center" wrapText="1"/>
    </xf>
    <xf numFmtId="0" fontId="16" fillId="31" borderId="151" xfId="224" applyFont="1" applyFill="1" applyBorder="1" applyAlignment="1">
      <alignment horizontal="center" wrapText="1"/>
    </xf>
    <xf numFmtId="0" fontId="16" fillId="31" borderId="115" xfId="224" applyFont="1" applyFill="1" applyBorder="1" applyAlignment="1">
      <alignment horizontal="center" wrapText="1"/>
    </xf>
    <xf numFmtId="14" fontId="16" fillId="31" borderId="3" xfId="9" applyNumberFormat="1" applyFont="1" applyFill="1" applyBorder="1" applyAlignment="1">
      <alignment horizontal="center" vertical="center"/>
    </xf>
    <xf numFmtId="0" fontId="16" fillId="31" borderId="3" xfId="9" applyFont="1" applyFill="1" applyBorder="1" applyAlignment="1">
      <alignment horizontal="center" vertical="center"/>
    </xf>
    <xf numFmtId="0" fontId="16" fillId="31" borderId="29" xfId="9" applyFont="1" applyFill="1" applyBorder="1" applyAlignment="1">
      <alignment horizontal="center" vertical="center"/>
    </xf>
    <xf numFmtId="0" fontId="16" fillId="31" borderId="142" xfId="9" applyFont="1" applyFill="1" applyBorder="1" applyAlignment="1">
      <alignment horizontal="center" vertical="center" wrapText="1"/>
    </xf>
    <xf numFmtId="0" fontId="6" fillId="31" borderId="132" xfId="224" applyFill="1" applyBorder="1" applyAlignment="1">
      <alignment horizontal="center" vertical="center" wrapText="1"/>
    </xf>
    <xf numFmtId="0" fontId="15" fillId="37" borderId="16" xfId="8" applyFont="1" applyFill="1" applyBorder="1" applyAlignment="1">
      <alignment horizontal="center" vertical="center" wrapText="1"/>
    </xf>
    <xf numFmtId="0" fontId="6" fillId="37" borderId="13" xfId="224" applyFill="1" applyBorder="1" applyAlignment="1">
      <alignment horizontal="center" vertical="center" wrapText="1"/>
    </xf>
    <xf numFmtId="0" fontId="6" fillId="37" borderId="15" xfId="224" applyFill="1" applyBorder="1" applyAlignment="1">
      <alignment horizontal="center" vertical="center" wrapText="1"/>
    </xf>
    <xf numFmtId="0" fontId="15" fillId="37" borderId="16" xfId="8" applyFont="1" applyFill="1" applyBorder="1" applyAlignment="1">
      <alignment horizontal="center" shrinkToFit="1"/>
    </xf>
    <xf numFmtId="0" fontId="6" fillId="37" borderId="13" xfId="224" applyFill="1" applyBorder="1" applyAlignment="1">
      <alignment horizontal="center" shrinkToFit="1"/>
    </xf>
    <xf numFmtId="0" fontId="6" fillId="37" borderId="15" xfId="224" applyFill="1" applyBorder="1" applyAlignment="1">
      <alignment horizontal="center" shrinkToFit="1"/>
    </xf>
    <xf numFmtId="0" fontId="16" fillId="31" borderId="16" xfId="8" applyFont="1" applyFill="1" applyBorder="1" applyAlignment="1">
      <alignment horizontal="center" wrapText="1"/>
    </xf>
    <xf numFmtId="0" fontId="6" fillId="31" borderId="13" xfId="224" applyFill="1" applyBorder="1" applyAlignment="1">
      <alignment horizontal="center" wrapText="1"/>
    </xf>
    <xf numFmtId="0" fontId="6" fillId="31" borderId="15" xfId="224" applyFill="1" applyBorder="1" applyAlignment="1">
      <alignment horizontal="center" wrapText="1"/>
    </xf>
    <xf numFmtId="0" fontId="15" fillId="37" borderId="16" xfId="8" applyFont="1" applyFill="1" applyBorder="1" applyAlignment="1">
      <alignment horizontal="center" wrapText="1"/>
    </xf>
    <xf numFmtId="0" fontId="13" fillId="31" borderId="110" xfId="224" applyFont="1" applyFill="1" applyBorder="1" applyAlignment="1">
      <alignment horizontal="center" vertical="center"/>
    </xf>
    <xf numFmtId="0" fontId="13" fillId="31" borderId="111" xfId="224" applyFont="1" applyFill="1" applyBorder="1" applyAlignment="1">
      <alignment horizontal="center" vertical="center"/>
    </xf>
    <xf numFmtId="0" fontId="96" fillId="49" borderId="112" xfId="224" applyFont="1" applyFill="1" applyBorder="1" applyAlignment="1">
      <alignment horizontal="center" vertical="center" shrinkToFit="1"/>
    </xf>
    <xf numFmtId="0" fontId="96" fillId="49" borderId="113" xfId="224" applyFont="1" applyFill="1" applyBorder="1" applyAlignment="1">
      <alignment horizontal="center" vertical="center" shrinkToFit="1"/>
    </xf>
    <xf numFmtId="0" fontId="14" fillId="31" borderId="0" xfId="224" applyFont="1" applyFill="1" applyAlignment="1">
      <alignment vertical="center" wrapText="1"/>
    </xf>
    <xf numFmtId="0" fontId="17" fillId="0" borderId="30" xfId="0" applyFont="1" applyBorder="1" applyAlignment="1">
      <alignment horizontal="right" vertical="center" wrapText="1"/>
    </xf>
    <xf numFmtId="0" fontId="17" fillId="0" borderId="144" xfId="0" applyFont="1" applyBorder="1" applyAlignment="1">
      <alignment horizontal="right" vertical="center" wrapText="1"/>
    </xf>
    <xf numFmtId="0" fontId="17" fillId="0" borderId="19" xfId="0" applyFont="1" applyBorder="1" applyAlignment="1">
      <alignment horizontal="right" vertical="center" wrapText="1"/>
    </xf>
    <xf numFmtId="0" fontId="17" fillId="0" borderId="17" xfId="0" applyFont="1" applyBorder="1" applyAlignment="1">
      <alignment horizontal="right" vertical="center" wrapText="1"/>
    </xf>
    <xf numFmtId="0" fontId="17" fillId="0" borderId="103" xfId="0" applyFont="1" applyBorder="1" applyAlignment="1">
      <alignment horizontal="right" vertical="center" wrapText="1"/>
    </xf>
    <xf numFmtId="0" fontId="17" fillId="0" borderId="104" xfId="0" applyFont="1" applyBorder="1" applyAlignment="1">
      <alignment horizontal="right" vertical="center" wrapText="1"/>
    </xf>
    <xf numFmtId="0" fontId="17" fillId="0" borderId="100" xfId="0" applyFont="1" applyBorder="1" applyAlignment="1">
      <alignment vertical="center" wrapText="1"/>
    </xf>
    <xf numFmtId="0" fontId="0" fillId="0" borderId="101" xfId="0" applyBorder="1" applyAlignment="1">
      <alignment vertical="center" wrapText="1"/>
    </xf>
    <xf numFmtId="0" fontId="0" fillId="0" borderId="102" xfId="0" applyBorder="1" applyAlignment="1">
      <alignment vertical="center" wrapText="1"/>
    </xf>
    <xf numFmtId="0" fontId="89" fillId="0" borderId="19" xfId="0" applyFont="1" applyBorder="1" applyAlignment="1">
      <alignment horizontal="right" vertical="center" wrapText="1"/>
    </xf>
    <xf numFmtId="0" fontId="89" fillId="0" borderId="17" xfId="0" applyFont="1" applyBorder="1" applyAlignment="1">
      <alignment horizontal="right" vertical="center" wrapText="1"/>
    </xf>
    <xf numFmtId="0" fontId="89" fillId="0" borderId="22" xfId="0" applyFont="1" applyBorder="1" applyAlignment="1">
      <alignment horizontal="left" vertical="top" wrapText="1"/>
    </xf>
    <xf numFmtId="0" fontId="89" fillId="0" borderId="20" xfId="0" applyFont="1" applyBorder="1" applyAlignment="1">
      <alignment horizontal="left" vertical="top"/>
    </xf>
    <xf numFmtId="0" fontId="89" fillId="0" borderId="21" xfId="0" applyFont="1" applyBorder="1" applyAlignment="1">
      <alignment horizontal="left" vertical="top"/>
    </xf>
    <xf numFmtId="0" fontId="89" fillId="0" borderId="18" xfId="0" applyFont="1" applyBorder="1" applyAlignment="1">
      <alignment horizontal="right" vertical="center" wrapText="1"/>
    </xf>
    <xf numFmtId="0" fontId="89" fillId="0" borderId="115" xfId="0" applyFont="1" applyBorder="1" applyAlignment="1">
      <alignment horizontal="right" vertical="center" wrapText="1"/>
    </xf>
    <xf numFmtId="0" fontId="89" fillId="0" borderId="114" xfId="0" applyFont="1" applyBorder="1" applyAlignment="1">
      <alignment horizontal="left" vertical="top" wrapText="1"/>
    </xf>
    <xf numFmtId="0" fontId="89" fillId="0" borderId="151" xfId="0" applyFont="1" applyBorder="1" applyAlignment="1">
      <alignment horizontal="left" vertical="top"/>
    </xf>
    <xf numFmtId="0" fontId="89" fillId="0" borderId="121" xfId="0" applyFont="1" applyBorder="1" applyAlignment="1">
      <alignment horizontal="left" vertical="top"/>
    </xf>
    <xf numFmtId="0" fontId="17" fillId="0" borderId="18" xfId="0" applyFont="1" applyBorder="1" applyAlignment="1">
      <alignment horizontal="right" vertical="center" wrapText="1"/>
    </xf>
    <xf numFmtId="0" fontId="17" fillId="0" borderId="115" xfId="0" applyFont="1" applyBorder="1" applyAlignment="1">
      <alignment horizontal="right" vertical="center" wrapText="1"/>
    </xf>
    <xf numFmtId="0" fontId="103" fillId="0" borderId="114" xfId="0" applyFont="1" applyBorder="1" applyAlignment="1">
      <alignment vertical="center"/>
    </xf>
    <xf numFmtId="0" fontId="103" fillId="0" borderId="115" xfId="0" applyFont="1" applyBorder="1" applyAlignment="1">
      <alignment vertical="center"/>
    </xf>
    <xf numFmtId="184" fontId="13" fillId="0" borderId="141" xfId="57493" applyNumberFormat="1" applyFont="1" applyBorder="1" applyAlignment="1">
      <alignment horizontal="right" vertical="center"/>
    </xf>
    <xf numFmtId="184" fontId="13" fillId="0" borderId="23" xfId="57493" applyNumberFormat="1" applyFont="1" applyBorder="1" applyAlignment="1">
      <alignment horizontal="right" vertical="center"/>
    </xf>
    <xf numFmtId="184" fontId="13" fillId="0" borderId="92" xfId="57492" applyNumberFormat="1" applyFont="1" applyBorder="1" applyAlignment="1">
      <alignment horizontal="right" vertical="center"/>
    </xf>
    <xf numFmtId="184" fontId="13" fillId="0" borderId="3" xfId="57492" applyNumberFormat="1" applyFont="1" applyBorder="1" applyAlignment="1">
      <alignment horizontal="right" vertical="center"/>
    </xf>
    <xf numFmtId="184" fontId="13" fillId="0" borderId="8" xfId="57493" applyNumberFormat="1" applyFont="1" applyBorder="1" applyAlignment="1">
      <alignment horizontal="right" vertical="center"/>
    </xf>
    <xf numFmtId="184" fontId="13" fillId="0" borderId="34" xfId="57493" applyNumberFormat="1" applyFont="1" applyBorder="1" applyAlignment="1">
      <alignment horizontal="right" vertical="center"/>
    </xf>
    <xf numFmtId="184" fontId="13" fillId="0" borderId="84" xfId="57492" applyNumberFormat="1" applyFont="1" applyBorder="1" applyAlignment="1">
      <alignment horizontal="right" vertical="center"/>
    </xf>
    <xf numFmtId="184" fontId="13" fillId="0" borderId="31" xfId="57492" applyNumberFormat="1" applyFont="1" applyBorder="1" applyAlignment="1">
      <alignment horizontal="right" vertical="center"/>
    </xf>
    <xf numFmtId="184" fontId="13" fillId="0" borderId="92" xfId="57493" applyNumberFormat="1" applyFont="1" applyBorder="1" applyAlignment="1">
      <alignment horizontal="right" vertical="center"/>
    </xf>
    <xf numFmtId="184" fontId="13" fillId="0" borderId="3" xfId="57493" applyNumberFormat="1" applyFont="1" applyBorder="1" applyAlignment="1">
      <alignment horizontal="right" vertical="center"/>
    </xf>
    <xf numFmtId="184" fontId="13" fillId="0" borderId="18" xfId="57492" applyNumberFormat="1" applyFont="1" applyBorder="1" applyAlignment="1">
      <alignment horizontal="right" vertical="center"/>
    </xf>
    <xf numFmtId="184" fontId="13" fillId="0" borderId="115" xfId="57492" applyNumberFormat="1" applyFont="1" applyBorder="1" applyAlignment="1">
      <alignment horizontal="right" vertical="center"/>
    </xf>
    <xf numFmtId="184" fontId="13" fillId="0" borderId="146" xfId="57492" applyNumberFormat="1" applyFont="1" applyBorder="1" applyAlignment="1">
      <alignment horizontal="right" vertical="center"/>
    </xf>
    <xf numFmtId="184" fontId="13" fillId="0" borderId="29" xfId="57492" applyNumberFormat="1" applyFont="1" applyBorder="1" applyAlignment="1">
      <alignment horizontal="right" vertical="center"/>
    </xf>
    <xf numFmtId="0" fontId="15" fillId="45" borderId="16" xfId="8" applyFont="1" applyFill="1" applyBorder="1" applyAlignment="1">
      <alignment horizontal="center" wrapText="1"/>
    </xf>
    <xf numFmtId="0" fontId="15" fillId="45" borderId="13" xfId="8" applyFont="1" applyFill="1" applyBorder="1" applyAlignment="1">
      <alignment horizontal="center" wrapText="1"/>
    </xf>
    <xf numFmtId="0" fontId="15" fillId="45" borderId="15" xfId="8" applyFont="1" applyFill="1" applyBorder="1" applyAlignment="1">
      <alignment horizontal="center" wrapText="1"/>
    </xf>
    <xf numFmtId="0" fontId="15" fillId="45" borderId="16" xfId="9" applyFont="1" applyFill="1" applyBorder="1" applyAlignment="1">
      <alignment horizontal="center" wrapText="1"/>
    </xf>
    <xf numFmtId="0" fontId="6" fillId="45" borderId="13" xfId="224" applyFill="1" applyBorder="1" applyAlignment="1">
      <alignment horizontal="center" wrapText="1"/>
    </xf>
    <xf numFmtId="0" fontId="6" fillId="45" borderId="15" xfId="224" applyFill="1" applyBorder="1" applyAlignment="1">
      <alignment horizontal="center" wrapText="1"/>
    </xf>
    <xf numFmtId="0" fontId="15" fillId="45" borderId="16" xfId="9" applyFont="1" applyFill="1" applyBorder="1" applyAlignment="1">
      <alignment horizontal="center"/>
    </xf>
    <xf numFmtId="0" fontId="6" fillId="45" borderId="13" xfId="224" applyFill="1" applyBorder="1" applyAlignment="1">
      <alignment horizontal="center"/>
    </xf>
    <xf numFmtId="0" fontId="6" fillId="45" borderId="15" xfId="224" applyFill="1" applyBorder="1" applyAlignment="1">
      <alignment horizontal="center"/>
    </xf>
    <xf numFmtId="0" fontId="6" fillId="45" borderId="14" xfId="224" applyFill="1" applyBorder="1" applyAlignment="1">
      <alignment horizontal="center"/>
    </xf>
    <xf numFmtId="0" fontId="15" fillId="45" borderId="114" xfId="8" applyFont="1" applyFill="1" applyBorder="1" applyAlignment="1">
      <alignment horizontal="center" wrapText="1"/>
    </xf>
    <xf numFmtId="0" fontId="15" fillId="45" borderId="151" xfId="8" applyFont="1" applyFill="1" applyBorder="1" applyAlignment="1">
      <alignment horizontal="center" wrapText="1"/>
    </xf>
    <xf numFmtId="0" fontId="15" fillId="45" borderId="115" xfId="8" applyFont="1" applyFill="1" applyBorder="1" applyAlignment="1">
      <alignment horizontal="center" wrapText="1"/>
    </xf>
    <xf numFmtId="0" fontId="15" fillId="45" borderId="16" xfId="8" applyFont="1" applyFill="1" applyBorder="1" applyAlignment="1">
      <alignment horizontal="center" vertical="center" wrapText="1"/>
    </xf>
    <xf numFmtId="0" fontId="15" fillId="45" borderId="13" xfId="8" applyFont="1" applyFill="1" applyBorder="1" applyAlignment="1">
      <alignment horizontal="center" vertical="center" wrapText="1"/>
    </xf>
    <xf numFmtId="0" fontId="15" fillId="45" borderId="15" xfId="8" applyFont="1" applyFill="1" applyBorder="1" applyAlignment="1">
      <alignment horizontal="center" vertical="center" wrapText="1"/>
    </xf>
    <xf numFmtId="0" fontId="15" fillId="45" borderId="22" xfId="8" applyFont="1" applyFill="1" applyBorder="1" applyAlignment="1">
      <alignment horizontal="center" wrapText="1"/>
    </xf>
    <xf numFmtId="0" fontId="15" fillId="45" borderId="20" xfId="8" applyFont="1" applyFill="1" applyBorder="1" applyAlignment="1">
      <alignment horizontal="center" wrapText="1"/>
    </xf>
    <xf numFmtId="0" fontId="15" fillId="45" borderId="17" xfId="8" applyFont="1" applyFill="1" applyBorder="1" applyAlignment="1">
      <alignment horizontal="center" wrapText="1"/>
    </xf>
    <xf numFmtId="0" fontId="103" fillId="40" borderId="139" xfId="57492" applyFont="1" applyFill="1" applyBorder="1" applyAlignment="1">
      <alignment vertical="center"/>
    </xf>
    <xf numFmtId="0" fontId="104" fillId="0" borderId="16" xfId="57492" applyFont="1" applyBorder="1" applyAlignment="1">
      <alignment vertical="center"/>
    </xf>
    <xf numFmtId="0" fontId="103" fillId="40" borderId="12" xfId="57492" applyFont="1" applyFill="1" applyBorder="1" applyAlignment="1">
      <alignment vertical="center"/>
    </xf>
    <xf numFmtId="0" fontId="104" fillId="0" borderId="12" xfId="57492" applyFont="1" applyBorder="1" applyAlignment="1">
      <alignment vertical="center"/>
    </xf>
    <xf numFmtId="0" fontId="13" fillId="0" borderId="23" xfId="57493" applyFont="1" applyBorder="1" applyAlignment="1">
      <alignment vertical="center"/>
    </xf>
    <xf numFmtId="0" fontId="13" fillId="0" borderId="33" xfId="57493" applyFont="1" applyBorder="1" applyAlignment="1">
      <alignment vertical="center"/>
    </xf>
    <xf numFmtId="0" fontId="13" fillId="0" borderId="34" xfId="57493" applyFont="1" applyBorder="1" applyAlignment="1">
      <alignment vertical="center"/>
    </xf>
    <xf numFmtId="0" fontId="13" fillId="0" borderId="32" xfId="57493" applyFont="1" applyBorder="1" applyAlignment="1">
      <alignment vertical="center"/>
    </xf>
    <xf numFmtId="0" fontId="13" fillId="0" borderId="31" xfId="57493" applyFont="1" applyBorder="1" applyAlignment="1">
      <alignment vertical="center"/>
    </xf>
    <xf numFmtId="0" fontId="13" fillId="0" borderId="3" xfId="57493" applyFont="1" applyBorder="1" applyAlignment="1">
      <alignment vertical="center"/>
    </xf>
    <xf numFmtId="0" fontId="13" fillId="0" borderId="114" xfId="57493" applyFont="1" applyBorder="1" applyAlignment="1">
      <alignment vertical="center"/>
    </xf>
    <xf numFmtId="0" fontId="13" fillId="0" borderId="115" xfId="57493" applyFont="1" applyBorder="1" applyAlignment="1">
      <alignment vertical="center"/>
    </xf>
    <xf numFmtId="0" fontId="13" fillId="0" borderId="22" xfId="57493" applyFont="1" applyBorder="1" applyAlignment="1">
      <alignment vertical="center"/>
    </xf>
    <xf numFmtId="0" fontId="13" fillId="0" borderId="17" xfId="57493" applyFont="1" applyBorder="1" applyAlignment="1">
      <alignment vertical="center"/>
    </xf>
  </cellXfs>
  <cellStyles count="57494">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52CDE9FA-6497-4954-807F-9BED9B90CC02}"/>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78C078AD-8635-45B4-8EA4-55E746A05F38}"/>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1" xr:uid="{47B694C5-D410-47E3-9BEB-4270D284012C}"/>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B11456B2-9501-4F1A-A8B6-6CDD13C2883A}"/>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FFFFCC"/>
      <color rgb="FF0000FF"/>
      <color rgb="FFFF6600"/>
      <color rgb="FF339966"/>
      <color rgb="FF0033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image" Target="../media/image2.png"/><Relationship Id="rId6" Type="http://schemas.openxmlformats.org/officeDocument/2006/relationships/image" Target="../media/image5.png"/><Relationship Id="rId5" Type="http://schemas.openxmlformats.org/officeDocument/2006/relationships/image" Target="../media/image7.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88" name="図 87">
          <a:extLst>
            <a:ext uri="{FF2B5EF4-FFF2-40B4-BE49-F238E27FC236}">
              <a16:creationId xmlns:a16="http://schemas.microsoft.com/office/drawing/2014/main" id="{0EAEFA0C-7B9A-4D06-BCAA-140CAD00E9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30</xdr:col>
      <xdr:colOff>6928</xdr:colOff>
      <xdr:row>17</xdr:row>
      <xdr:rowOff>123825</xdr:rowOff>
    </xdr:to>
    <xdr:pic>
      <xdr:nvPicPr>
        <xdr:cNvPr id="89" name="図 88">
          <a:extLst>
            <a:ext uri="{FF2B5EF4-FFF2-40B4-BE49-F238E27FC236}">
              <a16:creationId xmlns:a16="http://schemas.microsoft.com/office/drawing/2014/main" id="{9C33F30F-4AC0-4EE0-A7DA-63487C6D1C2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4178"/>
        <a:stretch/>
      </xdr:blipFill>
      <xdr:spPr bwMode="auto">
        <a:xfrm>
          <a:off x="3781425" y="2381251"/>
          <a:ext cx="1102303"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67408</xdr:colOff>
      <xdr:row>20</xdr:row>
      <xdr:rowOff>19050</xdr:rowOff>
    </xdr:from>
    <xdr:to>
      <xdr:col>79</xdr:col>
      <xdr:colOff>1465</xdr:colOff>
      <xdr:row>49</xdr:row>
      <xdr:rowOff>123825</xdr:rowOff>
    </xdr:to>
    <xdr:sp macro="" textlink="">
      <xdr:nvSpPr>
        <xdr:cNvPr id="4" name="右中かっこ 3">
          <a:extLst>
            <a:ext uri="{FF2B5EF4-FFF2-40B4-BE49-F238E27FC236}">
              <a16:creationId xmlns:a16="http://schemas.microsoft.com/office/drawing/2014/main" id="{7F8CFCA1-F51A-45AC-984D-BF9F30D428CD}"/>
            </a:ext>
          </a:extLst>
        </xdr:cNvPr>
        <xdr:cNvSpPr/>
      </xdr:nvSpPr>
      <xdr:spPr bwMode="auto">
        <a:xfrm>
          <a:off x="12354658" y="3648075"/>
          <a:ext cx="448407" cy="46767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76</xdr:col>
      <xdr:colOff>29308</xdr:colOff>
      <xdr:row>50</xdr:row>
      <xdr:rowOff>2932</xdr:rowOff>
    </xdr:from>
    <xdr:to>
      <xdr:col>78</xdr:col>
      <xdr:colOff>134815</xdr:colOff>
      <xdr:row>65</xdr:row>
      <xdr:rowOff>0</xdr:rowOff>
    </xdr:to>
    <xdr:sp macro="" textlink="">
      <xdr:nvSpPr>
        <xdr:cNvPr id="200" name="右中かっこ 199">
          <a:extLst>
            <a:ext uri="{FF2B5EF4-FFF2-40B4-BE49-F238E27FC236}">
              <a16:creationId xmlns:a16="http://schemas.microsoft.com/office/drawing/2014/main" id="{75E5DF5A-A9D3-4B98-94A1-4CA1A8B246AB}"/>
            </a:ext>
          </a:extLst>
        </xdr:cNvPr>
        <xdr:cNvSpPr/>
      </xdr:nvSpPr>
      <xdr:spPr bwMode="auto">
        <a:xfrm>
          <a:off x="12316558" y="8203957"/>
          <a:ext cx="448407" cy="21306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79</xdr:col>
      <xdr:colOff>71157</xdr:colOff>
      <xdr:row>26</xdr:row>
      <xdr:rowOff>89647</xdr:rowOff>
    </xdr:from>
    <xdr:ext cx="648000" cy="190565"/>
    <xdr:sp macro="" textlink="">
      <xdr:nvSpPr>
        <xdr:cNvPr id="201" name="正方形/長方形 200">
          <a:extLst>
            <a:ext uri="{FF2B5EF4-FFF2-40B4-BE49-F238E27FC236}">
              <a16:creationId xmlns:a16="http://schemas.microsoft.com/office/drawing/2014/main" id="{27A92346-85C9-4D40-B56F-B87442BFEF6A}"/>
            </a:ext>
          </a:extLst>
        </xdr:cNvPr>
        <xdr:cNvSpPr/>
      </xdr:nvSpPr>
      <xdr:spPr bwMode="auto">
        <a:xfrm>
          <a:off x="12677775" y="4280647"/>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79</xdr:col>
      <xdr:colOff>104775</xdr:colOff>
      <xdr:row>51</xdr:row>
      <xdr:rowOff>141408</xdr:rowOff>
    </xdr:from>
    <xdr:ext cx="1736482" cy="381130"/>
    <xdr:sp macro="" textlink="">
      <xdr:nvSpPr>
        <xdr:cNvPr id="203" name="正方形/長方形 202">
          <a:extLst>
            <a:ext uri="{FF2B5EF4-FFF2-40B4-BE49-F238E27FC236}">
              <a16:creationId xmlns:a16="http://schemas.microsoft.com/office/drawing/2014/main" id="{DC68E245-9BAD-404E-9E51-96ECD8EA338F}"/>
            </a:ext>
          </a:extLst>
        </xdr:cNvPr>
        <xdr:cNvSpPr/>
      </xdr:nvSpPr>
      <xdr:spPr bwMode="auto">
        <a:xfrm>
          <a:off x="12906375" y="864723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twoCellAnchor editAs="oneCell">
    <xdr:from>
      <xdr:col>2</xdr:col>
      <xdr:colOff>0</xdr:colOff>
      <xdr:row>85</xdr:row>
      <xdr:rowOff>0</xdr:rowOff>
    </xdr:from>
    <xdr:to>
      <xdr:col>26</xdr:col>
      <xdr:colOff>112238</xdr:colOff>
      <xdr:row>122</xdr:row>
      <xdr:rowOff>74336</xdr:rowOff>
    </xdr:to>
    <xdr:pic>
      <xdr:nvPicPr>
        <xdr:cNvPr id="70" name="図 69">
          <a:extLst>
            <a:ext uri="{FF2B5EF4-FFF2-40B4-BE49-F238E27FC236}">
              <a16:creationId xmlns:a16="http://schemas.microsoft.com/office/drawing/2014/main" id="{8F68C5D2-320A-4BC6-8093-4DD17ECFA697}"/>
            </a:ext>
          </a:extLst>
        </xdr:cNvPr>
        <xdr:cNvPicPr>
          <a:picLocks noChangeAspect="1"/>
        </xdr:cNvPicPr>
      </xdr:nvPicPr>
      <xdr:blipFill rotWithShape="1">
        <a:blip xmlns:r="http://schemas.openxmlformats.org/officeDocument/2006/relationships" r:embed="rId5"/>
        <a:srcRect l="8925" t="11575" r="4789" b="5297"/>
        <a:stretch/>
      </xdr:blipFill>
      <xdr:spPr>
        <a:xfrm>
          <a:off x="331304" y="11463130"/>
          <a:ext cx="4104456" cy="5590553"/>
        </a:xfrm>
        <a:prstGeom prst="rect">
          <a:avLst/>
        </a:prstGeom>
        <a:ln>
          <a:solidFill>
            <a:schemeClr val="tx1">
              <a:lumMod val="50000"/>
              <a:lumOff val="50000"/>
            </a:schemeClr>
          </a:solidFill>
        </a:ln>
      </xdr:spPr>
    </xdr:pic>
    <xdr:clientData/>
  </xdr:twoCellAnchor>
  <xdr:twoCellAnchor editAs="oneCell">
    <xdr:from>
      <xdr:col>2</xdr:col>
      <xdr:colOff>152400</xdr:colOff>
      <xdr:row>86</xdr:row>
      <xdr:rowOff>3313</xdr:rowOff>
    </xdr:from>
    <xdr:to>
      <xdr:col>27</xdr:col>
      <xdr:colOff>98986</xdr:colOff>
      <xdr:row>123</xdr:row>
      <xdr:rowOff>77649</xdr:rowOff>
    </xdr:to>
    <xdr:pic>
      <xdr:nvPicPr>
        <xdr:cNvPr id="71" name="図 70">
          <a:extLst>
            <a:ext uri="{FF2B5EF4-FFF2-40B4-BE49-F238E27FC236}">
              <a16:creationId xmlns:a16="http://schemas.microsoft.com/office/drawing/2014/main" id="{F638F911-AE05-41FB-8E43-C9A7635DD220}"/>
            </a:ext>
          </a:extLst>
        </xdr:cNvPr>
        <xdr:cNvPicPr>
          <a:picLocks noChangeAspect="1"/>
        </xdr:cNvPicPr>
      </xdr:nvPicPr>
      <xdr:blipFill rotWithShape="1">
        <a:blip xmlns:r="http://schemas.openxmlformats.org/officeDocument/2006/relationships" r:embed="rId5"/>
        <a:srcRect l="8925" t="11575" r="4789" b="5297"/>
        <a:stretch/>
      </xdr:blipFill>
      <xdr:spPr>
        <a:xfrm>
          <a:off x="483704" y="11615530"/>
          <a:ext cx="4104456" cy="5590553"/>
        </a:xfrm>
        <a:prstGeom prst="rect">
          <a:avLst/>
        </a:prstGeom>
        <a:ln>
          <a:solidFill>
            <a:schemeClr val="tx1">
              <a:lumMod val="50000"/>
              <a:lumOff val="50000"/>
            </a:schemeClr>
          </a:solidFill>
        </a:ln>
      </xdr:spPr>
    </xdr:pic>
    <xdr:clientData/>
  </xdr:twoCellAnchor>
  <xdr:twoCellAnchor editAs="oneCell">
    <xdr:from>
      <xdr:col>3</xdr:col>
      <xdr:colOff>122582</xdr:colOff>
      <xdr:row>87</xdr:row>
      <xdr:rowOff>6626</xdr:rowOff>
    </xdr:from>
    <xdr:to>
      <xdr:col>28</xdr:col>
      <xdr:colOff>85734</xdr:colOff>
      <xdr:row>124</xdr:row>
      <xdr:rowOff>80963</xdr:rowOff>
    </xdr:to>
    <xdr:pic>
      <xdr:nvPicPr>
        <xdr:cNvPr id="72" name="図 71">
          <a:extLst>
            <a:ext uri="{FF2B5EF4-FFF2-40B4-BE49-F238E27FC236}">
              <a16:creationId xmlns:a16="http://schemas.microsoft.com/office/drawing/2014/main" id="{6FCE0E7B-B7B9-4DB6-A45D-DA6C5C1F50DD}"/>
            </a:ext>
          </a:extLst>
        </xdr:cNvPr>
        <xdr:cNvPicPr>
          <a:picLocks noChangeAspect="1"/>
        </xdr:cNvPicPr>
      </xdr:nvPicPr>
      <xdr:blipFill rotWithShape="1">
        <a:blip xmlns:r="http://schemas.openxmlformats.org/officeDocument/2006/relationships" r:embed="rId5"/>
        <a:srcRect l="8925" t="11575" r="4789" b="5297"/>
        <a:stretch/>
      </xdr:blipFill>
      <xdr:spPr>
        <a:xfrm>
          <a:off x="636104" y="11767930"/>
          <a:ext cx="4104456" cy="5590553"/>
        </a:xfrm>
        <a:prstGeom prst="rect">
          <a:avLst/>
        </a:prstGeom>
        <a:ln>
          <a:solidFill>
            <a:schemeClr val="tx1">
              <a:lumMod val="50000"/>
              <a:lumOff val="50000"/>
            </a:schemeClr>
          </a:solidFill>
        </a:ln>
      </xdr:spPr>
    </xdr:pic>
    <xdr:clientData/>
  </xdr:twoCellAnchor>
  <xdr:twoCellAnchor editAs="oneCell">
    <xdr:from>
      <xdr:col>4</xdr:col>
      <xdr:colOff>109330</xdr:colOff>
      <xdr:row>88</xdr:row>
      <xdr:rowOff>9939</xdr:rowOff>
    </xdr:from>
    <xdr:to>
      <xdr:col>29</xdr:col>
      <xdr:colOff>72482</xdr:colOff>
      <xdr:row>125</xdr:row>
      <xdr:rowOff>84275</xdr:rowOff>
    </xdr:to>
    <xdr:pic>
      <xdr:nvPicPr>
        <xdr:cNvPr id="73" name="図 72">
          <a:extLst>
            <a:ext uri="{FF2B5EF4-FFF2-40B4-BE49-F238E27FC236}">
              <a16:creationId xmlns:a16="http://schemas.microsoft.com/office/drawing/2014/main" id="{58964DD2-6BFC-4990-BAD4-615C60666F20}"/>
            </a:ext>
          </a:extLst>
        </xdr:cNvPr>
        <xdr:cNvPicPr>
          <a:picLocks noChangeAspect="1"/>
        </xdr:cNvPicPr>
      </xdr:nvPicPr>
      <xdr:blipFill rotWithShape="1">
        <a:blip xmlns:r="http://schemas.openxmlformats.org/officeDocument/2006/relationships" r:embed="rId5"/>
        <a:srcRect l="8925" t="11575" r="4789" b="5297"/>
        <a:stretch/>
      </xdr:blipFill>
      <xdr:spPr>
        <a:xfrm>
          <a:off x="788504" y="11920330"/>
          <a:ext cx="4104456" cy="5590553"/>
        </a:xfrm>
        <a:prstGeom prst="rect">
          <a:avLst/>
        </a:prstGeom>
        <a:ln>
          <a:solidFill>
            <a:schemeClr val="tx1">
              <a:lumMod val="50000"/>
              <a:lumOff val="50000"/>
            </a:schemeClr>
          </a:solidFill>
        </a:ln>
      </xdr:spPr>
    </xdr:pic>
    <xdr:clientData/>
  </xdr:twoCellAnchor>
  <xdr:twoCellAnchor editAs="oneCell">
    <xdr:from>
      <xdr:col>5</xdr:col>
      <xdr:colOff>96078</xdr:colOff>
      <xdr:row>89</xdr:row>
      <xdr:rowOff>13252</xdr:rowOff>
    </xdr:from>
    <xdr:to>
      <xdr:col>30</xdr:col>
      <xdr:colOff>59230</xdr:colOff>
      <xdr:row>126</xdr:row>
      <xdr:rowOff>87588</xdr:rowOff>
    </xdr:to>
    <xdr:pic>
      <xdr:nvPicPr>
        <xdr:cNvPr id="74" name="図 73">
          <a:extLst>
            <a:ext uri="{FF2B5EF4-FFF2-40B4-BE49-F238E27FC236}">
              <a16:creationId xmlns:a16="http://schemas.microsoft.com/office/drawing/2014/main" id="{F3431B28-96F2-433A-A8EC-16D137C66BF5}"/>
            </a:ext>
          </a:extLst>
        </xdr:cNvPr>
        <xdr:cNvPicPr>
          <a:picLocks noChangeAspect="1"/>
        </xdr:cNvPicPr>
      </xdr:nvPicPr>
      <xdr:blipFill rotWithShape="1">
        <a:blip xmlns:r="http://schemas.openxmlformats.org/officeDocument/2006/relationships" r:embed="rId5"/>
        <a:srcRect l="8925" t="11575" r="4789" b="5297"/>
        <a:stretch/>
      </xdr:blipFill>
      <xdr:spPr>
        <a:xfrm>
          <a:off x="940904" y="12072730"/>
          <a:ext cx="4104456" cy="5590553"/>
        </a:xfrm>
        <a:prstGeom prst="rect">
          <a:avLst/>
        </a:prstGeom>
        <a:ln>
          <a:solidFill>
            <a:schemeClr val="tx1">
              <a:lumMod val="50000"/>
              <a:lumOff val="50000"/>
            </a:schemeClr>
          </a:solidFill>
        </a:ln>
      </xdr:spPr>
    </xdr:pic>
    <xdr:clientData/>
  </xdr:twoCellAnchor>
  <xdr:oneCellAnchor>
    <xdr:from>
      <xdr:col>38</xdr:col>
      <xdr:colOff>9938</xdr:colOff>
      <xdr:row>18</xdr:row>
      <xdr:rowOff>4555</xdr:rowOff>
    </xdr:from>
    <xdr:ext cx="2076037" cy="587652"/>
    <xdr:sp macro="" textlink="">
      <xdr:nvSpPr>
        <xdr:cNvPr id="91" name="吹き出し: 四角形 90">
          <a:extLst>
            <a:ext uri="{FF2B5EF4-FFF2-40B4-BE49-F238E27FC236}">
              <a16:creationId xmlns:a16="http://schemas.microsoft.com/office/drawing/2014/main" id="{3E72A655-7357-4634-8971-0A90EDA71FE7}"/>
            </a:ext>
          </a:extLst>
        </xdr:cNvPr>
        <xdr:cNvSpPr/>
      </xdr:nvSpPr>
      <xdr:spPr>
        <a:xfrm>
          <a:off x="6182138" y="2871580"/>
          <a:ext cx="2076037" cy="587652"/>
        </a:xfrm>
        <a:prstGeom prst="wedgeRectCallout">
          <a:avLst>
            <a:gd name="adj1" fmla="val -42232"/>
            <a:gd name="adj2" fmla="val 71301"/>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初期値はログイン担当者</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55</xdr:col>
      <xdr:colOff>13666</xdr:colOff>
      <xdr:row>8</xdr:row>
      <xdr:rowOff>42655</xdr:rowOff>
    </xdr:from>
    <xdr:ext cx="4182718" cy="930951"/>
    <xdr:sp macro="" textlink="">
      <xdr:nvSpPr>
        <xdr:cNvPr id="100" name="テキスト ボックス 99">
          <a:extLst>
            <a:ext uri="{FF2B5EF4-FFF2-40B4-BE49-F238E27FC236}">
              <a16:creationId xmlns:a16="http://schemas.microsoft.com/office/drawing/2014/main" id="{7ACEA0F8-53C0-46BE-B73B-966CCFD1F0AA}"/>
            </a:ext>
          </a:extLst>
        </xdr:cNvPr>
        <xdr:cNvSpPr txBox="1"/>
      </xdr:nvSpPr>
      <xdr:spPr>
        <a:xfrm>
          <a:off x="8938591" y="1385680"/>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②見積作成日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2</xdr:col>
      <xdr:colOff>91108</xdr:colOff>
      <xdr:row>81</xdr:row>
      <xdr:rowOff>132522</xdr:rowOff>
    </xdr:from>
    <xdr:to>
      <xdr:col>7</xdr:col>
      <xdr:colOff>99391</xdr:colOff>
      <xdr:row>84</xdr:row>
      <xdr:rowOff>24848</xdr:rowOff>
    </xdr:to>
    <xdr:sp macro="" textlink="">
      <xdr:nvSpPr>
        <xdr:cNvPr id="103" name="正方形/長方形 102">
          <a:extLst>
            <a:ext uri="{FF2B5EF4-FFF2-40B4-BE49-F238E27FC236}">
              <a16:creationId xmlns:a16="http://schemas.microsoft.com/office/drawing/2014/main" id="{EDC9E5F5-AF13-4152-B078-6891ED6BD5E5}"/>
            </a:ext>
          </a:extLst>
        </xdr:cNvPr>
        <xdr:cNvSpPr/>
      </xdr:nvSpPr>
      <xdr:spPr bwMode="auto">
        <a:xfrm>
          <a:off x="3420717" y="11446565"/>
          <a:ext cx="836544" cy="339587"/>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46</xdr:col>
      <xdr:colOff>24849</xdr:colOff>
      <xdr:row>10</xdr:row>
      <xdr:rowOff>0</xdr:rowOff>
    </xdr:from>
    <xdr:ext cx="121422" cy="146538"/>
    <xdr:pic>
      <xdr:nvPicPr>
        <xdr:cNvPr id="95" name="図 94">
          <a:extLst>
            <a:ext uri="{FF2B5EF4-FFF2-40B4-BE49-F238E27FC236}">
              <a16:creationId xmlns:a16="http://schemas.microsoft.com/office/drawing/2014/main" id="{D18C226D-8974-4C7A-976E-2874CCF85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38100</xdr:colOff>
      <xdr:row>28</xdr:row>
      <xdr:rowOff>9525</xdr:rowOff>
    </xdr:from>
    <xdr:ext cx="121422" cy="146538"/>
    <xdr:pic>
      <xdr:nvPicPr>
        <xdr:cNvPr id="119" name="図 118">
          <a:extLst>
            <a:ext uri="{FF2B5EF4-FFF2-40B4-BE49-F238E27FC236}">
              <a16:creationId xmlns:a16="http://schemas.microsoft.com/office/drawing/2014/main" id="{2816D2A8-4283-4E1C-8D46-4E43C9DA5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6450"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38100</xdr:colOff>
      <xdr:row>28</xdr:row>
      <xdr:rowOff>9525</xdr:rowOff>
    </xdr:from>
    <xdr:ext cx="121422" cy="146538"/>
    <xdr:pic>
      <xdr:nvPicPr>
        <xdr:cNvPr id="120" name="図 119">
          <a:extLst>
            <a:ext uri="{FF2B5EF4-FFF2-40B4-BE49-F238E27FC236}">
              <a16:creationId xmlns:a16="http://schemas.microsoft.com/office/drawing/2014/main" id="{96EF9C55-CF4D-4B8B-8BE2-896AAFD69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28</xdr:row>
      <xdr:rowOff>9525</xdr:rowOff>
    </xdr:from>
    <xdr:ext cx="121422" cy="146538"/>
    <xdr:pic>
      <xdr:nvPicPr>
        <xdr:cNvPr id="122" name="図 121">
          <a:extLst>
            <a:ext uri="{FF2B5EF4-FFF2-40B4-BE49-F238E27FC236}">
              <a16:creationId xmlns:a16="http://schemas.microsoft.com/office/drawing/2014/main" id="{E87A034F-7F32-4245-A1F8-FD66E160F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34575" y="54197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39</xdr:row>
      <xdr:rowOff>0</xdr:rowOff>
    </xdr:from>
    <xdr:ext cx="121422" cy="146538"/>
    <xdr:pic>
      <xdr:nvPicPr>
        <xdr:cNvPr id="141" name="図 140">
          <a:extLst>
            <a:ext uri="{FF2B5EF4-FFF2-40B4-BE49-F238E27FC236}">
              <a16:creationId xmlns:a16="http://schemas.microsoft.com/office/drawing/2014/main" id="{41F8339D-2E65-48C1-BAA9-7687D8619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723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39</xdr:row>
      <xdr:rowOff>0</xdr:rowOff>
    </xdr:from>
    <xdr:ext cx="121422" cy="146538"/>
    <xdr:pic>
      <xdr:nvPicPr>
        <xdr:cNvPr id="142" name="図 141">
          <a:extLst>
            <a:ext uri="{FF2B5EF4-FFF2-40B4-BE49-F238E27FC236}">
              <a16:creationId xmlns:a16="http://schemas.microsoft.com/office/drawing/2014/main" id="{12C264AB-2290-4C82-AC6F-C0361F70CC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72390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39</xdr:row>
      <xdr:rowOff>7327</xdr:rowOff>
    </xdr:from>
    <xdr:ext cx="121422" cy="146538"/>
    <xdr:pic>
      <xdr:nvPicPr>
        <xdr:cNvPr id="144" name="図 143">
          <a:extLst>
            <a:ext uri="{FF2B5EF4-FFF2-40B4-BE49-F238E27FC236}">
              <a16:creationId xmlns:a16="http://schemas.microsoft.com/office/drawing/2014/main" id="{6757DB9D-A7BD-4428-86A3-16447C914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8408" y="724632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65</xdr:row>
      <xdr:rowOff>38100</xdr:rowOff>
    </xdr:from>
    <xdr:to>
      <xdr:col>7</xdr:col>
      <xdr:colOff>65432</xdr:colOff>
      <xdr:row>66</xdr:row>
      <xdr:rowOff>119940</xdr:rowOff>
    </xdr:to>
    <xdr:sp macro="" textlink="">
      <xdr:nvSpPr>
        <xdr:cNvPr id="149" name="フローチャート: 代替処理 148">
          <a:extLst>
            <a:ext uri="{FF2B5EF4-FFF2-40B4-BE49-F238E27FC236}">
              <a16:creationId xmlns:a16="http://schemas.microsoft.com/office/drawing/2014/main" id="{205FE3D6-23D8-4048-882A-6EB43DF31018}"/>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56</xdr:col>
      <xdr:colOff>140114</xdr:colOff>
      <xdr:row>65</xdr:row>
      <xdr:rowOff>38100</xdr:rowOff>
    </xdr:from>
    <xdr:to>
      <xdr:col>61</xdr:col>
      <xdr:colOff>22086</xdr:colOff>
      <xdr:row>66</xdr:row>
      <xdr:rowOff>119940</xdr:rowOff>
    </xdr:to>
    <xdr:sp macro="" textlink="">
      <xdr:nvSpPr>
        <xdr:cNvPr id="150" name="フローチャート: 代替処理 149">
          <a:extLst>
            <a:ext uri="{FF2B5EF4-FFF2-40B4-BE49-F238E27FC236}">
              <a16:creationId xmlns:a16="http://schemas.microsoft.com/office/drawing/2014/main" id="{AEF82021-D89E-4190-806C-6F6EEE40A75C}"/>
            </a:ext>
          </a:extLst>
        </xdr:cNvPr>
        <xdr:cNvSpPr/>
      </xdr:nvSpPr>
      <xdr:spPr bwMode="auto">
        <a:xfrm>
          <a:off x="9433201" y="10457622"/>
          <a:ext cx="710233" cy="230927"/>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49</xdr:col>
      <xdr:colOff>19051</xdr:colOff>
      <xdr:row>65</xdr:row>
      <xdr:rowOff>38100</xdr:rowOff>
    </xdr:from>
    <xdr:to>
      <xdr:col>55</xdr:col>
      <xdr:colOff>152677</xdr:colOff>
      <xdr:row>66</xdr:row>
      <xdr:rowOff>119940</xdr:rowOff>
    </xdr:to>
    <xdr:sp macro="" textlink="">
      <xdr:nvSpPr>
        <xdr:cNvPr id="151" name="フローチャート: 代替処理 150">
          <a:extLst>
            <a:ext uri="{FF2B5EF4-FFF2-40B4-BE49-F238E27FC236}">
              <a16:creationId xmlns:a16="http://schemas.microsoft.com/office/drawing/2014/main" id="{85DCCC5D-8314-488B-8CAB-C682D520AAD0}"/>
            </a:ext>
          </a:extLst>
        </xdr:cNvPr>
        <xdr:cNvSpPr/>
      </xdr:nvSpPr>
      <xdr:spPr bwMode="auto">
        <a:xfrm>
          <a:off x="7972426" y="10677525"/>
          <a:ext cx="1105176"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 発行</a:t>
          </a:r>
        </a:p>
      </xdr:txBody>
    </xdr:sp>
    <xdr:clientData/>
  </xdr:twoCellAnchor>
  <xdr:twoCellAnchor>
    <xdr:from>
      <xdr:col>44</xdr:col>
      <xdr:colOff>6628</xdr:colOff>
      <xdr:row>65</xdr:row>
      <xdr:rowOff>38100</xdr:rowOff>
    </xdr:from>
    <xdr:to>
      <xdr:col>48</xdr:col>
      <xdr:colOff>50524</xdr:colOff>
      <xdr:row>66</xdr:row>
      <xdr:rowOff>119940</xdr:rowOff>
    </xdr:to>
    <xdr:sp macro="" textlink="">
      <xdr:nvSpPr>
        <xdr:cNvPr id="157" name="フローチャート: 代替処理 156">
          <a:extLst>
            <a:ext uri="{FF2B5EF4-FFF2-40B4-BE49-F238E27FC236}">
              <a16:creationId xmlns:a16="http://schemas.microsoft.com/office/drawing/2014/main" id="{7C2AF66A-0159-42C2-B8D5-D8A01CBCF277}"/>
            </a:ext>
          </a:extLst>
        </xdr:cNvPr>
        <xdr:cNvSpPr/>
      </xdr:nvSpPr>
      <xdr:spPr bwMode="auto">
        <a:xfrm>
          <a:off x="7150378" y="10677525"/>
          <a:ext cx="691596"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65</xdr:row>
      <xdr:rowOff>38100</xdr:rowOff>
    </xdr:from>
    <xdr:to>
      <xdr:col>66</xdr:col>
      <xdr:colOff>66674</xdr:colOff>
      <xdr:row>66</xdr:row>
      <xdr:rowOff>119940</xdr:rowOff>
    </xdr:to>
    <xdr:sp macro="" textlink="">
      <xdr:nvSpPr>
        <xdr:cNvPr id="158" name="フローチャート: 代替処理 157">
          <a:extLst>
            <a:ext uri="{FF2B5EF4-FFF2-40B4-BE49-F238E27FC236}">
              <a16:creationId xmlns:a16="http://schemas.microsoft.com/office/drawing/2014/main" id="{EEE2C7F6-485F-4A22-A13E-E47BAF1EA89F}"/>
            </a:ext>
          </a:extLst>
        </xdr:cNvPr>
        <xdr:cNvSpPr/>
      </xdr:nvSpPr>
      <xdr:spPr bwMode="auto">
        <a:xfrm>
          <a:off x="10067925" y="103727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65</xdr:row>
      <xdr:rowOff>38100</xdr:rowOff>
    </xdr:from>
    <xdr:to>
      <xdr:col>12</xdr:col>
      <xdr:colOff>132107</xdr:colOff>
      <xdr:row>66</xdr:row>
      <xdr:rowOff>119940</xdr:rowOff>
    </xdr:to>
    <xdr:sp macro="" textlink="">
      <xdr:nvSpPr>
        <xdr:cNvPr id="172" name="フローチャート: 代替処理 171">
          <a:extLst>
            <a:ext uri="{FF2B5EF4-FFF2-40B4-BE49-F238E27FC236}">
              <a16:creationId xmlns:a16="http://schemas.microsoft.com/office/drawing/2014/main" id="{C8CFE21D-DEE9-4EC2-87B9-DFBB2B4CBEBD}"/>
            </a:ext>
          </a:extLst>
        </xdr:cNvPr>
        <xdr:cNvSpPr/>
      </xdr:nvSpPr>
      <xdr:spPr bwMode="auto">
        <a:xfrm>
          <a:off x="1398933" y="100679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editAs="oneCell">
    <xdr:from>
      <xdr:col>69</xdr:col>
      <xdr:colOff>19051</xdr:colOff>
      <xdr:row>63</xdr:row>
      <xdr:rowOff>76200</xdr:rowOff>
    </xdr:from>
    <xdr:to>
      <xdr:col>70</xdr:col>
      <xdr:colOff>167641</xdr:colOff>
      <xdr:row>64</xdr:row>
      <xdr:rowOff>123825</xdr:rowOff>
    </xdr:to>
    <xdr:pic>
      <xdr:nvPicPr>
        <xdr:cNvPr id="3" name="図 2">
          <a:extLst>
            <a:ext uri="{FF2B5EF4-FFF2-40B4-BE49-F238E27FC236}">
              <a16:creationId xmlns:a16="http://schemas.microsoft.com/office/drawing/2014/main" id="{E6776E24-71AB-4F86-B1D9-A47E55B8901E}"/>
            </a:ext>
          </a:extLst>
        </xdr:cNvPr>
        <xdr:cNvPicPr>
          <a:picLocks noChangeAspect="1"/>
        </xdr:cNvPicPr>
      </xdr:nvPicPr>
      <xdr:blipFill>
        <a:blip xmlns:r="http://schemas.openxmlformats.org/officeDocument/2006/relationships" r:embed="rId6"/>
        <a:stretch>
          <a:fillRect/>
        </a:stretch>
      </xdr:blipFill>
      <xdr:spPr>
        <a:xfrm>
          <a:off x="11277601" y="10106025"/>
          <a:ext cx="320040" cy="200025"/>
        </a:xfrm>
        <a:prstGeom prst="rect">
          <a:avLst/>
        </a:prstGeom>
      </xdr:spPr>
    </xdr:pic>
    <xdr:clientData/>
  </xdr:twoCellAnchor>
  <xdr:twoCellAnchor>
    <xdr:from>
      <xdr:col>2</xdr:col>
      <xdr:colOff>142875</xdr:colOff>
      <xdr:row>82</xdr:row>
      <xdr:rowOff>38100</xdr:rowOff>
    </xdr:from>
    <xdr:to>
      <xdr:col>7</xdr:col>
      <xdr:colOff>9524</xdr:colOff>
      <xdr:row>83</xdr:row>
      <xdr:rowOff>119940</xdr:rowOff>
    </xdr:to>
    <xdr:sp macro="" textlink="">
      <xdr:nvSpPr>
        <xdr:cNvPr id="175" name="フローチャート: 代替処理 174">
          <a:extLst>
            <a:ext uri="{FF2B5EF4-FFF2-40B4-BE49-F238E27FC236}">
              <a16:creationId xmlns:a16="http://schemas.microsoft.com/office/drawing/2014/main" id="{05E42ED8-77C9-42E4-8072-3E79F93AE12D}"/>
            </a:ext>
          </a:extLst>
        </xdr:cNvPr>
        <xdr:cNvSpPr/>
      </xdr:nvSpPr>
      <xdr:spPr bwMode="auto">
        <a:xfrm>
          <a:off x="466725" y="118967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oneCellAnchor>
    <xdr:from>
      <xdr:col>80</xdr:col>
      <xdr:colOff>9525</xdr:colOff>
      <xdr:row>44</xdr:row>
      <xdr:rowOff>0</xdr:rowOff>
    </xdr:from>
    <xdr:ext cx="3033347" cy="1274251"/>
    <xdr:sp macro="" textlink="">
      <xdr:nvSpPr>
        <xdr:cNvPr id="55" name="テキスト ボックス 54">
          <a:extLst>
            <a:ext uri="{FF2B5EF4-FFF2-40B4-BE49-F238E27FC236}">
              <a16:creationId xmlns:a16="http://schemas.microsoft.com/office/drawing/2014/main" id="{BF25A7D4-E102-44EB-A520-0E107787D1E7}"/>
            </a:ext>
          </a:extLst>
        </xdr:cNvPr>
        <xdr:cNvSpPr txBox="1"/>
      </xdr:nvSpPr>
      <xdr:spPr>
        <a:xfrm>
          <a:off x="12784231" y="7014882"/>
          <a:ext cx="3033347" cy="127425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≪処理手順≫</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１．抽出条件を入力</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２．表示ボタンをクリック</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３．データが一覧表示される。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　</a:t>
          </a:r>
          <a:r>
            <a:rPr kumimoji="1" lang="en-US" altLang="ja-JP" sz="800" b="1">
              <a:latin typeface="游ゴシック" panose="020B0400000000000000" pitchFamily="50" charset="-128"/>
              <a:ea typeface="游ゴシック" panose="020B0400000000000000" pitchFamily="50" charset="-128"/>
            </a:rPr>
            <a:t>3-1</a:t>
          </a:r>
          <a:r>
            <a:rPr kumimoji="1" lang="en-US" altLang="ja-JP" sz="800" b="1" baseline="0">
              <a:latin typeface="游ゴシック" panose="020B0400000000000000" pitchFamily="50" charset="-128"/>
              <a:ea typeface="游ゴシック" panose="020B0400000000000000" pitchFamily="50" charset="-128"/>
            </a:rPr>
            <a:t>.</a:t>
          </a:r>
          <a:r>
            <a:rPr kumimoji="1" lang="ja-JP" altLang="en-US" sz="800" b="1" baseline="0">
              <a:latin typeface="游ゴシック" panose="020B0400000000000000" pitchFamily="50" charset="-128"/>
              <a:ea typeface="游ゴシック" panose="020B0400000000000000" pitchFamily="50" charset="-128"/>
            </a:rPr>
            <a:t>見積計算詳細画面に遷移</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3-2.</a:t>
          </a:r>
          <a:r>
            <a:rPr kumimoji="1" lang="ja-JP" altLang="en-US" sz="800" b="1" baseline="0">
              <a:latin typeface="游ゴシック" panose="020B0400000000000000" pitchFamily="50" charset="-128"/>
              <a:ea typeface="游ゴシック" panose="020B0400000000000000" pitchFamily="50" charset="-128"/>
            </a:rPr>
            <a:t>見積計算書を出力する。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3-3.</a:t>
          </a:r>
          <a:r>
            <a:rPr kumimoji="1" lang="ja-JP" altLang="en-US" sz="800" b="1" baseline="0">
              <a:latin typeface="游ゴシック" panose="020B0400000000000000" pitchFamily="50" charset="-128"/>
              <a:ea typeface="游ゴシック" panose="020B0400000000000000" pitchFamily="50" charset="-128"/>
            </a:rPr>
            <a:t>一覧データをダウンロードする。</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xdr:from>
      <xdr:col>74</xdr:col>
      <xdr:colOff>114301</xdr:colOff>
      <xdr:row>133</xdr:row>
      <xdr:rowOff>76199</xdr:rowOff>
    </xdr:from>
    <xdr:to>
      <xdr:col>76</xdr:col>
      <xdr:colOff>76201</xdr:colOff>
      <xdr:row>135</xdr:row>
      <xdr:rowOff>66674</xdr:rowOff>
    </xdr:to>
    <xdr:sp macro="" textlink="">
      <xdr:nvSpPr>
        <xdr:cNvPr id="112" name="楕円 111">
          <a:extLst>
            <a:ext uri="{FF2B5EF4-FFF2-40B4-BE49-F238E27FC236}">
              <a16:creationId xmlns:a16="http://schemas.microsoft.com/office/drawing/2014/main" id="{51277061-AF10-4111-90C1-2DC905D4CC3B}"/>
            </a:ext>
          </a:extLst>
        </xdr:cNvPr>
        <xdr:cNvSpPr/>
      </xdr:nvSpPr>
      <xdr:spPr bwMode="auto">
        <a:xfrm>
          <a:off x="12058651" y="19859624"/>
          <a:ext cx="30480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7327</xdr:colOff>
      <xdr:row>24</xdr:row>
      <xdr:rowOff>7327</xdr:rowOff>
    </xdr:from>
    <xdr:ext cx="154736" cy="144000"/>
    <xdr:pic>
      <xdr:nvPicPr>
        <xdr:cNvPr id="65" name="図 64">
          <a:extLst>
            <a:ext uri="{FF2B5EF4-FFF2-40B4-BE49-F238E27FC236}">
              <a16:creationId xmlns:a16="http://schemas.microsoft.com/office/drawing/2014/main" id="{0E162777-94AC-4819-856F-6CDB906D1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398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24</xdr:row>
      <xdr:rowOff>5256</xdr:rowOff>
    </xdr:from>
    <xdr:ext cx="121422" cy="146538"/>
    <xdr:pic>
      <xdr:nvPicPr>
        <xdr:cNvPr id="66" name="図 65">
          <a:extLst>
            <a:ext uri="{FF2B5EF4-FFF2-40B4-BE49-F238E27FC236}">
              <a16:creationId xmlns:a16="http://schemas.microsoft.com/office/drawing/2014/main" id="{E5D7DF2B-C81F-4955-B0DB-21CEF100A7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3962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96906</xdr:colOff>
      <xdr:row>19</xdr:row>
      <xdr:rowOff>99390</xdr:rowOff>
    </xdr:from>
    <xdr:ext cx="2600740" cy="416002"/>
    <xdr:sp macro="" textlink="">
      <xdr:nvSpPr>
        <xdr:cNvPr id="69" name="吹き出し: 四角形 68">
          <a:extLst>
            <a:ext uri="{FF2B5EF4-FFF2-40B4-BE49-F238E27FC236}">
              <a16:creationId xmlns:a16="http://schemas.microsoft.com/office/drawing/2014/main" id="{0A133799-85D3-4EB9-B550-2C06138C188F}"/>
            </a:ext>
          </a:extLst>
        </xdr:cNvPr>
        <xdr:cNvSpPr/>
      </xdr:nvSpPr>
      <xdr:spPr>
        <a:xfrm>
          <a:off x="2706756" y="3118815"/>
          <a:ext cx="2600740" cy="416002"/>
        </a:xfrm>
        <a:prstGeom prst="wedgeRectCallout">
          <a:avLst>
            <a:gd name="adj1" fmla="val -35472"/>
            <a:gd name="adj2" fmla="val 90911"/>
          </a:avLst>
        </a:prstGeom>
        <a:ln/>
      </xdr:spPr>
      <xdr:style>
        <a:lnRef idx="1">
          <a:schemeClr val="accent4"/>
        </a:lnRef>
        <a:fillRef idx="2">
          <a:schemeClr val="accent4"/>
        </a:fillRef>
        <a:effectRef idx="1">
          <a:schemeClr val="accent4"/>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入力・表示形式：案件№（親）＋’－’＋案件№（子）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9999999-999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親</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7</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桁、子</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3</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桁とする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77</xdr:col>
      <xdr:colOff>152400</xdr:colOff>
      <xdr:row>60</xdr:row>
      <xdr:rowOff>9525</xdr:rowOff>
    </xdr:from>
    <xdr:ext cx="2819400" cy="416002"/>
    <xdr:sp macro="" textlink="">
      <xdr:nvSpPr>
        <xdr:cNvPr id="59" name="吹き出し: 四角形 58">
          <a:extLst>
            <a:ext uri="{FF2B5EF4-FFF2-40B4-BE49-F238E27FC236}">
              <a16:creationId xmlns:a16="http://schemas.microsoft.com/office/drawing/2014/main" id="{C012B762-E143-4F73-A562-EFD70AB5E9CF}"/>
            </a:ext>
          </a:extLst>
        </xdr:cNvPr>
        <xdr:cNvSpPr/>
      </xdr:nvSpPr>
      <xdr:spPr>
        <a:xfrm>
          <a:off x="12782550" y="9582150"/>
          <a:ext cx="2819400" cy="416002"/>
        </a:xfrm>
        <a:prstGeom prst="wedgeRectCallout">
          <a:avLst>
            <a:gd name="adj1" fmla="val -62434"/>
            <a:gd name="adj2" fmla="val 39065"/>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14</xdr:col>
      <xdr:colOff>50940</xdr:colOff>
      <xdr:row>22</xdr:row>
      <xdr:rowOff>150900</xdr:rowOff>
    </xdr:from>
    <xdr:ext cx="121422" cy="146538"/>
    <xdr:pic>
      <xdr:nvPicPr>
        <xdr:cNvPr id="63" name="図 95">
          <a:extLst>
            <a:ext uri="{FF2B5EF4-FFF2-40B4-BE49-F238E27FC236}">
              <a16:creationId xmlns:a16="http://schemas.microsoft.com/office/drawing/2014/main" id="{75E0AF58-3AEB-4420-A699-CCBBB407474C}"/>
            </a:ext>
            <a:ext uri="{147F2762-F138-4A5C-976F-8EAC2B608ADB}">
              <a16:predDERef xmlns:a16="http://schemas.microsoft.com/office/drawing/2014/main" pred="{DE0660F0-322F-47F1-9CAD-34DBCF5368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36940" y="36275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28575</xdr:colOff>
      <xdr:row>27</xdr:row>
      <xdr:rowOff>9525</xdr:rowOff>
    </xdr:from>
    <xdr:ext cx="121422" cy="146538"/>
    <xdr:pic>
      <xdr:nvPicPr>
        <xdr:cNvPr id="67" name="図 138">
          <a:extLst>
            <a:ext uri="{FF2B5EF4-FFF2-40B4-BE49-F238E27FC236}">
              <a16:creationId xmlns:a16="http://schemas.microsoft.com/office/drawing/2014/main" id="{E59314BC-79DB-44AB-9803-CD42A5D31F97}"/>
            </a:ext>
            <a:ext uri="{147F2762-F138-4A5C-976F-8EAC2B608ADB}">
              <a16:predDERef xmlns:a16="http://schemas.microsoft.com/office/drawing/2014/main" pred="{FF182C24-08AF-4E45-9785-0707487D22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22</xdr:row>
      <xdr:rowOff>147473</xdr:rowOff>
    </xdr:from>
    <xdr:ext cx="121422" cy="146538"/>
    <xdr:pic>
      <xdr:nvPicPr>
        <xdr:cNvPr id="75" name="図 63">
          <a:extLst>
            <a:ext uri="{FF2B5EF4-FFF2-40B4-BE49-F238E27FC236}">
              <a16:creationId xmlns:a16="http://schemas.microsoft.com/office/drawing/2014/main" id="{5624331E-97CD-4609-A4D3-06C0F9B2EFA8}"/>
            </a:ext>
            <a:ext uri="{147F2762-F138-4A5C-976F-8EAC2B608ADB}">
              <a16:predDERef xmlns:a16="http://schemas.microsoft.com/office/drawing/2014/main" pred="{6ABD9476-8562-4856-BF2E-375A25115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9549" y="362409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xdr:row>
      <xdr:rowOff>7327</xdr:rowOff>
    </xdr:from>
    <xdr:ext cx="154736" cy="144000"/>
    <xdr:pic>
      <xdr:nvPicPr>
        <xdr:cNvPr id="76" name="図 116">
          <a:extLst>
            <a:ext uri="{FF2B5EF4-FFF2-40B4-BE49-F238E27FC236}">
              <a16:creationId xmlns:a16="http://schemas.microsoft.com/office/drawing/2014/main" id="{E9739BA1-C7AB-4CBD-8B94-B6D8AB15FEC2}"/>
            </a:ext>
            <a:ext uri="{147F2762-F138-4A5C-976F-8EAC2B608ADB}">
              <a16:predDERef xmlns:a16="http://schemas.microsoft.com/office/drawing/2014/main" pred="{B48690FC-4753-43C5-AF11-F0EB9FE1F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3636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59</xdr:col>
      <xdr:colOff>29308</xdr:colOff>
      <xdr:row>27</xdr:row>
      <xdr:rowOff>7327</xdr:rowOff>
    </xdr:from>
    <xdr:ext cx="121422" cy="146538"/>
    <xdr:pic>
      <xdr:nvPicPr>
        <xdr:cNvPr id="77" name="図 154">
          <a:extLst>
            <a:ext uri="{FF2B5EF4-FFF2-40B4-BE49-F238E27FC236}">
              <a16:creationId xmlns:a16="http://schemas.microsoft.com/office/drawing/2014/main" id="{9DBE29DC-4C5B-4821-9980-402DBEAD5613}"/>
            </a:ext>
            <a:ext uri="{147F2762-F138-4A5C-976F-8EAC2B608ADB}">
              <a16:predDERef xmlns:a16="http://schemas.microsoft.com/office/drawing/2014/main" pred="{6C8BA3F6-5D2F-459A-8CFB-04878AB1CB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983" y="4093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66</xdr:col>
      <xdr:colOff>29308</xdr:colOff>
      <xdr:row>27</xdr:row>
      <xdr:rowOff>7327</xdr:rowOff>
    </xdr:from>
    <xdr:ext cx="121422" cy="146538"/>
    <xdr:pic>
      <xdr:nvPicPr>
        <xdr:cNvPr id="78" name="図 155">
          <a:extLst>
            <a:ext uri="{FF2B5EF4-FFF2-40B4-BE49-F238E27FC236}">
              <a16:creationId xmlns:a16="http://schemas.microsoft.com/office/drawing/2014/main" id="{CD12555E-A6A0-4F11-9A48-BB27E419DACD}"/>
            </a:ext>
            <a:ext uri="{147F2762-F138-4A5C-976F-8EAC2B608ADB}">
              <a16:predDERef xmlns:a16="http://schemas.microsoft.com/office/drawing/2014/main" pred="{FC62408F-B28A-40D4-9096-751D8B637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54558" y="4093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52</xdr:col>
      <xdr:colOff>28575</xdr:colOff>
      <xdr:row>27</xdr:row>
      <xdr:rowOff>9525</xdr:rowOff>
    </xdr:from>
    <xdr:to>
      <xdr:col>52</xdr:col>
      <xdr:colOff>149997</xdr:colOff>
      <xdr:row>28</xdr:row>
      <xdr:rowOff>3663</xdr:rowOff>
    </xdr:to>
    <xdr:pic>
      <xdr:nvPicPr>
        <xdr:cNvPr id="79" name="図 78">
          <a:extLst>
            <a:ext uri="{FF2B5EF4-FFF2-40B4-BE49-F238E27FC236}">
              <a16:creationId xmlns:a16="http://schemas.microsoft.com/office/drawing/2014/main" id="{AC3D49A5-A0A8-4B08-9A8C-37350F441EC1}"/>
            </a:ext>
            <a:ext uri="{147F2762-F138-4A5C-976F-8EAC2B608ADB}">
              <a16:predDERef xmlns:a16="http://schemas.microsoft.com/office/drawing/2014/main" pred="{72A6C6B0-FF53-439D-B760-C39506586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67725" y="4248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0</xdr:colOff>
      <xdr:row>26</xdr:row>
      <xdr:rowOff>0</xdr:rowOff>
    </xdr:from>
    <xdr:ext cx="152400" cy="152400"/>
    <xdr:pic>
      <xdr:nvPicPr>
        <xdr:cNvPr id="80" name="図 79">
          <a:extLst>
            <a:ext uri="{FF2B5EF4-FFF2-40B4-BE49-F238E27FC236}">
              <a16:creationId xmlns:a16="http://schemas.microsoft.com/office/drawing/2014/main" id="{D22EF6C2-8AD5-4964-B61D-CE9ACD2AC9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393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0</xdr:colOff>
      <xdr:row>26</xdr:row>
      <xdr:rowOff>0</xdr:rowOff>
    </xdr:from>
    <xdr:ext cx="152400" cy="152400"/>
    <xdr:pic>
      <xdr:nvPicPr>
        <xdr:cNvPr id="81" name="図 80">
          <a:extLst>
            <a:ext uri="{FF2B5EF4-FFF2-40B4-BE49-F238E27FC236}">
              <a16:creationId xmlns:a16="http://schemas.microsoft.com/office/drawing/2014/main" id="{5909ACC7-88B4-4064-93EB-EDB27FC983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1400" y="39338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31</xdr:row>
      <xdr:rowOff>9525</xdr:rowOff>
    </xdr:from>
    <xdr:ext cx="121422" cy="146538"/>
    <xdr:pic>
      <xdr:nvPicPr>
        <xdr:cNvPr id="82" name="図 139">
          <a:extLst>
            <a:ext uri="{FF2B5EF4-FFF2-40B4-BE49-F238E27FC236}">
              <a16:creationId xmlns:a16="http://schemas.microsoft.com/office/drawing/2014/main" id="{97D05FE4-510D-4197-ACF8-8F26B8C618AC}"/>
            </a:ext>
            <a:ext uri="{147F2762-F138-4A5C-976F-8EAC2B608ADB}">
              <a16:predDERef xmlns:a16="http://schemas.microsoft.com/office/drawing/2014/main" pred="{ECEF019F-9EF6-4C5A-9B39-D3407B08D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4857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7327</xdr:colOff>
      <xdr:row>31</xdr:row>
      <xdr:rowOff>7327</xdr:rowOff>
    </xdr:from>
    <xdr:ext cx="154736" cy="144000"/>
    <xdr:pic>
      <xdr:nvPicPr>
        <xdr:cNvPr id="83" name="図 128">
          <a:extLst>
            <a:ext uri="{FF2B5EF4-FFF2-40B4-BE49-F238E27FC236}">
              <a16:creationId xmlns:a16="http://schemas.microsoft.com/office/drawing/2014/main" id="{41C53D4B-6387-4509-9A08-84F7DABABF29}"/>
            </a:ext>
            <a:ext uri="{147F2762-F138-4A5C-976F-8EAC2B608ADB}">
              <a16:predDERef xmlns:a16="http://schemas.microsoft.com/office/drawing/2014/main" pred="{67C11AEB-E68A-4530-A2D9-6B9035000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6802"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31</xdr:row>
      <xdr:rowOff>7327</xdr:rowOff>
    </xdr:from>
    <xdr:ext cx="154736" cy="144000"/>
    <xdr:pic>
      <xdr:nvPicPr>
        <xdr:cNvPr id="84" name="図 130">
          <a:extLst>
            <a:ext uri="{FF2B5EF4-FFF2-40B4-BE49-F238E27FC236}">
              <a16:creationId xmlns:a16="http://schemas.microsoft.com/office/drawing/2014/main" id="{2DFE33BB-D67D-4D03-8C82-0A53487304FC}"/>
            </a:ext>
            <a:ext uri="{147F2762-F138-4A5C-976F-8EAC2B608ADB}">
              <a16:predDERef xmlns:a16="http://schemas.microsoft.com/office/drawing/2014/main" pred="{5B453E9E-6123-4BE5-92C9-BAC8210B9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4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7327</xdr:colOff>
      <xdr:row>31</xdr:row>
      <xdr:rowOff>7327</xdr:rowOff>
    </xdr:from>
    <xdr:ext cx="154736" cy="144000"/>
    <xdr:pic>
      <xdr:nvPicPr>
        <xdr:cNvPr id="85" name="図 133">
          <a:extLst>
            <a:ext uri="{FF2B5EF4-FFF2-40B4-BE49-F238E27FC236}">
              <a16:creationId xmlns:a16="http://schemas.microsoft.com/office/drawing/2014/main" id="{9C1BD7CB-B5C4-43CB-8F70-E002F71A9C33}"/>
            </a:ext>
            <a:ext uri="{147F2762-F138-4A5C-976F-8EAC2B608ADB}">
              <a16:predDERef xmlns:a16="http://schemas.microsoft.com/office/drawing/2014/main" pred="{F14AA88A-3FBC-44AA-A777-136726DEA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513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7327</xdr:colOff>
      <xdr:row>31</xdr:row>
      <xdr:rowOff>7327</xdr:rowOff>
    </xdr:from>
    <xdr:ext cx="154736" cy="144000"/>
    <xdr:pic>
      <xdr:nvPicPr>
        <xdr:cNvPr id="86" name="図 85">
          <a:extLst>
            <a:ext uri="{FF2B5EF4-FFF2-40B4-BE49-F238E27FC236}">
              <a16:creationId xmlns:a16="http://schemas.microsoft.com/office/drawing/2014/main" id="{1B4175EA-09AC-4421-BDD0-6B8A9938A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11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37</xdr:row>
      <xdr:rowOff>7327</xdr:rowOff>
    </xdr:from>
    <xdr:ext cx="154736" cy="144000"/>
    <xdr:pic>
      <xdr:nvPicPr>
        <xdr:cNvPr id="92" name="図 128">
          <a:extLst>
            <a:ext uri="{FF2B5EF4-FFF2-40B4-BE49-F238E27FC236}">
              <a16:creationId xmlns:a16="http://schemas.microsoft.com/office/drawing/2014/main" id="{463D389E-A510-44D2-B328-E961F4DD6707}"/>
            </a:ext>
            <a:ext uri="{147F2762-F138-4A5C-976F-8EAC2B608ADB}">
              <a16:predDERef xmlns:a16="http://schemas.microsoft.com/office/drawing/2014/main" pred="{2606BB74-0D93-4852-BEBB-9EA4BE085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36</xdr:row>
      <xdr:rowOff>7327</xdr:rowOff>
    </xdr:from>
    <xdr:ext cx="154736" cy="144000"/>
    <xdr:pic>
      <xdr:nvPicPr>
        <xdr:cNvPr id="93" name="図 129">
          <a:extLst>
            <a:ext uri="{FF2B5EF4-FFF2-40B4-BE49-F238E27FC236}">
              <a16:creationId xmlns:a16="http://schemas.microsoft.com/office/drawing/2014/main" id="{7CBC7E3C-6C58-4B38-867E-E5AFA96E564C}"/>
            </a:ext>
            <a:ext uri="{147F2762-F138-4A5C-976F-8EAC2B608ADB}">
              <a16:predDERef xmlns:a16="http://schemas.microsoft.com/office/drawing/2014/main" pred="{497ADF65-D2C1-43DA-B452-5298794DE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94" name="図 130">
          <a:extLst>
            <a:ext uri="{FF2B5EF4-FFF2-40B4-BE49-F238E27FC236}">
              <a16:creationId xmlns:a16="http://schemas.microsoft.com/office/drawing/2014/main" id="{3318F389-52C6-4018-AE52-A7C69E384A0D}"/>
            </a:ext>
            <a:ext uri="{147F2762-F138-4A5C-976F-8EAC2B608ADB}">
              <a16:predDERef xmlns:a16="http://schemas.microsoft.com/office/drawing/2014/main" pred="{2B71EC09-92FC-4670-9D87-34890A198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36</xdr:row>
      <xdr:rowOff>7327</xdr:rowOff>
    </xdr:from>
    <xdr:ext cx="154736" cy="144000"/>
    <xdr:pic>
      <xdr:nvPicPr>
        <xdr:cNvPr id="99" name="図 131">
          <a:extLst>
            <a:ext uri="{FF2B5EF4-FFF2-40B4-BE49-F238E27FC236}">
              <a16:creationId xmlns:a16="http://schemas.microsoft.com/office/drawing/2014/main" id="{9D7C4E46-5A96-4083-8F33-C624ACCF646D}"/>
            </a:ext>
            <a:ext uri="{147F2762-F138-4A5C-976F-8EAC2B608ADB}">
              <a16:predDERef xmlns:a16="http://schemas.microsoft.com/office/drawing/2014/main" pred="{ACEF53A2-17C4-470D-883A-4CC187959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101" name="図 132">
          <a:extLst>
            <a:ext uri="{FF2B5EF4-FFF2-40B4-BE49-F238E27FC236}">
              <a16:creationId xmlns:a16="http://schemas.microsoft.com/office/drawing/2014/main" id="{4B8DB39E-0062-4E6E-B40D-65AF70CA1B97}"/>
            </a:ext>
            <a:ext uri="{147F2762-F138-4A5C-976F-8EAC2B608ADB}">
              <a16:predDERef xmlns:a16="http://schemas.microsoft.com/office/drawing/2014/main" pred="{ADF093BD-C0C9-4607-9C5F-862449C6E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902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102" name="図 133">
          <a:extLst>
            <a:ext uri="{FF2B5EF4-FFF2-40B4-BE49-F238E27FC236}">
              <a16:creationId xmlns:a16="http://schemas.microsoft.com/office/drawing/2014/main" id="{52EC3E37-B55C-41C4-8B2D-014C4AAA3299}"/>
            </a:ext>
            <a:ext uri="{147F2762-F138-4A5C-976F-8EAC2B608ADB}">
              <a16:predDERef xmlns:a16="http://schemas.microsoft.com/office/drawing/2014/main" pred="{68731F42-59F1-4FA0-90D7-CE0E3679C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36</xdr:row>
      <xdr:rowOff>7327</xdr:rowOff>
    </xdr:from>
    <xdr:ext cx="154736" cy="144000"/>
    <xdr:pic>
      <xdr:nvPicPr>
        <xdr:cNvPr id="104" name="図 134">
          <a:extLst>
            <a:ext uri="{FF2B5EF4-FFF2-40B4-BE49-F238E27FC236}">
              <a16:creationId xmlns:a16="http://schemas.microsoft.com/office/drawing/2014/main" id="{9E3BBDD4-25B5-4275-A24C-F5A0A0492919}"/>
            </a:ext>
            <a:ext uri="{147F2762-F138-4A5C-976F-8EAC2B608ADB}">
              <a16:predDERef xmlns:a16="http://schemas.microsoft.com/office/drawing/2014/main" pred="{4890269B-D256-47E5-9B57-58E410157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105" name="図 135">
          <a:extLst>
            <a:ext uri="{FF2B5EF4-FFF2-40B4-BE49-F238E27FC236}">
              <a16:creationId xmlns:a16="http://schemas.microsoft.com/office/drawing/2014/main" id="{53544D4A-24DD-4638-B4E4-E1F2F0D7480E}"/>
            </a:ext>
            <a:ext uri="{147F2762-F138-4A5C-976F-8EAC2B608ADB}">
              <a16:predDERef xmlns:a16="http://schemas.microsoft.com/office/drawing/2014/main" pred="{2FE7D3DD-94FA-4885-8CF5-1818F57DB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977"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12105</xdr:colOff>
      <xdr:row>37</xdr:row>
      <xdr:rowOff>5416</xdr:rowOff>
    </xdr:from>
    <xdr:ext cx="154736" cy="144000"/>
    <xdr:pic>
      <xdr:nvPicPr>
        <xdr:cNvPr id="106" name="図 136">
          <a:extLst>
            <a:ext uri="{FF2B5EF4-FFF2-40B4-BE49-F238E27FC236}">
              <a16:creationId xmlns:a16="http://schemas.microsoft.com/office/drawing/2014/main" id="{93E744F8-7421-415D-BABA-10625F5F90F3}"/>
            </a:ext>
            <a:ext uri="{147F2762-F138-4A5C-976F-8EAC2B608ADB}">
              <a16:predDERef xmlns:a16="http://schemas.microsoft.com/office/drawing/2014/main" pred="{47C080AF-1459-482F-A34A-A61DC0081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6180" y="576804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75</xdr:col>
      <xdr:colOff>0</xdr:colOff>
      <xdr:row>33</xdr:row>
      <xdr:rowOff>142875</xdr:rowOff>
    </xdr:from>
    <xdr:to>
      <xdr:col>76</xdr:col>
      <xdr:colOff>28575</xdr:colOff>
      <xdr:row>44</xdr:row>
      <xdr:rowOff>66675</xdr:rowOff>
    </xdr:to>
    <xdr:sp macro="" textlink="">
      <xdr:nvSpPr>
        <xdr:cNvPr id="110" name="右中かっこ 109">
          <a:extLst>
            <a:ext uri="{FF2B5EF4-FFF2-40B4-BE49-F238E27FC236}">
              <a16:creationId xmlns:a16="http://schemas.microsoft.com/office/drawing/2014/main" id="{CEBB06D8-528D-4DF5-B868-1F4F5E28C2C6}"/>
            </a:ext>
          </a:extLst>
        </xdr:cNvPr>
        <xdr:cNvSpPr/>
      </xdr:nvSpPr>
      <xdr:spPr bwMode="auto">
        <a:xfrm>
          <a:off x="12287250" y="5295900"/>
          <a:ext cx="200025" cy="1600200"/>
        </a:xfrm>
        <a:prstGeom prst="rightBrace">
          <a:avLst>
            <a:gd name="adj1" fmla="val 83333"/>
            <a:gd name="adj2" fmla="val 23791"/>
          </a:avLst>
        </a:prstGeom>
        <a:ln>
          <a:headEnd type="none" w="med" len="med"/>
          <a:tailEnd type="none" w="med" len="med"/>
        </a:ln>
      </xdr:spPr>
      <xdr:style>
        <a:lnRef idx="1">
          <a:schemeClr val="accent6"/>
        </a:lnRef>
        <a:fillRef idx="0">
          <a:schemeClr val="accent6"/>
        </a:fillRef>
        <a:effectRef idx="0">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57</xdr:col>
      <xdr:colOff>7327</xdr:colOff>
      <xdr:row>36</xdr:row>
      <xdr:rowOff>7327</xdr:rowOff>
    </xdr:from>
    <xdr:ext cx="154736" cy="144000"/>
    <xdr:pic>
      <xdr:nvPicPr>
        <xdr:cNvPr id="111" name="図 110">
          <a:extLst>
            <a:ext uri="{FF2B5EF4-FFF2-40B4-BE49-F238E27FC236}">
              <a16:creationId xmlns:a16="http://schemas.microsoft.com/office/drawing/2014/main" id="{6BC03EE5-59C4-4109-82BA-625BF27FEC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7327</xdr:colOff>
      <xdr:row>37</xdr:row>
      <xdr:rowOff>7327</xdr:rowOff>
    </xdr:from>
    <xdr:ext cx="154736" cy="144000"/>
    <xdr:pic>
      <xdr:nvPicPr>
        <xdr:cNvPr id="113" name="図 112">
          <a:extLst>
            <a:ext uri="{FF2B5EF4-FFF2-40B4-BE49-F238E27FC236}">
              <a16:creationId xmlns:a16="http://schemas.microsoft.com/office/drawing/2014/main" id="{1A38DB60-A43A-44EE-B10A-285C4B681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769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39</xdr:col>
      <xdr:colOff>29308</xdr:colOff>
      <xdr:row>30</xdr:row>
      <xdr:rowOff>7327</xdr:rowOff>
    </xdr:from>
    <xdr:to>
      <xdr:col>39</xdr:col>
      <xdr:colOff>150730</xdr:colOff>
      <xdr:row>31</xdr:row>
      <xdr:rowOff>1464</xdr:rowOff>
    </xdr:to>
    <xdr:pic>
      <xdr:nvPicPr>
        <xdr:cNvPr id="2" name="図 1">
          <a:extLst>
            <a:ext uri="{FF2B5EF4-FFF2-40B4-BE49-F238E27FC236}">
              <a16:creationId xmlns:a16="http://schemas.microsoft.com/office/drawing/2014/main" id="{C69DCACA-99AE-4911-8005-AD6CAC7B2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63433" y="4703152"/>
          <a:ext cx="121422" cy="146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31</xdr:row>
      <xdr:rowOff>7327</xdr:rowOff>
    </xdr:from>
    <xdr:ext cx="121422" cy="146538"/>
    <xdr:pic>
      <xdr:nvPicPr>
        <xdr:cNvPr id="3" name="図 2">
          <a:extLst>
            <a:ext uri="{FF2B5EF4-FFF2-40B4-BE49-F238E27FC236}">
              <a16:creationId xmlns:a16="http://schemas.microsoft.com/office/drawing/2014/main" id="{E707DF07-F278-4169-AA15-77E09ED8C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53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31</xdr:row>
      <xdr:rowOff>7327</xdr:rowOff>
    </xdr:from>
    <xdr:ext cx="121422" cy="146538"/>
    <xdr:pic>
      <xdr:nvPicPr>
        <xdr:cNvPr id="4" name="図 3">
          <a:extLst>
            <a:ext uri="{FF2B5EF4-FFF2-40B4-BE49-F238E27FC236}">
              <a16:creationId xmlns:a16="http://schemas.microsoft.com/office/drawing/2014/main" id="{9D4150EA-6D76-4A3E-B5D1-578EE6B4B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48555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32</xdr:row>
      <xdr:rowOff>7327</xdr:rowOff>
    </xdr:from>
    <xdr:ext cx="121422" cy="146538"/>
    <xdr:pic>
      <xdr:nvPicPr>
        <xdr:cNvPr id="5" name="図 4">
          <a:extLst>
            <a:ext uri="{FF2B5EF4-FFF2-40B4-BE49-F238E27FC236}">
              <a16:creationId xmlns:a16="http://schemas.microsoft.com/office/drawing/2014/main" id="{96CCDB9B-0628-45F5-9EA9-DC66607CD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8408" y="5007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7327</xdr:colOff>
      <xdr:row>8</xdr:row>
      <xdr:rowOff>7327</xdr:rowOff>
    </xdr:from>
    <xdr:ext cx="154736" cy="144000"/>
    <xdr:pic>
      <xdr:nvPicPr>
        <xdr:cNvPr id="6" name="図 5">
          <a:extLst>
            <a:ext uri="{FF2B5EF4-FFF2-40B4-BE49-F238E27FC236}">
              <a16:creationId xmlns:a16="http://schemas.microsoft.com/office/drawing/2014/main" id="{4F8D016C-AD51-4A34-A48C-9C6296AE8C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7" name="図 6">
          <a:extLst>
            <a:ext uri="{FF2B5EF4-FFF2-40B4-BE49-F238E27FC236}">
              <a16:creationId xmlns:a16="http://schemas.microsoft.com/office/drawing/2014/main" id="{DCA183CC-6405-4547-A334-6C7A73022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8" name="フローチャート: 代替処理 7">
          <a:extLst>
            <a:ext uri="{FF2B5EF4-FFF2-40B4-BE49-F238E27FC236}">
              <a16:creationId xmlns:a16="http://schemas.microsoft.com/office/drawing/2014/main" id="{420A4C73-B689-4EC4-96CB-0F70A76B743E}"/>
            </a:ext>
          </a:extLst>
        </xdr:cNvPr>
        <xdr:cNvSpPr/>
      </xdr:nvSpPr>
      <xdr:spPr bwMode="auto">
        <a:xfrm>
          <a:off x="1333500" y="1171576"/>
          <a:ext cx="695325" cy="1524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7327</xdr:colOff>
      <xdr:row>25</xdr:row>
      <xdr:rowOff>7327</xdr:rowOff>
    </xdr:from>
    <xdr:ext cx="154736" cy="144000"/>
    <xdr:pic>
      <xdr:nvPicPr>
        <xdr:cNvPr id="9" name="図 8">
          <a:extLst>
            <a:ext uri="{FF2B5EF4-FFF2-40B4-BE49-F238E27FC236}">
              <a16:creationId xmlns:a16="http://schemas.microsoft.com/office/drawing/2014/main" id="{E043CD68-7950-4B5B-A160-73442F88C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3941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26</xdr:row>
      <xdr:rowOff>7327</xdr:rowOff>
    </xdr:from>
    <xdr:ext cx="154736" cy="144000"/>
    <xdr:pic>
      <xdr:nvPicPr>
        <xdr:cNvPr id="10" name="図 9">
          <a:extLst>
            <a:ext uri="{FF2B5EF4-FFF2-40B4-BE49-F238E27FC236}">
              <a16:creationId xmlns:a16="http://schemas.microsoft.com/office/drawing/2014/main" id="{EA712513-9D5D-4726-9AE5-54005D9875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252"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14</xdr:col>
      <xdr:colOff>0</xdr:colOff>
      <xdr:row>22</xdr:row>
      <xdr:rowOff>0</xdr:rowOff>
    </xdr:from>
    <xdr:to>
      <xdr:col>14</xdr:col>
      <xdr:colOff>152400</xdr:colOff>
      <xdr:row>23</xdr:row>
      <xdr:rowOff>0</xdr:rowOff>
    </xdr:to>
    <xdr:pic>
      <xdr:nvPicPr>
        <xdr:cNvPr id="11" name="図 10">
          <a:extLst>
            <a:ext uri="{FF2B5EF4-FFF2-40B4-BE49-F238E27FC236}">
              <a16:creationId xmlns:a16="http://schemas.microsoft.com/office/drawing/2014/main" id="{4D98707F-3F26-4D45-8D61-651A08FE3E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347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0</xdr:colOff>
      <xdr:row>22</xdr:row>
      <xdr:rowOff>0</xdr:rowOff>
    </xdr:from>
    <xdr:ext cx="152400" cy="152400"/>
    <xdr:pic>
      <xdr:nvPicPr>
        <xdr:cNvPr id="12" name="図 11">
          <a:extLst>
            <a:ext uri="{FF2B5EF4-FFF2-40B4-BE49-F238E27FC236}">
              <a16:creationId xmlns:a16="http://schemas.microsoft.com/office/drawing/2014/main" id="{E653D316-BD3F-4379-B646-DE68C3341A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81400" y="3476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0</xdr:colOff>
      <xdr:row>7</xdr:row>
      <xdr:rowOff>0</xdr:rowOff>
    </xdr:from>
    <xdr:ext cx="152400" cy="152400"/>
    <xdr:pic>
      <xdr:nvPicPr>
        <xdr:cNvPr id="13" name="図 12">
          <a:extLst>
            <a:ext uri="{FF2B5EF4-FFF2-40B4-BE49-F238E27FC236}">
              <a16:creationId xmlns:a16="http://schemas.microsoft.com/office/drawing/2014/main" id="{85BBDE81-4435-4C5D-BCDE-4905E858E8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96050" y="119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50</xdr:col>
      <xdr:colOff>38100</xdr:colOff>
      <xdr:row>6</xdr:row>
      <xdr:rowOff>123826</xdr:rowOff>
    </xdr:from>
    <xdr:to>
      <xdr:col>57</xdr:col>
      <xdr:colOff>6928</xdr:colOff>
      <xdr:row>15</xdr:row>
      <xdr:rowOff>28576</xdr:rowOff>
    </xdr:to>
    <xdr:pic>
      <xdr:nvPicPr>
        <xdr:cNvPr id="14" name="図 13">
          <a:extLst>
            <a:ext uri="{FF2B5EF4-FFF2-40B4-BE49-F238E27FC236}">
              <a16:creationId xmlns:a16="http://schemas.microsoft.com/office/drawing/2014/main" id="{2F1BAD84-9A27-41FF-8767-BDD2F256C51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53400" y="1162051"/>
          <a:ext cx="1102303"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16</xdr:row>
      <xdr:rowOff>47625</xdr:rowOff>
    </xdr:from>
    <xdr:to>
      <xdr:col>7</xdr:col>
      <xdr:colOff>85725</xdr:colOff>
      <xdr:row>17</xdr:row>
      <xdr:rowOff>128222</xdr:rowOff>
    </xdr:to>
    <xdr:sp macro="" textlink="">
      <xdr:nvSpPr>
        <xdr:cNvPr id="15" name="フローチャート: 代替処理 14">
          <a:extLst>
            <a:ext uri="{FF2B5EF4-FFF2-40B4-BE49-F238E27FC236}">
              <a16:creationId xmlns:a16="http://schemas.microsoft.com/office/drawing/2014/main" id="{EC5D6A45-BC08-49CA-B856-57881D850836}"/>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40</xdr:col>
      <xdr:colOff>29308</xdr:colOff>
      <xdr:row>38</xdr:row>
      <xdr:rowOff>7327</xdr:rowOff>
    </xdr:from>
    <xdr:ext cx="121422" cy="146538"/>
    <xdr:pic>
      <xdr:nvPicPr>
        <xdr:cNvPr id="16" name="図 15">
          <a:extLst>
            <a:ext uri="{FF2B5EF4-FFF2-40B4-BE49-F238E27FC236}">
              <a16:creationId xmlns:a16="http://schemas.microsoft.com/office/drawing/2014/main" id="{3FAF25B6-20E8-4DC4-BCCC-F3B1CF0D3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5358" y="5922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165650</xdr:colOff>
      <xdr:row>54</xdr:row>
      <xdr:rowOff>74542</xdr:rowOff>
    </xdr:from>
    <xdr:to>
      <xdr:col>61</xdr:col>
      <xdr:colOff>95606</xdr:colOff>
      <xdr:row>55</xdr:row>
      <xdr:rowOff>105455</xdr:rowOff>
    </xdr:to>
    <xdr:pic>
      <xdr:nvPicPr>
        <xdr:cNvPr id="17" name="図 16">
          <a:extLst>
            <a:ext uri="{FF2B5EF4-FFF2-40B4-BE49-F238E27FC236}">
              <a16:creationId xmlns:a16="http://schemas.microsoft.com/office/drawing/2014/main" id="{947F56D7-657F-42E2-A043-0C7C8E9FDF95}"/>
            </a:ext>
          </a:extLst>
        </xdr:cNvPr>
        <xdr:cNvPicPr>
          <a:picLocks/>
        </xdr:cNvPicPr>
      </xdr:nvPicPr>
      <xdr:blipFill>
        <a:blip xmlns:r="http://schemas.openxmlformats.org/officeDocument/2006/relationships" r:embed="rId5"/>
        <a:stretch>
          <a:fillRect/>
        </a:stretch>
      </xdr:blipFill>
      <xdr:spPr>
        <a:xfrm>
          <a:off x="489500" y="8427967"/>
          <a:ext cx="9502581" cy="183313"/>
        </a:xfrm>
        <a:prstGeom prst="rect">
          <a:avLst/>
        </a:prstGeom>
      </xdr:spPr>
    </xdr:pic>
    <xdr:clientData/>
  </xdr:twoCellAnchor>
  <xdr:twoCellAnchor>
    <xdr:from>
      <xdr:col>2</xdr:col>
      <xdr:colOff>149086</xdr:colOff>
      <xdr:row>54</xdr:row>
      <xdr:rowOff>41414</xdr:rowOff>
    </xdr:from>
    <xdr:to>
      <xdr:col>61</xdr:col>
      <xdr:colOff>140804</xdr:colOff>
      <xdr:row>55</xdr:row>
      <xdr:rowOff>140805</xdr:rowOff>
    </xdr:to>
    <xdr:sp macro="" textlink="">
      <xdr:nvSpPr>
        <xdr:cNvPr id="18" name="正方形/長方形 17">
          <a:extLst>
            <a:ext uri="{FF2B5EF4-FFF2-40B4-BE49-F238E27FC236}">
              <a16:creationId xmlns:a16="http://schemas.microsoft.com/office/drawing/2014/main" id="{70A7E386-0F06-4C2F-91C7-B0F4B6FF3E89}"/>
            </a:ext>
          </a:extLst>
        </xdr:cNvPr>
        <xdr:cNvSpPr/>
      </xdr:nvSpPr>
      <xdr:spPr>
        <a:xfrm>
          <a:off x="472936" y="8394839"/>
          <a:ext cx="9564343" cy="251791"/>
        </a:xfrm>
        <a:prstGeom prst="rect">
          <a:avLst/>
        </a:prstGeom>
        <a:noFill/>
        <a:ln w="19050" cap="flat" cmpd="sng" algn="ctr">
          <a:solidFill>
            <a:srgbClr val="FF0000"/>
          </a:solidFill>
          <a:prstDash val="solid"/>
          <a:miter lim="800000"/>
        </a:ln>
        <a:effectLst/>
      </xdr:spPr>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800" b="0" i="0" u="none" strike="noStrike" kern="0" cap="none" spc="0" normalizeH="0" baseline="0">
            <a:ln>
              <a:noFill/>
            </a:ln>
            <a:solidFill>
              <a:sysClr val="window" lastClr="FFFFFF"/>
            </a:solidFill>
            <a:effectLst/>
            <a:uLnTx/>
            <a:uFillTx/>
            <a:latin typeface="Yu Gothic" panose="020B0400000000000000" pitchFamily="50" charset="-128"/>
            <a:ea typeface="Yu Gothic" panose="020B0400000000000000" pitchFamily="50" charset="-128"/>
            <a:cs typeface="+mn-cs"/>
          </a:endParaRPr>
        </a:p>
      </xdr:txBody>
    </xdr:sp>
    <xdr:clientData/>
  </xdr:twoCellAnchor>
  <xdr:oneCellAnchor>
    <xdr:from>
      <xdr:col>56</xdr:col>
      <xdr:colOff>92352</xdr:colOff>
      <xdr:row>56</xdr:row>
      <xdr:rowOff>38101</xdr:rowOff>
    </xdr:from>
    <xdr:ext cx="1257300" cy="263983"/>
    <xdr:sp macro="" textlink="">
      <xdr:nvSpPr>
        <xdr:cNvPr id="19" name="吹き出し: 四角形 18">
          <a:extLst>
            <a:ext uri="{FF2B5EF4-FFF2-40B4-BE49-F238E27FC236}">
              <a16:creationId xmlns:a16="http://schemas.microsoft.com/office/drawing/2014/main" id="{2348B204-6695-4BA9-814C-14443323FB5C}"/>
            </a:ext>
          </a:extLst>
        </xdr:cNvPr>
        <xdr:cNvSpPr/>
      </xdr:nvSpPr>
      <xdr:spPr>
        <a:xfrm>
          <a:off x="9179202" y="8696326"/>
          <a:ext cx="1257300" cy="263983"/>
        </a:xfrm>
        <a:prstGeom prst="wedgeRectCallout">
          <a:avLst>
            <a:gd name="adj1" fmla="val -40705"/>
            <a:gd name="adj2" fmla="val -100763"/>
          </a:avLst>
        </a:prstGeom>
        <a:ln/>
      </xdr:spPr>
      <xdr:style>
        <a:lnRef idx="1">
          <a:schemeClr val="accent2"/>
        </a:lnRef>
        <a:fillRef idx="2">
          <a:schemeClr val="accent2"/>
        </a:fillRef>
        <a:effectRef idx="1">
          <a:schemeClr val="accent2"/>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最大表示件数 </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xdr:col>
      <xdr:colOff>38100</xdr:colOff>
      <xdr:row>40</xdr:row>
      <xdr:rowOff>47625</xdr:rowOff>
    </xdr:from>
    <xdr:to>
      <xdr:col>7</xdr:col>
      <xdr:colOff>85725</xdr:colOff>
      <xdr:row>41</xdr:row>
      <xdr:rowOff>128222</xdr:rowOff>
    </xdr:to>
    <xdr:sp macro="" textlink="">
      <xdr:nvSpPr>
        <xdr:cNvPr id="20" name="フローチャート: 代替処理 19">
          <a:extLst>
            <a:ext uri="{FF2B5EF4-FFF2-40B4-BE49-F238E27FC236}">
              <a16:creationId xmlns:a16="http://schemas.microsoft.com/office/drawing/2014/main" id="{02347673-3F1D-4D51-AF98-D2F7DC52B9B0}"/>
            </a:ext>
          </a:extLst>
        </xdr:cNvPr>
        <xdr:cNvSpPr/>
      </xdr:nvSpPr>
      <xdr:spPr bwMode="auto">
        <a:xfrm>
          <a:off x="542925" y="6267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58</xdr:col>
      <xdr:colOff>38100</xdr:colOff>
      <xdr:row>40</xdr:row>
      <xdr:rowOff>47625</xdr:rowOff>
    </xdr:from>
    <xdr:to>
      <xdr:col>62</xdr:col>
      <xdr:colOff>85725</xdr:colOff>
      <xdr:row>41</xdr:row>
      <xdr:rowOff>128222</xdr:rowOff>
    </xdr:to>
    <xdr:sp macro="" textlink="">
      <xdr:nvSpPr>
        <xdr:cNvPr id="21" name="フローチャート: 代替処理 20">
          <a:extLst>
            <a:ext uri="{FF2B5EF4-FFF2-40B4-BE49-F238E27FC236}">
              <a16:creationId xmlns:a16="http://schemas.microsoft.com/office/drawing/2014/main" id="{BBC721B5-029D-4D7F-BA1B-EF916E35EA2D}"/>
            </a:ext>
          </a:extLst>
        </xdr:cNvPr>
        <xdr:cNvSpPr/>
      </xdr:nvSpPr>
      <xdr:spPr bwMode="auto">
        <a:xfrm>
          <a:off x="9448800" y="62674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8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50</xdr:col>
      <xdr:colOff>156341</xdr:colOff>
      <xdr:row>40</xdr:row>
      <xdr:rowOff>47625</xdr:rowOff>
    </xdr:from>
    <xdr:to>
      <xdr:col>55</xdr:col>
      <xdr:colOff>39743</xdr:colOff>
      <xdr:row>41</xdr:row>
      <xdr:rowOff>128222</xdr:rowOff>
    </xdr:to>
    <xdr:sp macro="" textlink="">
      <xdr:nvSpPr>
        <xdr:cNvPr id="22" name="フローチャート: 代替処理 21">
          <a:extLst>
            <a:ext uri="{FF2B5EF4-FFF2-40B4-BE49-F238E27FC236}">
              <a16:creationId xmlns:a16="http://schemas.microsoft.com/office/drawing/2014/main" id="{CAC2534E-73D2-4E81-BE06-BFD9524E1568}"/>
            </a:ext>
          </a:extLst>
        </xdr:cNvPr>
        <xdr:cNvSpPr/>
      </xdr:nvSpPr>
      <xdr:spPr bwMode="auto">
        <a:xfrm>
          <a:off x="8271641" y="6267450"/>
          <a:ext cx="693027"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54</xdr:col>
      <xdr:colOff>29308</xdr:colOff>
      <xdr:row>44</xdr:row>
      <xdr:rowOff>29308</xdr:rowOff>
    </xdr:from>
    <xdr:to>
      <xdr:col>55</xdr:col>
      <xdr:colOff>156115</xdr:colOff>
      <xdr:row>44</xdr:row>
      <xdr:rowOff>137308</xdr:rowOff>
    </xdr:to>
    <xdr:sp macro="" textlink="">
      <xdr:nvSpPr>
        <xdr:cNvPr id="23" name="フローチャート: 代替処理 22">
          <a:extLst>
            <a:ext uri="{FF2B5EF4-FFF2-40B4-BE49-F238E27FC236}">
              <a16:creationId xmlns:a16="http://schemas.microsoft.com/office/drawing/2014/main" id="{018DE246-F2C4-4A5E-AA45-BFF4F53E3127}"/>
            </a:ext>
          </a:extLst>
        </xdr:cNvPr>
        <xdr:cNvSpPr/>
      </xdr:nvSpPr>
      <xdr:spPr bwMode="auto">
        <a:xfrm>
          <a:off x="879230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56</xdr:col>
      <xdr:colOff>29308</xdr:colOff>
      <xdr:row>44</xdr:row>
      <xdr:rowOff>29308</xdr:rowOff>
    </xdr:from>
    <xdr:to>
      <xdr:col>57</xdr:col>
      <xdr:colOff>156115</xdr:colOff>
      <xdr:row>44</xdr:row>
      <xdr:rowOff>137308</xdr:rowOff>
    </xdr:to>
    <xdr:sp macro="" textlink="">
      <xdr:nvSpPr>
        <xdr:cNvPr id="24" name="フローチャート: 代替処理 23">
          <a:extLst>
            <a:ext uri="{FF2B5EF4-FFF2-40B4-BE49-F238E27FC236}">
              <a16:creationId xmlns:a16="http://schemas.microsoft.com/office/drawing/2014/main" id="{A536E7B0-133B-4080-9053-93F0F2D29C8F}"/>
            </a:ext>
          </a:extLst>
        </xdr:cNvPr>
        <xdr:cNvSpPr/>
      </xdr:nvSpPr>
      <xdr:spPr bwMode="auto">
        <a:xfrm>
          <a:off x="911615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45</xdr:row>
      <xdr:rowOff>29308</xdr:rowOff>
    </xdr:from>
    <xdr:to>
      <xdr:col>57</xdr:col>
      <xdr:colOff>156115</xdr:colOff>
      <xdr:row>45</xdr:row>
      <xdr:rowOff>137308</xdr:rowOff>
    </xdr:to>
    <xdr:sp macro="" textlink="">
      <xdr:nvSpPr>
        <xdr:cNvPr id="25" name="フローチャート: 代替処理 24">
          <a:extLst>
            <a:ext uri="{FF2B5EF4-FFF2-40B4-BE49-F238E27FC236}">
              <a16:creationId xmlns:a16="http://schemas.microsoft.com/office/drawing/2014/main" id="{A1C03778-DDB9-4F79-A0C6-5986B52E3669}"/>
            </a:ext>
          </a:extLst>
        </xdr:cNvPr>
        <xdr:cNvSpPr/>
      </xdr:nvSpPr>
      <xdr:spPr bwMode="auto">
        <a:xfrm>
          <a:off x="911615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46</xdr:row>
      <xdr:rowOff>29308</xdr:rowOff>
    </xdr:from>
    <xdr:to>
      <xdr:col>57</xdr:col>
      <xdr:colOff>156115</xdr:colOff>
      <xdr:row>46</xdr:row>
      <xdr:rowOff>137308</xdr:rowOff>
    </xdr:to>
    <xdr:sp macro="" textlink="">
      <xdr:nvSpPr>
        <xdr:cNvPr id="26" name="フローチャート: 代替処理 25">
          <a:extLst>
            <a:ext uri="{FF2B5EF4-FFF2-40B4-BE49-F238E27FC236}">
              <a16:creationId xmlns:a16="http://schemas.microsoft.com/office/drawing/2014/main" id="{00DC72A3-1277-4057-840A-7B94604D0AAE}"/>
            </a:ext>
          </a:extLst>
        </xdr:cNvPr>
        <xdr:cNvSpPr/>
      </xdr:nvSpPr>
      <xdr:spPr bwMode="auto">
        <a:xfrm>
          <a:off x="911615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47</xdr:row>
      <xdr:rowOff>29308</xdr:rowOff>
    </xdr:from>
    <xdr:to>
      <xdr:col>57</xdr:col>
      <xdr:colOff>156115</xdr:colOff>
      <xdr:row>47</xdr:row>
      <xdr:rowOff>137308</xdr:rowOff>
    </xdr:to>
    <xdr:sp macro="" textlink="">
      <xdr:nvSpPr>
        <xdr:cNvPr id="27" name="フローチャート: 代替処理 26">
          <a:extLst>
            <a:ext uri="{FF2B5EF4-FFF2-40B4-BE49-F238E27FC236}">
              <a16:creationId xmlns:a16="http://schemas.microsoft.com/office/drawing/2014/main" id="{DCAFF739-D1FA-4E7E-B25E-D12EFE4D4E89}"/>
            </a:ext>
          </a:extLst>
        </xdr:cNvPr>
        <xdr:cNvSpPr/>
      </xdr:nvSpPr>
      <xdr:spPr bwMode="auto">
        <a:xfrm>
          <a:off x="911615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48</xdr:row>
      <xdr:rowOff>29308</xdr:rowOff>
    </xdr:from>
    <xdr:to>
      <xdr:col>57</xdr:col>
      <xdr:colOff>156115</xdr:colOff>
      <xdr:row>48</xdr:row>
      <xdr:rowOff>137308</xdr:rowOff>
    </xdr:to>
    <xdr:sp macro="" textlink="">
      <xdr:nvSpPr>
        <xdr:cNvPr id="28" name="フローチャート: 代替処理 27">
          <a:extLst>
            <a:ext uri="{FF2B5EF4-FFF2-40B4-BE49-F238E27FC236}">
              <a16:creationId xmlns:a16="http://schemas.microsoft.com/office/drawing/2014/main" id="{4FE83ABB-56E0-4F39-BBF6-D4D173EBCAF7}"/>
            </a:ext>
          </a:extLst>
        </xdr:cNvPr>
        <xdr:cNvSpPr/>
      </xdr:nvSpPr>
      <xdr:spPr bwMode="auto">
        <a:xfrm>
          <a:off x="911615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49</xdr:row>
      <xdr:rowOff>29308</xdr:rowOff>
    </xdr:from>
    <xdr:to>
      <xdr:col>57</xdr:col>
      <xdr:colOff>156115</xdr:colOff>
      <xdr:row>49</xdr:row>
      <xdr:rowOff>137308</xdr:rowOff>
    </xdr:to>
    <xdr:sp macro="" textlink="">
      <xdr:nvSpPr>
        <xdr:cNvPr id="29" name="フローチャート: 代替処理 28">
          <a:extLst>
            <a:ext uri="{FF2B5EF4-FFF2-40B4-BE49-F238E27FC236}">
              <a16:creationId xmlns:a16="http://schemas.microsoft.com/office/drawing/2014/main" id="{0230E05E-3F7C-406D-8EA7-76DABC35A3A4}"/>
            </a:ext>
          </a:extLst>
        </xdr:cNvPr>
        <xdr:cNvSpPr/>
      </xdr:nvSpPr>
      <xdr:spPr bwMode="auto">
        <a:xfrm>
          <a:off x="911615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50</xdr:row>
      <xdr:rowOff>29308</xdr:rowOff>
    </xdr:from>
    <xdr:to>
      <xdr:col>57</xdr:col>
      <xdr:colOff>156115</xdr:colOff>
      <xdr:row>50</xdr:row>
      <xdr:rowOff>137308</xdr:rowOff>
    </xdr:to>
    <xdr:sp macro="" textlink="">
      <xdr:nvSpPr>
        <xdr:cNvPr id="30" name="フローチャート: 代替処理 29">
          <a:extLst>
            <a:ext uri="{FF2B5EF4-FFF2-40B4-BE49-F238E27FC236}">
              <a16:creationId xmlns:a16="http://schemas.microsoft.com/office/drawing/2014/main" id="{5943275C-42EF-43A7-8287-6B772A94B93D}"/>
            </a:ext>
          </a:extLst>
        </xdr:cNvPr>
        <xdr:cNvSpPr/>
      </xdr:nvSpPr>
      <xdr:spPr bwMode="auto">
        <a:xfrm>
          <a:off x="911615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51</xdr:row>
      <xdr:rowOff>29308</xdr:rowOff>
    </xdr:from>
    <xdr:to>
      <xdr:col>57</xdr:col>
      <xdr:colOff>156115</xdr:colOff>
      <xdr:row>51</xdr:row>
      <xdr:rowOff>137308</xdr:rowOff>
    </xdr:to>
    <xdr:sp macro="" textlink="">
      <xdr:nvSpPr>
        <xdr:cNvPr id="31" name="フローチャート: 代替処理 30">
          <a:extLst>
            <a:ext uri="{FF2B5EF4-FFF2-40B4-BE49-F238E27FC236}">
              <a16:creationId xmlns:a16="http://schemas.microsoft.com/office/drawing/2014/main" id="{4CF1B9DC-A1E1-4FF2-A991-DC67FA0DAC69}"/>
            </a:ext>
          </a:extLst>
        </xdr:cNvPr>
        <xdr:cNvSpPr/>
      </xdr:nvSpPr>
      <xdr:spPr bwMode="auto">
        <a:xfrm>
          <a:off x="911615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52</xdr:row>
      <xdr:rowOff>29308</xdr:rowOff>
    </xdr:from>
    <xdr:to>
      <xdr:col>57</xdr:col>
      <xdr:colOff>156115</xdr:colOff>
      <xdr:row>52</xdr:row>
      <xdr:rowOff>137308</xdr:rowOff>
    </xdr:to>
    <xdr:sp macro="" textlink="">
      <xdr:nvSpPr>
        <xdr:cNvPr id="32" name="フローチャート: 代替処理 31">
          <a:extLst>
            <a:ext uri="{FF2B5EF4-FFF2-40B4-BE49-F238E27FC236}">
              <a16:creationId xmlns:a16="http://schemas.microsoft.com/office/drawing/2014/main" id="{8271D574-028C-4414-87FB-DC65BE9CE4DF}"/>
            </a:ext>
          </a:extLst>
        </xdr:cNvPr>
        <xdr:cNvSpPr/>
      </xdr:nvSpPr>
      <xdr:spPr bwMode="auto">
        <a:xfrm>
          <a:off x="911615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56</xdr:col>
      <xdr:colOff>29308</xdr:colOff>
      <xdr:row>53</xdr:row>
      <xdr:rowOff>29308</xdr:rowOff>
    </xdr:from>
    <xdr:to>
      <xdr:col>57</xdr:col>
      <xdr:colOff>156115</xdr:colOff>
      <xdr:row>53</xdr:row>
      <xdr:rowOff>137308</xdr:rowOff>
    </xdr:to>
    <xdr:sp macro="" textlink="">
      <xdr:nvSpPr>
        <xdr:cNvPr id="33" name="フローチャート: 代替処理 32">
          <a:extLst>
            <a:ext uri="{FF2B5EF4-FFF2-40B4-BE49-F238E27FC236}">
              <a16:creationId xmlns:a16="http://schemas.microsoft.com/office/drawing/2014/main" id="{431C0514-C60F-4550-BD49-A2B380772B9E}"/>
            </a:ext>
          </a:extLst>
        </xdr:cNvPr>
        <xdr:cNvSpPr/>
      </xdr:nvSpPr>
      <xdr:spPr bwMode="auto">
        <a:xfrm>
          <a:off x="911615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58</xdr:col>
      <xdr:colOff>29308</xdr:colOff>
      <xdr:row>44</xdr:row>
      <xdr:rowOff>29308</xdr:rowOff>
    </xdr:from>
    <xdr:to>
      <xdr:col>59</xdr:col>
      <xdr:colOff>156115</xdr:colOff>
      <xdr:row>44</xdr:row>
      <xdr:rowOff>137308</xdr:rowOff>
    </xdr:to>
    <xdr:sp macro="" textlink="">
      <xdr:nvSpPr>
        <xdr:cNvPr id="34" name="フローチャート: 代替処理 33">
          <a:extLst>
            <a:ext uri="{FF2B5EF4-FFF2-40B4-BE49-F238E27FC236}">
              <a16:creationId xmlns:a16="http://schemas.microsoft.com/office/drawing/2014/main" id="{223E58EF-03FD-42E1-AC81-482D10D7E7D6}"/>
            </a:ext>
          </a:extLst>
        </xdr:cNvPr>
        <xdr:cNvSpPr/>
      </xdr:nvSpPr>
      <xdr:spPr bwMode="auto">
        <a:xfrm>
          <a:off x="944000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46</xdr:row>
      <xdr:rowOff>29308</xdr:rowOff>
    </xdr:from>
    <xdr:to>
      <xdr:col>59</xdr:col>
      <xdr:colOff>156115</xdr:colOff>
      <xdr:row>46</xdr:row>
      <xdr:rowOff>137308</xdr:rowOff>
    </xdr:to>
    <xdr:sp macro="" textlink="">
      <xdr:nvSpPr>
        <xdr:cNvPr id="35" name="フローチャート: 代替処理 34">
          <a:extLst>
            <a:ext uri="{FF2B5EF4-FFF2-40B4-BE49-F238E27FC236}">
              <a16:creationId xmlns:a16="http://schemas.microsoft.com/office/drawing/2014/main" id="{D90CE681-6F2A-40A3-B760-495E06E4BBDB}"/>
            </a:ext>
          </a:extLst>
        </xdr:cNvPr>
        <xdr:cNvSpPr/>
      </xdr:nvSpPr>
      <xdr:spPr bwMode="auto">
        <a:xfrm>
          <a:off x="944000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47</xdr:row>
      <xdr:rowOff>29308</xdr:rowOff>
    </xdr:from>
    <xdr:to>
      <xdr:col>59</xdr:col>
      <xdr:colOff>156115</xdr:colOff>
      <xdr:row>47</xdr:row>
      <xdr:rowOff>137308</xdr:rowOff>
    </xdr:to>
    <xdr:sp macro="" textlink="">
      <xdr:nvSpPr>
        <xdr:cNvPr id="36" name="フローチャート: 代替処理 35">
          <a:extLst>
            <a:ext uri="{FF2B5EF4-FFF2-40B4-BE49-F238E27FC236}">
              <a16:creationId xmlns:a16="http://schemas.microsoft.com/office/drawing/2014/main" id="{136D74A0-738D-422A-AE38-5EE01B01EF22}"/>
            </a:ext>
          </a:extLst>
        </xdr:cNvPr>
        <xdr:cNvSpPr/>
      </xdr:nvSpPr>
      <xdr:spPr bwMode="auto">
        <a:xfrm>
          <a:off x="944000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49</xdr:row>
      <xdr:rowOff>29308</xdr:rowOff>
    </xdr:from>
    <xdr:to>
      <xdr:col>59</xdr:col>
      <xdr:colOff>156115</xdr:colOff>
      <xdr:row>49</xdr:row>
      <xdr:rowOff>137308</xdr:rowOff>
    </xdr:to>
    <xdr:sp macro="" textlink="">
      <xdr:nvSpPr>
        <xdr:cNvPr id="37" name="フローチャート: 代替処理 36">
          <a:extLst>
            <a:ext uri="{FF2B5EF4-FFF2-40B4-BE49-F238E27FC236}">
              <a16:creationId xmlns:a16="http://schemas.microsoft.com/office/drawing/2014/main" id="{4BBBB478-426E-4DF9-B8CE-EFB18222256F}"/>
            </a:ext>
          </a:extLst>
        </xdr:cNvPr>
        <xdr:cNvSpPr/>
      </xdr:nvSpPr>
      <xdr:spPr bwMode="auto">
        <a:xfrm>
          <a:off x="944000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58</xdr:col>
      <xdr:colOff>29308</xdr:colOff>
      <xdr:row>52</xdr:row>
      <xdr:rowOff>29308</xdr:rowOff>
    </xdr:from>
    <xdr:to>
      <xdr:col>59</xdr:col>
      <xdr:colOff>156115</xdr:colOff>
      <xdr:row>52</xdr:row>
      <xdr:rowOff>137308</xdr:rowOff>
    </xdr:to>
    <xdr:sp macro="" textlink="">
      <xdr:nvSpPr>
        <xdr:cNvPr id="38" name="フローチャート: 代替処理 37">
          <a:extLst>
            <a:ext uri="{FF2B5EF4-FFF2-40B4-BE49-F238E27FC236}">
              <a16:creationId xmlns:a16="http://schemas.microsoft.com/office/drawing/2014/main" id="{931155F3-3651-4091-ABC5-DDA24D82667F}"/>
            </a:ext>
          </a:extLst>
        </xdr:cNvPr>
        <xdr:cNvSpPr/>
      </xdr:nvSpPr>
      <xdr:spPr bwMode="auto">
        <a:xfrm>
          <a:off x="944000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2</xdr:col>
      <xdr:colOff>29308</xdr:colOff>
      <xdr:row>64</xdr:row>
      <xdr:rowOff>29308</xdr:rowOff>
    </xdr:from>
    <xdr:to>
      <xdr:col>3</xdr:col>
      <xdr:colOff>156115</xdr:colOff>
      <xdr:row>64</xdr:row>
      <xdr:rowOff>137308</xdr:rowOff>
    </xdr:to>
    <xdr:sp macro="" textlink="">
      <xdr:nvSpPr>
        <xdr:cNvPr id="39" name="フローチャート: 代替処理 38">
          <a:extLst>
            <a:ext uri="{FF2B5EF4-FFF2-40B4-BE49-F238E27FC236}">
              <a16:creationId xmlns:a16="http://schemas.microsoft.com/office/drawing/2014/main" id="{A4C39B3F-72D1-424C-B135-A16C4D922759}"/>
            </a:ext>
          </a:extLst>
        </xdr:cNvPr>
        <xdr:cNvSpPr/>
      </xdr:nvSpPr>
      <xdr:spPr bwMode="auto">
        <a:xfrm>
          <a:off x="353158" y="99067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訂正</a:t>
          </a:r>
        </a:p>
      </xdr:txBody>
    </xdr:sp>
    <xdr:clientData/>
  </xdr:twoCellAnchor>
  <xdr:twoCellAnchor>
    <xdr:from>
      <xdr:col>2</xdr:col>
      <xdr:colOff>29308</xdr:colOff>
      <xdr:row>67</xdr:row>
      <xdr:rowOff>29308</xdr:rowOff>
    </xdr:from>
    <xdr:to>
      <xdr:col>3</xdr:col>
      <xdr:colOff>156115</xdr:colOff>
      <xdr:row>67</xdr:row>
      <xdr:rowOff>137308</xdr:rowOff>
    </xdr:to>
    <xdr:sp macro="" textlink="">
      <xdr:nvSpPr>
        <xdr:cNvPr id="40" name="フローチャート: 代替処理 39">
          <a:extLst>
            <a:ext uri="{FF2B5EF4-FFF2-40B4-BE49-F238E27FC236}">
              <a16:creationId xmlns:a16="http://schemas.microsoft.com/office/drawing/2014/main" id="{C382C44A-F067-4FCF-BCB7-0E761697C6BC}"/>
            </a:ext>
          </a:extLst>
        </xdr:cNvPr>
        <xdr:cNvSpPr/>
      </xdr:nvSpPr>
      <xdr:spPr bwMode="auto">
        <a:xfrm>
          <a:off x="353158" y="103639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xdr:from>
      <xdr:col>54</xdr:col>
      <xdr:colOff>29308</xdr:colOff>
      <xdr:row>45</xdr:row>
      <xdr:rowOff>29308</xdr:rowOff>
    </xdr:from>
    <xdr:to>
      <xdr:col>55</xdr:col>
      <xdr:colOff>156115</xdr:colOff>
      <xdr:row>45</xdr:row>
      <xdr:rowOff>137308</xdr:rowOff>
    </xdr:to>
    <xdr:sp macro="" textlink="">
      <xdr:nvSpPr>
        <xdr:cNvPr id="41" name="フローチャート: 代替処理 40">
          <a:extLst>
            <a:ext uri="{FF2B5EF4-FFF2-40B4-BE49-F238E27FC236}">
              <a16:creationId xmlns:a16="http://schemas.microsoft.com/office/drawing/2014/main" id="{D02E2BCA-D283-43CD-B335-62D2849F9109}"/>
            </a:ext>
          </a:extLst>
        </xdr:cNvPr>
        <xdr:cNvSpPr/>
      </xdr:nvSpPr>
      <xdr:spPr bwMode="auto">
        <a:xfrm>
          <a:off x="879230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46</xdr:row>
      <xdr:rowOff>29308</xdr:rowOff>
    </xdr:from>
    <xdr:to>
      <xdr:col>55</xdr:col>
      <xdr:colOff>156115</xdr:colOff>
      <xdr:row>46</xdr:row>
      <xdr:rowOff>137308</xdr:rowOff>
    </xdr:to>
    <xdr:sp macro="" textlink="">
      <xdr:nvSpPr>
        <xdr:cNvPr id="42" name="フローチャート: 代替処理 41">
          <a:extLst>
            <a:ext uri="{FF2B5EF4-FFF2-40B4-BE49-F238E27FC236}">
              <a16:creationId xmlns:a16="http://schemas.microsoft.com/office/drawing/2014/main" id="{F10B2BD0-80D4-4298-8756-92BBFAC34635}"/>
            </a:ext>
          </a:extLst>
        </xdr:cNvPr>
        <xdr:cNvSpPr/>
      </xdr:nvSpPr>
      <xdr:spPr bwMode="auto">
        <a:xfrm>
          <a:off x="879230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47</xdr:row>
      <xdr:rowOff>29308</xdr:rowOff>
    </xdr:from>
    <xdr:to>
      <xdr:col>55</xdr:col>
      <xdr:colOff>156115</xdr:colOff>
      <xdr:row>47</xdr:row>
      <xdr:rowOff>137308</xdr:rowOff>
    </xdr:to>
    <xdr:sp macro="" textlink="">
      <xdr:nvSpPr>
        <xdr:cNvPr id="43" name="フローチャート: 代替処理 42">
          <a:extLst>
            <a:ext uri="{FF2B5EF4-FFF2-40B4-BE49-F238E27FC236}">
              <a16:creationId xmlns:a16="http://schemas.microsoft.com/office/drawing/2014/main" id="{36E69226-9464-4673-A138-0C93F9174352}"/>
            </a:ext>
          </a:extLst>
        </xdr:cNvPr>
        <xdr:cNvSpPr/>
      </xdr:nvSpPr>
      <xdr:spPr bwMode="auto">
        <a:xfrm>
          <a:off x="879230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48</xdr:row>
      <xdr:rowOff>29308</xdr:rowOff>
    </xdr:from>
    <xdr:to>
      <xdr:col>55</xdr:col>
      <xdr:colOff>156115</xdr:colOff>
      <xdr:row>48</xdr:row>
      <xdr:rowOff>137308</xdr:rowOff>
    </xdr:to>
    <xdr:sp macro="" textlink="">
      <xdr:nvSpPr>
        <xdr:cNvPr id="44" name="フローチャート: 代替処理 43">
          <a:extLst>
            <a:ext uri="{FF2B5EF4-FFF2-40B4-BE49-F238E27FC236}">
              <a16:creationId xmlns:a16="http://schemas.microsoft.com/office/drawing/2014/main" id="{7F6C4CA3-C101-4F46-A4D7-5D273AB58BB2}"/>
            </a:ext>
          </a:extLst>
        </xdr:cNvPr>
        <xdr:cNvSpPr/>
      </xdr:nvSpPr>
      <xdr:spPr bwMode="auto">
        <a:xfrm>
          <a:off x="879230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49</xdr:row>
      <xdr:rowOff>29308</xdr:rowOff>
    </xdr:from>
    <xdr:to>
      <xdr:col>55</xdr:col>
      <xdr:colOff>156115</xdr:colOff>
      <xdr:row>49</xdr:row>
      <xdr:rowOff>137308</xdr:rowOff>
    </xdr:to>
    <xdr:sp macro="" textlink="">
      <xdr:nvSpPr>
        <xdr:cNvPr id="45" name="フローチャート: 代替処理 44">
          <a:extLst>
            <a:ext uri="{FF2B5EF4-FFF2-40B4-BE49-F238E27FC236}">
              <a16:creationId xmlns:a16="http://schemas.microsoft.com/office/drawing/2014/main" id="{473E8308-B7D3-4456-AC99-FDE0CF901D5B}"/>
            </a:ext>
          </a:extLst>
        </xdr:cNvPr>
        <xdr:cNvSpPr/>
      </xdr:nvSpPr>
      <xdr:spPr bwMode="auto">
        <a:xfrm>
          <a:off x="879230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50</xdr:row>
      <xdr:rowOff>29308</xdr:rowOff>
    </xdr:from>
    <xdr:to>
      <xdr:col>55</xdr:col>
      <xdr:colOff>156115</xdr:colOff>
      <xdr:row>50</xdr:row>
      <xdr:rowOff>137308</xdr:rowOff>
    </xdr:to>
    <xdr:sp macro="" textlink="">
      <xdr:nvSpPr>
        <xdr:cNvPr id="46" name="フローチャート: 代替処理 45">
          <a:extLst>
            <a:ext uri="{FF2B5EF4-FFF2-40B4-BE49-F238E27FC236}">
              <a16:creationId xmlns:a16="http://schemas.microsoft.com/office/drawing/2014/main" id="{AD76D676-E12C-4E53-94AF-0D6A4FF27A4F}"/>
            </a:ext>
          </a:extLst>
        </xdr:cNvPr>
        <xdr:cNvSpPr/>
      </xdr:nvSpPr>
      <xdr:spPr bwMode="auto">
        <a:xfrm>
          <a:off x="879230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51</xdr:row>
      <xdr:rowOff>29308</xdr:rowOff>
    </xdr:from>
    <xdr:to>
      <xdr:col>55</xdr:col>
      <xdr:colOff>156115</xdr:colOff>
      <xdr:row>51</xdr:row>
      <xdr:rowOff>137308</xdr:rowOff>
    </xdr:to>
    <xdr:sp macro="" textlink="">
      <xdr:nvSpPr>
        <xdr:cNvPr id="47" name="フローチャート: 代替処理 46">
          <a:extLst>
            <a:ext uri="{FF2B5EF4-FFF2-40B4-BE49-F238E27FC236}">
              <a16:creationId xmlns:a16="http://schemas.microsoft.com/office/drawing/2014/main" id="{E07B3147-5379-4142-8A81-279D05811C5C}"/>
            </a:ext>
          </a:extLst>
        </xdr:cNvPr>
        <xdr:cNvSpPr/>
      </xdr:nvSpPr>
      <xdr:spPr bwMode="auto">
        <a:xfrm>
          <a:off x="879230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52</xdr:row>
      <xdr:rowOff>29308</xdr:rowOff>
    </xdr:from>
    <xdr:to>
      <xdr:col>55</xdr:col>
      <xdr:colOff>156115</xdr:colOff>
      <xdr:row>52</xdr:row>
      <xdr:rowOff>137308</xdr:rowOff>
    </xdr:to>
    <xdr:sp macro="" textlink="">
      <xdr:nvSpPr>
        <xdr:cNvPr id="48" name="フローチャート: 代替処理 47">
          <a:extLst>
            <a:ext uri="{FF2B5EF4-FFF2-40B4-BE49-F238E27FC236}">
              <a16:creationId xmlns:a16="http://schemas.microsoft.com/office/drawing/2014/main" id="{D518419E-F458-4AA4-AE08-7964ED6FCA76}"/>
            </a:ext>
          </a:extLst>
        </xdr:cNvPr>
        <xdr:cNvSpPr/>
      </xdr:nvSpPr>
      <xdr:spPr bwMode="auto">
        <a:xfrm>
          <a:off x="879230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54</xdr:col>
      <xdr:colOff>29308</xdr:colOff>
      <xdr:row>53</xdr:row>
      <xdr:rowOff>29308</xdr:rowOff>
    </xdr:from>
    <xdr:to>
      <xdr:col>55</xdr:col>
      <xdr:colOff>156115</xdr:colOff>
      <xdr:row>53</xdr:row>
      <xdr:rowOff>137308</xdr:rowOff>
    </xdr:to>
    <xdr:sp macro="" textlink="">
      <xdr:nvSpPr>
        <xdr:cNvPr id="49" name="フローチャート: 代替処理 48">
          <a:extLst>
            <a:ext uri="{FF2B5EF4-FFF2-40B4-BE49-F238E27FC236}">
              <a16:creationId xmlns:a16="http://schemas.microsoft.com/office/drawing/2014/main" id="{30890E15-7B74-47C0-95A7-B696551E6D10}"/>
            </a:ext>
          </a:extLst>
        </xdr:cNvPr>
        <xdr:cNvSpPr/>
      </xdr:nvSpPr>
      <xdr:spPr bwMode="auto">
        <a:xfrm>
          <a:off x="879230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2</xdr:col>
      <xdr:colOff>29308</xdr:colOff>
      <xdr:row>61</xdr:row>
      <xdr:rowOff>29308</xdr:rowOff>
    </xdr:from>
    <xdr:to>
      <xdr:col>3</xdr:col>
      <xdr:colOff>156115</xdr:colOff>
      <xdr:row>61</xdr:row>
      <xdr:rowOff>137308</xdr:rowOff>
    </xdr:to>
    <xdr:sp macro="" textlink="">
      <xdr:nvSpPr>
        <xdr:cNvPr id="50" name="フローチャート: 代替処理 49">
          <a:extLst>
            <a:ext uri="{FF2B5EF4-FFF2-40B4-BE49-F238E27FC236}">
              <a16:creationId xmlns:a16="http://schemas.microsoft.com/office/drawing/2014/main" id="{F5925401-E3D5-41FB-BE6D-91AA074AB239}"/>
            </a:ext>
          </a:extLst>
        </xdr:cNvPr>
        <xdr:cNvSpPr/>
      </xdr:nvSpPr>
      <xdr:spPr bwMode="auto">
        <a:xfrm>
          <a:off x="353158" y="94495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63</xdr:col>
      <xdr:colOff>117231</xdr:colOff>
      <xdr:row>18</xdr:row>
      <xdr:rowOff>139211</xdr:rowOff>
    </xdr:from>
    <xdr:to>
      <xdr:col>66</xdr:col>
      <xdr:colOff>51288</xdr:colOff>
      <xdr:row>39</xdr:row>
      <xdr:rowOff>95250</xdr:rowOff>
    </xdr:to>
    <xdr:sp macro="" textlink="">
      <xdr:nvSpPr>
        <xdr:cNvPr id="51" name="右中かっこ 50">
          <a:extLst>
            <a:ext uri="{FF2B5EF4-FFF2-40B4-BE49-F238E27FC236}">
              <a16:creationId xmlns:a16="http://schemas.microsoft.com/office/drawing/2014/main" id="{2B36C5AD-4989-4947-86B2-3FE70472565C}"/>
            </a:ext>
          </a:extLst>
        </xdr:cNvPr>
        <xdr:cNvSpPr/>
      </xdr:nvSpPr>
      <xdr:spPr bwMode="auto">
        <a:xfrm>
          <a:off x="10347081" y="3006236"/>
          <a:ext cx="448407" cy="3156439"/>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117232</xdr:colOff>
      <xdr:row>39</xdr:row>
      <xdr:rowOff>146540</xdr:rowOff>
    </xdr:from>
    <xdr:to>
      <xdr:col>66</xdr:col>
      <xdr:colOff>51289</xdr:colOff>
      <xdr:row>42</xdr:row>
      <xdr:rowOff>21982</xdr:rowOff>
    </xdr:to>
    <xdr:sp macro="" textlink="">
      <xdr:nvSpPr>
        <xdr:cNvPr id="52" name="右中かっこ 51">
          <a:extLst>
            <a:ext uri="{FF2B5EF4-FFF2-40B4-BE49-F238E27FC236}">
              <a16:creationId xmlns:a16="http://schemas.microsoft.com/office/drawing/2014/main" id="{31965099-96B0-4136-9C03-D3E8F6714878}"/>
            </a:ext>
          </a:extLst>
        </xdr:cNvPr>
        <xdr:cNvSpPr/>
      </xdr:nvSpPr>
      <xdr:spPr bwMode="auto">
        <a:xfrm>
          <a:off x="10347082" y="6213965"/>
          <a:ext cx="448407" cy="332642"/>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124559</xdr:colOff>
      <xdr:row>15</xdr:row>
      <xdr:rowOff>146540</xdr:rowOff>
    </xdr:from>
    <xdr:to>
      <xdr:col>66</xdr:col>
      <xdr:colOff>58616</xdr:colOff>
      <xdr:row>18</xdr:row>
      <xdr:rowOff>21982</xdr:rowOff>
    </xdr:to>
    <xdr:sp macro="" textlink="">
      <xdr:nvSpPr>
        <xdr:cNvPr id="53" name="右中かっこ 52">
          <a:extLst>
            <a:ext uri="{FF2B5EF4-FFF2-40B4-BE49-F238E27FC236}">
              <a16:creationId xmlns:a16="http://schemas.microsoft.com/office/drawing/2014/main" id="{D2EC84E6-E7D1-47B9-80D8-E3C6E828AAAF}"/>
            </a:ext>
          </a:extLst>
        </xdr:cNvPr>
        <xdr:cNvSpPr/>
      </xdr:nvSpPr>
      <xdr:spPr bwMode="auto">
        <a:xfrm>
          <a:off x="10354409" y="2556365"/>
          <a:ext cx="448407" cy="332642"/>
        </a:xfrm>
        <a:prstGeom prst="rightBrace">
          <a:avLst>
            <a:gd name="adj1" fmla="val 11896"/>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63</xdr:col>
      <xdr:colOff>124558</xdr:colOff>
      <xdr:row>42</xdr:row>
      <xdr:rowOff>21982</xdr:rowOff>
    </xdr:from>
    <xdr:to>
      <xdr:col>66</xdr:col>
      <xdr:colOff>58615</xdr:colOff>
      <xdr:row>56</xdr:row>
      <xdr:rowOff>14654</xdr:rowOff>
    </xdr:to>
    <xdr:sp macro="" textlink="">
      <xdr:nvSpPr>
        <xdr:cNvPr id="54" name="右中かっこ 53">
          <a:extLst>
            <a:ext uri="{FF2B5EF4-FFF2-40B4-BE49-F238E27FC236}">
              <a16:creationId xmlns:a16="http://schemas.microsoft.com/office/drawing/2014/main" id="{75E34169-D4B2-4BB9-8D32-04F9447520B9}"/>
            </a:ext>
          </a:extLst>
        </xdr:cNvPr>
        <xdr:cNvSpPr/>
      </xdr:nvSpPr>
      <xdr:spPr bwMode="auto">
        <a:xfrm>
          <a:off x="10354408" y="6546607"/>
          <a:ext cx="448407" cy="2126272"/>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67</xdr:col>
      <xdr:colOff>0</xdr:colOff>
      <xdr:row>15</xdr:row>
      <xdr:rowOff>128188</xdr:rowOff>
    </xdr:from>
    <xdr:ext cx="1736482" cy="190565"/>
    <xdr:sp macro="" textlink="">
      <xdr:nvSpPr>
        <xdr:cNvPr id="55" name="正方形/長方形 54">
          <a:extLst>
            <a:ext uri="{FF2B5EF4-FFF2-40B4-BE49-F238E27FC236}">
              <a16:creationId xmlns:a16="http://schemas.microsoft.com/office/drawing/2014/main" id="{7998BF27-1941-4879-8659-762406FF0C09}"/>
            </a:ext>
          </a:extLst>
        </xdr:cNvPr>
        <xdr:cNvSpPr/>
      </xdr:nvSpPr>
      <xdr:spPr bwMode="auto">
        <a:xfrm>
          <a:off x="10915650" y="253801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上部ボタン：各種処理を実行</a:t>
          </a:r>
        </a:p>
      </xdr:txBody>
    </xdr:sp>
    <xdr:clientData/>
  </xdr:oneCellAnchor>
  <xdr:oneCellAnchor>
    <xdr:from>
      <xdr:col>67</xdr:col>
      <xdr:colOff>0</xdr:colOff>
      <xdr:row>24</xdr:row>
      <xdr:rowOff>95251</xdr:rowOff>
    </xdr:from>
    <xdr:ext cx="1736482" cy="190565"/>
    <xdr:sp macro="" textlink="">
      <xdr:nvSpPr>
        <xdr:cNvPr id="56" name="正方形/長方形 55">
          <a:extLst>
            <a:ext uri="{FF2B5EF4-FFF2-40B4-BE49-F238E27FC236}">
              <a16:creationId xmlns:a16="http://schemas.microsoft.com/office/drawing/2014/main" id="{25A691CE-2447-4BC4-9690-533AB50249CA}"/>
            </a:ext>
          </a:extLst>
        </xdr:cNvPr>
        <xdr:cNvSpPr/>
      </xdr:nvSpPr>
      <xdr:spPr bwMode="auto">
        <a:xfrm>
          <a:off x="10915650" y="3876676"/>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67</xdr:col>
      <xdr:colOff>0</xdr:colOff>
      <xdr:row>39</xdr:row>
      <xdr:rowOff>146538</xdr:rowOff>
    </xdr:from>
    <xdr:ext cx="1736482" cy="190565"/>
    <xdr:sp macro="" textlink="">
      <xdr:nvSpPr>
        <xdr:cNvPr id="57" name="正方形/長方形 56">
          <a:extLst>
            <a:ext uri="{FF2B5EF4-FFF2-40B4-BE49-F238E27FC236}">
              <a16:creationId xmlns:a16="http://schemas.microsoft.com/office/drawing/2014/main" id="{67F462AE-75E4-4681-A49F-4E82314851A8}"/>
            </a:ext>
          </a:extLst>
        </xdr:cNvPr>
        <xdr:cNvSpPr/>
      </xdr:nvSpPr>
      <xdr:spPr bwMode="auto">
        <a:xfrm>
          <a:off x="10915650" y="6213963"/>
          <a:ext cx="1736482"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中央ボタン：各種処理を実行</a:t>
          </a:r>
        </a:p>
      </xdr:txBody>
    </xdr:sp>
    <xdr:clientData/>
  </xdr:oneCellAnchor>
  <xdr:oneCellAnchor>
    <xdr:from>
      <xdr:col>68</xdr:col>
      <xdr:colOff>0</xdr:colOff>
      <xdr:row>44</xdr:row>
      <xdr:rowOff>84258</xdr:rowOff>
    </xdr:from>
    <xdr:ext cx="1736482" cy="381130"/>
    <xdr:sp macro="" textlink="">
      <xdr:nvSpPr>
        <xdr:cNvPr id="58" name="正方形/長方形 57">
          <a:extLst>
            <a:ext uri="{FF2B5EF4-FFF2-40B4-BE49-F238E27FC236}">
              <a16:creationId xmlns:a16="http://schemas.microsoft.com/office/drawing/2014/main" id="{67FE8248-0E6A-4EFC-90F4-7C7CCCC001BE}"/>
            </a:ext>
          </a:extLst>
        </xdr:cNvPr>
        <xdr:cNvSpPr/>
      </xdr:nvSpPr>
      <xdr:spPr bwMode="auto">
        <a:xfrm>
          <a:off x="11087100" y="6913683"/>
          <a:ext cx="1736482" cy="381130"/>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66</xdr:col>
      <xdr:colOff>172024</xdr:colOff>
      <xdr:row>28</xdr:row>
      <xdr:rowOff>33768</xdr:rowOff>
    </xdr:from>
    <xdr:ext cx="3033347" cy="1274251"/>
    <xdr:sp macro="" textlink="">
      <xdr:nvSpPr>
        <xdr:cNvPr id="59" name="テキスト ボックス 58">
          <a:extLst>
            <a:ext uri="{FF2B5EF4-FFF2-40B4-BE49-F238E27FC236}">
              <a16:creationId xmlns:a16="http://schemas.microsoft.com/office/drawing/2014/main" id="{4EDA60F7-36FC-4E64-8081-9DFABD0FB9D0}"/>
            </a:ext>
          </a:extLst>
        </xdr:cNvPr>
        <xdr:cNvSpPr txBox="1"/>
      </xdr:nvSpPr>
      <xdr:spPr>
        <a:xfrm>
          <a:off x="10916224" y="4424793"/>
          <a:ext cx="3033347" cy="1274251"/>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lIns="36000" tIns="36000" rIns="36000" bIns="36000" rtlCol="0" anchor="t">
          <a:spAutoFit/>
        </a:bodyPr>
        <a:lstStyle/>
        <a:p>
          <a:r>
            <a:rPr kumimoji="1" lang="ja-JP" altLang="en-US" sz="800" b="1">
              <a:latin typeface="游ゴシック" panose="020B0400000000000000" pitchFamily="50" charset="-128"/>
              <a:ea typeface="游ゴシック" panose="020B0400000000000000" pitchFamily="50" charset="-128"/>
            </a:rPr>
            <a:t>≪処理手順≫</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１．抽出条件を入力</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２．表示ボタンをクリック</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３．データが一覧表示される。</a:t>
          </a:r>
          <a:endParaRPr kumimoji="1" lang="en-US" altLang="ja-JP" sz="800" b="1">
            <a:latin typeface="游ゴシック" panose="020B0400000000000000" pitchFamily="50" charset="-128"/>
            <a:ea typeface="游ゴシック" panose="020B0400000000000000" pitchFamily="50" charset="-128"/>
          </a:endParaRPr>
        </a:p>
        <a:p>
          <a:r>
            <a:rPr kumimoji="1" lang="ja-JP" altLang="en-US" sz="800" b="1">
              <a:latin typeface="游ゴシック" panose="020B0400000000000000" pitchFamily="50" charset="-128"/>
              <a:ea typeface="游ゴシック" panose="020B0400000000000000" pitchFamily="50" charset="-128"/>
            </a:rPr>
            <a:t>　</a:t>
          </a:r>
          <a:r>
            <a:rPr kumimoji="1" lang="en-US" altLang="ja-JP" sz="800" b="1">
              <a:latin typeface="游ゴシック" panose="020B0400000000000000" pitchFamily="50" charset="-128"/>
              <a:ea typeface="游ゴシック" panose="020B0400000000000000" pitchFamily="50" charset="-128"/>
            </a:rPr>
            <a:t>3-1</a:t>
          </a:r>
          <a:r>
            <a:rPr kumimoji="1" lang="en-US" altLang="ja-JP" sz="800" b="1" baseline="0">
              <a:latin typeface="游ゴシック" panose="020B0400000000000000" pitchFamily="50" charset="-128"/>
              <a:ea typeface="游ゴシック" panose="020B0400000000000000" pitchFamily="50" charset="-128"/>
            </a:rPr>
            <a:t>.</a:t>
          </a:r>
          <a:r>
            <a:rPr kumimoji="1" lang="ja-JP" altLang="en-US" sz="800" b="1" baseline="0">
              <a:latin typeface="游ゴシック" panose="020B0400000000000000" pitchFamily="50" charset="-128"/>
              <a:ea typeface="游ゴシック" panose="020B0400000000000000" pitchFamily="50" charset="-128"/>
            </a:rPr>
            <a:t>見積を参照・訂正・削除・引用する。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3-2.</a:t>
          </a:r>
          <a:r>
            <a:rPr kumimoji="1" lang="ja-JP" altLang="en-US" sz="800" b="1" baseline="0">
              <a:latin typeface="游ゴシック" panose="020B0400000000000000" pitchFamily="50" charset="-128"/>
              <a:ea typeface="游ゴシック" panose="020B0400000000000000" pitchFamily="50" charset="-128"/>
            </a:rPr>
            <a:t>見積計算書を出力する。</a:t>
          </a:r>
          <a:endParaRPr kumimoji="1" lang="en-US" altLang="ja-JP" sz="800" b="1" baseline="0">
            <a:latin typeface="游ゴシック" panose="020B0400000000000000" pitchFamily="50" charset="-128"/>
            <a:ea typeface="游ゴシック" panose="020B0400000000000000" pitchFamily="50" charset="-128"/>
          </a:endParaRPr>
        </a:p>
        <a:p>
          <a:r>
            <a:rPr kumimoji="1" lang="ja-JP" altLang="en-US" sz="800" b="1" baseline="0">
              <a:latin typeface="游ゴシック" panose="020B0400000000000000" pitchFamily="50" charset="-128"/>
              <a:ea typeface="游ゴシック" panose="020B0400000000000000" pitchFamily="50" charset="-128"/>
            </a:rPr>
            <a:t>　</a:t>
          </a:r>
          <a:r>
            <a:rPr kumimoji="1" lang="en-US" altLang="ja-JP" sz="800" b="1" baseline="0">
              <a:latin typeface="游ゴシック" panose="020B0400000000000000" pitchFamily="50" charset="-128"/>
              <a:ea typeface="游ゴシック" panose="020B0400000000000000" pitchFamily="50" charset="-128"/>
            </a:rPr>
            <a:t>3-3.</a:t>
          </a:r>
          <a:r>
            <a:rPr kumimoji="1" lang="ja-JP" altLang="en-US" sz="800" b="1" baseline="0">
              <a:latin typeface="游ゴシック" panose="020B0400000000000000" pitchFamily="50" charset="-128"/>
              <a:ea typeface="游ゴシック" panose="020B0400000000000000" pitchFamily="50" charset="-128"/>
            </a:rPr>
            <a:t>一覧データをダウンロードする。</a:t>
          </a:r>
          <a:endParaRPr kumimoji="1" lang="ja-JP" altLang="en-US" sz="800" b="1">
            <a:latin typeface="游ゴシック" panose="020B0400000000000000" pitchFamily="50" charset="-128"/>
            <a:ea typeface="游ゴシック" panose="020B0400000000000000" pitchFamily="50" charset="-128"/>
          </a:endParaRPr>
        </a:p>
      </xdr:txBody>
    </xdr:sp>
    <xdr:clientData/>
  </xdr:oneCellAnchor>
  <xdr:twoCellAnchor editAs="oneCell">
    <xdr:from>
      <xdr:col>2</xdr:col>
      <xdr:colOff>0</xdr:colOff>
      <xdr:row>85</xdr:row>
      <xdr:rowOff>0</xdr:rowOff>
    </xdr:from>
    <xdr:to>
      <xdr:col>26</xdr:col>
      <xdr:colOff>112238</xdr:colOff>
      <xdr:row>122</xdr:row>
      <xdr:rowOff>74336</xdr:rowOff>
    </xdr:to>
    <xdr:pic>
      <xdr:nvPicPr>
        <xdr:cNvPr id="60" name="図 59">
          <a:extLst>
            <a:ext uri="{FF2B5EF4-FFF2-40B4-BE49-F238E27FC236}">
              <a16:creationId xmlns:a16="http://schemas.microsoft.com/office/drawing/2014/main" id="{94FE8154-E7A3-4E65-9B30-137089749DD8}"/>
            </a:ext>
          </a:extLst>
        </xdr:cNvPr>
        <xdr:cNvPicPr>
          <a:picLocks noChangeAspect="1"/>
        </xdr:cNvPicPr>
      </xdr:nvPicPr>
      <xdr:blipFill rotWithShape="1">
        <a:blip xmlns:r="http://schemas.openxmlformats.org/officeDocument/2006/relationships" r:embed="rId6"/>
        <a:srcRect l="8925" t="11575" r="4789" b="5297"/>
        <a:stretch/>
      </xdr:blipFill>
      <xdr:spPr>
        <a:xfrm>
          <a:off x="323850" y="13077825"/>
          <a:ext cx="4017488" cy="5713136"/>
        </a:xfrm>
        <a:prstGeom prst="rect">
          <a:avLst/>
        </a:prstGeom>
        <a:ln>
          <a:solidFill>
            <a:schemeClr val="tx1">
              <a:lumMod val="50000"/>
              <a:lumOff val="50000"/>
            </a:schemeClr>
          </a:solidFill>
        </a:ln>
      </xdr:spPr>
    </xdr:pic>
    <xdr:clientData/>
  </xdr:twoCellAnchor>
  <xdr:twoCellAnchor editAs="oneCell">
    <xdr:from>
      <xdr:col>2</xdr:col>
      <xdr:colOff>152400</xdr:colOff>
      <xdr:row>86</xdr:row>
      <xdr:rowOff>3313</xdr:rowOff>
    </xdr:from>
    <xdr:to>
      <xdr:col>27</xdr:col>
      <xdr:colOff>98986</xdr:colOff>
      <xdr:row>123</xdr:row>
      <xdr:rowOff>77649</xdr:rowOff>
    </xdr:to>
    <xdr:pic>
      <xdr:nvPicPr>
        <xdr:cNvPr id="61" name="図 60">
          <a:extLst>
            <a:ext uri="{FF2B5EF4-FFF2-40B4-BE49-F238E27FC236}">
              <a16:creationId xmlns:a16="http://schemas.microsoft.com/office/drawing/2014/main" id="{EA7361B7-CBFA-45BA-82B0-7FDA4867E77B}"/>
            </a:ext>
          </a:extLst>
        </xdr:cNvPr>
        <xdr:cNvPicPr>
          <a:picLocks noChangeAspect="1"/>
        </xdr:cNvPicPr>
      </xdr:nvPicPr>
      <xdr:blipFill rotWithShape="1">
        <a:blip xmlns:r="http://schemas.openxmlformats.org/officeDocument/2006/relationships" r:embed="rId6"/>
        <a:srcRect l="8925" t="11575" r="4789" b="5297"/>
        <a:stretch/>
      </xdr:blipFill>
      <xdr:spPr>
        <a:xfrm>
          <a:off x="476250" y="13233538"/>
          <a:ext cx="4013761" cy="5713136"/>
        </a:xfrm>
        <a:prstGeom prst="rect">
          <a:avLst/>
        </a:prstGeom>
        <a:ln>
          <a:solidFill>
            <a:schemeClr val="tx1">
              <a:lumMod val="50000"/>
              <a:lumOff val="50000"/>
            </a:schemeClr>
          </a:solidFill>
        </a:ln>
      </xdr:spPr>
    </xdr:pic>
    <xdr:clientData/>
  </xdr:twoCellAnchor>
  <xdr:twoCellAnchor editAs="oneCell">
    <xdr:from>
      <xdr:col>3</xdr:col>
      <xdr:colOff>122582</xdr:colOff>
      <xdr:row>87</xdr:row>
      <xdr:rowOff>6626</xdr:rowOff>
    </xdr:from>
    <xdr:to>
      <xdr:col>28</xdr:col>
      <xdr:colOff>85734</xdr:colOff>
      <xdr:row>124</xdr:row>
      <xdr:rowOff>80962</xdr:rowOff>
    </xdr:to>
    <xdr:pic>
      <xdr:nvPicPr>
        <xdr:cNvPr id="62" name="図 61">
          <a:extLst>
            <a:ext uri="{FF2B5EF4-FFF2-40B4-BE49-F238E27FC236}">
              <a16:creationId xmlns:a16="http://schemas.microsoft.com/office/drawing/2014/main" id="{49357463-F6AD-4855-82A0-84DB9EB91714}"/>
            </a:ext>
          </a:extLst>
        </xdr:cNvPr>
        <xdr:cNvPicPr>
          <a:picLocks noChangeAspect="1"/>
        </xdr:cNvPicPr>
      </xdr:nvPicPr>
      <xdr:blipFill rotWithShape="1">
        <a:blip xmlns:r="http://schemas.openxmlformats.org/officeDocument/2006/relationships" r:embed="rId6"/>
        <a:srcRect l="8925" t="11575" r="4789" b="5297"/>
        <a:stretch/>
      </xdr:blipFill>
      <xdr:spPr>
        <a:xfrm>
          <a:off x="627407" y="13389251"/>
          <a:ext cx="4011277" cy="5713136"/>
        </a:xfrm>
        <a:prstGeom prst="rect">
          <a:avLst/>
        </a:prstGeom>
        <a:ln>
          <a:solidFill>
            <a:schemeClr val="tx1">
              <a:lumMod val="50000"/>
              <a:lumOff val="50000"/>
            </a:schemeClr>
          </a:solidFill>
        </a:ln>
      </xdr:spPr>
    </xdr:pic>
    <xdr:clientData/>
  </xdr:twoCellAnchor>
  <xdr:twoCellAnchor editAs="oneCell">
    <xdr:from>
      <xdr:col>4</xdr:col>
      <xdr:colOff>109330</xdr:colOff>
      <xdr:row>88</xdr:row>
      <xdr:rowOff>9939</xdr:rowOff>
    </xdr:from>
    <xdr:to>
      <xdr:col>29</xdr:col>
      <xdr:colOff>72482</xdr:colOff>
      <xdr:row>125</xdr:row>
      <xdr:rowOff>84275</xdr:rowOff>
    </xdr:to>
    <xdr:pic>
      <xdr:nvPicPr>
        <xdr:cNvPr id="63" name="図 62">
          <a:extLst>
            <a:ext uri="{FF2B5EF4-FFF2-40B4-BE49-F238E27FC236}">
              <a16:creationId xmlns:a16="http://schemas.microsoft.com/office/drawing/2014/main" id="{9AA96EA9-F4B4-4181-91D9-18BE3C59B8AE}"/>
            </a:ext>
          </a:extLst>
        </xdr:cNvPr>
        <xdr:cNvPicPr>
          <a:picLocks noChangeAspect="1"/>
        </xdr:cNvPicPr>
      </xdr:nvPicPr>
      <xdr:blipFill rotWithShape="1">
        <a:blip xmlns:r="http://schemas.openxmlformats.org/officeDocument/2006/relationships" r:embed="rId6"/>
        <a:srcRect l="8925" t="11575" r="4789" b="5297"/>
        <a:stretch/>
      </xdr:blipFill>
      <xdr:spPr>
        <a:xfrm>
          <a:off x="776080" y="13544964"/>
          <a:ext cx="4011277" cy="5713136"/>
        </a:xfrm>
        <a:prstGeom prst="rect">
          <a:avLst/>
        </a:prstGeom>
        <a:ln>
          <a:solidFill>
            <a:schemeClr val="tx1">
              <a:lumMod val="50000"/>
              <a:lumOff val="50000"/>
            </a:schemeClr>
          </a:solidFill>
        </a:ln>
      </xdr:spPr>
    </xdr:pic>
    <xdr:clientData/>
  </xdr:twoCellAnchor>
  <xdr:twoCellAnchor editAs="oneCell">
    <xdr:from>
      <xdr:col>5</xdr:col>
      <xdr:colOff>96078</xdr:colOff>
      <xdr:row>89</xdr:row>
      <xdr:rowOff>13252</xdr:rowOff>
    </xdr:from>
    <xdr:to>
      <xdr:col>30</xdr:col>
      <xdr:colOff>59230</xdr:colOff>
      <xdr:row>126</xdr:row>
      <xdr:rowOff>87588</xdr:rowOff>
    </xdr:to>
    <xdr:pic>
      <xdr:nvPicPr>
        <xdr:cNvPr id="64" name="図 63">
          <a:extLst>
            <a:ext uri="{FF2B5EF4-FFF2-40B4-BE49-F238E27FC236}">
              <a16:creationId xmlns:a16="http://schemas.microsoft.com/office/drawing/2014/main" id="{015709BA-D2D4-4C97-B0CC-CA389890AE09}"/>
            </a:ext>
          </a:extLst>
        </xdr:cNvPr>
        <xdr:cNvPicPr>
          <a:picLocks noChangeAspect="1"/>
        </xdr:cNvPicPr>
      </xdr:nvPicPr>
      <xdr:blipFill rotWithShape="1">
        <a:blip xmlns:r="http://schemas.openxmlformats.org/officeDocument/2006/relationships" r:embed="rId6"/>
        <a:srcRect l="8925" t="11575" r="4789" b="5297"/>
        <a:stretch/>
      </xdr:blipFill>
      <xdr:spPr>
        <a:xfrm>
          <a:off x="924753" y="13700677"/>
          <a:ext cx="4011277" cy="5713136"/>
        </a:xfrm>
        <a:prstGeom prst="rect">
          <a:avLst/>
        </a:prstGeom>
        <a:ln>
          <a:solidFill>
            <a:schemeClr val="tx1">
              <a:lumMod val="50000"/>
              <a:lumOff val="50000"/>
            </a:schemeClr>
          </a:solidFill>
        </a:ln>
      </xdr:spPr>
    </xdr:pic>
    <xdr:clientData/>
  </xdr:twoCellAnchor>
  <xdr:twoCellAnchor>
    <xdr:from>
      <xdr:col>60</xdr:col>
      <xdr:colOff>29308</xdr:colOff>
      <xdr:row>44</xdr:row>
      <xdr:rowOff>29308</xdr:rowOff>
    </xdr:from>
    <xdr:to>
      <xdr:col>61</xdr:col>
      <xdr:colOff>156115</xdr:colOff>
      <xdr:row>44</xdr:row>
      <xdr:rowOff>137308</xdr:rowOff>
    </xdr:to>
    <xdr:sp macro="" textlink="">
      <xdr:nvSpPr>
        <xdr:cNvPr id="65" name="フローチャート: 代替処理 64">
          <a:extLst>
            <a:ext uri="{FF2B5EF4-FFF2-40B4-BE49-F238E27FC236}">
              <a16:creationId xmlns:a16="http://schemas.microsoft.com/office/drawing/2014/main" id="{703EDB43-F219-414F-ABAF-617547C301F5}"/>
            </a:ext>
          </a:extLst>
        </xdr:cNvPr>
        <xdr:cNvSpPr/>
      </xdr:nvSpPr>
      <xdr:spPr bwMode="auto">
        <a:xfrm>
          <a:off x="9763858" y="6858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45</xdr:row>
      <xdr:rowOff>29308</xdr:rowOff>
    </xdr:from>
    <xdr:to>
      <xdr:col>61</xdr:col>
      <xdr:colOff>156115</xdr:colOff>
      <xdr:row>45</xdr:row>
      <xdr:rowOff>137308</xdr:rowOff>
    </xdr:to>
    <xdr:sp macro="" textlink="">
      <xdr:nvSpPr>
        <xdr:cNvPr id="66" name="フローチャート: 代替処理 65">
          <a:extLst>
            <a:ext uri="{FF2B5EF4-FFF2-40B4-BE49-F238E27FC236}">
              <a16:creationId xmlns:a16="http://schemas.microsoft.com/office/drawing/2014/main" id="{8BD850AA-A8F8-48B4-9F6C-B4E96102F929}"/>
            </a:ext>
          </a:extLst>
        </xdr:cNvPr>
        <xdr:cNvSpPr/>
      </xdr:nvSpPr>
      <xdr:spPr bwMode="auto">
        <a:xfrm>
          <a:off x="9763858" y="7011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46</xdr:row>
      <xdr:rowOff>29308</xdr:rowOff>
    </xdr:from>
    <xdr:to>
      <xdr:col>61</xdr:col>
      <xdr:colOff>156115</xdr:colOff>
      <xdr:row>46</xdr:row>
      <xdr:rowOff>137308</xdr:rowOff>
    </xdr:to>
    <xdr:sp macro="" textlink="">
      <xdr:nvSpPr>
        <xdr:cNvPr id="67" name="フローチャート: 代替処理 66">
          <a:extLst>
            <a:ext uri="{FF2B5EF4-FFF2-40B4-BE49-F238E27FC236}">
              <a16:creationId xmlns:a16="http://schemas.microsoft.com/office/drawing/2014/main" id="{0F0060CC-4809-4FE5-B685-EBAE77B3654F}"/>
            </a:ext>
          </a:extLst>
        </xdr:cNvPr>
        <xdr:cNvSpPr/>
      </xdr:nvSpPr>
      <xdr:spPr bwMode="auto">
        <a:xfrm>
          <a:off x="9763858" y="7163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47</xdr:row>
      <xdr:rowOff>29308</xdr:rowOff>
    </xdr:from>
    <xdr:to>
      <xdr:col>61</xdr:col>
      <xdr:colOff>156115</xdr:colOff>
      <xdr:row>47</xdr:row>
      <xdr:rowOff>137308</xdr:rowOff>
    </xdr:to>
    <xdr:sp macro="" textlink="">
      <xdr:nvSpPr>
        <xdr:cNvPr id="68" name="フローチャート: 代替処理 67">
          <a:extLst>
            <a:ext uri="{FF2B5EF4-FFF2-40B4-BE49-F238E27FC236}">
              <a16:creationId xmlns:a16="http://schemas.microsoft.com/office/drawing/2014/main" id="{CACAF5C5-3B36-4CF0-A181-D6D79FBB6790}"/>
            </a:ext>
          </a:extLst>
        </xdr:cNvPr>
        <xdr:cNvSpPr/>
      </xdr:nvSpPr>
      <xdr:spPr bwMode="auto">
        <a:xfrm>
          <a:off x="9763858" y="7315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48</xdr:row>
      <xdr:rowOff>29308</xdr:rowOff>
    </xdr:from>
    <xdr:to>
      <xdr:col>61</xdr:col>
      <xdr:colOff>156115</xdr:colOff>
      <xdr:row>48</xdr:row>
      <xdr:rowOff>137308</xdr:rowOff>
    </xdr:to>
    <xdr:sp macro="" textlink="">
      <xdr:nvSpPr>
        <xdr:cNvPr id="69" name="フローチャート: 代替処理 68">
          <a:extLst>
            <a:ext uri="{FF2B5EF4-FFF2-40B4-BE49-F238E27FC236}">
              <a16:creationId xmlns:a16="http://schemas.microsoft.com/office/drawing/2014/main" id="{3ED5FA44-6EA5-465C-8DFC-34FA0BF33649}"/>
            </a:ext>
          </a:extLst>
        </xdr:cNvPr>
        <xdr:cNvSpPr/>
      </xdr:nvSpPr>
      <xdr:spPr bwMode="auto">
        <a:xfrm>
          <a:off x="9763858" y="7468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49</xdr:row>
      <xdr:rowOff>29308</xdr:rowOff>
    </xdr:from>
    <xdr:to>
      <xdr:col>61</xdr:col>
      <xdr:colOff>156115</xdr:colOff>
      <xdr:row>49</xdr:row>
      <xdr:rowOff>137308</xdr:rowOff>
    </xdr:to>
    <xdr:sp macro="" textlink="">
      <xdr:nvSpPr>
        <xdr:cNvPr id="70" name="フローチャート: 代替処理 69">
          <a:extLst>
            <a:ext uri="{FF2B5EF4-FFF2-40B4-BE49-F238E27FC236}">
              <a16:creationId xmlns:a16="http://schemas.microsoft.com/office/drawing/2014/main" id="{96B12662-0EB2-4943-9C67-4A52AEFD16A0}"/>
            </a:ext>
          </a:extLst>
        </xdr:cNvPr>
        <xdr:cNvSpPr/>
      </xdr:nvSpPr>
      <xdr:spPr bwMode="auto">
        <a:xfrm>
          <a:off x="9763858" y="76207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50</xdr:row>
      <xdr:rowOff>29308</xdr:rowOff>
    </xdr:from>
    <xdr:to>
      <xdr:col>61</xdr:col>
      <xdr:colOff>156115</xdr:colOff>
      <xdr:row>50</xdr:row>
      <xdr:rowOff>137308</xdr:rowOff>
    </xdr:to>
    <xdr:sp macro="" textlink="">
      <xdr:nvSpPr>
        <xdr:cNvPr id="71" name="フローチャート: 代替処理 70">
          <a:extLst>
            <a:ext uri="{FF2B5EF4-FFF2-40B4-BE49-F238E27FC236}">
              <a16:creationId xmlns:a16="http://schemas.microsoft.com/office/drawing/2014/main" id="{B354E5A3-781E-47E7-8E05-4476A92DEDB7}"/>
            </a:ext>
          </a:extLst>
        </xdr:cNvPr>
        <xdr:cNvSpPr/>
      </xdr:nvSpPr>
      <xdr:spPr bwMode="auto">
        <a:xfrm>
          <a:off x="9763858" y="77731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51</xdr:row>
      <xdr:rowOff>29308</xdr:rowOff>
    </xdr:from>
    <xdr:to>
      <xdr:col>61</xdr:col>
      <xdr:colOff>156115</xdr:colOff>
      <xdr:row>51</xdr:row>
      <xdr:rowOff>137308</xdr:rowOff>
    </xdr:to>
    <xdr:sp macro="" textlink="">
      <xdr:nvSpPr>
        <xdr:cNvPr id="72" name="フローチャート: 代替処理 71">
          <a:extLst>
            <a:ext uri="{FF2B5EF4-FFF2-40B4-BE49-F238E27FC236}">
              <a16:creationId xmlns:a16="http://schemas.microsoft.com/office/drawing/2014/main" id="{00C79344-B26E-4677-AECC-ED9F8FAD458B}"/>
            </a:ext>
          </a:extLst>
        </xdr:cNvPr>
        <xdr:cNvSpPr/>
      </xdr:nvSpPr>
      <xdr:spPr bwMode="auto">
        <a:xfrm>
          <a:off x="9763858" y="79255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52</xdr:row>
      <xdr:rowOff>29308</xdr:rowOff>
    </xdr:from>
    <xdr:to>
      <xdr:col>61</xdr:col>
      <xdr:colOff>156115</xdr:colOff>
      <xdr:row>52</xdr:row>
      <xdr:rowOff>137308</xdr:rowOff>
    </xdr:to>
    <xdr:sp macro="" textlink="">
      <xdr:nvSpPr>
        <xdr:cNvPr id="73" name="フローチャート: 代替処理 72">
          <a:extLst>
            <a:ext uri="{FF2B5EF4-FFF2-40B4-BE49-F238E27FC236}">
              <a16:creationId xmlns:a16="http://schemas.microsoft.com/office/drawing/2014/main" id="{9017B298-B9A7-46F9-9A9A-FA70BA46AA2E}"/>
            </a:ext>
          </a:extLst>
        </xdr:cNvPr>
        <xdr:cNvSpPr/>
      </xdr:nvSpPr>
      <xdr:spPr bwMode="auto">
        <a:xfrm>
          <a:off x="9763858" y="80779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60</xdr:col>
      <xdr:colOff>29308</xdr:colOff>
      <xdr:row>53</xdr:row>
      <xdr:rowOff>29308</xdr:rowOff>
    </xdr:from>
    <xdr:to>
      <xdr:col>61</xdr:col>
      <xdr:colOff>156115</xdr:colOff>
      <xdr:row>53</xdr:row>
      <xdr:rowOff>137308</xdr:rowOff>
    </xdr:to>
    <xdr:sp macro="" textlink="">
      <xdr:nvSpPr>
        <xdr:cNvPr id="74" name="フローチャート: 代替処理 73">
          <a:extLst>
            <a:ext uri="{FF2B5EF4-FFF2-40B4-BE49-F238E27FC236}">
              <a16:creationId xmlns:a16="http://schemas.microsoft.com/office/drawing/2014/main" id="{76B67298-33CF-4468-A90A-B3F1FB13C532}"/>
            </a:ext>
          </a:extLst>
        </xdr:cNvPr>
        <xdr:cNvSpPr/>
      </xdr:nvSpPr>
      <xdr:spPr bwMode="auto">
        <a:xfrm>
          <a:off x="9763858" y="8230333"/>
          <a:ext cx="28873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xdr:from>
      <xdr:col>2</xdr:col>
      <xdr:colOff>29308</xdr:colOff>
      <xdr:row>70</xdr:row>
      <xdr:rowOff>29308</xdr:rowOff>
    </xdr:from>
    <xdr:to>
      <xdr:col>3</xdr:col>
      <xdr:colOff>156115</xdr:colOff>
      <xdr:row>70</xdr:row>
      <xdr:rowOff>137308</xdr:rowOff>
    </xdr:to>
    <xdr:sp macro="" textlink="">
      <xdr:nvSpPr>
        <xdr:cNvPr id="75" name="フローチャート: 代替処理 74">
          <a:extLst>
            <a:ext uri="{FF2B5EF4-FFF2-40B4-BE49-F238E27FC236}">
              <a16:creationId xmlns:a16="http://schemas.microsoft.com/office/drawing/2014/main" id="{D1848842-8325-412A-9ED2-175E188E4479}"/>
            </a:ext>
          </a:extLst>
        </xdr:cNvPr>
        <xdr:cNvSpPr/>
      </xdr:nvSpPr>
      <xdr:spPr bwMode="auto">
        <a:xfrm>
          <a:off x="353158" y="10821133"/>
          <a:ext cx="307782"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引用</a:t>
          </a:r>
        </a:p>
      </xdr:txBody>
    </xdr:sp>
    <xdr:clientData/>
  </xdr:twoCellAnchor>
  <xdr:twoCellAnchor editAs="oneCell">
    <xdr:from>
      <xdr:col>38</xdr:col>
      <xdr:colOff>0</xdr:colOff>
      <xdr:row>61</xdr:row>
      <xdr:rowOff>0</xdr:rowOff>
    </xdr:from>
    <xdr:to>
      <xdr:col>61</xdr:col>
      <xdr:colOff>47143</xdr:colOff>
      <xdr:row>71</xdr:row>
      <xdr:rowOff>69130</xdr:rowOff>
    </xdr:to>
    <xdr:pic>
      <xdr:nvPicPr>
        <xdr:cNvPr id="76" name="図 75">
          <a:extLst>
            <a:ext uri="{FF2B5EF4-FFF2-40B4-BE49-F238E27FC236}">
              <a16:creationId xmlns:a16="http://schemas.microsoft.com/office/drawing/2014/main" id="{5A3E81C7-10DA-473C-BB0C-20D8A1715DA2}"/>
            </a:ext>
          </a:extLst>
        </xdr:cNvPr>
        <xdr:cNvPicPr>
          <a:picLocks noChangeAspect="1"/>
        </xdr:cNvPicPr>
      </xdr:nvPicPr>
      <xdr:blipFill>
        <a:blip xmlns:r="http://schemas.openxmlformats.org/officeDocument/2006/relationships" r:embed="rId7"/>
        <a:stretch>
          <a:fillRect/>
        </a:stretch>
      </xdr:blipFill>
      <xdr:spPr>
        <a:xfrm>
          <a:off x="6172200" y="9420225"/>
          <a:ext cx="3771418" cy="1593130"/>
        </a:xfrm>
        <a:prstGeom prst="rect">
          <a:avLst/>
        </a:prstGeom>
      </xdr:spPr>
    </xdr:pic>
    <xdr:clientData/>
  </xdr:twoCellAnchor>
  <xdr:twoCellAnchor>
    <xdr:from>
      <xdr:col>39</xdr:col>
      <xdr:colOff>16565</xdr:colOff>
      <xdr:row>65</xdr:row>
      <xdr:rowOff>24848</xdr:rowOff>
    </xdr:from>
    <xdr:to>
      <xdr:col>58</xdr:col>
      <xdr:colOff>99392</xdr:colOff>
      <xdr:row>67</xdr:row>
      <xdr:rowOff>8283</xdr:rowOff>
    </xdr:to>
    <xdr:sp macro="" textlink="">
      <xdr:nvSpPr>
        <xdr:cNvPr id="77" name="正方形/長方形 76">
          <a:extLst>
            <a:ext uri="{FF2B5EF4-FFF2-40B4-BE49-F238E27FC236}">
              <a16:creationId xmlns:a16="http://schemas.microsoft.com/office/drawing/2014/main" id="{514017D3-EB19-447C-ADC7-7AEE9CD763D4}"/>
            </a:ext>
          </a:extLst>
        </xdr:cNvPr>
        <xdr:cNvSpPr/>
      </xdr:nvSpPr>
      <xdr:spPr bwMode="auto">
        <a:xfrm>
          <a:off x="6350690" y="10054673"/>
          <a:ext cx="3159402" cy="28823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14</xdr:col>
      <xdr:colOff>24849</xdr:colOff>
      <xdr:row>19</xdr:row>
      <xdr:rowOff>0</xdr:rowOff>
    </xdr:from>
    <xdr:ext cx="121422" cy="146538"/>
    <xdr:pic>
      <xdr:nvPicPr>
        <xdr:cNvPr id="78" name="図 77">
          <a:extLst>
            <a:ext uri="{FF2B5EF4-FFF2-40B4-BE49-F238E27FC236}">
              <a16:creationId xmlns:a16="http://schemas.microsoft.com/office/drawing/2014/main" id="{4B459589-3A3F-4DA8-B6F9-7D21EED6F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0849" y="301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24849</xdr:colOff>
      <xdr:row>20</xdr:row>
      <xdr:rowOff>0</xdr:rowOff>
    </xdr:from>
    <xdr:ext cx="121422" cy="146538"/>
    <xdr:pic>
      <xdr:nvPicPr>
        <xdr:cNvPr id="79" name="図 78">
          <a:extLst>
            <a:ext uri="{FF2B5EF4-FFF2-40B4-BE49-F238E27FC236}">
              <a16:creationId xmlns:a16="http://schemas.microsoft.com/office/drawing/2014/main" id="{E6AEE93D-2ED7-483E-A910-126A80636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0849" y="31718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149086</xdr:colOff>
      <xdr:row>18</xdr:row>
      <xdr:rowOff>140805</xdr:rowOff>
    </xdr:from>
    <xdr:to>
      <xdr:col>15</xdr:col>
      <xdr:colOff>8281</xdr:colOff>
      <xdr:row>21</xdr:row>
      <xdr:rowOff>8281</xdr:rowOff>
    </xdr:to>
    <xdr:sp macro="" textlink="">
      <xdr:nvSpPr>
        <xdr:cNvPr id="80" name="正方形/長方形 79">
          <a:extLst>
            <a:ext uri="{FF2B5EF4-FFF2-40B4-BE49-F238E27FC236}">
              <a16:creationId xmlns:a16="http://schemas.microsoft.com/office/drawing/2014/main" id="{9303B4C5-6720-437C-B356-162E4EF27975}"/>
            </a:ext>
          </a:extLst>
        </xdr:cNvPr>
        <xdr:cNvSpPr/>
      </xdr:nvSpPr>
      <xdr:spPr bwMode="auto">
        <a:xfrm>
          <a:off x="472936" y="3007830"/>
          <a:ext cx="1983270" cy="32467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15</xdr:col>
      <xdr:colOff>124238</xdr:colOff>
      <xdr:row>18</xdr:row>
      <xdr:rowOff>33130</xdr:rowOff>
    </xdr:from>
    <xdr:ext cx="1780761" cy="416002"/>
    <xdr:sp macro="" textlink="">
      <xdr:nvSpPr>
        <xdr:cNvPr id="81" name="吹き出し: 四角形 80">
          <a:extLst>
            <a:ext uri="{FF2B5EF4-FFF2-40B4-BE49-F238E27FC236}">
              <a16:creationId xmlns:a16="http://schemas.microsoft.com/office/drawing/2014/main" id="{53BA3A9B-95A3-4C7F-9A06-ED1B5DF507BF}"/>
            </a:ext>
          </a:extLst>
        </xdr:cNvPr>
        <xdr:cNvSpPr/>
      </xdr:nvSpPr>
      <xdr:spPr>
        <a:xfrm>
          <a:off x="2572163" y="2900155"/>
          <a:ext cx="1780761" cy="416002"/>
        </a:xfrm>
        <a:prstGeom prst="wedgeRectCallout">
          <a:avLst>
            <a:gd name="adj1" fmla="val -57829"/>
            <a:gd name="adj2" fmla="val 19434"/>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拠点　：管理者のみ変更可能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担当者：拠点に紐づく担当者を表示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27</xdr:col>
      <xdr:colOff>99391</xdr:colOff>
      <xdr:row>18</xdr:row>
      <xdr:rowOff>33130</xdr:rowOff>
    </xdr:from>
    <xdr:ext cx="4182718" cy="930951"/>
    <xdr:sp macro="" textlink="">
      <xdr:nvSpPr>
        <xdr:cNvPr id="82" name="テキスト ボックス 81">
          <a:extLst>
            <a:ext uri="{FF2B5EF4-FFF2-40B4-BE49-F238E27FC236}">
              <a16:creationId xmlns:a16="http://schemas.microsoft.com/office/drawing/2014/main" id="{C4A68A0B-80D9-4CF0-8A84-D1C0D3DB096C}"/>
            </a:ext>
          </a:extLst>
        </xdr:cNvPr>
        <xdr:cNvSpPr txBox="1"/>
      </xdr:nvSpPr>
      <xdr:spPr>
        <a:xfrm>
          <a:off x="4490416" y="2900155"/>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②見積作成日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twoCellAnchor>
    <xdr:from>
      <xdr:col>2</xdr:col>
      <xdr:colOff>156341</xdr:colOff>
      <xdr:row>81</xdr:row>
      <xdr:rowOff>47625</xdr:rowOff>
    </xdr:from>
    <xdr:to>
      <xdr:col>7</xdr:col>
      <xdr:colOff>39743</xdr:colOff>
      <xdr:row>82</xdr:row>
      <xdr:rowOff>128222</xdr:rowOff>
    </xdr:to>
    <xdr:sp macro="" textlink="">
      <xdr:nvSpPr>
        <xdr:cNvPr id="83" name="フローチャート: 代替処理 82">
          <a:extLst>
            <a:ext uri="{FF2B5EF4-FFF2-40B4-BE49-F238E27FC236}">
              <a16:creationId xmlns:a16="http://schemas.microsoft.com/office/drawing/2014/main" id="{54F6FDCC-2DF2-4A9E-9AB4-379A66932372}"/>
            </a:ext>
          </a:extLst>
        </xdr:cNvPr>
        <xdr:cNvSpPr/>
      </xdr:nvSpPr>
      <xdr:spPr bwMode="auto">
        <a:xfrm>
          <a:off x="480191" y="12515850"/>
          <a:ext cx="712077"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2</xdr:col>
      <xdr:colOff>91108</xdr:colOff>
      <xdr:row>80</xdr:row>
      <xdr:rowOff>132522</xdr:rowOff>
    </xdr:from>
    <xdr:to>
      <xdr:col>7</xdr:col>
      <xdr:colOff>99391</xdr:colOff>
      <xdr:row>83</xdr:row>
      <xdr:rowOff>24848</xdr:rowOff>
    </xdr:to>
    <xdr:sp macro="" textlink="">
      <xdr:nvSpPr>
        <xdr:cNvPr id="84" name="正方形/長方形 83">
          <a:extLst>
            <a:ext uri="{FF2B5EF4-FFF2-40B4-BE49-F238E27FC236}">
              <a16:creationId xmlns:a16="http://schemas.microsoft.com/office/drawing/2014/main" id="{43A5C394-AD44-447E-A382-109685B3FFED}"/>
            </a:ext>
          </a:extLst>
        </xdr:cNvPr>
        <xdr:cNvSpPr/>
      </xdr:nvSpPr>
      <xdr:spPr bwMode="auto">
        <a:xfrm>
          <a:off x="414958" y="12448347"/>
          <a:ext cx="836958" cy="349526"/>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79</xdr:row>
      <xdr:rowOff>28575</xdr:rowOff>
    </xdr:from>
    <xdr:to>
      <xdr:col>1</xdr:col>
      <xdr:colOff>5024</xdr:colOff>
      <xdr:row>79</xdr:row>
      <xdr:rowOff>180956</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525" y="25165050"/>
          <a:ext cx="152381" cy="152381"/>
        </a:xfrm>
        <a:prstGeom prst="rect">
          <a:avLst/>
        </a:prstGeom>
      </xdr:spPr>
    </xdr:pic>
    <xdr:clientData/>
  </xdr:twoCellAnchor>
  <xdr:twoCellAnchor editAs="oneCell">
    <xdr:from>
      <xdr:col>0</xdr:col>
      <xdr:colOff>9525</xdr:colOff>
      <xdr:row>80</xdr:row>
      <xdr:rowOff>39781</xdr:rowOff>
    </xdr:from>
    <xdr:to>
      <xdr:col>0</xdr:col>
      <xdr:colOff>146032</xdr:colOff>
      <xdr:row>81</xdr:row>
      <xdr:rowOff>1660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9525" y="25376281"/>
          <a:ext cx="142857" cy="1619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見積計算書一覧照会</a:t>
          </a:r>
        </a:p>
      </xdr:txBody>
    </xdr:sp>
    <xdr:clientData/>
  </xdr:twoCellAnchor>
  <xdr:twoCellAnchor>
    <xdr:from>
      <xdr:col>3</xdr:col>
      <xdr:colOff>161924</xdr:colOff>
      <xdr:row>7</xdr:row>
      <xdr:rowOff>0</xdr:rowOff>
    </xdr:from>
    <xdr:to>
      <xdr:col>29</xdr:col>
      <xdr:colOff>0</xdr:colOff>
      <xdr:row>12</xdr:row>
      <xdr:rowOff>0</xdr:rowOff>
    </xdr:to>
    <xdr:sp macro="" textlink="">
      <xdr:nvSpPr>
        <xdr:cNvPr id="23" name="正方形/長方形 22">
          <a:extLst>
            <a:ext uri="{FF2B5EF4-FFF2-40B4-BE49-F238E27FC236}">
              <a16:creationId xmlns:a16="http://schemas.microsoft.com/office/drawing/2014/main" id="{581F0245-28FB-46AB-AE7B-3F9986B9308B}"/>
            </a:ext>
          </a:extLst>
        </xdr:cNvPr>
        <xdr:cNvSpPr/>
      </xdr:nvSpPr>
      <xdr:spPr bwMode="auto">
        <a:xfrm>
          <a:off x="666749" y="1285875"/>
          <a:ext cx="4114801"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104775</xdr:colOff>
      <xdr:row>8</xdr:row>
      <xdr:rowOff>0</xdr:rowOff>
    </xdr:from>
    <xdr:to>
      <xdr:col>15</xdr:col>
      <xdr:colOff>104775</xdr:colOff>
      <xdr:row>11</xdr:row>
      <xdr:rowOff>0</xdr:rowOff>
    </xdr:to>
    <xdr:sp macro="" textlink="">
      <xdr:nvSpPr>
        <xdr:cNvPr id="24" name="Text Box 56">
          <a:extLst>
            <a:ext uri="{FF2B5EF4-FFF2-40B4-BE49-F238E27FC236}">
              <a16:creationId xmlns:a16="http://schemas.microsoft.com/office/drawing/2014/main" id="{ABAF15D1-A92B-4A77-9457-AA907CB9DDBD}"/>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見積計算書</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95250</xdr:colOff>
      <xdr:row>8</xdr:row>
      <xdr:rowOff>0</xdr:rowOff>
    </xdr:from>
    <xdr:to>
      <xdr:col>27</xdr:col>
      <xdr:colOff>95250</xdr:colOff>
      <xdr:row>11</xdr:row>
      <xdr:rowOff>0</xdr:rowOff>
    </xdr:to>
    <xdr:sp macro="" textlink="">
      <xdr:nvSpPr>
        <xdr:cNvPr id="25" name="Text Box 56">
          <a:extLst>
            <a:ext uri="{FF2B5EF4-FFF2-40B4-BE49-F238E27FC236}">
              <a16:creationId xmlns:a16="http://schemas.microsoft.com/office/drawing/2014/main" id="{79459E2E-BD93-4EA3-B918-836A1623E6DD}"/>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見積加工工程</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46D34571-DF2E-49DF-A7E2-37B7CBF0E031}"/>
            </a:ext>
          </a:extLst>
        </xdr:cNvPr>
        <xdr:cNvCxnSpPr>
          <a:endCxn id="7" idx="0"/>
        </xdr:cNvCxnSpPr>
      </xdr:nvCxnSpPr>
      <xdr:spPr bwMode="auto">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C56993C9-A790-4BA0-93DD-6743CEFDA9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2860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13</xdr:row>
      <xdr:rowOff>21004</xdr:rowOff>
    </xdr:to>
    <xdr:cxnSp macro="">
      <xdr:nvCxnSpPr>
        <xdr:cNvPr id="10" name="直線矢印コネクタ 9">
          <a:extLst>
            <a:ext uri="{FF2B5EF4-FFF2-40B4-BE49-F238E27FC236}">
              <a16:creationId xmlns:a16="http://schemas.microsoft.com/office/drawing/2014/main" id="{6BA4F318-B4C4-4829-8D2D-8982CDE54EFB}"/>
            </a:ext>
          </a:extLst>
        </xdr:cNvPr>
        <xdr:cNvCxnSpPr>
          <a:cxnSpLocks/>
          <a:stCxn id="2" idx="3"/>
          <a:endCxn id="11" idx="1"/>
        </xdr:cNvCxnSpPr>
      </xdr:nvCxnSpPr>
      <xdr:spPr bwMode="auto">
        <a:xfrm>
          <a:off x="2284387" y="2907079"/>
          <a:ext cx="217331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34</xdr:col>
      <xdr:colOff>0</xdr:colOff>
      <xdr:row>12</xdr:row>
      <xdr:rowOff>0</xdr:rowOff>
    </xdr:from>
    <xdr:to>
      <xdr:col>37</xdr:col>
      <xdr:colOff>160312</xdr:colOff>
      <xdr:row>14</xdr:row>
      <xdr:rowOff>42007</xdr:rowOff>
    </xdr:to>
    <xdr:pic>
      <xdr:nvPicPr>
        <xdr:cNvPr id="11" name="Picture 20">
          <a:extLst>
            <a:ext uri="{FF2B5EF4-FFF2-40B4-BE49-F238E27FC236}">
              <a16:creationId xmlns:a16="http://schemas.microsoft.com/office/drawing/2014/main" id="{DFAE9F84-40F7-4AD4-9686-2535252EDA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7700" y="268605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10</xdr:row>
      <xdr:rowOff>0</xdr:rowOff>
    </xdr:from>
    <xdr:to>
      <xdr:col>6</xdr:col>
      <xdr:colOff>26962</xdr:colOff>
      <xdr:row>12</xdr:row>
      <xdr:rowOff>42007</xdr:rowOff>
    </xdr:to>
    <xdr:pic>
      <xdr:nvPicPr>
        <xdr:cNvPr id="14" name="Picture 20">
          <a:extLst>
            <a:ext uri="{FF2B5EF4-FFF2-40B4-BE49-F238E27FC236}">
              <a16:creationId xmlns:a16="http://schemas.microsoft.com/office/drawing/2014/main" id="{3B96B5A3-3A3B-47C2-8CDF-C17CAA716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16" name="Picture 20">
          <a:extLst>
            <a:ext uri="{FF2B5EF4-FFF2-40B4-BE49-F238E27FC236}">
              <a16:creationId xmlns:a16="http://schemas.microsoft.com/office/drawing/2014/main" id="{34B33C49-933E-4CA5-8256-1978A5A9A3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17" name="直線矢印コネクタ 16">
          <a:extLst>
            <a:ext uri="{FF2B5EF4-FFF2-40B4-BE49-F238E27FC236}">
              <a16:creationId xmlns:a16="http://schemas.microsoft.com/office/drawing/2014/main" id="{28EB4EC8-2FBE-47F4-B7EB-76281602FF30}"/>
            </a:ext>
          </a:extLst>
        </xdr:cNvPr>
        <xdr:cNvCxnSpPr>
          <a:stCxn id="16" idx="3"/>
          <a:endCxn id="2" idx="1"/>
        </xdr:cNvCxnSpPr>
      </xdr:nvCxnSpPr>
      <xdr:spPr bwMode="auto">
        <a:xfrm flipV="1">
          <a:off x="1084237" y="2507029"/>
          <a:ext cx="1754213"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20" name="直線矢印コネクタ 19">
          <a:extLst>
            <a:ext uri="{FF2B5EF4-FFF2-40B4-BE49-F238E27FC236}">
              <a16:creationId xmlns:a16="http://schemas.microsoft.com/office/drawing/2014/main" id="{6B0CA0BE-9B00-458B-BF68-BEA7ABFFB070}"/>
            </a:ext>
          </a:extLst>
        </xdr:cNvPr>
        <xdr:cNvCxnSpPr>
          <a:stCxn id="14" idx="3"/>
          <a:endCxn id="2" idx="1"/>
        </xdr:cNvCxnSpPr>
      </xdr:nvCxnSpPr>
      <xdr:spPr bwMode="auto">
        <a:xfrm>
          <a:off x="1084237" y="2106979"/>
          <a:ext cx="1754213"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61"/>
  </cols>
  <sheetData>
    <row r="1" spans="1:48">
      <c r="A1" s="161" t="s">
        <v>0</v>
      </c>
    </row>
    <row r="3" spans="1:48">
      <c r="C3" s="161" t="s">
        <v>1</v>
      </c>
    </row>
    <row r="4" spans="1:48">
      <c r="D4" s="161" t="s">
        <v>2</v>
      </c>
    </row>
    <row r="5" spans="1:48">
      <c r="D5" s="161" t="s">
        <v>3</v>
      </c>
    </row>
    <row r="7" spans="1:48">
      <c r="C7" s="161" t="s">
        <v>4</v>
      </c>
    </row>
    <row r="8" spans="1:48">
      <c r="D8" s="161" t="s">
        <v>5</v>
      </c>
    </row>
    <row r="9" spans="1:48">
      <c r="D9" s="161" t="s">
        <v>6</v>
      </c>
    </row>
    <row r="10" spans="1:48">
      <c r="B10" s="162"/>
      <c r="C10" s="163"/>
      <c r="D10" s="162"/>
      <c r="E10" s="162"/>
      <c r="F10" s="162"/>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2"/>
      <c r="AT10" s="162"/>
      <c r="AU10" s="162"/>
    </row>
    <row r="11" spans="1:48">
      <c r="B11" s="162"/>
      <c r="C11" s="163"/>
      <c r="D11" s="162"/>
      <c r="E11" s="162"/>
      <c r="F11" s="162"/>
      <c r="G11" s="163"/>
      <c r="H11" s="163"/>
      <c r="I11" s="163"/>
      <c r="J11" s="163"/>
      <c r="K11" s="163"/>
      <c r="L11" s="163"/>
      <c r="M11" s="163"/>
      <c r="N11" s="163"/>
      <c r="O11" s="163"/>
      <c r="P11" s="163"/>
      <c r="Q11" s="163"/>
      <c r="R11" s="163"/>
      <c r="S11" s="163"/>
      <c r="T11" s="163"/>
      <c r="U11" s="405" t="s">
        <v>7</v>
      </c>
      <c r="V11" s="406"/>
      <c r="W11" s="407" t="s">
        <v>8</v>
      </c>
      <c r="X11" s="407" t="s">
        <v>9</v>
      </c>
      <c r="Y11" s="407"/>
      <c r="Z11" s="407"/>
      <c r="AA11" s="407"/>
      <c r="AB11" s="407"/>
      <c r="AC11" s="407"/>
      <c r="AD11" s="407"/>
      <c r="AE11" s="407"/>
      <c r="AF11" s="407"/>
      <c r="AG11" s="407"/>
      <c r="AH11" s="407"/>
      <c r="AI11" s="407"/>
      <c r="AJ11" s="407"/>
      <c r="AK11" s="407"/>
      <c r="AL11" s="406"/>
      <c r="AM11" s="406"/>
      <c r="AN11" s="406"/>
      <c r="AO11" s="406"/>
      <c r="AP11" s="406"/>
      <c r="AQ11" s="406"/>
      <c r="AR11" s="406"/>
      <c r="AS11" s="406"/>
      <c r="AT11" s="406"/>
      <c r="AU11" s="406"/>
      <c r="AV11" s="408"/>
    </row>
    <row r="12" spans="1:48">
      <c r="B12" s="162"/>
      <c r="C12" s="164"/>
      <c r="D12" s="162"/>
      <c r="E12" s="162"/>
      <c r="F12" s="162"/>
      <c r="G12" s="163"/>
      <c r="H12" s="163"/>
      <c r="I12" s="163"/>
      <c r="J12" s="163"/>
      <c r="K12" s="163"/>
      <c r="L12" s="163"/>
      <c r="M12" s="163"/>
      <c r="N12" s="163"/>
      <c r="O12" s="163"/>
      <c r="P12" s="163"/>
      <c r="Q12" s="163"/>
      <c r="R12" s="163"/>
      <c r="S12" s="163"/>
      <c r="T12" s="163"/>
      <c r="U12" s="165" t="s">
        <v>10</v>
      </c>
      <c r="V12" s="162"/>
      <c r="W12" s="163" t="s">
        <v>8</v>
      </c>
      <c r="X12" s="163" t="s">
        <v>11</v>
      </c>
      <c r="Y12" s="163"/>
      <c r="Z12" s="163"/>
      <c r="AA12" s="163"/>
      <c r="AB12" s="163"/>
      <c r="AC12" s="163"/>
      <c r="AD12" s="163"/>
      <c r="AE12" s="163"/>
      <c r="AF12" s="163"/>
      <c r="AG12" s="163"/>
      <c r="AH12" s="163"/>
      <c r="AI12" s="163"/>
      <c r="AJ12" s="163"/>
      <c r="AK12" s="163"/>
      <c r="AL12" s="162"/>
      <c r="AM12" s="162"/>
      <c r="AN12" s="162"/>
      <c r="AO12" s="162"/>
      <c r="AP12" s="162"/>
      <c r="AQ12" s="162"/>
      <c r="AR12" s="162"/>
      <c r="AS12" s="162"/>
      <c r="AT12" s="162"/>
      <c r="AU12" s="162"/>
      <c r="AV12" s="166"/>
    </row>
    <row r="13" spans="1:48">
      <c r="B13" s="162"/>
      <c r="C13" s="163"/>
      <c r="D13" s="162"/>
      <c r="E13" s="162"/>
      <c r="F13" s="162"/>
      <c r="G13" s="163"/>
      <c r="H13" s="163"/>
      <c r="I13" s="163"/>
      <c r="J13" s="163"/>
      <c r="K13" s="163"/>
      <c r="L13" s="163"/>
      <c r="M13" s="163"/>
      <c r="N13" s="163"/>
      <c r="O13" s="163"/>
      <c r="P13" s="163"/>
      <c r="Q13" s="163"/>
      <c r="R13" s="163"/>
      <c r="S13" s="163"/>
      <c r="T13" s="163"/>
      <c r="U13" s="165" t="s">
        <v>12</v>
      </c>
      <c r="V13" s="162"/>
      <c r="W13" s="163" t="s">
        <v>8</v>
      </c>
      <c r="X13" s="163" t="s">
        <v>13</v>
      </c>
      <c r="Y13" s="163"/>
      <c r="Z13" s="163"/>
      <c r="AA13" s="163"/>
      <c r="AB13" s="163"/>
      <c r="AC13" s="163"/>
      <c r="AD13" s="163"/>
      <c r="AE13" s="163"/>
      <c r="AF13" s="163"/>
      <c r="AG13" s="163"/>
      <c r="AH13" s="163"/>
      <c r="AI13" s="163"/>
      <c r="AJ13" s="163"/>
      <c r="AK13" s="163"/>
      <c r="AL13" s="162"/>
      <c r="AM13" s="162"/>
      <c r="AN13" s="162"/>
      <c r="AO13" s="162"/>
      <c r="AP13" s="162"/>
      <c r="AQ13" s="162"/>
      <c r="AR13" s="162"/>
      <c r="AS13" s="162"/>
      <c r="AT13" s="162"/>
      <c r="AU13" s="162"/>
      <c r="AV13" s="166"/>
    </row>
    <row r="14" spans="1:48">
      <c r="B14" s="162"/>
      <c r="C14" s="167"/>
      <c r="D14" s="163"/>
      <c r="E14" s="163"/>
      <c r="F14" s="163"/>
      <c r="G14" s="163"/>
      <c r="H14" s="163"/>
      <c r="I14" s="163"/>
      <c r="J14" s="163"/>
      <c r="K14" s="163"/>
      <c r="L14" s="163"/>
      <c r="M14" s="163"/>
      <c r="N14" s="163"/>
      <c r="O14" s="163"/>
      <c r="P14" s="163"/>
      <c r="Q14" s="163"/>
      <c r="R14" s="163"/>
      <c r="S14" s="163"/>
      <c r="T14" s="163"/>
      <c r="U14" s="165" t="s">
        <v>14</v>
      </c>
      <c r="V14" s="162"/>
      <c r="W14" s="163" t="s">
        <v>8</v>
      </c>
      <c r="X14" s="163" t="s">
        <v>15</v>
      </c>
      <c r="Y14" s="163"/>
      <c r="Z14" s="163"/>
      <c r="AA14" s="163"/>
      <c r="AB14" s="163"/>
      <c r="AC14" s="163"/>
      <c r="AD14" s="163"/>
      <c r="AE14" s="163"/>
      <c r="AF14" s="163"/>
      <c r="AG14" s="163"/>
      <c r="AH14" s="163"/>
      <c r="AI14" s="163"/>
      <c r="AJ14" s="163"/>
      <c r="AK14" s="163"/>
      <c r="AL14" s="162"/>
      <c r="AM14" s="162"/>
      <c r="AN14" s="162"/>
      <c r="AO14" s="162"/>
      <c r="AP14" s="162"/>
      <c r="AQ14" s="162"/>
      <c r="AR14" s="162"/>
      <c r="AS14" s="162"/>
      <c r="AT14" s="162"/>
      <c r="AU14" s="162"/>
      <c r="AV14" s="166"/>
    </row>
    <row r="15" spans="1:48">
      <c r="B15" s="162"/>
      <c r="C15" s="164"/>
      <c r="D15" s="163"/>
      <c r="E15" s="163"/>
      <c r="F15" s="163"/>
      <c r="G15" s="163"/>
      <c r="H15" s="163"/>
      <c r="I15" s="163"/>
      <c r="J15" s="163"/>
      <c r="K15" s="163"/>
      <c r="L15" s="163"/>
      <c r="M15" s="163"/>
      <c r="N15" s="163"/>
      <c r="O15" s="163"/>
      <c r="P15" s="163"/>
      <c r="Q15" s="163"/>
      <c r="R15" s="163"/>
      <c r="S15" s="163"/>
      <c r="T15" s="163"/>
      <c r="U15" s="168"/>
      <c r="V15" s="169"/>
      <c r="W15" s="170" t="s">
        <v>8</v>
      </c>
      <c r="X15" s="170" t="s">
        <v>16</v>
      </c>
      <c r="Y15" s="170"/>
      <c r="Z15" s="170"/>
      <c r="AA15" s="170"/>
      <c r="AB15" s="170"/>
      <c r="AC15" s="170"/>
      <c r="AD15" s="170"/>
      <c r="AE15" s="170"/>
      <c r="AF15" s="170"/>
      <c r="AG15" s="170"/>
      <c r="AH15" s="170"/>
      <c r="AI15" s="170"/>
      <c r="AJ15" s="170"/>
      <c r="AK15" s="170"/>
      <c r="AL15" s="171"/>
      <c r="AM15" s="171"/>
      <c r="AN15" s="171"/>
      <c r="AO15" s="171"/>
      <c r="AP15" s="171"/>
      <c r="AQ15" s="171"/>
      <c r="AR15" s="171"/>
      <c r="AS15" s="171"/>
      <c r="AT15" s="171"/>
      <c r="AU15" s="171"/>
      <c r="AV15" s="172"/>
    </row>
    <row r="16" spans="1:48">
      <c r="B16" s="162"/>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2"/>
      <c r="AC16" s="162"/>
      <c r="AD16" s="162"/>
      <c r="AE16" s="162"/>
      <c r="AF16" s="162"/>
      <c r="AG16" s="162"/>
      <c r="AH16" s="162"/>
      <c r="AI16" s="162"/>
      <c r="AJ16" s="162"/>
      <c r="AK16" s="162"/>
      <c r="AL16" s="162"/>
      <c r="AM16" s="162"/>
      <c r="AN16" s="162"/>
      <c r="AO16" s="162"/>
      <c r="AP16" s="162"/>
      <c r="AQ16" s="162"/>
      <c r="AR16" s="162"/>
      <c r="AS16" s="162"/>
      <c r="AT16" s="162"/>
      <c r="AU16" s="162"/>
    </row>
    <row r="17" spans="2:81">
      <c r="B17" s="162"/>
      <c r="C17" s="164"/>
      <c r="D17" s="163" t="s">
        <v>17</v>
      </c>
      <c r="E17" s="163"/>
      <c r="F17" s="163"/>
      <c r="G17" s="163"/>
      <c r="H17" s="163"/>
      <c r="I17" s="163"/>
      <c r="J17" s="163"/>
      <c r="K17" s="163"/>
      <c r="L17" s="163"/>
      <c r="M17" s="163"/>
      <c r="N17" s="163"/>
      <c r="O17" s="163"/>
      <c r="P17" s="163"/>
      <c r="Q17" s="163"/>
      <c r="R17" s="163"/>
      <c r="S17" s="163" t="s">
        <v>18</v>
      </c>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2"/>
      <c r="AT17" s="162"/>
      <c r="AU17" s="162"/>
    </row>
    <row r="18" spans="2:81">
      <c r="B18" s="162"/>
      <c r="C18" s="164"/>
      <c r="D18" s="409" t="s">
        <v>19</v>
      </c>
      <c r="E18" s="410"/>
      <c r="F18" s="410"/>
      <c r="G18" s="410"/>
      <c r="H18" s="410"/>
      <c r="I18" s="410"/>
      <c r="J18" s="410"/>
      <c r="K18" s="410"/>
      <c r="L18" s="410"/>
      <c r="M18" s="411"/>
      <c r="N18" s="297" t="s">
        <v>20</v>
      </c>
      <c r="O18" s="457"/>
      <c r="P18" s="457"/>
      <c r="Q18" s="457"/>
      <c r="R18" s="457"/>
      <c r="S18" s="457"/>
      <c r="T18" s="457"/>
      <c r="U18" s="457"/>
      <c r="V18" s="298"/>
      <c r="W18" s="297" t="s">
        <v>21</v>
      </c>
      <c r="X18" s="457"/>
      <c r="Y18" s="457"/>
      <c r="Z18" s="457"/>
      <c r="AA18" s="457"/>
      <c r="AB18" s="457"/>
      <c r="AC18" s="457"/>
      <c r="AD18" s="457"/>
      <c r="AE18" s="298"/>
      <c r="AF18" s="297" t="s">
        <v>22</v>
      </c>
      <c r="AG18" s="457"/>
      <c r="AH18" s="457"/>
      <c r="AI18" s="457"/>
      <c r="AJ18" s="457"/>
      <c r="AK18" s="457"/>
      <c r="AL18" s="457"/>
      <c r="AM18" s="457"/>
      <c r="AN18" s="298"/>
      <c r="AO18" s="297" t="s">
        <v>23</v>
      </c>
      <c r="AP18" s="457"/>
      <c r="AQ18" s="457"/>
      <c r="AR18" s="457"/>
      <c r="AS18" s="298"/>
      <c r="AT18" s="297" t="s">
        <v>24</v>
      </c>
      <c r="AU18" s="457"/>
      <c r="AV18" s="457"/>
      <c r="AW18" s="457"/>
      <c r="AX18" s="298"/>
      <c r="BB18" s="409" t="s">
        <v>19</v>
      </c>
      <c r="BC18" s="410"/>
      <c r="BD18" s="410"/>
      <c r="BE18" s="410"/>
      <c r="BF18" s="410"/>
      <c r="BG18" s="410"/>
      <c r="BH18" s="410"/>
      <c r="BI18" s="410"/>
      <c r="BJ18" s="410"/>
      <c r="BK18" s="411"/>
      <c r="BL18" s="297" t="s">
        <v>25</v>
      </c>
      <c r="BM18" s="457"/>
      <c r="BN18" s="457"/>
      <c r="BO18" s="457"/>
      <c r="BP18" s="457"/>
      <c r="BQ18" s="457"/>
      <c r="BR18" s="297" t="s">
        <v>26</v>
      </c>
      <c r="BS18" s="457"/>
      <c r="BT18" s="457"/>
      <c r="BU18" s="458"/>
      <c r="BV18" s="458"/>
      <c r="BW18" s="299"/>
      <c r="BX18" s="297" t="s">
        <v>27</v>
      </c>
      <c r="BY18" s="457"/>
      <c r="BZ18" s="457"/>
      <c r="CA18" s="457"/>
      <c r="CB18" s="457"/>
      <c r="CC18" s="298"/>
    </row>
    <row r="19" spans="2:81">
      <c r="B19" s="162"/>
      <c r="C19" s="163"/>
      <c r="D19" s="173"/>
      <c r="E19" s="174"/>
      <c r="F19" s="174"/>
      <c r="G19" s="174"/>
      <c r="H19" s="174"/>
      <c r="I19" s="174"/>
      <c r="J19" s="174"/>
      <c r="K19" s="174"/>
      <c r="L19" s="174"/>
      <c r="M19" s="175"/>
      <c r="N19" s="297" t="s">
        <v>28</v>
      </c>
      <c r="O19" s="457"/>
      <c r="P19" s="457"/>
      <c r="Q19" s="457"/>
      <c r="R19" s="298"/>
      <c r="S19" s="297" t="s">
        <v>29</v>
      </c>
      <c r="T19" s="457"/>
      <c r="U19" s="457"/>
      <c r="V19" s="298"/>
      <c r="W19" s="297" t="s">
        <v>28</v>
      </c>
      <c r="X19" s="457"/>
      <c r="Y19" s="457"/>
      <c r="Z19" s="457"/>
      <c r="AA19" s="298"/>
      <c r="AB19" s="297" t="s">
        <v>29</v>
      </c>
      <c r="AC19" s="457"/>
      <c r="AD19" s="457"/>
      <c r="AE19" s="298"/>
      <c r="AF19" s="297" t="s">
        <v>28</v>
      </c>
      <c r="AG19" s="457"/>
      <c r="AH19" s="457"/>
      <c r="AI19" s="457"/>
      <c r="AJ19" s="298"/>
      <c r="AK19" s="297" t="s">
        <v>29</v>
      </c>
      <c r="AL19" s="457"/>
      <c r="AM19" s="457"/>
      <c r="AN19" s="298"/>
      <c r="AO19" s="297" t="s">
        <v>29</v>
      </c>
      <c r="AP19" s="457"/>
      <c r="AQ19" s="457"/>
      <c r="AR19" s="457"/>
      <c r="AS19" s="298"/>
      <c r="AT19" s="297" t="s">
        <v>29</v>
      </c>
      <c r="AU19" s="457"/>
      <c r="AV19" s="457"/>
      <c r="AW19" s="457"/>
      <c r="AX19" s="298"/>
      <c r="BB19" s="173"/>
      <c r="BC19" s="174"/>
      <c r="BD19" s="174"/>
      <c r="BE19" s="174"/>
      <c r="BF19" s="174"/>
      <c r="BG19" s="174"/>
      <c r="BH19" s="174"/>
      <c r="BI19" s="174"/>
      <c r="BJ19" s="174"/>
      <c r="BK19" s="175"/>
      <c r="BL19" s="173" t="s">
        <v>30</v>
      </c>
      <c r="BM19" s="174"/>
      <c r="BN19" s="174"/>
      <c r="BO19" s="174"/>
      <c r="BP19" s="174"/>
      <c r="BQ19" s="174"/>
      <c r="BR19" s="173" t="s">
        <v>30</v>
      </c>
      <c r="BS19" s="174"/>
      <c r="BT19" s="174"/>
      <c r="BU19" s="176"/>
      <c r="BV19" s="176"/>
      <c r="BW19" s="177"/>
      <c r="BX19" s="173" t="s">
        <v>30</v>
      </c>
      <c r="BY19" s="174"/>
      <c r="BZ19" s="174"/>
      <c r="CA19" s="174"/>
      <c r="CB19" s="174"/>
      <c r="CC19" s="175"/>
    </row>
    <row r="20" spans="2:81">
      <c r="B20" s="162"/>
      <c r="C20" s="163"/>
      <c r="D20" s="297" t="s">
        <v>31</v>
      </c>
      <c r="E20" s="457"/>
      <c r="F20" s="457"/>
      <c r="G20" s="457"/>
      <c r="H20" s="457"/>
      <c r="I20" s="457"/>
      <c r="J20" s="457"/>
      <c r="K20" s="457"/>
      <c r="L20" s="457"/>
      <c r="M20" s="298"/>
      <c r="N20" s="300" t="s">
        <v>32</v>
      </c>
      <c r="O20" s="459" t="s">
        <v>33</v>
      </c>
      <c r="P20" s="459"/>
      <c r="Q20" s="459"/>
      <c r="R20" s="459"/>
      <c r="S20" s="300" t="s">
        <v>32</v>
      </c>
      <c r="T20" s="459"/>
      <c r="U20" s="459"/>
      <c r="V20" s="301"/>
      <c r="W20" s="300" t="s">
        <v>32</v>
      </c>
      <c r="X20" s="459" t="s">
        <v>33</v>
      </c>
      <c r="Y20" s="459"/>
      <c r="Z20" s="459"/>
      <c r="AA20" s="301"/>
      <c r="AB20" s="300" t="s">
        <v>32</v>
      </c>
      <c r="AC20" s="459"/>
      <c r="AD20" s="459"/>
      <c r="AE20" s="301"/>
      <c r="AF20" s="300" t="s">
        <v>32</v>
      </c>
      <c r="AG20" s="459" t="s">
        <v>33</v>
      </c>
      <c r="AH20" s="459"/>
      <c r="AI20" s="459"/>
      <c r="AJ20" s="301"/>
      <c r="AK20" s="300" t="s">
        <v>32</v>
      </c>
      <c r="AL20" s="459"/>
      <c r="AM20" s="459"/>
      <c r="AN20" s="301"/>
      <c r="AO20" s="300" t="s">
        <v>32</v>
      </c>
      <c r="AP20" s="459"/>
      <c r="AQ20" s="459"/>
      <c r="AR20" s="459"/>
      <c r="AS20" s="301"/>
      <c r="AT20" s="300" t="s">
        <v>32</v>
      </c>
      <c r="AU20" s="459"/>
      <c r="AV20" s="459"/>
      <c r="AW20" s="459"/>
      <c r="AX20" s="301"/>
      <c r="BB20" s="297" t="s">
        <v>34</v>
      </c>
      <c r="BC20" s="457"/>
      <c r="BD20" s="457"/>
      <c r="BE20" s="457"/>
      <c r="BF20" s="457"/>
      <c r="BG20" s="457"/>
      <c r="BH20" s="457"/>
      <c r="BI20" s="457"/>
      <c r="BJ20" s="457"/>
      <c r="BK20" s="298"/>
      <c r="BL20" s="300" t="s">
        <v>35</v>
      </c>
      <c r="BM20" s="459"/>
      <c r="BN20" s="459"/>
      <c r="BO20" s="459"/>
      <c r="BP20" s="459"/>
      <c r="BQ20" s="459"/>
      <c r="BR20" s="300" t="s">
        <v>35</v>
      </c>
      <c r="BS20" s="459"/>
      <c r="BT20" s="459"/>
      <c r="BU20" s="460"/>
      <c r="BV20" s="460"/>
      <c r="BW20" s="302"/>
      <c r="BX20" s="300" t="s">
        <v>35</v>
      </c>
      <c r="BY20" s="459"/>
      <c r="BZ20" s="459"/>
      <c r="CA20" s="459"/>
      <c r="CB20" s="459"/>
      <c r="CC20" s="301"/>
    </row>
    <row r="21" spans="2:81">
      <c r="B21" s="162"/>
      <c r="C21" s="163"/>
      <c r="D21" s="297" t="s">
        <v>36</v>
      </c>
      <c r="E21" s="457"/>
      <c r="F21" s="457"/>
      <c r="G21" s="457"/>
      <c r="H21" s="457"/>
      <c r="I21" s="457"/>
      <c r="J21" s="457"/>
      <c r="K21" s="457"/>
      <c r="L21" s="457"/>
      <c r="M21" s="298"/>
      <c r="N21" s="300" t="s">
        <v>32</v>
      </c>
      <c r="O21" s="459" t="s">
        <v>37</v>
      </c>
      <c r="P21" s="459"/>
      <c r="Q21" s="459"/>
      <c r="R21" s="459"/>
      <c r="S21" s="300" t="s">
        <v>32</v>
      </c>
      <c r="T21" s="459"/>
      <c r="U21" s="459"/>
      <c r="V21" s="301"/>
      <c r="W21" s="300" t="s">
        <v>38</v>
      </c>
      <c r="X21" s="459"/>
      <c r="Y21" s="459"/>
      <c r="Z21" s="459"/>
      <c r="AA21" s="301"/>
      <c r="AB21" s="300" t="s">
        <v>38</v>
      </c>
      <c r="AC21" s="459"/>
      <c r="AD21" s="459"/>
      <c r="AE21" s="301"/>
      <c r="AF21" s="300" t="s">
        <v>32</v>
      </c>
      <c r="AG21" s="459" t="s">
        <v>37</v>
      </c>
      <c r="AH21" s="459"/>
      <c r="AI21" s="459"/>
      <c r="AJ21" s="301"/>
      <c r="AK21" s="300" t="s">
        <v>32</v>
      </c>
      <c r="AL21" s="459"/>
      <c r="AM21" s="459"/>
      <c r="AN21" s="301"/>
      <c r="AO21" s="300" t="s">
        <v>32</v>
      </c>
      <c r="AP21" s="459"/>
      <c r="AQ21" s="459"/>
      <c r="AR21" s="459"/>
      <c r="AS21" s="301"/>
      <c r="AT21" s="300" t="s">
        <v>32</v>
      </c>
      <c r="AU21" s="459"/>
      <c r="AV21" s="459"/>
      <c r="AW21" s="459"/>
      <c r="AX21" s="301"/>
      <c r="BB21" s="297" t="s">
        <v>39</v>
      </c>
      <c r="BC21" s="457"/>
      <c r="BD21" s="457"/>
      <c r="BE21" s="457"/>
      <c r="BF21" s="457"/>
      <c r="BG21" s="457"/>
      <c r="BH21" s="457"/>
      <c r="BI21" s="457"/>
      <c r="BJ21" s="457"/>
      <c r="BK21" s="298"/>
      <c r="BL21" s="300" t="s">
        <v>35</v>
      </c>
      <c r="BM21" s="459"/>
      <c r="BN21" s="459"/>
      <c r="BO21" s="459"/>
      <c r="BP21" s="459"/>
      <c r="BQ21" s="459"/>
      <c r="BR21" s="300" t="s">
        <v>40</v>
      </c>
      <c r="BS21" s="459"/>
      <c r="BT21" s="459"/>
      <c r="BU21" s="460"/>
      <c r="BV21" s="460"/>
      <c r="BW21" s="302"/>
      <c r="BX21" s="300" t="s">
        <v>35</v>
      </c>
      <c r="BY21" s="459"/>
      <c r="BZ21" s="459"/>
      <c r="CA21" s="459"/>
      <c r="CB21" s="459"/>
      <c r="CC21" s="301"/>
    </row>
    <row r="22" spans="2:81">
      <c r="B22" s="162"/>
      <c r="C22" s="163"/>
      <c r="D22" s="297" t="s">
        <v>41</v>
      </c>
      <c r="E22" s="457"/>
      <c r="F22" s="457"/>
      <c r="G22" s="457"/>
      <c r="H22" s="457"/>
      <c r="I22" s="457"/>
      <c r="J22" s="457"/>
      <c r="K22" s="457"/>
      <c r="L22" s="457"/>
      <c r="M22" s="298"/>
      <c r="N22" s="300" t="s">
        <v>42</v>
      </c>
      <c r="O22" s="459"/>
      <c r="P22" s="459"/>
      <c r="Q22" s="459"/>
      <c r="R22" s="459"/>
      <c r="S22" s="300" t="s">
        <v>43</v>
      </c>
      <c r="T22" s="459"/>
      <c r="U22" s="459"/>
      <c r="V22" s="301"/>
      <c r="W22" s="300" t="s">
        <v>38</v>
      </c>
      <c r="X22" s="459"/>
      <c r="Y22" s="459"/>
      <c r="Z22" s="459"/>
      <c r="AA22" s="301"/>
      <c r="AB22" s="300" t="s">
        <v>38</v>
      </c>
      <c r="AC22" s="459"/>
      <c r="AD22" s="459"/>
      <c r="AE22" s="301"/>
      <c r="AF22" s="300" t="s">
        <v>42</v>
      </c>
      <c r="AG22" s="459"/>
      <c r="AH22" s="459"/>
      <c r="AI22" s="459"/>
      <c r="AJ22" s="301"/>
      <c r="AK22" s="300" t="s">
        <v>43</v>
      </c>
      <c r="AL22" s="459"/>
      <c r="AM22" s="459"/>
      <c r="AN22" s="301"/>
      <c r="AO22" s="300" t="s">
        <v>43</v>
      </c>
      <c r="AP22" s="459"/>
      <c r="AQ22" s="459"/>
      <c r="AR22" s="459"/>
      <c r="AS22" s="301"/>
      <c r="AT22" s="300" t="s">
        <v>43</v>
      </c>
      <c r="AU22" s="459"/>
      <c r="AV22" s="459"/>
      <c r="AW22" s="459"/>
      <c r="AX22" s="301"/>
      <c r="BB22" s="297" t="s">
        <v>44</v>
      </c>
      <c r="BC22" s="457"/>
      <c r="BD22" s="457"/>
      <c r="BE22" s="457"/>
      <c r="BF22" s="457"/>
      <c r="BG22" s="457"/>
      <c r="BH22" s="457"/>
      <c r="BI22" s="457"/>
      <c r="BJ22" s="457"/>
      <c r="BK22" s="298"/>
      <c r="BL22" s="300" t="s">
        <v>35</v>
      </c>
      <c r="BM22" s="459"/>
      <c r="BN22" s="459"/>
      <c r="BO22" s="459"/>
      <c r="BP22" s="459"/>
      <c r="BQ22" s="459"/>
      <c r="BR22" s="300" t="s">
        <v>40</v>
      </c>
      <c r="BS22" s="459"/>
      <c r="BT22" s="459"/>
      <c r="BU22" s="460"/>
      <c r="BV22" s="460"/>
      <c r="BW22" s="302"/>
      <c r="BX22" s="300" t="s">
        <v>35</v>
      </c>
      <c r="BY22" s="459"/>
      <c r="BZ22" s="459"/>
      <c r="CA22" s="459"/>
      <c r="CB22" s="459"/>
      <c r="CC22" s="301"/>
    </row>
    <row r="23" spans="2:81">
      <c r="B23" s="162"/>
      <c r="C23" s="163"/>
      <c r="D23" s="297" t="s">
        <v>45</v>
      </c>
      <c r="E23" s="457"/>
      <c r="F23" s="457"/>
      <c r="G23" s="457"/>
      <c r="H23" s="457"/>
      <c r="I23" s="457"/>
      <c r="J23" s="457"/>
      <c r="K23" s="457"/>
      <c r="L23" s="457"/>
      <c r="M23" s="298"/>
      <c r="N23" s="300" t="s">
        <v>38</v>
      </c>
      <c r="O23" s="459"/>
      <c r="P23" s="459"/>
      <c r="Q23" s="459"/>
      <c r="R23" s="459"/>
      <c r="S23" s="300" t="s">
        <v>38</v>
      </c>
      <c r="T23" s="459"/>
      <c r="U23" s="459"/>
      <c r="V23" s="301"/>
      <c r="W23" s="300" t="s">
        <v>42</v>
      </c>
      <c r="X23" s="459"/>
      <c r="Y23" s="459"/>
      <c r="Z23" s="459"/>
      <c r="AA23" s="301"/>
      <c r="AB23" s="300" t="s">
        <v>32</v>
      </c>
      <c r="AC23" s="459"/>
      <c r="AD23" s="459"/>
      <c r="AE23" s="301"/>
      <c r="AF23" s="300" t="s">
        <v>38</v>
      </c>
      <c r="AG23" s="459"/>
      <c r="AH23" s="459"/>
      <c r="AI23" s="459"/>
      <c r="AJ23" s="301"/>
      <c r="AK23" s="300" t="s">
        <v>38</v>
      </c>
      <c r="AL23" s="459"/>
      <c r="AM23" s="459"/>
      <c r="AN23" s="301"/>
      <c r="AO23" s="300" t="s">
        <v>38</v>
      </c>
      <c r="AP23" s="459"/>
      <c r="AQ23" s="459"/>
      <c r="AR23" s="459"/>
      <c r="AS23" s="301"/>
      <c r="AT23" s="300" t="s">
        <v>32</v>
      </c>
      <c r="AU23" s="459"/>
      <c r="AV23" s="459"/>
      <c r="AW23" s="459"/>
      <c r="AX23" s="301"/>
      <c r="BB23" s="297" t="s">
        <v>46</v>
      </c>
      <c r="BC23" s="457"/>
      <c r="BD23" s="457"/>
      <c r="BE23" s="457"/>
      <c r="BF23" s="457"/>
      <c r="BG23" s="457"/>
      <c r="BH23" s="457"/>
      <c r="BI23" s="457"/>
      <c r="BJ23" s="457"/>
      <c r="BK23" s="298"/>
      <c r="BL23" s="300" t="s">
        <v>35</v>
      </c>
      <c r="BM23" s="459"/>
      <c r="BN23" s="459"/>
      <c r="BO23" s="459"/>
      <c r="BP23" s="459"/>
      <c r="BQ23" s="459"/>
      <c r="BR23" s="300" t="s">
        <v>40</v>
      </c>
      <c r="BS23" s="459"/>
      <c r="BT23" s="459"/>
      <c r="BU23" s="460"/>
      <c r="BV23" s="460"/>
      <c r="BW23" s="302"/>
      <c r="BX23" s="300" t="s">
        <v>35</v>
      </c>
      <c r="BY23" s="459"/>
      <c r="BZ23" s="459"/>
      <c r="CA23" s="459"/>
      <c r="CB23" s="459"/>
      <c r="CC23" s="301"/>
    </row>
    <row r="24" spans="2:81">
      <c r="B24" s="162"/>
      <c r="C24" s="163"/>
      <c r="D24" s="297" t="s">
        <v>47</v>
      </c>
      <c r="E24" s="457"/>
      <c r="F24" s="457"/>
      <c r="G24" s="457"/>
      <c r="H24" s="457"/>
      <c r="I24" s="457"/>
      <c r="J24" s="457"/>
      <c r="K24" s="457"/>
      <c r="L24" s="457"/>
      <c r="M24" s="298"/>
      <c r="N24" s="300" t="s">
        <v>32</v>
      </c>
      <c r="O24" s="459"/>
      <c r="P24" s="459"/>
      <c r="Q24" s="459"/>
      <c r="R24" s="459"/>
      <c r="S24" s="300" t="s">
        <v>32</v>
      </c>
      <c r="T24" s="459"/>
      <c r="U24" s="459"/>
      <c r="V24" s="301"/>
      <c r="W24" s="300" t="s">
        <v>32</v>
      </c>
      <c r="X24" s="459"/>
      <c r="Y24" s="459"/>
      <c r="Z24" s="459"/>
      <c r="AA24" s="301"/>
      <c r="AB24" s="300" t="s">
        <v>32</v>
      </c>
      <c r="AC24" s="459"/>
      <c r="AD24" s="459"/>
      <c r="AE24" s="301"/>
      <c r="AF24" s="300" t="s">
        <v>32</v>
      </c>
      <c r="AG24" s="459"/>
      <c r="AH24" s="459"/>
      <c r="AI24" s="459"/>
      <c r="AJ24" s="301"/>
      <c r="AK24" s="300" t="s">
        <v>32</v>
      </c>
      <c r="AL24" s="459"/>
      <c r="AM24" s="459"/>
      <c r="AN24" s="301"/>
      <c r="AO24" s="300" t="s">
        <v>32</v>
      </c>
      <c r="AP24" s="459"/>
      <c r="AQ24" s="459"/>
      <c r="AR24" s="459"/>
      <c r="AS24" s="301"/>
      <c r="AT24" s="300" t="s">
        <v>32</v>
      </c>
      <c r="AU24" s="459"/>
      <c r="AV24" s="459"/>
      <c r="AW24" s="459"/>
      <c r="AX24" s="301"/>
      <c r="BB24" s="297" t="s">
        <v>48</v>
      </c>
      <c r="BC24" s="457"/>
      <c r="BD24" s="457"/>
      <c r="BE24" s="457"/>
      <c r="BF24" s="457"/>
      <c r="BG24" s="457"/>
      <c r="BH24" s="457"/>
      <c r="BI24" s="457"/>
      <c r="BJ24" s="457"/>
      <c r="BK24" s="298"/>
      <c r="BL24" s="300" t="s">
        <v>35</v>
      </c>
      <c r="BM24" s="459"/>
      <c r="BN24" s="459"/>
      <c r="BO24" s="459"/>
      <c r="BP24" s="459"/>
      <c r="BQ24" s="459"/>
      <c r="BR24" s="300" t="s">
        <v>40</v>
      </c>
      <c r="BS24" s="459"/>
      <c r="BT24" s="459"/>
      <c r="BU24" s="460"/>
      <c r="BV24" s="460"/>
      <c r="BW24" s="302"/>
      <c r="BX24" s="300" t="s">
        <v>35</v>
      </c>
      <c r="BY24" s="459"/>
      <c r="BZ24" s="459"/>
      <c r="CA24" s="459"/>
      <c r="CB24" s="459"/>
      <c r="CC24" s="301"/>
    </row>
    <row r="25" spans="2:81">
      <c r="B25" s="162"/>
      <c r="C25" s="163"/>
      <c r="D25" s="297" t="s">
        <v>49</v>
      </c>
      <c r="E25" s="457"/>
      <c r="F25" s="457"/>
      <c r="G25" s="457"/>
      <c r="H25" s="457"/>
      <c r="I25" s="457"/>
      <c r="J25" s="457"/>
      <c r="K25" s="457"/>
      <c r="L25" s="457"/>
      <c r="M25" s="298"/>
      <c r="N25" s="303"/>
      <c r="O25" s="461"/>
      <c r="P25" s="461"/>
      <c r="Q25" s="461"/>
      <c r="R25" s="461"/>
      <c r="S25" s="303"/>
      <c r="T25" s="461"/>
      <c r="U25" s="461"/>
      <c r="V25" s="304"/>
      <c r="W25" s="303"/>
      <c r="X25" s="461"/>
      <c r="Y25" s="461"/>
      <c r="Z25" s="461"/>
      <c r="AA25" s="304"/>
      <c r="AB25" s="303"/>
      <c r="AC25" s="461"/>
      <c r="AD25" s="461"/>
      <c r="AE25" s="304"/>
      <c r="AF25" s="303"/>
      <c r="AG25" s="461"/>
      <c r="AH25" s="461"/>
      <c r="AI25" s="461"/>
      <c r="AJ25" s="304"/>
      <c r="AK25" s="303"/>
      <c r="AL25" s="461"/>
      <c r="AM25" s="461"/>
      <c r="AN25" s="304"/>
      <c r="AO25" s="303"/>
      <c r="AP25" s="461"/>
      <c r="AQ25" s="461"/>
      <c r="AR25" s="461"/>
      <c r="AS25" s="304"/>
      <c r="AT25" s="303"/>
      <c r="AU25" s="461"/>
      <c r="AV25" s="461"/>
      <c r="AW25" s="461"/>
      <c r="AX25" s="304"/>
      <c r="BB25" s="297" t="s">
        <v>50</v>
      </c>
      <c r="BC25" s="457"/>
      <c r="BD25" s="457"/>
      <c r="BE25" s="457"/>
      <c r="BF25" s="457"/>
      <c r="BG25" s="457"/>
      <c r="BH25" s="457"/>
      <c r="BI25" s="457"/>
      <c r="BJ25" s="457"/>
      <c r="BK25" s="298"/>
      <c r="BL25" s="300" t="s">
        <v>35</v>
      </c>
      <c r="BM25" s="459"/>
      <c r="BN25" s="459"/>
      <c r="BO25" s="459"/>
      <c r="BP25" s="459"/>
      <c r="BQ25" s="459"/>
      <c r="BR25" s="300" t="s">
        <v>40</v>
      </c>
      <c r="BS25" s="459"/>
      <c r="BT25" s="459"/>
      <c r="BU25" s="460"/>
      <c r="BV25" s="460"/>
      <c r="BW25" s="302"/>
      <c r="BX25" s="300" t="s">
        <v>35</v>
      </c>
      <c r="BY25" s="459"/>
      <c r="BZ25" s="459"/>
      <c r="CA25" s="459"/>
      <c r="CB25" s="459"/>
      <c r="CC25" s="301"/>
    </row>
    <row r="26" spans="2:81">
      <c r="B26" s="162"/>
      <c r="C26" s="163"/>
      <c r="D26" s="297" t="s">
        <v>51</v>
      </c>
      <c r="E26" s="457"/>
      <c r="F26" s="457"/>
      <c r="G26" s="457"/>
      <c r="H26" s="457"/>
      <c r="I26" s="457"/>
      <c r="J26" s="457"/>
      <c r="K26" s="457"/>
      <c r="L26" s="457"/>
      <c r="M26" s="298"/>
      <c r="N26" s="300" t="s">
        <v>42</v>
      </c>
      <c r="O26" s="459"/>
      <c r="P26" s="459"/>
      <c r="Q26" s="459"/>
      <c r="R26" s="459"/>
      <c r="S26" s="300" t="s">
        <v>32</v>
      </c>
      <c r="T26" s="459"/>
      <c r="U26" s="459"/>
      <c r="V26" s="301"/>
      <c r="W26" s="300" t="s">
        <v>42</v>
      </c>
      <c r="X26" s="459"/>
      <c r="Y26" s="459"/>
      <c r="Z26" s="459"/>
      <c r="AA26" s="301"/>
      <c r="AB26" s="300" t="s">
        <v>32</v>
      </c>
      <c r="AC26" s="459"/>
      <c r="AD26" s="459"/>
      <c r="AE26" s="301"/>
      <c r="AF26" s="300" t="s">
        <v>38</v>
      </c>
      <c r="AG26" s="459"/>
      <c r="AH26" s="459"/>
      <c r="AI26" s="459"/>
      <c r="AJ26" s="301"/>
      <c r="AK26" s="300" t="s">
        <v>38</v>
      </c>
      <c r="AL26" s="459"/>
      <c r="AM26" s="459"/>
      <c r="AN26" s="301"/>
      <c r="AO26" s="300" t="s">
        <v>38</v>
      </c>
      <c r="AP26" s="459"/>
      <c r="AQ26" s="459"/>
      <c r="AR26" s="459"/>
      <c r="AS26" s="301"/>
      <c r="AT26" s="300" t="s">
        <v>32</v>
      </c>
      <c r="AU26" s="459"/>
      <c r="AV26" s="459"/>
      <c r="AW26" s="459"/>
      <c r="AX26" s="301"/>
      <c r="BB26" s="297" t="s">
        <v>52</v>
      </c>
      <c r="BC26" s="457"/>
      <c r="BD26" s="457"/>
      <c r="BE26" s="457"/>
      <c r="BF26" s="457"/>
      <c r="BG26" s="457"/>
      <c r="BH26" s="457"/>
      <c r="BI26" s="457"/>
      <c r="BJ26" s="457"/>
      <c r="BK26" s="298"/>
      <c r="BL26" s="300" t="s">
        <v>53</v>
      </c>
      <c r="BM26" s="459"/>
      <c r="BN26" s="459" t="s">
        <v>54</v>
      </c>
      <c r="BO26" s="459"/>
      <c r="BP26" s="459"/>
      <c r="BQ26" s="459"/>
      <c r="BR26" s="300" t="s">
        <v>40</v>
      </c>
      <c r="BS26" s="459"/>
      <c r="BT26" s="459"/>
      <c r="BU26" s="460"/>
      <c r="BV26" s="460"/>
      <c r="BW26" s="302"/>
      <c r="BX26" s="300" t="s">
        <v>53</v>
      </c>
      <c r="BY26" s="459"/>
      <c r="BZ26" s="459" t="s">
        <v>54</v>
      </c>
      <c r="CA26" s="459"/>
      <c r="CB26" s="459"/>
      <c r="CC26" s="301"/>
    </row>
    <row r="27" spans="2:81">
      <c r="B27" s="162"/>
      <c r="C27" s="163"/>
      <c r="D27" s="297" t="s">
        <v>55</v>
      </c>
      <c r="E27" s="457"/>
      <c r="F27" s="457"/>
      <c r="G27" s="457"/>
      <c r="H27" s="457"/>
      <c r="I27" s="457"/>
      <c r="J27" s="457"/>
      <c r="K27" s="457"/>
      <c r="L27" s="457"/>
      <c r="M27" s="298"/>
      <c r="N27" s="300" t="s">
        <v>42</v>
      </c>
      <c r="O27" s="459"/>
      <c r="P27" s="459"/>
      <c r="Q27" s="459"/>
      <c r="R27" s="459"/>
      <c r="S27" s="300" t="s">
        <v>43</v>
      </c>
      <c r="T27" s="459"/>
      <c r="U27" s="459"/>
      <c r="V27" s="301"/>
      <c r="W27" s="300" t="s">
        <v>42</v>
      </c>
      <c r="X27" s="459"/>
      <c r="Y27" s="459"/>
      <c r="Z27" s="459"/>
      <c r="AA27" s="301"/>
      <c r="AB27" s="300" t="s">
        <v>43</v>
      </c>
      <c r="AC27" s="459"/>
      <c r="AD27" s="459"/>
      <c r="AE27" s="301"/>
      <c r="AF27" s="300" t="s">
        <v>38</v>
      </c>
      <c r="AG27" s="459"/>
      <c r="AH27" s="459"/>
      <c r="AI27" s="459"/>
      <c r="AJ27" s="301"/>
      <c r="AK27" s="300" t="s">
        <v>38</v>
      </c>
      <c r="AL27" s="459"/>
      <c r="AM27" s="459"/>
      <c r="AN27" s="301"/>
      <c r="AO27" s="300" t="s">
        <v>38</v>
      </c>
      <c r="AP27" s="459"/>
      <c r="AQ27" s="459"/>
      <c r="AR27" s="459"/>
      <c r="AS27" s="301"/>
      <c r="AT27" s="300" t="s">
        <v>43</v>
      </c>
      <c r="AU27" s="459"/>
      <c r="AV27" s="459"/>
      <c r="AW27" s="459"/>
      <c r="AX27" s="301"/>
      <c r="BB27" s="297" t="s">
        <v>56</v>
      </c>
      <c r="BC27" s="457"/>
      <c r="BD27" s="457"/>
      <c r="BE27" s="457"/>
      <c r="BF27" s="457"/>
      <c r="BG27" s="457"/>
      <c r="BH27" s="457"/>
      <c r="BI27" s="457"/>
      <c r="BJ27" s="457"/>
      <c r="BK27" s="298"/>
      <c r="BL27" s="300" t="s">
        <v>53</v>
      </c>
      <c r="BM27" s="459"/>
      <c r="BN27" s="459" t="s">
        <v>57</v>
      </c>
      <c r="BO27" s="459"/>
      <c r="BP27" s="459"/>
      <c r="BQ27" s="459"/>
      <c r="BR27" s="300" t="s">
        <v>40</v>
      </c>
      <c r="BS27" s="459"/>
      <c r="BT27" s="459"/>
      <c r="BU27" s="460"/>
      <c r="BV27" s="460"/>
      <c r="BW27" s="302"/>
      <c r="BX27" s="300" t="s">
        <v>53</v>
      </c>
      <c r="BY27" s="459"/>
      <c r="BZ27" s="459" t="s">
        <v>57</v>
      </c>
      <c r="CA27" s="459"/>
      <c r="CB27" s="459"/>
      <c r="CC27" s="301"/>
    </row>
    <row r="28" spans="2:81">
      <c r="B28" s="162"/>
      <c r="C28" s="163"/>
      <c r="D28" s="297" t="s">
        <v>58</v>
      </c>
      <c r="E28" s="457"/>
      <c r="F28" s="457"/>
      <c r="G28" s="457"/>
      <c r="H28" s="457"/>
      <c r="I28" s="457"/>
      <c r="J28" s="457"/>
      <c r="K28" s="457"/>
      <c r="L28" s="457"/>
      <c r="M28" s="298"/>
      <c r="N28" s="300" t="s">
        <v>42</v>
      </c>
      <c r="O28" s="459"/>
      <c r="P28" s="459"/>
      <c r="Q28" s="459"/>
      <c r="R28" s="459"/>
      <c r="S28" s="300" t="s">
        <v>43</v>
      </c>
      <c r="T28" s="459"/>
      <c r="U28" s="459"/>
      <c r="V28" s="301"/>
      <c r="W28" s="300" t="s">
        <v>42</v>
      </c>
      <c r="X28" s="459"/>
      <c r="Y28" s="459"/>
      <c r="Z28" s="459"/>
      <c r="AA28" s="301"/>
      <c r="AB28" s="300" t="s">
        <v>43</v>
      </c>
      <c r="AC28" s="459"/>
      <c r="AD28" s="459"/>
      <c r="AE28" s="301"/>
      <c r="AF28" s="300" t="s">
        <v>38</v>
      </c>
      <c r="AG28" s="459"/>
      <c r="AH28" s="459"/>
      <c r="AI28" s="459"/>
      <c r="AJ28" s="301"/>
      <c r="AK28" s="300" t="s">
        <v>38</v>
      </c>
      <c r="AL28" s="459"/>
      <c r="AM28" s="459"/>
      <c r="AN28" s="301"/>
      <c r="AO28" s="300" t="s">
        <v>38</v>
      </c>
      <c r="AP28" s="459"/>
      <c r="AQ28" s="459"/>
      <c r="AR28" s="459"/>
      <c r="AS28" s="301"/>
      <c r="AT28" s="300" t="s">
        <v>43</v>
      </c>
      <c r="AU28" s="459"/>
      <c r="AV28" s="459"/>
      <c r="AW28" s="459"/>
      <c r="AX28" s="301"/>
      <c r="BB28" s="297" t="s">
        <v>59</v>
      </c>
      <c r="BC28" s="457"/>
      <c r="BD28" s="457"/>
      <c r="BE28" s="457"/>
      <c r="BF28" s="457"/>
      <c r="BG28" s="457"/>
      <c r="BH28" s="457"/>
      <c r="BI28" s="457"/>
      <c r="BJ28" s="457"/>
      <c r="BK28" s="298"/>
      <c r="BL28" s="300" t="s">
        <v>53</v>
      </c>
      <c r="BM28" s="459"/>
      <c r="BN28" s="459" t="s">
        <v>60</v>
      </c>
      <c r="BO28" s="459"/>
      <c r="BP28" s="459"/>
      <c r="BQ28" s="459"/>
      <c r="BR28" s="300" t="s">
        <v>40</v>
      </c>
      <c r="BS28" s="459"/>
      <c r="BT28" s="459"/>
      <c r="BU28" s="460"/>
      <c r="BV28" s="460"/>
      <c r="BW28" s="302"/>
      <c r="BX28" s="300" t="s">
        <v>53</v>
      </c>
      <c r="BY28" s="459"/>
      <c r="BZ28" s="459" t="s">
        <v>60</v>
      </c>
      <c r="CA28" s="459"/>
      <c r="CB28" s="459"/>
      <c r="CC28" s="301"/>
    </row>
    <row r="29" spans="2:81">
      <c r="B29" s="162"/>
      <c r="C29" s="163"/>
      <c r="D29" s="297" t="s">
        <v>61</v>
      </c>
      <c r="E29" s="457"/>
      <c r="F29" s="457"/>
      <c r="G29" s="457"/>
      <c r="H29" s="457"/>
      <c r="I29" s="457"/>
      <c r="J29" s="457"/>
      <c r="K29" s="457"/>
      <c r="L29" s="457"/>
      <c r="M29" s="298"/>
      <c r="N29" s="300" t="s">
        <v>42</v>
      </c>
      <c r="O29" s="459"/>
      <c r="P29" s="459"/>
      <c r="Q29" s="459"/>
      <c r="R29" s="459"/>
      <c r="S29" s="300" t="s">
        <v>42</v>
      </c>
      <c r="T29" s="459"/>
      <c r="U29" s="459"/>
      <c r="V29" s="301"/>
      <c r="W29" s="300" t="s">
        <v>38</v>
      </c>
      <c r="X29" s="459"/>
      <c r="Y29" s="459"/>
      <c r="Z29" s="459"/>
      <c r="AA29" s="301"/>
      <c r="AB29" s="300" t="s">
        <v>38</v>
      </c>
      <c r="AC29" s="459"/>
      <c r="AD29" s="459"/>
      <c r="AE29" s="301"/>
      <c r="AF29" s="300" t="s">
        <v>38</v>
      </c>
      <c r="AG29" s="459"/>
      <c r="AH29" s="459"/>
      <c r="AI29" s="459"/>
      <c r="AJ29" s="301"/>
      <c r="AK29" s="300" t="s">
        <v>38</v>
      </c>
      <c r="AL29" s="459"/>
      <c r="AM29" s="459"/>
      <c r="AN29" s="301"/>
      <c r="AO29" s="300" t="s">
        <v>38</v>
      </c>
      <c r="AP29" s="459"/>
      <c r="AQ29" s="459"/>
      <c r="AR29" s="459"/>
      <c r="AS29" s="301"/>
      <c r="AT29" s="300" t="s">
        <v>42</v>
      </c>
      <c r="AU29" s="459"/>
      <c r="AV29" s="459"/>
      <c r="AW29" s="459"/>
      <c r="AX29" s="301"/>
      <c r="BB29" s="297" t="s">
        <v>62</v>
      </c>
      <c r="BC29" s="457"/>
      <c r="BD29" s="457"/>
      <c r="BE29" s="457"/>
      <c r="BF29" s="457"/>
      <c r="BG29" s="457"/>
      <c r="BH29" s="457"/>
      <c r="BI29" s="457"/>
      <c r="BJ29" s="457"/>
      <c r="BK29" s="298"/>
      <c r="BL29" s="303"/>
      <c r="BM29" s="461"/>
      <c r="BN29" s="461"/>
      <c r="BO29" s="461"/>
      <c r="BP29" s="461"/>
      <c r="BQ29" s="461"/>
      <c r="BR29" s="300" t="s">
        <v>40</v>
      </c>
      <c r="BS29" s="459"/>
      <c r="BT29" s="459"/>
      <c r="BU29" s="460"/>
      <c r="BV29" s="460"/>
      <c r="BW29" s="302"/>
      <c r="BX29" s="303"/>
      <c r="BY29" s="461"/>
      <c r="BZ29" s="461"/>
      <c r="CA29" s="461"/>
      <c r="CB29" s="461"/>
      <c r="CC29" s="304"/>
    </row>
    <row r="30" spans="2:81">
      <c r="B30" s="162"/>
      <c r="C30" s="163"/>
      <c r="D30" s="297" t="s">
        <v>63</v>
      </c>
      <c r="E30" s="457"/>
      <c r="F30" s="457"/>
      <c r="G30" s="457"/>
      <c r="H30" s="457"/>
      <c r="I30" s="457"/>
      <c r="J30" s="457"/>
      <c r="K30" s="457"/>
      <c r="L30" s="457"/>
      <c r="M30" s="298"/>
      <c r="N30" s="300" t="s">
        <v>42</v>
      </c>
      <c r="O30" s="459"/>
      <c r="P30" s="459"/>
      <c r="Q30" s="459"/>
      <c r="R30" s="459"/>
      <c r="S30" s="300" t="s">
        <v>32</v>
      </c>
      <c r="T30" s="459"/>
      <c r="U30" s="459"/>
      <c r="V30" s="301"/>
      <c r="W30" s="300" t="s">
        <v>38</v>
      </c>
      <c r="X30" s="459"/>
      <c r="Y30" s="459"/>
      <c r="Z30" s="459"/>
      <c r="AA30" s="301"/>
      <c r="AB30" s="300" t="s">
        <v>38</v>
      </c>
      <c r="AC30" s="459"/>
      <c r="AD30" s="459"/>
      <c r="AE30" s="301"/>
      <c r="AF30" s="300" t="s">
        <v>38</v>
      </c>
      <c r="AG30" s="459"/>
      <c r="AH30" s="459"/>
      <c r="AI30" s="459"/>
      <c r="AJ30" s="301"/>
      <c r="AK30" s="300" t="s">
        <v>38</v>
      </c>
      <c r="AL30" s="459"/>
      <c r="AM30" s="459"/>
      <c r="AN30" s="301"/>
      <c r="AO30" s="300" t="s">
        <v>38</v>
      </c>
      <c r="AP30" s="459"/>
      <c r="AQ30" s="459"/>
      <c r="AR30" s="459"/>
      <c r="AS30" s="301"/>
      <c r="AT30" s="300" t="s">
        <v>32</v>
      </c>
      <c r="AU30" s="459"/>
      <c r="AV30" s="459"/>
      <c r="AW30" s="459"/>
      <c r="AX30" s="301"/>
      <c r="BB30" s="297" t="s">
        <v>64</v>
      </c>
      <c r="BC30" s="457"/>
      <c r="BD30" s="457"/>
      <c r="BE30" s="457"/>
      <c r="BF30" s="457"/>
      <c r="BG30" s="457"/>
      <c r="BH30" s="457"/>
      <c r="BI30" s="457"/>
      <c r="BJ30" s="457"/>
      <c r="BK30" s="298"/>
      <c r="BL30" s="300" t="s">
        <v>40</v>
      </c>
      <c r="BM30" s="459"/>
      <c r="BN30" s="459"/>
      <c r="BO30" s="459"/>
      <c r="BP30" s="459"/>
      <c r="BQ30" s="459"/>
      <c r="BR30" s="300" t="s">
        <v>35</v>
      </c>
      <c r="BS30" s="459"/>
      <c r="BT30" s="459"/>
      <c r="BU30" s="460"/>
      <c r="BV30" s="460"/>
      <c r="BW30" s="302"/>
      <c r="BX30" s="300" t="s">
        <v>40</v>
      </c>
      <c r="BY30" s="459"/>
      <c r="BZ30" s="459"/>
      <c r="CA30" s="459"/>
      <c r="CB30" s="459"/>
      <c r="CC30" s="301"/>
    </row>
    <row r="31" spans="2:81">
      <c r="B31" s="162"/>
      <c r="C31" s="163"/>
      <c r="D31" s="297" t="s">
        <v>65</v>
      </c>
      <c r="E31" s="457"/>
      <c r="F31" s="457"/>
      <c r="G31" s="457"/>
      <c r="H31" s="457"/>
      <c r="I31" s="457"/>
      <c r="J31" s="457"/>
      <c r="K31" s="457"/>
      <c r="L31" s="457"/>
      <c r="M31" s="298"/>
      <c r="N31" s="300" t="s">
        <v>42</v>
      </c>
      <c r="O31" s="459"/>
      <c r="P31" s="459"/>
      <c r="Q31" s="459"/>
      <c r="R31" s="459"/>
      <c r="S31" s="300" t="s">
        <v>42</v>
      </c>
      <c r="T31" s="459"/>
      <c r="U31" s="459"/>
      <c r="V31" s="301"/>
      <c r="W31" s="300" t="s">
        <v>42</v>
      </c>
      <c r="X31" s="459"/>
      <c r="Y31" s="459"/>
      <c r="Z31" s="459"/>
      <c r="AA31" s="301"/>
      <c r="AB31" s="300" t="s">
        <v>42</v>
      </c>
      <c r="AC31" s="459"/>
      <c r="AD31" s="459"/>
      <c r="AE31" s="301"/>
      <c r="AF31" s="300" t="s">
        <v>38</v>
      </c>
      <c r="AG31" s="459"/>
      <c r="AH31" s="459"/>
      <c r="AI31" s="459"/>
      <c r="AJ31" s="301"/>
      <c r="AK31" s="300" t="s">
        <v>38</v>
      </c>
      <c r="AL31" s="459"/>
      <c r="AM31" s="459"/>
      <c r="AN31" s="301"/>
      <c r="AO31" s="300" t="s">
        <v>38</v>
      </c>
      <c r="AP31" s="459"/>
      <c r="AQ31" s="459"/>
      <c r="AR31" s="459"/>
      <c r="AS31" s="301"/>
      <c r="AT31" s="300" t="s">
        <v>42</v>
      </c>
      <c r="AU31" s="459"/>
      <c r="AV31" s="459"/>
      <c r="AW31" s="459"/>
      <c r="AX31" s="301"/>
      <c r="BB31" s="297" t="s">
        <v>66</v>
      </c>
      <c r="BC31" s="457"/>
      <c r="BD31" s="457"/>
      <c r="BE31" s="457"/>
      <c r="BF31" s="457"/>
      <c r="BG31" s="457"/>
      <c r="BH31" s="457"/>
      <c r="BI31" s="457"/>
      <c r="BJ31" s="457"/>
      <c r="BK31" s="298"/>
      <c r="BL31" s="300" t="s">
        <v>40</v>
      </c>
      <c r="BM31" s="459"/>
      <c r="BN31" s="459"/>
      <c r="BO31" s="459"/>
      <c r="BP31" s="459"/>
      <c r="BQ31" s="459"/>
      <c r="BR31" s="300" t="s">
        <v>35</v>
      </c>
      <c r="BS31" s="459"/>
      <c r="BT31" s="459"/>
      <c r="BU31" s="460"/>
      <c r="BV31" s="460"/>
      <c r="BW31" s="302"/>
      <c r="BX31" s="300" t="s">
        <v>40</v>
      </c>
      <c r="BY31" s="459"/>
      <c r="BZ31" s="459"/>
      <c r="CA31" s="459"/>
      <c r="CB31" s="459"/>
      <c r="CC31" s="301"/>
    </row>
    <row r="32" spans="2:81">
      <c r="B32" s="162"/>
      <c r="C32" s="163"/>
      <c r="D32" s="297" t="s">
        <v>67</v>
      </c>
      <c r="E32" s="457"/>
      <c r="F32" s="457"/>
      <c r="G32" s="457"/>
      <c r="H32" s="457"/>
      <c r="I32" s="457"/>
      <c r="J32" s="457"/>
      <c r="K32" s="457"/>
      <c r="L32" s="457"/>
      <c r="M32" s="298"/>
      <c r="N32" s="300" t="s">
        <v>42</v>
      </c>
      <c r="O32" s="459"/>
      <c r="P32" s="459"/>
      <c r="Q32" s="459"/>
      <c r="R32" s="459"/>
      <c r="S32" s="300" t="s">
        <v>42</v>
      </c>
      <c r="T32" s="459"/>
      <c r="U32" s="459"/>
      <c r="V32" s="301"/>
      <c r="W32" s="300" t="s">
        <v>42</v>
      </c>
      <c r="X32" s="459"/>
      <c r="Y32" s="459"/>
      <c r="Z32" s="459"/>
      <c r="AA32" s="301"/>
      <c r="AB32" s="300" t="s">
        <v>42</v>
      </c>
      <c r="AC32" s="459"/>
      <c r="AD32" s="459"/>
      <c r="AE32" s="301"/>
      <c r="AF32" s="300" t="s">
        <v>42</v>
      </c>
      <c r="AG32" s="459"/>
      <c r="AH32" s="459"/>
      <c r="AI32" s="459"/>
      <c r="AJ32" s="301"/>
      <c r="AK32" s="300" t="s">
        <v>42</v>
      </c>
      <c r="AL32" s="459"/>
      <c r="AM32" s="459"/>
      <c r="AN32" s="301"/>
      <c r="AO32" s="300" t="s">
        <v>42</v>
      </c>
      <c r="AP32" s="459"/>
      <c r="AQ32" s="459"/>
      <c r="AR32" s="459"/>
      <c r="AS32" s="301"/>
      <c r="AT32" s="300" t="s">
        <v>42</v>
      </c>
      <c r="AU32" s="459"/>
      <c r="AV32" s="459"/>
      <c r="AW32" s="459"/>
      <c r="AX32" s="301"/>
      <c r="BB32" s="297" t="s">
        <v>68</v>
      </c>
      <c r="BC32" s="457"/>
      <c r="BD32" s="457"/>
      <c r="BE32" s="457"/>
      <c r="BF32" s="457"/>
      <c r="BG32" s="457"/>
      <c r="BH32" s="457"/>
      <c r="BI32" s="457"/>
      <c r="BJ32" s="457"/>
      <c r="BK32" s="298"/>
      <c r="BL32" s="300" t="s">
        <v>42</v>
      </c>
      <c r="BM32" s="459"/>
      <c r="BN32" s="459"/>
      <c r="BO32" s="459"/>
      <c r="BP32" s="459"/>
      <c r="BQ32" s="459"/>
      <c r="BR32" s="300" t="s">
        <v>42</v>
      </c>
      <c r="BS32" s="459"/>
      <c r="BT32" s="459"/>
      <c r="BU32" s="460"/>
      <c r="BV32" s="460"/>
      <c r="BW32" s="302"/>
      <c r="BX32" s="300" t="s">
        <v>42</v>
      </c>
      <c r="BY32" s="459"/>
      <c r="BZ32" s="459"/>
      <c r="CA32" s="459"/>
      <c r="CB32" s="459"/>
      <c r="CC32" s="301"/>
    </row>
    <row r="33" spans="2:81">
      <c r="B33" s="163"/>
      <c r="C33" s="163"/>
      <c r="D33" s="297" t="s">
        <v>69</v>
      </c>
      <c r="E33" s="457"/>
      <c r="F33" s="457"/>
      <c r="G33" s="457"/>
      <c r="H33" s="457"/>
      <c r="I33" s="457"/>
      <c r="J33" s="457"/>
      <c r="K33" s="457"/>
      <c r="L33" s="457"/>
      <c r="M33" s="298"/>
      <c r="N33" s="303" t="s">
        <v>70</v>
      </c>
      <c r="O33" s="461"/>
      <c r="P33" s="461"/>
      <c r="Q33" s="461"/>
      <c r="R33" s="461"/>
      <c r="S33" s="303" t="s">
        <v>70</v>
      </c>
      <c r="T33" s="461"/>
      <c r="U33" s="461"/>
      <c r="V33" s="304"/>
      <c r="W33" s="303" t="s">
        <v>70</v>
      </c>
      <c r="X33" s="461"/>
      <c r="Y33" s="461"/>
      <c r="Z33" s="461"/>
      <c r="AA33" s="304"/>
      <c r="AB33" s="303" t="s">
        <v>70</v>
      </c>
      <c r="AC33" s="461"/>
      <c r="AD33" s="461"/>
      <c r="AE33" s="304"/>
      <c r="AF33" s="303" t="s">
        <v>70</v>
      </c>
      <c r="AG33" s="461"/>
      <c r="AH33" s="461"/>
      <c r="AI33" s="461"/>
      <c r="AJ33" s="304"/>
      <c r="AK33" s="303" t="s">
        <v>70</v>
      </c>
      <c r="AL33" s="461"/>
      <c r="AM33" s="461"/>
      <c r="AN33" s="304"/>
      <c r="AO33" s="303" t="s">
        <v>70</v>
      </c>
      <c r="AP33" s="461"/>
      <c r="AQ33" s="461"/>
      <c r="AR33" s="461"/>
      <c r="AS33" s="304"/>
      <c r="AT33" s="303" t="s">
        <v>71</v>
      </c>
      <c r="AU33" s="461"/>
      <c r="AV33" s="461"/>
      <c r="AW33" s="461"/>
      <c r="AX33" s="304"/>
      <c r="BB33" s="297" t="s">
        <v>72</v>
      </c>
      <c r="BC33" s="457"/>
      <c r="BD33" s="457"/>
      <c r="BE33" s="457"/>
      <c r="BF33" s="457"/>
      <c r="BG33" s="457"/>
      <c r="BH33" s="457"/>
      <c r="BI33" s="457"/>
      <c r="BJ33" s="457"/>
      <c r="BK33" s="298"/>
      <c r="BL33" s="303"/>
      <c r="BM33" s="461"/>
      <c r="BN33" s="461"/>
      <c r="BO33" s="461"/>
      <c r="BP33" s="461"/>
      <c r="BQ33" s="461"/>
      <c r="BR33" s="303"/>
      <c r="BS33" s="461"/>
      <c r="BT33" s="461"/>
      <c r="BU33" s="462"/>
      <c r="BV33" s="462"/>
      <c r="BW33" s="305"/>
      <c r="BX33" s="303"/>
      <c r="BY33" s="461"/>
      <c r="BZ33" s="461"/>
      <c r="CA33" s="461"/>
      <c r="CB33" s="461"/>
      <c r="CC33" s="304"/>
    </row>
    <row r="35" spans="2:81">
      <c r="D35" s="163" t="s">
        <v>33</v>
      </c>
      <c r="G35" s="161" t="s">
        <v>73</v>
      </c>
      <c r="BB35" s="163" t="s">
        <v>54</v>
      </c>
      <c r="BE35" s="161" t="s">
        <v>74</v>
      </c>
    </row>
    <row r="36" spans="2:81">
      <c r="D36" s="163" t="s">
        <v>37</v>
      </c>
      <c r="G36" s="161" t="s">
        <v>75</v>
      </c>
      <c r="BB36" s="163" t="s">
        <v>57</v>
      </c>
      <c r="BE36" s="161" t="s">
        <v>76</v>
      </c>
    </row>
    <row r="37" spans="2:81">
      <c r="BB37" s="163" t="s">
        <v>60</v>
      </c>
      <c r="BE37" s="161" t="s">
        <v>77</v>
      </c>
    </row>
    <row r="39" spans="2:81" ht="17.45" customHeight="1"/>
  </sheetData>
  <phoneticPr fontId="8"/>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
  <cols>
    <col min="1" max="48" width="2.5" style="51" customWidth="1"/>
    <col min="49" max="49" width="9.625" style="51" hidden="1" customWidth="1"/>
    <col min="50" max="50" width="8.75" style="51" hidden="1" customWidth="1"/>
    <col min="51" max="86" width="2.5" style="51" customWidth="1"/>
    <col min="87" max="256" width="9" style="51"/>
    <col min="257" max="305" width="2.5" style="51" customWidth="1"/>
    <col min="306" max="306" width="0" style="51" hidden="1" customWidth="1"/>
    <col min="307" max="512" width="9" style="51"/>
    <col min="513" max="561" width="2.5" style="51" customWidth="1"/>
    <col min="562" max="562" width="0" style="51" hidden="1" customWidth="1"/>
    <col min="563" max="768" width="9" style="51"/>
    <col min="769" max="817" width="2.5" style="51" customWidth="1"/>
    <col min="818" max="818" width="0" style="51" hidden="1" customWidth="1"/>
    <col min="819" max="1024" width="9" style="51"/>
    <col min="1025" max="1073" width="2.5" style="51" customWidth="1"/>
    <col min="1074" max="1074" width="0" style="51" hidden="1" customWidth="1"/>
    <col min="1075" max="1280" width="9" style="51"/>
    <col min="1281" max="1329" width="2.5" style="51" customWidth="1"/>
    <col min="1330" max="1330" width="0" style="51" hidden="1" customWidth="1"/>
    <col min="1331" max="1536" width="9" style="51"/>
    <col min="1537" max="1585" width="2.5" style="51" customWidth="1"/>
    <col min="1586" max="1586" width="0" style="51" hidden="1" customWidth="1"/>
    <col min="1587" max="1792" width="9" style="51"/>
    <col min="1793" max="1841" width="2.5" style="51" customWidth="1"/>
    <col min="1842" max="1842" width="0" style="51" hidden="1" customWidth="1"/>
    <col min="1843" max="2048" width="9" style="51"/>
    <col min="2049" max="2097" width="2.5" style="51" customWidth="1"/>
    <col min="2098" max="2098" width="0" style="51" hidden="1" customWidth="1"/>
    <col min="2099" max="2304" width="9" style="51"/>
    <col min="2305" max="2353" width="2.5" style="51" customWidth="1"/>
    <col min="2354" max="2354" width="0" style="51" hidden="1" customWidth="1"/>
    <col min="2355" max="2560" width="9" style="51"/>
    <col min="2561" max="2609" width="2.5" style="51" customWidth="1"/>
    <col min="2610" max="2610" width="0" style="51" hidden="1" customWidth="1"/>
    <col min="2611" max="2816" width="9" style="51"/>
    <col min="2817" max="2865" width="2.5" style="51" customWidth="1"/>
    <col min="2866" max="2866" width="0" style="51" hidden="1" customWidth="1"/>
    <col min="2867" max="3072" width="9" style="51"/>
    <col min="3073" max="3121" width="2.5" style="51" customWidth="1"/>
    <col min="3122" max="3122" width="0" style="51" hidden="1" customWidth="1"/>
    <col min="3123" max="3328" width="9" style="51"/>
    <col min="3329" max="3377" width="2.5" style="51" customWidth="1"/>
    <col min="3378" max="3378" width="0" style="51" hidden="1" customWidth="1"/>
    <col min="3379" max="3584" width="9" style="51"/>
    <col min="3585" max="3633" width="2.5" style="51" customWidth="1"/>
    <col min="3634" max="3634" width="0" style="51" hidden="1" customWidth="1"/>
    <col min="3635" max="3840" width="9" style="51"/>
    <col min="3841" max="3889" width="2.5" style="51" customWidth="1"/>
    <col min="3890" max="3890" width="0" style="51" hidden="1" customWidth="1"/>
    <col min="3891" max="4096" width="9" style="51"/>
    <col min="4097" max="4145" width="2.5" style="51" customWidth="1"/>
    <col min="4146" max="4146" width="0" style="51" hidden="1" customWidth="1"/>
    <col min="4147" max="4352" width="9" style="51"/>
    <col min="4353" max="4401" width="2.5" style="51" customWidth="1"/>
    <col min="4402" max="4402" width="0" style="51" hidden="1" customWidth="1"/>
    <col min="4403" max="4608" width="9" style="51"/>
    <col min="4609" max="4657" width="2.5" style="51" customWidth="1"/>
    <col min="4658" max="4658" width="0" style="51" hidden="1" customWidth="1"/>
    <col min="4659" max="4864" width="9" style="51"/>
    <col min="4865" max="4913" width="2.5" style="51" customWidth="1"/>
    <col min="4914" max="4914" width="0" style="51" hidden="1" customWidth="1"/>
    <col min="4915" max="5120" width="9" style="51"/>
    <col min="5121" max="5169" width="2.5" style="51" customWidth="1"/>
    <col min="5170" max="5170" width="0" style="51" hidden="1" customWidth="1"/>
    <col min="5171" max="5376" width="9" style="51"/>
    <col min="5377" max="5425" width="2.5" style="51" customWidth="1"/>
    <col min="5426" max="5426" width="0" style="51" hidden="1" customWidth="1"/>
    <col min="5427" max="5632" width="9" style="51"/>
    <col min="5633" max="5681" width="2.5" style="51" customWidth="1"/>
    <col min="5682" max="5682" width="0" style="51" hidden="1" customWidth="1"/>
    <col min="5683" max="5888" width="9" style="51"/>
    <col min="5889" max="5937" width="2.5" style="51" customWidth="1"/>
    <col min="5938" max="5938" width="0" style="51" hidden="1" customWidth="1"/>
    <col min="5939" max="6144" width="9" style="51"/>
    <col min="6145" max="6193" width="2.5" style="51" customWidth="1"/>
    <col min="6194" max="6194" width="0" style="51" hidden="1" customWidth="1"/>
    <col min="6195" max="6400" width="9" style="51"/>
    <col min="6401" max="6449" width="2.5" style="51" customWidth="1"/>
    <col min="6450" max="6450" width="0" style="51" hidden="1" customWidth="1"/>
    <col min="6451" max="6656" width="9" style="51"/>
    <col min="6657" max="6705" width="2.5" style="51" customWidth="1"/>
    <col min="6706" max="6706" width="0" style="51" hidden="1" customWidth="1"/>
    <col min="6707" max="6912" width="9" style="51"/>
    <col min="6913" max="6961" width="2.5" style="51" customWidth="1"/>
    <col min="6962" max="6962" width="0" style="51" hidden="1" customWidth="1"/>
    <col min="6963" max="7168" width="9" style="51"/>
    <col min="7169" max="7217" width="2.5" style="51" customWidth="1"/>
    <col min="7218" max="7218" width="0" style="51" hidden="1" customWidth="1"/>
    <col min="7219" max="7424" width="9" style="51"/>
    <col min="7425" max="7473" width="2.5" style="51" customWidth="1"/>
    <col min="7474" max="7474" width="0" style="51" hidden="1" customWidth="1"/>
    <col min="7475" max="7680" width="9" style="51"/>
    <col min="7681" max="7729" width="2.5" style="51" customWidth="1"/>
    <col min="7730" max="7730" width="0" style="51" hidden="1" customWidth="1"/>
    <col min="7731" max="7936" width="9" style="51"/>
    <col min="7937" max="7985" width="2.5" style="51" customWidth="1"/>
    <col min="7986" max="7986" width="0" style="51" hidden="1" customWidth="1"/>
    <col min="7987" max="8192" width="9" style="51"/>
    <col min="8193" max="8241" width="2.5" style="51" customWidth="1"/>
    <col min="8242" max="8242" width="0" style="51" hidden="1" customWidth="1"/>
    <col min="8243" max="8448" width="9" style="51"/>
    <col min="8449" max="8497" width="2.5" style="51" customWidth="1"/>
    <col min="8498" max="8498" width="0" style="51" hidden="1" customWidth="1"/>
    <col min="8499" max="8704" width="9" style="51"/>
    <col min="8705" max="8753" width="2.5" style="51" customWidth="1"/>
    <col min="8754" max="8754" width="0" style="51" hidden="1" customWidth="1"/>
    <col min="8755" max="8960" width="9" style="51"/>
    <col min="8961" max="9009" width="2.5" style="51" customWidth="1"/>
    <col min="9010" max="9010" width="0" style="51" hidden="1" customWidth="1"/>
    <col min="9011" max="9216" width="9" style="51"/>
    <col min="9217" max="9265" width="2.5" style="51" customWidth="1"/>
    <col min="9266" max="9266" width="0" style="51" hidden="1" customWidth="1"/>
    <col min="9267" max="9472" width="9" style="51"/>
    <col min="9473" max="9521" width="2.5" style="51" customWidth="1"/>
    <col min="9522" max="9522" width="0" style="51" hidden="1" customWidth="1"/>
    <col min="9523" max="9728" width="9" style="51"/>
    <col min="9729" max="9777" width="2.5" style="51" customWidth="1"/>
    <col min="9778" max="9778" width="0" style="51" hidden="1" customWidth="1"/>
    <col min="9779" max="9984" width="9" style="51"/>
    <col min="9985" max="10033" width="2.5" style="51" customWidth="1"/>
    <col min="10034" max="10034" width="0" style="51" hidden="1" customWidth="1"/>
    <col min="10035" max="10240" width="9" style="51"/>
    <col min="10241" max="10289" width="2.5" style="51" customWidth="1"/>
    <col min="10290" max="10290" width="0" style="51" hidden="1" customWidth="1"/>
    <col min="10291" max="10496" width="9" style="51"/>
    <col min="10497" max="10545" width="2.5" style="51" customWidth="1"/>
    <col min="10546" max="10546" width="0" style="51" hidden="1" customWidth="1"/>
    <col min="10547" max="10752" width="9" style="51"/>
    <col min="10753" max="10801" width="2.5" style="51" customWidth="1"/>
    <col min="10802" max="10802" width="0" style="51" hidden="1" customWidth="1"/>
    <col min="10803" max="11008" width="9" style="51"/>
    <col min="11009" max="11057" width="2.5" style="51" customWidth="1"/>
    <col min="11058" max="11058" width="0" style="51" hidden="1" customWidth="1"/>
    <col min="11059" max="11264" width="9" style="51"/>
    <col min="11265" max="11313" width="2.5" style="51" customWidth="1"/>
    <col min="11314" max="11314" width="0" style="51" hidden="1" customWidth="1"/>
    <col min="11315" max="11520" width="9" style="51"/>
    <col min="11521" max="11569" width="2.5" style="51" customWidth="1"/>
    <col min="11570" max="11570" width="0" style="51" hidden="1" customWidth="1"/>
    <col min="11571" max="11776" width="9" style="51"/>
    <col min="11777" max="11825" width="2.5" style="51" customWidth="1"/>
    <col min="11826" max="11826" width="0" style="51" hidden="1" customWidth="1"/>
    <col min="11827" max="12032" width="9" style="51"/>
    <col min="12033" max="12081" width="2.5" style="51" customWidth="1"/>
    <col min="12082" max="12082" width="0" style="51" hidden="1" customWidth="1"/>
    <col min="12083" max="12288" width="9" style="51"/>
    <col min="12289" max="12337" width="2.5" style="51" customWidth="1"/>
    <col min="12338" max="12338" width="0" style="51" hidden="1" customWidth="1"/>
    <col min="12339" max="12544" width="9" style="51"/>
    <col min="12545" max="12593" width="2.5" style="51" customWidth="1"/>
    <col min="12594" max="12594" width="0" style="51" hidden="1" customWidth="1"/>
    <col min="12595" max="12800" width="9" style="51"/>
    <col min="12801" max="12849" width="2.5" style="51" customWidth="1"/>
    <col min="12850" max="12850" width="0" style="51" hidden="1" customWidth="1"/>
    <col min="12851" max="13056" width="9" style="51"/>
    <col min="13057" max="13105" width="2.5" style="51" customWidth="1"/>
    <col min="13106" max="13106" width="0" style="51" hidden="1" customWidth="1"/>
    <col min="13107" max="13312" width="9" style="51"/>
    <col min="13313" max="13361" width="2.5" style="51" customWidth="1"/>
    <col min="13362" max="13362" width="0" style="51" hidden="1" customWidth="1"/>
    <col min="13363" max="13568" width="9" style="51"/>
    <col min="13569" max="13617" width="2.5" style="51" customWidth="1"/>
    <col min="13618" max="13618" width="0" style="51" hidden="1" customWidth="1"/>
    <col min="13619" max="13824" width="9" style="51"/>
    <col min="13825" max="13873" width="2.5" style="51" customWidth="1"/>
    <col min="13874" max="13874" width="0" style="51" hidden="1" customWidth="1"/>
    <col min="13875" max="14080" width="9" style="51"/>
    <col min="14081" max="14129" width="2.5" style="51" customWidth="1"/>
    <col min="14130" max="14130" width="0" style="51" hidden="1" customWidth="1"/>
    <col min="14131" max="14336" width="9" style="51"/>
    <col min="14337" max="14385" width="2.5" style="51" customWidth="1"/>
    <col min="14386" max="14386" width="0" style="51" hidden="1" customWidth="1"/>
    <col min="14387" max="14592" width="9" style="51"/>
    <col min="14593" max="14641" width="2.5" style="51" customWidth="1"/>
    <col min="14642" max="14642" width="0" style="51" hidden="1" customWidth="1"/>
    <col min="14643" max="14848" width="9" style="51"/>
    <col min="14849" max="14897" width="2.5" style="51" customWidth="1"/>
    <col min="14898" max="14898" width="0" style="51" hidden="1" customWidth="1"/>
    <col min="14899" max="15104" width="9" style="51"/>
    <col min="15105" max="15153" width="2.5" style="51" customWidth="1"/>
    <col min="15154" max="15154" width="0" style="51" hidden="1" customWidth="1"/>
    <col min="15155" max="15360" width="9" style="51"/>
    <col min="15361" max="15409" width="2.5" style="51" customWidth="1"/>
    <col min="15410" max="15410" width="0" style="51" hidden="1" customWidth="1"/>
    <col min="15411" max="15616" width="9" style="51"/>
    <col min="15617" max="15665" width="2.5" style="51" customWidth="1"/>
    <col min="15666" max="15666" width="0" style="51" hidden="1" customWidth="1"/>
    <col min="15667" max="15872" width="9" style="51"/>
    <col min="15873" max="15921" width="2.5" style="51" customWidth="1"/>
    <col min="15922" max="15922" width="0" style="51" hidden="1" customWidth="1"/>
    <col min="15923" max="16128" width="9" style="51"/>
    <col min="16129" max="16177" width="2.5" style="51" customWidth="1"/>
    <col min="16178" max="16178" width="0" style="51" hidden="1" customWidth="1"/>
    <col min="16179" max="16384" width="9" style="51"/>
  </cols>
  <sheetData>
    <row r="2" spans="2:49">
      <c r="AW2" s="52" t="s">
        <v>78</v>
      </c>
    </row>
    <row r="3" spans="2:49" ht="11.25" customHeight="1">
      <c r="AC3" s="699"/>
      <c r="AD3" s="700"/>
      <c r="AE3" s="700"/>
      <c r="AF3" s="700"/>
      <c r="AG3" s="700"/>
      <c r="AH3" s="700"/>
      <c r="AI3" s="699"/>
      <c r="AJ3" s="699"/>
      <c r="AK3" s="699"/>
      <c r="AL3" s="699"/>
      <c r="AM3" s="699"/>
      <c r="AN3" s="605"/>
      <c r="AO3" s="605"/>
      <c r="AP3" s="605"/>
      <c r="AQ3" s="605"/>
      <c r="AR3" s="605"/>
      <c r="AS3" s="605"/>
      <c r="AT3" s="605"/>
      <c r="AU3" s="53"/>
      <c r="AW3" s="54" t="s">
        <v>79</v>
      </c>
    </row>
    <row r="4" spans="2:49" ht="11.1" customHeight="1">
      <c r="B4" s="55"/>
      <c r="C4" s="56"/>
      <c r="D4" s="56"/>
      <c r="E4" s="56"/>
      <c r="F4" s="56"/>
      <c r="G4" s="56"/>
      <c r="H4" s="56"/>
      <c r="I4" s="56"/>
      <c r="J4" s="56"/>
      <c r="AC4" s="700"/>
      <c r="AD4" s="700"/>
      <c r="AE4" s="700"/>
      <c r="AF4" s="700"/>
      <c r="AG4" s="700"/>
      <c r="AH4" s="700"/>
      <c r="AI4" s="699"/>
      <c r="AJ4" s="699"/>
      <c r="AK4" s="699"/>
      <c r="AL4" s="699"/>
      <c r="AM4" s="699"/>
      <c r="AN4" s="605"/>
      <c r="AO4" s="605"/>
      <c r="AP4" s="605"/>
      <c r="AQ4" s="605"/>
      <c r="AR4" s="605"/>
      <c r="AS4" s="605"/>
      <c r="AT4" s="605"/>
      <c r="AU4" s="53"/>
      <c r="AW4" s="54" t="s">
        <v>80</v>
      </c>
    </row>
    <row r="5" spans="2:49" ht="11.25" customHeight="1">
      <c r="AC5" s="700"/>
      <c r="AD5" s="700"/>
      <c r="AE5" s="700"/>
      <c r="AF5" s="700"/>
      <c r="AG5" s="700"/>
      <c r="AH5" s="700"/>
      <c r="AI5" s="701"/>
      <c r="AJ5" s="701"/>
      <c r="AK5" s="701"/>
      <c r="AL5" s="701"/>
      <c r="AM5" s="701"/>
      <c r="AN5" s="702"/>
      <c r="AO5" s="702"/>
      <c r="AP5" s="702"/>
      <c r="AQ5" s="702"/>
      <c r="AR5" s="702"/>
      <c r="AS5" s="702"/>
      <c r="AT5" s="702"/>
      <c r="AU5" s="57"/>
      <c r="AW5" s="54" t="s">
        <v>81</v>
      </c>
    </row>
    <row r="6" spans="2:49" ht="12.75" customHeight="1">
      <c r="B6" s="58"/>
      <c r="M6" s="59"/>
      <c r="N6" s="59"/>
      <c r="O6" s="59"/>
      <c r="P6" s="59"/>
      <c r="Q6" s="59"/>
      <c r="R6" s="59"/>
      <c r="S6" s="59"/>
      <c r="T6" s="59"/>
      <c r="U6" s="59"/>
      <c r="V6" s="59"/>
      <c r="W6" s="59"/>
      <c r="X6" s="59"/>
      <c r="Y6" s="59"/>
      <c r="Z6" s="59"/>
      <c r="AA6" s="59"/>
      <c r="AB6" s="59"/>
      <c r="AC6" s="59"/>
      <c r="AD6" s="59"/>
      <c r="AE6" s="59"/>
      <c r="AF6" s="59"/>
      <c r="AG6" s="59"/>
      <c r="AH6" s="59"/>
      <c r="AI6" s="59"/>
      <c r="AJ6" s="59"/>
      <c r="AW6" s="54" t="s">
        <v>82</v>
      </c>
    </row>
    <row r="7" spans="2:49" ht="11.25" customHeight="1">
      <c r="M7" s="685" t="s">
        <v>83</v>
      </c>
      <c r="N7" s="686"/>
      <c r="O7" s="686"/>
      <c r="P7" s="686"/>
      <c r="Q7" s="686"/>
      <c r="R7" s="686"/>
      <c r="S7" s="686"/>
      <c r="T7" s="686"/>
      <c r="U7" s="686"/>
      <c r="V7" s="686"/>
      <c r="W7" s="686"/>
      <c r="X7" s="686"/>
      <c r="Y7" s="686"/>
      <c r="Z7" s="686"/>
      <c r="AA7" s="686"/>
      <c r="AB7" s="686"/>
      <c r="AC7" s="686"/>
      <c r="AD7" s="686"/>
      <c r="AE7" s="686"/>
      <c r="AF7" s="686"/>
      <c r="AG7" s="686"/>
      <c r="AH7" s="686"/>
      <c r="AI7" s="686"/>
      <c r="AJ7" s="687"/>
      <c r="AW7" s="54" t="s">
        <v>84</v>
      </c>
    </row>
    <row r="8" spans="2:49" ht="11.25" customHeight="1">
      <c r="M8" s="685"/>
      <c r="N8" s="686"/>
      <c r="O8" s="686"/>
      <c r="P8" s="686"/>
      <c r="Q8" s="686"/>
      <c r="R8" s="686"/>
      <c r="S8" s="686"/>
      <c r="T8" s="686"/>
      <c r="U8" s="686"/>
      <c r="V8" s="686"/>
      <c r="W8" s="686"/>
      <c r="X8" s="686"/>
      <c r="Y8" s="686"/>
      <c r="Z8" s="686"/>
      <c r="AA8" s="686"/>
      <c r="AB8" s="686"/>
      <c r="AC8" s="686"/>
      <c r="AD8" s="686"/>
      <c r="AE8" s="686"/>
      <c r="AF8" s="686"/>
      <c r="AG8" s="686"/>
      <c r="AH8" s="686"/>
      <c r="AI8" s="686"/>
      <c r="AJ8" s="687"/>
      <c r="AW8" s="54" t="s">
        <v>85</v>
      </c>
    </row>
    <row r="9" spans="2:49" ht="11.25" customHeight="1">
      <c r="M9" s="685"/>
      <c r="N9" s="686"/>
      <c r="O9" s="686"/>
      <c r="P9" s="686"/>
      <c r="Q9" s="686"/>
      <c r="R9" s="686"/>
      <c r="S9" s="686"/>
      <c r="T9" s="686"/>
      <c r="U9" s="686"/>
      <c r="V9" s="686"/>
      <c r="W9" s="686"/>
      <c r="X9" s="686"/>
      <c r="Y9" s="686"/>
      <c r="Z9" s="686"/>
      <c r="AA9" s="686"/>
      <c r="AB9" s="686"/>
      <c r="AC9" s="686"/>
      <c r="AD9" s="686"/>
      <c r="AE9" s="686"/>
      <c r="AF9" s="686"/>
      <c r="AG9" s="686"/>
      <c r="AH9" s="686"/>
      <c r="AI9" s="686"/>
      <c r="AJ9" s="687"/>
      <c r="AW9" s="54" t="s">
        <v>86</v>
      </c>
    </row>
    <row r="10" spans="2:49" ht="11.25" customHeight="1">
      <c r="M10" s="688" t="s">
        <v>87</v>
      </c>
      <c r="N10" s="689"/>
      <c r="O10" s="689"/>
      <c r="P10" s="689"/>
      <c r="Q10" s="689"/>
      <c r="R10" s="689"/>
      <c r="S10" s="689"/>
      <c r="T10" s="689"/>
      <c r="U10" s="689"/>
      <c r="V10" s="689"/>
      <c r="W10" s="689"/>
      <c r="X10" s="689"/>
      <c r="Y10" s="689"/>
      <c r="Z10" s="689"/>
      <c r="AA10" s="689"/>
      <c r="AB10" s="689"/>
      <c r="AC10" s="689"/>
      <c r="AD10" s="689"/>
      <c r="AE10" s="689"/>
      <c r="AF10" s="689"/>
      <c r="AG10" s="689"/>
      <c r="AH10" s="689"/>
      <c r="AI10" s="689"/>
      <c r="AJ10" s="690"/>
      <c r="AW10" s="54" t="s">
        <v>88</v>
      </c>
    </row>
    <row r="11" spans="2:49" ht="11.25" customHeight="1">
      <c r="M11" s="688"/>
      <c r="N11" s="689"/>
      <c r="O11" s="689"/>
      <c r="P11" s="689"/>
      <c r="Q11" s="689"/>
      <c r="R11" s="689"/>
      <c r="S11" s="689"/>
      <c r="T11" s="689"/>
      <c r="U11" s="689"/>
      <c r="V11" s="689"/>
      <c r="W11" s="689"/>
      <c r="X11" s="689"/>
      <c r="Y11" s="689"/>
      <c r="Z11" s="689"/>
      <c r="AA11" s="689"/>
      <c r="AB11" s="689"/>
      <c r="AC11" s="689"/>
      <c r="AD11" s="689"/>
      <c r="AE11" s="689"/>
      <c r="AF11" s="689"/>
      <c r="AG11" s="689"/>
      <c r="AH11" s="689"/>
      <c r="AI11" s="689"/>
      <c r="AJ11" s="690"/>
      <c r="AW11" s="54" t="s">
        <v>89</v>
      </c>
    </row>
    <row r="12" spans="2:49" ht="11.25" customHeight="1">
      <c r="M12" s="691"/>
      <c r="N12" s="692"/>
      <c r="O12" s="692"/>
      <c r="P12" s="692"/>
      <c r="Q12" s="692"/>
      <c r="R12" s="692"/>
      <c r="S12" s="692"/>
      <c r="T12" s="692"/>
      <c r="U12" s="692"/>
      <c r="V12" s="692"/>
      <c r="W12" s="692"/>
      <c r="X12" s="692"/>
      <c r="Y12" s="692"/>
      <c r="Z12" s="692"/>
      <c r="AA12" s="692"/>
      <c r="AB12" s="692"/>
      <c r="AC12" s="692"/>
      <c r="AD12" s="692"/>
      <c r="AE12" s="692"/>
      <c r="AF12" s="692"/>
      <c r="AG12" s="692"/>
      <c r="AH12" s="692"/>
      <c r="AI12" s="692"/>
      <c r="AJ12" s="693"/>
      <c r="AW12" s="54" t="s">
        <v>90</v>
      </c>
    </row>
    <row r="13" spans="2:49">
      <c r="AW13" s="54" t="s">
        <v>91</v>
      </c>
    </row>
    <row r="14" spans="2:49">
      <c r="AW14" s="54" t="s">
        <v>92</v>
      </c>
    </row>
    <row r="15" spans="2:49">
      <c r="AW15" s="54" t="s">
        <v>93</v>
      </c>
    </row>
    <row r="16" spans="2:49">
      <c r="M16" s="636" t="s">
        <v>94</v>
      </c>
      <c r="N16" s="637"/>
      <c r="O16" s="637"/>
      <c r="P16" s="637"/>
      <c r="Q16" s="637"/>
      <c r="R16" s="637"/>
      <c r="S16" s="637"/>
      <c r="T16" s="638"/>
      <c r="U16" s="668" t="s">
        <v>95</v>
      </c>
      <c r="V16" s="694"/>
      <c r="W16" s="694"/>
      <c r="X16" s="694"/>
      <c r="Y16" s="694"/>
      <c r="Z16" s="694"/>
      <c r="AA16" s="694"/>
      <c r="AB16" s="694"/>
      <c r="AC16" s="694"/>
      <c r="AD16" s="694"/>
      <c r="AE16" s="694"/>
      <c r="AF16" s="694"/>
      <c r="AG16" s="694"/>
      <c r="AH16" s="694"/>
      <c r="AI16" s="694"/>
      <c r="AJ16" s="695"/>
      <c r="AW16" s="54" t="s">
        <v>96</v>
      </c>
    </row>
    <row r="17" spans="13:52">
      <c r="M17" s="639"/>
      <c r="N17" s="640"/>
      <c r="O17" s="640"/>
      <c r="P17" s="640"/>
      <c r="Q17" s="640"/>
      <c r="R17" s="640"/>
      <c r="S17" s="640"/>
      <c r="T17" s="641"/>
      <c r="U17" s="696"/>
      <c r="V17" s="697"/>
      <c r="W17" s="697"/>
      <c r="X17" s="697"/>
      <c r="Y17" s="697"/>
      <c r="Z17" s="697"/>
      <c r="AA17" s="697"/>
      <c r="AB17" s="697"/>
      <c r="AC17" s="697"/>
      <c r="AD17" s="697"/>
      <c r="AE17" s="697"/>
      <c r="AF17" s="697"/>
      <c r="AG17" s="697"/>
      <c r="AH17" s="697"/>
      <c r="AI17" s="697"/>
      <c r="AJ17" s="698"/>
      <c r="AL17" s="60"/>
      <c r="AM17" s="52"/>
      <c r="AN17" s="52"/>
      <c r="AO17" s="52"/>
      <c r="AP17" s="52"/>
      <c r="AQ17" s="52"/>
      <c r="AR17" s="52"/>
      <c r="AW17" s="52"/>
    </row>
    <row r="18" spans="13:52">
      <c r="M18" s="636" t="s">
        <v>97</v>
      </c>
      <c r="N18" s="637"/>
      <c r="O18" s="637"/>
      <c r="P18" s="637"/>
      <c r="Q18" s="637"/>
      <c r="R18" s="637"/>
      <c r="S18" s="637"/>
      <c r="T18" s="638"/>
      <c r="U18" s="668" t="s">
        <v>98</v>
      </c>
      <c r="V18" s="694"/>
      <c r="W18" s="694"/>
      <c r="X18" s="694"/>
      <c r="Y18" s="694"/>
      <c r="Z18" s="694"/>
      <c r="AA18" s="694"/>
      <c r="AB18" s="694"/>
      <c r="AC18" s="694"/>
      <c r="AD18" s="694"/>
      <c r="AE18" s="694"/>
      <c r="AF18" s="694"/>
      <c r="AG18" s="694"/>
      <c r="AH18" s="694"/>
      <c r="AI18" s="694"/>
      <c r="AJ18" s="695"/>
      <c r="AL18" s="60"/>
      <c r="AM18" s="52"/>
      <c r="AN18" s="52"/>
      <c r="AO18" s="52"/>
      <c r="AP18" s="52"/>
      <c r="AQ18" s="52"/>
      <c r="AR18" s="52"/>
      <c r="AW18" s="52" t="s">
        <v>99</v>
      </c>
    </row>
    <row r="19" spans="13:52">
      <c r="M19" s="639"/>
      <c r="N19" s="640"/>
      <c r="O19" s="640"/>
      <c r="P19" s="640"/>
      <c r="Q19" s="640"/>
      <c r="R19" s="640"/>
      <c r="S19" s="640"/>
      <c r="T19" s="641"/>
      <c r="U19" s="696"/>
      <c r="V19" s="697"/>
      <c r="W19" s="697"/>
      <c r="X19" s="697"/>
      <c r="Y19" s="697"/>
      <c r="Z19" s="697"/>
      <c r="AA19" s="697"/>
      <c r="AB19" s="697"/>
      <c r="AC19" s="697"/>
      <c r="AD19" s="697"/>
      <c r="AE19" s="697"/>
      <c r="AF19" s="697"/>
      <c r="AG19" s="697"/>
      <c r="AH19" s="697"/>
      <c r="AI19" s="697"/>
      <c r="AJ19" s="698"/>
      <c r="AL19" s="60"/>
      <c r="AM19" s="52"/>
      <c r="AN19" s="52"/>
      <c r="AO19" s="52"/>
      <c r="AP19" s="52"/>
      <c r="AQ19" s="52"/>
      <c r="AR19" s="52"/>
      <c r="AW19" s="52" t="s">
        <v>100</v>
      </c>
    </row>
    <row r="20" spans="13:52" ht="11.25" customHeight="1">
      <c r="M20" s="636" t="s">
        <v>101</v>
      </c>
      <c r="N20" s="637"/>
      <c r="O20" s="637"/>
      <c r="P20" s="637"/>
      <c r="Q20" s="637"/>
      <c r="R20" s="637"/>
      <c r="S20" s="637"/>
      <c r="T20" s="638"/>
      <c r="U20" s="668"/>
      <c r="V20" s="669"/>
      <c r="W20" s="669"/>
      <c r="X20" s="669"/>
      <c r="Y20" s="669"/>
      <c r="Z20" s="669"/>
      <c r="AA20" s="669"/>
      <c r="AB20" s="669"/>
      <c r="AC20" s="669"/>
      <c r="AD20" s="669"/>
      <c r="AE20" s="669"/>
      <c r="AF20" s="669"/>
      <c r="AG20" s="669"/>
      <c r="AH20" s="669"/>
      <c r="AI20" s="669"/>
      <c r="AJ20" s="670"/>
      <c r="AL20" s="60"/>
      <c r="AM20" s="52"/>
      <c r="AN20" s="52"/>
      <c r="AO20" s="52"/>
      <c r="AP20" s="52"/>
      <c r="AQ20" s="52"/>
      <c r="AR20" s="52"/>
      <c r="AW20" s="52" t="s">
        <v>102</v>
      </c>
    </row>
    <row r="21" spans="13:52" ht="11.25" customHeight="1">
      <c r="M21" s="639"/>
      <c r="N21" s="640"/>
      <c r="O21" s="640"/>
      <c r="P21" s="640"/>
      <c r="Q21" s="640"/>
      <c r="R21" s="640"/>
      <c r="S21" s="640"/>
      <c r="T21" s="641"/>
      <c r="U21" s="671"/>
      <c r="V21" s="672"/>
      <c r="W21" s="672"/>
      <c r="X21" s="672"/>
      <c r="Y21" s="672"/>
      <c r="Z21" s="672"/>
      <c r="AA21" s="672"/>
      <c r="AB21" s="672"/>
      <c r="AC21" s="672"/>
      <c r="AD21" s="672"/>
      <c r="AE21" s="672"/>
      <c r="AF21" s="672"/>
      <c r="AG21" s="672"/>
      <c r="AH21" s="672"/>
      <c r="AI21" s="672"/>
      <c r="AJ21" s="673"/>
      <c r="AL21" s="60"/>
      <c r="AM21" s="52"/>
      <c r="AN21" s="52"/>
      <c r="AO21" s="52"/>
      <c r="AP21" s="52"/>
      <c r="AQ21" s="52"/>
      <c r="AR21" s="52"/>
      <c r="AW21" s="52" t="s">
        <v>103</v>
      </c>
    </row>
    <row r="22" spans="13:52">
      <c r="M22" s="636" t="s">
        <v>104</v>
      </c>
      <c r="N22" s="637"/>
      <c r="O22" s="637"/>
      <c r="P22" s="637"/>
      <c r="Q22" s="637"/>
      <c r="R22" s="637"/>
      <c r="S22" s="637"/>
      <c r="T22" s="638"/>
      <c r="U22" s="674" cm="1">
        <f t="array" ref="U22">MAX(_xlfn.NUMBERVALUE(改訂!A7:E48))</f>
        <v>1</v>
      </c>
      <c r="V22" s="675"/>
      <c r="W22" s="675"/>
      <c r="X22" s="675"/>
      <c r="Y22" s="675"/>
      <c r="Z22" s="675"/>
      <c r="AA22" s="675"/>
      <c r="AB22" s="675"/>
      <c r="AC22" s="675"/>
      <c r="AD22" s="675"/>
      <c r="AE22" s="675"/>
      <c r="AF22" s="675"/>
      <c r="AG22" s="675"/>
      <c r="AH22" s="675"/>
      <c r="AI22" s="675"/>
      <c r="AJ22" s="676"/>
      <c r="AL22" s="60"/>
      <c r="AM22" s="52"/>
      <c r="AN22" s="52"/>
      <c r="AO22" s="52"/>
      <c r="AP22" s="52"/>
      <c r="AQ22" s="52"/>
      <c r="AR22" s="52"/>
      <c r="AW22" s="52" t="s">
        <v>105</v>
      </c>
    </row>
    <row r="23" spans="13:52">
      <c r="M23" s="639"/>
      <c r="N23" s="640"/>
      <c r="O23" s="640"/>
      <c r="P23" s="640"/>
      <c r="Q23" s="640"/>
      <c r="R23" s="640"/>
      <c r="S23" s="640"/>
      <c r="T23" s="641"/>
      <c r="U23" s="677"/>
      <c r="V23" s="678"/>
      <c r="W23" s="678"/>
      <c r="X23" s="678"/>
      <c r="Y23" s="678"/>
      <c r="Z23" s="678"/>
      <c r="AA23" s="678"/>
      <c r="AB23" s="678"/>
      <c r="AC23" s="678"/>
      <c r="AD23" s="678"/>
      <c r="AE23" s="678"/>
      <c r="AF23" s="678"/>
      <c r="AG23" s="678"/>
      <c r="AH23" s="678"/>
      <c r="AI23" s="678"/>
      <c r="AJ23" s="679"/>
      <c r="AL23" s="60"/>
      <c r="AM23" s="52"/>
      <c r="AN23" s="52"/>
      <c r="AO23" s="52"/>
      <c r="AP23" s="52"/>
      <c r="AQ23" s="52"/>
      <c r="AR23" s="52"/>
      <c r="AW23" s="52"/>
    </row>
    <row r="24" spans="13:52">
      <c r="M24" s="636" t="s">
        <v>106</v>
      </c>
      <c r="N24" s="637"/>
      <c r="O24" s="637"/>
      <c r="P24" s="637"/>
      <c r="Q24" s="637"/>
      <c r="R24" s="637"/>
      <c r="S24" s="637"/>
      <c r="T24" s="638"/>
      <c r="U24" s="657" t="s">
        <v>107</v>
      </c>
      <c r="V24" s="680"/>
      <c r="W24" s="680"/>
      <c r="X24" s="680"/>
      <c r="Y24" s="680"/>
      <c r="Z24" s="680"/>
      <c r="AA24" s="680"/>
      <c r="AB24" s="680"/>
      <c r="AC24" s="680"/>
      <c r="AD24" s="680"/>
      <c r="AE24" s="680"/>
      <c r="AF24" s="680"/>
      <c r="AG24" s="680"/>
      <c r="AH24" s="680"/>
      <c r="AI24" s="680"/>
      <c r="AJ24" s="681"/>
      <c r="AL24" s="60"/>
      <c r="AM24" s="52"/>
      <c r="AN24" s="52"/>
      <c r="AO24" s="52"/>
      <c r="AP24" s="52"/>
      <c r="AQ24" s="52"/>
      <c r="AR24" s="52"/>
      <c r="AW24" s="52" t="s">
        <v>108</v>
      </c>
    </row>
    <row r="25" spans="13:52">
      <c r="M25" s="639"/>
      <c r="N25" s="640"/>
      <c r="O25" s="640"/>
      <c r="P25" s="640"/>
      <c r="Q25" s="640"/>
      <c r="R25" s="640"/>
      <c r="S25" s="640"/>
      <c r="T25" s="641"/>
      <c r="U25" s="682"/>
      <c r="V25" s="683"/>
      <c r="W25" s="683"/>
      <c r="X25" s="683"/>
      <c r="Y25" s="683"/>
      <c r="Z25" s="683"/>
      <c r="AA25" s="683"/>
      <c r="AB25" s="683"/>
      <c r="AC25" s="683"/>
      <c r="AD25" s="683"/>
      <c r="AE25" s="683"/>
      <c r="AF25" s="683"/>
      <c r="AG25" s="683"/>
      <c r="AH25" s="683"/>
      <c r="AI25" s="683"/>
      <c r="AJ25" s="684"/>
      <c r="AL25" s="60"/>
      <c r="AM25" s="61"/>
      <c r="AN25" s="61"/>
      <c r="AO25" s="61"/>
      <c r="AP25" s="61"/>
      <c r="AQ25" s="61"/>
      <c r="AR25" s="61"/>
      <c r="AS25" s="62"/>
      <c r="AU25" s="62"/>
      <c r="AW25" s="52" t="s">
        <v>28</v>
      </c>
    </row>
    <row r="26" spans="13:52" ht="11.25" customHeight="1">
      <c r="M26" s="636" t="s">
        <v>109</v>
      </c>
      <c r="N26" s="637"/>
      <c r="O26" s="637"/>
      <c r="P26" s="637"/>
      <c r="Q26" s="637"/>
      <c r="R26" s="637"/>
      <c r="S26" s="637"/>
      <c r="T26" s="638"/>
      <c r="U26" s="657" t="s">
        <v>110</v>
      </c>
      <c r="V26" s="658"/>
      <c r="W26" s="658"/>
      <c r="X26" s="658"/>
      <c r="Y26" s="658"/>
      <c r="Z26" s="658"/>
      <c r="AA26" s="658"/>
      <c r="AB26" s="659"/>
      <c r="AC26" s="663" t="s">
        <v>111</v>
      </c>
      <c r="AD26" s="664"/>
      <c r="AE26" s="657" t="s">
        <v>112</v>
      </c>
      <c r="AF26" s="658"/>
      <c r="AG26" s="658"/>
      <c r="AH26" s="658"/>
      <c r="AI26" s="658"/>
      <c r="AJ26" s="659"/>
      <c r="AK26" s="63"/>
      <c r="AL26" s="60"/>
      <c r="AM26" s="61"/>
      <c r="AN26" s="61"/>
      <c r="AO26" s="61"/>
      <c r="AP26" s="61"/>
      <c r="AQ26" s="61"/>
      <c r="AR26" s="61"/>
      <c r="AS26" s="62"/>
      <c r="AU26" s="62"/>
      <c r="AV26" s="62"/>
      <c r="AW26" s="64" t="s">
        <v>29</v>
      </c>
      <c r="AX26" s="62"/>
      <c r="AY26" s="62"/>
      <c r="AZ26" s="62"/>
    </row>
    <row r="27" spans="13:52" ht="12" customHeight="1">
      <c r="M27" s="639"/>
      <c r="N27" s="640"/>
      <c r="O27" s="640"/>
      <c r="P27" s="640"/>
      <c r="Q27" s="640"/>
      <c r="R27" s="640"/>
      <c r="S27" s="640"/>
      <c r="T27" s="641"/>
      <c r="U27" s="660"/>
      <c r="V27" s="661"/>
      <c r="W27" s="661"/>
      <c r="X27" s="661"/>
      <c r="Y27" s="661"/>
      <c r="Z27" s="661"/>
      <c r="AA27" s="661"/>
      <c r="AB27" s="662"/>
      <c r="AC27" s="665"/>
      <c r="AD27" s="666"/>
      <c r="AE27" s="660"/>
      <c r="AF27" s="661"/>
      <c r="AG27" s="661"/>
      <c r="AH27" s="661"/>
      <c r="AI27" s="661"/>
      <c r="AJ27" s="662"/>
      <c r="AK27" s="65"/>
      <c r="AL27" s="60"/>
      <c r="AM27" s="52"/>
      <c r="AN27" s="52"/>
      <c r="AO27" s="52"/>
      <c r="AP27" s="52"/>
      <c r="AQ27" s="52"/>
      <c r="AR27" s="52"/>
      <c r="AV27" s="62"/>
      <c r="AW27" s="64" t="s">
        <v>113</v>
      </c>
      <c r="AX27" s="62"/>
      <c r="AY27" s="62"/>
      <c r="AZ27" s="62"/>
    </row>
    <row r="28" spans="13:52">
      <c r="M28" s="636" t="s">
        <v>78</v>
      </c>
      <c r="N28" s="637"/>
      <c r="O28" s="637"/>
      <c r="P28" s="637"/>
      <c r="Q28" s="637"/>
      <c r="R28" s="637"/>
      <c r="S28" s="637"/>
      <c r="T28" s="638"/>
      <c r="U28" s="667" t="s">
        <v>114</v>
      </c>
      <c r="V28" s="643"/>
      <c r="W28" s="643"/>
      <c r="X28" s="643"/>
      <c r="Y28" s="643"/>
      <c r="Z28" s="643"/>
      <c r="AA28" s="643"/>
      <c r="AB28" s="643"/>
      <c r="AC28" s="643"/>
      <c r="AD28" s="643"/>
      <c r="AE28" s="643"/>
      <c r="AF28" s="643"/>
      <c r="AG28" s="643"/>
      <c r="AH28" s="643"/>
      <c r="AI28" s="643"/>
      <c r="AJ28" s="644"/>
      <c r="AL28" s="60"/>
      <c r="AM28" s="52"/>
      <c r="AN28" s="52"/>
      <c r="AO28" s="52"/>
      <c r="AP28" s="52"/>
      <c r="AQ28" s="52"/>
      <c r="AR28" s="52"/>
    </row>
    <row r="29" spans="13:52" ht="11.25" customHeight="1">
      <c r="M29" s="639"/>
      <c r="N29" s="640"/>
      <c r="O29" s="640"/>
      <c r="P29" s="640"/>
      <c r="Q29" s="640"/>
      <c r="R29" s="640"/>
      <c r="S29" s="640"/>
      <c r="T29" s="641"/>
      <c r="U29" s="645"/>
      <c r="V29" s="646"/>
      <c r="W29" s="646"/>
      <c r="X29" s="646"/>
      <c r="Y29" s="646"/>
      <c r="Z29" s="646"/>
      <c r="AA29" s="646"/>
      <c r="AB29" s="646"/>
      <c r="AC29" s="646"/>
      <c r="AD29" s="646"/>
      <c r="AE29" s="646"/>
      <c r="AF29" s="646"/>
      <c r="AG29" s="646"/>
      <c r="AH29" s="646"/>
      <c r="AI29" s="646"/>
      <c r="AJ29" s="647"/>
      <c r="AL29" s="60"/>
      <c r="AM29" s="52"/>
      <c r="AN29" s="52"/>
      <c r="AO29" s="52"/>
      <c r="AP29" s="52"/>
      <c r="AQ29" s="52"/>
      <c r="AR29" s="52"/>
      <c r="AX29" s="66"/>
    </row>
    <row r="30" spans="13:52" ht="11.25" customHeight="1">
      <c r="M30" s="636" t="s">
        <v>115</v>
      </c>
      <c r="N30" s="637"/>
      <c r="O30" s="637"/>
      <c r="P30" s="637"/>
      <c r="Q30" s="637"/>
      <c r="R30" s="637"/>
      <c r="S30" s="637"/>
      <c r="T30" s="638"/>
      <c r="U30" s="642" t="str">
        <f>M50</f>
        <v>Web見積計算書一覧照会</v>
      </c>
      <c r="V30" s="643"/>
      <c r="W30" s="643"/>
      <c r="X30" s="643"/>
      <c r="Y30" s="643"/>
      <c r="Z30" s="643"/>
      <c r="AA30" s="643"/>
      <c r="AB30" s="643"/>
      <c r="AC30" s="643"/>
      <c r="AD30" s="643"/>
      <c r="AE30" s="643"/>
      <c r="AF30" s="643"/>
      <c r="AG30" s="643"/>
      <c r="AH30" s="643"/>
      <c r="AI30" s="643"/>
      <c r="AJ30" s="644"/>
      <c r="AL30" s="60"/>
      <c r="AM30" s="52"/>
      <c r="AN30" s="52"/>
      <c r="AO30" s="52"/>
      <c r="AP30" s="52"/>
      <c r="AQ30" s="52"/>
      <c r="AR30" s="52"/>
      <c r="AW30" s="66"/>
      <c r="AX30" s="66"/>
    </row>
    <row r="31" spans="13:52" ht="11.25" customHeight="1">
      <c r="M31" s="639"/>
      <c r="N31" s="640"/>
      <c r="O31" s="640"/>
      <c r="P31" s="640"/>
      <c r="Q31" s="640"/>
      <c r="R31" s="640"/>
      <c r="S31" s="640"/>
      <c r="T31" s="641"/>
      <c r="U31" s="645"/>
      <c r="V31" s="646"/>
      <c r="W31" s="646"/>
      <c r="X31" s="646"/>
      <c r="Y31" s="646"/>
      <c r="Z31" s="646"/>
      <c r="AA31" s="646"/>
      <c r="AB31" s="646"/>
      <c r="AC31" s="646"/>
      <c r="AD31" s="646"/>
      <c r="AE31" s="646"/>
      <c r="AF31" s="646"/>
      <c r="AG31" s="646"/>
      <c r="AH31" s="646"/>
      <c r="AI31" s="646"/>
      <c r="AJ31" s="647"/>
      <c r="AL31" s="60"/>
      <c r="AM31" s="52"/>
      <c r="AN31" s="52"/>
      <c r="AO31" s="52"/>
      <c r="AP31" s="52"/>
      <c r="AQ31" s="52"/>
      <c r="AR31" s="52"/>
      <c r="AW31" s="66"/>
    </row>
    <row r="32" spans="13:52" ht="11.25" customHeight="1">
      <c r="M32" s="636" t="s">
        <v>116</v>
      </c>
      <c r="N32" s="637"/>
      <c r="O32" s="637"/>
      <c r="P32" s="637"/>
      <c r="Q32" s="637"/>
      <c r="R32" s="637"/>
      <c r="S32" s="637"/>
      <c r="T32" s="638"/>
      <c r="U32" s="642" t="str">
        <f>G50</f>
        <v>MSBBPA020</v>
      </c>
      <c r="V32" s="643"/>
      <c r="W32" s="643"/>
      <c r="X32" s="643"/>
      <c r="Y32" s="643"/>
      <c r="Z32" s="643"/>
      <c r="AA32" s="643"/>
      <c r="AB32" s="643"/>
      <c r="AC32" s="643"/>
      <c r="AD32" s="643"/>
      <c r="AE32" s="643"/>
      <c r="AF32" s="643"/>
      <c r="AG32" s="643"/>
      <c r="AH32" s="643"/>
      <c r="AI32" s="643"/>
      <c r="AJ32" s="644"/>
      <c r="AL32" s="60"/>
      <c r="AM32" s="52"/>
      <c r="AN32" s="52"/>
      <c r="AO32" s="52"/>
      <c r="AP32" s="52"/>
      <c r="AQ32" s="52"/>
      <c r="AR32" s="52"/>
    </row>
    <row r="33" spans="1:49" ht="11.25" customHeight="1">
      <c r="M33" s="639"/>
      <c r="N33" s="640"/>
      <c r="O33" s="640"/>
      <c r="P33" s="640"/>
      <c r="Q33" s="640"/>
      <c r="R33" s="640"/>
      <c r="S33" s="640"/>
      <c r="T33" s="641"/>
      <c r="U33" s="645"/>
      <c r="V33" s="646"/>
      <c r="W33" s="646"/>
      <c r="X33" s="646"/>
      <c r="Y33" s="646"/>
      <c r="Z33" s="646"/>
      <c r="AA33" s="646"/>
      <c r="AB33" s="646"/>
      <c r="AC33" s="646"/>
      <c r="AD33" s="646"/>
      <c r="AE33" s="646"/>
      <c r="AF33" s="646"/>
      <c r="AG33" s="646"/>
      <c r="AH33" s="646"/>
      <c r="AI33" s="646"/>
      <c r="AJ33" s="647"/>
      <c r="AL33" s="60"/>
      <c r="AM33" s="52"/>
      <c r="AN33" s="52"/>
      <c r="AO33" s="52"/>
      <c r="AP33" s="52"/>
      <c r="AQ33" s="52"/>
      <c r="AR33" s="52"/>
    </row>
    <row r="34" spans="1:49" ht="13.5" customHeight="1">
      <c r="M34" s="636" t="s">
        <v>99</v>
      </c>
      <c r="N34" s="637"/>
      <c r="O34" s="637"/>
      <c r="P34" s="637"/>
      <c r="Q34" s="637"/>
      <c r="R34" s="637"/>
      <c r="S34" s="637"/>
      <c r="T34" s="638"/>
      <c r="U34" s="648" t="s">
        <v>100</v>
      </c>
      <c r="V34" s="649"/>
      <c r="W34" s="649"/>
      <c r="X34" s="649"/>
      <c r="Y34" s="649"/>
      <c r="Z34" s="649"/>
      <c r="AA34" s="649"/>
      <c r="AB34" s="649"/>
      <c r="AC34" s="649"/>
      <c r="AD34" s="649"/>
      <c r="AE34" s="649"/>
      <c r="AF34" s="649"/>
      <c r="AG34" s="649"/>
      <c r="AH34" s="649"/>
      <c r="AI34" s="649"/>
      <c r="AJ34" s="650"/>
      <c r="AL34" s="60"/>
      <c r="AM34" s="52"/>
      <c r="AN34" s="52"/>
      <c r="AO34" s="52"/>
      <c r="AP34" s="52"/>
      <c r="AQ34" s="52"/>
      <c r="AR34" s="52"/>
      <c r="AW34" s="66"/>
    </row>
    <row r="35" spans="1:49" ht="11.25" customHeight="1">
      <c r="M35" s="639"/>
      <c r="N35" s="640"/>
      <c r="O35" s="640"/>
      <c r="P35" s="640"/>
      <c r="Q35" s="640"/>
      <c r="R35" s="640"/>
      <c r="S35" s="640"/>
      <c r="T35" s="641"/>
      <c r="U35" s="651"/>
      <c r="V35" s="652"/>
      <c r="W35" s="652"/>
      <c r="X35" s="652"/>
      <c r="Y35" s="652"/>
      <c r="Z35" s="652"/>
      <c r="AA35" s="652"/>
      <c r="AB35" s="652"/>
      <c r="AC35" s="652"/>
      <c r="AD35" s="652"/>
      <c r="AE35" s="652"/>
      <c r="AF35" s="652"/>
      <c r="AG35" s="652"/>
      <c r="AH35" s="652"/>
      <c r="AI35" s="652"/>
      <c r="AJ35" s="653"/>
      <c r="AL35" s="60"/>
      <c r="AM35" s="52"/>
      <c r="AN35" s="52"/>
      <c r="AO35" s="52"/>
      <c r="AP35" s="52"/>
      <c r="AQ35" s="52"/>
      <c r="AR35" s="52"/>
      <c r="AW35" s="66"/>
    </row>
    <row r="36" spans="1:49" ht="11.25" customHeight="1">
      <c r="M36" s="636" t="s">
        <v>108</v>
      </c>
      <c r="N36" s="637"/>
      <c r="O36" s="637"/>
      <c r="P36" s="637"/>
      <c r="Q36" s="637"/>
      <c r="R36" s="637"/>
      <c r="S36" s="637"/>
      <c r="T36" s="638"/>
      <c r="U36" s="648" t="s">
        <v>117</v>
      </c>
      <c r="V36" s="649"/>
      <c r="W36" s="649"/>
      <c r="X36" s="649"/>
      <c r="Y36" s="649"/>
      <c r="Z36" s="649"/>
      <c r="AA36" s="649"/>
      <c r="AB36" s="649"/>
      <c r="AC36" s="649"/>
      <c r="AD36" s="649"/>
      <c r="AE36" s="649"/>
      <c r="AF36" s="649"/>
      <c r="AG36" s="649"/>
      <c r="AH36" s="649"/>
      <c r="AI36" s="649"/>
      <c r="AJ36" s="650"/>
      <c r="AL36" s="60"/>
      <c r="AM36" s="52"/>
      <c r="AN36" s="52"/>
      <c r="AO36" s="52"/>
      <c r="AP36" s="52"/>
      <c r="AQ36" s="52"/>
      <c r="AR36" s="52"/>
      <c r="AW36" s="66"/>
    </row>
    <row r="37" spans="1:49" ht="11.25" customHeight="1">
      <c r="B37" s="67"/>
      <c r="C37" s="67"/>
      <c r="D37" s="67"/>
      <c r="M37" s="639"/>
      <c r="N37" s="640"/>
      <c r="O37" s="640"/>
      <c r="P37" s="640"/>
      <c r="Q37" s="640"/>
      <c r="R37" s="640"/>
      <c r="S37" s="640"/>
      <c r="T37" s="641"/>
      <c r="U37" s="651"/>
      <c r="V37" s="652"/>
      <c r="W37" s="652"/>
      <c r="X37" s="652"/>
      <c r="Y37" s="652"/>
      <c r="Z37" s="652"/>
      <c r="AA37" s="652"/>
      <c r="AB37" s="652"/>
      <c r="AC37" s="652"/>
      <c r="AD37" s="652"/>
      <c r="AE37" s="652"/>
      <c r="AF37" s="652"/>
      <c r="AG37" s="652"/>
      <c r="AH37" s="652"/>
      <c r="AI37" s="652"/>
      <c r="AJ37" s="653"/>
      <c r="AL37" s="60"/>
      <c r="AM37" s="52"/>
      <c r="AN37" s="52"/>
      <c r="AO37" s="52"/>
      <c r="AP37" s="52"/>
      <c r="AQ37" s="52"/>
      <c r="AR37" s="52"/>
    </row>
    <row r="38" spans="1:49" ht="13.5" customHeight="1">
      <c r="U38" s="68"/>
      <c r="V38" s="68"/>
      <c r="W38" s="68"/>
      <c r="X38" s="68"/>
      <c r="Y38" s="68"/>
      <c r="Z38" s="68"/>
      <c r="AA38" s="68"/>
      <c r="AB38" s="68"/>
      <c r="AC38" s="68"/>
      <c r="AD38" s="68"/>
      <c r="AE38" s="68"/>
      <c r="AF38" s="68"/>
    </row>
    <row r="39" spans="1:49" ht="13.5" customHeight="1">
      <c r="M39" s="69"/>
      <c r="N39" s="69"/>
      <c r="O39" s="69"/>
      <c r="P39" s="69"/>
      <c r="R39" s="69"/>
      <c r="S39" s="69"/>
      <c r="T39" s="69"/>
      <c r="U39" s="69"/>
      <c r="W39" s="654" t="s">
        <v>118</v>
      </c>
      <c r="X39" s="655"/>
      <c r="Y39" s="655"/>
      <c r="Z39" s="656"/>
      <c r="AB39" s="654" t="s">
        <v>119</v>
      </c>
      <c r="AC39" s="655"/>
      <c r="AD39" s="655"/>
      <c r="AE39" s="656"/>
      <c r="AG39" s="654" t="s">
        <v>120</v>
      </c>
      <c r="AH39" s="655"/>
      <c r="AI39" s="655"/>
      <c r="AJ39" s="656"/>
    </row>
    <row r="40" spans="1:49" ht="11.25" customHeight="1">
      <c r="M40" s="69"/>
      <c r="N40" s="69"/>
      <c r="O40" s="69"/>
      <c r="P40" s="69"/>
      <c r="R40" s="69"/>
      <c r="S40" s="69"/>
      <c r="T40" s="69"/>
      <c r="U40" s="69"/>
      <c r="W40" s="624" t="s">
        <v>121</v>
      </c>
      <c r="X40" s="625"/>
      <c r="Y40" s="625"/>
      <c r="Z40" s="626"/>
      <c r="AB40" s="624"/>
      <c r="AC40" s="625"/>
      <c r="AD40" s="625"/>
      <c r="AE40" s="626"/>
      <c r="AG40" s="630"/>
      <c r="AH40" s="631"/>
      <c r="AI40" s="631"/>
      <c r="AJ40" s="632"/>
    </row>
    <row r="41" spans="1:49">
      <c r="M41" s="69"/>
      <c r="N41" s="69"/>
      <c r="O41" s="69"/>
      <c r="P41" s="69"/>
      <c r="R41" s="69"/>
      <c r="S41" s="69"/>
      <c r="T41" s="69"/>
      <c r="U41" s="69"/>
      <c r="W41" s="627"/>
      <c r="X41" s="628"/>
      <c r="Y41" s="628"/>
      <c r="Z41" s="629"/>
      <c r="AB41" s="627"/>
      <c r="AC41" s="628"/>
      <c r="AD41" s="628"/>
      <c r="AE41" s="629"/>
      <c r="AG41" s="633"/>
      <c r="AH41" s="634"/>
      <c r="AI41" s="634"/>
      <c r="AJ41" s="635"/>
    </row>
    <row r="42" spans="1:49">
      <c r="M42" s="70"/>
      <c r="N42" s="70"/>
      <c r="O42" s="70"/>
      <c r="P42" s="70"/>
      <c r="R42" s="70"/>
      <c r="S42" s="70"/>
      <c r="T42" s="70"/>
      <c r="U42" s="70"/>
      <c r="W42" s="587">
        <v>44805</v>
      </c>
      <c r="X42" s="588"/>
      <c r="Y42" s="588"/>
      <c r="Z42" s="589"/>
      <c r="AB42" s="593"/>
      <c r="AC42" s="594"/>
      <c r="AD42" s="594"/>
      <c r="AE42" s="595"/>
      <c r="AG42" s="599"/>
      <c r="AH42" s="600"/>
      <c r="AI42" s="600"/>
      <c r="AJ42" s="601"/>
    </row>
    <row r="43" spans="1:49">
      <c r="C43" s="605"/>
      <c r="D43" s="605"/>
      <c r="E43" s="605"/>
      <c r="F43" s="605"/>
      <c r="G43" s="605"/>
      <c r="H43" s="605"/>
      <c r="M43" s="70"/>
      <c r="N43" s="70"/>
      <c r="O43" s="70"/>
      <c r="P43" s="70"/>
      <c r="R43" s="70"/>
      <c r="S43" s="70"/>
      <c r="T43" s="70"/>
      <c r="U43" s="70"/>
      <c r="W43" s="590"/>
      <c r="X43" s="591"/>
      <c r="Y43" s="591"/>
      <c r="Z43" s="592"/>
      <c r="AB43" s="596"/>
      <c r="AC43" s="597"/>
      <c r="AD43" s="597"/>
      <c r="AE43" s="598"/>
      <c r="AG43" s="602"/>
      <c r="AH43" s="603"/>
      <c r="AI43" s="603"/>
      <c r="AJ43" s="604"/>
    </row>
    <row r="44" spans="1:49">
      <c r="C44" s="605"/>
      <c r="D44" s="605"/>
      <c r="E44" s="605"/>
      <c r="F44" s="605"/>
      <c r="G44" s="605"/>
      <c r="H44" s="605"/>
    </row>
    <row r="45" spans="1:49" ht="15.75">
      <c r="C45" s="606"/>
      <c r="D45" s="606"/>
      <c r="E45" s="606"/>
      <c r="F45" s="606"/>
      <c r="G45" s="606"/>
      <c r="H45" s="606"/>
    </row>
    <row r="48" spans="1:49" ht="12" customHeight="1">
      <c r="A48" s="607" t="s">
        <v>101</v>
      </c>
      <c r="B48" s="608"/>
      <c r="C48" s="608"/>
      <c r="D48" s="608"/>
      <c r="E48" s="608"/>
      <c r="F48" s="609"/>
      <c r="G48" s="607" t="s">
        <v>122</v>
      </c>
      <c r="H48" s="608"/>
      <c r="I48" s="608"/>
      <c r="J48" s="608"/>
      <c r="K48" s="608"/>
      <c r="L48" s="609"/>
      <c r="M48" s="607" t="s">
        <v>123</v>
      </c>
      <c r="N48" s="613"/>
      <c r="O48" s="613"/>
      <c r="P48" s="613"/>
      <c r="Q48" s="613"/>
      <c r="R48" s="613"/>
      <c r="S48" s="613"/>
      <c r="T48" s="613"/>
      <c r="U48" s="614"/>
      <c r="V48" s="607" t="s">
        <v>124</v>
      </c>
      <c r="W48" s="608"/>
      <c r="X48" s="608"/>
      <c r="Y48" s="608"/>
      <c r="Z48" s="608"/>
      <c r="AA48" s="609"/>
      <c r="AB48" s="618" t="s">
        <v>125</v>
      </c>
      <c r="AC48" s="619"/>
      <c r="AD48" s="619"/>
      <c r="AE48" s="619"/>
      <c r="AF48" s="619"/>
      <c r="AG48" s="620"/>
    </row>
    <row r="49" spans="1:86" ht="12" customHeight="1">
      <c r="A49" s="610"/>
      <c r="B49" s="611"/>
      <c r="C49" s="611"/>
      <c r="D49" s="611"/>
      <c r="E49" s="611"/>
      <c r="F49" s="612"/>
      <c r="G49" s="610"/>
      <c r="H49" s="611"/>
      <c r="I49" s="611"/>
      <c r="J49" s="611"/>
      <c r="K49" s="611"/>
      <c r="L49" s="612"/>
      <c r="M49" s="615"/>
      <c r="N49" s="616"/>
      <c r="O49" s="616"/>
      <c r="P49" s="616"/>
      <c r="Q49" s="616"/>
      <c r="R49" s="616"/>
      <c r="S49" s="616"/>
      <c r="T49" s="616"/>
      <c r="U49" s="617"/>
      <c r="V49" s="610"/>
      <c r="W49" s="611"/>
      <c r="X49" s="611"/>
      <c r="Y49" s="611"/>
      <c r="Z49" s="611"/>
      <c r="AA49" s="612"/>
      <c r="AB49" s="621"/>
      <c r="AC49" s="622"/>
      <c r="AD49" s="622"/>
      <c r="AE49" s="622"/>
      <c r="AF49" s="622"/>
      <c r="AG49" s="623"/>
    </row>
    <row r="50" spans="1:86" ht="12" customHeight="1">
      <c r="A50" s="561" t="s">
        <v>126</v>
      </c>
      <c r="B50" s="562"/>
      <c r="C50" s="562"/>
      <c r="D50" s="562"/>
      <c r="E50" s="562"/>
      <c r="F50" s="563"/>
      <c r="G50" s="561" t="s">
        <v>127</v>
      </c>
      <c r="H50" s="562"/>
      <c r="I50" s="562"/>
      <c r="J50" s="562"/>
      <c r="K50" s="562"/>
      <c r="L50" s="563"/>
      <c r="M50" s="567" t="s">
        <v>128</v>
      </c>
      <c r="N50" s="568"/>
      <c r="O50" s="568"/>
      <c r="P50" s="568"/>
      <c r="Q50" s="568"/>
      <c r="R50" s="568"/>
      <c r="S50" s="568"/>
      <c r="T50" s="568"/>
      <c r="U50" s="569"/>
      <c r="V50" s="573" t="s">
        <v>129</v>
      </c>
      <c r="W50" s="574"/>
      <c r="X50" s="574"/>
      <c r="Y50" s="574"/>
      <c r="Z50" s="574"/>
      <c r="AA50" s="575"/>
      <c r="AB50" s="579" t="s">
        <v>130</v>
      </c>
      <c r="AC50" s="580"/>
      <c r="AD50" s="580"/>
      <c r="AE50" s="580"/>
      <c r="AF50" s="580"/>
      <c r="AG50" s="581"/>
    </row>
    <row r="51" spans="1:86" ht="12" customHeight="1">
      <c r="A51" s="564"/>
      <c r="B51" s="565"/>
      <c r="C51" s="565"/>
      <c r="D51" s="565"/>
      <c r="E51" s="565"/>
      <c r="F51" s="566"/>
      <c r="G51" s="564"/>
      <c r="H51" s="565"/>
      <c r="I51" s="565"/>
      <c r="J51" s="565"/>
      <c r="K51" s="565"/>
      <c r="L51" s="566"/>
      <c r="M51" s="570"/>
      <c r="N51" s="571"/>
      <c r="O51" s="571"/>
      <c r="P51" s="571"/>
      <c r="Q51" s="571"/>
      <c r="R51" s="571"/>
      <c r="S51" s="571"/>
      <c r="T51" s="571"/>
      <c r="U51" s="572"/>
      <c r="V51" s="576"/>
      <c r="W51" s="577"/>
      <c r="X51" s="577"/>
      <c r="Y51" s="577"/>
      <c r="Z51" s="577"/>
      <c r="AA51" s="578"/>
      <c r="AB51" s="582"/>
      <c r="AC51" s="583"/>
      <c r="AD51" s="583"/>
      <c r="AE51" s="583"/>
      <c r="AF51" s="583"/>
      <c r="AG51" s="584"/>
    </row>
    <row r="53" spans="1:86" s="71" customFormat="1" ht="15.75">
      <c r="A53" s="71" t="s">
        <v>131</v>
      </c>
    </row>
    <row r="54" spans="1:86" s="71" customFormat="1" ht="15.75" customHeight="1">
      <c r="A54" s="51" t="s">
        <v>110</v>
      </c>
      <c r="B54" s="51"/>
      <c r="C54" s="51"/>
      <c r="D54" s="51"/>
      <c r="E54" s="51"/>
      <c r="F54" s="51"/>
      <c r="G54" s="51"/>
      <c r="H54" s="51"/>
      <c r="I54" s="51"/>
      <c r="J54" s="51"/>
      <c r="K54" s="51" t="s">
        <v>132</v>
      </c>
      <c r="L54" s="51"/>
      <c r="M54" s="51"/>
      <c r="N54" s="51"/>
      <c r="O54" s="51"/>
      <c r="P54" s="51"/>
      <c r="Q54" s="51"/>
      <c r="R54" s="51"/>
      <c r="S54" s="51"/>
      <c r="T54" s="51"/>
      <c r="U54" s="51" t="s">
        <v>133</v>
      </c>
      <c r="V54" s="51"/>
      <c r="W54" s="51"/>
      <c r="X54" s="51"/>
      <c r="Y54" s="51"/>
      <c r="Z54" s="51" t="s">
        <v>134</v>
      </c>
      <c r="AA54" s="51"/>
      <c r="AB54" s="51"/>
      <c r="AC54" s="51"/>
      <c r="AD54" s="51"/>
      <c r="AE54" s="51" t="s">
        <v>135</v>
      </c>
      <c r="AF54" s="51"/>
      <c r="AG54" s="51"/>
      <c r="AH54" s="51"/>
      <c r="AI54" s="51"/>
      <c r="AJ54" s="51" t="s">
        <v>110</v>
      </c>
      <c r="AK54" s="51"/>
      <c r="AL54" s="51"/>
      <c r="AM54" s="51"/>
      <c r="AN54" s="51"/>
      <c r="AO54" s="51"/>
      <c r="AP54" s="51"/>
      <c r="AQ54" s="51"/>
      <c r="AR54" s="51"/>
      <c r="AS54" s="51" t="s">
        <v>101</v>
      </c>
      <c r="AT54" s="51"/>
      <c r="AU54" s="51"/>
      <c r="AV54" s="51"/>
      <c r="AW54" s="51"/>
      <c r="AX54" s="51"/>
      <c r="AY54" s="51"/>
      <c r="AZ54" s="51" t="s">
        <v>136</v>
      </c>
      <c r="BA54" s="51"/>
      <c r="BB54" s="51"/>
      <c r="BC54" s="51"/>
      <c r="BD54" s="51"/>
      <c r="BE54" s="51"/>
      <c r="BF54" s="51" t="s">
        <v>137</v>
      </c>
      <c r="BG54" s="51"/>
      <c r="BH54" s="51"/>
      <c r="BI54" s="51"/>
      <c r="BJ54" s="51"/>
      <c r="BK54" s="51"/>
    </row>
    <row r="55" spans="1:86" s="71" customFormat="1" ht="15.75" customHeight="1">
      <c r="A55" s="51"/>
      <c r="B55" s="51"/>
      <c r="C55" s="51"/>
      <c r="D55" s="51"/>
      <c r="E55" s="51"/>
      <c r="F55" s="51"/>
      <c r="G55" s="51"/>
      <c r="H55" s="51"/>
      <c r="I55" s="51"/>
      <c r="J55" s="51"/>
      <c r="K55" s="51" t="s">
        <v>138</v>
      </c>
      <c r="L55" s="51"/>
      <c r="M55" s="51"/>
      <c r="N55" s="51"/>
      <c r="O55" s="51"/>
      <c r="P55" s="51"/>
      <c r="Q55" s="51"/>
      <c r="R55" s="51"/>
      <c r="S55" s="51"/>
      <c r="T55" s="51"/>
      <c r="U55" s="51" t="s">
        <v>139</v>
      </c>
      <c r="V55" s="51"/>
      <c r="W55" s="51"/>
      <c r="X55" s="51"/>
      <c r="Y55" s="51"/>
      <c r="Z55" s="51" t="s">
        <v>140</v>
      </c>
      <c r="AA55" s="51"/>
      <c r="AB55" s="51"/>
      <c r="AC55" s="51"/>
      <c r="AD55" s="51"/>
      <c r="AE55" s="51" t="s">
        <v>141</v>
      </c>
      <c r="AF55" s="51"/>
      <c r="AG55" s="51"/>
      <c r="AH55" s="51"/>
      <c r="AI55" s="51"/>
      <c r="AJ55" s="51" t="s">
        <v>142</v>
      </c>
      <c r="AK55" s="51"/>
      <c r="AL55" s="51"/>
      <c r="AM55" s="51"/>
      <c r="AN55" s="51"/>
      <c r="AO55" s="51"/>
      <c r="AP55" s="51"/>
      <c r="AQ55" s="51"/>
      <c r="AR55" s="51"/>
      <c r="AS55" s="51" t="s">
        <v>143</v>
      </c>
      <c r="AT55" s="51"/>
      <c r="AU55" s="51"/>
      <c r="AV55" s="51"/>
      <c r="AW55" s="51"/>
      <c r="AX55" s="51"/>
      <c r="AY55" s="51"/>
      <c r="AZ55" s="51" t="s">
        <v>129</v>
      </c>
      <c r="BA55" s="51"/>
      <c r="BB55" s="51"/>
      <c r="BC55" s="51"/>
      <c r="BD55" s="51"/>
      <c r="BE55" s="51"/>
      <c r="BF55" s="51" t="s">
        <v>144</v>
      </c>
      <c r="BG55" s="51"/>
      <c r="BH55" s="51"/>
      <c r="BI55" s="51"/>
      <c r="BJ55" s="51"/>
      <c r="BK55" s="51"/>
    </row>
    <row r="56" spans="1:86" s="71" customFormat="1" ht="16.5" customHeight="1">
      <c r="A56" s="51"/>
      <c r="B56" s="51"/>
      <c r="C56" s="51"/>
      <c r="D56" s="51"/>
      <c r="E56" s="51"/>
      <c r="F56" s="51"/>
      <c r="G56" s="51"/>
      <c r="H56" s="51"/>
      <c r="I56" s="51"/>
      <c r="J56" s="51"/>
      <c r="K56" s="51" t="s">
        <v>145</v>
      </c>
      <c r="L56" s="51"/>
      <c r="M56" s="51"/>
      <c r="N56" s="51"/>
      <c r="O56" s="51"/>
      <c r="P56" s="51"/>
      <c r="Q56" s="51"/>
      <c r="R56" s="51"/>
      <c r="S56" s="51"/>
      <c r="T56" s="51"/>
      <c r="U56" s="51" t="s">
        <v>146</v>
      </c>
      <c r="V56" s="51"/>
      <c r="W56" s="51"/>
      <c r="X56" s="51"/>
      <c r="Y56" s="51"/>
      <c r="Z56" s="51" t="s">
        <v>147</v>
      </c>
      <c r="AA56" s="51"/>
      <c r="AB56" s="51"/>
      <c r="AC56" s="51"/>
      <c r="AD56" s="51"/>
      <c r="AE56" s="178" t="s">
        <v>128</v>
      </c>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row>
    <row r="57" spans="1:86" s="71" customFormat="1" ht="16.5" thickBot="1">
      <c r="A57" s="71" t="s">
        <v>148</v>
      </c>
      <c r="B57" s="72"/>
      <c r="C57" s="72"/>
      <c r="D57" s="72"/>
      <c r="E57" s="72"/>
      <c r="F57" s="72"/>
      <c r="G57" s="72"/>
      <c r="H57" s="72"/>
      <c r="I57" s="72"/>
      <c r="J57" s="72"/>
      <c r="K57" s="72"/>
      <c r="L57" s="73"/>
      <c r="M57" s="74"/>
      <c r="N57" s="74"/>
      <c r="O57" s="74"/>
      <c r="P57" s="74"/>
      <c r="Q57" s="74"/>
      <c r="R57" s="74"/>
      <c r="S57" s="74"/>
      <c r="T57" s="74"/>
      <c r="U57" s="74"/>
      <c r="V57" s="74"/>
      <c r="W57" s="74"/>
      <c r="X57" s="74"/>
      <c r="Y57" s="74"/>
      <c r="Z57" s="74"/>
      <c r="AA57" s="75"/>
      <c r="AB57" s="76"/>
      <c r="AC57" s="77"/>
      <c r="AD57" s="77"/>
      <c r="AE57" s="77"/>
      <c r="AF57" s="77"/>
      <c r="AG57" s="77"/>
      <c r="AH57" s="78"/>
      <c r="AI57" s="75"/>
      <c r="AJ57" s="75"/>
      <c r="AK57" s="75"/>
      <c r="AL57" s="75"/>
      <c r="AM57" s="75"/>
      <c r="AN57" s="75"/>
      <c r="AO57" s="75"/>
      <c r="AP57" s="75"/>
      <c r="AQ57" s="75"/>
      <c r="AR57" s="75"/>
      <c r="AS57" s="75"/>
      <c r="AT57" s="75"/>
      <c r="AU57" s="79"/>
      <c r="AV57" s="79"/>
      <c r="AW57" s="79"/>
      <c r="AX57" s="79"/>
      <c r="AY57" s="79"/>
      <c r="AZ57" s="79"/>
      <c r="BA57" s="79"/>
      <c r="BB57" s="72"/>
      <c r="BC57" s="72"/>
      <c r="BD57" s="72"/>
      <c r="BE57" s="72"/>
      <c r="BF57" s="72"/>
      <c r="BG57" s="74"/>
      <c r="BH57" s="74"/>
      <c r="BI57" s="74"/>
      <c r="BJ57" s="74"/>
      <c r="BK57" s="74"/>
    </row>
    <row r="58" spans="1:86" s="71" customFormat="1" ht="15.75">
      <c r="A58" s="527" t="str">
        <f>A54</f>
        <v>Webシステム</v>
      </c>
      <c r="B58" s="528"/>
      <c r="C58" s="528"/>
      <c r="D58" s="528"/>
      <c r="E58" s="528"/>
      <c r="F58" s="528"/>
      <c r="G58" s="528"/>
      <c r="H58" s="528"/>
      <c r="I58" s="528"/>
      <c r="J58" s="529"/>
      <c r="K58" s="536" t="s">
        <v>132</v>
      </c>
      <c r="L58" s="537"/>
      <c r="M58" s="537"/>
      <c r="N58" s="537"/>
      <c r="O58" s="537"/>
      <c r="P58" s="537"/>
      <c r="Q58" s="537"/>
      <c r="R58" s="537"/>
      <c r="S58" s="537"/>
      <c r="T58" s="585"/>
      <c r="U58" s="586" t="s">
        <v>149</v>
      </c>
      <c r="V58" s="540"/>
      <c r="W58" s="540"/>
      <c r="X58" s="540"/>
      <c r="Y58" s="541"/>
      <c r="Z58" s="513" t="str">
        <f>Z54</f>
        <v>MS</v>
      </c>
      <c r="AA58" s="492"/>
      <c r="AB58" s="492"/>
      <c r="AC58" s="492"/>
      <c r="AD58" s="493"/>
      <c r="AE58" s="538" t="s">
        <v>135</v>
      </c>
      <c r="AF58" s="492"/>
      <c r="AG58" s="492"/>
      <c r="AH58" s="492"/>
      <c r="AI58" s="493"/>
      <c r="AJ58" s="539" t="str">
        <f>AJ54</f>
        <v>Webシステム</v>
      </c>
      <c r="AK58" s="540"/>
      <c r="AL58" s="540"/>
      <c r="AM58" s="540"/>
      <c r="AN58" s="540"/>
      <c r="AO58" s="540"/>
      <c r="AP58" s="540"/>
      <c r="AQ58" s="540"/>
      <c r="AR58" s="541"/>
      <c r="AS58" s="542" t="s">
        <v>101</v>
      </c>
      <c r="AT58" s="542"/>
      <c r="AU58" s="542"/>
      <c r="AV58" s="542"/>
      <c r="AW58" s="542"/>
      <c r="AX58" s="542"/>
      <c r="AY58" s="542"/>
      <c r="AZ58" s="491" t="s">
        <v>124</v>
      </c>
      <c r="BA58" s="492"/>
      <c r="BB58" s="492"/>
      <c r="BC58" s="492"/>
      <c r="BD58" s="492"/>
      <c r="BE58" s="493"/>
      <c r="BF58" s="491" t="s">
        <v>150</v>
      </c>
      <c r="BG58" s="492"/>
      <c r="BH58" s="492"/>
      <c r="BI58" s="492"/>
      <c r="BJ58" s="492"/>
      <c r="BK58" s="543"/>
    </row>
    <row r="59" spans="1:86" s="71" customFormat="1" ht="15.75" customHeight="1">
      <c r="A59" s="530"/>
      <c r="B59" s="531"/>
      <c r="C59" s="531"/>
      <c r="D59" s="531"/>
      <c r="E59" s="531"/>
      <c r="F59" s="531"/>
      <c r="G59" s="531"/>
      <c r="H59" s="531"/>
      <c r="I59" s="531"/>
      <c r="J59" s="532"/>
      <c r="K59" s="498" t="str">
        <f>文書名</f>
        <v>アドオン設計書</v>
      </c>
      <c r="L59" s="499"/>
      <c r="M59" s="499"/>
      <c r="N59" s="499"/>
      <c r="O59" s="499"/>
      <c r="P59" s="499"/>
      <c r="Q59" s="499"/>
      <c r="R59" s="499"/>
      <c r="S59" s="499"/>
      <c r="T59" s="508"/>
      <c r="U59" s="544" t="s">
        <v>151</v>
      </c>
      <c r="V59" s="545"/>
      <c r="W59" s="545"/>
      <c r="X59" s="545"/>
      <c r="Y59" s="546"/>
      <c r="Z59" s="503" t="str">
        <f>Z55</f>
        <v>MSBB</v>
      </c>
      <c r="AA59" s="504"/>
      <c r="AB59" s="504"/>
      <c r="AC59" s="504"/>
      <c r="AD59" s="505"/>
      <c r="AE59" s="500" t="s">
        <v>141</v>
      </c>
      <c r="AF59" s="501"/>
      <c r="AG59" s="501"/>
      <c r="AH59" s="501"/>
      <c r="AI59" s="502"/>
      <c r="AJ59" s="506" t="str">
        <f>AJ55</f>
        <v>販売Webシステム</v>
      </c>
      <c r="AK59" s="547"/>
      <c r="AL59" s="547"/>
      <c r="AM59" s="547"/>
      <c r="AN59" s="547"/>
      <c r="AO59" s="547"/>
      <c r="AP59" s="547"/>
      <c r="AQ59" s="547"/>
      <c r="AR59" s="548"/>
      <c r="AS59" s="549" t="str">
        <f>AS55</f>
        <v>M7-US-1140</v>
      </c>
      <c r="AT59" s="550"/>
      <c r="AU59" s="550"/>
      <c r="AV59" s="550"/>
      <c r="AW59" s="550"/>
      <c r="AX59" s="550"/>
      <c r="AY59" s="550"/>
      <c r="AZ59" s="512" t="str">
        <f>AZ55</f>
        <v>1.0.0</v>
      </c>
      <c r="BA59" s="499"/>
      <c r="BB59" s="499"/>
      <c r="BC59" s="499"/>
      <c r="BD59" s="499"/>
      <c r="BE59" s="508"/>
      <c r="BF59" s="514" t="str">
        <f>BF55</f>
        <v>r00.00</v>
      </c>
      <c r="BG59" s="499"/>
      <c r="BH59" s="499"/>
      <c r="BI59" s="499"/>
      <c r="BJ59" s="499"/>
      <c r="BK59" s="515"/>
    </row>
    <row r="60" spans="1:86" s="71" customFormat="1" ht="16.5" customHeight="1" thickBot="1">
      <c r="A60" s="533"/>
      <c r="B60" s="534"/>
      <c r="C60" s="534"/>
      <c r="D60" s="534"/>
      <c r="E60" s="534"/>
      <c r="F60" s="534"/>
      <c r="G60" s="534"/>
      <c r="H60" s="534"/>
      <c r="I60" s="534"/>
      <c r="J60" s="535"/>
      <c r="K60" s="517" t="e">
        <f ca="1">RIGHT(CELL("filename",$A$1),LEN(CELL("filename",$A$1))-FIND("]",CELL("filename",$A$1)))</f>
        <v>#VALUE!</v>
      </c>
      <c r="L60" s="518"/>
      <c r="M60" s="518"/>
      <c r="N60" s="518"/>
      <c r="O60" s="518"/>
      <c r="P60" s="518"/>
      <c r="Q60" s="518"/>
      <c r="R60" s="518"/>
      <c r="S60" s="518"/>
      <c r="T60" s="552"/>
      <c r="U60" s="553" t="s">
        <v>146</v>
      </c>
      <c r="V60" s="554"/>
      <c r="W60" s="554"/>
      <c r="X60" s="554"/>
      <c r="Y60" s="555"/>
      <c r="Z60" s="556" t="str">
        <f>Z56</f>
        <v>MSBBPA020</v>
      </c>
      <c r="AA60" s="557"/>
      <c r="AB60" s="557"/>
      <c r="AC60" s="557"/>
      <c r="AD60" s="557"/>
      <c r="AE60" s="558" t="str">
        <f>AE56</f>
        <v>Web見積計算書一覧照会</v>
      </c>
      <c r="AF60" s="559"/>
      <c r="AG60" s="559"/>
      <c r="AH60" s="559"/>
      <c r="AI60" s="559"/>
      <c r="AJ60" s="559"/>
      <c r="AK60" s="559"/>
      <c r="AL60" s="559"/>
      <c r="AM60" s="559"/>
      <c r="AN60" s="559"/>
      <c r="AO60" s="559"/>
      <c r="AP60" s="559"/>
      <c r="AQ60" s="559"/>
      <c r="AR60" s="560"/>
      <c r="AS60" s="551"/>
      <c r="AT60" s="551"/>
      <c r="AU60" s="551"/>
      <c r="AV60" s="551"/>
      <c r="AW60" s="551"/>
      <c r="AX60" s="551"/>
      <c r="AY60" s="551"/>
      <c r="AZ60" s="509"/>
      <c r="BA60" s="510"/>
      <c r="BB60" s="510"/>
      <c r="BC60" s="510"/>
      <c r="BD60" s="510"/>
      <c r="BE60" s="511"/>
      <c r="BF60" s="509"/>
      <c r="BG60" s="510"/>
      <c r="BH60" s="510"/>
      <c r="BI60" s="510"/>
      <c r="BJ60" s="510"/>
      <c r="BK60" s="516"/>
    </row>
    <row r="61" spans="1:86" s="71" customFormat="1" ht="15.75">
      <c r="A61" s="72"/>
      <c r="B61" s="72"/>
      <c r="C61" s="72"/>
      <c r="D61" s="72"/>
      <c r="E61" s="72"/>
      <c r="F61" s="72"/>
      <c r="G61" s="72"/>
      <c r="H61" s="72"/>
      <c r="I61" s="72"/>
      <c r="J61" s="72"/>
      <c r="K61" s="72"/>
      <c r="L61" s="73"/>
      <c r="M61" s="74"/>
      <c r="N61" s="74"/>
      <c r="O61" s="74"/>
      <c r="P61" s="74"/>
      <c r="Q61" s="74"/>
      <c r="R61" s="74"/>
      <c r="S61" s="74"/>
      <c r="T61" s="74"/>
      <c r="U61" s="74"/>
      <c r="V61" s="74"/>
      <c r="W61" s="74"/>
      <c r="X61" s="74"/>
      <c r="Y61" s="74"/>
      <c r="Z61" s="74"/>
      <c r="AA61" s="75"/>
      <c r="AB61" s="76"/>
      <c r="AC61" s="77"/>
      <c r="AD61" s="77"/>
      <c r="AE61" s="77"/>
      <c r="AF61" s="77"/>
      <c r="AG61" s="77"/>
      <c r="AH61" s="78"/>
      <c r="AI61" s="75"/>
      <c r="AJ61" s="75"/>
      <c r="AK61" s="75"/>
      <c r="AL61" s="75"/>
      <c r="AM61" s="75"/>
      <c r="AN61" s="75"/>
      <c r="AO61" s="75"/>
      <c r="AP61" s="75"/>
      <c r="AQ61" s="75"/>
      <c r="AR61" s="75"/>
      <c r="AS61" s="75"/>
      <c r="AT61" s="75"/>
      <c r="AU61" s="79"/>
      <c r="AV61" s="79"/>
      <c r="AW61" s="79"/>
      <c r="AX61" s="79"/>
      <c r="AY61" s="79"/>
      <c r="AZ61" s="79"/>
      <c r="BA61" s="79"/>
      <c r="BB61" s="72"/>
      <c r="BC61" s="72"/>
      <c r="BD61" s="72"/>
      <c r="BE61" s="72"/>
      <c r="BF61" s="72"/>
      <c r="BG61" s="74"/>
      <c r="BH61" s="74"/>
      <c r="BI61" s="74"/>
      <c r="BJ61" s="74"/>
      <c r="BK61" s="74"/>
    </row>
    <row r="62" spans="1:86" s="71" customFormat="1" ht="16.5" thickBot="1">
      <c r="A62" s="71" t="s">
        <v>152</v>
      </c>
    </row>
    <row r="63" spans="1:86" s="71" customFormat="1" ht="15.75" customHeight="1">
      <c r="A63" s="527" t="str">
        <f>A58</f>
        <v>Webシステム</v>
      </c>
      <c r="B63" s="528"/>
      <c r="C63" s="528"/>
      <c r="D63" s="528"/>
      <c r="E63" s="528"/>
      <c r="F63" s="528"/>
      <c r="G63" s="528"/>
      <c r="H63" s="528"/>
      <c r="I63" s="528"/>
      <c r="J63" s="528"/>
      <c r="K63" s="528"/>
      <c r="L63" s="528"/>
      <c r="M63" s="528"/>
      <c r="N63" s="529"/>
      <c r="O63" s="536" t="s">
        <v>132</v>
      </c>
      <c r="P63" s="537"/>
      <c r="Q63" s="537"/>
      <c r="R63" s="537"/>
      <c r="S63" s="537"/>
      <c r="T63" s="537"/>
      <c r="U63" s="537"/>
      <c r="V63" s="537"/>
      <c r="W63" s="537"/>
      <c r="X63" s="537"/>
      <c r="Y63" s="537"/>
      <c r="Z63" s="537"/>
      <c r="AA63" s="537"/>
      <c r="AB63" s="537"/>
      <c r="AC63" s="538" t="s">
        <v>149</v>
      </c>
      <c r="AD63" s="492"/>
      <c r="AE63" s="492"/>
      <c r="AF63" s="492"/>
      <c r="AG63" s="492"/>
      <c r="AH63" s="492"/>
      <c r="AI63" s="493"/>
      <c r="AJ63" s="513" t="str">
        <f>Z58</f>
        <v>MS</v>
      </c>
      <c r="AK63" s="492"/>
      <c r="AL63" s="492"/>
      <c r="AM63" s="492"/>
      <c r="AN63" s="492"/>
      <c r="AO63" s="492"/>
      <c r="AP63" s="493"/>
      <c r="AQ63" s="538" t="s">
        <v>135</v>
      </c>
      <c r="AR63" s="492"/>
      <c r="AS63" s="492"/>
      <c r="AT63" s="492"/>
      <c r="AU63" s="492"/>
      <c r="AV63" s="492"/>
      <c r="AW63" s="493"/>
      <c r="AX63" s="513" t="str">
        <f>AJ58</f>
        <v>Webシステム</v>
      </c>
      <c r="AY63" s="492"/>
      <c r="AZ63" s="492"/>
      <c r="BA63" s="492"/>
      <c r="BB63" s="492"/>
      <c r="BC63" s="492"/>
      <c r="BD63" s="492"/>
      <c r="BE63" s="492"/>
      <c r="BF63" s="492"/>
      <c r="BG63" s="492"/>
      <c r="BH63" s="492"/>
      <c r="BI63" s="492"/>
      <c r="BJ63" s="492"/>
      <c r="BK63" s="493"/>
      <c r="BL63" s="491" t="s">
        <v>101</v>
      </c>
      <c r="BM63" s="492"/>
      <c r="BN63" s="492"/>
      <c r="BO63" s="492"/>
      <c r="BP63" s="492"/>
      <c r="BQ63" s="492"/>
      <c r="BR63" s="492"/>
      <c r="BS63" s="492"/>
      <c r="BT63" s="493"/>
      <c r="BU63" s="494" t="s">
        <v>124</v>
      </c>
      <c r="BV63" s="495"/>
      <c r="BW63" s="495"/>
      <c r="BX63" s="495"/>
      <c r="BY63" s="495"/>
      <c r="BZ63" s="495"/>
      <c r="CA63" s="496"/>
      <c r="CB63" s="494" t="s">
        <v>150</v>
      </c>
      <c r="CC63" s="495"/>
      <c r="CD63" s="495"/>
      <c r="CE63" s="495"/>
      <c r="CF63" s="495"/>
      <c r="CG63" s="495"/>
      <c r="CH63" s="497"/>
    </row>
    <row r="64" spans="1:86" s="71" customFormat="1" ht="15.75" customHeight="1">
      <c r="A64" s="530"/>
      <c r="B64" s="531"/>
      <c r="C64" s="531"/>
      <c r="D64" s="531"/>
      <c r="E64" s="531"/>
      <c r="F64" s="531"/>
      <c r="G64" s="531"/>
      <c r="H64" s="531"/>
      <c r="I64" s="531"/>
      <c r="J64" s="531"/>
      <c r="K64" s="531"/>
      <c r="L64" s="531"/>
      <c r="M64" s="531"/>
      <c r="N64" s="532"/>
      <c r="O64" s="498" t="str">
        <f>K59</f>
        <v>アドオン設計書</v>
      </c>
      <c r="P64" s="499"/>
      <c r="Q64" s="499"/>
      <c r="R64" s="499"/>
      <c r="S64" s="499"/>
      <c r="T64" s="499"/>
      <c r="U64" s="499"/>
      <c r="V64" s="499"/>
      <c r="W64" s="499"/>
      <c r="X64" s="499"/>
      <c r="Y64" s="499"/>
      <c r="Z64" s="499"/>
      <c r="AA64" s="499"/>
      <c r="AB64" s="499"/>
      <c r="AC64" s="500" t="s">
        <v>153</v>
      </c>
      <c r="AD64" s="501"/>
      <c r="AE64" s="501"/>
      <c r="AF64" s="501"/>
      <c r="AG64" s="501"/>
      <c r="AH64" s="501"/>
      <c r="AI64" s="502"/>
      <c r="AJ64" s="503" t="str">
        <f>Z59</f>
        <v>MSBB</v>
      </c>
      <c r="AK64" s="504"/>
      <c r="AL64" s="504"/>
      <c r="AM64" s="504"/>
      <c r="AN64" s="504"/>
      <c r="AO64" s="504"/>
      <c r="AP64" s="505"/>
      <c r="AQ64" s="500" t="s">
        <v>154</v>
      </c>
      <c r="AR64" s="501"/>
      <c r="AS64" s="501"/>
      <c r="AT64" s="501"/>
      <c r="AU64" s="501"/>
      <c r="AV64" s="501"/>
      <c r="AW64" s="502"/>
      <c r="AX64" s="506" t="str">
        <f>AJ59</f>
        <v>販売Webシステム</v>
      </c>
      <c r="AY64" s="501"/>
      <c r="AZ64" s="501"/>
      <c r="BA64" s="501"/>
      <c r="BB64" s="501"/>
      <c r="BC64" s="501"/>
      <c r="BD64" s="501"/>
      <c r="BE64" s="501"/>
      <c r="BF64" s="501"/>
      <c r="BG64" s="501"/>
      <c r="BH64" s="501"/>
      <c r="BI64" s="501"/>
      <c r="BJ64" s="501"/>
      <c r="BK64" s="502"/>
      <c r="BL64" s="507" t="str">
        <f>AS59</f>
        <v>M7-US-1140</v>
      </c>
      <c r="BM64" s="499"/>
      <c r="BN64" s="499"/>
      <c r="BO64" s="499"/>
      <c r="BP64" s="499"/>
      <c r="BQ64" s="499"/>
      <c r="BR64" s="499"/>
      <c r="BS64" s="499"/>
      <c r="BT64" s="508"/>
      <c r="BU64" s="512" t="s">
        <v>155</v>
      </c>
      <c r="BV64" s="499"/>
      <c r="BW64" s="499"/>
      <c r="BX64" s="499"/>
      <c r="BY64" s="499"/>
      <c r="BZ64" s="499"/>
      <c r="CA64" s="508"/>
      <c r="CB64" s="514" cm="1">
        <f t="array" ref="CB64">MAX(_xlfn.NUMBERVALUE(改訂!A7:E48))</f>
        <v>1</v>
      </c>
      <c r="CC64" s="499"/>
      <c r="CD64" s="499"/>
      <c r="CE64" s="499"/>
      <c r="CF64" s="499"/>
      <c r="CG64" s="499"/>
      <c r="CH64" s="515"/>
    </row>
    <row r="65" spans="1:86" s="71" customFormat="1" ht="16.5" customHeight="1" thickBot="1">
      <c r="A65" s="533"/>
      <c r="B65" s="534"/>
      <c r="C65" s="534"/>
      <c r="D65" s="534"/>
      <c r="E65" s="534"/>
      <c r="F65" s="534"/>
      <c r="G65" s="534"/>
      <c r="H65" s="534"/>
      <c r="I65" s="534"/>
      <c r="J65" s="534"/>
      <c r="K65" s="534"/>
      <c r="L65" s="534"/>
      <c r="M65" s="534"/>
      <c r="N65" s="535"/>
      <c r="O65" s="517" t="e">
        <f ca="1">RIGHT(CELL("filename",$A$1),LEN(CELL("filename",$A$1))-FIND("]",CELL("filename",$A$1)))</f>
        <v>#VALUE!</v>
      </c>
      <c r="P65" s="518"/>
      <c r="Q65" s="518"/>
      <c r="R65" s="518"/>
      <c r="S65" s="518"/>
      <c r="T65" s="518"/>
      <c r="U65" s="518"/>
      <c r="V65" s="518"/>
      <c r="W65" s="518"/>
      <c r="X65" s="518"/>
      <c r="Y65" s="518"/>
      <c r="Z65" s="518"/>
      <c r="AA65" s="518"/>
      <c r="AB65" s="518"/>
      <c r="AC65" s="519" t="s">
        <v>146</v>
      </c>
      <c r="AD65" s="520"/>
      <c r="AE65" s="520"/>
      <c r="AF65" s="520"/>
      <c r="AG65" s="520"/>
      <c r="AH65" s="520"/>
      <c r="AI65" s="521"/>
      <c r="AJ65" s="522" t="str">
        <f>Z60</f>
        <v>MSBBPA020</v>
      </c>
      <c r="AK65" s="523"/>
      <c r="AL65" s="523"/>
      <c r="AM65" s="523"/>
      <c r="AN65" s="523"/>
      <c r="AO65" s="523"/>
      <c r="AP65" s="523"/>
      <c r="AQ65" s="524" t="str">
        <f>AE60</f>
        <v>Web見積計算書一覧照会</v>
      </c>
      <c r="AR65" s="525"/>
      <c r="AS65" s="525"/>
      <c r="AT65" s="525"/>
      <c r="AU65" s="525"/>
      <c r="AV65" s="525"/>
      <c r="AW65" s="525"/>
      <c r="AX65" s="525"/>
      <c r="AY65" s="525"/>
      <c r="AZ65" s="525"/>
      <c r="BA65" s="525"/>
      <c r="BB65" s="525"/>
      <c r="BC65" s="525"/>
      <c r="BD65" s="525"/>
      <c r="BE65" s="525"/>
      <c r="BF65" s="525"/>
      <c r="BG65" s="525"/>
      <c r="BH65" s="525"/>
      <c r="BI65" s="525"/>
      <c r="BJ65" s="525"/>
      <c r="BK65" s="526"/>
      <c r="BL65" s="509"/>
      <c r="BM65" s="510"/>
      <c r="BN65" s="510"/>
      <c r="BO65" s="510"/>
      <c r="BP65" s="510"/>
      <c r="BQ65" s="510"/>
      <c r="BR65" s="510"/>
      <c r="BS65" s="510"/>
      <c r="BT65" s="511"/>
      <c r="BU65" s="509"/>
      <c r="BV65" s="510"/>
      <c r="BW65" s="510"/>
      <c r="BX65" s="510"/>
      <c r="BY65" s="510"/>
      <c r="BZ65" s="510"/>
      <c r="CA65" s="511"/>
      <c r="CB65" s="509"/>
      <c r="CC65" s="510"/>
      <c r="CD65" s="510"/>
      <c r="CE65" s="510"/>
      <c r="CF65" s="510"/>
      <c r="CG65" s="510"/>
      <c r="CH65" s="516"/>
    </row>
  </sheetData>
  <mergeCells count="95">
    <mergeCell ref="AC3:AH4"/>
    <mergeCell ref="AI3:AM4"/>
    <mergeCell ref="AN3:AT4"/>
    <mergeCell ref="AC5:AH5"/>
    <mergeCell ref="AI5:AM5"/>
    <mergeCell ref="AN5:AT5"/>
    <mergeCell ref="M7:AJ9"/>
    <mergeCell ref="M10:AJ12"/>
    <mergeCell ref="M16:T17"/>
    <mergeCell ref="U16:AJ17"/>
    <mergeCell ref="M18:T19"/>
    <mergeCell ref="U18:AJ19"/>
    <mergeCell ref="M20:T21"/>
    <mergeCell ref="U20:AJ21"/>
    <mergeCell ref="M22:T23"/>
    <mergeCell ref="U22:AJ23"/>
    <mergeCell ref="M24:T25"/>
    <mergeCell ref="U24:AJ25"/>
    <mergeCell ref="M26:T27"/>
    <mergeCell ref="U26:AB27"/>
    <mergeCell ref="AC26:AD27"/>
    <mergeCell ref="AE26:AJ27"/>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A48:F49"/>
    <mergeCell ref="G48:L49"/>
    <mergeCell ref="M48:U49"/>
    <mergeCell ref="V48:AA49"/>
    <mergeCell ref="AB48:AG49"/>
    <mergeCell ref="W42:Z43"/>
    <mergeCell ref="AB42:AE43"/>
    <mergeCell ref="AG42:AJ43"/>
    <mergeCell ref="C43:H44"/>
    <mergeCell ref="C45:H45"/>
    <mergeCell ref="A58:J60"/>
    <mergeCell ref="K58:T58"/>
    <mergeCell ref="U58:Y58"/>
    <mergeCell ref="Z58:AD58"/>
    <mergeCell ref="AE58:AI58"/>
    <mergeCell ref="A50:F51"/>
    <mergeCell ref="G50:L51"/>
    <mergeCell ref="M50:U51"/>
    <mergeCell ref="V50:AA51"/>
    <mergeCell ref="AB50:AG51"/>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63:N65"/>
    <mergeCell ref="O63:AB63"/>
    <mergeCell ref="AC63:AI63"/>
    <mergeCell ref="AJ63:AP63"/>
    <mergeCell ref="AQ63:AW63"/>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s>
  <phoneticPr fontId="8"/>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showGridLines="0" view="pageBreakPreview" zoomScale="85" zoomScaleNormal="55" zoomScaleSheetLayoutView="85" zoomScalePageLayoutView="70" workbookViewId="0">
      <selection sqref="A1:J2"/>
    </sheetView>
  </sheetViews>
  <sheetFormatPr defaultColWidth="2.125" defaultRowHeight="15.75"/>
  <cols>
    <col min="1" max="56" width="2.125" style="80" customWidth="1"/>
    <col min="57" max="16384" width="2.125" style="80"/>
  </cols>
  <sheetData>
    <row r="1" spans="1:74" ht="19.5" customHeight="1">
      <c r="A1" s="800" t="s">
        <v>156</v>
      </c>
      <c r="B1" s="801"/>
      <c r="C1" s="801"/>
      <c r="D1" s="801"/>
      <c r="E1" s="801"/>
      <c r="F1" s="801"/>
      <c r="G1" s="801"/>
      <c r="H1" s="801"/>
      <c r="I1" s="801"/>
      <c r="J1" s="802"/>
      <c r="K1" s="806" t="s">
        <v>157</v>
      </c>
      <c r="L1" s="807"/>
      <c r="M1" s="807"/>
      <c r="N1" s="807"/>
      <c r="O1" s="807"/>
      <c r="P1" s="807"/>
      <c r="Q1" s="807"/>
      <c r="R1" s="807"/>
      <c r="S1" s="807"/>
      <c r="T1" s="807"/>
      <c r="U1" s="807"/>
      <c r="V1" s="807"/>
      <c r="W1" s="807"/>
      <c r="X1" s="807"/>
      <c r="Y1" s="807"/>
      <c r="Z1" s="807"/>
      <c r="AA1" s="807"/>
      <c r="AB1" s="807"/>
      <c r="AC1" s="807"/>
      <c r="AD1" s="807"/>
      <c r="AE1" s="807"/>
      <c r="AF1" s="807"/>
      <c r="AG1" s="807"/>
      <c r="AH1" s="807"/>
      <c r="AI1" s="807"/>
      <c r="AJ1" s="807"/>
      <c r="AK1" s="807"/>
      <c r="AL1" s="807"/>
      <c r="AM1" s="807"/>
      <c r="AN1" s="807"/>
      <c r="AO1" s="807"/>
      <c r="AP1" s="807"/>
      <c r="AQ1" s="807"/>
      <c r="AR1" s="807"/>
      <c r="AS1" s="807"/>
      <c r="AT1" s="808"/>
      <c r="AU1" s="783" t="s">
        <v>158</v>
      </c>
      <c r="AV1" s="784"/>
      <c r="AW1" s="784"/>
      <c r="AX1" s="784"/>
      <c r="AY1" s="812"/>
      <c r="AZ1" s="813" t="s">
        <v>159</v>
      </c>
      <c r="BA1" s="814"/>
      <c r="BB1" s="814"/>
      <c r="BC1" s="814"/>
      <c r="BD1" s="815"/>
      <c r="BE1" s="783" t="s">
        <v>160</v>
      </c>
      <c r="BF1" s="784"/>
      <c r="BG1" s="784"/>
      <c r="BH1" s="784"/>
      <c r="BI1" s="812"/>
      <c r="BJ1" s="816">
        <f>表紙!W42</f>
        <v>44805</v>
      </c>
      <c r="BK1" s="817"/>
      <c r="BL1" s="817"/>
      <c r="BM1" s="817"/>
      <c r="BN1" s="817"/>
      <c r="BO1" s="818"/>
      <c r="BP1" s="783" t="s">
        <v>150</v>
      </c>
      <c r="BQ1" s="784"/>
      <c r="BR1" s="784"/>
      <c r="BS1" s="784"/>
      <c r="BT1" s="784"/>
      <c r="BU1" s="784"/>
      <c r="BV1" s="785"/>
    </row>
    <row r="2" spans="1:74" ht="19.5" customHeight="1" thickBot="1">
      <c r="A2" s="803"/>
      <c r="B2" s="804"/>
      <c r="C2" s="804"/>
      <c r="D2" s="804"/>
      <c r="E2" s="804"/>
      <c r="F2" s="804"/>
      <c r="G2" s="804"/>
      <c r="H2" s="804"/>
      <c r="I2" s="804"/>
      <c r="J2" s="805"/>
      <c r="K2" s="809"/>
      <c r="L2" s="810"/>
      <c r="M2" s="810"/>
      <c r="N2" s="810"/>
      <c r="O2" s="810"/>
      <c r="P2" s="810"/>
      <c r="Q2" s="810"/>
      <c r="R2" s="810"/>
      <c r="S2" s="810"/>
      <c r="T2" s="810"/>
      <c r="U2" s="810"/>
      <c r="V2" s="810"/>
      <c r="W2" s="810"/>
      <c r="X2" s="810"/>
      <c r="Y2" s="810"/>
      <c r="Z2" s="810"/>
      <c r="AA2" s="810"/>
      <c r="AB2" s="810"/>
      <c r="AC2" s="810"/>
      <c r="AD2" s="810"/>
      <c r="AE2" s="810"/>
      <c r="AF2" s="810"/>
      <c r="AG2" s="810"/>
      <c r="AH2" s="810"/>
      <c r="AI2" s="810"/>
      <c r="AJ2" s="810"/>
      <c r="AK2" s="810"/>
      <c r="AL2" s="810"/>
      <c r="AM2" s="810"/>
      <c r="AN2" s="810"/>
      <c r="AO2" s="810"/>
      <c r="AP2" s="810"/>
      <c r="AQ2" s="810"/>
      <c r="AR2" s="810"/>
      <c r="AS2" s="810"/>
      <c r="AT2" s="811"/>
      <c r="AU2" s="786" t="s">
        <v>161</v>
      </c>
      <c r="AV2" s="787"/>
      <c r="AW2" s="787"/>
      <c r="AX2" s="787"/>
      <c r="AY2" s="788"/>
      <c r="AZ2" s="789"/>
      <c r="BA2" s="790"/>
      <c r="BB2" s="790"/>
      <c r="BC2" s="790"/>
      <c r="BD2" s="791"/>
      <c r="BE2" s="792" t="s">
        <v>162</v>
      </c>
      <c r="BF2" s="793"/>
      <c r="BG2" s="793"/>
      <c r="BH2" s="793"/>
      <c r="BI2" s="794"/>
      <c r="BJ2" s="795"/>
      <c r="BK2" s="796"/>
      <c r="BL2" s="796"/>
      <c r="BM2" s="796"/>
      <c r="BN2" s="796"/>
      <c r="BO2" s="797"/>
      <c r="BP2" s="798">
        <f>表紙!CB64</f>
        <v>1</v>
      </c>
      <c r="BQ2" s="790"/>
      <c r="BR2" s="790"/>
      <c r="BS2" s="790"/>
      <c r="BT2" s="790"/>
      <c r="BU2" s="790"/>
      <c r="BV2" s="799"/>
    </row>
    <row r="3" spans="1:74" ht="6.75" customHeight="1">
      <c r="A3" s="81"/>
      <c r="B3" s="81"/>
      <c r="C3" s="81"/>
      <c r="D3" s="81"/>
      <c r="E3" s="81"/>
      <c r="F3" s="81"/>
      <c r="G3" s="81"/>
      <c r="H3" s="81"/>
      <c r="I3" s="81"/>
      <c r="J3" s="81"/>
      <c r="K3" s="81"/>
      <c r="L3" s="81"/>
      <c r="M3" s="81"/>
      <c r="N3" s="81"/>
      <c r="O3" s="81"/>
      <c r="P3" s="81"/>
      <c r="Q3" s="81"/>
      <c r="R3" s="81"/>
      <c r="S3" s="81"/>
      <c r="T3" s="81"/>
      <c r="U3" s="82"/>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c r="BT3" s="81"/>
      <c r="BU3" s="81"/>
      <c r="BV3" s="81"/>
    </row>
    <row r="4" spans="1:74" ht="17.25" thickBot="1">
      <c r="A4" s="83"/>
      <c r="B4" s="81"/>
      <c r="C4" s="81"/>
      <c r="D4" s="81"/>
      <c r="E4" s="81"/>
      <c r="F4" s="81"/>
      <c r="G4" s="81"/>
      <c r="H4" s="81"/>
      <c r="I4" s="81"/>
      <c r="J4" s="81"/>
      <c r="K4" s="81"/>
      <c r="L4" s="81"/>
      <c r="M4" s="81"/>
      <c r="N4" s="81"/>
      <c r="O4" s="81"/>
      <c r="P4" s="81"/>
      <c r="Q4" s="81"/>
      <c r="R4" s="81"/>
      <c r="S4" s="81"/>
      <c r="T4" s="81"/>
      <c r="U4" s="82"/>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row>
    <row r="5" spans="1:74" ht="13.5" customHeight="1">
      <c r="A5" s="746" t="s">
        <v>150</v>
      </c>
      <c r="B5" s="747"/>
      <c r="C5" s="747"/>
      <c r="D5" s="747"/>
      <c r="E5" s="748"/>
      <c r="F5" s="752" t="s">
        <v>163</v>
      </c>
      <c r="G5" s="753"/>
      <c r="H5" s="753"/>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4"/>
      <c r="BC5" s="758" t="s">
        <v>164</v>
      </c>
      <c r="BD5" s="747"/>
      <c r="BE5" s="747"/>
      <c r="BF5" s="747"/>
      <c r="BG5" s="747"/>
      <c r="BH5" s="747"/>
      <c r="BI5" s="747"/>
      <c r="BJ5" s="747"/>
      <c r="BK5" s="747"/>
      <c r="BL5" s="748"/>
      <c r="BM5" s="762" t="s">
        <v>165</v>
      </c>
      <c r="BN5" s="747"/>
      <c r="BO5" s="747"/>
      <c r="BP5" s="747"/>
      <c r="BQ5" s="748"/>
      <c r="BR5" s="762" t="s">
        <v>166</v>
      </c>
      <c r="BS5" s="747"/>
      <c r="BT5" s="747"/>
      <c r="BU5" s="747"/>
      <c r="BV5" s="764"/>
    </row>
    <row r="6" spans="1:74" ht="13.5" customHeight="1" thickBot="1">
      <c r="A6" s="749"/>
      <c r="B6" s="750"/>
      <c r="C6" s="750"/>
      <c r="D6" s="750"/>
      <c r="E6" s="751"/>
      <c r="F6" s="755"/>
      <c r="G6" s="756"/>
      <c r="H6" s="756"/>
      <c r="I6" s="756"/>
      <c r="J6" s="756"/>
      <c r="K6" s="756"/>
      <c r="L6" s="756"/>
      <c r="M6" s="756"/>
      <c r="N6" s="756"/>
      <c r="O6" s="756"/>
      <c r="P6" s="756"/>
      <c r="Q6" s="756"/>
      <c r="R6" s="756"/>
      <c r="S6" s="756"/>
      <c r="T6" s="756"/>
      <c r="U6" s="756"/>
      <c r="V6" s="756"/>
      <c r="W6" s="756"/>
      <c r="X6" s="756"/>
      <c r="Y6" s="756"/>
      <c r="Z6" s="756"/>
      <c r="AA6" s="756"/>
      <c r="AB6" s="756"/>
      <c r="AC6" s="756"/>
      <c r="AD6" s="756"/>
      <c r="AE6" s="756"/>
      <c r="AF6" s="756"/>
      <c r="AG6" s="756"/>
      <c r="AH6" s="756"/>
      <c r="AI6" s="756"/>
      <c r="AJ6" s="756"/>
      <c r="AK6" s="756"/>
      <c r="AL6" s="756"/>
      <c r="AM6" s="756"/>
      <c r="AN6" s="756"/>
      <c r="AO6" s="756"/>
      <c r="AP6" s="756"/>
      <c r="AQ6" s="756"/>
      <c r="AR6" s="756"/>
      <c r="AS6" s="756"/>
      <c r="AT6" s="756"/>
      <c r="AU6" s="756"/>
      <c r="AV6" s="756"/>
      <c r="AW6" s="756"/>
      <c r="AX6" s="756"/>
      <c r="AY6" s="756"/>
      <c r="AZ6" s="756"/>
      <c r="BA6" s="756"/>
      <c r="BB6" s="757"/>
      <c r="BC6" s="759"/>
      <c r="BD6" s="760"/>
      <c r="BE6" s="760"/>
      <c r="BF6" s="760"/>
      <c r="BG6" s="760"/>
      <c r="BH6" s="760"/>
      <c r="BI6" s="760"/>
      <c r="BJ6" s="760"/>
      <c r="BK6" s="760"/>
      <c r="BL6" s="761"/>
      <c r="BM6" s="763"/>
      <c r="BN6" s="750"/>
      <c r="BO6" s="750"/>
      <c r="BP6" s="750"/>
      <c r="BQ6" s="751"/>
      <c r="BR6" s="763"/>
      <c r="BS6" s="750"/>
      <c r="BT6" s="750"/>
      <c r="BU6" s="750"/>
      <c r="BV6" s="765"/>
    </row>
    <row r="7" spans="1:74" ht="13.5" customHeight="1" thickTop="1">
      <c r="A7" s="766">
        <v>1</v>
      </c>
      <c r="B7" s="767"/>
      <c r="C7" s="767"/>
      <c r="D7" s="767"/>
      <c r="E7" s="768"/>
      <c r="F7" s="772" t="s">
        <v>167</v>
      </c>
      <c r="G7" s="773"/>
      <c r="H7" s="773"/>
      <c r="I7" s="773"/>
      <c r="J7" s="773"/>
      <c r="K7" s="773"/>
      <c r="L7" s="773"/>
      <c r="M7" s="773"/>
      <c r="N7" s="773"/>
      <c r="O7" s="773"/>
      <c r="P7" s="773"/>
      <c r="Q7" s="773"/>
      <c r="R7" s="773"/>
      <c r="S7" s="773"/>
      <c r="T7" s="773"/>
      <c r="U7" s="773"/>
      <c r="V7" s="773"/>
      <c r="W7" s="773"/>
      <c r="X7" s="773"/>
      <c r="Y7" s="773"/>
      <c r="Z7" s="773"/>
      <c r="AA7" s="773"/>
      <c r="AB7" s="773"/>
      <c r="AC7" s="773"/>
      <c r="AD7" s="773"/>
      <c r="AE7" s="773"/>
      <c r="AF7" s="773"/>
      <c r="AG7" s="773"/>
      <c r="AH7" s="773"/>
      <c r="AI7" s="773"/>
      <c r="AJ7" s="773"/>
      <c r="AK7" s="773"/>
      <c r="AL7" s="773"/>
      <c r="AM7" s="773"/>
      <c r="AN7" s="773"/>
      <c r="AO7" s="773"/>
      <c r="AP7" s="773"/>
      <c r="AQ7" s="773"/>
      <c r="AR7" s="773"/>
      <c r="AS7" s="773"/>
      <c r="AT7" s="773"/>
      <c r="AU7" s="773"/>
      <c r="AV7" s="773"/>
      <c r="AW7" s="773"/>
      <c r="AX7" s="773"/>
      <c r="AY7" s="773"/>
      <c r="AZ7" s="773"/>
      <c r="BA7" s="773"/>
      <c r="BB7" s="774"/>
      <c r="BC7" s="775"/>
      <c r="BD7" s="776"/>
      <c r="BE7" s="776"/>
      <c r="BF7" s="776"/>
      <c r="BG7" s="776"/>
      <c r="BH7" s="776"/>
      <c r="BI7" s="776"/>
      <c r="BJ7" s="776"/>
      <c r="BK7" s="776"/>
      <c r="BL7" s="777"/>
      <c r="BM7" s="778"/>
      <c r="BN7" s="779"/>
      <c r="BO7" s="779"/>
      <c r="BP7" s="779"/>
      <c r="BQ7" s="780"/>
      <c r="BR7" s="781"/>
      <c r="BS7" s="779"/>
      <c r="BT7" s="779"/>
      <c r="BU7" s="779"/>
      <c r="BV7" s="782"/>
    </row>
    <row r="8" spans="1:74" ht="13.5" customHeight="1">
      <c r="A8" s="769"/>
      <c r="B8" s="770"/>
      <c r="C8" s="770"/>
      <c r="D8" s="770"/>
      <c r="E8" s="771"/>
      <c r="F8" s="742"/>
      <c r="G8" s="743"/>
      <c r="H8" s="743"/>
      <c r="I8" s="743"/>
      <c r="J8" s="743"/>
      <c r="K8" s="743"/>
      <c r="L8" s="743"/>
      <c r="M8" s="743"/>
      <c r="N8" s="743"/>
      <c r="O8" s="743"/>
      <c r="P8" s="743"/>
      <c r="Q8" s="743"/>
      <c r="R8" s="743"/>
      <c r="S8" s="743"/>
      <c r="T8" s="743"/>
      <c r="U8" s="743"/>
      <c r="V8" s="743"/>
      <c r="W8" s="743"/>
      <c r="X8" s="743"/>
      <c r="Y8" s="743"/>
      <c r="Z8" s="743"/>
      <c r="AA8" s="743"/>
      <c r="AB8" s="743"/>
      <c r="AC8" s="743"/>
      <c r="AD8" s="743"/>
      <c r="AE8" s="743"/>
      <c r="AF8" s="743"/>
      <c r="AG8" s="743"/>
      <c r="AH8" s="743"/>
      <c r="AI8" s="743"/>
      <c r="AJ8" s="743"/>
      <c r="AK8" s="743"/>
      <c r="AL8" s="743"/>
      <c r="AM8" s="743"/>
      <c r="AN8" s="743"/>
      <c r="AO8" s="743"/>
      <c r="AP8" s="743"/>
      <c r="AQ8" s="743"/>
      <c r="AR8" s="743"/>
      <c r="AS8" s="743"/>
      <c r="AT8" s="743"/>
      <c r="AU8" s="743"/>
      <c r="AV8" s="743"/>
      <c r="AW8" s="743"/>
      <c r="AX8" s="743"/>
      <c r="AY8" s="743"/>
      <c r="AZ8" s="743"/>
      <c r="BA8" s="743"/>
      <c r="BB8" s="744"/>
      <c r="BC8" s="722"/>
      <c r="BD8" s="720"/>
      <c r="BE8" s="720"/>
      <c r="BF8" s="720"/>
      <c r="BG8" s="720"/>
      <c r="BH8" s="720"/>
      <c r="BI8" s="720"/>
      <c r="BJ8" s="720"/>
      <c r="BK8" s="720"/>
      <c r="BL8" s="721"/>
      <c r="BM8" s="723"/>
      <c r="BN8" s="724"/>
      <c r="BO8" s="724"/>
      <c r="BP8" s="724"/>
      <c r="BQ8" s="725"/>
      <c r="BR8" s="723"/>
      <c r="BS8" s="724"/>
      <c r="BT8" s="724"/>
      <c r="BU8" s="724"/>
      <c r="BV8" s="726"/>
    </row>
    <row r="9" spans="1:74" ht="13.5" customHeight="1">
      <c r="A9" s="703"/>
      <c r="B9" s="704"/>
      <c r="C9" s="704"/>
      <c r="D9" s="704"/>
      <c r="E9" s="705"/>
      <c r="F9" s="735"/>
      <c r="G9" s="736"/>
      <c r="H9" s="736"/>
      <c r="I9" s="736"/>
      <c r="J9" s="736"/>
      <c r="K9" s="736"/>
      <c r="L9" s="736"/>
      <c r="M9" s="736"/>
      <c r="N9" s="736"/>
      <c r="O9" s="736"/>
      <c r="P9" s="736"/>
      <c r="Q9" s="736"/>
      <c r="R9" s="736"/>
      <c r="S9" s="736"/>
      <c r="T9" s="736"/>
      <c r="U9" s="736"/>
      <c r="V9" s="736"/>
      <c r="W9" s="736"/>
      <c r="X9" s="736"/>
      <c r="Y9" s="736"/>
      <c r="Z9" s="736"/>
      <c r="AA9" s="736"/>
      <c r="AB9" s="736"/>
      <c r="AC9" s="736"/>
      <c r="AD9" s="736"/>
      <c r="AE9" s="736"/>
      <c r="AF9" s="736"/>
      <c r="AG9" s="736"/>
      <c r="AH9" s="736"/>
      <c r="AI9" s="736"/>
      <c r="AJ9" s="736"/>
      <c r="AK9" s="736"/>
      <c r="AL9" s="736"/>
      <c r="AM9" s="736"/>
      <c r="AN9" s="736"/>
      <c r="AO9" s="736"/>
      <c r="AP9" s="736"/>
      <c r="AQ9" s="736"/>
      <c r="AR9" s="736"/>
      <c r="AS9" s="736"/>
      <c r="AT9" s="736"/>
      <c r="AU9" s="736"/>
      <c r="AV9" s="736"/>
      <c r="AW9" s="736"/>
      <c r="AX9" s="736"/>
      <c r="AY9" s="736"/>
      <c r="AZ9" s="736"/>
      <c r="BA9" s="736"/>
      <c r="BB9" s="737"/>
      <c r="BC9" s="709"/>
      <c r="BD9" s="704"/>
      <c r="BE9" s="704"/>
      <c r="BF9" s="704"/>
      <c r="BG9" s="704"/>
      <c r="BH9" s="704"/>
      <c r="BI9" s="704"/>
      <c r="BJ9" s="704"/>
      <c r="BK9" s="704"/>
      <c r="BL9" s="705"/>
      <c r="BM9" s="741"/>
      <c r="BN9" s="712"/>
      <c r="BO9" s="712"/>
      <c r="BP9" s="712"/>
      <c r="BQ9" s="713"/>
      <c r="BR9" s="745"/>
      <c r="BS9" s="712"/>
      <c r="BT9" s="712"/>
      <c r="BU9" s="712"/>
      <c r="BV9" s="714"/>
    </row>
    <row r="10" spans="1:74" ht="13.5" customHeight="1">
      <c r="A10" s="719"/>
      <c r="B10" s="720"/>
      <c r="C10" s="720"/>
      <c r="D10" s="720"/>
      <c r="E10" s="721"/>
      <c r="F10" s="742"/>
      <c r="G10" s="743"/>
      <c r="H10" s="743"/>
      <c r="I10" s="743"/>
      <c r="J10" s="743"/>
      <c r="K10" s="743"/>
      <c r="L10" s="743"/>
      <c r="M10" s="743"/>
      <c r="N10" s="743"/>
      <c r="O10" s="743"/>
      <c r="P10" s="743"/>
      <c r="Q10" s="743"/>
      <c r="R10" s="743"/>
      <c r="S10" s="743"/>
      <c r="T10" s="743"/>
      <c r="U10" s="743"/>
      <c r="V10" s="743"/>
      <c r="W10" s="743"/>
      <c r="X10" s="743"/>
      <c r="Y10" s="743"/>
      <c r="Z10" s="743"/>
      <c r="AA10" s="743"/>
      <c r="AB10" s="743"/>
      <c r="AC10" s="743"/>
      <c r="AD10" s="743"/>
      <c r="AE10" s="743"/>
      <c r="AF10" s="743"/>
      <c r="AG10" s="743"/>
      <c r="AH10" s="743"/>
      <c r="AI10" s="743"/>
      <c r="AJ10" s="743"/>
      <c r="AK10" s="743"/>
      <c r="AL10" s="743"/>
      <c r="AM10" s="743"/>
      <c r="AN10" s="743"/>
      <c r="AO10" s="743"/>
      <c r="AP10" s="743"/>
      <c r="AQ10" s="743"/>
      <c r="AR10" s="743"/>
      <c r="AS10" s="743"/>
      <c r="AT10" s="743"/>
      <c r="AU10" s="743"/>
      <c r="AV10" s="743"/>
      <c r="AW10" s="743"/>
      <c r="AX10" s="743"/>
      <c r="AY10" s="743"/>
      <c r="AZ10" s="743"/>
      <c r="BA10" s="743"/>
      <c r="BB10" s="744"/>
      <c r="BC10" s="722"/>
      <c r="BD10" s="720"/>
      <c r="BE10" s="720"/>
      <c r="BF10" s="720"/>
      <c r="BG10" s="720"/>
      <c r="BH10" s="720"/>
      <c r="BI10" s="720"/>
      <c r="BJ10" s="720"/>
      <c r="BK10" s="720"/>
      <c r="BL10" s="721"/>
      <c r="BM10" s="723"/>
      <c r="BN10" s="724"/>
      <c r="BO10" s="724"/>
      <c r="BP10" s="724"/>
      <c r="BQ10" s="725"/>
      <c r="BR10" s="723"/>
      <c r="BS10" s="724"/>
      <c r="BT10" s="724"/>
      <c r="BU10" s="724"/>
      <c r="BV10" s="726"/>
    </row>
    <row r="11" spans="1:74" ht="13.5" customHeight="1">
      <c r="A11" s="703"/>
      <c r="B11" s="704"/>
      <c r="C11" s="704"/>
      <c r="D11" s="704"/>
      <c r="E11" s="705"/>
      <c r="F11" s="735"/>
      <c r="G11" s="736"/>
      <c r="H11" s="736"/>
      <c r="I11" s="736"/>
      <c r="J11" s="736"/>
      <c r="K11" s="736"/>
      <c r="L11" s="736"/>
      <c r="M11" s="736"/>
      <c r="N11" s="736"/>
      <c r="O11" s="736"/>
      <c r="P11" s="736"/>
      <c r="Q11" s="736"/>
      <c r="R11" s="736"/>
      <c r="S11" s="736"/>
      <c r="T11" s="736"/>
      <c r="U11" s="736"/>
      <c r="V11" s="736"/>
      <c r="W11" s="736"/>
      <c r="X11" s="736"/>
      <c r="Y11" s="736"/>
      <c r="Z11" s="736"/>
      <c r="AA11" s="736"/>
      <c r="AB11" s="736"/>
      <c r="AC11" s="736"/>
      <c r="AD11" s="736"/>
      <c r="AE11" s="736"/>
      <c r="AF11" s="736"/>
      <c r="AG11" s="736"/>
      <c r="AH11" s="736"/>
      <c r="AI11" s="736"/>
      <c r="AJ11" s="736"/>
      <c r="AK11" s="736"/>
      <c r="AL11" s="736"/>
      <c r="AM11" s="736"/>
      <c r="AN11" s="736"/>
      <c r="AO11" s="736"/>
      <c r="AP11" s="736"/>
      <c r="AQ11" s="736"/>
      <c r="AR11" s="736"/>
      <c r="AS11" s="736"/>
      <c r="AT11" s="736"/>
      <c r="AU11" s="736"/>
      <c r="AV11" s="736"/>
      <c r="AW11" s="736"/>
      <c r="AX11" s="736"/>
      <c r="AY11" s="736"/>
      <c r="AZ11" s="736"/>
      <c r="BA11" s="736"/>
      <c r="BB11" s="737"/>
      <c r="BC11" s="709"/>
      <c r="BD11" s="704"/>
      <c r="BE11" s="704"/>
      <c r="BF11" s="704"/>
      <c r="BG11" s="704"/>
      <c r="BH11" s="704"/>
      <c r="BI11" s="704"/>
      <c r="BJ11" s="704"/>
      <c r="BK11" s="704"/>
      <c r="BL11" s="705"/>
      <c r="BM11" s="741"/>
      <c r="BN11" s="712"/>
      <c r="BO11" s="712"/>
      <c r="BP11" s="712"/>
      <c r="BQ11" s="713"/>
      <c r="BR11" s="711"/>
      <c r="BS11" s="712"/>
      <c r="BT11" s="712"/>
      <c r="BU11" s="712"/>
      <c r="BV11" s="714"/>
    </row>
    <row r="12" spans="1:74" ht="13.5" customHeight="1">
      <c r="A12" s="727"/>
      <c r="B12" s="728"/>
      <c r="C12" s="728"/>
      <c r="D12" s="728"/>
      <c r="E12" s="729"/>
      <c r="F12" s="738"/>
      <c r="G12" s="739"/>
      <c r="H12" s="739"/>
      <c r="I12" s="739"/>
      <c r="J12" s="739"/>
      <c r="K12" s="739"/>
      <c r="L12" s="739"/>
      <c r="M12" s="739"/>
      <c r="N12" s="739"/>
      <c r="O12" s="739"/>
      <c r="P12" s="739"/>
      <c r="Q12" s="739"/>
      <c r="R12" s="739"/>
      <c r="S12" s="739"/>
      <c r="T12" s="739"/>
      <c r="U12" s="739"/>
      <c r="V12" s="739"/>
      <c r="W12" s="739"/>
      <c r="X12" s="739"/>
      <c r="Y12" s="739"/>
      <c r="Z12" s="739"/>
      <c r="AA12" s="739"/>
      <c r="AB12" s="739"/>
      <c r="AC12" s="739"/>
      <c r="AD12" s="739"/>
      <c r="AE12" s="739"/>
      <c r="AF12" s="739"/>
      <c r="AG12" s="739"/>
      <c r="AH12" s="739"/>
      <c r="AI12" s="739"/>
      <c r="AJ12" s="739"/>
      <c r="AK12" s="739"/>
      <c r="AL12" s="739"/>
      <c r="AM12" s="739"/>
      <c r="AN12" s="739"/>
      <c r="AO12" s="739"/>
      <c r="AP12" s="739"/>
      <c r="AQ12" s="739"/>
      <c r="AR12" s="739"/>
      <c r="AS12" s="739"/>
      <c r="AT12" s="739"/>
      <c r="AU12" s="739"/>
      <c r="AV12" s="739"/>
      <c r="AW12" s="739"/>
      <c r="AX12" s="739"/>
      <c r="AY12" s="739"/>
      <c r="AZ12" s="739"/>
      <c r="BA12" s="739"/>
      <c r="BB12" s="740"/>
      <c r="BC12" s="730"/>
      <c r="BD12" s="728"/>
      <c r="BE12" s="728"/>
      <c r="BF12" s="728"/>
      <c r="BG12" s="728"/>
      <c r="BH12" s="728"/>
      <c r="BI12" s="728"/>
      <c r="BJ12" s="728"/>
      <c r="BK12" s="728"/>
      <c r="BL12" s="729"/>
      <c r="BM12" s="731"/>
      <c r="BN12" s="732"/>
      <c r="BO12" s="732"/>
      <c r="BP12" s="732"/>
      <c r="BQ12" s="733"/>
      <c r="BR12" s="731"/>
      <c r="BS12" s="732"/>
      <c r="BT12" s="732"/>
      <c r="BU12" s="732"/>
      <c r="BV12" s="734"/>
    </row>
    <row r="13" spans="1:74" ht="13.5" customHeight="1">
      <c r="A13" s="703"/>
      <c r="B13" s="704"/>
      <c r="C13" s="704"/>
      <c r="D13" s="704"/>
      <c r="E13" s="705"/>
      <c r="F13" s="709"/>
      <c r="G13" s="704"/>
      <c r="H13" s="704"/>
      <c r="I13" s="704"/>
      <c r="J13" s="704"/>
      <c r="K13" s="704"/>
      <c r="L13" s="704"/>
      <c r="M13" s="704"/>
      <c r="N13" s="704"/>
      <c r="O13" s="704"/>
      <c r="P13" s="704"/>
      <c r="Q13" s="704"/>
      <c r="R13" s="704"/>
      <c r="S13" s="704"/>
      <c r="T13" s="704"/>
      <c r="U13" s="704"/>
      <c r="V13" s="704"/>
      <c r="W13" s="704"/>
      <c r="X13" s="704"/>
      <c r="Y13" s="704"/>
      <c r="Z13" s="704"/>
      <c r="AA13" s="704"/>
      <c r="AB13" s="704"/>
      <c r="AC13" s="704"/>
      <c r="AD13" s="704"/>
      <c r="AE13" s="704"/>
      <c r="AF13" s="704"/>
      <c r="AG13" s="704"/>
      <c r="AH13" s="704"/>
      <c r="AI13" s="704"/>
      <c r="AJ13" s="704"/>
      <c r="AK13" s="704"/>
      <c r="AL13" s="704"/>
      <c r="AM13" s="704"/>
      <c r="AN13" s="704"/>
      <c r="AO13" s="704"/>
      <c r="AP13" s="704"/>
      <c r="AQ13" s="704"/>
      <c r="AR13" s="704"/>
      <c r="AS13" s="704"/>
      <c r="AT13" s="704"/>
      <c r="AU13" s="704"/>
      <c r="AV13" s="704"/>
      <c r="AW13" s="704"/>
      <c r="AX13" s="704"/>
      <c r="AY13" s="704"/>
      <c r="AZ13" s="704"/>
      <c r="BA13" s="704"/>
      <c r="BB13" s="705"/>
      <c r="BC13" s="709"/>
      <c r="BD13" s="704"/>
      <c r="BE13" s="704"/>
      <c r="BF13" s="704"/>
      <c r="BG13" s="704"/>
      <c r="BH13" s="704"/>
      <c r="BI13" s="704"/>
      <c r="BJ13" s="704"/>
      <c r="BK13" s="704"/>
      <c r="BL13" s="705"/>
      <c r="BM13" s="711"/>
      <c r="BN13" s="712"/>
      <c r="BO13" s="712"/>
      <c r="BP13" s="712"/>
      <c r="BQ13" s="713"/>
      <c r="BR13" s="711"/>
      <c r="BS13" s="712"/>
      <c r="BT13" s="712"/>
      <c r="BU13" s="712"/>
      <c r="BV13" s="714"/>
    </row>
    <row r="14" spans="1:74" ht="13.5" customHeight="1">
      <c r="A14" s="719"/>
      <c r="B14" s="720"/>
      <c r="C14" s="720"/>
      <c r="D14" s="720"/>
      <c r="E14" s="721"/>
      <c r="F14" s="722"/>
      <c r="G14" s="720"/>
      <c r="H14" s="720"/>
      <c r="I14" s="720"/>
      <c r="J14" s="720"/>
      <c r="K14" s="720"/>
      <c r="L14" s="720"/>
      <c r="M14" s="720"/>
      <c r="N14" s="720"/>
      <c r="O14" s="720"/>
      <c r="P14" s="720"/>
      <c r="Q14" s="720"/>
      <c r="R14" s="720"/>
      <c r="S14" s="720"/>
      <c r="T14" s="720"/>
      <c r="U14" s="720"/>
      <c r="V14" s="720"/>
      <c r="W14" s="720"/>
      <c r="X14" s="720"/>
      <c r="Y14" s="720"/>
      <c r="Z14" s="720"/>
      <c r="AA14" s="720"/>
      <c r="AB14" s="720"/>
      <c r="AC14" s="720"/>
      <c r="AD14" s="720"/>
      <c r="AE14" s="720"/>
      <c r="AF14" s="720"/>
      <c r="AG14" s="720"/>
      <c r="AH14" s="720"/>
      <c r="AI14" s="720"/>
      <c r="AJ14" s="720"/>
      <c r="AK14" s="720"/>
      <c r="AL14" s="720"/>
      <c r="AM14" s="720"/>
      <c r="AN14" s="720"/>
      <c r="AO14" s="720"/>
      <c r="AP14" s="720"/>
      <c r="AQ14" s="720"/>
      <c r="AR14" s="720"/>
      <c r="AS14" s="720"/>
      <c r="AT14" s="720"/>
      <c r="AU14" s="720"/>
      <c r="AV14" s="720"/>
      <c r="AW14" s="720"/>
      <c r="AX14" s="720"/>
      <c r="AY14" s="720"/>
      <c r="AZ14" s="720"/>
      <c r="BA14" s="720"/>
      <c r="BB14" s="721"/>
      <c r="BC14" s="722"/>
      <c r="BD14" s="720"/>
      <c r="BE14" s="720"/>
      <c r="BF14" s="720"/>
      <c r="BG14" s="720"/>
      <c r="BH14" s="720"/>
      <c r="BI14" s="720"/>
      <c r="BJ14" s="720"/>
      <c r="BK14" s="720"/>
      <c r="BL14" s="721"/>
      <c r="BM14" s="723"/>
      <c r="BN14" s="724"/>
      <c r="BO14" s="724"/>
      <c r="BP14" s="724"/>
      <c r="BQ14" s="725"/>
      <c r="BR14" s="723"/>
      <c r="BS14" s="724"/>
      <c r="BT14" s="724"/>
      <c r="BU14" s="724"/>
      <c r="BV14" s="726"/>
    </row>
    <row r="15" spans="1:74" ht="13.5" customHeight="1">
      <c r="A15" s="703"/>
      <c r="B15" s="704"/>
      <c r="C15" s="704"/>
      <c r="D15" s="704"/>
      <c r="E15" s="705"/>
      <c r="F15" s="709"/>
      <c r="G15" s="704"/>
      <c r="H15" s="704"/>
      <c r="I15" s="704"/>
      <c r="J15" s="704"/>
      <c r="K15" s="704"/>
      <c r="L15" s="704"/>
      <c r="M15" s="704"/>
      <c r="N15" s="704"/>
      <c r="O15" s="704"/>
      <c r="P15" s="704"/>
      <c r="Q15" s="704"/>
      <c r="R15" s="704"/>
      <c r="S15" s="704"/>
      <c r="T15" s="704"/>
      <c r="U15" s="704"/>
      <c r="V15" s="704"/>
      <c r="W15" s="704"/>
      <c r="X15" s="704"/>
      <c r="Y15" s="704"/>
      <c r="Z15" s="704"/>
      <c r="AA15" s="704"/>
      <c r="AB15" s="704"/>
      <c r="AC15" s="704"/>
      <c r="AD15" s="704"/>
      <c r="AE15" s="704"/>
      <c r="AF15" s="704"/>
      <c r="AG15" s="704"/>
      <c r="AH15" s="704"/>
      <c r="AI15" s="704"/>
      <c r="AJ15" s="704"/>
      <c r="AK15" s="704"/>
      <c r="AL15" s="704"/>
      <c r="AM15" s="704"/>
      <c r="AN15" s="704"/>
      <c r="AO15" s="704"/>
      <c r="AP15" s="704"/>
      <c r="AQ15" s="704"/>
      <c r="AR15" s="704"/>
      <c r="AS15" s="704"/>
      <c r="AT15" s="704"/>
      <c r="AU15" s="704"/>
      <c r="AV15" s="704"/>
      <c r="AW15" s="704"/>
      <c r="AX15" s="704"/>
      <c r="AY15" s="704"/>
      <c r="AZ15" s="704"/>
      <c r="BA15" s="704"/>
      <c r="BB15" s="705"/>
      <c r="BC15" s="709"/>
      <c r="BD15" s="704"/>
      <c r="BE15" s="704"/>
      <c r="BF15" s="704"/>
      <c r="BG15" s="704"/>
      <c r="BH15" s="704"/>
      <c r="BI15" s="704"/>
      <c r="BJ15" s="704"/>
      <c r="BK15" s="704"/>
      <c r="BL15" s="705"/>
      <c r="BM15" s="711"/>
      <c r="BN15" s="712"/>
      <c r="BO15" s="712"/>
      <c r="BP15" s="712"/>
      <c r="BQ15" s="713"/>
      <c r="BR15" s="711"/>
      <c r="BS15" s="712"/>
      <c r="BT15" s="712"/>
      <c r="BU15" s="712"/>
      <c r="BV15" s="714"/>
    </row>
    <row r="16" spans="1:74" ht="13.5" customHeight="1">
      <c r="A16" s="727"/>
      <c r="B16" s="728"/>
      <c r="C16" s="728"/>
      <c r="D16" s="728"/>
      <c r="E16" s="729"/>
      <c r="F16" s="730"/>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c r="AH16" s="728"/>
      <c r="AI16" s="728"/>
      <c r="AJ16" s="728"/>
      <c r="AK16" s="728"/>
      <c r="AL16" s="728"/>
      <c r="AM16" s="728"/>
      <c r="AN16" s="728"/>
      <c r="AO16" s="728"/>
      <c r="AP16" s="728"/>
      <c r="AQ16" s="728"/>
      <c r="AR16" s="728"/>
      <c r="AS16" s="728"/>
      <c r="AT16" s="728"/>
      <c r="AU16" s="728"/>
      <c r="AV16" s="728"/>
      <c r="AW16" s="728"/>
      <c r="AX16" s="728"/>
      <c r="AY16" s="728"/>
      <c r="AZ16" s="728"/>
      <c r="BA16" s="728"/>
      <c r="BB16" s="729"/>
      <c r="BC16" s="730"/>
      <c r="BD16" s="728"/>
      <c r="BE16" s="728"/>
      <c r="BF16" s="728"/>
      <c r="BG16" s="728"/>
      <c r="BH16" s="728"/>
      <c r="BI16" s="728"/>
      <c r="BJ16" s="728"/>
      <c r="BK16" s="728"/>
      <c r="BL16" s="729"/>
      <c r="BM16" s="731"/>
      <c r="BN16" s="732"/>
      <c r="BO16" s="732"/>
      <c r="BP16" s="732"/>
      <c r="BQ16" s="733"/>
      <c r="BR16" s="731"/>
      <c r="BS16" s="732"/>
      <c r="BT16" s="732"/>
      <c r="BU16" s="732"/>
      <c r="BV16" s="734"/>
    </row>
    <row r="17" spans="1:74" ht="13.5" customHeight="1">
      <c r="A17" s="703"/>
      <c r="B17" s="704"/>
      <c r="C17" s="704"/>
      <c r="D17" s="704"/>
      <c r="E17" s="705"/>
      <c r="F17" s="709"/>
      <c r="G17" s="704"/>
      <c r="H17" s="704"/>
      <c r="I17" s="704"/>
      <c r="J17" s="704"/>
      <c r="K17" s="704"/>
      <c r="L17" s="704"/>
      <c r="M17" s="704"/>
      <c r="N17" s="704"/>
      <c r="O17" s="704"/>
      <c r="P17" s="704"/>
      <c r="Q17" s="704"/>
      <c r="R17" s="704"/>
      <c r="S17" s="704"/>
      <c r="T17" s="704"/>
      <c r="U17" s="704"/>
      <c r="V17" s="704"/>
      <c r="W17" s="704"/>
      <c r="X17" s="704"/>
      <c r="Y17" s="704"/>
      <c r="Z17" s="704"/>
      <c r="AA17" s="704"/>
      <c r="AB17" s="704"/>
      <c r="AC17" s="704"/>
      <c r="AD17" s="704"/>
      <c r="AE17" s="704"/>
      <c r="AF17" s="704"/>
      <c r="AG17" s="704"/>
      <c r="AH17" s="704"/>
      <c r="AI17" s="704"/>
      <c r="AJ17" s="704"/>
      <c r="AK17" s="704"/>
      <c r="AL17" s="704"/>
      <c r="AM17" s="704"/>
      <c r="AN17" s="704"/>
      <c r="AO17" s="704"/>
      <c r="AP17" s="704"/>
      <c r="AQ17" s="704"/>
      <c r="AR17" s="704"/>
      <c r="AS17" s="704"/>
      <c r="AT17" s="704"/>
      <c r="AU17" s="704"/>
      <c r="AV17" s="704"/>
      <c r="AW17" s="704"/>
      <c r="AX17" s="704"/>
      <c r="AY17" s="704"/>
      <c r="AZ17" s="704"/>
      <c r="BA17" s="704"/>
      <c r="BB17" s="705"/>
      <c r="BC17" s="709"/>
      <c r="BD17" s="704"/>
      <c r="BE17" s="704"/>
      <c r="BF17" s="704"/>
      <c r="BG17" s="704"/>
      <c r="BH17" s="704"/>
      <c r="BI17" s="704"/>
      <c r="BJ17" s="704"/>
      <c r="BK17" s="704"/>
      <c r="BL17" s="705"/>
      <c r="BM17" s="711"/>
      <c r="BN17" s="712"/>
      <c r="BO17" s="712"/>
      <c r="BP17" s="712"/>
      <c r="BQ17" s="713"/>
      <c r="BR17" s="711"/>
      <c r="BS17" s="712"/>
      <c r="BT17" s="712"/>
      <c r="BU17" s="712"/>
      <c r="BV17" s="714"/>
    </row>
    <row r="18" spans="1:74" ht="13.5" customHeight="1">
      <c r="A18" s="719"/>
      <c r="B18" s="720"/>
      <c r="C18" s="720"/>
      <c r="D18" s="720"/>
      <c r="E18" s="721"/>
      <c r="F18" s="722"/>
      <c r="G18" s="720"/>
      <c r="H18" s="720"/>
      <c r="I18" s="720"/>
      <c r="J18" s="720"/>
      <c r="K18" s="720"/>
      <c r="L18" s="720"/>
      <c r="M18" s="720"/>
      <c r="N18" s="720"/>
      <c r="O18" s="720"/>
      <c r="P18" s="720"/>
      <c r="Q18" s="720"/>
      <c r="R18" s="720"/>
      <c r="S18" s="720"/>
      <c r="T18" s="720"/>
      <c r="U18" s="720"/>
      <c r="V18" s="720"/>
      <c r="W18" s="720"/>
      <c r="X18" s="720"/>
      <c r="Y18" s="720"/>
      <c r="Z18" s="720"/>
      <c r="AA18" s="720"/>
      <c r="AB18" s="720"/>
      <c r="AC18" s="720"/>
      <c r="AD18" s="720"/>
      <c r="AE18" s="720"/>
      <c r="AF18" s="720"/>
      <c r="AG18" s="720"/>
      <c r="AH18" s="720"/>
      <c r="AI18" s="720"/>
      <c r="AJ18" s="720"/>
      <c r="AK18" s="720"/>
      <c r="AL18" s="720"/>
      <c r="AM18" s="720"/>
      <c r="AN18" s="720"/>
      <c r="AO18" s="720"/>
      <c r="AP18" s="720"/>
      <c r="AQ18" s="720"/>
      <c r="AR18" s="720"/>
      <c r="AS18" s="720"/>
      <c r="AT18" s="720"/>
      <c r="AU18" s="720"/>
      <c r="AV18" s="720"/>
      <c r="AW18" s="720"/>
      <c r="AX18" s="720"/>
      <c r="AY18" s="720"/>
      <c r="AZ18" s="720"/>
      <c r="BA18" s="720"/>
      <c r="BB18" s="721"/>
      <c r="BC18" s="722"/>
      <c r="BD18" s="720"/>
      <c r="BE18" s="720"/>
      <c r="BF18" s="720"/>
      <c r="BG18" s="720"/>
      <c r="BH18" s="720"/>
      <c r="BI18" s="720"/>
      <c r="BJ18" s="720"/>
      <c r="BK18" s="720"/>
      <c r="BL18" s="721"/>
      <c r="BM18" s="723"/>
      <c r="BN18" s="724"/>
      <c r="BO18" s="724"/>
      <c r="BP18" s="724"/>
      <c r="BQ18" s="725"/>
      <c r="BR18" s="723"/>
      <c r="BS18" s="724"/>
      <c r="BT18" s="724"/>
      <c r="BU18" s="724"/>
      <c r="BV18" s="726"/>
    </row>
    <row r="19" spans="1:74" ht="13.5" customHeight="1">
      <c r="A19" s="703"/>
      <c r="B19" s="704"/>
      <c r="C19" s="704"/>
      <c r="D19" s="704"/>
      <c r="E19" s="705"/>
      <c r="F19" s="709"/>
      <c r="G19" s="704"/>
      <c r="H19" s="704"/>
      <c r="I19" s="704"/>
      <c r="J19" s="704"/>
      <c r="K19" s="704"/>
      <c r="L19" s="704"/>
      <c r="M19" s="704"/>
      <c r="N19" s="704"/>
      <c r="O19" s="704"/>
      <c r="P19" s="704"/>
      <c r="Q19" s="704"/>
      <c r="R19" s="704"/>
      <c r="S19" s="704"/>
      <c r="T19" s="704"/>
      <c r="U19" s="704"/>
      <c r="V19" s="704"/>
      <c r="W19" s="704"/>
      <c r="X19" s="704"/>
      <c r="Y19" s="704"/>
      <c r="Z19" s="704"/>
      <c r="AA19" s="704"/>
      <c r="AB19" s="704"/>
      <c r="AC19" s="704"/>
      <c r="AD19" s="704"/>
      <c r="AE19" s="704"/>
      <c r="AF19" s="704"/>
      <c r="AG19" s="704"/>
      <c r="AH19" s="704"/>
      <c r="AI19" s="704"/>
      <c r="AJ19" s="704"/>
      <c r="AK19" s="704"/>
      <c r="AL19" s="704"/>
      <c r="AM19" s="704"/>
      <c r="AN19" s="704"/>
      <c r="AO19" s="704"/>
      <c r="AP19" s="704"/>
      <c r="AQ19" s="704"/>
      <c r="AR19" s="704"/>
      <c r="AS19" s="704"/>
      <c r="AT19" s="704"/>
      <c r="AU19" s="704"/>
      <c r="AV19" s="704"/>
      <c r="AW19" s="704"/>
      <c r="AX19" s="704"/>
      <c r="AY19" s="704"/>
      <c r="AZ19" s="704"/>
      <c r="BA19" s="704"/>
      <c r="BB19" s="705"/>
      <c r="BC19" s="709"/>
      <c r="BD19" s="704"/>
      <c r="BE19" s="704"/>
      <c r="BF19" s="704"/>
      <c r="BG19" s="704"/>
      <c r="BH19" s="704"/>
      <c r="BI19" s="704"/>
      <c r="BJ19" s="704"/>
      <c r="BK19" s="704"/>
      <c r="BL19" s="705"/>
      <c r="BM19" s="711"/>
      <c r="BN19" s="712"/>
      <c r="BO19" s="712"/>
      <c r="BP19" s="712"/>
      <c r="BQ19" s="713"/>
      <c r="BR19" s="711"/>
      <c r="BS19" s="712"/>
      <c r="BT19" s="712"/>
      <c r="BU19" s="712"/>
      <c r="BV19" s="714"/>
    </row>
    <row r="20" spans="1:74" ht="13.5" customHeight="1">
      <c r="A20" s="727"/>
      <c r="B20" s="728"/>
      <c r="C20" s="728"/>
      <c r="D20" s="728"/>
      <c r="E20" s="729"/>
      <c r="F20" s="730"/>
      <c r="G20" s="728"/>
      <c r="H20" s="728"/>
      <c r="I20" s="728"/>
      <c r="J20" s="728"/>
      <c r="K20" s="728"/>
      <c r="L20" s="728"/>
      <c r="M20" s="728"/>
      <c r="N20" s="728"/>
      <c r="O20" s="728"/>
      <c r="P20" s="728"/>
      <c r="Q20" s="728"/>
      <c r="R20" s="728"/>
      <c r="S20" s="728"/>
      <c r="T20" s="728"/>
      <c r="U20" s="728"/>
      <c r="V20" s="728"/>
      <c r="W20" s="728"/>
      <c r="X20" s="728"/>
      <c r="Y20" s="728"/>
      <c r="Z20" s="728"/>
      <c r="AA20" s="728"/>
      <c r="AB20" s="728"/>
      <c r="AC20" s="728"/>
      <c r="AD20" s="728"/>
      <c r="AE20" s="728"/>
      <c r="AF20" s="728"/>
      <c r="AG20" s="728"/>
      <c r="AH20" s="728"/>
      <c r="AI20" s="728"/>
      <c r="AJ20" s="728"/>
      <c r="AK20" s="728"/>
      <c r="AL20" s="728"/>
      <c r="AM20" s="728"/>
      <c r="AN20" s="728"/>
      <c r="AO20" s="728"/>
      <c r="AP20" s="728"/>
      <c r="AQ20" s="728"/>
      <c r="AR20" s="728"/>
      <c r="AS20" s="728"/>
      <c r="AT20" s="728"/>
      <c r="AU20" s="728"/>
      <c r="AV20" s="728"/>
      <c r="AW20" s="728"/>
      <c r="AX20" s="728"/>
      <c r="AY20" s="728"/>
      <c r="AZ20" s="728"/>
      <c r="BA20" s="728"/>
      <c r="BB20" s="729"/>
      <c r="BC20" s="730"/>
      <c r="BD20" s="728"/>
      <c r="BE20" s="728"/>
      <c r="BF20" s="728"/>
      <c r="BG20" s="728"/>
      <c r="BH20" s="728"/>
      <c r="BI20" s="728"/>
      <c r="BJ20" s="728"/>
      <c r="BK20" s="728"/>
      <c r="BL20" s="729"/>
      <c r="BM20" s="731"/>
      <c r="BN20" s="732"/>
      <c r="BO20" s="732"/>
      <c r="BP20" s="732"/>
      <c r="BQ20" s="733"/>
      <c r="BR20" s="731"/>
      <c r="BS20" s="732"/>
      <c r="BT20" s="732"/>
      <c r="BU20" s="732"/>
      <c r="BV20" s="734"/>
    </row>
    <row r="21" spans="1:74" ht="13.5" customHeight="1">
      <c r="A21" s="703"/>
      <c r="B21" s="704"/>
      <c r="C21" s="704"/>
      <c r="D21" s="704"/>
      <c r="E21" s="705"/>
      <c r="F21" s="709"/>
      <c r="G21" s="704"/>
      <c r="H21" s="704"/>
      <c r="I21" s="704"/>
      <c r="J21" s="704"/>
      <c r="K21" s="704"/>
      <c r="L21" s="704"/>
      <c r="M21" s="704"/>
      <c r="N21" s="704"/>
      <c r="O21" s="704"/>
      <c r="P21" s="704"/>
      <c r="Q21" s="704"/>
      <c r="R21" s="704"/>
      <c r="S21" s="704"/>
      <c r="T21" s="704"/>
      <c r="U21" s="704"/>
      <c r="V21" s="704"/>
      <c r="W21" s="704"/>
      <c r="X21" s="704"/>
      <c r="Y21" s="704"/>
      <c r="Z21" s="704"/>
      <c r="AA21" s="704"/>
      <c r="AB21" s="704"/>
      <c r="AC21" s="704"/>
      <c r="AD21" s="704"/>
      <c r="AE21" s="704"/>
      <c r="AF21" s="704"/>
      <c r="AG21" s="704"/>
      <c r="AH21" s="704"/>
      <c r="AI21" s="704"/>
      <c r="AJ21" s="704"/>
      <c r="AK21" s="704"/>
      <c r="AL21" s="704"/>
      <c r="AM21" s="704"/>
      <c r="AN21" s="704"/>
      <c r="AO21" s="704"/>
      <c r="AP21" s="704"/>
      <c r="AQ21" s="704"/>
      <c r="AR21" s="704"/>
      <c r="AS21" s="704"/>
      <c r="AT21" s="704"/>
      <c r="AU21" s="704"/>
      <c r="AV21" s="704"/>
      <c r="AW21" s="704"/>
      <c r="AX21" s="704"/>
      <c r="AY21" s="704"/>
      <c r="AZ21" s="704"/>
      <c r="BA21" s="704"/>
      <c r="BB21" s="705"/>
      <c r="BC21" s="709"/>
      <c r="BD21" s="704"/>
      <c r="BE21" s="704"/>
      <c r="BF21" s="704"/>
      <c r="BG21" s="704"/>
      <c r="BH21" s="704"/>
      <c r="BI21" s="704"/>
      <c r="BJ21" s="704"/>
      <c r="BK21" s="704"/>
      <c r="BL21" s="705"/>
      <c r="BM21" s="711"/>
      <c r="BN21" s="712"/>
      <c r="BO21" s="712"/>
      <c r="BP21" s="712"/>
      <c r="BQ21" s="713"/>
      <c r="BR21" s="711"/>
      <c r="BS21" s="712"/>
      <c r="BT21" s="712"/>
      <c r="BU21" s="712"/>
      <c r="BV21" s="714"/>
    </row>
    <row r="22" spans="1:74" ht="13.5" customHeight="1">
      <c r="A22" s="719"/>
      <c r="B22" s="720"/>
      <c r="C22" s="720"/>
      <c r="D22" s="720"/>
      <c r="E22" s="721"/>
      <c r="F22" s="722"/>
      <c r="G22" s="720"/>
      <c r="H22" s="720"/>
      <c r="I22" s="720"/>
      <c r="J22" s="720"/>
      <c r="K22" s="720"/>
      <c r="L22" s="720"/>
      <c r="M22" s="720"/>
      <c r="N22" s="720"/>
      <c r="O22" s="720"/>
      <c r="P22" s="720"/>
      <c r="Q22" s="720"/>
      <c r="R22" s="720"/>
      <c r="S22" s="720"/>
      <c r="T22" s="720"/>
      <c r="U22" s="720"/>
      <c r="V22" s="720"/>
      <c r="W22" s="720"/>
      <c r="X22" s="720"/>
      <c r="Y22" s="720"/>
      <c r="Z22" s="720"/>
      <c r="AA22" s="720"/>
      <c r="AB22" s="720"/>
      <c r="AC22" s="720"/>
      <c r="AD22" s="720"/>
      <c r="AE22" s="720"/>
      <c r="AF22" s="720"/>
      <c r="AG22" s="720"/>
      <c r="AH22" s="720"/>
      <c r="AI22" s="720"/>
      <c r="AJ22" s="720"/>
      <c r="AK22" s="720"/>
      <c r="AL22" s="720"/>
      <c r="AM22" s="720"/>
      <c r="AN22" s="720"/>
      <c r="AO22" s="720"/>
      <c r="AP22" s="720"/>
      <c r="AQ22" s="720"/>
      <c r="AR22" s="720"/>
      <c r="AS22" s="720"/>
      <c r="AT22" s="720"/>
      <c r="AU22" s="720"/>
      <c r="AV22" s="720"/>
      <c r="AW22" s="720"/>
      <c r="AX22" s="720"/>
      <c r="AY22" s="720"/>
      <c r="AZ22" s="720"/>
      <c r="BA22" s="720"/>
      <c r="BB22" s="721"/>
      <c r="BC22" s="722"/>
      <c r="BD22" s="720"/>
      <c r="BE22" s="720"/>
      <c r="BF22" s="720"/>
      <c r="BG22" s="720"/>
      <c r="BH22" s="720"/>
      <c r="BI22" s="720"/>
      <c r="BJ22" s="720"/>
      <c r="BK22" s="720"/>
      <c r="BL22" s="721"/>
      <c r="BM22" s="723"/>
      <c r="BN22" s="724"/>
      <c r="BO22" s="724"/>
      <c r="BP22" s="724"/>
      <c r="BQ22" s="725"/>
      <c r="BR22" s="723"/>
      <c r="BS22" s="724"/>
      <c r="BT22" s="724"/>
      <c r="BU22" s="724"/>
      <c r="BV22" s="726"/>
    </row>
    <row r="23" spans="1:74" ht="13.5" customHeight="1">
      <c r="A23" s="703"/>
      <c r="B23" s="704"/>
      <c r="C23" s="704"/>
      <c r="D23" s="704"/>
      <c r="E23" s="705"/>
      <c r="F23" s="709"/>
      <c r="G23" s="704"/>
      <c r="H23" s="704"/>
      <c r="I23" s="704"/>
      <c r="J23" s="704"/>
      <c r="K23" s="704"/>
      <c r="L23" s="704"/>
      <c r="M23" s="704"/>
      <c r="N23" s="704"/>
      <c r="O23" s="704"/>
      <c r="P23" s="704"/>
      <c r="Q23" s="704"/>
      <c r="R23" s="704"/>
      <c r="S23" s="704"/>
      <c r="T23" s="704"/>
      <c r="U23" s="704"/>
      <c r="V23" s="704"/>
      <c r="W23" s="704"/>
      <c r="X23" s="704"/>
      <c r="Y23" s="704"/>
      <c r="Z23" s="704"/>
      <c r="AA23" s="704"/>
      <c r="AB23" s="704"/>
      <c r="AC23" s="704"/>
      <c r="AD23" s="704"/>
      <c r="AE23" s="704"/>
      <c r="AF23" s="704"/>
      <c r="AG23" s="704"/>
      <c r="AH23" s="704"/>
      <c r="AI23" s="704"/>
      <c r="AJ23" s="704"/>
      <c r="AK23" s="704"/>
      <c r="AL23" s="704"/>
      <c r="AM23" s="704"/>
      <c r="AN23" s="704"/>
      <c r="AO23" s="704"/>
      <c r="AP23" s="704"/>
      <c r="AQ23" s="704"/>
      <c r="AR23" s="704"/>
      <c r="AS23" s="704"/>
      <c r="AT23" s="704"/>
      <c r="AU23" s="704"/>
      <c r="AV23" s="704"/>
      <c r="AW23" s="704"/>
      <c r="AX23" s="704"/>
      <c r="AY23" s="704"/>
      <c r="AZ23" s="704"/>
      <c r="BA23" s="704"/>
      <c r="BB23" s="705"/>
      <c r="BC23" s="709"/>
      <c r="BD23" s="704"/>
      <c r="BE23" s="704"/>
      <c r="BF23" s="704"/>
      <c r="BG23" s="704"/>
      <c r="BH23" s="704"/>
      <c r="BI23" s="704"/>
      <c r="BJ23" s="704"/>
      <c r="BK23" s="704"/>
      <c r="BL23" s="705"/>
      <c r="BM23" s="711"/>
      <c r="BN23" s="712"/>
      <c r="BO23" s="712"/>
      <c r="BP23" s="712"/>
      <c r="BQ23" s="713"/>
      <c r="BR23" s="711"/>
      <c r="BS23" s="712"/>
      <c r="BT23" s="712"/>
      <c r="BU23" s="712"/>
      <c r="BV23" s="714"/>
    </row>
    <row r="24" spans="1:74" ht="13.5" customHeight="1">
      <c r="A24" s="727"/>
      <c r="B24" s="728"/>
      <c r="C24" s="728"/>
      <c r="D24" s="728"/>
      <c r="E24" s="729"/>
      <c r="F24" s="730"/>
      <c r="G24" s="728"/>
      <c r="H24" s="728"/>
      <c r="I24" s="728"/>
      <c r="J24" s="728"/>
      <c r="K24" s="728"/>
      <c r="L24" s="728"/>
      <c r="M24" s="728"/>
      <c r="N24" s="728"/>
      <c r="O24" s="728"/>
      <c r="P24" s="728"/>
      <c r="Q24" s="728"/>
      <c r="R24" s="728"/>
      <c r="S24" s="728"/>
      <c r="T24" s="728"/>
      <c r="U24" s="728"/>
      <c r="V24" s="728"/>
      <c r="W24" s="728"/>
      <c r="X24" s="728"/>
      <c r="Y24" s="728"/>
      <c r="Z24" s="728"/>
      <c r="AA24" s="728"/>
      <c r="AB24" s="728"/>
      <c r="AC24" s="728"/>
      <c r="AD24" s="728"/>
      <c r="AE24" s="728"/>
      <c r="AF24" s="728"/>
      <c r="AG24" s="728"/>
      <c r="AH24" s="728"/>
      <c r="AI24" s="728"/>
      <c r="AJ24" s="728"/>
      <c r="AK24" s="728"/>
      <c r="AL24" s="728"/>
      <c r="AM24" s="728"/>
      <c r="AN24" s="728"/>
      <c r="AO24" s="728"/>
      <c r="AP24" s="728"/>
      <c r="AQ24" s="728"/>
      <c r="AR24" s="728"/>
      <c r="AS24" s="728"/>
      <c r="AT24" s="728"/>
      <c r="AU24" s="728"/>
      <c r="AV24" s="728"/>
      <c r="AW24" s="728"/>
      <c r="AX24" s="728"/>
      <c r="AY24" s="728"/>
      <c r="AZ24" s="728"/>
      <c r="BA24" s="728"/>
      <c r="BB24" s="729"/>
      <c r="BC24" s="730"/>
      <c r="BD24" s="728"/>
      <c r="BE24" s="728"/>
      <c r="BF24" s="728"/>
      <c r="BG24" s="728"/>
      <c r="BH24" s="728"/>
      <c r="BI24" s="728"/>
      <c r="BJ24" s="728"/>
      <c r="BK24" s="728"/>
      <c r="BL24" s="729"/>
      <c r="BM24" s="731"/>
      <c r="BN24" s="732"/>
      <c r="BO24" s="732"/>
      <c r="BP24" s="732"/>
      <c r="BQ24" s="733"/>
      <c r="BR24" s="731"/>
      <c r="BS24" s="732"/>
      <c r="BT24" s="732"/>
      <c r="BU24" s="732"/>
      <c r="BV24" s="734"/>
    </row>
    <row r="25" spans="1:74" ht="13.5" customHeight="1">
      <c r="A25" s="703"/>
      <c r="B25" s="704"/>
      <c r="C25" s="704"/>
      <c r="D25" s="704"/>
      <c r="E25" s="705"/>
      <c r="F25" s="709"/>
      <c r="G25" s="704"/>
      <c r="H25" s="704"/>
      <c r="I25" s="704"/>
      <c r="J25" s="704"/>
      <c r="K25" s="704"/>
      <c r="L25" s="704"/>
      <c r="M25" s="704"/>
      <c r="N25" s="704"/>
      <c r="O25" s="704"/>
      <c r="P25" s="704"/>
      <c r="Q25" s="704"/>
      <c r="R25" s="704"/>
      <c r="S25" s="704"/>
      <c r="T25" s="704"/>
      <c r="U25" s="704"/>
      <c r="V25" s="704"/>
      <c r="W25" s="704"/>
      <c r="X25" s="704"/>
      <c r="Y25" s="704"/>
      <c r="Z25" s="704"/>
      <c r="AA25" s="704"/>
      <c r="AB25" s="704"/>
      <c r="AC25" s="704"/>
      <c r="AD25" s="704"/>
      <c r="AE25" s="704"/>
      <c r="AF25" s="704"/>
      <c r="AG25" s="704"/>
      <c r="AH25" s="704"/>
      <c r="AI25" s="704"/>
      <c r="AJ25" s="704"/>
      <c r="AK25" s="704"/>
      <c r="AL25" s="704"/>
      <c r="AM25" s="704"/>
      <c r="AN25" s="704"/>
      <c r="AO25" s="704"/>
      <c r="AP25" s="704"/>
      <c r="AQ25" s="704"/>
      <c r="AR25" s="704"/>
      <c r="AS25" s="704"/>
      <c r="AT25" s="704"/>
      <c r="AU25" s="704"/>
      <c r="AV25" s="704"/>
      <c r="AW25" s="704"/>
      <c r="AX25" s="704"/>
      <c r="AY25" s="704"/>
      <c r="AZ25" s="704"/>
      <c r="BA25" s="704"/>
      <c r="BB25" s="705"/>
      <c r="BC25" s="709"/>
      <c r="BD25" s="704"/>
      <c r="BE25" s="704"/>
      <c r="BF25" s="704"/>
      <c r="BG25" s="704"/>
      <c r="BH25" s="704"/>
      <c r="BI25" s="704"/>
      <c r="BJ25" s="704"/>
      <c r="BK25" s="704"/>
      <c r="BL25" s="705"/>
      <c r="BM25" s="711"/>
      <c r="BN25" s="712"/>
      <c r="BO25" s="712"/>
      <c r="BP25" s="712"/>
      <c r="BQ25" s="713"/>
      <c r="BR25" s="711"/>
      <c r="BS25" s="712"/>
      <c r="BT25" s="712"/>
      <c r="BU25" s="712"/>
      <c r="BV25" s="714"/>
    </row>
    <row r="26" spans="1:74" ht="13.5" customHeight="1">
      <c r="A26" s="719"/>
      <c r="B26" s="720"/>
      <c r="C26" s="720"/>
      <c r="D26" s="720"/>
      <c r="E26" s="721"/>
      <c r="F26" s="722"/>
      <c r="G26" s="720"/>
      <c r="H26" s="720"/>
      <c r="I26" s="720"/>
      <c r="J26" s="720"/>
      <c r="K26" s="720"/>
      <c r="L26" s="720"/>
      <c r="M26" s="720"/>
      <c r="N26" s="720"/>
      <c r="O26" s="720"/>
      <c r="P26" s="720"/>
      <c r="Q26" s="720"/>
      <c r="R26" s="720"/>
      <c r="S26" s="720"/>
      <c r="T26" s="720"/>
      <c r="U26" s="720"/>
      <c r="V26" s="720"/>
      <c r="W26" s="720"/>
      <c r="X26" s="720"/>
      <c r="Y26" s="720"/>
      <c r="Z26" s="720"/>
      <c r="AA26" s="720"/>
      <c r="AB26" s="720"/>
      <c r="AC26" s="720"/>
      <c r="AD26" s="720"/>
      <c r="AE26" s="720"/>
      <c r="AF26" s="720"/>
      <c r="AG26" s="720"/>
      <c r="AH26" s="720"/>
      <c r="AI26" s="720"/>
      <c r="AJ26" s="720"/>
      <c r="AK26" s="720"/>
      <c r="AL26" s="720"/>
      <c r="AM26" s="720"/>
      <c r="AN26" s="720"/>
      <c r="AO26" s="720"/>
      <c r="AP26" s="720"/>
      <c r="AQ26" s="720"/>
      <c r="AR26" s="720"/>
      <c r="AS26" s="720"/>
      <c r="AT26" s="720"/>
      <c r="AU26" s="720"/>
      <c r="AV26" s="720"/>
      <c r="AW26" s="720"/>
      <c r="AX26" s="720"/>
      <c r="AY26" s="720"/>
      <c r="AZ26" s="720"/>
      <c r="BA26" s="720"/>
      <c r="BB26" s="721"/>
      <c r="BC26" s="722"/>
      <c r="BD26" s="720"/>
      <c r="BE26" s="720"/>
      <c r="BF26" s="720"/>
      <c r="BG26" s="720"/>
      <c r="BH26" s="720"/>
      <c r="BI26" s="720"/>
      <c r="BJ26" s="720"/>
      <c r="BK26" s="720"/>
      <c r="BL26" s="721"/>
      <c r="BM26" s="723"/>
      <c r="BN26" s="724"/>
      <c r="BO26" s="724"/>
      <c r="BP26" s="724"/>
      <c r="BQ26" s="725"/>
      <c r="BR26" s="723"/>
      <c r="BS26" s="724"/>
      <c r="BT26" s="724"/>
      <c r="BU26" s="724"/>
      <c r="BV26" s="726"/>
    </row>
    <row r="27" spans="1:74" ht="13.5" customHeight="1">
      <c r="A27" s="703"/>
      <c r="B27" s="704"/>
      <c r="C27" s="704"/>
      <c r="D27" s="704"/>
      <c r="E27" s="705"/>
      <c r="F27" s="709"/>
      <c r="G27" s="704"/>
      <c r="H27" s="704"/>
      <c r="I27" s="704"/>
      <c r="J27" s="704"/>
      <c r="K27" s="704"/>
      <c r="L27" s="704"/>
      <c r="M27" s="704"/>
      <c r="N27" s="704"/>
      <c r="O27" s="704"/>
      <c r="P27" s="704"/>
      <c r="Q27" s="704"/>
      <c r="R27" s="704"/>
      <c r="S27" s="704"/>
      <c r="T27" s="704"/>
      <c r="U27" s="704"/>
      <c r="V27" s="704"/>
      <c r="W27" s="704"/>
      <c r="X27" s="704"/>
      <c r="Y27" s="704"/>
      <c r="Z27" s="704"/>
      <c r="AA27" s="704"/>
      <c r="AB27" s="704"/>
      <c r="AC27" s="704"/>
      <c r="AD27" s="704"/>
      <c r="AE27" s="704"/>
      <c r="AF27" s="704"/>
      <c r="AG27" s="704"/>
      <c r="AH27" s="704"/>
      <c r="AI27" s="704"/>
      <c r="AJ27" s="704"/>
      <c r="AK27" s="704"/>
      <c r="AL27" s="704"/>
      <c r="AM27" s="704"/>
      <c r="AN27" s="704"/>
      <c r="AO27" s="704"/>
      <c r="AP27" s="704"/>
      <c r="AQ27" s="704"/>
      <c r="AR27" s="704"/>
      <c r="AS27" s="704"/>
      <c r="AT27" s="704"/>
      <c r="AU27" s="704"/>
      <c r="AV27" s="704"/>
      <c r="AW27" s="704"/>
      <c r="AX27" s="704"/>
      <c r="AY27" s="704"/>
      <c r="AZ27" s="704"/>
      <c r="BA27" s="704"/>
      <c r="BB27" s="705"/>
      <c r="BC27" s="709"/>
      <c r="BD27" s="704"/>
      <c r="BE27" s="704"/>
      <c r="BF27" s="704"/>
      <c r="BG27" s="704"/>
      <c r="BH27" s="704"/>
      <c r="BI27" s="704"/>
      <c r="BJ27" s="704"/>
      <c r="BK27" s="704"/>
      <c r="BL27" s="705"/>
      <c r="BM27" s="711"/>
      <c r="BN27" s="712"/>
      <c r="BO27" s="712"/>
      <c r="BP27" s="712"/>
      <c r="BQ27" s="713"/>
      <c r="BR27" s="711"/>
      <c r="BS27" s="712"/>
      <c r="BT27" s="712"/>
      <c r="BU27" s="712"/>
      <c r="BV27" s="714"/>
    </row>
    <row r="28" spans="1:74" ht="13.5" customHeight="1">
      <c r="A28" s="727"/>
      <c r="B28" s="728"/>
      <c r="C28" s="728"/>
      <c r="D28" s="728"/>
      <c r="E28" s="729"/>
      <c r="F28" s="730"/>
      <c r="G28" s="728"/>
      <c r="H28" s="728"/>
      <c r="I28" s="728"/>
      <c r="J28" s="728"/>
      <c r="K28" s="728"/>
      <c r="L28" s="728"/>
      <c r="M28" s="728"/>
      <c r="N28" s="728"/>
      <c r="O28" s="728"/>
      <c r="P28" s="728"/>
      <c r="Q28" s="728"/>
      <c r="R28" s="728"/>
      <c r="S28" s="728"/>
      <c r="T28" s="728"/>
      <c r="U28" s="728"/>
      <c r="V28" s="728"/>
      <c r="W28" s="728"/>
      <c r="X28" s="728"/>
      <c r="Y28" s="728"/>
      <c r="Z28" s="728"/>
      <c r="AA28" s="728"/>
      <c r="AB28" s="728"/>
      <c r="AC28" s="728"/>
      <c r="AD28" s="728"/>
      <c r="AE28" s="728"/>
      <c r="AF28" s="728"/>
      <c r="AG28" s="728"/>
      <c r="AH28" s="728"/>
      <c r="AI28" s="728"/>
      <c r="AJ28" s="728"/>
      <c r="AK28" s="728"/>
      <c r="AL28" s="728"/>
      <c r="AM28" s="728"/>
      <c r="AN28" s="728"/>
      <c r="AO28" s="728"/>
      <c r="AP28" s="728"/>
      <c r="AQ28" s="728"/>
      <c r="AR28" s="728"/>
      <c r="AS28" s="728"/>
      <c r="AT28" s="728"/>
      <c r="AU28" s="728"/>
      <c r="AV28" s="728"/>
      <c r="AW28" s="728"/>
      <c r="AX28" s="728"/>
      <c r="AY28" s="728"/>
      <c r="AZ28" s="728"/>
      <c r="BA28" s="728"/>
      <c r="BB28" s="729"/>
      <c r="BC28" s="730"/>
      <c r="BD28" s="728"/>
      <c r="BE28" s="728"/>
      <c r="BF28" s="728"/>
      <c r="BG28" s="728"/>
      <c r="BH28" s="728"/>
      <c r="BI28" s="728"/>
      <c r="BJ28" s="728"/>
      <c r="BK28" s="728"/>
      <c r="BL28" s="729"/>
      <c r="BM28" s="731"/>
      <c r="BN28" s="732"/>
      <c r="BO28" s="732"/>
      <c r="BP28" s="732"/>
      <c r="BQ28" s="733"/>
      <c r="BR28" s="731"/>
      <c r="BS28" s="732"/>
      <c r="BT28" s="732"/>
      <c r="BU28" s="732"/>
      <c r="BV28" s="734"/>
    </row>
    <row r="29" spans="1:74" ht="13.5" customHeight="1">
      <c r="A29" s="703"/>
      <c r="B29" s="704"/>
      <c r="C29" s="704"/>
      <c r="D29" s="704"/>
      <c r="E29" s="705"/>
      <c r="F29" s="709"/>
      <c r="G29" s="704"/>
      <c r="H29" s="704"/>
      <c r="I29" s="704"/>
      <c r="J29" s="704"/>
      <c r="K29" s="704"/>
      <c r="L29" s="704"/>
      <c r="M29" s="704"/>
      <c r="N29" s="704"/>
      <c r="O29" s="704"/>
      <c r="P29" s="704"/>
      <c r="Q29" s="704"/>
      <c r="R29" s="704"/>
      <c r="S29" s="704"/>
      <c r="T29" s="704"/>
      <c r="U29" s="704"/>
      <c r="V29" s="704"/>
      <c r="W29" s="704"/>
      <c r="X29" s="704"/>
      <c r="Y29" s="704"/>
      <c r="Z29" s="704"/>
      <c r="AA29" s="704"/>
      <c r="AB29" s="704"/>
      <c r="AC29" s="704"/>
      <c r="AD29" s="704"/>
      <c r="AE29" s="704"/>
      <c r="AF29" s="704"/>
      <c r="AG29" s="704"/>
      <c r="AH29" s="704"/>
      <c r="AI29" s="704"/>
      <c r="AJ29" s="704"/>
      <c r="AK29" s="704"/>
      <c r="AL29" s="704"/>
      <c r="AM29" s="704"/>
      <c r="AN29" s="704"/>
      <c r="AO29" s="704"/>
      <c r="AP29" s="704"/>
      <c r="AQ29" s="704"/>
      <c r="AR29" s="704"/>
      <c r="AS29" s="704"/>
      <c r="AT29" s="704"/>
      <c r="AU29" s="704"/>
      <c r="AV29" s="704"/>
      <c r="AW29" s="704"/>
      <c r="AX29" s="704"/>
      <c r="AY29" s="704"/>
      <c r="AZ29" s="704"/>
      <c r="BA29" s="704"/>
      <c r="BB29" s="705"/>
      <c r="BC29" s="709"/>
      <c r="BD29" s="704"/>
      <c r="BE29" s="704"/>
      <c r="BF29" s="704"/>
      <c r="BG29" s="704"/>
      <c r="BH29" s="704"/>
      <c r="BI29" s="704"/>
      <c r="BJ29" s="704"/>
      <c r="BK29" s="704"/>
      <c r="BL29" s="705"/>
      <c r="BM29" s="711"/>
      <c r="BN29" s="712"/>
      <c r="BO29" s="712"/>
      <c r="BP29" s="712"/>
      <c r="BQ29" s="713"/>
      <c r="BR29" s="711"/>
      <c r="BS29" s="712"/>
      <c r="BT29" s="712"/>
      <c r="BU29" s="712"/>
      <c r="BV29" s="714"/>
    </row>
    <row r="30" spans="1:74" ht="13.5" customHeight="1">
      <c r="A30" s="719"/>
      <c r="B30" s="720"/>
      <c r="C30" s="720"/>
      <c r="D30" s="720"/>
      <c r="E30" s="721"/>
      <c r="F30" s="722"/>
      <c r="G30" s="720"/>
      <c r="H30" s="720"/>
      <c r="I30" s="720"/>
      <c r="J30" s="720"/>
      <c r="K30" s="720"/>
      <c r="L30" s="720"/>
      <c r="M30" s="720"/>
      <c r="N30" s="720"/>
      <c r="O30" s="720"/>
      <c r="P30" s="720"/>
      <c r="Q30" s="720"/>
      <c r="R30" s="720"/>
      <c r="S30" s="720"/>
      <c r="T30" s="720"/>
      <c r="U30" s="720"/>
      <c r="V30" s="720"/>
      <c r="W30" s="720"/>
      <c r="X30" s="720"/>
      <c r="Y30" s="720"/>
      <c r="Z30" s="720"/>
      <c r="AA30" s="720"/>
      <c r="AB30" s="720"/>
      <c r="AC30" s="720"/>
      <c r="AD30" s="720"/>
      <c r="AE30" s="720"/>
      <c r="AF30" s="720"/>
      <c r="AG30" s="720"/>
      <c r="AH30" s="720"/>
      <c r="AI30" s="720"/>
      <c r="AJ30" s="720"/>
      <c r="AK30" s="720"/>
      <c r="AL30" s="720"/>
      <c r="AM30" s="720"/>
      <c r="AN30" s="720"/>
      <c r="AO30" s="720"/>
      <c r="AP30" s="720"/>
      <c r="AQ30" s="720"/>
      <c r="AR30" s="720"/>
      <c r="AS30" s="720"/>
      <c r="AT30" s="720"/>
      <c r="AU30" s="720"/>
      <c r="AV30" s="720"/>
      <c r="AW30" s="720"/>
      <c r="AX30" s="720"/>
      <c r="AY30" s="720"/>
      <c r="AZ30" s="720"/>
      <c r="BA30" s="720"/>
      <c r="BB30" s="721"/>
      <c r="BC30" s="722"/>
      <c r="BD30" s="720"/>
      <c r="BE30" s="720"/>
      <c r="BF30" s="720"/>
      <c r="BG30" s="720"/>
      <c r="BH30" s="720"/>
      <c r="BI30" s="720"/>
      <c r="BJ30" s="720"/>
      <c r="BK30" s="720"/>
      <c r="BL30" s="721"/>
      <c r="BM30" s="723"/>
      <c r="BN30" s="724"/>
      <c r="BO30" s="724"/>
      <c r="BP30" s="724"/>
      <c r="BQ30" s="725"/>
      <c r="BR30" s="723"/>
      <c r="BS30" s="724"/>
      <c r="BT30" s="724"/>
      <c r="BU30" s="724"/>
      <c r="BV30" s="726"/>
    </row>
    <row r="31" spans="1:74" ht="13.5" customHeight="1">
      <c r="A31" s="703"/>
      <c r="B31" s="704"/>
      <c r="C31" s="704"/>
      <c r="D31" s="704"/>
      <c r="E31" s="705"/>
      <c r="F31" s="709"/>
      <c r="G31" s="704"/>
      <c r="H31" s="704"/>
      <c r="I31" s="704"/>
      <c r="J31" s="704"/>
      <c r="K31" s="704"/>
      <c r="L31" s="704"/>
      <c r="M31" s="704"/>
      <c r="N31" s="704"/>
      <c r="O31" s="704"/>
      <c r="P31" s="704"/>
      <c r="Q31" s="704"/>
      <c r="R31" s="704"/>
      <c r="S31" s="704"/>
      <c r="T31" s="704"/>
      <c r="U31" s="704"/>
      <c r="V31" s="704"/>
      <c r="W31" s="704"/>
      <c r="X31" s="704"/>
      <c r="Y31" s="704"/>
      <c r="Z31" s="704"/>
      <c r="AA31" s="704"/>
      <c r="AB31" s="704"/>
      <c r="AC31" s="704"/>
      <c r="AD31" s="704"/>
      <c r="AE31" s="704"/>
      <c r="AF31" s="704"/>
      <c r="AG31" s="704"/>
      <c r="AH31" s="704"/>
      <c r="AI31" s="704"/>
      <c r="AJ31" s="704"/>
      <c r="AK31" s="704"/>
      <c r="AL31" s="704"/>
      <c r="AM31" s="704"/>
      <c r="AN31" s="704"/>
      <c r="AO31" s="704"/>
      <c r="AP31" s="704"/>
      <c r="AQ31" s="704"/>
      <c r="AR31" s="704"/>
      <c r="AS31" s="704"/>
      <c r="AT31" s="704"/>
      <c r="AU31" s="704"/>
      <c r="AV31" s="704"/>
      <c r="AW31" s="704"/>
      <c r="AX31" s="704"/>
      <c r="AY31" s="704"/>
      <c r="AZ31" s="704"/>
      <c r="BA31" s="704"/>
      <c r="BB31" s="705"/>
      <c r="BC31" s="709"/>
      <c r="BD31" s="704"/>
      <c r="BE31" s="704"/>
      <c r="BF31" s="704"/>
      <c r="BG31" s="704"/>
      <c r="BH31" s="704"/>
      <c r="BI31" s="704"/>
      <c r="BJ31" s="704"/>
      <c r="BK31" s="704"/>
      <c r="BL31" s="705"/>
      <c r="BM31" s="711"/>
      <c r="BN31" s="712"/>
      <c r="BO31" s="712"/>
      <c r="BP31" s="712"/>
      <c r="BQ31" s="713"/>
      <c r="BR31" s="711"/>
      <c r="BS31" s="712"/>
      <c r="BT31" s="712"/>
      <c r="BU31" s="712"/>
      <c r="BV31" s="714"/>
    </row>
    <row r="32" spans="1:74" ht="13.5" customHeight="1">
      <c r="A32" s="727"/>
      <c r="B32" s="728"/>
      <c r="C32" s="728"/>
      <c r="D32" s="728"/>
      <c r="E32" s="729"/>
      <c r="F32" s="730"/>
      <c r="G32" s="728"/>
      <c r="H32" s="728"/>
      <c r="I32" s="728"/>
      <c r="J32" s="728"/>
      <c r="K32" s="728"/>
      <c r="L32" s="728"/>
      <c r="M32" s="728"/>
      <c r="N32" s="728"/>
      <c r="O32" s="728"/>
      <c r="P32" s="728"/>
      <c r="Q32" s="728"/>
      <c r="R32" s="728"/>
      <c r="S32" s="728"/>
      <c r="T32" s="728"/>
      <c r="U32" s="728"/>
      <c r="V32" s="728"/>
      <c r="W32" s="728"/>
      <c r="X32" s="728"/>
      <c r="Y32" s="728"/>
      <c r="Z32" s="728"/>
      <c r="AA32" s="728"/>
      <c r="AB32" s="728"/>
      <c r="AC32" s="728"/>
      <c r="AD32" s="728"/>
      <c r="AE32" s="728"/>
      <c r="AF32" s="728"/>
      <c r="AG32" s="728"/>
      <c r="AH32" s="728"/>
      <c r="AI32" s="728"/>
      <c r="AJ32" s="728"/>
      <c r="AK32" s="728"/>
      <c r="AL32" s="728"/>
      <c r="AM32" s="728"/>
      <c r="AN32" s="728"/>
      <c r="AO32" s="728"/>
      <c r="AP32" s="728"/>
      <c r="AQ32" s="728"/>
      <c r="AR32" s="728"/>
      <c r="AS32" s="728"/>
      <c r="AT32" s="728"/>
      <c r="AU32" s="728"/>
      <c r="AV32" s="728"/>
      <c r="AW32" s="728"/>
      <c r="AX32" s="728"/>
      <c r="AY32" s="728"/>
      <c r="AZ32" s="728"/>
      <c r="BA32" s="728"/>
      <c r="BB32" s="729"/>
      <c r="BC32" s="730"/>
      <c r="BD32" s="728"/>
      <c r="BE32" s="728"/>
      <c r="BF32" s="728"/>
      <c r="BG32" s="728"/>
      <c r="BH32" s="728"/>
      <c r="BI32" s="728"/>
      <c r="BJ32" s="728"/>
      <c r="BK32" s="728"/>
      <c r="BL32" s="729"/>
      <c r="BM32" s="731"/>
      <c r="BN32" s="732"/>
      <c r="BO32" s="732"/>
      <c r="BP32" s="732"/>
      <c r="BQ32" s="733"/>
      <c r="BR32" s="731"/>
      <c r="BS32" s="732"/>
      <c r="BT32" s="732"/>
      <c r="BU32" s="732"/>
      <c r="BV32" s="734"/>
    </row>
    <row r="33" spans="1:74" ht="13.5" customHeight="1">
      <c r="A33" s="703"/>
      <c r="B33" s="704"/>
      <c r="C33" s="704"/>
      <c r="D33" s="704"/>
      <c r="E33" s="705"/>
      <c r="F33" s="709"/>
      <c r="G33" s="704"/>
      <c r="H33" s="704"/>
      <c r="I33" s="704"/>
      <c r="J33" s="704"/>
      <c r="K33" s="704"/>
      <c r="L33" s="704"/>
      <c r="M33" s="704"/>
      <c r="N33" s="704"/>
      <c r="O33" s="704"/>
      <c r="P33" s="704"/>
      <c r="Q33" s="704"/>
      <c r="R33" s="704"/>
      <c r="S33" s="704"/>
      <c r="T33" s="704"/>
      <c r="U33" s="704"/>
      <c r="V33" s="704"/>
      <c r="W33" s="704"/>
      <c r="X33" s="704"/>
      <c r="Y33" s="704"/>
      <c r="Z33" s="704"/>
      <c r="AA33" s="704"/>
      <c r="AB33" s="704"/>
      <c r="AC33" s="704"/>
      <c r="AD33" s="704"/>
      <c r="AE33" s="704"/>
      <c r="AF33" s="704"/>
      <c r="AG33" s="704"/>
      <c r="AH33" s="704"/>
      <c r="AI33" s="704"/>
      <c r="AJ33" s="704"/>
      <c r="AK33" s="704"/>
      <c r="AL33" s="704"/>
      <c r="AM33" s="704"/>
      <c r="AN33" s="704"/>
      <c r="AO33" s="704"/>
      <c r="AP33" s="704"/>
      <c r="AQ33" s="704"/>
      <c r="AR33" s="704"/>
      <c r="AS33" s="704"/>
      <c r="AT33" s="704"/>
      <c r="AU33" s="704"/>
      <c r="AV33" s="704"/>
      <c r="AW33" s="704"/>
      <c r="AX33" s="704"/>
      <c r="AY33" s="704"/>
      <c r="AZ33" s="704"/>
      <c r="BA33" s="704"/>
      <c r="BB33" s="705"/>
      <c r="BC33" s="709"/>
      <c r="BD33" s="704"/>
      <c r="BE33" s="704"/>
      <c r="BF33" s="704"/>
      <c r="BG33" s="704"/>
      <c r="BH33" s="704"/>
      <c r="BI33" s="704"/>
      <c r="BJ33" s="704"/>
      <c r="BK33" s="704"/>
      <c r="BL33" s="705"/>
      <c r="BM33" s="711"/>
      <c r="BN33" s="712"/>
      <c r="BO33" s="712"/>
      <c r="BP33" s="712"/>
      <c r="BQ33" s="713"/>
      <c r="BR33" s="711"/>
      <c r="BS33" s="712"/>
      <c r="BT33" s="712"/>
      <c r="BU33" s="712"/>
      <c r="BV33" s="714"/>
    </row>
    <row r="34" spans="1:74" ht="13.5" customHeight="1">
      <c r="A34" s="719"/>
      <c r="B34" s="720"/>
      <c r="C34" s="720"/>
      <c r="D34" s="720"/>
      <c r="E34" s="721"/>
      <c r="F34" s="722"/>
      <c r="G34" s="720"/>
      <c r="H34" s="720"/>
      <c r="I34" s="720"/>
      <c r="J34" s="720"/>
      <c r="K34" s="720"/>
      <c r="L34" s="720"/>
      <c r="M34" s="720"/>
      <c r="N34" s="720"/>
      <c r="O34" s="720"/>
      <c r="P34" s="720"/>
      <c r="Q34" s="720"/>
      <c r="R34" s="720"/>
      <c r="S34" s="720"/>
      <c r="T34" s="720"/>
      <c r="U34" s="720"/>
      <c r="V34" s="720"/>
      <c r="W34" s="720"/>
      <c r="X34" s="720"/>
      <c r="Y34" s="720"/>
      <c r="Z34" s="720"/>
      <c r="AA34" s="720"/>
      <c r="AB34" s="720"/>
      <c r="AC34" s="720"/>
      <c r="AD34" s="720"/>
      <c r="AE34" s="720"/>
      <c r="AF34" s="720"/>
      <c r="AG34" s="720"/>
      <c r="AH34" s="720"/>
      <c r="AI34" s="720"/>
      <c r="AJ34" s="720"/>
      <c r="AK34" s="720"/>
      <c r="AL34" s="720"/>
      <c r="AM34" s="720"/>
      <c r="AN34" s="720"/>
      <c r="AO34" s="720"/>
      <c r="AP34" s="720"/>
      <c r="AQ34" s="720"/>
      <c r="AR34" s="720"/>
      <c r="AS34" s="720"/>
      <c r="AT34" s="720"/>
      <c r="AU34" s="720"/>
      <c r="AV34" s="720"/>
      <c r="AW34" s="720"/>
      <c r="AX34" s="720"/>
      <c r="AY34" s="720"/>
      <c r="AZ34" s="720"/>
      <c r="BA34" s="720"/>
      <c r="BB34" s="721"/>
      <c r="BC34" s="722"/>
      <c r="BD34" s="720"/>
      <c r="BE34" s="720"/>
      <c r="BF34" s="720"/>
      <c r="BG34" s="720"/>
      <c r="BH34" s="720"/>
      <c r="BI34" s="720"/>
      <c r="BJ34" s="720"/>
      <c r="BK34" s="720"/>
      <c r="BL34" s="721"/>
      <c r="BM34" s="723"/>
      <c r="BN34" s="724"/>
      <c r="BO34" s="724"/>
      <c r="BP34" s="724"/>
      <c r="BQ34" s="725"/>
      <c r="BR34" s="723"/>
      <c r="BS34" s="724"/>
      <c r="BT34" s="724"/>
      <c r="BU34" s="724"/>
      <c r="BV34" s="726"/>
    </row>
    <row r="35" spans="1:74" ht="13.5" customHeight="1">
      <c r="A35" s="703"/>
      <c r="B35" s="704"/>
      <c r="C35" s="704"/>
      <c r="D35" s="704"/>
      <c r="E35" s="705"/>
      <c r="F35" s="709"/>
      <c r="G35" s="704"/>
      <c r="H35" s="704"/>
      <c r="I35" s="704"/>
      <c r="J35" s="704"/>
      <c r="K35" s="704"/>
      <c r="L35" s="704"/>
      <c r="M35" s="704"/>
      <c r="N35" s="704"/>
      <c r="O35" s="704"/>
      <c r="P35" s="704"/>
      <c r="Q35" s="704"/>
      <c r="R35" s="704"/>
      <c r="S35" s="704"/>
      <c r="T35" s="704"/>
      <c r="U35" s="704"/>
      <c r="V35" s="704"/>
      <c r="W35" s="704"/>
      <c r="X35" s="704"/>
      <c r="Y35" s="704"/>
      <c r="Z35" s="704"/>
      <c r="AA35" s="704"/>
      <c r="AB35" s="704"/>
      <c r="AC35" s="704"/>
      <c r="AD35" s="704"/>
      <c r="AE35" s="704"/>
      <c r="AF35" s="704"/>
      <c r="AG35" s="704"/>
      <c r="AH35" s="704"/>
      <c r="AI35" s="704"/>
      <c r="AJ35" s="704"/>
      <c r="AK35" s="704"/>
      <c r="AL35" s="704"/>
      <c r="AM35" s="704"/>
      <c r="AN35" s="704"/>
      <c r="AO35" s="704"/>
      <c r="AP35" s="704"/>
      <c r="AQ35" s="704"/>
      <c r="AR35" s="704"/>
      <c r="AS35" s="704"/>
      <c r="AT35" s="704"/>
      <c r="AU35" s="704"/>
      <c r="AV35" s="704"/>
      <c r="AW35" s="704"/>
      <c r="AX35" s="704"/>
      <c r="AY35" s="704"/>
      <c r="AZ35" s="704"/>
      <c r="BA35" s="704"/>
      <c r="BB35" s="705"/>
      <c r="BC35" s="709"/>
      <c r="BD35" s="704"/>
      <c r="BE35" s="704"/>
      <c r="BF35" s="704"/>
      <c r="BG35" s="704"/>
      <c r="BH35" s="704"/>
      <c r="BI35" s="704"/>
      <c r="BJ35" s="704"/>
      <c r="BK35" s="704"/>
      <c r="BL35" s="705"/>
      <c r="BM35" s="711"/>
      <c r="BN35" s="712"/>
      <c r="BO35" s="712"/>
      <c r="BP35" s="712"/>
      <c r="BQ35" s="713"/>
      <c r="BR35" s="711"/>
      <c r="BS35" s="712"/>
      <c r="BT35" s="712"/>
      <c r="BU35" s="712"/>
      <c r="BV35" s="714"/>
    </row>
    <row r="36" spans="1:74" ht="13.5" customHeight="1">
      <c r="A36" s="727"/>
      <c r="B36" s="728"/>
      <c r="C36" s="728"/>
      <c r="D36" s="728"/>
      <c r="E36" s="729"/>
      <c r="F36" s="730"/>
      <c r="G36" s="728"/>
      <c r="H36" s="728"/>
      <c r="I36" s="728"/>
      <c r="J36" s="728"/>
      <c r="K36" s="728"/>
      <c r="L36" s="728"/>
      <c r="M36" s="728"/>
      <c r="N36" s="728"/>
      <c r="O36" s="728"/>
      <c r="P36" s="728"/>
      <c r="Q36" s="728"/>
      <c r="R36" s="728"/>
      <c r="S36" s="728"/>
      <c r="T36" s="728"/>
      <c r="U36" s="728"/>
      <c r="V36" s="728"/>
      <c r="W36" s="728"/>
      <c r="X36" s="728"/>
      <c r="Y36" s="728"/>
      <c r="Z36" s="728"/>
      <c r="AA36" s="728"/>
      <c r="AB36" s="728"/>
      <c r="AC36" s="728"/>
      <c r="AD36" s="728"/>
      <c r="AE36" s="728"/>
      <c r="AF36" s="728"/>
      <c r="AG36" s="728"/>
      <c r="AH36" s="728"/>
      <c r="AI36" s="728"/>
      <c r="AJ36" s="728"/>
      <c r="AK36" s="728"/>
      <c r="AL36" s="728"/>
      <c r="AM36" s="728"/>
      <c r="AN36" s="728"/>
      <c r="AO36" s="728"/>
      <c r="AP36" s="728"/>
      <c r="AQ36" s="728"/>
      <c r="AR36" s="728"/>
      <c r="AS36" s="728"/>
      <c r="AT36" s="728"/>
      <c r="AU36" s="728"/>
      <c r="AV36" s="728"/>
      <c r="AW36" s="728"/>
      <c r="AX36" s="728"/>
      <c r="AY36" s="728"/>
      <c r="AZ36" s="728"/>
      <c r="BA36" s="728"/>
      <c r="BB36" s="729"/>
      <c r="BC36" s="730"/>
      <c r="BD36" s="728"/>
      <c r="BE36" s="728"/>
      <c r="BF36" s="728"/>
      <c r="BG36" s="728"/>
      <c r="BH36" s="728"/>
      <c r="BI36" s="728"/>
      <c r="BJ36" s="728"/>
      <c r="BK36" s="728"/>
      <c r="BL36" s="729"/>
      <c r="BM36" s="731"/>
      <c r="BN36" s="732"/>
      <c r="BO36" s="732"/>
      <c r="BP36" s="732"/>
      <c r="BQ36" s="733"/>
      <c r="BR36" s="731"/>
      <c r="BS36" s="732"/>
      <c r="BT36" s="732"/>
      <c r="BU36" s="732"/>
      <c r="BV36" s="734"/>
    </row>
    <row r="37" spans="1:74" ht="13.5" customHeight="1">
      <c r="A37" s="703"/>
      <c r="B37" s="704"/>
      <c r="C37" s="704"/>
      <c r="D37" s="704"/>
      <c r="E37" s="705"/>
      <c r="F37" s="709"/>
      <c r="G37" s="704"/>
      <c r="H37" s="704"/>
      <c r="I37" s="704"/>
      <c r="J37" s="704"/>
      <c r="K37" s="704"/>
      <c r="L37" s="704"/>
      <c r="M37" s="704"/>
      <c r="N37" s="704"/>
      <c r="O37" s="704"/>
      <c r="P37" s="704"/>
      <c r="Q37" s="704"/>
      <c r="R37" s="704"/>
      <c r="S37" s="704"/>
      <c r="T37" s="704"/>
      <c r="U37" s="704"/>
      <c r="V37" s="704"/>
      <c r="W37" s="704"/>
      <c r="X37" s="704"/>
      <c r="Y37" s="704"/>
      <c r="Z37" s="704"/>
      <c r="AA37" s="704"/>
      <c r="AB37" s="704"/>
      <c r="AC37" s="704"/>
      <c r="AD37" s="704"/>
      <c r="AE37" s="704"/>
      <c r="AF37" s="704"/>
      <c r="AG37" s="704"/>
      <c r="AH37" s="704"/>
      <c r="AI37" s="704"/>
      <c r="AJ37" s="704"/>
      <c r="AK37" s="704"/>
      <c r="AL37" s="704"/>
      <c r="AM37" s="704"/>
      <c r="AN37" s="704"/>
      <c r="AO37" s="704"/>
      <c r="AP37" s="704"/>
      <c r="AQ37" s="704"/>
      <c r="AR37" s="704"/>
      <c r="AS37" s="704"/>
      <c r="AT37" s="704"/>
      <c r="AU37" s="704"/>
      <c r="AV37" s="704"/>
      <c r="AW37" s="704"/>
      <c r="AX37" s="704"/>
      <c r="AY37" s="704"/>
      <c r="AZ37" s="704"/>
      <c r="BA37" s="704"/>
      <c r="BB37" s="705"/>
      <c r="BC37" s="709"/>
      <c r="BD37" s="704"/>
      <c r="BE37" s="704"/>
      <c r="BF37" s="704"/>
      <c r="BG37" s="704"/>
      <c r="BH37" s="704"/>
      <c r="BI37" s="704"/>
      <c r="BJ37" s="704"/>
      <c r="BK37" s="704"/>
      <c r="BL37" s="705"/>
      <c r="BM37" s="711"/>
      <c r="BN37" s="712"/>
      <c r="BO37" s="712"/>
      <c r="BP37" s="712"/>
      <c r="BQ37" s="713"/>
      <c r="BR37" s="711"/>
      <c r="BS37" s="712"/>
      <c r="BT37" s="712"/>
      <c r="BU37" s="712"/>
      <c r="BV37" s="714"/>
    </row>
    <row r="38" spans="1:74" ht="13.5" customHeight="1">
      <c r="A38" s="719"/>
      <c r="B38" s="720"/>
      <c r="C38" s="720"/>
      <c r="D38" s="720"/>
      <c r="E38" s="721"/>
      <c r="F38" s="722"/>
      <c r="G38" s="720"/>
      <c r="H38" s="720"/>
      <c r="I38" s="720"/>
      <c r="J38" s="720"/>
      <c r="K38" s="720"/>
      <c r="L38" s="720"/>
      <c r="M38" s="720"/>
      <c r="N38" s="720"/>
      <c r="O38" s="720"/>
      <c r="P38" s="720"/>
      <c r="Q38" s="720"/>
      <c r="R38" s="720"/>
      <c r="S38" s="720"/>
      <c r="T38" s="720"/>
      <c r="U38" s="720"/>
      <c r="V38" s="720"/>
      <c r="W38" s="720"/>
      <c r="X38" s="720"/>
      <c r="Y38" s="720"/>
      <c r="Z38" s="720"/>
      <c r="AA38" s="720"/>
      <c r="AB38" s="720"/>
      <c r="AC38" s="720"/>
      <c r="AD38" s="720"/>
      <c r="AE38" s="720"/>
      <c r="AF38" s="720"/>
      <c r="AG38" s="720"/>
      <c r="AH38" s="720"/>
      <c r="AI38" s="720"/>
      <c r="AJ38" s="720"/>
      <c r="AK38" s="720"/>
      <c r="AL38" s="720"/>
      <c r="AM38" s="720"/>
      <c r="AN38" s="720"/>
      <c r="AO38" s="720"/>
      <c r="AP38" s="720"/>
      <c r="AQ38" s="720"/>
      <c r="AR38" s="720"/>
      <c r="AS38" s="720"/>
      <c r="AT38" s="720"/>
      <c r="AU38" s="720"/>
      <c r="AV38" s="720"/>
      <c r="AW38" s="720"/>
      <c r="AX38" s="720"/>
      <c r="AY38" s="720"/>
      <c r="AZ38" s="720"/>
      <c r="BA38" s="720"/>
      <c r="BB38" s="721"/>
      <c r="BC38" s="722"/>
      <c r="BD38" s="720"/>
      <c r="BE38" s="720"/>
      <c r="BF38" s="720"/>
      <c r="BG38" s="720"/>
      <c r="BH38" s="720"/>
      <c r="BI38" s="720"/>
      <c r="BJ38" s="720"/>
      <c r="BK38" s="720"/>
      <c r="BL38" s="721"/>
      <c r="BM38" s="723"/>
      <c r="BN38" s="724"/>
      <c r="BO38" s="724"/>
      <c r="BP38" s="724"/>
      <c r="BQ38" s="725"/>
      <c r="BR38" s="723"/>
      <c r="BS38" s="724"/>
      <c r="BT38" s="724"/>
      <c r="BU38" s="724"/>
      <c r="BV38" s="726"/>
    </row>
    <row r="39" spans="1:74" ht="13.5" customHeight="1">
      <c r="A39" s="703"/>
      <c r="B39" s="704"/>
      <c r="C39" s="704"/>
      <c r="D39" s="704"/>
      <c r="E39" s="705"/>
      <c r="F39" s="709"/>
      <c r="G39" s="704"/>
      <c r="H39" s="704"/>
      <c r="I39" s="704"/>
      <c r="J39" s="704"/>
      <c r="K39" s="704"/>
      <c r="L39" s="704"/>
      <c r="M39" s="704"/>
      <c r="N39" s="704"/>
      <c r="O39" s="704"/>
      <c r="P39" s="704"/>
      <c r="Q39" s="704"/>
      <c r="R39" s="704"/>
      <c r="S39" s="704"/>
      <c r="T39" s="704"/>
      <c r="U39" s="704"/>
      <c r="V39" s="704"/>
      <c r="W39" s="704"/>
      <c r="X39" s="704"/>
      <c r="Y39" s="704"/>
      <c r="Z39" s="704"/>
      <c r="AA39" s="704"/>
      <c r="AB39" s="704"/>
      <c r="AC39" s="704"/>
      <c r="AD39" s="704"/>
      <c r="AE39" s="704"/>
      <c r="AF39" s="704"/>
      <c r="AG39" s="704"/>
      <c r="AH39" s="704"/>
      <c r="AI39" s="704"/>
      <c r="AJ39" s="704"/>
      <c r="AK39" s="704"/>
      <c r="AL39" s="704"/>
      <c r="AM39" s="704"/>
      <c r="AN39" s="704"/>
      <c r="AO39" s="704"/>
      <c r="AP39" s="704"/>
      <c r="AQ39" s="704"/>
      <c r="AR39" s="704"/>
      <c r="AS39" s="704"/>
      <c r="AT39" s="704"/>
      <c r="AU39" s="704"/>
      <c r="AV39" s="704"/>
      <c r="AW39" s="704"/>
      <c r="AX39" s="704"/>
      <c r="AY39" s="704"/>
      <c r="AZ39" s="704"/>
      <c r="BA39" s="704"/>
      <c r="BB39" s="705"/>
      <c r="BC39" s="709"/>
      <c r="BD39" s="704"/>
      <c r="BE39" s="704"/>
      <c r="BF39" s="704"/>
      <c r="BG39" s="704"/>
      <c r="BH39" s="704"/>
      <c r="BI39" s="704"/>
      <c r="BJ39" s="704"/>
      <c r="BK39" s="704"/>
      <c r="BL39" s="705"/>
      <c r="BM39" s="711"/>
      <c r="BN39" s="712"/>
      <c r="BO39" s="712"/>
      <c r="BP39" s="712"/>
      <c r="BQ39" s="713"/>
      <c r="BR39" s="711"/>
      <c r="BS39" s="712"/>
      <c r="BT39" s="712"/>
      <c r="BU39" s="712"/>
      <c r="BV39" s="714"/>
    </row>
    <row r="40" spans="1:74" ht="13.5" customHeight="1">
      <c r="A40" s="727"/>
      <c r="B40" s="728"/>
      <c r="C40" s="728"/>
      <c r="D40" s="728"/>
      <c r="E40" s="729"/>
      <c r="F40" s="730"/>
      <c r="G40" s="728"/>
      <c r="H40" s="728"/>
      <c r="I40" s="728"/>
      <c r="J40" s="728"/>
      <c r="K40" s="728"/>
      <c r="L40" s="728"/>
      <c r="M40" s="728"/>
      <c r="N40" s="728"/>
      <c r="O40" s="728"/>
      <c r="P40" s="728"/>
      <c r="Q40" s="728"/>
      <c r="R40" s="728"/>
      <c r="S40" s="728"/>
      <c r="T40" s="728"/>
      <c r="U40" s="728"/>
      <c r="V40" s="728"/>
      <c r="W40" s="728"/>
      <c r="X40" s="728"/>
      <c r="Y40" s="728"/>
      <c r="Z40" s="728"/>
      <c r="AA40" s="728"/>
      <c r="AB40" s="728"/>
      <c r="AC40" s="728"/>
      <c r="AD40" s="728"/>
      <c r="AE40" s="728"/>
      <c r="AF40" s="728"/>
      <c r="AG40" s="728"/>
      <c r="AH40" s="728"/>
      <c r="AI40" s="728"/>
      <c r="AJ40" s="728"/>
      <c r="AK40" s="728"/>
      <c r="AL40" s="728"/>
      <c r="AM40" s="728"/>
      <c r="AN40" s="728"/>
      <c r="AO40" s="728"/>
      <c r="AP40" s="728"/>
      <c r="AQ40" s="728"/>
      <c r="AR40" s="728"/>
      <c r="AS40" s="728"/>
      <c r="AT40" s="728"/>
      <c r="AU40" s="728"/>
      <c r="AV40" s="728"/>
      <c r="AW40" s="728"/>
      <c r="AX40" s="728"/>
      <c r="AY40" s="728"/>
      <c r="AZ40" s="728"/>
      <c r="BA40" s="728"/>
      <c r="BB40" s="729"/>
      <c r="BC40" s="730"/>
      <c r="BD40" s="728"/>
      <c r="BE40" s="728"/>
      <c r="BF40" s="728"/>
      <c r="BG40" s="728"/>
      <c r="BH40" s="728"/>
      <c r="BI40" s="728"/>
      <c r="BJ40" s="728"/>
      <c r="BK40" s="728"/>
      <c r="BL40" s="729"/>
      <c r="BM40" s="731"/>
      <c r="BN40" s="732"/>
      <c r="BO40" s="732"/>
      <c r="BP40" s="732"/>
      <c r="BQ40" s="733"/>
      <c r="BR40" s="731"/>
      <c r="BS40" s="732"/>
      <c r="BT40" s="732"/>
      <c r="BU40" s="732"/>
      <c r="BV40" s="734"/>
    </row>
    <row r="41" spans="1:74" ht="13.5" customHeight="1">
      <c r="A41" s="703"/>
      <c r="B41" s="704"/>
      <c r="C41" s="704"/>
      <c r="D41" s="704"/>
      <c r="E41" s="705"/>
      <c r="F41" s="709"/>
      <c r="G41" s="704"/>
      <c r="H41" s="704"/>
      <c r="I41" s="704"/>
      <c r="J41" s="704"/>
      <c r="K41" s="704"/>
      <c r="L41" s="704"/>
      <c r="M41" s="704"/>
      <c r="N41" s="704"/>
      <c r="O41" s="704"/>
      <c r="P41" s="704"/>
      <c r="Q41" s="704"/>
      <c r="R41" s="704"/>
      <c r="S41" s="704"/>
      <c r="T41" s="704"/>
      <c r="U41" s="704"/>
      <c r="V41" s="704"/>
      <c r="W41" s="704"/>
      <c r="X41" s="704"/>
      <c r="Y41" s="704"/>
      <c r="Z41" s="704"/>
      <c r="AA41" s="704"/>
      <c r="AB41" s="704"/>
      <c r="AC41" s="704"/>
      <c r="AD41" s="704"/>
      <c r="AE41" s="704"/>
      <c r="AF41" s="704"/>
      <c r="AG41" s="704"/>
      <c r="AH41" s="704"/>
      <c r="AI41" s="704"/>
      <c r="AJ41" s="704"/>
      <c r="AK41" s="704"/>
      <c r="AL41" s="704"/>
      <c r="AM41" s="704"/>
      <c r="AN41" s="704"/>
      <c r="AO41" s="704"/>
      <c r="AP41" s="704"/>
      <c r="AQ41" s="704"/>
      <c r="AR41" s="704"/>
      <c r="AS41" s="704"/>
      <c r="AT41" s="704"/>
      <c r="AU41" s="704"/>
      <c r="AV41" s="704"/>
      <c r="AW41" s="704"/>
      <c r="AX41" s="704"/>
      <c r="AY41" s="704"/>
      <c r="AZ41" s="704"/>
      <c r="BA41" s="704"/>
      <c r="BB41" s="705"/>
      <c r="BC41" s="709"/>
      <c r="BD41" s="704"/>
      <c r="BE41" s="704"/>
      <c r="BF41" s="704"/>
      <c r="BG41" s="704"/>
      <c r="BH41" s="704"/>
      <c r="BI41" s="704"/>
      <c r="BJ41" s="704"/>
      <c r="BK41" s="704"/>
      <c r="BL41" s="705"/>
      <c r="BM41" s="711"/>
      <c r="BN41" s="712"/>
      <c r="BO41" s="712"/>
      <c r="BP41" s="712"/>
      <c r="BQ41" s="713"/>
      <c r="BR41" s="711"/>
      <c r="BS41" s="712"/>
      <c r="BT41" s="712"/>
      <c r="BU41" s="712"/>
      <c r="BV41" s="714"/>
    </row>
    <row r="42" spans="1:74" ht="13.5" customHeight="1">
      <c r="A42" s="719"/>
      <c r="B42" s="720"/>
      <c r="C42" s="720"/>
      <c r="D42" s="720"/>
      <c r="E42" s="721"/>
      <c r="F42" s="722"/>
      <c r="G42" s="720"/>
      <c r="H42" s="720"/>
      <c r="I42" s="720"/>
      <c r="J42" s="720"/>
      <c r="K42" s="720"/>
      <c r="L42" s="720"/>
      <c r="M42" s="720"/>
      <c r="N42" s="720"/>
      <c r="O42" s="720"/>
      <c r="P42" s="720"/>
      <c r="Q42" s="720"/>
      <c r="R42" s="720"/>
      <c r="S42" s="720"/>
      <c r="T42" s="720"/>
      <c r="U42" s="720"/>
      <c r="V42" s="720"/>
      <c r="W42" s="720"/>
      <c r="X42" s="720"/>
      <c r="Y42" s="720"/>
      <c r="Z42" s="720"/>
      <c r="AA42" s="720"/>
      <c r="AB42" s="720"/>
      <c r="AC42" s="720"/>
      <c r="AD42" s="720"/>
      <c r="AE42" s="720"/>
      <c r="AF42" s="720"/>
      <c r="AG42" s="720"/>
      <c r="AH42" s="720"/>
      <c r="AI42" s="720"/>
      <c r="AJ42" s="720"/>
      <c r="AK42" s="720"/>
      <c r="AL42" s="720"/>
      <c r="AM42" s="720"/>
      <c r="AN42" s="720"/>
      <c r="AO42" s="720"/>
      <c r="AP42" s="720"/>
      <c r="AQ42" s="720"/>
      <c r="AR42" s="720"/>
      <c r="AS42" s="720"/>
      <c r="AT42" s="720"/>
      <c r="AU42" s="720"/>
      <c r="AV42" s="720"/>
      <c r="AW42" s="720"/>
      <c r="AX42" s="720"/>
      <c r="AY42" s="720"/>
      <c r="AZ42" s="720"/>
      <c r="BA42" s="720"/>
      <c r="BB42" s="721"/>
      <c r="BC42" s="722"/>
      <c r="BD42" s="720"/>
      <c r="BE42" s="720"/>
      <c r="BF42" s="720"/>
      <c r="BG42" s="720"/>
      <c r="BH42" s="720"/>
      <c r="BI42" s="720"/>
      <c r="BJ42" s="720"/>
      <c r="BK42" s="720"/>
      <c r="BL42" s="721"/>
      <c r="BM42" s="723"/>
      <c r="BN42" s="724"/>
      <c r="BO42" s="724"/>
      <c r="BP42" s="724"/>
      <c r="BQ42" s="725"/>
      <c r="BR42" s="723"/>
      <c r="BS42" s="724"/>
      <c r="BT42" s="724"/>
      <c r="BU42" s="724"/>
      <c r="BV42" s="726"/>
    </row>
    <row r="43" spans="1:74" ht="13.5" customHeight="1">
      <c r="A43" s="703"/>
      <c r="B43" s="704"/>
      <c r="C43" s="704"/>
      <c r="D43" s="704"/>
      <c r="E43" s="705"/>
      <c r="F43" s="709"/>
      <c r="G43" s="704"/>
      <c r="H43" s="704"/>
      <c r="I43" s="704"/>
      <c r="J43" s="704"/>
      <c r="K43" s="704"/>
      <c r="L43" s="704"/>
      <c r="M43" s="704"/>
      <c r="N43" s="704"/>
      <c r="O43" s="704"/>
      <c r="P43" s="704"/>
      <c r="Q43" s="704"/>
      <c r="R43" s="704"/>
      <c r="S43" s="704"/>
      <c r="T43" s="704"/>
      <c r="U43" s="704"/>
      <c r="V43" s="704"/>
      <c r="W43" s="704"/>
      <c r="X43" s="704"/>
      <c r="Y43" s="704"/>
      <c r="Z43" s="704"/>
      <c r="AA43" s="704"/>
      <c r="AB43" s="704"/>
      <c r="AC43" s="704"/>
      <c r="AD43" s="704"/>
      <c r="AE43" s="704"/>
      <c r="AF43" s="704"/>
      <c r="AG43" s="704"/>
      <c r="AH43" s="704"/>
      <c r="AI43" s="704"/>
      <c r="AJ43" s="704"/>
      <c r="AK43" s="704"/>
      <c r="AL43" s="704"/>
      <c r="AM43" s="704"/>
      <c r="AN43" s="704"/>
      <c r="AO43" s="704"/>
      <c r="AP43" s="704"/>
      <c r="AQ43" s="704"/>
      <c r="AR43" s="704"/>
      <c r="AS43" s="704"/>
      <c r="AT43" s="704"/>
      <c r="AU43" s="704"/>
      <c r="AV43" s="704"/>
      <c r="AW43" s="704"/>
      <c r="AX43" s="704"/>
      <c r="AY43" s="704"/>
      <c r="AZ43" s="704"/>
      <c r="BA43" s="704"/>
      <c r="BB43" s="705"/>
      <c r="BC43" s="709"/>
      <c r="BD43" s="704"/>
      <c r="BE43" s="704"/>
      <c r="BF43" s="704"/>
      <c r="BG43" s="704"/>
      <c r="BH43" s="704"/>
      <c r="BI43" s="704"/>
      <c r="BJ43" s="704"/>
      <c r="BK43" s="704"/>
      <c r="BL43" s="705"/>
      <c r="BM43" s="711"/>
      <c r="BN43" s="712"/>
      <c r="BO43" s="712"/>
      <c r="BP43" s="712"/>
      <c r="BQ43" s="713"/>
      <c r="BR43" s="711"/>
      <c r="BS43" s="712"/>
      <c r="BT43" s="712"/>
      <c r="BU43" s="712"/>
      <c r="BV43" s="714"/>
    </row>
    <row r="44" spans="1:74" ht="13.5" customHeight="1">
      <c r="A44" s="727"/>
      <c r="B44" s="728"/>
      <c r="C44" s="728"/>
      <c r="D44" s="728"/>
      <c r="E44" s="729"/>
      <c r="F44" s="730"/>
      <c r="G44" s="728"/>
      <c r="H44" s="728"/>
      <c r="I44" s="728"/>
      <c r="J44" s="728"/>
      <c r="K44" s="728"/>
      <c r="L44" s="728"/>
      <c r="M44" s="728"/>
      <c r="N44" s="728"/>
      <c r="O44" s="728"/>
      <c r="P44" s="728"/>
      <c r="Q44" s="728"/>
      <c r="R44" s="728"/>
      <c r="S44" s="728"/>
      <c r="T44" s="728"/>
      <c r="U44" s="728"/>
      <c r="V44" s="728"/>
      <c r="W44" s="728"/>
      <c r="X44" s="728"/>
      <c r="Y44" s="728"/>
      <c r="Z44" s="728"/>
      <c r="AA44" s="728"/>
      <c r="AB44" s="728"/>
      <c r="AC44" s="728"/>
      <c r="AD44" s="728"/>
      <c r="AE44" s="728"/>
      <c r="AF44" s="728"/>
      <c r="AG44" s="728"/>
      <c r="AH44" s="728"/>
      <c r="AI44" s="728"/>
      <c r="AJ44" s="728"/>
      <c r="AK44" s="728"/>
      <c r="AL44" s="728"/>
      <c r="AM44" s="728"/>
      <c r="AN44" s="728"/>
      <c r="AO44" s="728"/>
      <c r="AP44" s="728"/>
      <c r="AQ44" s="728"/>
      <c r="AR44" s="728"/>
      <c r="AS44" s="728"/>
      <c r="AT44" s="728"/>
      <c r="AU44" s="728"/>
      <c r="AV44" s="728"/>
      <c r="AW44" s="728"/>
      <c r="AX44" s="728"/>
      <c r="AY44" s="728"/>
      <c r="AZ44" s="728"/>
      <c r="BA44" s="728"/>
      <c r="BB44" s="729"/>
      <c r="BC44" s="730"/>
      <c r="BD44" s="728"/>
      <c r="BE44" s="728"/>
      <c r="BF44" s="728"/>
      <c r="BG44" s="728"/>
      <c r="BH44" s="728"/>
      <c r="BI44" s="728"/>
      <c r="BJ44" s="728"/>
      <c r="BK44" s="728"/>
      <c r="BL44" s="729"/>
      <c r="BM44" s="731"/>
      <c r="BN44" s="732"/>
      <c r="BO44" s="732"/>
      <c r="BP44" s="732"/>
      <c r="BQ44" s="733"/>
      <c r="BR44" s="731"/>
      <c r="BS44" s="732"/>
      <c r="BT44" s="732"/>
      <c r="BU44" s="732"/>
      <c r="BV44" s="734"/>
    </row>
    <row r="45" spans="1:74" ht="13.5" customHeight="1">
      <c r="A45" s="703"/>
      <c r="B45" s="704"/>
      <c r="C45" s="704"/>
      <c r="D45" s="704"/>
      <c r="E45" s="705"/>
      <c r="F45" s="709"/>
      <c r="G45" s="704"/>
      <c r="H45" s="704"/>
      <c r="I45" s="704"/>
      <c r="J45" s="704"/>
      <c r="K45" s="704"/>
      <c r="L45" s="704"/>
      <c r="M45" s="704"/>
      <c r="N45" s="704"/>
      <c r="O45" s="704"/>
      <c r="P45" s="704"/>
      <c r="Q45" s="704"/>
      <c r="R45" s="704"/>
      <c r="S45" s="704"/>
      <c r="T45" s="704"/>
      <c r="U45" s="704"/>
      <c r="V45" s="704"/>
      <c r="W45" s="704"/>
      <c r="X45" s="704"/>
      <c r="Y45" s="704"/>
      <c r="Z45" s="704"/>
      <c r="AA45" s="704"/>
      <c r="AB45" s="704"/>
      <c r="AC45" s="704"/>
      <c r="AD45" s="704"/>
      <c r="AE45" s="704"/>
      <c r="AF45" s="704"/>
      <c r="AG45" s="704"/>
      <c r="AH45" s="704"/>
      <c r="AI45" s="704"/>
      <c r="AJ45" s="704"/>
      <c r="AK45" s="704"/>
      <c r="AL45" s="704"/>
      <c r="AM45" s="704"/>
      <c r="AN45" s="704"/>
      <c r="AO45" s="704"/>
      <c r="AP45" s="704"/>
      <c r="AQ45" s="704"/>
      <c r="AR45" s="704"/>
      <c r="AS45" s="704"/>
      <c r="AT45" s="704"/>
      <c r="AU45" s="704"/>
      <c r="AV45" s="704"/>
      <c r="AW45" s="704"/>
      <c r="AX45" s="704"/>
      <c r="AY45" s="704"/>
      <c r="AZ45" s="704"/>
      <c r="BA45" s="704"/>
      <c r="BB45" s="705"/>
      <c r="BC45" s="709"/>
      <c r="BD45" s="704"/>
      <c r="BE45" s="704"/>
      <c r="BF45" s="704"/>
      <c r="BG45" s="704"/>
      <c r="BH45" s="704"/>
      <c r="BI45" s="704"/>
      <c r="BJ45" s="704"/>
      <c r="BK45" s="704"/>
      <c r="BL45" s="705"/>
      <c r="BM45" s="711"/>
      <c r="BN45" s="712"/>
      <c r="BO45" s="712"/>
      <c r="BP45" s="712"/>
      <c r="BQ45" s="713"/>
      <c r="BR45" s="711"/>
      <c r="BS45" s="712"/>
      <c r="BT45" s="712"/>
      <c r="BU45" s="712"/>
      <c r="BV45" s="714"/>
    </row>
    <row r="46" spans="1:74" ht="13.5" customHeight="1">
      <c r="A46" s="719"/>
      <c r="B46" s="720"/>
      <c r="C46" s="720"/>
      <c r="D46" s="720"/>
      <c r="E46" s="721"/>
      <c r="F46" s="722"/>
      <c r="G46" s="720"/>
      <c r="H46" s="720"/>
      <c r="I46" s="720"/>
      <c r="J46" s="720"/>
      <c r="K46" s="720"/>
      <c r="L46" s="720"/>
      <c r="M46" s="720"/>
      <c r="N46" s="720"/>
      <c r="O46" s="720"/>
      <c r="P46" s="720"/>
      <c r="Q46" s="720"/>
      <c r="R46" s="720"/>
      <c r="S46" s="720"/>
      <c r="T46" s="720"/>
      <c r="U46" s="720"/>
      <c r="V46" s="720"/>
      <c r="W46" s="720"/>
      <c r="X46" s="720"/>
      <c r="Y46" s="720"/>
      <c r="Z46" s="720"/>
      <c r="AA46" s="720"/>
      <c r="AB46" s="720"/>
      <c r="AC46" s="720"/>
      <c r="AD46" s="720"/>
      <c r="AE46" s="720"/>
      <c r="AF46" s="720"/>
      <c r="AG46" s="720"/>
      <c r="AH46" s="720"/>
      <c r="AI46" s="720"/>
      <c r="AJ46" s="720"/>
      <c r="AK46" s="720"/>
      <c r="AL46" s="720"/>
      <c r="AM46" s="720"/>
      <c r="AN46" s="720"/>
      <c r="AO46" s="720"/>
      <c r="AP46" s="720"/>
      <c r="AQ46" s="720"/>
      <c r="AR46" s="720"/>
      <c r="AS46" s="720"/>
      <c r="AT46" s="720"/>
      <c r="AU46" s="720"/>
      <c r="AV46" s="720"/>
      <c r="AW46" s="720"/>
      <c r="AX46" s="720"/>
      <c r="AY46" s="720"/>
      <c r="AZ46" s="720"/>
      <c r="BA46" s="720"/>
      <c r="BB46" s="721"/>
      <c r="BC46" s="722"/>
      <c r="BD46" s="720"/>
      <c r="BE46" s="720"/>
      <c r="BF46" s="720"/>
      <c r="BG46" s="720"/>
      <c r="BH46" s="720"/>
      <c r="BI46" s="720"/>
      <c r="BJ46" s="720"/>
      <c r="BK46" s="720"/>
      <c r="BL46" s="721"/>
      <c r="BM46" s="723"/>
      <c r="BN46" s="724"/>
      <c r="BO46" s="724"/>
      <c r="BP46" s="724"/>
      <c r="BQ46" s="725"/>
      <c r="BR46" s="723"/>
      <c r="BS46" s="724"/>
      <c r="BT46" s="724"/>
      <c r="BU46" s="724"/>
      <c r="BV46" s="726"/>
    </row>
    <row r="47" spans="1:74" ht="13.5" customHeight="1">
      <c r="A47" s="703"/>
      <c r="B47" s="704"/>
      <c r="C47" s="704"/>
      <c r="D47" s="704"/>
      <c r="E47" s="705"/>
      <c r="F47" s="709"/>
      <c r="G47" s="704"/>
      <c r="H47" s="704"/>
      <c r="I47" s="704"/>
      <c r="J47" s="704"/>
      <c r="K47" s="704"/>
      <c r="L47" s="704"/>
      <c r="M47" s="704"/>
      <c r="N47" s="704"/>
      <c r="O47" s="704"/>
      <c r="P47" s="704"/>
      <c r="Q47" s="704"/>
      <c r="R47" s="704"/>
      <c r="S47" s="704"/>
      <c r="T47" s="704"/>
      <c r="U47" s="704"/>
      <c r="V47" s="704"/>
      <c r="W47" s="704"/>
      <c r="X47" s="704"/>
      <c r="Y47" s="704"/>
      <c r="Z47" s="704"/>
      <c r="AA47" s="704"/>
      <c r="AB47" s="704"/>
      <c r="AC47" s="704"/>
      <c r="AD47" s="704"/>
      <c r="AE47" s="704"/>
      <c r="AF47" s="704"/>
      <c r="AG47" s="704"/>
      <c r="AH47" s="704"/>
      <c r="AI47" s="704"/>
      <c r="AJ47" s="704"/>
      <c r="AK47" s="704"/>
      <c r="AL47" s="704"/>
      <c r="AM47" s="704"/>
      <c r="AN47" s="704"/>
      <c r="AO47" s="704"/>
      <c r="AP47" s="704"/>
      <c r="AQ47" s="704"/>
      <c r="AR47" s="704"/>
      <c r="AS47" s="704"/>
      <c r="AT47" s="704"/>
      <c r="AU47" s="704"/>
      <c r="AV47" s="704"/>
      <c r="AW47" s="704"/>
      <c r="AX47" s="704"/>
      <c r="AY47" s="704"/>
      <c r="AZ47" s="704"/>
      <c r="BA47" s="704"/>
      <c r="BB47" s="705"/>
      <c r="BC47" s="709"/>
      <c r="BD47" s="704"/>
      <c r="BE47" s="704"/>
      <c r="BF47" s="704"/>
      <c r="BG47" s="704"/>
      <c r="BH47" s="704"/>
      <c r="BI47" s="704"/>
      <c r="BJ47" s="704"/>
      <c r="BK47" s="704"/>
      <c r="BL47" s="705"/>
      <c r="BM47" s="711"/>
      <c r="BN47" s="712"/>
      <c r="BO47" s="712"/>
      <c r="BP47" s="712"/>
      <c r="BQ47" s="713"/>
      <c r="BR47" s="711"/>
      <c r="BS47" s="712"/>
      <c r="BT47" s="712"/>
      <c r="BU47" s="712"/>
      <c r="BV47" s="714"/>
    </row>
    <row r="48" spans="1:74" ht="13.5" customHeight="1" thickBot="1">
      <c r="A48" s="706"/>
      <c r="B48" s="707"/>
      <c r="C48" s="707"/>
      <c r="D48" s="707"/>
      <c r="E48" s="708"/>
      <c r="F48" s="710"/>
      <c r="G48" s="707"/>
      <c r="H48" s="707"/>
      <c r="I48" s="707"/>
      <c r="J48" s="707"/>
      <c r="K48" s="707"/>
      <c r="L48" s="707"/>
      <c r="M48" s="707"/>
      <c r="N48" s="707"/>
      <c r="O48" s="707"/>
      <c r="P48" s="707"/>
      <c r="Q48" s="707"/>
      <c r="R48" s="707"/>
      <c r="S48" s="707"/>
      <c r="T48" s="707"/>
      <c r="U48" s="707"/>
      <c r="V48" s="707"/>
      <c r="W48" s="707"/>
      <c r="X48" s="707"/>
      <c r="Y48" s="707"/>
      <c r="Z48" s="707"/>
      <c r="AA48" s="707"/>
      <c r="AB48" s="707"/>
      <c r="AC48" s="707"/>
      <c r="AD48" s="707"/>
      <c r="AE48" s="707"/>
      <c r="AF48" s="707"/>
      <c r="AG48" s="707"/>
      <c r="AH48" s="707"/>
      <c r="AI48" s="707"/>
      <c r="AJ48" s="707"/>
      <c r="AK48" s="707"/>
      <c r="AL48" s="707"/>
      <c r="AM48" s="707"/>
      <c r="AN48" s="707"/>
      <c r="AO48" s="707"/>
      <c r="AP48" s="707"/>
      <c r="AQ48" s="707"/>
      <c r="AR48" s="707"/>
      <c r="AS48" s="707"/>
      <c r="AT48" s="707"/>
      <c r="AU48" s="707"/>
      <c r="AV48" s="707"/>
      <c r="AW48" s="707"/>
      <c r="AX48" s="707"/>
      <c r="AY48" s="707"/>
      <c r="AZ48" s="707"/>
      <c r="BA48" s="707"/>
      <c r="BB48" s="708"/>
      <c r="BC48" s="710"/>
      <c r="BD48" s="707"/>
      <c r="BE48" s="707"/>
      <c r="BF48" s="707"/>
      <c r="BG48" s="707"/>
      <c r="BH48" s="707"/>
      <c r="BI48" s="707"/>
      <c r="BJ48" s="707"/>
      <c r="BK48" s="707"/>
      <c r="BL48" s="708"/>
      <c r="BM48" s="715"/>
      <c r="BN48" s="716"/>
      <c r="BO48" s="716"/>
      <c r="BP48" s="716"/>
      <c r="BQ48" s="717"/>
      <c r="BR48" s="715"/>
      <c r="BS48" s="716"/>
      <c r="BT48" s="716"/>
      <c r="BU48" s="716"/>
      <c r="BV48" s="718"/>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8"/>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4"/>
  <sheetViews>
    <sheetView showGridLines="0" showZeros="0" view="pageBreakPreview" zoomScaleNormal="100" zoomScaleSheetLayoutView="100" workbookViewId="0">
      <pane ySplit="4" topLeftCell="A5" activePane="bottomLeft" state="frozen"/>
      <selection pane="bottomLeft" sqref="A1:N3"/>
      <selection activeCell="D40" sqref="D40"/>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16384" width="2.125" style="24"/>
  </cols>
  <sheetData>
    <row r="1" spans="1:88" s="4" customFormat="1" ht="15.75" customHeight="1">
      <c r="A1" s="527" t="str">
        <f>表紙!A54</f>
        <v>Webシステム</v>
      </c>
      <c r="B1" s="819"/>
      <c r="C1" s="819"/>
      <c r="D1" s="819"/>
      <c r="E1" s="819"/>
      <c r="F1" s="819"/>
      <c r="G1" s="819"/>
      <c r="H1" s="819"/>
      <c r="I1" s="819"/>
      <c r="J1" s="819"/>
      <c r="K1" s="819"/>
      <c r="L1" s="819"/>
      <c r="M1" s="819"/>
      <c r="N1" s="820"/>
      <c r="O1" s="827" t="s">
        <v>132</v>
      </c>
      <c r="P1" s="828"/>
      <c r="Q1" s="828"/>
      <c r="R1" s="828"/>
      <c r="S1" s="828"/>
      <c r="T1" s="828"/>
      <c r="U1" s="828"/>
      <c r="V1" s="828"/>
      <c r="W1" s="828"/>
      <c r="X1" s="828"/>
      <c r="Y1" s="828"/>
      <c r="Z1" s="828"/>
      <c r="AA1" s="828"/>
      <c r="AB1" s="829"/>
      <c r="AC1" s="830" t="s">
        <v>149</v>
      </c>
      <c r="AD1" s="831"/>
      <c r="AE1" s="831"/>
      <c r="AF1" s="831"/>
      <c r="AG1" s="831"/>
      <c r="AH1" s="831"/>
      <c r="AI1" s="832"/>
      <c r="AJ1" s="513" t="str">
        <f>表紙!AJ63</f>
        <v>MS</v>
      </c>
      <c r="AK1" s="838"/>
      <c r="AL1" s="838"/>
      <c r="AM1" s="838"/>
      <c r="AN1" s="838"/>
      <c r="AO1" s="838"/>
      <c r="AP1" s="839"/>
      <c r="AQ1" s="830" t="s">
        <v>135</v>
      </c>
      <c r="AR1" s="831"/>
      <c r="AS1" s="831"/>
      <c r="AT1" s="831"/>
      <c r="AU1" s="831"/>
      <c r="AV1" s="831"/>
      <c r="AW1" s="832"/>
      <c r="AX1" s="513" t="str">
        <f>表紙!AX63</f>
        <v>Webシステム</v>
      </c>
      <c r="AY1" s="838"/>
      <c r="AZ1" s="838"/>
      <c r="BA1" s="838"/>
      <c r="BB1" s="838"/>
      <c r="BC1" s="838"/>
      <c r="BD1" s="838"/>
      <c r="BE1" s="838"/>
      <c r="BF1" s="838"/>
      <c r="BG1" s="838"/>
      <c r="BH1" s="838"/>
      <c r="BI1" s="838"/>
      <c r="BJ1" s="838"/>
      <c r="BK1" s="839"/>
      <c r="BL1" s="840" t="s">
        <v>101</v>
      </c>
      <c r="BM1" s="841"/>
      <c r="BN1" s="841"/>
      <c r="BO1" s="841"/>
      <c r="BP1" s="841"/>
      <c r="BQ1" s="841"/>
      <c r="BR1" s="841"/>
      <c r="BS1" s="841"/>
      <c r="BT1" s="842"/>
      <c r="BU1" s="843" t="s">
        <v>124</v>
      </c>
      <c r="BV1" s="844"/>
      <c r="BW1" s="844"/>
      <c r="BX1" s="844"/>
      <c r="BY1" s="844"/>
      <c r="BZ1" s="844"/>
      <c r="CA1" s="845"/>
      <c r="CB1" s="843" t="s">
        <v>150</v>
      </c>
      <c r="CC1" s="844"/>
      <c r="CD1" s="844"/>
      <c r="CE1" s="844"/>
      <c r="CF1" s="844"/>
      <c r="CG1" s="844"/>
      <c r="CH1" s="846"/>
    </row>
    <row r="2" spans="1:88" s="4" customFormat="1" ht="15.75" customHeight="1">
      <c r="A2" s="821"/>
      <c r="B2" s="822"/>
      <c r="C2" s="822"/>
      <c r="D2" s="822"/>
      <c r="E2" s="822"/>
      <c r="F2" s="822"/>
      <c r="G2" s="822"/>
      <c r="H2" s="822"/>
      <c r="I2" s="822"/>
      <c r="J2" s="822"/>
      <c r="K2" s="822"/>
      <c r="L2" s="822"/>
      <c r="M2" s="822"/>
      <c r="N2" s="823"/>
      <c r="O2" s="498" t="str">
        <f>表紙!O64</f>
        <v>アドオン設計書</v>
      </c>
      <c r="P2" s="833"/>
      <c r="Q2" s="833"/>
      <c r="R2" s="833"/>
      <c r="S2" s="833"/>
      <c r="T2" s="833"/>
      <c r="U2" s="833"/>
      <c r="V2" s="833"/>
      <c r="W2" s="833"/>
      <c r="X2" s="833"/>
      <c r="Y2" s="833"/>
      <c r="Z2" s="833"/>
      <c r="AA2" s="833"/>
      <c r="AB2" s="834"/>
      <c r="AC2" s="835" t="s">
        <v>153</v>
      </c>
      <c r="AD2" s="836"/>
      <c r="AE2" s="836"/>
      <c r="AF2" s="836"/>
      <c r="AG2" s="836"/>
      <c r="AH2" s="836"/>
      <c r="AI2" s="837"/>
      <c r="AJ2" s="503" t="str">
        <f>表紙!AJ64</f>
        <v>MSBB</v>
      </c>
      <c r="AK2" s="504"/>
      <c r="AL2" s="504"/>
      <c r="AM2" s="504"/>
      <c r="AN2" s="504"/>
      <c r="AO2" s="504"/>
      <c r="AP2" s="505"/>
      <c r="AQ2" s="835" t="s">
        <v>154</v>
      </c>
      <c r="AR2" s="836"/>
      <c r="AS2" s="836"/>
      <c r="AT2" s="836"/>
      <c r="AU2" s="836"/>
      <c r="AV2" s="836"/>
      <c r="AW2" s="837"/>
      <c r="AX2" s="506" t="str">
        <f>表紙!AX64</f>
        <v>販売Webシステム</v>
      </c>
      <c r="AY2" s="547"/>
      <c r="AZ2" s="547"/>
      <c r="BA2" s="547"/>
      <c r="BB2" s="547"/>
      <c r="BC2" s="547"/>
      <c r="BD2" s="547"/>
      <c r="BE2" s="547"/>
      <c r="BF2" s="547"/>
      <c r="BG2" s="547"/>
      <c r="BH2" s="547"/>
      <c r="BI2" s="547"/>
      <c r="BJ2" s="547"/>
      <c r="BK2" s="548"/>
      <c r="BL2" s="507" t="str">
        <f>表紙!BL64</f>
        <v>M7-US-1140</v>
      </c>
      <c r="BM2" s="499"/>
      <c r="BN2" s="499"/>
      <c r="BO2" s="499"/>
      <c r="BP2" s="499"/>
      <c r="BQ2" s="499"/>
      <c r="BR2" s="499"/>
      <c r="BS2" s="499"/>
      <c r="BT2" s="508"/>
      <c r="BU2" s="512" t="str">
        <f>表紙!BU64</f>
        <v>7.0.2</v>
      </c>
      <c r="BV2" s="499"/>
      <c r="BW2" s="499"/>
      <c r="BX2" s="499"/>
      <c r="BY2" s="499"/>
      <c r="BZ2" s="499"/>
      <c r="CA2" s="508"/>
      <c r="CB2" s="514">
        <f>表紙!CB64</f>
        <v>1</v>
      </c>
      <c r="CC2" s="499"/>
      <c r="CD2" s="499"/>
      <c r="CE2" s="499"/>
      <c r="CF2" s="499"/>
      <c r="CG2" s="499"/>
      <c r="CH2" s="515"/>
    </row>
    <row r="3" spans="1:88" s="4" customFormat="1" ht="15.75" customHeight="1" thickBot="1">
      <c r="A3" s="824"/>
      <c r="B3" s="825"/>
      <c r="C3" s="825"/>
      <c r="D3" s="825"/>
      <c r="E3" s="825"/>
      <c r="F3" s="825"/>
      <c r="G3" s="825"/>
      <c r="H3" s="825"/>
      <c r="I3" s="825"/>
      <c r="J3" s="825"/>
      <c r="K3" s="825"/>
      <c r="L3" s="825"/>
      <c r="M3" s="825"/>
      <c r="N3" s="826"/>
      <c r="O3" s="517" t="e">
        <f ca="1">RIGHT(CELL("filename",$A$1),LEN(CELL("filename",$A$1))-FIND("]",CELL("filename",$A$1)))</f>
        <v>#VALUE!</v>
      </c>
      <c r="P3" s="847"/>
      <c r="Q3" s="847"/>
      <c r="R3" s="847"/>
      <c r="S3" s="847"/>
      <c r="T3" s="847"/>
      <c r="U3" s="847"/>
      <c r="V3" s="847"/>
      <c r="W3" s="847"/>
      <c r="X3" s="847"/>
      <c r="Y3" s="847"/>
      <c r="Z3" s="847"/>
      <c r="AA3" s="847"/>
      <c r="AB3" s="848"/>
      <c r="AC3" s="849" t="s">
        <v>146</v>
      </c>
      <c r="AD3" s="850"/>
      <c r="AE3" s="850"/>
      <c r="AF3" s="850"/>
      <c r="AG3" s="850"/>
      <c r="AH3" s="850"/>
      <c r="AI3" s="851"/>
      <c r="AJ3" s="522" t="str">
        <f>表紙!AJ65</f>
        <v>MSBBPA020</v>
      </c>
      <c r="AK3" s="523"/>
      <c r="AL3" s="523"/>
      <c r="AM3" s="523"/>
      <c r="AN3" s="523"/>
      <c r="AO3" s="523"/>
      <c r="AP3" s="523"/>
      <c r="AQ3" s="524" t="str">
        <f>表紙!AQ65</f>
        <v>Web見積計算書一覧照会</v>
      </c>
      <c r="AR3" s="524"/>
      <c r="AS3" s="524"/>
      <c r="AT3" s="524"/>
      <c r="AU3" s="524"/>
      <c r="AV3" s="524"/>
      <c r="AW3" s="524"/>
      <c r="AX3" s="524"/>
      <c r="AY3" s="524"/>
      <c r="AZ3" s="524"/>
      <c r="BA3" s="524"/>
      <c r="BB3" s="524"/>
      <c r="BC3" s="524"/>
      <c r="BD3" s="524"/>
      <c r="BE3" s="524"/>
      <c r="BF3" s="524"/>
      <c r="BG3" s="524"/>
      <c r="BH3" s="524"/>
      <c r="BI3" s="524"/>
      <c r="BJ3" s="524"/>
      <c r="BK3" s="852"/>
      <c r="BL3" s="509"/>
      <c r="BM3" s="510"/>
      <c r="BN3" s="510"/>
      <c r="BO3" s="510"/>
      <c r="BP3" s="510"/>
      <c r="BQ3" s="510"/>
      <c r="BR3" s="510"/>
      <c r="BS3" s="510"/>
      <c r="BT3" s="511"/>
      <c r="BU3" s="509"/>
      <c r="BV3" s="510"/>
      <c r="BW3" s="510"/>
      <c r="BX3" s="510"/>
      <c r="BY3" s="510"/>
      <c r="BZ3" s="510"/>
      <c r="CA3" s="511"/>
      <c r="CB3" s="509"/>
      <c r="CC3" s="510"/>
      <c r="CD3" s="510"/>
      <c r="CE3" s="510"/>
      <c r="CF3" s="510"/>
      <c r="CG3" s="510"/>
      <c r="CH3" s="516"/>
    </row>
    <row r="4" spans="1:88" s="4" customFormat="1" ht="6.75" customHeight="1" thickBot="1">
      <c r="B4" s="5"/>
      <c r="C4" s="6"/>
      <c r="D4" s="6"/>
      <c r="E4" s="6"/>
      <c r="F4" s="7"/>
      <c r="G4" s="7"/>
      <c r="H4" s="7"/>
      <c r="I4" s="7"/>
      <c r="J4" s="6"/>
      <c r="K4" s="7"/>
      <c r="L4" s="7"/>
      <c r="M4" s="7"/>
      <c r="N4" s="7"/>
      <c r="O4" s="7"/>
      <c r="P4" s="7"/>
      <c r="Q4" s="8"/>
    </row>
    <row r="5" spans="1:88"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8" s="14" customFormat="1" ht="15.75" customHeight="1">
      <c r="A6" s="13"/>
      <c r="S6" s="15"/>
      <c r="CH6" s="16"/>
    </row>
    <row r="7" spans="1:88" s="14" customFormat="1" ht="15.75" customHeight="1">
      <c r="A7" s="13"/>
      <c r="B7" s="17" t="s">
        <v>168</v>
      </c>
      <c r="C7" s="2"/>
      <c r="D7" s="2"/>
      <c r="Q7" s="15"/>
      <c r="CH7" s="16"/>
    </row>
    <row r="8" spans="1:88" s="14" customFormat="1" ht="15.75" customHeight="1">
      <c r="A8" s="13"/>
      <c r="B8" s="2"/>
      <c r="C8" s="2" t="s">
        <v>169</v>
      </c>
      <c r="D8" s="2"/>
      <c r="Q8" s="15"/>
      <c r="CH8" s="16"/>
    </row>
    <row r="9" spans="1:88" s="14" customFormat="1" ht="15.75" customHeight="1">
      <c r="A9" s="13"/>
      <c r="B9" s="2"/>
      <c r="C9" s="2"/>
      <c r="D9" s="2"/>
      <c r="Q9" s="15"/>
      <c r="CH9" s="16"/>
    </row>
    <row r="10" spans="1:88" s="14" customFormat="1" ht="15.75" customHeight="1">
      <c r="A10" s="13"/>
      <c r="B10" s="17" t="s">
        <v>170</v>
      </c>
      <c r="C10" s="2"/>
      <c r="D10" s="2"/>
      <c r="Q10" s="15"/>
      <c r="CH10" s="16"/>
    </row>
    <row r="11" spans="1:88" s="14" customFormat="1" ht="15.75" customHeight="1">
      <c r="A11" s="13"/>
      <c r="B11" s="2"/>
      <c r="C11" s="2" t="s">
        <v>171</v>
      </c>
      <c r="D11" s="2"/>
      <c r="Q11" s="15"/>
      <c r="CH11" s="16"/>
    </row>
    <row r="12" spans="1:88" s="14" customFormat="1" ht="15.75" customHeight="1">
      <c r="A12" s="13"/>
      <c r="B12" s="2"/>
      <c r="C12" s="2" t="s">
        <v>172</v>
      </c>
      <c r="D12" s="2"/>
      <c r="Q12" s="15"/>
      <c r="CH12" s="16"/>
    </row>
    <row r="13" spans="1:88" s="14" customFormat="1" ht="15.75" customHeight="1">
      <c r="A13" s="13"/>
      <c r="B13" s="2"/>
      <c r="C13" s="2"/>
      <c r="D13" s="2"/>
      <c r="Q13" s="15"/>
      <c r="CH13" s="16"/>
    </row>
    <row r="14" spans="1:88" s="14" customFormat="1" ht="15.75" customHeight="1">
      <c r="A14" s="13"/>
      <c r="B14" s="17" t="s">
        <v>173</v>
      </c>
      <c r="C14" s="2"/>
      <c r="D14" s="2"/>
      <c r="Q14" s="15"/>
      <c r="CH14" s="16"/>
      <c r="CJ14" s="17"/>
    </row>
    <row r="15" spans="1:88" s="14" customFormat="1" ht="15.75" customHeight="1">
      <c r="A15" s="13"/>
      <c r="B15" s="17"/>
      <c r="C15" s="27" t="s">
        <v>174</v>
      </c>
      <c r="D15" s="2"/>
      <c r="E15" s="27"/>
      <c r="F15" s="27"/>
      <c r="G15" s="27"/>
      <c r="H15" s="27"/>
      <c r="I15" s="27"/>
      <c r="J15" s="27"/>
      <c r="K15" s="27"/>
      <c r="L15" s="27"/>
      <c r="M15" s="27"/>
      <c r="N15" s="27"/>
      <c r="O15" s="27"/>
      <c r="P15" s="27"/>
      <c r="Q15" s="28"/>
      <c r="R15" s="27"/>
      <c r="CH15" s="16"/>
    </row>
    <row r="16" spans="1:88" s="14" customFormat="1" ht="15.75" customHeight="1">
      <c r="A16" s="13"/>
      <c r="Q16" s="15"/>
      <c r="CH16" s="16"/>
    </row>
    <row r="17" spans="1:88" s="14" customFormat="1" ht="15.75" customHeight="1">
      <c r="A17" s="18"/>
      <c r="B17" s="20" t="s">
        <v>175</v>
      </c>
      <c r="C17" s="2"/>
      <c r="D17" s="2"/>
      <c r="E17" s="21"/>
      <c r="F17" s="21"/>
      <c r="G17" s="21"/>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9"/>
      <c r="CJ17" s="20"/>
    </row>
    <row r="18" spans="1:88" s="14" customFormat="1" ht="15.75" customHeight="1">
      <c r="A18" s="18"/>
      <c r="B18" s="2"/>
      <c r="C18" s="2" t="s">
        <v>176</v>
      </c>
      <c r="D18" s="2"/>
      <c r="E18" s="21"/>
      <c r="F18" s="21"/>
      <c r="G18" s="21"/>
      <c r="H18" s="2"/>
      <c r="I18" s="2"/>
      <c r="J18" s="2"/>
      <c r="K18" s="2"/>
      <c r="L18" s="2"/>
      <c r="M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9"/>
    </row>
    <row r="19" spans="1:88" s="14" customFormat="1" ht="15.75" customHeight="1">
      <c r="A19" s="18"/>
      <c r="B19" s="2"/>
      <c r="C19" s="2" t="s">
        <v>177</v>
      </c>
      <c r="D19" s="2"/>
      <c r="E19" s="21"/>
      <c r="F19" s="21"/>
      <c r="G19" s="21"/>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9"/>
    </row>
    <row r="20" spans="1:88" s="14" customFormat="1" ht="15.75" customHeight="1">
      <c r="A20" s="18"/>
      <c r="B20" s="2"/>
      <c r="C20" s="2" t="s">
        <v>178</v>
      </c>
      <c r="D20" s="2"/>
      <c r="E20" s="21"/>
      <c r="F20" s="21"/>
      <c r="G20" s="21"/>
      <c r="H20" s="2"/>
      <c r="I20" s="2"/>
      <c r="J20" s="2"/>
      <c r="K20" s="2"/>
      <c r="L20" s="2"/>
      <c r="M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9"/>
    </row>
    <row r="21" spans="1:88" s="14" customFormat="1" ht="15.75" customHeight="1">
      <c r="A21" s="18"/>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9"/>
    </row>
    <row r="22" spans="1:88" s="14" customFormat="1" ht="15.75" customHeight="1">
      <c r="A22" s="18"/>
      <c r="B22" s="20" t="s">
        <v>179</v>
      </c>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9"/>
    </row>
    <row r="23" spans="1:88" s="14" customFormat="1" ht="15.75" customHeight="1">
      <c r="A23" s="18"/>
      <c r="B23" s="2"/>
      <c r="C23" s="2" t="s">
        <v>180</v>
      </c>
      <c r="D23" s="2"/>
      <c r="E23" s="21"/>
      <c r="F23" s="21"/>
      <c r="G23" s="21"/>
      <c r="H23" s="2"/>
      <c r="I23" s="2"/>
      <c r="J23" s="2"/>
      <c r="K23" s="2"/>
      <c r="L23" s="2"/>
      <c r="M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19"/>
    </row>
    <row r="24" spans="1:88" s="14" customFormat="1" ht="15.75" customHeight="1">
      <c r="A24" s="13"/>
      <c r="Q24" s="15"/>
      <c r="CH24" s="16"/>
    </row>
    <row r="25" spans="1:88" s="14" customFormat="1" ht="15.75" customHeight="1">
      <c r="A25" s="13"/>
      <c r="B25" s="20" t="s">
        <v>181</v>
      </c>
      <c r="Q25" s="15"/>
      <c r="CH25" s="16"/>
    </row>
    <row r="26" spans="1:88" s="14" customFormat="1" ht="15.75" customHeight="1">
      <c r="A26" s="13"/>
      <c r="C26" s="14" t="s">
        <v>182</v>
      </c>
      <c r="Q26" s="15"/>
      <c r="CH26" s="16"/>
    </row>
    <row r="27" spans="1:88" s="14" customFormat="1" ht="15.75" customHeight="1">
      <c r="A27" s="13"/>
      <c r="B27" s="20"/>
      <c r="E27" s="22"/>
      <c r="Q27" s="15"/>
      <c r="CH27" s="16"/>
    </row>
    <row r="28" spans="1:88" s="14" customFormat="1" ht="15.75" customHeight="1">
      <c r="A28" s="13"/>
      <c r="B28" s="20" t="s">
        <v>183</v>
      </c>
      <c r="E28" s="22"/>
      <c r="Q28" s="15"/>
      <c r="CH28" s="16"/>
    </row>
    <row r="29" spans="1:88" s="14" customFormat="1" ht="15.75" customHeight="1">
      <c r="A29" s="13"/>
      <c r="C29" s="14" t="s">
        <v>184</v>
      </c>
      <c r="Q29" s="15"/>
      <c r="CH29" s="16"/>
    </row>
    <row r="30" spans="1:88" s="14" customFormat="1" ht="15.75" customHeight="1">
      <c r="A30" s="13"/>
      <c r="C30" s="14" t="s">
        <v>185</v>
      </c>
      <c r="Q30" s="15"/>
      <c r="CH30" s="16"/>
    </row>
    <row r="31" spans="1:88" s="14" customFormat="1" ht="15.75" customHeight="1">
      <c r="A31" s="13"/>
      <c r="E31" s="22"/>
      <c r="Q31" s="15"/>
      <c r="CH31" s="16"/>
    </row>
    <row r="32" spans="1:88" s="14" customFormat="1" ht="15.75" customHeight="1">
      <c r="A32" s="13"/>
      <c r="B32" s="20" t="s">
        <v>186</v>
      </c>
      <c r="E32" s="22"/>
      <c r="Q32" s="15"/>
      <c r="CH32" s="16"/>
    </row>
    <row r="33" spans="1:86" s="14" customFormat="1" ht="15.75" customHeight="1">
      <c r="A33" s="13"/>
      <c r="C33" s="14" t="s">
        <v>180</v>
      </c>
      <c r="Q33" s="15"/>
      <c r="CH33" s="16"/>
    </row>
    <row r="34" spans="1:86" ht="15.75" customHeight="1" thickBot="1">
      <c r="A34" s="23"/>
      <c r="B34" s="306"/>
      <c r="C34" s="307"/>
      <c r="D34" s="307"/>
      <c r="E34" s="307"/>
      <c r="F34" s="306"/>
      <c r="G34" s="306"/>
      <c r="H34" s="306"/>
      <c r="I34" s="306"/>
      <c r="J34" s="307"/>
      <c r="K34" s="306"/>
      <c r="L34" s="306"/>
      <c r="M34" s="306"/>
      <c r="N34" s="306"/>
      <c r="O34" s="306"/>
      <c r="P34" s="306"/>
      <c r="Q34" s="308"/>
      <c r="R34" s="306"/>
      <c r="S34" s="306"/>
      <c r="T34" s="306"/>
      <c r="U34" s="306"/>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412"/>
    </row>
  </sheetData>
  <mergeCells count="21">
    <mergeCell ref="CB2:CH3"/>
    <mergeCell ref="O3:AB3"/>
    <mergeCell ref="AC3:AI3"/>
    <mergeCell ref="AJ3:AP3"/>
    <mergeCell ref="AQ3:BK3"/>
    <mergeCell ref="AJ2:AP2"/>
    <mergeCell ref="AQ2:AW2"/>
    <mergeCell ref="AX2:BK2"/>
    <mergeCell ref="BL2:BT3"/>
    <mergeCell ref="BU2:CA3"/>
    <mergeCell ref="AJ1:AP1"/>
    <mergeCell ref="AQ1:AW1"/>
    <mergeCell ref="BL1:BT1"/>
    <mergeCell ref="BU1:CA1"/>
    <mergeCell ref="CB1:CH1"/>
    <mergeCell ref="AX1:BK1"/>
    <mergeCell ref="A1:N3"/>
    <mergeCell ref="O1:AB1"/>
    <mergeCell ref="AC1:AI1"/>
    <mergeCell ref="O2:AB2"/>
    <mergeCell ref="AC2:AI2"/>
  </mergeCells>
  <phoneticPr fontId="8"/>
  <pageMargins left="0.51181102362204722" right="0.74803149606299213" top="0.70866141732283472" bottom="0.43307086614173229" header="0.51181102362204722" footer="0.19685039370078741"/>
  <pageSetup paperSize="9" scale="73"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ES178"/>
  <sheetViews>
    <sheetView showGridLines="0" showZeros="0" view="pageBreakPreview" zoomScale="85" zoomScaleNormal="115" zoomScaleSheetLayoutView="85" workbookViewId="0">
      <selection sqref="A1:J3"/>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62" width="2.125" style="24" customWidth="1"/>
    <col min="63" max="63" width="2.25" style="24" customWidth="1"/>
    <col min="64" max="16384" width="2.25" style="24"/>
  </cols>
  <sheetData>
    <row r="1" spans="1:129"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129"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129"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129" s="4" customFormat="1" ht="6.75" customHeight="1" thickBot="1">
      <c r="B4" s="5"/>
      <c r="C4" s="6"/>
      <c r="D4" s="6"/>
      <c r="E4" s="6"/>
      <c r="F4" s="7"/>
      <c r="G4" s="7"/>
      <c r="H4" s="7"/>
      <c r="I4" s="7"/>
      <c r="J4" s="6"/>
      <c r="K4" s="7"/>
      <c r="L4" s="7"/>
      <c r="M4" s="7"/>
      <c r="N4" s="7"/>
      <c r="O4" s="7"/>
      <c r="P4" s="7"/>
      <c r="Q4" s="8"/>
    </row>
    <row r="5" spans="1:129" s="4" customFormat="1" ht="15.75" customHeight="1">
      <c r="A5" s="900" t="s">
        <v>187</v>
      </c>
      <c r="B5" s="901"/>
      <c r="C5" s="901"/>
      <c r="D5" s="901"/>
      <c r="E5" s="901"/>
      <c r="F5" s="901"/>
      <c r="G5" s="901"/>
      <c r="H5" s="901"/>
      <c r="I5" s="901"/>
      <c r="J5" s="901"/>
      <c r="K5" s="901"/>
      <c r="L5" s="901"/>
      <c r="M5" s="901"/>
      <c r="N5" s="901"/>
      <c r="O5" s="901"/>
      <c r="P5" s="901"/>
      <c r="Q5" s="901"/>
      <c r="R5" s="901"/>
      <c r="S5" s="901"/>
      <c r="T5" s="901"/>
      <c r="U5" s="901"/>
      <c r="V5" s="901"/>
      <c r="W5" s="901"/>
      <c r="X5" s="901"/>
      <c r="Y5" s="901"/>
      <c r="Z5" s="901"/>
      <c r="AA5" s="901"/>
      <c r="AB5" s="901"/>
      <c r="AC5" s="901"/>
      <c r="AD5" s="901"/>
      <c r="AE5" s="901"/>
      <c r="AF5" s="901"/>
      <c r="AG5" s="901"/>
      <c r="AH5" s="901"/>
      <c r="AI5" s="901"/>
      <c r="AJ5" s="901"/>
      <c r="AK5" s="901"/>
      <c r="AL5" s="901"/>
      <c r="AM5" s="901"/>
      <c r="AN5" s="901"/>
      <c r="AO5" s="901"/>
      <c r="AP5" s="901"/>
      <c r="AQ5" s="901"/>
      <c r="AR5" s="901"/>
      <c r="AS5" s="901"/>
      <c r="AT5" s="901"/>
      <c r="AU5" s="901"/>
      <c r="AV5" s="901"/>
      <c r="AW5" s="901"/>
      <c r="AX5" s="901"/>
      <c r="AY5" s="901"/>
      <c r="AZ5" s="901"/>
      <c r="BA5" s="901"/>
      <c r="BB5" s="901"/>
      <c r="BC5" s="901"/>
      <c r="BD5" s="901"/>
      <c r="BE5" s="901"/>
      <c r="BF5" s="901"/>
      <c r="BG5" s="901"/>
      <c r="BH5" s="901"/>
      <c r="BI5" s="901"/>
      <c r="BJ5" s="901"/>
      <c r="BK5" s="902"/>
    </row>
    <row r="7" spans="1:129" ht="12" customHeight="1">
      <c r="B7" s="24" t="s">
        <v>188</v>
      </c>
    </row>
    <row r="8" spans="1:129" ht="12" customHeight="1">
      <c r="Q8" s="24" t="s">
        <v>189</v>
      </c>
      <c r="S8" s="24" t="s">
        <v>190</v>
      </c>
    </row>
    <row r="9" spans="1:129" ht="12" customHeight="1">
      <c r="C9" s="24" t="s">
        <v>191</v>
      </c>
      <c r="I9" s="182"/>
      <c r="J9" s="183"/>
      <c r="K9" s="183"/>
      <c r="L9" s="183"/>
      <c r="M9" s="183"/>
      <c r="N9" s="184"/>
      <c r="O9" s="191"/>
      <c r="Q9" s="24" t="s">
        <v>189</v>
      </c>
      <c r="S9" s="24" t="s">
        <v>192</v>
      </c>
      <c r="AJ9" s="226" t="s">
        <v>193</v>
      </c>
      <c r="AK9" s="227"/>
      <c r="AL9" s="227"/>
      <c r="AM9" s="227"/>
      <c r="AN9" s="227"/>
      <c r="AO9" s="227"/>
    </row>
    <row r="10" spans="1:129" ht="12" customHeight="1">
      <c r="C10" s="24" t="s">
        <v>194</v>
      </c>
      <c r="I10" s="182"/>
      <c r="J10" s="183"/>
      <c r="K10" s="183"/>
      <c r="L10" s="183"/>
      <c r="M10" s="183"/>
      <c r="N10" s="184"/>
      <c r="Q10" s="24" t="s">
        <v>189</v>
      </c>
      <c r="S10" s="24" t="s">
        <v>195</v>
      </c>
    </row>
    <row r="11" spans="1:129" ht="12" customHeight="1">
      <c r="C11" s="24" t="s">
        <v>196</v>
      </c>
      <c r="I11" s="188"/>
      <c r="J11" s="189"/>
      <c r="K11" s="189"/>
      <c r="L11" s="189"/>
      <c r="M11" s="189"/>
      <c r="N11" s="190"/>
      <c r="Q11" s="24" t="s">
        <v>189</v>
      </c>
      <c r="S11" s="24" t="s">
        <v>197</v>
      </c>
      <c r="AJ11" s="228" t="s">
        <v>198</v>
      </c>
      <c r="AK11" s="228"/>
      <c r="AL11" s="228"/>
      <c r="AM11" s="228"/>
      <c r="AN11" s="228"/>
      <c r="AO11" s="228"/>
      <c r="AP11" s="229"/>
      <c r="AQ11" s="230"/>
      <c r="AR11" s="230"/>
      <c r="AS11" s="230"/>
      <c r="AT11" s="230"/>
      <c r="AU11" s="184"/>
      <c r="AV11" s="231"/>
      <c r="AW11" s="232"/>
      <c r="AX11" s="232"/>
      <c r="AY11" s="232"/>
      <c r="AZ11" s="232"/>
      <c r="BA11" s="233"/>
    </row>
    <row r="12" spans="1:129" ht="12" customHeight="1">
      <c r="C12" s="24" t="s">
        <v>199</v>
      </c>
      <c r="I12" s="24" t="s">
        <v>200</v>
      </c>
      <c r="M12" s="24" t="s">
        <v>201</v>
      </c>
      <c r="Q12" s="24" t="s">
        <v>189</v>
      </c>
      <c r="S12" s="24" t="s">
        <v>202</v>
      </c>
    </row>
    <row r="13" spans="1:129" ht="12" customHeight="1">
      <c r="C13" s="24" t="s">
        <v>203</v>
      </c>
      <c r="I13" s="182"/>
      <c r="J13" s="183"/>
      <c r="K13" s="183"/>
      <c r="L13" s="183"/>
      <c r="M13" s="183"/>
      <c r="N13" s="191"/>
      <c r="Q13" s="24" t="s">
        <v>189</v>
      </c>
      <c r="S13" s="24" t="s">
        <v>202</v>
      </c>
    </row>
    <row r="14" spans="1:129" ht="12" customHeight="1">
      <c r="C14" s="24" t="s">
        <v>204</v>
      </c>
      <c r="I14" s="24" t="s">
        <v>205</v>
      </c>
      <c r="M14" s="24" t="s">
        <v>206</v>
      </c>
      <c r="Q14" s="24" t="s">
        <v>189</v>
      </c>
      <c r="S14" s="24" t="s">
        <v>207</v>
      </c>
    </row>
    <row r="16" spans="1:129" ht="12" customHeight="1">
      <c r="C16" s="24" t="s">
        <v>208</v>
      </c>
      <c r="I16" s="182"/>
      <c r="J16" s="183"/>
      <c r="K16" s="183"/>
      <c r="L16" s="183"/>
      <c r="M16" s="183"/>
      <c r="N16" s="184"/>
      <c r="Q16" s="24" t="s">
        <v>189</v>
      </c>
      <c r="S16" s="24" t="s">
        <v>209</v>
      </c>
      <c r="CX16" s="447" t="s">
        <v>210</v>
      </c>
      <c r="DY16" s="455" t="s">
        <v>211</v>
      </c>
    </row>
    <row r="17" spans="3:149" ht="12" customHeight="1">
      <c r="Q17" s="24"/>
      <c r="CX17" s="447" t="s">
        <v>212</v>
      </c>
      <c r="DY17" s="455" t="s">
        <v>211</v>
      </c>
    </row>
    <row r="18" spans="3:149" ht="12" customHeight="1">
      <c r="Q18" s="24"/>
      <c r="CX18" s="455" t="s">
        <v>213</v>
      </c>
    </row>
    <row r="19" spans="3:149" ht="12" customHeight="1">
      <c r="Q19" s="24"/>
      <c r="CX19" s="856" t="s">
        <v>214</v>
      </c>
      <c r="CY19" s="856"/>
      <c r="CZ19" s="856"/>
      <c r="DA19" s="856"/>
      <c r="DB19" s="856"/>
      <c r="DC19" s="856"/>
      <c r="DD19" s="856"/>
      <c r="DE19" s="856"/>
      <c r="DF19" s="856"/>
      <c r="DG19" s="856"/>
      <c r="DH19" s="856"/>
      <c r="DI19" s="856"/>
      <c r="DJ19" s="856"/>
      <c r="DK19" s="856"/>
      <c r="DL19" s="856"/>
      <c r="DM19" s="856"/>
      <c r="DN19" s="856"/>
      <c r="DO19" s="856"/>
      <c r="DP19" s="856"/>
      <c r="DQ19" s="856"/>
      <c r="DR19" s="856"/>
      <c r="DS19" s="856"/>
      <c r="DT19" s="856"/>
      <c r="DU19" s="856"/>
      <c r="DV19" s="856"/>
      <c r="DW19" s="856"/>
      <c r="DX19" s="856"/>
      <c r="DY19" s="856"/>
      <c r="DZ19" s="856"/>
      <c r="EA19" s="856"/>
      <c r="EB19" s="856"/>
      <c r="EC19" s="856"/>
      <c r="ED19" s="856"/>
      <c r="EE19" s="856"/>
      <c r="EF19" s="856"/>
      <c r="EG19" s="856"/>
      <c r="EH19" s="856"/>
      <c r="EI19" s="856"/>
      <c r="EJ19" s="856"/>
      <c r="EK19" s="856"/>
      <c r="EL19" s="856"/>
      <c r="EM19" s="856"/>
      <c r="EN19" s="856"/>
      <c r="EO19" s="856"/>
      <c r="EP19" s="856"/>
      <c r="EQ19" s="856"/>
      <c r="ER19" s="856"/>
      <c r="ES19" s="856"/>
    </row>
    <row r="20" spans="3:149" ht="12" customHeight="1">
      <c r="DG20" s="857" t="s">
        <v>215</v>
      </c>
      <c r="DH20" s="857"/>
      <c r="DI20" s="857"/>
      <c r="DJ20" s="857"/>
      <c r="DK20" s="857"/>
      <c r="DL20" s="857"/>
      <c r="DM20" s="857"/>
      <c r="DN20" s="857"/>
      <c r="DO20" s="857"/>
      <c r="DP20" s="857"/>
      <c r="DQ20" s="857"/>
      <c r="DR20" s="857"/>
      <c r="DS20" s="857"/>
      <c r="DT20" s="857"/>
      <c r="DU20" s="857"/>
      <c r="DV20" s="857"/>
      <c r="DW20" s="857"/>
      <c r="DX20" s="857"/>
      <c r="DY20" s="857"/>
      <c r="DZ20" s="857"/>
      <c r="EA20" s="857"/>
      <c r="EB20" s="857"/>
      <c r="EC20" s="857"/>
      <c r="ED20" s="857"/>
      <c r="EE20" s="857"/>
      <c r="EF20" s="857"/>
      <c r="EG20" s="857"/>
      <c r="EH20" s="857"/>
      <c r="EI20" s="857"/>
      <c r="EJ20" s="857"/>
      <c r="EK20" s="857"/>
      <c r="EL20" s="857"/>
      <c r="EM20" s="857"/>
      <c r="EN20" s="857"/>
    </row>
    <row r="21" spans="3:149" ht="12" customHeight="1">
      <c r="C21" s="413"/>
      <c r="D21" s="414"/>
      <c r="E21" s="414"/>
      <c r="F21" s="414"/>
      <c r="G21" s="414"/>
      <c r="H21" s="414"/>
      <c r="I21" s="414"/>
      <c r="J21" s="414"/>
      <c r="K21" s="414"/>
      <c r="L21" s="414"/>
      <c r="M21" s="414"/>
      <c r="N21" s="414"/>
      <c r="O21" s="414"/>
      <c r="P21" s="414"/>
      <c r="Q21" s="415"/>
      <c r="R21" s="414"/>
      <c r="S21" s="414"/>
      <c r="T21" s="414"/>
      <c r="U21" s="414"/>
      <c r="V21" s="414"/>
      <c r="W21" s="414"/>
      <c r="X21" s="414"/>
      <c r="Y21" s="414"/>
      <c r="Z21" s="414"/>
      <c r="AA21" s="414"/>
      <c r="AB21" s="414"/>
      <c r="AC21" s="414"/>
      <c r="AD21" s="414"/>
      <c r="AE21" s="414"/>
      <c r="AF21" s="414"/>
      <c r="AG21" s="414"/>
      <c r="AH21" s="414"/>
      <c r="AI21" s="414"/>
      <c r="AJ21" s="414"/>
      <c r="AK21" s="414"/>
      <c r="AL21" s="414"/>
      <c r="AM21" s="414"/>
      <c r="AN21" s="414"/>
      <c r="AO21" s="414"/>
      <c r="AP21" s="414"/>
      <c r="AQ21" s="414"/>
      <c r="AR21" s="414"/>
      <c r="AS21" s="414"/>
      <c r="AT21" s="414"/>
      <c r="AU21" s="414"/>
      <c r="AV21" s="414"/>
      <c r="AW21" s="414"/>
      <c r="AX21" s="414"/>
      <c r="AY21" s="414"/>
      <c r="AZ21" s="414"/>
      <c r="BA21" s="414"/>
      <c r="BB21" s="414"/>
      <c r="BC21" s="414"/>
      <c r="BD21" s="414"/>
      <c r="BE21" s="414"/>
      <c r="BF21" s="414"/>
      <c r="BG21" s="414"/>
      <c r="BH21" s="414"/>
      <c r="BI21" s="414"/>
      <c r="BJ21" s="414"/>
      <c r="BK21" s="414"/>
      <c r="BL21" s="414"/>
      <c r="BM21" s="414"/>
      <c r="BN21" s="414"/>
      <c r="BO21" s="414"/>
      <c r="BP21" s="414"/>
      <c r="BQ21" s="414"/>
      <c r="BR21" s="414"/>
      <c r="BS21" s="414"/>
      <c r="BT21" s="414"/>
      <c r="BU21" s="414"/>
      <c r="BV21" s="414"/>
      <c r="BW21" s="414"/>
      <c r="BX21" s="281" t="s">
        <v>113</v>
      </c>
      <c r="DG21" s="857" t="s">
        <v>216</v>
      </c>
      <c r="DH21" s="857"/>
      <c r="DI21" s="857"/>
      <c r="DJ21" s="857"/>
      <c r="DK21" s="857"/>
      <c r="DL21" s="857"/>
      <c r="DM21" s="857"/>
      <c r="DN21" s="857"/>
      <c r="DO21" s="857"/>
      <c r="DP21" s="857"/>
      <c r="DQ21" s="857"/>
      <c r="DR21" s="857"/>
      <c r="DS21" s="857"/>
      <c r="DT21" s="857"/>
      <c r="DU21" s="857"/>
      <c r="DV21" s="857"/>
      <c r="DW21" s="857"/>
      <c r="DX21" s="857"/>
      <c r="DY21" s="857"/>
      <c r="DZ21" s="857"/>
      <c r="EA21" s="857"/>
      <c r="EB21" s="857"/>
      <c r="EC21" s="857"/>
      <c r="ED21" s="857"/>
      <c r="EE21" s="857"/>
      <c r="EF21" s="857"/>
      <c r="EG21" s="857"/>
      <c r="EH21" s="857"/>
      <c r="EI21" s="857"/>
      <c r="EJ21" s="857"/>
      <c r="EK21" s="857"/>
      <c r="EL21" s="857"/>
      <c r="EM21" s="857"/>
      <c r="EN21" s="857"/>
      <c r="EO21" s="857"/>
      <c r="EP21" s="857"/>
    </row>
    <row r="22" spans="3:149" ht="12" customHeight="1">
      <c r="C22" s="181"/>
      <c r="CY22" s="447" t="s">
        <v>217</v>
      </c>
      <c r="DY22" s="455" t="s">
        <v>211</v>
      </c>
    </row>
    <row r="23" spans="3:149" ht="12" customHeight="1">
      <c r="C23" s="181"/>
      <c r="D23" s="228" t="s">
        <v>218</v>
      </c>
      <c r="E23" s="228"/>
      <c r="F23" s="228"/>
      <c r="G23" s="228"/>
      <c r="H23" s="228"/>
      <c r="I23" s="228"/>
      <c r="J23" s="235"/>
      <c r="K23" s="234"/>
      <c r="L23" s="234"/>
      <c r="M23" s="234"/>
      <c r="N23" s="234"/>
      <c r="O23" s="184"/>
      <c r="P23" s="193"/>
      <c r="Q23" s="193"/>
      <c r="R23" s="193"/>
      <c r="S23" s="193"/>
      <c r="T23" s="193"/>
      <c r="U23" s="194"/>
      <c r="BR23" s="279" t="s">
        <v>219</v>
      </c>
      <c r="BS23" s="24" t="s">
        <v>220</v>
      </c>
      <c r="CY23" s="447"/>
    </row>
    <row r="24" spans="3:149" ht="12" customHeight="1">
      <c r="C24" s="181"/>
      <c r="D24" s="228" t="s">
        <v>196</v>
      </c>
      <c r="E24" s="228"/>
      <c r="F24" s="228"/>
      <c r="G24" s="228"/>
      <c r="H24" s="228"/>
      <c r="I24" s="228"/>
      <c r="J24" s="241" t="s">
        <v>221</v>
      </c>
      <c r="K24" s="237"/>
      <c r="L24" s="237"/>
      <c r="M24" s="237"/>
      <c r="N24" s="237"/>
      <c r="O24" s="238"/>
      <c r="P24" s="191"/>
      <c r="Q24" s="232"/>
      <c r="R24" s="232"/>
      <c r="S24" s="232"/>
      <c r="T24" s="232"/>
      <c r="U24" s="232"/>
      <c r="V24" s="232"/>
      <c r="W24" s="232"/>
      <c r="X24" s="232"/>
      <c r="Y24" s="232"/>
      <c r="Z24" s="232"/>
      <c r="AA24" s="233"/>
      <c r="AC24" s="858" t="s">
        <v>222</v>
      </c>
      <c r="AD24" s="858"/>
      <c r="AE24" s="858"/>
      <c r="AF24" s="858"/>
      <c r="AG24" s="858"/>
      <c r="AH24" s="859"/>
      <c r="AI24" s="235"/>
      <c r="AJ24" s="230"/>
      <c r="AK24" s="230"/>
      <c r="AL24" s="230"/>
      <c r="AM24" s="230"/>
      <c r="AN24" s="184"/>
      <c r="AO24" s="231"/>
      <c r="AP24" s="232"/>
      <c r="AQ24" s="232"/>
      <c r="AR24" s="232"/>
      <c r="AS24" s="232"/>
      <c r="AT24" s="233"/>
      <c r="BC24" s="196"/>
      <c r="CY24" s="447"/>
    </row>
    <row r="25" spans="3:149" ht="12" customHeight="1">
      <c r="C25" s="181"/>
      <c r="D25" s="228" t="s">
        <v>223</v>
      </c>
      <c r="E25" s="228"/>
      <c r="F25" s="228"/>
      <c r="G25" s="228"/>
      <c r="H25" s="228"/>
      <c r="I25" s="228"/>
      <c r="J25" s="348" t="s">
        <v>224</v>
      </c>
      <c r="K25" s="230"/>
      <c r="L25" s="230"/>
      <c r="M25" s="230"/>
      <c r="N25" s="296"/>
      <c r="O25" s="236"/>
      <c r="P25" s="191"/>
      <c r="Q25" s="193" t="s">
        <v>225</v>
      </c>
      <c r="R25" s="193"/>
      <c r="S25" s="193"/>
      <c r="T25" s="193"/>
      <c r="U25" s="193"/>
      <c r="V25" s="193"/>
      <c r="W25" s="193"/>
      <c r="X25" s="240"/>
      <c r="Y25" s="240"/>
      <c r="Z25" s="240"/>
      <c r="AA25" s="239"/>
      <c r="AB25" s="240"/>
      <c r="AC25" s="240"/>
      <c r="AD25" s="240"/>
      <c r="AE25" s="240"/>
      <c r="AF25" s="240"/>
      <c r="AG25" s="239"/>
    </row>
    <row r="26" spans="3:149" ht="12" customHeight="1">
      <c r="C26" s="181"/>
      <c r="D26" s="228" t="s">
        <v>226</v>
      </c>
      <c r="E26" s="228"/>
      <c r="F26" s="228"/>
      <c r="G26" s="228"/>
      <c r="H26" s="228"/>
      <c r="I26" s="228"/>
      <c r="J26" s="235"/>
      <c r="K26" s="230"/>
      <c r="L26" s="230"/>
      <c r="M26" s="230"/>
      <c r="N26" s="230"/>
      <c r="O26" s="230"/>
      <c r="P26" s="230"/>
      <c r="Q26" s="230"/>
      <c r="R26" s="230"/>
      <c r="S26" s="230"/>
      <c r="T26" s="230"/>
      <c r="U26" s="230"/>
      <c r="V26" s="230"/>
      <c r="W26" s="230"/>
      <c r="X26" s="230"/>
      <c r="Y26" s="230"/>
      <c r="Z26" s="230"/>
      <c r="AA26" s="236"/>
      <c r="AB26" s="24" t="s">
        <v>219</v>
      </c>
      <c r="AC26" s="235"/>
      <c r="AD26" s="230"/>
      <c r="AE26" s="230"/>
      <c r="AF26" s="230"/>
      <c r="AG26" s="230"/>
      <c r="AH26" s="230"/>
      <c r="AI26" s="230"/>
      <c r="AJ26" s="230"/>
      <c r="AK26" s="230"/>
      <c r="AL26" s="230"/>
      <c r="AM26" s="230"/>
      <c r="AN26" s="230"/>
      <c r="AO26" s="230"/>
      <c r="AP26" s="230"/>
      <c r="AQ26" s="230"/>
      <c r="AR26" s="230"/>
      <c r="AS26" s="230"/>
      <c r="AT26" s="236"/>
      <c r="AU26" s="24" t="s">
        <v>219</v>
      </c>
      <c r="BK26" s="2"/>
      <c r="CY26" s="447"/>
    </row>
    <row r="27" spans="3:149" ht="12" customHeight="1">
      <c r="C27" s="181"/>
      <c r="D27" s="228" t="s">
        <v>227</v>
      </c>
      <c r="E27" s="228"/>
      <c r="F27" s="228"/>
      <c r="G27" s="228"/>
      <c r="H27" s="228"/>
      <c r="I27" s="228"/>
      <c r="J27" s="235"/>
      <c r="K27" s="230"/>
      <c r="L27" s="230"/>
      <c r="M27" s="230"/>
      <c r="N27" s="230"/>
      <c r="O27" s="236"/>
      <c r="P27" s="860" t="s">
        <v>228</v>
      </c>
      <c r="Q27" s="861"/>
      <c r="R27" s="235"/>
      <c r="S27" s="230"/>
      <c r="T27" s="230"/>
      <c r="U27" s="230"/>
      <c r="V27" s="230"/>
      <c r="W27" s="236"/>
      <c r="X27" s="2"/>
      <c r="Y27" s="2"/>
      <c r="CY27" s="447"/>
    </row>
    <row r="28" spans="3:149" ht="12" customHeight="1">
      <c r="C28" s="181"/>
      <c r="D28" s="228" t="s">
        <v>191</v>
      </c>
      <c r="E28" s="228"/>
      <c r="F28" s="228"/>
      <c r="G28" s="228"/>
      <c r="H28" s="228"/>
      <c r="I28" s="228"/>
      <c r="J28" s="235"/>
      <c r="K28" s="230"/>
      <c r="L28" s="230"/>
      <c r="M28" s="230"/>
      <c r="N28" s="230"/>
      <c r="O28" s="236"/>
      <c r="P28" s="441" t="s">
        <v>228</v>
      </c>
      <c r="Q28" s="449"/>
      <c r="R28" s="235"/>
      <c r="S28" s="230"/>
      <c r="T28" s="230"/>
      <c r="U28" s="230"/>
      <c r="V28" s="230"/>
      <c r="W28" s="236"/>
      <c r="X28" s="2"/>
      <c r="Y28" s="2"/>
      <c r="Z28" s="2"/>
      <c r="AA28" s="2"/>
      <c r="AB28" s="2"/>
      <c r="AC28" s="450" t="s">
        <v>229</v>
      </c>
      <c r="AD28" s="450"/>
      <c r="AE28" s="450"/>
      <c r="AF28" s="450"/>
      <c r="AG28" s="450"/>
      <c r="AH28" s="450"/>
      <c r="AI28" s="862" t="s">
        <v>230</v>
      </c>
      <c r="AJ28" s="863"/>
      <c r="AK28" s="864"/>
      <c r="AO28" s="228" t="s">
        <v>231</v>
      </c>
      <c r="AP28" s="228"/>
      <c r="AQ28" s="228"/>
      <c r="AR28" s="228"/>
      <c r="AS28" s="228"/>
      <c r="AT28" s="228"/>
      <c r="AU28" s="24" t="s">
        <v>232</v>
      </c>
      <c r="AV28" s="235"/>
      <c r="AW28" s="230"/>
      <c r="AX28" s="230"/>
      <c r="AY28" s="230"/>
      <c r="AZ28" s="230"/>
      <c r="BA28" s="191"/>
      <c r="BB28" s="24" t="s">
        <v>233</v>
      </c>
      <c r="BC28" s="235"/>
      <c r="BD28" s="230"/>
      <c r="BE28" s="230"/>
      <c r="BF28" s="230"/>
      <c r="BG28" s="230"/>
      <c r="BH28" s="191"/>
      <c r="BI28" s="24" t="s">
        <v>234</v>
      </c>
      <c r="BJ28" s="235"/>
      <c r="BK28" s="230"/>
      <c r="BL28" s="230"/>
      <c r="BM28" s="230"/>
      <c r="BN28" s="230"/>
      <c r="BO28" s="191"/>
      <c r="CY28" s="447"/>
    </row>
    <row r="29" spans="3:149" ht="12" customHeight="1">
      <c r="C29" s="181"/>
      <c r="D29" s="228" t="s">
        <v>235</v>
      </c>
      <c r="E29" s="228"/>
      <c r="F29" s="228"/>
      <c r="G29" s="228"/>
      <c r="H29" s="228"/>
      <c r="I29" s="228"/>
      <c r="J29" s="235"/>
      <c r="K29" s="230"/>
      <c r="L29" s="230"/>
      <c r="M29" s="236"/>
      <c r="R29" s="228" t="s">
        <v>236</v>
      </c>
      <c r="S29" s="228"/>
      <c r="T29" s="228"/>
      <c r="U29" s="228"/>
      <c r="V29" s="228"/>
      <c r="W29" s="235"/>
      <c r="X29" s="230"/>
      <c r="Y29" s="230"/>
      <c r="Z29" s="230"/>
      <c r="AA29" s="236"/>
      <c r="AC29" s="228" t="s">
        <v>237</v>
      </c>
      <c r="AD29" s="228"/>
      <c r="AE29" s="228"/>
      <c r="AF29" s="228"/>
      <c r="AG29" s="228"/>
      <c r="AH29" s="235"/>
      <c r="AI29" s="230"/>
      <c r="AJ29" s="230"/>
      <c r="AK29" s="230"/>
      <c r="AL29" s="236"/>
      <c r="CY29" s="447"/>
    </row>
    <row r="30" spans="3:149" ht="12" customHeight="1">
      <c r="C30" s="181"/>
      <c r="CY30" s="447"/>
    </row>
    <row r="31" spans="3:149" ht="12" customHeight="1">
      <c r="C31" s="181"/>
      <c r="Q31" s="24"/>
      <c r="R31" s="228" t="s">
        <v>238</v>
      </c>
      <c r="S31" s="228"/>
      <c r="T31" s="244"/>
      <c r="U31" s="228"/>
      <c r="V31" s="228"/>
      <c r="W31" s="228"/>
      <c r="X31" s="228"/>
      <c r="Y31" s="228"/>
      <c r="Z31" s="228"/>
      <c r="AA31" s="228"/>
      <c r="AB31" s="228"/>
      <c r="AC31" s="228"/>
      <c r="AD31" s="228"/>
      <c r="AE31" s="228"/>
      <c r="AF31" s="228"/>
      <c r="AG31" s="228"/>
      <c r="AH31" s="228"/>
      <c r="AI31" s="228"/>
      <c r="AK31" s="228" t="s">
        <v>239</v>
      </c>
      <c r="AL31" s="228"/>
      <c r="AM31" s="228"/>
      <c r="AN31" s="228"/>
      <c r="AO31" s="228"/>
      <c r="AP31" s="228"/>
      <c r="AQ31" s="228"/>
      <c r="AR31" s="228"/>
      <c r="AS31" s="228"/>
      <c r="AT31" s="228"/>
      <c r="AU31" s="228"/>
      <c r="AV31" s="228"/>
      <c r="AW31" s="228"/>
      <c r="AY31" s="228" t="s">
        <v>240</v>
      </c>
      <c r="AZ31" s="228"/>
      <c r="BA31" s="228"/>
      <c r="BB31" s="228"/>
      <c r="BC31" s="228"/>
      <c r="BD31" s="228"/>
      <c r="BE31" s="228"/>
      <c r="BF31" s="228"/>
      <c r="BG31" s="228"/>
      <c r="BH31" s="228"/>
      <c r="BJ31" s="228" t="s">
        <v>241</v>
      </c>
      <c r="BK31" s="228"/>
      <c r="BL31" s="228"/>
      <c r="BM31" s="228"/>
      <c r="BN31" s="228"/>
      <c r="BO31" s="228"/>
      <c r="BP31" s="228"/>
      <c r="BQ31" s="228"/>
      <c r="BR31" s="228"/>
      <c r="BS31" s="228"/>
      <c r="CY31" s="447"/>
    </row>
    <row r="32" spans="3:149" ht="12" customHeight="1">
      <c r="C32" s="181"/>
      <c r="D32" s="450" t="s">
        <v>242</v>
      </c>
      <c r="E32" s="450"/>
      <c r="F32" s="450"/>
      <c r="G32" s="450"/>
      <c r="H32" s="450"/>
      <c r="I32" s="450"/>
      <c r="J32" s="442" t="s">
        <v>243</v>
      </c>
      <c r="K32" s="443"/>
      <c r="N32" s="450" t="s">
        <v>244</v>
      </c>
      <c r="O32" s="450"/>
      <c r="P32" s="450"/>
      <c r="Q32" s="450"/>
      <c r="R32" s="444"/>
      <c r="S32" s="445"/>
      <c r="T32" s="445"/>
      <c r="U32" s="446"/>
      <c r="V32" s="191"/>
      <c r="W32" s="240"/>
      <c r="X32" s="240"/>
      <c r="Y32" s="240"/>
      <c r="Z32" s="240"/>
      <c r="AA32" s="240"/>
      <c r="AB32" s="240"/>
      <c r="AC32" s="240"/>
      <c r="AD32" s="240"/>
      <c r="AE32" s="240"/>
      <c r="AF32" s="240"/>
      <c r="AG32" s="240"/>
      <c r="AH32" s="240"/>
      <c r="AI32" s="239"/>
      <c r="AK32" s="444"/>
      <c r="AL32" s="445"/>
      <c r="AM32" s="445"/>
      <c r="AN32" s="446"/>
      <c r="AO32" s="191"/>
      <c r="AP32" s="240"/>
      <c r="AQ32" s="240"/>
      <c r="AR32" s="240"/>
      <c r="AS32" s="240"/>
      <c r="AT32" s="240"/>
      <c r="AU32" s="240"/>
      <c r="AV32" s="240"/>
      <c r="AW32" s="239"/>
      <c r="AY32" s="444"/>
      <c r="AZ32" s="445"/>
      <c r="BA32" s="445"/>
      <c r="BB32" s="446"/>
      <c r="BC32" s="191"/>
      <c r="BD32" s="240"/>
      <c r="BE32" s="240"/>
      <c r="BF32" s="240"/>
      <c r="BG32" s="240"/>
      <c r="BH32" s="239"/>
      <c r="BJ32" s="853" t="s">
        <v>245</v>
      </c>
      <c r="BK32" s="854"/>
      <c r="BL32" s="854"/>
      <c r="BM32" s="855"/>
      <c r="BN32" s="191"/>
      <c r="BO32" s="240"/>
      <c r="BP32" s="240"/>
      <c r="BQ32" s="240"/>
      <c r="BR32" s="240"/>
      <c r="BS32" s="239"/>
      <c r="CY32" s="447"/>
    </row>
    <row r="33" spans="3:103" ht="12" customHeight="1">
      <c r="C33" s="181"/>
      <c r="D33" s="228" t="s">
        <v>246</v>
      </c>
      <c r="E33" s="228"/>
      <c r="F33" s="228"/>
      <c r="G33" s="228"/>
      <c r="H33" s="228"/>
      <c r="I33" s="228"/>
      <c r="J33" s="24" t="s">
        <v>247</v>
      </c>
      <c r="L33" s="235"/>
      <c r="M33" s="230"/>
      <c r="N33" s="236"/>
      <c r="P33" s="24" t="s">
        <v>248</v>
      </c>
      <c r="Q33" s="24"/>
      <c r="R33" s="235"/>
      <c r="S33" s="230"/>
      <c r="T33" s="236"/>
      <c r="AC33" s="228" t="s">
        <v>249</v>
      </c>
      <c r="AD33" s="228"/>
      <c r="AE33" s="228"/>
      <c r="AF33" s="228"/>
      <c r="AG33" s="228"/>
      <c r="AH33" s="228"/>
      <c r="AI33" s="24" t="s">
        <v>247</v>
      </c>
      <c r="AK33" s="235"/>
      <c r="AL33" s="230"/>
      <c r="AM33" s="236"/>
      <c r="AO33" s="24" t="s">
        <v>248</v>
      </c>
      <c r="AQ33" s="235"/>
      <c r="AR33" s="230"/>
      <c r="AS33" s="236"/>
      <c r="CY33" s="447"/>
    </row>
    <row r="34" spans="3:103" ht="12" customHeight="1">
      <c r="C34" s="181"/>
      <c r="CY34" s="447"/>
    </row>
    <row r="35" spans="3:103" ht="12" customHeight="1">
      <c r="C35" s="181"/>
      <c r="D35" s="451" t="s">
        <v>250</v>
      </c>
      <c r="E35" s="451"/>
      <c r="F35" s="451"/>
      <c r="G35" s="451"/>
      <c r="H35" s="451"/>
      <c r="I35" s="451"/>
      <c r="J35" s="451"/>
      <c r="K35" s="451"/>
      <c r="L35" s="451"/>
      <c r="M35" s="451"/>
      <c r="N35" s="451"/>
      <c r="O35" s="451"/>
      <c r="P35" s="451"/>
      <c r="Q35" s="451"/>
      <c r="R35" s="451"/>
      <c r="S35" s="451"/>
      <c r="T35" s="451"/>
      <c r="U35" s="451"/>
      <c r="V35" s="451"/>
      <c r="W35" s="451"/>
      <c r="X35" s="451"/>
      <c r="Y35" s="451"/>
      <c r="Z35" s="451"/>
      <c r="AA35" s="451"/>
      <c r="AB35" s="451"/>
      <c r="AC35" s="451"/>
      <c r="AD35" s="451"/>
      <c r="AE35" s="451"/>
      <c r="AF35" s="451"/>
      <c r="AG35" s="451"/>
      <c r="AH35" s="451"/>
      <c r="AI35" s="451"/>
      <c r="AJ35" s="451"/>
      <c r="AK35" s="451"/>
      <c r="AL35" s="451"/>
      <c r="AM35" s="451"/>
      <c r="AN35" s="451"/>
      <c r="AO35" s="451"/>
      <c r="AP35" s="451"/>
      <c r="AQ35" s="451"/>
      <c r="AR35" s="451"/>
      <c r="AS35" s="451"/>
      <c r="AT35" s="451"/>
      <c r="AU35" s="451"/>
      <c r="AV35" s="451"/>
      <c r="AW35" s="451"/>
      <c r="AX35" s="451"/>
      <c r="AY35" s="451"/>
      <c r="AZ35" s="451"/>
      <c r="BA35" s="451"/>
      <c r="BB35" s="451"/>
      <c r="BC35" s="451"/>
      <c r="BD35" s="451"/>
      <c r="BE35" s="451"/>
      <c r="BF35" s="451"/>
      <c r="BG35" s="451"/>
      <c r="BH35" s="451"/>
      <c r="BI35" s="451"/>
      <c r="BJ35" s="451"/>
      <c r="BK35" s="451"/>
      <c r="BL35" s="451"/>
      <c r="BM35" s="451"/>
      <c r="BN35" s="451"/>
      <c r="BO35" s="451"/>
      <c r="BP35" s="451"/>
      <c r="BQ35" s="451"/>
      <c r="BR35" s="451"/>
      <c r="BS35" s="451"/>
      <c r="BT35" s="451"/>
      <c r="BU35" s="451"/>
      <c r="BV35" s="451"/>
      <c r="BW35" s="452" t="s">
        <v>251</v>
      </c>
      <c r="CY35" s="447"/>
    </row>
    <row r="36" spans="3:103" ht="12" customHeight="1">
      <c r="C36" s="181"/>
      <c r="J36" s="228" t="s">
        <v>238</v>
      </c>
      <c r="K36" s="228"/>
      <c r="L36" s="244"/>
      <c r="M36" s="228"/>
      <c r="N36" s="228"/>
      <c r="O36" s="228"/>
      <c r="P36" s="228"/>
      <c r="Q36" s="228"/>
      <c r="R36" s="228"/>
      <c r="S36" s="228"/>
      <c r="T36" s="228"/>
      <c r="U36" s="228"/>
      <c r="V36" s="228"/>
      <c r="W36" s="228"/>
      <c r="X36" s="228"/>
      <c r="Y36" s="228"/>
      <c r="Z36" s="228"/>
      <c r="AA36" s="228"/>
      <c r="AC36" s="228" t="s">
        <v>239</v>
      </c>
      <c r="AD36" s="228"/>
      <c r="AE36" s="228"/>
      <c r="AF36" s="228"/>
      <c r="AG36" s="228"/>
      <c r="AH36" s="228"/>
      <c r="AI36" s="228"/>
      <c r="AJ36" s="228"/>
      <c r="AK36" s="228"/>
      <c r="AL36" s="228"/>
      <c r="AM36" s="228"/>
      <c r="AN36" s="228"/>
      <c r="AO36" s="228"/>
      <c r="AQ36" s="228" t="s">
        <v>240</v>
      </c>
      <c r="AR36" s="228"/>
      <c r="AS36" s="228"/>
      <c r="AT36" s="228"/>
      <c r="AU36" s="228"/>
      <c r="AV36" s="228"/>
      <c r="AW36" s="228"/>
      <c r="AX36" s="228"/>
      <c r="AY36" s="228"/>
      <c r="AZ36" s="228"/>
      <c r="BB36" s="228" t="s">
        <v>241</v>
      </c>
      <c r="BC36" s="228"/>
      <c r="BD36" s="228"/>
      <c r="BE36" s="228"/>
      <c r="BF36" s="228"/>
      <c r="BG36" s="228"/>
      <c r="BH36" s="228"/>
      <c r="BI36" s="228"/>
      <c r="BJ36" s="228"/>
      <c r="BK36" s="228"/>
      <c r="CY36" s="447"/>
    </row>
    <row r="37" spans="3:103" ht="12" customHeight="1">
      <c r="C37" s="181"/>
      <c r="D37" s="228" t="s">
        <v>252</v>
      </c>
      <c r="E37" s="228"/>
      <c r="F37" s="228"/>
      <c r="G37" s="228"/>
      <c r="H37" s="228"/>
      <c r="I37" s="228"/>
      <c r="J37" s="444"/>
      <c r="K37" s="445"/>
      <c r="L37" s="445"/>
      <c r="M37" s="446"/>
      <c r="N37" s="191"/>
      <c r="O37" s="240"/>
      <c r="P37" s="240"/>
      <c r="Q37" s="240"/>
      <c r="R37" s="240"/>
      <c r="S37" s="240"/>
      <c r="T37" s="240"/>
      <c r="U37" s="240"/>
      <c r="V37" s="240"/>
      <c r="W37" s="240"/>
      <c r="X37" s="240"/>
      <c r="Y37" s="240"/>
      <c r="Z37" s="240"/>
      <c r="AA37" s="239"/>
      <c r="AC37" s="444"/>
      <c r="AD37" s="445"/>
      <c r="AE37" s="445"/>
      <c r="AF37" s="446"/>
      <c r="AG37" s="191"/>
      <c r="AH37" s="240"/>
      <c r="AI37" s="240"/>
      <c r="AJ37" s="240"/>
      <c r="AK37" s="240"/>
      <c r="AL37" s="240"/>
      <c r="AM37" s="240"/>
      <c r="AN37" s="240"/>
      <c r="AO37" s="239"/>
      <c r="AQ37" s="444"/>
      <c r="AR37" s="445"/>
      <c r="AS37" s="445"/>
      <c r="AT37" s="446"/>
      <c r="AU37" s="191"/>
      <c r="AV37" s="240"/>
      <c r="AW37" s="240"/>
      <c r="AX37" s="240"/>
      <c r="AY37" s="240"/>
      <c r="AZ37" s="239"/>
      <c r="BB37" s="853" t="s">
        <v>245</v>
      </c>
      <c r="BC37" s="854"/>
      <c r="BD37" s="854"/>
      <c r="BE37" s="855"/>
      <c r="BF37" s="191"/>
      <c r="BG37" s="240"/>
      <c r="BH37" s="240"/>
      <c r="BI37" s="240"/>
      <c r="BJ37" s="240"/>
      <c r="BK37" s="239"/>
      <c r="CY37" s="447"/>
    </row>
    <row r="38" spans="3:103" ht="12" customHeight="1">
      <c r="C38" s="181"/>
      <c r="D38" s="228" t="s">
        <v>253</v>
      </c>
      <c r="E38" s="228"/>
      <c r="F38" s="228"/>
      <c r="G38" s="228"/>
      <c r="H38" s="228"/>
      <c r="I38" s="228"/>
      <c r="J38" s="444"/>
      <c r="K38" s="445"/>
      <c r="L38" s="445"/>
      <c r="M38" s="446"/>
      <c r="N38" s="191"/>
      <c r="O38" s="240"/>
      <c r="P38" s="240"/>
      <c r="Q38" s="240"/>
      <c r="R38" s="240"/>
      <c r="S38" s="240"/>
      <c r="T38" s="240"/>
      <c r="U38" s="240"/>
      <c r="V38" s="240"/>
      <c r="W38" s="240"/>
      <c r="X38" s="240"/>
      <c r="Y38" s="240"/>
      <c r="Z38" s="240"/>
      <c r="AA38" s="239"/>
      <c r="AC38" s="444"/>
      <c r="AD38" s="445"/>
      <c r="AE38" s="445"/>
      <c r="AF38" s="446"/>
      <c r="AG38" s="191"/>
      <c r="AH38" s="240"/>
      <c r="AI38" s="240"/>
      <c r="AJ38" s="240"/>
      <c r="AK38" s="240"/>
      <c r="AL38" s="240"/>
      <c r="AM38" s="240"/>
      <c r="AN38" s="240"/>
      <c r="AO38" s="239"/>
      <c r="AQ38" s="444"/>
      <c r="AR38" s="445"/>
      <c r="AS38" s="445"/>
      <c r="AT38" s="446"/>
      <c r="AU38" s="191"/>
      <c r="AV38" s="240"/>
      <c r="AW38" s="240"/>
      <c r="AX38" s="240"/>
      <c r="AY38" s="240"/>
      <c r="AZ38" s="239"/>
      <c r="BB38" s="853" t="s">
        <v>245</v>
      </c>
      <c r="BC38" s="854"/>
      <c r="BD38" s="854"/>
      <c r="BE38" s="855"/>
      <c r="BF38" s="191"/>
      <c r="BG38" s="240"/>
      <c r="BH38" s="240"/>
      <c r="BI38" s="240"/>
      <c r="BJ38" s="240"/>
      <c r="BK38" s="239"/>
      <c r="CY38" s="447"/>
    </row>
    <row r="39" spans="3:103" ht="12" customHeight="1">
      <c r="C39" s="181"/>
      <c r="Q39" s="24"/>
      <c r="CY39" s="447"/>
    </row>
    <row r="40" spans="3:103" ht="12" customHeight="1">
      <c r="C40" s="181"/>
      <c r="D40" s="228" t="s">
        <v>254</v>
      </c>
      <c r="E40" s="228"/>
      <c r="F40" s="228"/>
      <c r="G40" s="228"/>
      <c r="H40" s="228"/>
      <c r="I40" s="228"/>
      <c r="J40" s="235"/>
      <c r="K40" s="230"/>
      <c r="L40" s="230"/>
      <c r="M40" s="230"/>
      <c r="N40" s="230"/>
      <c r="O40" s="184"/>
      <c r="R40" s="228" t="s">
        <v>255</v>
      </c>
      <c r="S40" s="228"/>
      <c r="T40" s="228"/>
      <c r="U40" s="228"/>
      <c r="V40" s="235"/>
      <c r="W40" s="230"/>
      <c r="X40" s="230"/>
      <c r="Y40" s="230"/>
      <c r="Z40" s="230"/>
      <c r="AA40" s="191"/>
      <c r="AT40" s="243"/>
      <c r="BS40" s="243"/>
      <c r="CY40" s="447"/>
    </row>
    <row r="41" spans="3:103" ht="12" customHeight="1">
      <c r="C41" s="181"/>
      <c r="Q41" s="24"/>
      <c r="CY41" s="447"/>
    </row>
    <row r="42" spans="3:103" ht="12" customHeight="1">
      <c r="C42" s="181"/>
      <c r="D42" s="228" t="s">
        <v>256</v>
      </c>
      <c r="E42" s="228"/>
      <c r="F42" s="228"/>
      <c r="G42" s="228"/>
      <c r="H42" s="228"/>
      <c r="I42" s="228"/>
      <c r="J42" s="235" t="s">
        <v>257</v>
      </c>
      <c r="K42" s="230"/>
      <c r="L42" s="230"/>
      <c r="M42" s="230"/>
      <c r="N42" s="230"/>
      <c r="O42" s="230"/>
      <c r="P42" s="230"/>
      <c r="Q42" s="230"/>
      <c r="R42" s="230"/>
      <c r="S42" s="230"/>
      <c r="T42" s="230"/>
      <c r="U42" s="230"/>
      <c r="V42" s="230"/>
      <c r="W42" s="230"/>
      <c r="X42" s="230"/>
      <c r="Y42" s="230"/>
      <c r="Z42" s="230"/>
      <c r="AA42" s="236"/>
      <c r="AB42" s="196" t="s">
        <v>219</v>
      </c>
      <c r="AC42" s="228" t="s">
        <v>258</v>
      </c>
      <c r="AD42" s="228"/>
      <c r="AE42" s="228"/>
      <c r="AF42" s="228"/>
      <c r="AG42" s="228"/>
      <c r="AH42" s="228"/>
      <c r="AI42" s="235" t="s">
        <v>257</v>
      </c>
      <c r="AJ42" s="230"/>
      <c r="AK42" s="230"/>
      <c r="AL42" s="230"/>
      <c r="AM42" s="230"/>
      <c r="AN42" s="230"/>
      <c r="AO42" s="230"/>
      <c r="AP42" s="230"/>
      <c r="AQ42" s="230"/>
      <c r="AR42" s="230"/>
      <c r="AS42" s="230"/>
      <c r="AT42" s="230"/>
      <c r="AU42" s="230"/>
      <c r="AV42" s="230"/>
      <c r="AW42" s="230"/>
      <c r="AX42" s="230"/>
      <c r="AY42" s="230"/>
      <c r="AZ42" s="236"/>
      <c r="BA42" s="196" t="s">
        <v>219</v>
      </c>
      <c r="CY42" s="447"/>
    </row>
    <row r="43" spans="3:103" ht="12" customHeight="1">
      <c r="C43" s="181"/>
      <c r="D43" s="228" t="s">
        <v>259</v>
      </c>
      <c r="E43" s="228"/>
      <c r="F43" s="228"/>
      <c r="G43" s="228"/>
      <c r="H43" s="228"/>
      <c r="I43" s="228"/>
      <c r="J43" s="235" t="s">
        <v>257</v>
      </c>
      <c r="K43" s="230"/>
      <c r="L43" s="230"/>
      <c r="M43" s="230"/>
      <c r="N43" s="230"/>
      <c r="O43" s="230"/>
      <c r="P43" s="230"/>
      <c r="Q43" s="230"/>
      <c r="R43" s="230"/>
      <c r="S43" s="230"/>
      <c r="T43" s="230"/>
      <c r="U43" s="230"/>
      <c r="V43" s="230"/>
      <c r="W43" s="230"/>
      <c r="X43" s="230"/>
      <c r="Y43" s="230"/>
      <c r="Z43" s="230"/>
      <c r="AA43" s="236"/>
      <c r="AB43" s="196" t="s">
        <v>219</v>
      </c>
      <c r="AC43" s="228" t="s">
        <v>260</v>
      </c>
      <c r="AD43" s="228"/>
      <c r="AE43" s="228"/>
      <c r="AF43" s="228"/>
      <c r="AG43" s="228"/>
      <c r="AH43" s="448"/>
      <c r="AI43" s="235" t="s">
        <v>257</v>
      </c>
      <c r="AJ43" s="230"/>
      <c r="AK43" s="230"/>
      <c r="AL43" s="230"/>
      <c r="AM43" s="230"/>
      <c r="AN43" s="230"/>
      <c r="AO43" s="230"/>
      <c r="AP43" s="230"/>
      <c r="AQ43" s="230"/>
      <c r="AR43" s="230"/>
      <c r="AS43" s="230"/>
      <c r="AT43" s="230"/>
      <c r="AU43" s="230"/>
      <c r="AV43" s="230"/>
      <c r="AW43" s="230"/>
      <c r="AX43" s="230"/>
      <c r="AY43" s="230"/>
      <c r="AZ43" s="236"/>
      <c r="BA43" s="196" t="s">
        <v>219</v>
      </c>
      <c r="CY43" s="447"/>
    </row>
    <row r="44" spans="3:103" ht="12" customHeight="1">
      <c r="C44" s="181"/>
      <c r="D44" s="228" t="s">
        <v>261</v>
      </c>
      <c r="E44" s="228"/>
      <c r="F44" s="228"/>
      <c r="G44" s="228"/>
      <c r="H44" s="228"/>
      <c r="I44" s="228"/>
      <c r="J44" s="235" t="s">
        <v>257</v>
      </c>
      <c r="K44" s="230"/>
      <c r="L44" s="230"/>
      <c r="M44" s="230"/>
      <c r="N44" s="230"/>
      <c r="O44" s="230"/>
      <c r="P44" s="230"/>
      <c r="Q44" s="230"/>
      <c r="R44" s="230"/>
      <c r="S44" s="230"/>
      <c r="T44" s="230"/>
      <c r="U44" s="230"/>
      <c r="V44" s="230"/>
      <c r="W44" s="230"/>
      <c r="X44" s="230"/>
      <c r="Y44" s="230"/>
      <c r="Z44" s="230"/>
      <c r="AA44" s="236"/>
      <c r="AB44" s="196" t="s">
        <v>219</v>
      </c>
      <c r="AC44" s="228" t="s">
        <v>262</v>
      </c>
      <c r="AD44" s="228"/>
      <c r="AE44" s="228"/>
      <c r="AF44" s="228"/>
      <c r="AG44" s="228"/>
      <c r="AH44" s="448"/>
      <c r="AI44" s="235" t="s">
        <v>257</v>
      </c>
      <c r="AJ44" s="230"/>
      <c r="AK44" s="230"/>
      <c r="AL44" s="230"/>
      <c r="AM44" s="230"/>
      <c r="AN44" s="230"/>
      <c r="AO44" s="230"/>
      <c r="AP44" s="230"/>
      <c r="AQ44" s="230"/>
      <c r="AR44" s="230"/>
      <c r="AS44" s="230"/>
      <c r="AT44" s="230"/>
      <c r="AU44" s="230"/>
      <c r="AV44" s="230"/>
      <c r="AW44" s="230"/>
      <c r="AX44" s="230"/>
      <c r="AY44" s="230"/>
      <c r="AZ44" s="236"/>
      <c r="BA44" s="196" t="s">
        <v>219</v>
      </c>
      <c r="CY44" s="447"/>
    </row>
    <row r="45" spans="3:103" ht="12" customHeight="1">
      <c r="C45" s="181"/>
    </row>
    <row r="46" spans="3:103" ht="12" customHeight="1">
      <c r="C46" s="181"/>
    </row>
    <row r="47" spans="3:103" ht="12" customHeight="1">
      <c r="C47" s="181"/>
      <c r="D47" s="24" t="s">
        <v>263</v>
      </c>
      <c r="J47" s="24" t="s">
        <v>264</v>
      </c>
    </row>
    <row r="48" spans="3:103" ht="12" customHeight="1">
      <c r="C48" s="181"/>
      <c r="D48" s="24" t="s">
        <v>265</v>
      </c>
      <c r="J48" s="24" t="s">
        <v>266</v>
      </c>
      <c r="N48" s="24" t="s">
        <v>267</v>
      </c>
    </row>
    <row r="49" spans="3:76" ht="12" customHeight="1">
      <c r="C49" s="181"/>
      <c r="D49" s="24" t="s">
        <v>268</v>
      </c>
      <c r="J49" s="24" t="s">
        <v>269</v>
      </c>
      <c r="N49" s="24" t="s">
        <v>270</v>
      </c>
      <c r="R49" s="24" t="s">
        <v>271</v>
      </c>
      <c r="W49" s="24" t="s">
        <v>272</v>
      </c>
    </row>
    <row r="50" spans="3:76" ht="12" customHeight="1">
      <c r="C50" s="185"/>
      <c r="D50" s="186"/>
      <c r="E50" s="186"/>
      <c r="F50" s="186"/>
      <c r="G50" s="186"/>
      <c r="H50" s="186"/>
      <c r="I50" s="186"/>
      <c r="J50" s="186"/>
      <c r="K50" s="186"/>
      <c r="L50" s="186"/>
      <c r="M50" s="186"/>
      <c r="N50" s="186"/>
      <c r="O50" s="186"/>
      <c r="P50" s="186"/>
      <c r="Q50" s="187"/>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6"/>
      <c r="AV50" s="186"/>
      <c r="AW50" s="186"/>
      <c r="AX50" s="186"/>
      <c r="AY50" s="186"/>
      <c r="AZ50" s="186"/>
      <c r="BA50" s="186"/>
      <c r="BB50" s="186"/>
      <c r="BC50" s="186"/>
      <c r="BD50" s="186"/>
      <c r="BE50" s="186"/>
      <c r="BF50" s="186"/>
      <c r="BG50" s="186"/>
      <c r="BH50" s="186"/>
      <c r="BI50" s="186"/>
      <c r="BJ50" s="186"/>
      <c r="BK50" s="186"/>
      <c r="BL50" s="186"/>
      <c r="BM50" s="186"/>
      <c r="BN50" s="186"/>
      <c r="BO50" s="186"/>
      <c r="BP50" s="186"/>
      <c r="BQ50" s="186"/>
      <c r="BR50" s="186"/>
      <c r="BS50" s="186"/>
      <c r="BT50" s="186"/>
      <c r="BU50" s="186"/>
      <c r="BV50" s="186"/>
      <c r="BW50" s="186"/>
      <c r="BX50" s="186"/>
    </row>
    <row r="51" spans="3:76" ht="12" customHeight="1">
      <c r="C51" s="181"/>
    </row>
    <row r="52" spans="3:76" ht="12" customHeight="1">
      <c r="C52" s="181"/>
      <c r="D52" s="245" t="s">
        <v>273</v>
      </c>
      <c r="E52" s="463"/>
      <c r="F52" s="875" t="s">
        <v>274</v>
      </c>
      <c r="G52" s="876"/>
      <c r="H52" s="463" t="s">
        <v>275</v>
      </c>
      <c r="I52" s="463"/>
      <c r="J52" s="246"/>
      <c r="K52" s="245" t="s">
        <v>196</v>
      </c>
      <c r="L52" s="463"/>
      <c r="M52" s="246"/>
      <c r="N52" s="463" t="s">
        <v>276</v>
      </c>
      <c r="O52" s="463"/>
      <c r="P52" s="463"/>
      <c r="Q52" s="246"/>
      <c r="R52" s="245" t="s">
        <v>277</v>
      </c>
      <c r="S52" s="463"/>
      <c r="T52" s="463"/>
      <c r="U52" s="463"/>
      <c r="V52" s="463"/>
      <c r="W52" s="245" t="s">
        <v>278</v>
      </c>
      <c r="X52" s="463"/>
      <c r="Y52" s="463"/>
      <c r="Z52" s="246"/>
      <c r="AA52" s="245" t="s">
        <v>279</v>
      </c>
      <c r="AB52" s="463"/>
      <c r="AC52" s="463"/>
      <c r="AD52" s="463"/>
      <c r="AE52" s="246"/>
      <c r="AF52" s="245" t="s">
        <v>280</v>
      </c>
      <c r="AG52" s="463"/>
      <c r="AH52" s="463"/>
      <c r="AI52" s="246"/>
      <c r="AJ52" s="245" t="s">
        <v>281</v>
      </c>
      <c r="AK52" s="463"/>
      <c r="AL52" s="463"/>
      <c r="AM52" s="463"/>
      <c r="AN52" s="463"/>
      <c r="AO52" s="463"/>
      <c r="AP52" s="463"/>
      <c r="AQ52" s="463"/>
      <c r="AR52" s="463"/>
      <c r="AS52" s="463"/>
      <c r="AT52" s="246"/>
      <c r="AU52" s="245" t="s">
        <v>282</v>
      </c>
      <c r="AV52" s="463"/>
      <c r="AW52" s="463"/>
      <c r="AX52" s="246"/>
      <c r="AY52" s="877" t="s">
        <v>283</v>
      </c>
      <c r="AZ52" s="878"/>
      <c r="BA52" s="245" t="s">
        <v>284</v>
      </c>
      <c r="BB52" s="463"/>
      <c r="BC52" s="463"/>
      <c r="BD52" s="246"/>
      <c r="BE52" s="463" t="s">
        <v>285</v>
      </c>
      <c r="BF52" s="463"/>
      <c r="BG52" s="463"/>
      <c r="BH52" s="246"/>
      <c r="BI52" s="245" t="s">
        <v>286</v>
      </c>
      <c r="BJ52" s="463"/>
      <c r="BK52" s="463"/>
      <c r="BL52" s="463"/>
      <c r="BM52" s="877" t="s">
        <v>287</v>
      </c>
      <c r="BN52" s="878"/>
      <c r="BO52" s="875" t="s">
        <v>268</v>
      </c>
      <c r="BP52" s="879"/>
      <c r="BQ52" s="876"/>
      <c r="BR52" s="877" t="s">
        <v>288</v>
      </c>
      <c r="BS52" s="878"/>
      <c r="BT52" s="245" t="s">
        <v>289</v>
      </c>
      <c r="BU52" s="463"/>
      <c r="BV52" s="463"/>
      <c r="BW52" s="463"/>
      <c r="BX52" s="246"/>
    </row>
    <row r="53" spans="3:76" ht="12" customHeight="1">
      <c r="C53" s="181"/>
      <c r="D53" s="247" t="s">
        <v>290</v>
      </c>
      <c r="E53" s="464"/>
      <c r="F53" s="247" t="s">
        <v>291</v>
      </c>
      <c r="G53" s="249"/>
      <c r="H53" s="464" t="s">
        <v>292</v>
      </c>
      <c r="I53" s="464"/>
      <c r="J53" s="249"/>
      <c r="K53" s="247" t="s">
        <v>293</v>
      </c>
      <c r="L53" s="464"/>
      <c r="M53" s="249"/>
      <c r="N53" s="464" t="s">
        <v>294</v>
      </c>
      <c r="O53" s="464"/>
      <c r="P53" s="464"/>
      <c r="Q53" s="249"/>
      <c r="R53" s="247" t="s">
        <v>295</v>
      </c>
      <c r="S53" s="464"/>
      <c r="T53" s="464"/>
      <c r="U53" s="464"/>
      <c r="V53" s="464"/>
      <c r="W53" s="248" t="s">
        <v>294</v>
      </c>
      <c r="X53" s="464"/>
      <c r="Y53" s="464"/>
      <c r="Z53" s="249"/>
      <c r="AA53" s="248" t="s">
        <v>296</v>
      </c>
      <c r="AB53" s="464"/>
      <c r="AC53" s="464"/>
      <c r="AD53" s="464"/>
      <c r="AE53" s="249"/>
      <c r="AF53" s="247" t="s">
        <v>297</v>
      </c>
      <c r="AG53" s="464"/>
      <c r="AH53" s="464"/>
      <c r="AI53" s="249"/>
      <c r="AJ53" s="248" t="s">
        <v>298</v>
      </c>
      <c r="AK53" s="464"/>
      <c r="AL53" s="464"/>
      <c r="AM53" s="464"/>
      <c r="AN53" s="464"/>
      <c r="AO53" s="464"/>
      <c r="AP53" s="277"/>
      <c r="AQ53" s="278" t="s">
        <v>294</v>
      </c>
      <c r="AR53" s="464"/>
      <c r="AS53" s="464"/>
      <c r="AT53" s="249"/>
      <c r="AU53" s="872">
        <v>9999999</v>
      </c>
      <c r="AV53" s="873"/>
      <c r="AW53" s="873"/>
      <c r="AX53" s="874"/>
      <c r="AY53" s="870"/>
      <c r="AZ53" s="871"/>
      <c r="BA53" s="872">
        <v>9999999</v>
      </c>
      <c r="BB53" s="873"/>
      <c r="BC53" s="873"/>
      <c r="BD53" s="874"/>
      <c r="BE53" s="872">
        <v>9999999</v>
      </c>
      <c r="BF53" s="873"/>
      <c r="BG53" s="873"/>
      <c r="BH53" s="874"/>
      <c r="BI53" s="872">
        <v>9999999</v>
      </c>
      <c r="BJ53" s="873"/>
      <c r="BK53" s="873"/>
      <c r="BL53" s="874"/>
      <c r="BM53" s="870" t="s">
        <v>299</v>
      </c>
      <c r="BN53" s="871"/>
      <c r="BO53" s="248" t="s">
        <v>300</v>
      </c>
      <c r="BP53" s="464"/>
      <c r="BQ53" s="249"/>
      <c r="BR53" s="870" t="s">
        <v>301</v>
      </c>
      <c r="BS53" s="871"/>
      <c r="BT53" s="248"/>
      <c r="BU53" s="464"/>
      <c r="BV53" s="464"/>
      <c r="BW53" s="464"/>
      <c r="BX53" s="249"/>
    </row>
    <row r="54" spans="3:76" ht="12" customHeight="1">
      <c r="C54" s="181"/>
      <c r="D54" s="247" t="s">
        <v>302</v>
      </c>
      <c r="E54" s="464"/>
      <c r="F54" s="247" t="s">
        <v>291</v>
      </c>
      <c r="G54" s="249"/>
      <c r="H54" s="464" t="s">
        <v>292</v>
      </c>
      <c r="I54" s="464"/>
      <c r="J54" s="249"/>
      <c r="K54" s="247" t="s">
        <v>293</v>
      </c>
      <c r="L54" s="464"/>
      <c r="M54" s="249"/>
      <c r="N54" s="464" t="s">
        <v>294</v>
      </c>
      <c r="O54" s="464"/>
      <c r="P54" s="464"/>
      <c r="Q54" s="249"/>
      <c r="R54" s="247" t="s">
        <v>295</v>
      </c>
      <c r="S54" s="464"/>
      <c r="T54" s="464"/>
      <c r="U54" s="464"/>
      <c r="V54" s="464"/>
      <c r="W54" s="248" t="s">
        <v>294</v>
      </c>
      <c r="X54" s="464"/>
      <c r="Y54" s="464"/>
      <c r="Z54" s="249"/>
      <c r="AA54" s="248" t="s">
        <v>303</v>
      </c>
      <c r="AB54" s="464"/>
      <c r="AC54" s="464"/>
      <c r="AD54" s="464"/>
      <c r="AE54" s="249"/>
      <c r="AF54" s="247" t="s">
        <v>297</v>
      </c>
      <c r="AG54" s="464"/>
      <c r="AH54" s="464"/>
      <c r="AI54" s="249"/>
      <c r="AJ54" s="248" t="s">
        <v>298</v>
      </c>
      <c r="AK54" s="464"/>
      <c r="AL54" s="464"/>
      <c r="AM54" s="464"/>
      <c r="AN54" s="464"/>
      <c r="AO54" s="464"/>
      <c r="AP54" s="277"/>
      <c r="AQ54" s="278" t="s">
        <v>294</v>
      </c>
      <c r="AR54" s="464"/>
      <c r="AS54" s="464"/>
      <c r="AT54" s="249"/>
      <c r="AU54" s="872">
        <v>9999999</v>
      </c>
      <c r="AV54" s="873"/>
      <c r="AW54" s="873"/>
      <c r="AX54" s="874"/>
      <c r="AY54" s="870"/>
      <c r="AZ54" s="871"/>
      <c r="BA54" s="872">
        <v>9999999</v>
      </c>
      <c r="BB54" s="873"/>
      <c r="BC54" s="873"/>
      <c r="BD54" s="874"/>
      <c r="BE54" s="872">
        <v>9999999</v>
      </c>
      <c r="BF54" s="873"/>
      <c r="BG54" s="873"/>
      <c r="BH54" s="874"/>
      <c r="BI54" s="872">
        <v>9999999</v>
      </c>
      <c r="BJ54" s="873"/>
      <c r="BK54" s="873"/>
      <c r="BL54" s="874"/>
      <c r="BM54" s="870" t="s">
        <v>304</v>
      </c>
      <c r="BN54" s="871"/>
      <c r="BO54" s="248" t="s">
        <v>300</v>
      </c>
      <c r="BP54" s="464"/>
      <c r="BQ54" s="249"/>
      <c r="BR54" s="870" t="s">
        <v>301</v>
      </c>
      <c r="BS54" s="871"/>
      <c r="BT54" s="248"/>
      <c r="BU54" s="464"/>
      <c r="BV54" s="464"/>
      <c r="BW54" s="464"/>
      <c r="BX54" s="249"/>
    </row>
    <row r="55" spans="3:76" ht="12" customHeight="1">
      <c r="C55" s="181"/>
      <c r="D55" s="247" t="s">
        <v>305</v>
      </c>
      <c r="E55" s="464"/>
      <c r="F55" s="247" t="s">
        <v>291</v>
      </c>
      <c r="G55" s="249"/>
      <c r="H55" s="464" t="s">
        <v>306</v>
      </c>
      <c r="I55" s="464"/>
      <c r="J55" s="249"/>
      <c r="K55" s="247" t="s">
        <v>293</v>
      </c>
      <c r="L55" s="464"/>
      <c r="M55" s="249"/>
      <c r="N55" s="464" t="s">
        <v>294</v>
      </c>
      <c r="O55" s="464"/>
      <c r="P55" s="464"/>
      <c r="Q55" s="249"/>
      <c r="R55" s="247" t="s">
        <v>307</v>
      </c>
      <c r="S55" s="464"/>
      <c r="T55" s="464"/>
      <c r="U55" s="464"/>
      <c r="V55" s="464"/>
      <c r="W55" s="248" t="s">
        <v>308</v>
      </c>
      <c r="X55" s="464"/>
      <c r="Y55" s="464"/>
      <c r="Z55" s="249"/>
      <c r="AA55" s="248" t="s">
        <v>309</v>
      </c>
      <c r="AB55" s="464"/>
      <c r="AC55" s="464"/>
      <c r="AD55" s="464"/>
      <c r="AE55" s="249"/>
      <c r="AF55" s="247" t="s">
        <v>297</v>
      </c>
      <c r="AG55" s="464"/>
      <c r="AH55" s="464"/>
      <c r="AI55" s="249"/>
      <c r="AJ55" s="248" t="s">
        <v>298</v>
      </c>
      <c r="AK55" s="464"/>
      <c r="AL55" s="464"/>
      <c r="AM55" s="464"/>
      <c r="AN55" s="464"/>
      <c r="AO55" s="464"/>
      <c r="AP55" s="277"/>
      <c r="AQ55" s="278" t="s">
        <v>294</v>
      </c>
      <c r="AR55" s="464"/>
      <c r="AS55" s="464"/>
      <c r="AT55" s="249"/>
      <c r="AU55" s="872">
        <v>9999999</v>
      </c>
      <c r="AV55" s="873"/>
      <c r="AW55" s="873"/>
      <c r="AX55" s="874"/>
      <c r="AY55" s="870" t="s">
        <v>310</v>
      </c>
      <c r="AZ55" s="871"/>
      <c r="BA55" s="872">
        <v>9999999</v>
      </c>
      <c r="BB55" s="873"/>
      <c r="BC55" s="873"/>
      <c r="BD55" s="874"/>
      <c r="BE55" s="872">
        <v>9999999</v>
      </c>
      <c r="BF55" s="873"/>
      <c r="BG55" s="873"/>
      <c r="BH55" s="874"/>
      <c r="BI55" s="872">
        <v>9999999</v>
      </c>
      <c r="BJ55" s="873"/>
      <c r="BK55" s="873"/>
      <c r="BL55" s="874"/>
      <c r="BM55" s="870" t="s">
        <v>304</v>
      </c>
      <c r="BN55" s="871"/>
      <c r="BO55" s="248" t="s">
        <v>300</v>
      </c>
      <c r="BP55" s="464"/>
      <c r="BQ55" s="249"/>
      <c r="BR55" s="870" t="s">
        <v>301</v>
      </c>
      <c r="BS55" s="871"/>
      <c r="BT55" s="248" t="s">
        <v>311</v>
      </c>
      <c r="BU55" s="464"/>
      <c r="BV55" s="464"/>
      <c r="BW55" s="464"/>
      <c r="BX55" s="249"/>
    </row>
    <row r="56" spans="3:76" ht="12" customHeight="1">
      <c r="C56" s="181"/>
      <c r="D56" s="247" t="s">
        <v>312</v>
      </c>
      <c r="E56" s="464"/>
      <c r="F56" s="247" t="s">
        <v>313</v>
      </c>
      <c r="G56" s="249"/>
      <c r="H56" s="464" t="s">
        <v>306</v>
      </c>
      <c r="I56" s="464"/>
      <c r="J56" s="249"/>
      <c r="K56" s="247" t="s">
        <v>314</v>
      </c>
      <c r="L56" s="464"/>
      <c r="M56" s="249"/>
      <c r="N56" s="464" t="s">
        <v>294</v>
      </c>
      <c r="O56" s="464"/>
      <c r="P56" s="464"/>
      <c r="Q56" s="249"/>
      <c r="R56" s="247" t="s">
        <v>307</v>
      </c>
      <c r="S56" s="464"/>
      <c r="T56" s="464"/>
      <c r="U56" s="464"/>
      <c r="V56" s="464"/>
      <c r="W56" s="248" t="s">
        <v>308</v>
      </c>
      <c r="X56" s="464"/>
      <c r="Y56" s="464"/>
      <c r="Z56" s="249"/>
      <c r="AA56" s="248" t="s">
        <v>315</v>
      </c>
      <c r="AB56" s="464"/>
      <c r="AC56" s="464"/>
      <c r="AD56" s="464"/>
      <c r="AE56" s="249"/>
      <c r="AF56" s="247" t="s">
        <v>297</v>
      </c>
      <c r="AG56" s="464"/>
      <c r="AH56" s="464"/>
      <c r="AI56" s="249"/>
      <c r="AJ56" s="248" t="s">
        <v>298</v>
      </c>
      <c r="AK56" s="464"/>
      <c r="AL56" s="464"/>
      <c r="AM56" s="464"/>
      <c r="AN56" s="464"/>
      <c r="AO56" s="464"/>
      <c r="AP56" s="277"/>
      <c r="AQ56" s="278" t="s">
        <v>294</v>
      </c>
      <c r="AR56" s="464"/>
      <c r="AS56" s="464"/>
      <c r="AT56" s="249"/>
      <c r="AU56" s="872">
        <v>9999999</v>
      </c>
      <c r="AV56" s="873"/>
      <c r="AW56" s="873"/>
      <c r="AX56" s="874"/>
      <c r="AY56" s="870"/>
      <c r="AZ56" s="871"/>
      <c r="BA56" s="872">
        <v>9999999</v>
      </c>
      <c r="BB56" s="873"/>
      <c r="BC56" s="873"/>
      <c r="BD56" s="874"/>
      <c r="BE56" s="872">
        <v>9999999</v>
      </c>
      <c r="BF56" s="873"/>
      <c r="BG56" s="873"/>
      <c r="BH56" s="874"/>
      <c r="BI56" s="872">
        <v>9999999</v>
      </c>
      <c r="BJ56" s="873"/>
      <c r="BK56" s="873"/>
      <c r="BL56" s="874"/>
      <c r="BM56" s="870" t="s">
        <v>304</v>
      </c>
      <c r="BN56" s="871"/>
      <c r="BO56" s="248" t="s">
        <v>300</v>
      </c>
      <c r="BP56" s="464"/>
      <c r="BQ56" s="249"/>
      <c r="BR56" s="870" t="s">
        <v>316</v>
      </c>
      <c r="BS56" s="871"/>
      <c r="BT56" s="248"/>
      <c r="BU56" s="464"/>
      <c r="BV56" s="464"/>
      <c r="BW56" s="464"/>
      <c r="BX56" s="249"/>
    </row>
    <row r="57" spans="3:76" ht="12" customHeight="1">
      <c r="C57" s="181"/>
      <c r="D57" s="247" t="s">
        <v>317</v>
      </c>
      <c r="E57" s="464"/>
      <c r="F57" s="247" t="s">
        <v>313</v>
      </c>
      <c r="G57" s="249"/>
      <c r="H57" s="464" t="s">
        <v>306</v>
      </c>
      <c r="I57" s="464"/>
      <c r="J57" s="249"/>
      <c r="K57" s="247" t="s">
        <v>314</v>
      </c>
      <c r="L57" s="464"/>
      <c r="M57" s="249"/>
      <c r="N57" s="464" t="s">
        <v>294</v>
      </c>
      <c r="O57" s="464"/>
      <c r="P57" s="464"/>
      <c r="Q57" s="249"/>
      <c r="R57" s="247" t="s">
        <v>307</v>
      </c>
      <c r="S57" s="464"/>
      <c r="T57" s="464"/>
      <c r="U57" s="464"/>
      <c r="V57" s="464"/>
      <c r="W57" s="248" t="s">
        <v>308</v>
      </c>
      <c r="X57" s="464"/>
      <c r="Y57" s="464"/>
      <c r="Z57" s="249"/>
      <c r="AA57" s="248" t="s">
        <v>318</v>
      </c>
      <c r="AB57" s="464"/>
      <c r="AC57" s="464"/>
      <c r="AD57" s="464"/>
      <c r="AE57" s="249"/>
      <c r="AF57" s="247" t="s">
        <v>297</v>
      </c>
      <c r="AG57" s="464"/>
      <c r="AH57" s="464"/>
      <c r="AI57" s="249"/>
      <c r="AJ57" s="248" t="s">
        <v>298</v>
      </c>
      <c r="AK57" s="464"/>
      <c r="AL57" s="464"/>
      <c r="AM57" s="464"/>
      <c r="AN57" s="464"/>
      <c r="AO57" s="464"/>
      <c r="AP57" s="277"/>
      <c r="AQ57" s="278" t="s">
        <v>294</v>
      </c>
      <c r="AR57" s="464"/>
      <c r="AS57" s="464"/>
      <c r="AT57" s="249"/>
      <c r="AU57" s="872">
        <v>9999999</v>
      </c>
      <c r="AV57" s="873"/>
      <c r="AW57" s="873"/>
      <c r="AX57" s="874"/>
      <c r="AY57" s="870"/>
      <c r="AZ57" s="871"/>
      <c r="BA57" s="872">
        <v>9999999</v>
      </c>
      <c r="BB57" s="873"/>
      <c r="BC57" s="873"/>
      <c r="BD57" s="874"/>
      <c r="BE57" s="872">
        <v>9999999</v>
      </c>
      <c r="BF57" s="873"/>
      <c r="BG57" s="873"/>
      <c r="BH57" s="874"/>
      <c r="BI57" s="872">
        <v>9999999</v>
      </c>
      <c r="BJ57" s="873"/>
      <c r="BK57" s="873"/>
      <c r="BL57" s="874"/>
      <c r="BM57" s="870" t="s">
        <v>304</v>
      </c>
      <c r="BN57" s="871"/>
      <c r="BO57" s="248" t="s">
        <v>300</v>
      </c>
      <c r="BP57" s="464"/>
      <c r="BQ57" s="249"/>
      <c r="BR57" s="870" t="s">
        <v>316</v>
      </c>
      <c r="BS57" s="871"/>
      <c r="BT57" s="248"/>
      <c r="BU57" s="464"/>
      <c r="BV57" s="464"/>
      <c r="BW57" s="464"/>
      <c r="BX57" s="249"/>
    </row>
    <row r="58" spans="3:76" ht="12" customHeight="1">
      <c r="C58" s="181"/>
      <c r="D58" s="247" t="s">
        <v>319</v>
      </c>
      <c r="E58" s="464"/>
      <c r="F58" s="247" t="s">
        <v>313</v>
      </c>
      <c r="G58" s="249"/>
      <c r="H58" s="464" t="s">
        <v>306</v>
      </c>
      <c r="I58" s="464"/>
      <c r="J58" s="249"/>
      <c r="K58" s="247" t="s">
        <v>314</v>
      </c>
      <c r="L58" s="464"/>
      <c r="M58" s="249"/>
      <c r="N58" s="464" t="s">
        <v>294</v>
      </c>
      <c r="O58" s="464"/>
      <c r="P58" s="464"/>
      <c r="Q58" s="249"/>
      <c r="R58" s="247" t="s">
        <v>307</v>
      </c>
      <c r="S58" s="464"/>
      <c r="T58" s="464"/>
      <c r="U58" s="464"/>
      <c r="V58" s="464"/>
      <c r="W58" s="248" t="s">
        <v>308</v>
      </c>
      <c r="X58" s="464"/>
      <c r="Y58" s="464"/>
      <c r="Z58" s="249"/>
      <c r="AA58" s="248" t="s">
        <v>320</v>
      </c>
      <c r="AB58" s="464"/>
      <c r="AC58" s="464"/>
      <c r="AD58" s="464"/>
      <c r="AE58" s="249"/>
      <c r="AF58" s="247" t="s">
        <v>297</v>
      </c>
      <c r="AG58" s="464"/>
      <c r="AH58" s="464"/>
      <c r="AI58" s="249"/>
      <c r="AJ58" s="248" t="s">
        <v>321</v>
      </c>
      <c r="AK58" s="464"/>
      <c r="AL58" s="464"/>
      <c r="AM58" s="464"/>
      <c r="AN58" s="464"/>
      <c r="AO58" s="464"/>
      <c r="AP58" s="277"/>
      <c r="AQ58" s="278" t="s">
        <v>322</v>
      </c>
      <c r="AR58" s="464"/>
      <c r="AS58" s="464"/>
      <c r="AT58" s="249"/>
      <c r="AU58" s="872">
        <v>9999999</v>
      </c>
      <c r="AV58" s="873"/>
      <c r="AW58" s="873"/>
      <c r="AX58" s="874"/>
      <c r="AY58" s="870" t="s">
        <v>310</v>
      </c>
      <c r="AZ58" s="871"/>
      <c r="BA58" s="872">
        <v>9999999</v>
      </c>
      <c r="BB58" s="873"/>
      <c r="BC58" s="873"/>
      <c r="BD58" s="874"/>
      <c r="BE58" s="872">
        <v>9999999</v>
      </c>
      <c r="BF58" s="873"/>
      <c r="BG58" s="873"/>
      <c r="BH58" s="874"/>
      <c r="BI58" s="872">
        <v>9999999</v>
      </c>
      <c r="BJ58" s="873"/>
      <c r="BK58" s="873"/>
      <c r="BL58" s="874"/>
      <c r="BM58" s="870" t="s">
        <v>323</v>
      </c>
      <c r="BN58" s="871"/>
      <c r="BO58" s="248" t="s">
        <v>324</v>
      </c>
      <c r="BP58" s="464"/>
      <c r="BQ58" s="249"/>
      <c r="BR58" s="870" t="s">
        <v>316</v>
      </c>
      <c r="BS58" s="871"/>
      <c r="BT58" s="248" t="s">
        <v>311</v>
      </c>
      <c r="BU58" s="464"/>
      <c r="BV58" s="464"/>
      <c r="BW58" s="464"/>
      <c r="BX58" s="249"/>
    </row>
    <row r="59" spans="3:76" ht="12" customHeight="1">
      <c r="C59" s="181"/>
      <c r="D59" s="247" t="s">
        <v>325</v>
      </c>
      <c r="E59" s="464"/>
      <c r="F59" s="247" t="s">
        <v>313</v>
      </c>
      <c r="G59" s="249"/>
      <c r="H59" s="464" t="s">
        <v>306</v>
      </c>
      <c r="I59" s="464"/>
      <c r="J59" s="249"/>
      <c r="K59" s="247" t="s">
        <v>314</v>
      </c>
      <c r="L59" s="464"/>
      <c r="M59" s="249"/>
      <c r="N59" s="464" t="s">
        <v>294</v>
      </c>
      <c r="O59" s="464"/>
      <c r="P59" s="464"/>
      <c r="Q59" s="249"/>
      <c r="R59" s="247" t="s">
        <v>307</v>
      </c>
      <c r="S59" s="464"/>
      <c r="T59" s="464"/>
      <c r="U59" s="464"/>
      <c r="V59" s="464"/>
      <c r="W59" s="248" t="s">
        <v>308</v>
      </c>
      <c r="X59" s="464"/>
      <c r="Y59" s="464"/>
      <c r="Z59" s="249"/>
      <c r="AA59" s="248" t="s">
        <v>326</v>
      </c>
      <c r="AB59" s="464"/>
      <c r="AC59" s="464"/>
      <c r="AD59" s="464"/>
      <c r="AE59" s="249"/>
      <c r="AF59" s="247" t="s">
        <v>297</v>
      </c>
      <c r="AG59" s="464"/>
      <c r="AH59" s="464"/>
      <c r="AI59" s="249"/>
      <c r="AJ59" s="248" t="s">
        <v>327</v>
      </c>
      <c r="AK59" s="464"/>
      <c r="AL59" s="464"/>
      <c r="AM59" s="464"/>
      <c r="AN59" s="464"/>
      <c r="AO59" s="464"/>
      <c r="AP59" s="277"/>
      <c r="AQ59" s="278" t="s">
        <v>328</v>
      </c>
      <c r="AR59" s="464"/>
      <c r="AS59" s="464"/>
      <c r="AT59" s="249"/>
      <c r="AU59" s="872">
        <v>9999999</v>
      </c>
      <c r="AV59" s="873"/>
      <c r="AW59" s="873"/>
      <c r="AX59" s="874"/>
      <c r="AY59" s="870" t="s">
        <v>310</v>
      </c>
      <c r="AZ59" s="871"/>
      <c r="BA59" s="872">
        <v>9999999</v>
      </c>
      <c r="BB59" s="873"/>
      <c r="BC59" s="873"/>
      <c r="BD59" s="874"/>
      <c r="BE59" s="872">
        <v>9999999</v>
      </c>
      <c r="BF59" s="873"/>
      <c r="BG59" s="873"/>
      <c r="BH59" s="874"/>
      <c r="BI59" s="872">
        <v>9999999</v>
      </c>
      <c r="BJ59" s="873"/>
      <c r="BK59" s="873"/>
      <c r="BL59" s="874"/>
      <c r="BM59" s="870" t="s">
        <v>329</v>
      </c>
      <c r="BN59" s="871"/>
      <c r="BO59" s="248" t="s">
        <v>324</v>
      </c>
      <c r="BP59" s="464"/>
      <c r="BQ59" s="249"/>
      <c r="BR59" s="870" t="s">
        <v>316</v>
      </c>
      <c r="BS59" s="871"/>
      <c r="BT59" s="248" t="s">
        <v>311</v>
      </c>
      <c r="BU59" s="464"/>
      <c r="BV59" s="464"/>
      <c r="BW59" s="464"/>
      <c r="BX59" s="249"/>
    </row>
    <row r="60" spans="3:76" ht="12" customHeight="1">
      <c r="C60" s="181"/>
      <c r="D60" s="247" t="s">
        <v>330</v>
      </c>
      <c r="E60" s="464"/>
      <c r="F60" s="247" t="s">
        <v>313</v>
      </c>
      <c r="G60" s="249"/>
      <c r="H60" s="464" t="s">
        <v>306</v>
      </c>
      <c r="I60" s="464"/>
      <c r="J60" s="249"/>
      <c r="K60" s="247" t="s">
        <v>314</v>
      </c>
      <c r="L60" s="464"/>
      <c r="M60" s="249"/>
      <c r="N60" s="464" t="s">
        <v>294</v>
      </c>
      <c r="O60" s="464"/>
      <c r="P60" s="464"/>
      <c r="Q60" s="249"/>
      <c r="R60" s="247" t="s">
        <v>307</v>
      </c>
      <c r="S60" s="464"/>
      <c r="T60" s="464"/>
      <c r="U60" s="464"/>
      <c r="V60" s="464"/>
      <c r="W60" s="248" t="s">
        <v>308</v>
      </c>
      <c r="X60" s="464"/>
      <c r="Y60" s="464"/>
      <c r="Z60" s="249"/>
      <c r="AA60" s="248" t="s">
        <v>331</v>
      </c>
      <c r="AB60" s="464"/>
      <c r="AC60" s="464"/>
      <c r="AD60" s="464"/>
      <c r="AE60" s="249"/>
      <c r="AF60" s="247" t="s">
        <v>297</v>
      </c>
      <c r="AG60" s="464"/>
      <c r="AH60" s="464"/>
      <c r="AI60" s="249"/>
      <c r="AJ60" s="248" t="s">
        <v>327</v>
      </c>
      <c r="AK60" s="464"/>
      <c r="AL60" s="464"/>
      <c r="AM60" s="464"/>
      <c r="AN60" s="464"/>
      <c r="AO60" s="464"/>
      <c r="AP60" s="277"/>
      <c r="AQ60" s="278" t="s">
        <v>332</v>
      </c>
      <c r="AR60" s="464"/>
      <c r="AS60" s="464"/>
      <c r="AT60" s="249"/>
      <c r="AU60" s="872">
        <v>9999999</v>
      </c>
      <c r="AV60" s="873"/>
      <c r="AW60" s="873"/>
      <c r="AX60" s="874"/>
      <c r="AY60" s="870" t="s">
        <v>310</v>
      </c>
      <c r="AZ60" s="871"/>
      <c r="BA60" s="872">
        <v>9999999</v>
      </c>
      <c r="BB60" s="873"/>
      <c r="BC60" s="873"/>
      <c r="BD60" s="874"/>
      <c r="BE60" s="872">
        <v>9999999</v>
      </c>
      <c r="BF60" s="873"/>
      <c r="BG60" s="873"/>
      <c r="BH60" s="874"/>
      <c r="BI60" s="872">
        <v>9999999</v>
      </c>
      <c r="BJ60" s="873"/>
      <c r="BK60" s="873"/>
      <c r="BL60" s="874"/>
      <c r="BM60" s="870" t="s">
        <v>329</v>
      </c>
      <c r="BN60" s="871"/>
      <c r="BO60" s="248" t="s">
        <v>324</v>
      </c>
      <c r="BP60" s="464"/>
      <c r="BQ60" s="249"/>
      <c r="BR60" s="870" t="s">
        <v>316</v>
      </c>
      <c r="BS60" s="871"/>
      <c r="BT60" s="248" t="s">
        <v>311</v>
      </c>
      <c r="BU60" s="464"/>
      <c r="BV60" s="464"/>
      <c r="BW60" s="464"/>
      <c r="BX60" s="249"/>
    </row>
    <row r="61" spans="3:76" ht="12" customHeight="1">
      <c r="C61" s="181"/>
      <c r="D61" s="247" t="s">
        <v>333</v>
      </c>
      <c r="E61" s="464"/>
      <c r="F61" s="247" t="s">
        <v>313</v>
      </c>
      <c r="G61" s="249"/>
      <c r="H61" s="464" t="s">
        <v>306</v>
      </c>
      <c r="I61" s="464"/>
      <c r="J61" s="249"/>
      <c r="K61" s="247" t="s">
        <v>314</v>
      </c>
      <c r="L61" s="464"/>
      <c r="M61" s="249"/>
      <c r="N61" s="464" t="s">
        <v>294</v>
      </c>
      <c r="O61" s="464"/>
      <c r="P61" s="464"/>
      <c r="Q61" s="249"/>
      <c r="R61" s="247" t="s">
        <v>307</v>
      </c>
      <c r="S61" s="464"/>
      <c r="T61" s="464"/>
      <c r="U61" s="464"/>
      <c r="V61" s="464"/>
      <c r="W61" s="248" t="s">
        <v>308</v>
      </c>
      <c r="X61" s="464"/>
      <c r="Y61" s="464"/>
      <c r="Z61" s="249"/>
      <c r="AA61" s="248" t="s">
        <v>334</v>
      </c>
      <c r="AB61" s="464"/>
      <c r="AC61" s="464"/>
      <c r="AD61" s="464"/>
      <c r="AE61" s="249"/>
      <c r="AF61" s="247" t="s">
        <v>297</v>
      </c>
      <c r="AG61" s="464"/>
      <c r="AH61" s="464"/>
      <c r="AI61" s="249"/>
      <c r="AJ61" s="248" t="s">
        <v>327</v>
      </c>
      <c r="AK61" s="464"/>
      <c r="AL61" s="464"/>
      <c r="AM61" s="464"/>
      <c r="AN61" s="464"/>
      <c r="AO61" s="464"/>
      <c r="AP61" s="277"/>
      <c r="AQ61" s="278" t="s">
        <v>335</v>
      </c>
      <c r="AR61" s="464"/>
      <c r="AS61" s="464"/>
      <c r="AT61" s="249"/>
      <c r="AU61" s="872">
        <v>9999999</v>
      </c>
      <c r="AV61" s="873"/>
      <c r="AW61" s="873"/>
      <c r="AX61" s="874"/>
      <c r="AY61" s="870"/>
      <c r="AZ61" s="871"/>
      <c r="BA61" s="872">
        <v>9999999</v>
      </c>
      <c r="BB61" s="873"/>
      <c r="BC61" s="873"/>
      <c r="BD61" s="874"/>
      <c r="BE61" s="872">
        <v>9999999</v>
      </c>
      <c r="BF61" s="873"/>
      <c r="BG61" s="873"/>
      <c r="BH61" s="874"/>
      <c r="BI61" s="872">
        <v>9999999</v>
      </c>
      <c r="BJ61" s="873"/>
      <c r="BK61" s="873"/>
      <c r="BL61" s="874"/>
      <c r="BM61" s="870" t="s">
        <v>304</v>
      </c>
      <c r="BN61" s="871"/>
      <c r="BO61" s="248" t="s">
        <v>324</v>
      </c>
      <c r="BP61" s="464"/>
      <c r="BQ61" s="249"/>
      <c r="BR61" s="870" t="s">
        <v>316</v>
      </c>
      <c r="BS61" s="871"/>
      <c r="BT61" s="248"/>
      <c r="BU61" s="464"/>
      <c r="BV61" s="464"/>
      <c r="BW61" s="464"/>
      <c r="BX61" s="249"/>
    </row>
    <row r="62" spans="3:76" ht="12" customHeight="1">
      <c r="C62" s="181"/>
      <c r="D62" s="247" t="s">
        <v>336</v>
      </c>
      <c r="E62" s="464"/>
      <c r="F62" s="247" t="s">
        <v>313</v>
      </c>
      <c r="G62" s="249"/>
      <c r="H62" s="464" t="s">
        <v>306</v>
      </c>
      <c r="I62" s="464"/>
      <c r="J62" s="249"/>
      <c r="K62" s="247" t="s">
        <v>314</v>
      </c>
      <c r="L62" s="464"/>
      <c r="M62" s="249"/>
      <c r="N62" s="464" t="s">
        <v>294</v>
      </c>
      <c r="O62" s="464"/>
      <c r="P62" s="464"/>
      <c r="Q62" s="249"/>
      <c r="R62" s="247" t="s">
        <v>307</v>
      </c>
      <c r="S62" s="464"/>
      <c r="T62" s="464"/>
      <c r="U62" s="464"/>
      <c r="V62" s="464"/>
      <c r="W62" s="248" t="s">
        <v>308</v>
      </c>
      <c r="X62" s="464"/>
      <c r="Y62" s="464"/>
      <c r="Z62" s="249"/>
      <c r="AA62" s="248" t="s">
        <v>337</v>
      </c>
      <c r="AB62" s="464"/>
      <c r="AC62" s="464"/>
      <c r="AD62" s="464"/>
      <c r="AE62" s="249"/>
      <c r="AF62" s="247" t="s">
        <v>297</v>
      </c>
      <c r="AG62" s="464"/>
      <c r="AH62" s="464"/>
      <c r="AI62" s="249"/>
      <c r="AJ62" s="248" t="s">
        <v>327</v>
      </c>
      <c r="AK62" s="464"/>
      <c r="AL62" s="464"/>
      <c r="AM62" s="464"/>
      <c r="AN62" s="464"/>
      <c r="AO62" s="464"/>
      <c r="AP62" s="277"/>
      <c r="AQ62" s="278" t="s">
        <v>338</v>
      </c>
      <c r="AR62" s="464"/>
      <c r="AS62" s="464"/>
      <c r="AT62" s="249"/>
      <c r="AU62" s="872">
        <v>9999999</v>
      </c>
      <c r="AV62" s="873"/>
      <c r="AW62" s="873"/>
      <c r="AX62" s="874"/>
      <c r="AY62" s="870" t="s">
        <v>310</v>
      </c>
      <c r="AZ62" s="871"/>
      <c r="BA62" s="872">
        <v>9999999</v>
      </c>
      <c r="BB62" s="873"/>
      <c r="BC62" s="873"/>
      <c r="BD62" s="874"/>
      <c r="BE62" s="872">
        <v>9999999</v>
      </c>
      <c r="BF62" s="873"/>
      <c r="BG62" s="873"/>
      <c r="BH62" s="874"/>
      <c r="BI62" s="872">
        <v>9999999</v>
      </c>
      <c r="BJ62" s="873"/>
      <c r="BK62" s="873"/>
      <c r="BL62" s="874"/>
      <c r="BM62" s="870" t="s">
        <v>329</v>
      </c>
      <c r="BN62" s="871"/>
      <c r="BO62" s="248" t="s">
        <v>324</v>
      </c>
      <c r="BP62" s="464"/>
      <c r="BQ62" s="249"/>
      <c r="BR62" s="870" t="s">
        <v>316</v>
      </c>
      <c r="BS62" s="871"/>
      <c r="BT62" s="248" t="s">
        <v>311</v>
      </c>
      <c r="BU62" s="464"/>
      <c r="BV62" s="464"/>
      <c r="BW62" s="464"/>
      <c r="BX62" s="249"/>
    </row>
    <row r="63" spans="3:76" ht="12" customHeight="1">
      <c r="C63" s="181"/>
      <c r="D63" s="334" t="s">
        <v>339</v>
      </c>
      <c r="E63" s="334"/>
      <c r="F63" s="334"/>
      <c r="G63" s="334"/>
      <c r="H63" s="334"/>
      <c r="I63" s="334"/>
      <c r="J63" s="334"/>
      <c r="K63" s="334"/>
      <c r="L63" s="334"/>
      <c r="M63" s="334"/>
      <c r="N63" s="334"/>
      <c r="O63" s="334"/>
      <c r="P63" s="334"/>
      <c r="Q63" s="334"/>
      <c r="R63" s="334"/>
      <c r="S63" s="334"/>
      <c r="T63" s="334"/>
      <c r="U63" s="334"/>
      <c r="V63" s="334"/>
      <c r="W63" s="334"/>
      <c r="X63" s="334"/>
      <c r="Y63" s="334"/>
      <c r="Z63" s="334"/>
      <c r="AA63" s="334"/>
      <c r="AB63" s="334"/>
      <c r="AC63" s="334"/>
      <c r="AD63" s="334"/>
      <c r="AE63" s="334"/>
      <c r="AF63" s="334"/>
      <c r="AG63" s="334"/>
      <c r="AH63" s="334"/>
      <c r="AI63" s="334"/>
      <c r="AJ63" s="334"/>
      <c r="AK63" s="334"/>
      <c r="AL63" s="334"/>
      <c r="AM63" s="334"/>
      <c r="AN63" s="334"/>
      <c r="AO63" s="334"/>
      <c r="AP63" s="334"/>
      <c r="AQ63" s="334"/>
      <c r="AR63" s="334"/>
      <c r="AS63" s="334"/>
      <c r="AT63" s="334"/>
      <c r="AU63" s="334"/>
      <c r="AV63" s="334"/>
      <c r="AW63" s="334"/>
      <c r="AX63" s="334"/>
      <c r="AY63" s="334"/>
      <c r="AZ63" s="334"/>
      <c r="BA63" s="334"/>
      <c r="BB63" s="334"/>
      <c r="BC63" s="334"/>
      <c r="BD63" s="334"/>
      <c r="BE63" s="334"/>
      <c r="BF63" s="334"/>
      <c r="BG63" s="334"/>
      <c r="BH63" s="334"/>
      <c r="BI63" s="334"/>
      <c r="BJ63" s="334"/>
      <c r="BK63" s="334"/>
      <c r="BL63" s="334"/>
      <c r="BM63" s="334"/>
      <c r="BN63" s="334"/>
      <c r="BO63" s="334"/>
      <c r="BP63" s="334"/>
      <c r="BQ63" s="334"/>
      <c r="BR63" s="334"/>
      <c r="BS63" s="334"/>
      <c r="BT63" s="334"/>
      <c r="BU63" s="334"/>
      <c r="BV63" s="334"/>
      <c r="BW63" s="334"/>
      <c r="BX63" s="335" t="s">
        <v>340</v>
      </c>
    </row>
    <row r="64" spans="3:76" ht="12" customHeight="1">
      <c r="C64" s="181"/>
      <c r="Q64" s="24"/>
    </row>
    <row r="65" spans="3:76" ht="12" customHeight="1">
      <c r="C65" s="181"/>
      <c r="Q65" s="24"/>
    </row>
    <row r="66" spans="3:76" ht="12" customHeight="1">
      <c r="C66" s="416"/>
      <c r="D66" s="417"/>
      <c r="E66" s="417"/>
      <c r="F66" s="417"/>
      <c r="G66" s="417"/>
      <c r="H66" s="417"/>
      <c r="I66" s="417"/>
      <c r="J66" s="417"/>
      <c r="K66" s="417"/>
      <c r="L66" s="417"/>
      <c r="M66" s="417"/>
      <c r="N66" s="417"/>
      <c r="O66" s="417"/>
      <c r="P66" s="417"/>
      <c r="Q66" s="418"/>
      <c r="R66" s="417"/>
      <c r="S66" s="417"/>
      <c r="T66" s="417"/>
      <c r="U66" s="417"/>
      <c r="V66" s="417"/>
      <c r="W66" s="417"/>
      <c r="X66" s="417"/>
      <c r="Y66" s="417"/>
      <c r="Z66" s="417"/>
      <c r="AA66" s="417"/>
      <c r="AB66" s="417"/>
      <c r="AC66" s="417"/>
      <c r="AD66" s="417"/>
      <c r="AE66" s="417"/>
      <c r="AF66" s="417"/>
      <c r="AG66" s="417"/>
      <c r="AH66" s="417"/>
      <c r="AI66" s="417"/>
      <c r="AJ66" s="417"/>
      <c r="AK66" s="417"/>
      <c r="AL66" s="417"/>
      <c r="AM66" s="417"/>
      <c r="AN66" s="417"/>
      <c r="AO66" s="417"/>
      <c r="AP66" s="417"/>
      <c r="AQ66" s="417"/>
      <c r="AR66" s="417"/>
      <c r="AS66" s="417"/>
      <c r="AT66" s="417"/>
      <c r="AU66" s="417"/>
      <c r="AV66" s="417"/>
      <c r="AW66" s="417"/>
      <c r="AX66" s="417"/>
      <c r="AY66" s="417"/>
      <c r="AZ66" s="417"/>
      <c r="BA66" s="417"/>
      <c r="BB66" s="417"/>
      <c r="BC66" s="417"/>
      <c r="BD66" s="417"/>
      <c r="BE66" s="417"/>
      <c r="BF66" s="417"/>
      <c r="BG66" s="417"/>
      <c r="BH66" s="417"/>
      <c r="BI66" s="417"/>
      <c r="BJ66" s="417"/>
      <c r="BK66" s="417"/>
      <c r="BL66" s="417"/>
      <c r="BM66" s="417"/>
      <c r="BN66" s="417"/>
      <c r="BO66" s="417"/>
      <c r="BP66" s="417"/>
      <c r="BQ66" s="417"/>
      <c r="BR66" s="417"/>
      <c r="BS66" s="417"/>
      <c r="BT66" s="417"/>
      <c r="BU66" s="417"/>
      <c r="BV66" s="417"/>
      <c r="BW66" s="417"/>
      <c r="BX66" s="417"/>
    </row>
    <row r="67" spans="3:76" ht="12" customHeight="1">
      <c r="C67" s="185"/>
      <c r="D67" s="186"/>
      <c r="E67" s="186"/>
      <c r="F67" s="186"/>
      <c r="G67" s="186"/>
      <c r="H67" s="186"/>
      <c r="I67" s="186"/>
      <c r="J67" s="186"/>
      <c r="K67" s="186"/>
      <c r="L67" s="186"/>
      <c r="M67" s="186"/>
      <c r="N67" s="186"/>
      <c r="O67" s="186"/>
      <c r="P67" s="186"/>
      <c r="Q67" s="187"/>
      <c r="R67" s="186"/>
      <c r="S67" s="186"/>
      <c r="T67" s="186"/>
      <c r="U67" s="186"/>
      <c r="V67" s="186"/>
      <c r="W67" s="186"/>
      <c r="X67" s="186"/>
      <c r="Y67" s="186"/>
      <c r="Z67" s="186"/>
      <c r="AA67" s="186"/>
      <c r="AB67" s="186"/>
      <c r="AC67" s="186"/>
      <c r="AD67" s="186"/>
      <c r="AE67" s="186"/>
      <c r="AF67" s="186"/>
      <c r="AG67" s="186"/>
      <c r="AH67" s="186"/>
      <c r="AI67" s="186"/>
      <c r="AJ67" s="186"/>
      <c r="AK67" s="186"/>
      <c r="AL67" s="186"/>
      <c r="AM67" s="186"/>
      <c r="AN67" s="186"/>
      <c r="AO67" s="186"/>
      <c r="AP67" s="186"/>
      <c r="AQ67" s="186"/>
      <c r="AR67" s="186"/>
      <c r="AS67" s="186"/>
      <c r="AT67" s="186"/>
      <c r="AU67" s="186"/>
      <c r="AV67" s="186"/>
      <c r="AW67" s="186"/>
      <c r="AX67" s="186"/>
      <c r="AY67" s="186"/>
      <c r="AZ67" s="186"/>
      <c r="BA67" s="186"/>
      <c r="BB67" s="186"/>
      <c r="BC67" s="186"/>
      <c r="BD67" s="186"/>
      <c r="BE67" s="186"/>
      <c r="BF67" s="186"/>
      <c r="BG67" s="186"/>
      <c r="BH67" s="186"/>
      <c r="BI67" s="186"/>
      <c r="BJ67" s="186"/>
      <c r="BK67" s="186"/>
      <c r="BL67" s="186"/>
      <c r="BM67" s="186"/>
      <c r="BN67" s="186"/>
      <c r="BO67" s="186"/>
      <c r="BP67" s="186"/>
      <c r="BQ67" s="186"/>
      <c r="BR67" s="186"/>
      <c r="BS67" s="186"/>
      <c r="BT67" s="186"/>
      <c r="BU67" s="186"/>
      <c r="BV67" s="186"/>
      <c r="BW67" s="186"/>
      <c r="BX67" s="186"/>
    </row>
    <row r="76" spans="3:76" ht="12" customHeight="1">
      <c r="C76" s="877" t="s">
        <v>341</v>
      </c>
      <c r="D76" s="878"/>
      <c r="F76" s="24" t="s">
        <v>189</v>
      </c>
      <c r="H76" s="24" t="s">
        <v>342</v>
      </c>
    </row>
    <row r="77" spans="3:76" ht="12" customHeight="1">
      <c r="C77" s="870" t="s">
        <v>301</v>
      </c>
      <c r="D77" s="871"/>
    </row>
    <row r="78" spans="3:76" ht="12" customHeight="1">
      <c r="C78" s="870" t="s">
        <v>301</v>
      </c>
      <c r="D78" s="871"/>
    </row>
    <row r="79" spans="3:76" ht="12" customHeight="1">
      <c r="C79" s="870" t="s">
        <v>301</v>
      </c>
      <c r="D79" s="871"/>
    </row>
    <row r="80" spans="3:76" ht="12" customHeight="1">
      <c r="C80" s="870" t="s">
        <v>316</v>
      </c>
      <c r="D80" s="871"/>
    </row>
    <row r="81" spans="3:12" ht="12" customHeight="1">
      <c r="C81" s="870" t="s">
        <v>316</v>
      </c>
      <c r="D81" s="871"/>
    </row>
    <row r="83" spans="3:12" ht="12" customHeight="1">
      <c r="C83" s="417"/>
      <c r="D83" s="417"/>
      <c r="E83" s="417"/>
      <c r="F83" s="417"/>
      <c r="G83" s="417"/>
      <c r="H83" s="417"/>
      <c r="J83" s="24" t="s">
        <v>189</v>
      </c>
      <c r="L83" s="24" t="s">
        <v>343</v>
      </c>
    </row>
    <row r="84" spans="3:12" ht="12" customHeight="1">
      <c r="C84" s="186"/>
      <c r="D84" s="186"/>
      <c r="E84" s="186"/>
      <c r="F84" s="186"/>
      <c r="G84" s="186"/>
      <c r="H84" s="186"/>
    </row>
    <row r="131" spans="3:115" ht="12" customHeight="1">
      <c r="C131" s="413"/>
      <c r="D131" s="414"/>
      <c r="E131" s="414"/>
      <c r="F131" s="414"/>
      <c r="G131" s="414"/>
      <c r="H131" s="414"/>
      <c r="I131" s="414"/>
      <c r="J131" s="414"/>
      <c r="K131" s="414"/>
      <c r="L131" s="414"/>
      <c r="M131" s="414"/>
      <c r="N131" s="414"/>
      <c r="O131" s="414"/>
      <c r="P131" s="414"/>
      <c r="Q131" s="415"/>
      <c r="R131" s="414"/>
      <c r="S131" s="414"/>
      <c r="T131" s="414"/>
      <c r="U131" s="414"/>
      <c r="V131" s="414"/>
      <c r="W131" s="414"/>
      <c r="X131" s="414"/>
      <c r="Y131" s="414"/>
      <c r="Z131" s="414"/>
      <c r="AA131" s="414"/>
      <c r="AB131" s="414"/>
      <c r="AC131" s="414"/>
      <c r="AD131" s="414"/>
      <c r="AE131" s="414"/>
      <c r="AF131" s="414"/>
      <c r="AG131" s="414"/>
      <c r="AH131" s="414"/>
      <c r="AI131" s="414"/>
      <c r="AJ131" s="414"/>
      <c r="AK131" s="414"/>
      <c r="AL131" s="414"/>
      <c r="AM131" s="414"/>
      <c r="AN131" s="414"/>
      <c r="AO131" s="414"/>
      <c r="AP131" s="414"/>
      <c r="AQ131" s="414"/>
      <c r="AR131" s="414"/>
      <c r="AS131" s="414"/>
      <c r="AT131" s="414"/>
      <c r="AU131" s="414"/>
      <c r="AV131" s="414"/>
      <c r="AW131" s="414"/>
      <c r="AX131" s="414"/>
      <c r="AY131" s="414"/>
      <c r="AZ131" s="414"/>
      <c r="BA131" s="414"/>
      <c r="BB131" s="414"/>
      <c r="BC131" s="414"/>
      <c r="BD131" s="414"/>
      <c r="BE131" s="414"/>
      <c r="BF131" s="414"/>
      <c r="BG131" s="414"/>
      <c r="BH131" s="414"/>
      <c r="BI131" s="414"/>
      <c r="BJ131" s="414"/>
      <c r="BK131" s="414"/>
      <c r="BL131" s="414"/>
      <c r="BM131" s="414"/>
      <c r="BN131" s="414"/>
      <c r="BO131" s="414"/>
      <c r="BP131" s="414"/>
      <c r="BQ131" s="414"/>
      <c r="BR131" s="414"/>
      <c r="BS131" s="414"/>
      <c r="BT131" s="414"/>
      <c r="BU131" s="414"/>
      <c r="BV131" s="414"/>
      <c r="BW131" s="414"/>
      <c r="BX131" s="281" t="s">
        <v>113</v>
      </c>
      <c r="CA131" s="280" t="s">
        <v>113</v>
      </c>
      <c r="CB131" s="24" t="s">
        <v>344</v>
      </c>
      <c r="CC131" s="24" t="s">
        <v>345</v>
      </c>
    </row>
    <row r="132" spans="3:115" ht="12" customHeight="1">
      <c r="C132" s="181"/>
      <c r="BX132" s="281" t="s">
        <v>346</v>
      </c>
    </row>
    <row r="133" spans="3:115" ht="12" customHeight="1">
      <c r="CA133" s="280" t="s">
        <v>346</v>
      </c>
      <c r="CB133" s="24" t="s">
        <v>344</v>
      </c>
      <c r="CC133" s="24" t="s">
        <v>347</v>
      </c>
    </row>
    <row r="135" spans="3:115" ht="12" customHeight="1">
      <c r="C135" s="413"/>
      <c r="D135" s="414"/>
      <c r="E135" s="414"/>
      <c r="F135" s="414"/>
      <c r="G135" s="414"/>
      <c r="H135" s="414"/>
      <c r="I135" s="414"/>
      <c r="J135" s="414"/>
      <c r="K135" s="414"/>
      <c r="L135" s="414"/>
      <c r="M135" s="414"/>
      <c r="N135" s="414"/>
      <c r="O135" s="414"/>
      <c r="P135" s="414"/>
      <c r="Q135" s="415"/>
      <c r="R135" s="414"/>
      <c r="S135" s="414"/>
      <c r="T135" s="414"/>
      <c r="U135" s="414"/>
      <c r="V135" s="414"/>
      <c r="W135" s="414"/>
      <c r="X135" s="414"/>
      <c r="Y135" s="414"/>
      <c r="Z135" s="414"/>
      <c r="AA135" s="414"/>
      <c r="AB135" s="414"/>
      <c r="AC135" s="414"/>
      <c r="AD135" s="414"/>
      <c r="AE135" s="414"/>
      <c r="AF135" s="414"/>
      <c r="AG135" s="414"/>
      <c r="AH135" s="414"/>
      <c r="AI135" s="414"/>
      <c r="AJ135" s="414"/>
      <c r="AK135" s="414"/>
      <c r="AL135" s="414"/>
      <c r="AM135" s="414"/>
      <c r="AN135" s="414"/>
      <c r="AO135" s="414"/>
      <c r="AP135" s="414"/>
      <c r="AQ135" s="414"/>
      <c r="AR135" s="414"/>
      <c r="AS135" s="414"/>
      <c r="AT135" s="414"/>
      <c r="AU135" s="414"/>
      <c r="AV135" s="414"/>
      <c r="AW135" s="414"/>
      <c r="AX135" s="414"/>
      <c r="AY135" s="414"/>
      <c r="AZ135" s="414"/>
      <c r="BA135" s="414"/>
      <c r="BB135" s="414"/>
      <c r="BC135" s="414"/>
      <c r="BD135" s="414"/>
      <c r="BE135" s="414"/>
      <c r="BF135" s="414"/>
      <c r="BG135" s="414"/>
      <c r="BH135" s="414"/>
      <c r="BI135" s="414"/>
      <c r="BJ135" s="414"/>
      <c r="BK135" s="414"/>
      <c r="BL135" s="414"/>
      <c r="BM135" s="414"/>
      <c r="BN135" s="414"/>
      <c r="BO135" s="414"/>
      <c r="BP135" s="414"/>
      <c r="BQ135" s="414"/>
      <c r="BR135" s="414"/>
      <c r="BS135" s="414"/>
      <c r="BT135" s="414"/>
      <c r="BU135" s="414"/>
      <c r="BV135" s="414"/>
      <c r="BW135" s="414"/>
      <c r="BX135" s="281" t="s">
        <v>346</v>
      </c>
    </row>
    <row r="136" spans="3:115" ht="12" customHeight="1">
      <c r="C136" s="181"/>
    </row>
    <row r="137" spans="3:115" ht="12" customHeight="1">
      <c r="C137" s="181"/>
      <c r="D137" s="245" t="s">
        <v>273</v>
      </c>
      <c r="E137" s="463"/>
      <c r="F137" s="875" t="s">
        <v>274</v>
      </c>
      <c r="G137" s="876"/>
      <c r="H137" s="463" t="s">
        <v>275</v>
      </c>
      <c r="I137" s="463"/>
      <c r="J137" s="246"/>
      <c r="K137" s="245" t="s">
        <v>196</v>
      </c>
      <c r="L137" s="463"/>
      <c r="M137" s="246"/>
      <c r="N137" s="463" t="s">
        <v>276</v>
      </c>
      <c r="O137" s="463"/>
      <c r="P137" s="463"/>
      <c r="Q137" s="246"/>
      <c r="R137" s="245" t="s">
        <v>277</v>
      </c>
      <c r="S137" s="463"/>
      <c r="T137" s="463"/>
      <c r="U137" s="463"/>
      <c r="V137" s="463"/>
      <c r="W137" s="245" t="s">
        <v>278</v>
      </c>
      <c r="X137" s="463"/>
      <c r="Y137" s="463"/>
      <c r="Z137" s="246"/>
      <c r="AA137" s="245" t="s">
        <v>279</v>
      </c>
      <c r="AB137" s="463"/>
      <c r="AC137" s="463"/>
      <c r="AD137" s="463"/>
      <c r="AE137" s="246"/>
      <c r="AF137" s="245" t="s">
        <v>280</v>
      </c>
      <c r="AG137" s="463"/>
      <c r="AH137" s="463"/>
      <c r="AI137" s="246"/>
      <c r="AJ137" s="245" t="s">
        <v>281</v>
      </c>
      <c r="AK137" s="463"/>
      <c r="AL137" s="463"/>
      <c r="AM137" s="463"/>
      <c r="AN137" s="463"/>
      <c r="AO137" s="463"/>
      <c r="AP137" s="463"/>
      <c r="AQ137" s="463"/>
      <c r="AR137" s="463"/>
      <c r="AS137" s="463"/>
      <c r="AT137" s="246"/>
      <c r="AU137" s="245" t="s">
        <v>282</v>
      </c>
      <c r="AV137" s="463"/>
      <c r="AW137" s="463"/>
      <c r="AX137" s="246"/>
      <c r="AY137" s="877" t="s">
        <v>283</v>
      </c>
      <c r="AZ137" s="878"/>
      <c r="BA137" s="245" t="s">
        <v>284</v>
      </c>
      <c r="BB137" s="463"/>
      <c r="BC137" s="463"/>
      <c r="BD137" s="246"/>
      <c r="BE137" s="463" t="s">
        <v>285</v>
      </c>
      <c r="BF137" s="463"/>
      <c r="BG137" s="463"/>
      <c r="BH137" s="246"/>
      <c r="BI137" s="245" t="s">
        <v>286</v>
      </c>
      <c r="BJ137" s="463"/>
      <c r="BK137" s="463"/>
      <c r="BL137" s="463"/>
      <c r="BM137" s="877" t="s">
        <v>287</v>
      </c>
      <c r="BN137" s="878"/>
      <c r="BO137" s="875" t="s">
        <v>348</v>
      </c>
      <c r="BP137" s="879"/>
      <c r="BQ137" s="876"/>
      <c r="BR137" s="877" t="s">
        <v>349</v>
      </c>
      <c r="BS137" s="878"/>
      <c r="BT137" s="245" t="s">
        <v>289</v>
      </c>
      <c r="BU137" s="463"/>
      <c r="BV137" s="463"/>
      <c r="BW137" s="463"/>
      <c r="BX137" s="246"/>
    </row>
    <row r="138" spans="3:115" ht="12" customHeight="1">
      <c r="C138" s="181"/>
      <c r="D138" s="868">
        <v>1</v>
      </c>
      <c r="E138" s="869"/>
      <c r="F138" s="865">
        <v>1234</v>
      </c>
      <c r="G138" s="867"/>
      <c r="H138" s="464" t="s">
        <v>292</v>
      </c>
      <c r="I138" s="464"/>
      <c r="J138" s="249"/>
      <c r="K138" s="865">
        <v>12345</v>
      </c>
      <c r="L138" s="866"/>
      <c r="M138" s="867"/>
      <c r="N138" s="464" t="s">
        <v>294</v>
      </c>
      <c r="O138" s="464"/>
      <c r="P138" s="464"/>
      <c r="Q138" s="249"/>
      <c r="R138" s="247" t="s">
        <v>295</v>
      </c>
      <c r="S138" s="464"/>
      <c r="T138" s="464"/>
      <c r="U138" s="464"/>
      <c r="V138" s="464"/>
      <c r="W138" s="248" t="s">
        <v>294</v>
      </c>
      <c r="X138" s="464"/>
      <c r="Y138" s="464"/>
      <c r="Z138" s="249"/>
      <c r="AA138" s="248" t="s">
        <v>296</v>
      </c>
      <c r="AB138" s="464"/>
      <c r="AC138" s="464"/>
      <c r="AD138" s="464"/>
      <c r="AE138" s="249"/>
      <c r="AF138" s="247" t="s">
        <v>297</v>
      </c>
      <c r="AG138" s="464"/>
      <c r="AH138" s="464"/>
      <c r="AI138" s="249"/>
      <c r="AJ138" s="248" t="s">
        <v>298</v>
      </c>
      <c r="AK138" s="464"/>
      <c r="AL138" s="464"/>
      <c r="AM138" s="464"/>
      <c r="AN138" s="464"/>
      <c r="AO138" s="464"/>
      <c r="AP138" s="277"/>
      <c r="AQ138" s="278" t="s">
        <v>294</v>
      </c>
      <c r="AR138" s="464"/>
      <c r="AS138" s="464"/>
      <c r="AT138" s="249"/>
      <c r="AU138" s="872">
        <v>9999999</v>
      </c>
      <c r="AV138" s="873"/>
      <c r="AW138" s="873"/>
      <c r="AX138" s="874"/>
      <c r="AY138" s="870"/>
      <c r="AZ138" s="871"/>
      <c r="BA138" s="872">
        <v>9999999</v>
      </c>
      <c r="BB138" s="873"/>
      <c r="BC138" s="873"/>
      <c r="BD138" s="874"/>
      <c r="BE138" s="872">
        <v>9999999</v>
      </c>
      <c r="BF138" s="873"/>
      <c r="BG138" s="873"/>
      <c r="BH138" s="874"/>
      <c r="BI138" s="872">
        <v>9999999</v>
      </c>
      <c r="BJ138" s="873"/>
      <c r="BK138" s="873"/>
      <c r="BL138" s="874"/>
      <c r="BM138" s="870" t="s">
        <v>299</v>
      </c>
      <c r="BN138" s="871"/>
      <c r="BO138" s="248" t="s">
        <v>300</v>
      </c>
      <c r="BP138" s="464"/>
      <c r="BQ138" s="249"/>
      <c r="BR138" s="870" t="s">
        <v>316</v>
      </c>
      <c r="BS138" s="871"/>
      <c r="BT138" s="248"/>
      <c r="BU138" s="464"/>
      <c r="BV138" s="464"/>
      <c r="BW138" s="464"/>
      <c r="BX138" s="249"/>
    </row>
    <row r="139" spans="3:115" ht="12" customHeight="1">
      <c r="C139" s="181"/>
      <c r="D139" s="868">
        <v>2</v>
      </c>
      <c r="E139" s="869"/>
      <c r="F139" s="865">
        <v>1234</v>
      </c>
      <c r="G139" s="867"/>
      <c r="H139" s="464" t="s">
        <v>292</v>
      </c>
      <c r="I139" s="464"/>
      <c r="J139" s="249"/>
      <c r="K139" s="865">
        <v>12345</v>
      </c>
      <c r="L139" s="866"/>
      <c r="M139" s="867"/>
      <c r="N139" s="464" t="s">
        <v>294</v>
      </c>
      <c r="O139" s="464"/>
      <c r="P139" s="464"/>
      <c r="Q139" s="249"/>
      <c r="R139" s="247" t="s">
        <v>295</v>
      </c>
      <c r="S139" s="464"/>
      <c r="T139" s="464"/>
      <c r="U139" s="464"/>
      <c r="V139" s="464"/>
      <c r="W139" s="248" t="s">
        <v>294</v>
      </c>
      <c r="X139" s="464"/>
      <c r="Y139" s="464"/>
      <c r="Z139" s="249"/>
      <c r="AA139" s="248" t="s">
        <v>303</v>
      </c>
      <c r="AB139" s="464"/>
      <c r="AC139" s="464"/>
      <c r="AD139" s="464"/>
      <c r="AE139" s="249"/>
      <c r="AF139" s="247" t="s">
        <v>297</v>
      </c>
      <c r="AG139" s="464"/>
      <c r="AH139" s="464"/>
      <c r="AI139" s="249"/>
      <c r="AJ139" s="248" t="s">
        <v>298</v>
      </c>
      <c r="AK139" s="464"/>
      <c r="AL139" s="464"/>
      <c r="AM139" s="464"/>
      <c r="AN139" s="464"/>
      <c r="AO139" s="464"/>
      <c r="AP139" s="277"/>
      <c r="AQ139" s="278" t="s">
        <v>294</v>
      </c>
      <c r="AR139" s="464"/>
      <c r="AS139" s="464"/>
      <c r="AT139" s="249"/>
      <c r="AU139" s="872">
        <v>9999999</v>
      </c>
      <c r="AV139" s="873"/>
      <c r="AW139" s="873"/>
      <c r="AX139" s="874"/>
      <c r="AY139" s="870"/>
      <c r="AZ139" s="871"/>
      <c r="BA139" s="872">
        <v>9999999</v>
      </c>
      <c r="BB139" s="873"/>
      <c r="BC139" s="873"/>
      <c r="BD139" s="874"/>
      <c r="BE139" s="872">
        <v>9999999</v>
      </c>
      <c r="BF139" s="873"/>
      <c r="BG139" s="873"/>
      <c r="BH139" s="874"/>
      <c r="BI139" s="872">
        <v>9999999</v>
      </c>
      <c r="BJ139" s="873"/>
      <c r="BK139" s="873"/>
      <c r="BL139" s="874"/>
      <c r="BM139" s="870" t="s">
        <v>304</v>
      </c>
      <c r="BN139" s="871"/>
      <c r="BO139" s="248" t="s">
        <v>300</v>
      </c>
      <c r="BP139" s="464"/>
      <c r="BQ139" s="249"/>
      <c r="BR139" s="870" t="s">
        <v>316</v>
      </c>
      <c r="BS139" s="871"/>
      <c r="BT139" s="248"/>
      <c r="BU139" s="464"/>
      <c r="BV139" s="464"/>
      <c r="BW139" s="464"/>
      <c r="BX139" s="249"/>
    </row>
    <row r="140" spans="3:115" ht="12" customHeight="1">
      <c r="C140" s="181"/>
      <c r="D140" s="868">
        <v>3</v>
      </c>
      <c r="E140" s="869"/>
      <c r="F140" s="865">
        <v>1234</v>
      </c>
      <c r="G140" s="867"/>
      <c r="H140" s="464" t="s">
        <v>306</v>
      </c>
      <c r="I140" s="464"/>
      <c r="J140" s="249"/>
      <c r="K140" s="865">
        <v>12345</v>
      </c>
      <c r="L140" s="866"/>
      <c r="M140" s="867"/>
      <c r="N140" s="464" t="s">
        <v>294</v>
      </c>
      <c r="O140" s="464"/>
      <c r="P140" s="464"/>
      <c r="Q140" s="249"/>
      <c r="R140" s="247" t="s">
        <v>307</v>
      </c>
      <c r="S140" s="464"/>
      <c r="T140" s="464"/>
      <c r="U140" s="464"/>
      <c r="V140" s="464"/>
      <c r="W140" s="248" t="s">
        <v>308</v>
      </c>
      <c r="X140" s="464"/>
      <c r="Y140" s="464"/>
      <c r="Z140" s="249"/>
      <c r="AA140" s="248" t="s">
        <v>309</v>
      </c>
      <c r="AB140" s="464"/>
      <c r="AC140" s="464"/>
      <c r="AD140" s="464"/>
      <c r="AE140" s="249"/>
      <c r="AF140" s="247" t="s">
        <v>297</v>
      </c>
      <c r="AG140" s="464"/>
      <c r="AH140" s="464"/>
      <c r="AI140" s="249"/>
      <c r="AJ140" s="248" t="s">
        <v>298</v>
      </c>
      <c r="AK140" s="464"/>
      <c r="AL140" s="464"/>
      <c r="AM140" s="464"/>
      <c r="AN140" s="464"/>
      <c r="AO140" s="464"/>
      <c r="AP140" s="277"/>
      <c r="AQ140" s="278" t="s">
        <v>294</v>
      </c>
      <c r="AR140" s="464"/>
      <c r="AS140" s="464"/>
      <c r="AT140" s="249"/>
      <c r="AU140" s="872">
        <v>9999999</v>
      </c>
      <c r="AV140" s="873"/>
      <c r="AW140" s="873"/>
      <c r="AX140" s="874"/>
      <c r="AY140" s="870" t="s">
        <v>310</v>
      </c>
      <c r="AZ140" s="871"/>
      <c r="BA140" s="872">
        <v>9999999</v>
      </c>
      <c r="BB140" s="873"/>
      <c r="BC140" s="873"/>
      <c r="BD140" s="874"/>
      <c r="BE140" s="872">
        <v>9999999</v>
      </c>
      <c r="BF140" s="873"/>
      <c r="BG140" s="873"/>
      <c r="BH140" s="874"/>
      <c r="BI140" s="872">
        <v>9999999</v>
      </c>
      <c r="BJ140" s="873"/>
      <c r="BK140" s="873"/>
      <c r="BL140" s="874"/>
      <c r="BM140" s="870" t="s">
        <v>304</v>
      </c>
      <c r="BN140" s="871"/>
      <c r="BO140" s="248" t="s">
        <v>300</v>
      </c>
      <c r="BP140" s="464"/>
      <c r="BQ140" s="249"/>
      <c r="BR140" s="870" t="s">
        <v>316</v>
      </c>
      <c r="BS140" s="871"/>
      <c r="BT140" s="248" t="s">
        <v>311</v>
      </c>
      <c r="BU140" s="464"/>
      <c r="BV140" s="464"/>
      <c r="BW140" s="464"/>
      <c r="BX140" s="249"/>
    </row>
    <row r="141" spans="3:115" ht="12" customHeight="1">
      <c r="C141" s="181"/>
      <c r="D141" s="868">
        <v>4</v>
      </c>
      <c r="E141" s="869"/>
      <c r="F141" s="865">
        <v>1234</v>
      </c>
      <c r="G141" s="867"/>
      <c r="H141" s="464" t="s">
        <v>306</v>
      </c>
      <c r="I141" s="464"/>
      <c r="J141" s="249"/>
      <c r="K141" s="865">
        <v>12345</v>
      </c>
      <c r="L141" s="866"/>
      <c r="M141" s="867"/>
      <c r="N141" s="464" t="s">
        <v>294</v>
      </c>
      <c r="O141" s="464"/>
      <c r="P141" s="464"/>
      <c r="Q141" s="249"/>
      <c r="R141" s="247" t="s">
        <v>307</v>
      </c>
      <c r="S141" s="464"/>
      <c r="T141" s="464"/>
      <c r="U141" s="464"/>
      <c r="V141" s="464"/>
      <c r="W141" s="248" t="s">
        <v>308</v>
      </c>
      <c r="X141" s="464"/>
      <c r="Y141" s="464"/>
      <c r="Z141" s="249"/>
      <c r="AA141" s="248" t="s">
        <v>315</v>
      </c>
      <c r="AB141" s="464"/>
      <c r="AC141" s="464"/>
      <c r="AD141" s="464"/>
      <c r="AE141" s="249"/>
      <c r="AF141" s="247" t="s">
        <v>297</v>
      </c>
      <c r="AG141" s="464"/>
      <c r="AH141" s="464"/>
      <c r="AI141" s="249"/>
      <c r="AJ141" s="248" t="s">
        <v>298</v>
      </c>
      <c r="AK141" s="464"/>
      <c r="AL141" s="464"/>
      <c r="AM141" s="464"/>
      <c r="AN141" s="464"/>
      <c r="AO141" s="464"/>
      <c r="AP141" s="277"/>
      <c r="AQ141" s="278" t="s">
        <v>294</v>
      </c>
      <c r="AR141" s="464"/>
      <c r="AS141" s="464"/>
      <c r="AT141" s="249"/>
      <c r="AU141" s="872">
        <v>9999999</v>
      </c>
      <c r="AV141" s="873"/>
      <c r="AW141" s="873"/>
      <c r="AX141" s="874"/>
      <c r="AY141" s="870"/>
      <c r="AZ141" s="871"/>
      <c r="BA141" s="872">
        <v>9999999</v>
      </c>
      <c r="BB141" s="873"/>
      <c r="BC141" s="873"/>
      <c r="BD141" s="874"/>
      <c r="BE141" s="872">
        <v>9999999</v>
      </c>
      <c r="BF141" s="873"/>
      <c r="BG141" s="873"/>
      <c r="BH141" s="874"/>
      <c r="BI141" s="872">
        <v>9999999</v>
      </c>
      <c r="BJ141" s="873"/>
      <c r="BK141" s="873"/>
      <c r="BL141" s="874"/>
      <c r="BM141" s="870" t="s">
        <v>304</v>
      </c>
      <c r="BN141" s="871"/>
      <c r="BO141" s="248" t="s">
        <v>300</v>
      </c>
      <c r="BP141" s="464"/>
      <c r="BQ141" s="249"/>
      <c r="BR141" s="870" t="s">
        <v>316</v>
      </c>
      <c r="BS141" s="871"/>
      <c r="BT141" s="248"/>
      <c r="BU141" s="464"/>
      <c r="BV141" s="464"/>
      <c r="BW141" s="464"/>
      <c r="BX141" s="249"/>
    </row>
    <row r="142" spans="3:115" ht="12" customHeight="1">
      <c r="C142" s="181"/>
      <c r="D142" s="868">
        <v>5</v>
      </c>
      <c r="E142" s="869"/>
      <c r="F142" s="865">
        <v>1234</v>
      </c>
      <c r="G142" s="867"/>
      <c r="H142" s="464" t="s">
        <v>306</v>
      </c>
      <c r="I142" s="464"/>
      <c r="J142" s="249"/>
      <c r="K142" s="865">
        <v>12345</v>
      </c>
      <c r="L142" s="866"/>
      <c r="M142" s="867"/>
      <c r="N142" s="464" t="s">
        <v>294</v>
      </c>
      <c r="O142" s="464"/>
      <c r="P142" s="464"/>
      <c r="Q142" s="249"/>
      <c r="R142" s="247" t="s">
        <v>307</v>
      </c>
      <c r="S142" s="464"/>
      <c r="T142" s="464"/>
      <c r="U142" s="464"/>
      <c r="V142" s="464"/>
      <c r="W142" s="248" t="s">
        <v>308</v>
      </c>
      <c r="X142" s="464"/>
      <c r="Y142" s="464"/>
      <c r="Z142" s="249"/>
      <c r="AA142" s="248" t="s">
        <v>318</v>
      </c>
      <c r="AB142" s="464"/>
      <c r="AC142" s="464"/>
      <c r="AD142" s="464"/>
      <c r="AE142" s="249"/>
      <c r="AF142" s="247" t="s">
        <v>297</v>
      </c>
      <c r="AG142" s="464"/>
      <c r="AH142" s="464"/>
      <c r="AI142" s="249"/>
      <c r="AJ142" s="248" t="s">
        <v>298</v>
      </c>
      <c r="AK142" s="464"/>
      <c r="AL142" s="464"/>
      <c r="AM142" s="464"/>
      <c r="AN142" s="464"/>
      <c r="AO142" s="464"/>
      <c r="AP142" s="277"/>
      <c r="AQ142" s="278" t="s">
        <v>294</v>
      </c>
      <c r="AR142" s="464"/>
      <c r="AS142" s="464"/>
      <c r="AT142" s="249"/>
      <c r="AU142" s="872">
        <v>9999999</v>
      </c>
      <c r="AV142" s="873"/>
      <c r="AW142" s="873"/>
      <c r="AX142" s="874"/>
      <c r="AY142" s="870"/>
      <c r="AZ142" s="871"/>
      <c r="BA142" s="872">
        <v>9999999</v>
      </c>
      <c r="BB142" s="873"/>
      <c r="BC142" s="873"/>
      <c r="BD142" s="874"/>
      <c r="BE142" s="872">
        <v>9999999</v>
      </c>
      <c r="BF142" s="873"/>
      <c r="BG142" s="873"/>
      <c r="BH142" s="874"/>
      <c r="BI142" s="872">
        <v>9999999</v>
      </c>
      <c r="BJ142" s="873"/>
      <c r="BK142" s="873"/>
      <c r="BL142" s="874"/>
      <c r="BM142" s="870" t="s">
        <v>304</v>
      </c>
      <c r="BN142" s="871"/>
      <c r="BO142" s="248" t="s">
        <v>300</v>
      </c>
      <c r="BP142" s="464"/>
      <c r="BQ142" s="249"/>
      <c r="BR142" s="870" t="s">
        <v>316</v>
      </c>
      <c r="BS142" s="871"/>
      <c r="BT142" s="248"/>
      <c r="BU142" s="464"/>
      <c r="BV142" s="464"/>
      <c r="BW142" s="464"/>
      <c r="BX142" s="249"/>
    </row>
    <row r="143" spans="3:115" ht="12" customHeight="1">
      <c r="C143" s="181"/>
      <c r="D143" s="868">
        <v>6</v>
      </c>
      <c r="E143" s="869"/>
      <c r="F143" s="865">
        <v>1234</v>
      </c>
      <c r="G143" s="867"/>
      <c r="H143" s="464" t="s">
        <v>306</v>
      </c>
      <c r="I143" s="464"/>
      <c r="J143" s="249"/>
      <c r="K143" s="865">
        <v>12345</v>
      </c>
      <c r="L143" s="866"/>
      <c r="M143" s="867"/>
      <c r="N143" s="464" t="s">
        <v>294</v>
      </c>
      <c r="O143" s="464"/>
      <c r="P143" s="464"/>
      <c r="Q143" s="249"/>
      <c r="R143" s="247" t="s">
        <v>307</v>
      </c>
      <c r="S143" s="464"/>
      <c r="T143" s="464"/>
      <c r="U143" s="464"/>
      <c r="V143" s="464"/>
      <c r="W143" s="248" t="s">
        <v>308</v>
      </c>
      <c r="X143" s="464"/>
      <c r="Y143" s="464"/>
      <c r="Z143" s="249"/>
      <c r="AA143" s="248" t="s">
        <v>320</v>
      </c>
      <c r="AB143" s="464"/>
      <c r="AC143" s="464"/>
      <c r="AD143" s="464"/>
      <c r="AE143" s="249"/>
      <c r="AF143" s="247" t="s">
        <v>297</v>
      </c>
      <c r="AG143" s="464"/>
      <c r="AH143" s="464"/>
      <c r="AI143" s="249"/>
      <c r="AJ143" s="248" t="s">
        <v>321</v>
      </c>
      <c r="AK143" s="464"/>
      <c r="AL143" s="464"/>
      <c r="AM143" s="464"/>
      <c r="AN143" s="464"/>
      <c r="AO143" s="464"/>
      <c r="AP143" s="277"/>
      <c r="AQ143" s="278" t="s">
        <v>322</v>
      </c>
      <c r="AR143" s="464"/>
      <c r="AS143" s="464"/>
      <c r="AT143" s="249"/>
      <c r="AU143" s="872">
        <v>9999999</v>
      </c>
      <c r="AV143" s="873"/>
      <c r="AW143" s="873"/>
      <c r="AX143" s="874"/>
      <c r="AY143" s="870" t="s">
        <v>310</v>
      </c>
      <c r="AZ143" s="871"/>
      <c r="BA143" s="872">
        <v>9999999</v>
      </c>
      <c r="BB143" s="873"/>
      <c r="BC143" s="873"/>
      <c r="BD143" s="874"/>
      <c r="BE143" s="872">
        <v>9999999</v>
      </c>
      <c r="BF143" s="873"/>
      <c r="BG143" s="873"/>
      <c r="BH143" s="874"/>
      <c r="BI143" s="872">
        <v>9999999</v>
      </c>
      <c r="BJ143" s="873"/>
      <c r="BK143" s="873"/>
      <c r="BL143" s="874"/>
      <c r="BM143" s="870" t="s">
        <v>323</v>
      </c>
      <c r="BN143" s="871"/>
      <c r="BO143" s="248" t="s">
        <v>324</v>
      </c>
      <c r="BP143" s="464"/>
      <c r="BQ143" s="249"/>
      <c r="BR143" s="870" t="s">
        <v>316</v>
      </c>
      <c r="BS143" s="871"/>
      <c r="BT143" s="248" t="s">
        <v>311</v>
      </c>
      <c r="BU143" s="464"/>
      <c r="BV143" s="464"/>
      <c r="BW143" s="464"/>
      <c r="BX143" s="249"/>
    </row>
    <row r="144" spans="3:115" ht="12" customHeight="1">
      <c r="C144" s="181"/>
      <c r="D144" s="868">
        <v>7</v>
      </c>
      <c r="E144" s="869"/>
      <c r="F144" s="865">
        <v>1234</v>
      </c>
      <c r="G144" s="867"/>
      <c r="H144" s="464" t="s">
        <v>306</v>
      </c>
      <c r="I144" s="464"/>
      <c r="J144" s="249"/>
      <c r="K144" s="865">
        <v>12345</v>
      </c>
      <c r="L144" s="866"/>
      <c r="M144" s="867"/>
      <c r="N144" s="464" t="s">
        <v>294</v>
      </c>
      <c r="O144" s="464"/>
      <c r="P144" s="464"/>
      <c r="Q144" s="249"/>
      <c r="R144" s="247" t="s">
        <v>307</v>
      </c>
      <c r="S144" s="464"/>
      <c r="T144" s="464"/>
      <c r="U144" s="464"/>
      <c r="V144" s="464"/>
      <c r="W144" s="248" t="s">
        <v>308</v>
      </c>
      <c r="X144" s="464"/>
      <c r="Y144" s="464"/>
      <c r="Z144" s="249"/>
      <c r="AA144" s="248" t="s">
        <v>326</v>
      </c>
      <c r="AB144" s="464"/>
      <c r="AC144" s="464"/>
      <c r="AD144" s="464"/>
      <c r="AE144" s="249"/>
      <c r="AF144" s="247" t="s">
        <v>297</v>
      </c>
      <c r="AG144" s="464"/>
      <c r="AH144" s="464"/>
      <c r="AI144" s="249"/>
      <c r="AJ144" s="248" t="s">
        <v>327</v>
      </c>
      <c r="AK144" s="464"/>
      <c r="AL144" s="464"/>
      <c r="AM144" s="464"/>
      <c r="AN144" s="464"/>
      <c r="AO144" s="464"/>
      <c r="AP144" s="277"/>
      <c r="AQ144" s="278" t="s">
        <v>328</v>
      </c>
      <c r="AR144" s="464"/>
      <c r="AS144" s="464"/>
      <c r="AT144" s="249"/>
      <c r="AU144" s="872">
        <v>9999999</v>
      </c>
      <c r="AV144" s="873"/>
      <c r="AW144" s="873"/>
      <c r="AX144" s="874"/>
      <c r="AY144" s="870" t="s">
        <v>310</v>
      </c>
      <c r="AZ144" s="871"/>
      <c r="BA144" s="872">
        <v>9999999</v>
      </c>
      <c r="BB144" s="873"/>
      <c r="BC144" s="873"/>
      <c r="BD144" s="874"/>
      <c r="BE144" s="872">
        <v>9999999</v>
      </c>
      <c r="BF144" s="873"/>
      <c r="BG144" s="873"/>
      <c r="BH144" s="874"/>
      <c r="BI144" s="872">
        <v>9999999</v>
      </c>
      <c r="BJ144" s="873"/>
      <c r="BK144" s="873"/>
      <c r="BL144" s="874"/>
      <c r="BM144" s="870" t="s">
        <v>329</v>
      </c>
      <c r="BN144" s="871"/>
      <c r="BO144" s="248" t="s">
        <v>324</v>
      </c>
      <c r="BP144" s="464"/>
      <c r="BQ144" s="249"/>
      <c r="BR144" s="870" t="s">
        <v>316</v>
      </c>
      <c r="BS144" s="871"/>
      <c r="BT144" s="248" t="s">
        <v>311</v>
      </c>
      <c r="BU144" s="464"/>
      <c r="BV144" s="464"/>
      <c r="BW144" s="464"/>
      <c r="BX144" s="249"/>
      <c r="DK144" s="242"/>
    </row>
    <row r="145" spans="3:82" ht="12" customHeight="1">
      <c r="C145" s="181"/>
      <c r="D145" s="868">
        <v>8</v>
      </c>
      <c r="E145" s="869"/>
      <c r="F145" s="865">
        <v>1234</v>
      </c>
      <c r="G145" s="867"/>
      <c r="H145" s="464" t="s">
        <v>306</v>
      </c>
      <c r="I145" s="464"/>
      <c r="J145" s="249"/>
      <c r="K145" s="865">
        <v>12345</v>
      </c>
      <c r="L145" s="866"/>
      <c r="M145" s="867"/>
      <c r="N145" s="464" t="s">
        <v>294</v>
      </c>
      <c r="O145" s="464"/>
      <c r="P145" s="464"/>
      <c r="Q145" s="249"/>
      <c r="R145" s="247" t="s">
        <v>307</v>
      </c>
      <c r="S145" s="464"/>
      <c r="T145" s="464"/>
      <c r="U145" s="464"/>
      <c r="V145" s="464"/>
      <c r="W145" s="248" t="s">
        <v>308</v>
      </c>
      <c r="X145" s="464"/>
      <c r="Y145" s="464"/>
      <c r="Z145" s="249"/>
      <c r="AA145" s="248" t="s">
        <v>331</v>
      </c>
      <c r="AB145" s="464"/>
      <c r="AC145" s="464"/>
      <c r="AD145" s="464"/>
      <c r="AE145" s="249"/>
      <c r="AF145" s="247" t="s">
        <v>297</v>
      </c>
      <c r="AG145" s="464"/>
      <c r="AH145" s="464"/>
      <c r="AI145" s="249"/>
      <c r="AJ145" s="248" t="s">
        <v>327</v>
      </c>
      <c r="AK145" s="464"/>
      <c r="AL145" s="464"/>
      <c r="AM145" s="464"/>
      <c r="AN145" s="464"/>
      <c r="AO145" s="464"/>
      <c r="AP145" s="277"/>
      <c r="AQ145" s="278" t="s">
        <v>332</v>
      </c>
      <c r="AR145" s="464"/>
      <c r="AS145" s="464"/>
      <c r="AT145" s="249"/>
      <c r="AU145" s="872">
        <v>9999999</v>
      </c>
      <c r="AV145" s="873"/>
      <c r="AW145" s="873"/>
      <c r="AX145" s="874"/>
      <c r="AY145" s="870" t="s">
        <v>310</v>
      </c>
      <c r="AZ145" s="871"/>
      <c r="BA145" s="872">
        <v>9999999</v>
      </c>
      <c r="BB145" s="873"/>
      <c r="BC145" s="873"/>
      <c r="BD145" s="874"/>
      <c r="BE145" s="872">
        <v>9999999</v>
      </c>
      <c r="BF145" s="873"/>
      <c r="BG145" s="873"/>
      <c r="BH145" s="874"/>
      <c r="BI145" s="872">
        <v>9999999</v>
      </c>
      <c r="BJ145" s="873"/>
      <c r="BK145" s="873"/>
      <c r="BL145" s="874"/>
      <c r="BM145" s="870" t="s">
        <v>329</v>
      </c>
      <c r="BN145" s="871"/>
      <c r="BO145" s="248" t="s">
        <v>324</v>
      </c>
      <c r="BP145" s="464"/>
      <c r="BQ145" s="249"/>
      <c r="BR145" s="870" t="s">
        <v>316</v>
      </c>
      <c r="BS145" s="871"/>
      <c r="BT145" s="248" t="s">
        <v>311</v>
      </c>
      <c r="BU145" s="464"/>
      <c r="BV145" s="464"/>
      <c r="BW145" s="464"/>
      <c r="BX145" s="249"/>
      <c r="CD145" s="26"/>
    </row>
    <row r="146" spans="3:82" ht="12" customHeight="1">
      <c r="C146" s="181"/>
      <c r="D146" s="868">
        <v>9</v>
      </c>
      <c r="E146" s="869"/>
      <c r="F146" s="865">
        <v>1234</v>
      </c>
      <c r="G146" s="867"/>
      <c r="H146" s="464" t="s">
        <v>306</v>
      </c>
      <c r="I146" s="464"/>
      <c r="J146" s="249"/>
      <c r="K146" s="865">
        <v>12345</v>
      </c>
      <c r="L146" s="866"/>
      <c r="M146" s="867"/>
      <c r="N146" s="464" t="s">
        <v>294</v>
      </c>
      <c r="O146" s="464"/>
      <c r="P146" s="464"/>
      <c r="Q146" s="249"/>
      <c r="R146" s="247" t="s">
        <v>307</v>
      </c>
      <c r="S146" s="464"/>
      <c r="T146" s="464"/>
      <c r="U146" s="464"/>
      <c r="V146" s="464"/>
      <c r="W146" s="248" t="s">
        <v>308</v>
      </c>
      <c r="X146" s="464"/>
      <c r="Y146" s="464"/>
      <c r="Z146" s="249"/>
      <c r="AA146" s="248" t="s">
        <v>334</v>
      </c>
      <c r="AB146" s="464"/>
      <c r="AC146" s="464"/>
      <c r="AD146" s="464"/>
      <c r="AE146" s="249"/>
      <c r="AF146" s="247" t="s">
        <v>297</v>
      </c>
      <c r="AG146" s="464"/>
      <c r="AH146" s="464"/>
      <c r="AI146" s="249"/>
      <c r="AJ146" s="248" t="s">
        <v>327</v>
      </c>
      <c r="AK146" s="464"/>
      <c r="AL146" s="464"/>
      <c r="AM146" s="464"/>
      <c r="AN146" s="464"/>
      <c r="AO146" s="464"/>
      <c r="AP146" s="277"/>
      <c r="AQ146" s="278" t="s">
        <v>335</v>
      </c>
      <c r="AR146" s="464"/>
      <c r="AS146" s="464"/>
      <c r="AT146" s="249"/>
      <c r="AU146" s="872">
        <v>9999999</v>
      </c>
      <c r="AV146" s="873"/>
      <c r="AW146" s="873"/>
      <c r="AX146" s="874"/>
      <c r="AY146" s="870"/>
      <c r="AZ146" s="871"/>
      <c r="BA146" s="872">
        <v>9999999</v>
      </c>
      <c r="BB146" s="873"/>
      <c r="BC146" s="873"/>
      <c r="BD146" s="874"/>
      <c r="BE146" s="872">
        <v>9999999</v>
      </c>
      <c r="BF146" s="873"/>
      <c r="BG146" s="873"/>
      <c r="BH146" s="874"/>
      <c r="BI146" s="872">
        <v>9999999</v>
      </c>
      <c r="BJ146" s="873"/>
      <c r="BK146" s="873"/>
      <c r="BL146" s="874"/>
      <c r="BM146" s="870" t="s">
        <v>304</v>
      </c>
      <c r="BN146" s="871"/>
      <c r="BO146" s="248" t="s">
        <v>324</v>
      </c>
      <c r="BP146" s="464"/>
      <c r="BQ146" s="249"/>
      <c r="BR146" s="870" t="s">
        <v>316</v>
      </c>
      <c r="BS146" s="871"/>
      <c r="BT146" s="248"/>
      <c r="BU146" s="464"/>
      <c r="BV146" s="464"/>
      <c r="BW146" s="464"/>
      <c r="BX146" s="249"/>
    </row>
    <row r="147" spans="3:82" ht="12" customHeight="1">
      <c r="C147" s="181"/>
      <c r="D147" s="868">
        <v>10</v>
      </c>
      <c r="E147" s="869"/>
      <c r="F147" s="865">
        <v>1234</v>
      </c>
      <c r="G147" s="867"/>
      <c r="H147" s="464" t="s">
        <v>306</v>
      </c>
      <c r="I147" s="464"/>
      <c r="J147" s="249"/>
      <c r="K147" s="865">
        <v>12345</v>
      </c>
      <c r="L147" s="866"/>
      <c r="M147" s="867"/>
      <c r="N147" s="464" t="s">
        <v>294</v>
      </c>
      <c r="O147" s="464"/>
      <c r="P147" s="464"/>
      <c r="Q147" s="249"/>
      <c r="R147" s="247" t="s">
        <v>307</v>
      </c>
      <c r="S147" s="464"/>
      <c r="T147" s="464"/>
      <c r="U147" s="464"/>
      <c r="V147" s="464"/>
      <c r="W147" s="248" t="s">
        <v>308</v>
      </c>
      <c r="X147" s="464"/>
      <c r="Y147" s="464"/>
      <c r="Z147" s="249"/>
      <c r="AA147" s="248" t="s">
        <v>337</v>
      </c>
      <c r="AB147" s="464"/>
      <c r="AC147" s="464"/>
      <c r="AD147" s="464"/>
      <c r="AE147" s="249"/>
      <c r="AF147" s="247" t="s">
        <v>297</v>
      </c>
      <c r="AG147" s="464"/>
      <c r="AH147" s="464"/>
      <c r="AI147" s="249"/>
      <c r="AJ147" s="248" t="s">
        <v>327</v>
      </c>
      <c r="AK147" s="464"/>
      <c r="AL147" s="464"/>
      <c r="AM147" s="464"/>
      <c r="AN147" s="464"/>
      <c r="AO147" s="464"/>
      <c r="AP147" s="277"/>
      <c r="AQ147" s="278" t="s">
        <v>338</v>
      </c>
      <c r="AR147" s="464"/>
      <c r="AS147" s="464"/>
      <c r="AT147" s="249"/>
      <c r="AU147" s="872">
        <v>9999999</v>
      </c>
      <c r="AV147" s="873"/>
      <c r="AW147" s="873"/>
      <c r="AX147" s="874"/>
      <c r="AY147" s="870" t="s">
        <v>310</v>
      </c>
      <c r="AZ147" s="871"/>
      <c r="BA147" s="872">
        <v>9999999</v>
      </c>
      <c r="BB147" s="873"/>
      <c r="BC147" s="873"/>
      <c r="BD147" s="874"/>
      <c r="BE147" s="872">
        <v>9999999</v>
      </c>
      <c r="BF147" s="873"/>
      <c r="BG147" s="873"/>
      <c r="BH147" s="874"/>
      <c r="BI147" s="872">
        <v>9999999</v>
      </c>
      <c r="BJ147" s="873"/>
      <c r="BK147" s="873"/>
      <c r="BL147" s="874"/>
      <c r="BM147" s="870" t="s">
        <v>329</v>
      </c>
      <c r="BN147" s="871"/>
      <c r="BO147" s="248" t="s">
        <v>324</v>
      </c>
      <c r="BP147" s="464"/>
      <c r="BQ147" s="249"/>
      <c r="BR147" s="870" t="s">
        <v>316</v>
      </c>
      <c r="BS147" s="871"/>
      <c r="BT147" s="248" t="s">
        <v>311</v>
      </c>
      <c r="BU147" s="464"/>
      <c r="BV147" s="464"/>
      <c r="BW147" s="464"/>
      <c r="BX147" s="249"/>
    </row>
    <row r="148" spans="3:82" ht="12" customHeight="1">
      <c r="C148" s="181"/>
      <c r="D148" s="868">
        <v>11</v>
      </c>
      <c r="E148" s="869"/>
      <c r="F148" s="865">
        <v>1234</v>
      </c>
      <c r="G148" s="867"/>
      <c r="H148" s="464" t="s">
        <v>306</v>
      </c>
      <c r="I148" s="464"/>
      <c r="J148" s="249"/>
      <c r="K148" s="865">
        <v>12345</v>
      </c>
      <c r="L148" s="866"/>
      <c r="M148" s="867"/>
      <c r="N148" s="464" t="s">
        <v>294</v>
      </c>
      <c r="O148" s="464"/>
      <c r="P148" s="464"/>
      <c r="Q148" s="249"/>
      <c r="R148" s="247" t="s">
        <v>307</v>
      </c>
      <c r="S148" s="464"/>
      <c r="T148" s="464"/>
      <c r="U148" s="464"/>
      <c r="V148" s="464"/>
      <c r="W148" s="248" t="s">
        <v>308</v>
      </c>
      <c r="X148" s="464"/>
      <c r="Y148" s="464"/>
      <c r="Z148" s="249"/>
      <c r="AA148" s="248" t="s">
        <v>337</v>
      </c>
      <c r="AB148" s="464"/>
      <c r="AC148" s="464"/>
      <c r="AD148" s="464"/>
      <c r="AE148" s="249"/>
      <c r="AF148" s="247" t="s">
        <v>297</v>
      </c>
      <c r="AG148" s="464"/>
      <c r="AH148" s="464"/>
      <c r="AI148" s="249"/>
      <c r="AJ148" s="248" t="s">
        <v>327</v>
      </c>
      <c r="AK148" s="464"/>
      <c r="AL148" s="464"/>
      <c r="AM148" s="464"/>
      <c r="AN148" s="464"/>
      <c r="AO148" s="464"/>
      <c r="AP148" s="277"/>
      <c r="AQ148" s="278" t="s">
        <v>338</v>
      </c>
      <c r="AR148" s="464"/>
      <c r="AS148" s="464"/>
      <c r="AT148" s="249"/>
      <c r="AU148" s="872">
        <v>9999999</v>
      </c>
      <c r="AV148" s="873"/>
      <c r="AW148" s="873"/>
      <c r="AX148" s="874"/>
      <c r="AY148" s="870" t="s">
        <v>310</v>
      </c>
      <c r="AZ148" s="871"/>
      <c r="BA148" s="872">
        <v>9999999</v>
      </c>
      <c r="BB148" s="873"/>
      <c r="BC148" s="873"/>
      <c r="BD148" s="874"/>
      <c r="BE148" s="872">
        <v>9999999</v>
      </c>
      <c r="BF148" s="873"/>
      <c r="BG148" s="873"/>
      <c r="BH148" s="874"/>
      <c r="BI148" s="872">
        <v>9999999</v>
      </c>
      <c r="BJ148" s="873"/>
      <c r="BK148" s="873"/>
      <c r="BL148" s="874"/>
      <c r="BM148" s="870" t="s">
        <v>329</v>
      </c>
      <c r="BN148" s="871"/>
      <c r="BO148" s="248" t="s">
        <v>324</v>
      </c>
      <c r="BP148" s="464"/>
      <c r="BQ148" s="249"/>
      <c r="BR148" s="870" t="s">
        <v>316</v>
      </c>
      <c r="BS148" s="871"/>
      <c r="BT148" s="248" t="s">
        <v>311</v>
      </c>
      <c r="BU148" s="464"/>
      <c r="BV148" s="464"/>
      <c r="BW148" s="464"/>
      <c r="BX148" s="249"/>
    </row>
    <row r="149" spans="3:82" ht="12" customHeight="1">
      <c r="C149" s="181"/>
      <c r="D149" s="868">
        <v>12</v>
      </c>
      <c r="E149" s="869"/>
      <c r="F149" s="865">
        <v>1234</v>
      </c>
      <c r="G149" s="867"/>
      <c r="H149" s="464" t="s">
        <v>306</v>
      </c>
      <c r="I149" s="464"/>
      <c r="J149" s="249"/>
      <c r="K149" s="865">
        <v>12345</v>
      </c>
      <c r="L149" s="866"/>
      <c r="M149" s="867"/>
      <c r="N149" s="464" t="s">
        <v>294</v>
      </c>
      <c r="O149" s="464"/>
      <c r="P149" s="464"/>
      <c r="Q149" s="249"/>
      <c r="R149" s="247" t="s">
        <v>307</v>
      </c>
      <c r="S149" s="464"/>
      <c r="T149" s="464"/>
      <c r="U149" s="464"/>
      <c r="V149" s="464"/>
      <c r="W149" s="248" t="s">
        <v>308</v>
      </c>
      <c r="X149" s="464"/>
      <c r="Y149" s="464"/>
      <c r="Z149" s="249"/>
      <c r="AA149" s="248" t="s">
        <v>337</v>
      </c>
      <c r="AB149" s="464"/>
      <c r="AC149" s="464"/>
      <c r="AD149" s="464"/>
      <c r="AE149" s="249"/>
      <c r="AF149" s="247" t="s">
        <v>297</v>
      </c>
      <c r="AG149" s="464"/>
      <c r="AH149" s="464"/>
      <c r="AI149" s="249"/>
      <c r="AJ149" s="248" t="s">
        <v>327</v>
      </c>
      <c r="AK149" s="464"/>
      <c r="AL149" s="464"/>
      <c r="AM149" s="464"/>
      <c r="AN149" s="464"/>
      <c r="AO149" s="464"/>
      <c r="AP149" s="277"/>
      <c r="AQ149" s="278" t="s">
        <v>338</v>
      </c>
      <c r="AR149" s="464"/>
      <c r="AS149" s="464"/>
      <c r="AT149" s="249"/>
      <c r="AU149" s="872">
        <v>9999999</v>
      </c>
      <c r="AV149" s="873"/>
      <c r="AW149" s="873"/>
      <c r="AX149" s="874"/>
      <c r="AY149" s="870" t="s">
        <v>310</v>
      </c>
      <c r="AZ149" s="871"/>
      <c r="BA149" s="872">
        <v>9999999</v>
      </c>
      <c r="BB149" s="873"/>
      <c r="BC149" s="873"/>
      <c r="BD149" s="874"/>
      <c r="BE149" s="872">
        <v>9999999</v>
      </c>
      <c r="BF149" s="873"/>
      <c r="BG149" s="873"/>
      <c r="BH149" s="874"/>
      <c r="BI149" s="872">
        <v>9999999</v>
      </c>
      <c r="BJ149" s="873"/>
      <c r="BK149" s="873"/>
      <c r="BL149" s="874"/>
      <c r="BM149" s="870" t="s">
        <v>329</v>
      </c>
      <c r="BN149" s="871"/>
      <c r="BO149" s="248" t="s">
        <v>324</v>
      </c>
      <c r="BP149" s="464"/>
      <c r="BQ149" s="249"/>
      <c r="BR149" s="870" t="s">
        <v>316</v>
      </c>
      <c r="BS149" s="871"/>
      <c r="BT149" s="248" t="s">
        <v>350</v>
      </c>
      <c r="BU149" s="464"/>
      <c r="BV149" s="464"/>
      <c r="BW149" s="464"/>
      <c r="BX149" s="249"/>
    </row>
    <row r="150" spans="3:82" ht="12" customHeight="1">
      <c r="C150" s="181"/>
      <c r="D150" s="868">
        <v>13</v>
      </c>
      <c r="E150" s="869"/>
      <c r="F150" s="865">
        <v>1234</v>
      </c>
      <c r="G150" s="867"/>
      <c r="H150" s="464" t="s">
        <v>306</v>
      </c>
      <c r="I150" s="464"/>
      <c r="J150" s="249"/>
      <c r="K150" s="865">
        <v>12345</v>
      </c>
      <c r="L150" s="866"/>
      <c r="M150" s="867"/>
      <c r="N150" s="464" t="s">
        <v>294</v>
      </c>
      <c r="O150" s="464"/>
      <c r="P150" s="464"/>
      <c r="Q150" s="249"/>
      <c r="R150" s="247" t="s">
        <v>307</v>
      </c>
      <c r="S150" s="464"/>
      <c r="T150" s="464"/>
      <c r="U150" s="464"/>
      <c r="V150" s="464"/>
      <c r="W150" s="248" t="s">
        <v>308</v>
      </c>
      <c r="X150" s="464"/>
      <c r="Y150" s="464"/>
      <c r="Z150" s="249"/>
      <c r="AA150" s="248" t="s">
        <v>337</v>
      </c>
      <c r="AB150" s="464"/>
      <c r="AC150" s="464"/>
      <c r="AD150" s="464"/>
      <c r="AE150" s="249"/>
      <c r="AF150" s="247" t="s">
        <v>297</v>
      </c>
      <c r="AG150" s="464"/>
      <c r="AH150" s="464"/>
      <c r="AI150" s="249"/>
      <c r="AJ150" s="248" t="s">
        <v>327</v>
      </c>
      <c r="AK150" s="464"/>
      <c r="AL150" s="464"/>
      <c r="AM150" s="464"/>
      <c r="AN150" s="464"/>
      <c r="AO150" s="464"/>
      <c r="AP150" s="277"/>
      <c r="AQ150" s="278" t="s">
        <v>338</v>
      </c>
      <c r="AR150" s="464"/>
      <c r="AS150" s="464"/>
      <c r="AT150" s="249"/>
      <c r="AU150" s="872">
        <v>9999999</v>
      </c>
      <c r="AV150" s="873"/>
      <c r="AW150" s="873"/>
      <c r="AX150" s="874"/>
      <c r="AY150" s="870" t="s">
        <v>310</v>
      </c>
      <c r="AZ150" s="871"/>
      <c r="BA150" s="872">
        <v>9999999</v>
      </c>
      <c r="BB150" s="873"/>
      <c r="BC150" s="873"/>
      <c r="BD150" s="874"/>
      <c r="BE150" s="872">
        <v>9999999</v>
      </c>
      <c r="BF150" s="873"/>
      <c r="BG150" s="873"/>
      <c r="BH150" s="874"/>
      <c r="BI150" s="872">
        <v>9999999</v>
      </c>
      <c r="BJ150" s="873"/>
      <c r="BK150" s="873"/>
      <c r="BL150" s="874"/>
      <c r="BM150" s="870" t="s">
        <v>329</v>
      </c>
      <c r="BN150" s="871"/>
      <c r="BO150" s="248" t="s">
        <v>324</v>
      </c>
      <c r="BP150" s="464"/>
      <c r="BQ150" s="249"/>
      <c r="BR150" s="870" t="s">
        <v>316</v>
      </c>
      <c r="BS150" s="871"/>
      <c r="BT150" s="248" t="s">
        <v>350</v>
      </c>
      <c r="BU150" s="464"/>
      <c r="BV150" s="464"/>
      <c r="BW150" s="464"/>
      <c r="BX150" s="249"/>
    </row>
    <row r="151" spans="3:82" ht="12" customHeight="1">
      <c r="C151" s="181"/>
      <c r="D151" s="868">
        <v>14</v>
      </c>
      <c r="E151" s="869"/>
      <c r="F151" s="865">
        <v>1234</v>
      </c>
      <c r="G151" s="867"/>
      <c r="H151" s="464" t="s">
        <v>306</v>
      </c>
      <c r="I151" s="464"/>
      <c r="J151" s="249"/>
      <c r="K151" s="865">
        <v>12345</v>
      </c>
      <c r="L151" s="866"/>
      <c r="M151" s="867"/>
      <c r="N151" s="464" t="s">
        <v>294</v>
      </c>
      <c r="O151" s="464"/>
      <c r="P151" s="464"/>
      <c r="Q151" s="249"/>
      <c r="R151" s="247" t="s">
        <v>307</v>
      </c>
      <c r="S151" s="464"/>
      <c r="T151" s="464"/>
      <c r="U151" s="464"/>
      <c r="V151" s="464"/>
      <c r="W151" s="248" t="s">
        <v>308</v>
      </c>
      <c r="X151" s="464"/>
      <c r="Y151" s="464"/>
      <c r="Z151" s="249"/>
      <c r="AA151" s="248" t="s">
        <v>337</v>
      </c>
      <c r="AB151" s="464"/>
      <c r="AC151" s="464"/>
      <c r="AD151" s="464"/>
      <c r="AE151" s="249"/>
      <c r="AF151" s="247" t="s">
        <v>297</v>
      </c>
      <c r="AG151" s="464"/>
      <c r="AH151" s="464"/>
      <c r="AI151" s="249"/>
      <c r="AJ151" s="248" t="s">
        <v>327</v>
      </c>
      <c r="AK151" s="464"/>
      <c r="AL151" s="464"/>
      <c r="AM151" s="464"/>
      <c r="AN151" s="464"/>
      <c r="AO151" s="464"/>
      <c r="AP151" s="277"/>
      <c r="AQ151" s="278" t="s">
        <v>338</v>
      </c>
      <c r="AR151" s="464"/>
      <c r="AS151" s="464"/>
      <c r="AT151" s="249"/>
      <c r="AU151" s="872">
        <v>9999999</v>
      </c>
      <c r="AV151" s="873"/>
      <c r="AW151" s="873"/>
      <c r="AX151" s="874"/>
      <c r="AY151" s="870" t="s">
        <v>310</v>
      </c>
      <c r="AZ151" s="871"/>
      <c r="BA151" s="872">
        <v>9999999</v>
      </c>
      <c r="BB151" s="873"/>
      <c r="BC151" s="873"/>
      <c r="BD151" s="874"/>
      <c r="BE151" s="872">
        <v>9999999</v>
      </c>
      <c r="BF151" s="873"/>
      <c r="BG151" s="873"/>
      <c r="BH151" s="874"/>
      <c r="BI151" s="872">
        <v>9999999</v>
      </c>
      <c r="BJ151" s="873"/>
      <c r="BK151" s="873"/>
      <c r="BL151" s="874"/>
      <c r="BM151" s="870" t="s">
        <v>329</v>
      </c>
      <c r="BN151" s="871"/>
      <c r="BO151" s="248" t="s">
        <v>324</v>
      </c>
      <c r="BP151" s="464"/>
      <c r="BQ151" s="249"/>
      <c r="BR151" s="870" t="s">
        <v>316</v>
      </c>
      <c r="BS151" s="871"/>
      <c r="BT151" s="248" t="s">
        <v>350</v>
      </c>
      <c r="BU151" s="464"/>
      <c r="BV151" s="464"/>
      <c r="BW151" s="464"/>
      <c r="BX151" s="249"/>
    </row>
    <row r="152" spans="3:82" ht="12" customHeight="1">
      <c r="C152" s="181"/>
      <c r="D152" s="868">
        <v>15</v>
      </c>
      <c r="E152" s="869"/>
      <c r="F152" s="865">
        <v>1234</v>
      </c>
      <c r="G152" s="867"/>
      <c r="H152" s="464" t="s">
        <v>306</v>
      </c>
      <c r="I152" s="464"/>
      <c r="J152" s="249"/>
      <c r="K152" s="865">
        <v>12345</v>
      </c>
      <c r="L152" s="866"/>
      <c r="M152" s="867"/>
      <c r="N152" s="464" t="s">
        <v>294</v>
      </c>
      <c r="O152" s="464"/>
      <c r="P152" s="464"/>
      <c r="Q152" s="249"/>
      <c r="R152" s="247" t="s">
        <v>307</v>
      </c>
      <c r="S152" s="464"/>
      <c r="T152" s="464"/>
      <c r="U152" s="464"/>
      <c r="V152" s="464"/>
      <c r="W152" s="248" t="s">
        <v>308</v>
      </c>
      <c r="X152" s="464"/>
      <c r="Y152" s="464"/>
      <c r="Z152" s="249"/>
      <c r="AA152" s="248" t="s">
        <v>337</v>
      </c>
      <c r="AB152" s="464"/>
      <c r="AC152" s="464"/>
      <c r="AD152" s="464"/>
      <c r="AE152" s="249"/>
      <c r="AF152" s="247" t="s">
        <v>297</v>
      </c>
      <c r="AG152" s="464"/>
      <c r="AH152" s="464"/>
      <c r="AI152" s="249"/>
      <c r="AJ152" s="248" t="s">
        <v>327</v>
      </c>
      <c r="AK152" s="464"/>
      <c r="AL152" s="464"/>
      <c r="AM152" s="464"/>
      <c r="AN152" s="464"/>
      <c r="AO152" s="464"/>
      <c r="AP152" s="277"/>
      <c r="AQ152" s="278" t="s">
        <v>338</v>
      </c>
      <c r="AR152" s="464"/>
      <c r="AS152" s="464"/>
      <c r="AT152" s="249"/>
      <c r="AU152" s="872">
        <v>9999999</v>
      </c>
      <c r="AV152" s="873"/>
      <c r="AW152" s="873"/>
      <c r="AX152" s="874"/>
      <c r="AY152" s="870" t="s">
        <v>310</v>
      </c>
      <c r="AZ152" s="871"/>
      <c r="BA152" s="872">
        <v>9999999</v>
      </c>
      <c r="BB152" s="873"/>
      <c r="BC152" s="873"/>
      <c r="BD152" s="874"/>
      <c r="BE152" s="872">
        <v>9999999</v>
      </c>
      <c r="BF152" s="873"/>
      <c r="BG152" s="873"/>
      <c r="BH152" s="874"/>
      <c r="BI152" s="872">
        <v>9999999</v>
      </c>
      <c r="BJ152" s="873"/>
      <c r="BK152" s="873"/>
      <c r="BL152" s="874"/>
      <c r="BM152" s="870" t="s">
        <v>329</v>
      </c>
      <c r="BN152" s="871"/>
      <c r="BO152" s="248" t="s">
        <v>324</v>
      </c>
      <c r="BP152" s="464"/>
      <c r="BQ152" s="249"/>
      <c r="BR152" s="870" t="s">
        <v>316</v>
      </c>
      <c r="BS152" s="871"/>
      <c r="BT152" s="248" t="s">
        <v>350</v>
      </c>
      <c r="BU152" s="464"/>
      <c r="BV152" s="464"/>
      <c r="BW152" s="464"/>
      <c r="BX152" s="249"/>
    </row>
    <row r="153" spans="3:82" ht="12" customHeight="1">
      <c r="C153" s="181"/>
      <c r="D153" s="868">
        <v>16</v>
      </c>
      <c r="E153" s="869"/>
      <c r="F153" s="865">
        <v>1234</v>
      </c>
      <c r="G153" s="867"/>
      <c r="H153" s="464" t="s">
        <v>306</v>
      </c>
      <c r="I153" s="464"/>
      <c r="J153" s="249"/>
      <c r="K153" s="865">
        <v>12345</v>
      </c>
      <c r="L153" s="866"/>
      <c r="M153" s="867"/>
      <c r="N153" s="464" t="s">
        <v>294</v>
      </c>
      <c r="O153" s="464"/>
      <c r="P153" s="464"/>
      <c r="Q153" s="249"/>
      <c r="R153" s="247" t="s">
        <v>307</v>
      </c>
      <c r="S153" s="464"/>
      <c r="T153" s="464"/>
      <c r="U153" s="464"/>
      <c r="V153" s="464"/>
      <c r="W153" s="248" t="s">
        <v>308</v>
      </c>
      <c r="X153" s="464"/>
      <c r="Y153" s="464"/>
      <c r="Z153" s="249"/>
      <c r="AA153" s="248" t="s">
        <v>337</v>
      </c>
      <c r="AB153" s="464"/>
      <c r="AC153" s="464"/>
      <c r="AD153" s="464"/>
      <c r="AE153" s="249"/>
      <c r="AF153" s="247" t="s">
        <v>297</v>
      </c>
      <c r="AG153" s="464"/>
      <c r="AH153" s="464"/>
      <c r="AI153" s="249"/>
      <c r="AJ153" s="248" t="s">
        <v>327</v>
      </c>
      <c r="AK153" s="464"/>
      <c r="AL153" s="464"/>
      <c r="AM153" s="464"/>
      <c r="AN153" s="464"/>
      <c r="AO153" s="464"/>
      <c r="AP153" s="277"/>
      <c r="AQ153" s="278" t="s">
        <v>338</v>
      </c>
      <c r="AR153" s="464"/>
      <c r="AS153" s="464"/>
      <c r="AT153" s="249"/>
      <c r="AU153" s="872">
        <v>9999999</v>
      </c>
      <c r="AV153" s="873"/>
      <c r="AW153" s="873"/>
      <c r="AX153" s="874"/>
      <c r="AY153" s="870" t="s">
        <v>310</v>
      </c>
      <c r="AZ153" s="871"/>
      <c r="BA153" s="872">
        <v>9999999</v>
      </c>
      <c r="BB153" s="873"/>
      <c r="BC153" s="873"/>
      <c r="BD153" s="874"/>
      <c r="BE153" s="872">
        <v>9999999</v>
      </c>
      <c r="BF153" s="873"/>
      <c r="BG153" s="873"/>
      <c r="BH153" s="874"/>
      <c r="BI153" s="872">
        <v>9999999</v>
      </c>
      <c r="BJ153" s="873"/>
      <c r="BK153" s="873"/>
      <c r="BL153" s="874"/>
      <c r="BM153" s="870" t="s">
        <v>329</v>
      </c>
      <c r="BN153" s="871"/>
      <c r="BO153" s="248" t="s">
        <v>324</v>
      </c>
      <c r="BP153" s="464"/>
      <c r="BQ153" s="249"/>
      <c r="BR153" s="870" t="s">
        <v>316</v>
      </c>
      <c r="BS153" s="871"/>
      <c r="BT153" s="248" t="s">
        <v>350</v>
      </c>
      <c r="BU153" s="464"/>
      <c r="BV153" s="464"/>
      <c r="BW153" s="464"/>
      <c r="BX153" s="249"/>
    </row>
    <row r="154" spans="3:82" ht="12" customHeight="1">
      <c r="C154" s="181"/>
      <c r="D154" s="868">
        <v>17</v>
      </c>
      <c r="E154" s="869"/>
      <c r="F154" s="865">
        <v>1234</v>
      </c>
      <c r="G154" s="867"/>
      <c r="H154" s="464" t="s">
        <v>306</v>
      </c>
      <c r="I154" s="464"/>
      <c r="J154" s="249"/>
      <c r="K154" s="865">
        <v>12345</v>
      </c>
      <c r="L154" s="866"/>
      <c r="M154" s="867"/>
      <c r="N154" s="464" t="s">
        <v>294</v>
      </c>
      <c r="O154" s="464"/>
      <c r="P154" s="464"/>
      <c r="Q154" s="249"/>
      <c r="R154" s="247" t="s">
        <v>307</v>
      </c>
      <c r="S154" s="464"/>
      <c r="T154" s="464"/>
      <c r="U154" s="464"/>
      <c r="V154" s="464"/>
      <c r="W154" s="248" t="s">
        <v>308</v>
      </c>
      <c r="X154" s="464"/>
      <c r="Y154" s="464"/>
      <c r="Z154" s="249"/>
      <c r="AA154" s="248" t="s">
        <v>337</v>
      </c>
      <c r="AB154" s="464"/>
      <c r="AC154" s="464"/>
      <c r="AD154" s="464"/>
      <c r="AE154" s="249"/>
      <c r="AF154" s="247" t="s">
        <v>297</v>
      </c>
      <c r="AG154" s="464"/>
      <c r="AH154" s="464"/>
      <c r="AI154" s="249"/>
      <c r="AJ154" s="248" t="s">
        <v>327</v>
      </c>
      <c r="AK154" s="464"/>
      <c r="AL154" s="464"/>
      <c r="AM154" s="464"/>
      <c r="AN154" s="464"/>
      <c r="AO154" s="464"/>
      <c r="AP154" s="277"/>
      <c r="AQ154" s="278" t="s">
        <v>338</v>
      </c>
      <c r="AR154" s="464"/>
      <c r="AS154" s="464"/>
      <c r="AT154" s="249"/>
      <c r="AU154" s="872">
        <v>9999999</v>
      </c>
      <c r="AV154" s="873"/>
      <c r="AW154" s="873"/>
      <c r="AX154" s="874"/>
      <c r="AY154" s="870" t="s">
        <v>310</v>
      </c>
      <c r="AZ154" s="871"/>
      <c r="BA154" s="872">
        <v>9999999</v>
      </c>
      <c r="BB154" s="873"/>
      <c r="BC154" s="873"/>
      <c r="BD154" s="874"/>
      <c r="BE154" s="872">
        <v>9999999</v>
      </c>
      <c r="BF154" s="873"/>
      <c r="BG154" s="873"/>
      <c r="BH154" s="874"/>
      <c r="BI154" s="872">
        <v>9999999</v>
      </c>
      <c r="BJ154" s="873"/>
      <c r="BK154" s="873"/>
      <c r="BL154" s="874"/>
      <c r="BM154" s="870" t="s">
        <v>329</v>
      </c>
      <c r="BN154" s="871"/>
      <c r="BO154" s="248" t="s">
        <v>324</v>
      </c>
      <c r="BP154" s="464"/>
      <c r="BQ154" s="249"/>
      <c r="BR154" s="870" t="s">
        <v>316</v>
      </c>
      <c r="BS154" s="871"/>
      <c r="BT154" s="248" t="s">
        <v>350</v>
      </c>
      <c r="BU154" s="464"/>
      <c r="BV154" s="464"/>
      <c r="BW154" s="464"/>
      <c r="BX154" s="249"/>
    </row>
    <row r="155" spans="3:82" ht="12" customHeight="1">
      <c r="C155" s="181"/>
      <c r="D155" s="868">
        <v>18</v>
      </c>
      <c r="E155" s="869"/>
      <c r="F155" s="865">
        <v>1234</v>
      </c>
      <c r="G155" s="867"/>
      <c r="H155" s="464" t="s">
        <v>306</v>
      </c>
      <c r="I155" s="464"/>
      <c r="J155" s="249"/>
      <c r="K155" s="865">
        <v>12345</v>
      </c>
      <c r="L155" s="866"/>
      <c r="M155" s="867"/>
      <c r="N155" s="464" t="s">
        <v>294</v>
      </c>
      <c r="O155" s="464"/>
      <c r="P155" s="464"/>
      <c r="Q155" s="249"/>
      <c r="R155" s="247" t="s">
        <v>307</v>
      </c>
      <c r="S155" s="464"/>
      <c r="T155" s="464"/>
      <c r="U155" s="464"/>
      <c r="V155" s="464"/>
      <c r="W155" s="248" t="s">
        <v>308</v>
      </c>
      <c r="X155" s="464"/>
      <c r="Y155" s="464"/>
      <c r="Z155" s="249"/>
      <c r="AA155" s="248" t="s">
        <v>337</v>
      </c>
      <c r="AB155" s="464"/>
      <c r="AC155" s="464"/>
      <c r="AD155" s="464"/>
      <c r="AE155" s="249"/>
      <c r="AF155" s="247" t="s">
        <v>297</v>
      </c>
      <c r="AG155" s="464"/>
      <c r="AH155" s="464"/>
      <c r="AI155" s="249"/>
      <c r="AJ155" s="248" t="s">
        <v>327</v>
      </c>
      <c r="AK155" s="464"/>
      <c r="AL155" s="464"/>
      <c r="AM155" s="464"/>
      <c r="AN155" s="464"/>
      <c r="AO155" s="464"/>
      <c r="AP155" s="277"/>
      <c r="AQ155" s="278" t="s">
        <v>338</v>
      </c>
      <c r="AR155" s="464"/>
      <c r="AS155" s="464"/>
      <c r="AT155" s="249"/>
      <c r="AU155" s="872">
        <v>9999999</v>
      </c>
      <c r="AV155" s="873"/>
      <c r="AW155" s="873"/>
      <c r="AX155" s="874"/>
      <c r="AY155" s="870" t="s">
        <v>310</v>
      </c>
      <c r="AZ155" s="871"/>
      <c r="BA155" s="872">
        <v>9999999</v>
      </c>
      <c r="BB155" s="873"/>
      <c r="BC155" s="873"/>
      <c r="BD155" s="874"/>
      <c r="BE155" s="872">
        <v>9999999</v>
      </c>
      <c r="BF155" s="873"/>
      <c r="BG155" s="873"/>
      <c r="BH155" s="874"/>
      <c r="BI155" s="872">
        <v>9999999</v>
      </c>
      <c r="BJ155" s="873"/>
      <c r="BK155" s="873"/>
      <c r="BL155" s="874"/>
      <c r="BM155" s="870" t="s">
        <v>329</v>
      </c>
      <c r="BN155" s="871"/>
      <c r="BO155" s="248" t="s">
        <v>324</v>
      </c>
      <c r="BP155" s="464"/>
      <c r="BQ155" s="249"/>
      <c r="BR155" s="870" t="s">
        <v>316</v>
      </c>
      <c r="BS155" s="871"/>
      <c r="BT155" s="248" t="s">
        <v>350</v>
      </c>
      <c r="BU155" s="464"/>
      <c r="BV155" s="464"/>
      <c r="BW155" s="464"/>
      <c r="BX155" s="249"/>
    </row>
    <row r="156" spans="3:82" ht="12" customHeight="1">
      <c r="C156" s="181"/>
      <c r="D156" s="868">
        <v>19</v>
      </c>
      <c r="E156" s="869"/>
      <c r="F156" s="865">
        <v>1234</v>
      </c>
      <c r="G156" s="867"/>
      <c r="H156" s="464" t="s">
        <v>306</v>
      </c>
      <c r="I156" s="464"/>
      <c r="J156" s="249"/>
      <c r="K156" s="865">
        <v>12345</v>
      </c>
      <c r="L156" s="866"/>
      <c r="M156" s="867"/>
      <c r="N156" s="464" t="s">
        <v>294</v>
      </c>
      <c r="O156" s="464"/>
      <c r="P156" s="464"/>
      <c r="Q156" s="249"/>
      <c r="R156" s="247" t="s">
        <v>307</v>
      </c>
      <c r="S156" s="464"/>
      <c r="T156" s="464"/>
      <c r="U156" s="464"/>
      <c r="V156" s="464"/>
      <c r="W156" s="248" t="s">
        <v>308</v>
      </c>
      <c r="X156" s="464"/>
      <c r="Y156" s="464"/>
      <c r="Z156" s="249"/>
      <c r="AA156" s="248" t="s">
        <v>337</v>
      </c>
      <c r="AB156" s="464"/>
      <c r="AC156" s="464"/>
      <c r="AD156" s="464"/>
      <c r="AE156" s="249"/>
      <c r="AF156" s="247" t="s">
        <v>297</v>
      </c>
      <c r="AG156" s="464"/>
      <c r="AH156" s="464"/>
      <c r="AI156" s="249"/>
      <c r="AJ156" s="248" t="s">
        <v>327</v>
      </c>
      <c r="AK156" s="464"/>
      <c r="AL156" s="464"/>
      <c r="AM156" s="464"/>
      <c r="AN156" s="464"/>
      <c r="AO156" s="464"/>
      <c r="AP156" s="277"/>
      <c r="AQ156" s="278" t="s">
        <v>338</v>
      </c>
      <c r="AR156" s="464"/>
      <c r="AS156" s="464"/>
      <c r="AT156" s="249"/>
      <c r="AU156" s="872">
        <v>9999999</v>
      </c>
      <c r="AV156" s="873"/>
      <c r="AW156" s="873"/>
      <c r="AX156" s="874"/>
      <c r="AY156" s="870" t="s">
        <v>310</v>
      </c>
      <c r="AZ156" s="871"/>
      <c r="BA156" s="872">
        <v>9999999</v>
      </c>
      <c r="BB156" s="873"/>
      <c r="BC156" s="873"/>
      <c r="BD156" s="874"/>
      <c r="BE156" s="872">
        <v>9999999</v>
      </c>
      <c r="BF156" s="873"/>
      <c r="BG156" s="873"/>
      <c r="BH156" s="874"/>
      <c r="BI156" s="872">
        <v>9999999</v>
      </c>
      <c r="BJ156" s="873"/>
      <c r="BK156" s="873"/>
      <c r="BL156" s="874"/>
      <c r="BM156" s="870" t="s">
        <v>329</v>
      </c>
      <c r="BN156" s="871"/>
      <c r="BO156" s="248" t="s">
        <v>324</v>
      </c>
      <c r="BP156" s="464"/>
      <c r="BQ156" s="249"/>
      <c r="BR156" s="870" t="s">
        <v>316</v>
      </c>
      <c r="BS156" s="871"/>
      <c r="BT156" s="248" t="s">
        <v>350</v>
      </c>
      <c r="BU156" s="464"/>
      <c r="BV156" s="464"/>
      <c r="BW156" s="464"/>
      <c r="BX156" s="249"/>
    </row>
    <row r="157" spans="3:82" ht="12" customHeight="1">
      <c r="C157" s="181"/>
      <c r="D157" s="868">
        <v>20</v>
      </c>
      <c r="E157" s="869"/>
      <c r="F157" s="865">
        <v>1234</v>
      </c>
      <c r="G157" s="867"/>
      <c r="H157" s="464" t="s">
        <v>306</v>
      </c>
      <c r="I157" s="464"/>
      <c r="J157" s="249"/>
      <c r="K157" s="865">
        <v>12345</v>
      </c>
      <c r="L157" s="866"/>
      <c r="M157" s="867"/>
      <c r="N157" s="464" t="s">
        <v>294</v>
      </c>
      <c r="O157" s="464"/>
      <c r="P157" s="464"/>
      <c r="Q157" s="249"/>
      <c r="R157" s="247" t="s">
        <v>307</v>
      </c>
      <c r="S157" s="464"/>
      <c r="T157" s="464"/>
      <c r="U157" s="464"/>
      <c r="V157" s="464"/>
      <c r="W157" s="248" t="s">
        <v>308</v>
      </c>
      <c r="X157" s="464"/>
      <c r="Y157" s="464"/>
      <c r="Z157" s="249"/>
      <c r="AA157" s="248" t="s">
        <v>337</v>
      </c>
      <c r="AB157" s="464"/>
      <c r="AC157" s="464"/>
      <c r="AD157" s="464"/>
      <c r="AE157" s="249"/>
      <c r="AF157" s="247" t="s">
        <v>297</v>
      </c>
      <c r="AG157" s="464"/>
      <c r="AH157" s="464"/>
      <c r="AI157" s="249"/>
      <c r="AJ157" s="248" t="s">
        <v>327</v>
      </c>
      <c r="AK157" s="464"/>
      <c r="AL157" s="464"/>
      <c r="AM157" s="464"/>
      <c r="AN157" s="464"/>
      <c r="AO157" s="464"/>
      <c r="AP157" s="277"/>
      <c r="AQ157" s="278" t="s">
        <v>338</v>
      </c>
      <c r="AR157" s="464"/>
      <c r="AS157" s="464"/>
      <c r="AT157" s="249"/>
      <c r="AU157" s="872">
        <v>9999999</v>
      </c>
      <c r="AV157" s="873"/>
      <c r="AW157" s="873"/>
      <c r="AX157" s="874"/>
      <c r="AY157" s="870" t="s">
        <v>310</v>
      </c>
      <c r="AZ157" s="871"/>
      <c r="BA157" s="872">
        <v>9999999</v>
      </c>
      <c r="BB157" s="873"/>
      <c r="BC157" s="873"/>
      <c r="BD157" s="874"/>
      <c r="BE157" s="872">
        <v>9999999</v>
      </c>
      <c r="BF157" s="873"/>
      <c r="BG157" s="873"/>
      <c r="BH157" s="874"/>
      <c r="BI157" s="872">
        <v>9999999</v>
      </c>
      <c r="BJ157" s="873"/>
      <c r="BK157" s="873"/>
      <c r="BL157" s="874"/>
      <c r="BM157" s="870" t="s">
        <v>329</v>
      </c>
      <c r="BN157" s="871"/>
      <c r="BO157" s="248" t="s">
        <v>324</v>
      </c>
      <c r="BP157" s="464"/>
      <c r="BQ157" s="249"/>
      <c r="BR157" s="870" t="s">
        <v>316</v>
      </c>
      <c r="BS157" s="871"/>
      <c r="BT157" s="248" t="s">
        <v>350</v>
      </c>
      <c r="BU157" s="464"/>
      <c r="BV157" s="464"/>
      <c r="BW157" s="464"/>
      <c r="BX157" s="249"/>
    </row>
    <row r="158" spans="3:82" ht="12" customHeight="1">
      <c r="C158" s="181"/>
      <c r="D158" s="868">
        <v>21</v>
      </c>
      <c r="E158" s="869"/>
      <c r="F158" s="865">
        <v>1234</v>
      </c>
      <c r="G158" s="867"/>
      <c r="H158" s="464" t="s">
        <v>306</v>
      </c>
      <c r="I158" s="464"/>
      <c r="J158" s="249"/>
      <c r="K158" s="865">
        <v>12345</v>
      </c>
      <c r="L158" s="866"/>
      <c r="M158" s="867"/>
      <c r="N158" s="464" t="s">
        <v>294</v>
      </c>
      <c r="O158" s="464"/>
      <c r="P158" s="464"/>
      <c r="Q158" s="249"/>
      <c r="R158" s="247" t="s">
        <v>307</v>
      </c>
      <c r="S158" s="464"/>
      <c r="T158" s="464"/>
      <c r="U158" s="464"/>
      <c r="V158" s="464"/>
      <c r="W158" s="248" t="s">
        <v>308</v>
      </c>
      <c r="X158" s="464"/>
      <c r="Y158" s="464"/>
      <c r="Z158" s="249"/>
      <c r="AA158" s="248" t="s">
        <v>337</v>
      </c>
      <c r="AB158" s="464"/>
      <c r="AC158" s="464"/>
      <c r="AD158" s="464"/>
      <c r="AE158" s="249"/>
      <c r="AF158" s="247" t="s">
        <v>297</v>
      </c>
      <c r="AG158" s="464"/>
      <c r="AH158" s="464"/>
      <c r="AI158" s="249"/>
      <c r="AJ158" s="248" t="s">
        <v>327</v>
      </c>
      <c r="AK158" s="464"/>
      <c r="AL158" s="464"/>
      <c r="AM158" s="464"/>
      <c r="AN158" s="464"/>
      <c r="AO158" s="464"/>
      <c r="AP158" s="277"/>
      <c r="AQ158" s="278" t="s">
        <v>338</v>
      </c>
      <c r="AR158" s="464"/>
      <c r="AS158" s="464"/>
      <c r="AT158" s="249"/>
      <c r="AU158" s="872">
        <v>9999999</v>
      </c>
      <c r="AV158" s="873"/>
      <c r="AW158" s="873"/>
      <c r="AX158" s="874"/>
      <c r="AY158" s="870" t="s">
        <v>310</v>
      </c>
      <c r="AZ158" s="871"/>
      <c r="BA158" s="872">
        <v>9999999</v>
      </c>
      <c r="BB158" s="873"/>
      <c r="BC158" s="873"/>
      <c r="BD158" s="874"/>
      <c r="BE158" s="872">
        <v>9999999</v>
      </c>
      <c r="BF158" s="873"/>
      <c r="BG158" s="873"/>
      <c r="BH158" s="874"/>
      <c r="BI158" s="872">
        <v>9999999</v>
      </c>
      <c r="BJ158" s="873"/>
      <c r="BK158" s="873"/>
      <c r="BL158" s="874"/>
      <c r="BM158" s="870" t="s">
        <v>329</v>
      </c>
      <c r="BN158" s="871"/>
      <c r="BO158" s="248" t="s">
        <v>324</v>
      </c>
      <c r="BP158" s="464"/>
      <c r="BQ158" s="249"/>
      <c r="BR158" s="870" t="s">
        <v>316</v>
      </c>
      <c r="BS158" s="871"/>
      <c r="BT158" s="248" t="s">
        <v>350</v>
      </c>
      <c r="BU158" s="464"/>
      <c r="BV158" s="464"/>
      <c r="BW158" s="464"/>
      <c r="BX158" s="249"/>
    </row>
    <row r="159" spans="3:82" ht="12" customHeight="1">
      <c r="C159" s="181"/>
      <c r="D159" s="868">
        <v>22</v>
      </c>
      <c r="E159" s="869"/>
      <c r="F159" s="865">
        <v>1234</v>
      </c>
      <c r="G159" s="867"/>
      <c r="H159" s="464" t="s">
        <v>306</v>
      </c>
      <c r="I159" s="464"/>
      <c r="J159" s="249"/>
      <c r="K159" s="865">
        <v>12345</v>
      </c>
      <c r="L159" s="866"/>
      <c r="M159" s="867"/>
      <c r="N159" s="464" t="s">
        <v>294</v>
      </c>
      <c r="O159" s="464"/>
      <c r="P159" s="464"/>
      <c r="Q159" s="249"/>
      <c r="R159" s="247" t="s">
        <v>307</v>
      </c>
      <c r="S159" s="464"/>
      <c r="T159" s="464"/>
      <c r="U159" s="464"/>
      <c r="V159" s="464"/>
      <c r="W159" s="248" t="s">
        <v>308</v>
      </c>
      <c r="X159" s="464"/>
      <c r="Y159" s="464"/>
      <c r="Z159" s="249"/>
      <c r="AA159" s="248" t="s">
        <v>337</v>
      </c>
      <c r="AB159" s="464"/>
      <c r="AC159" s="464"/>
      <c r="AD159" s="464"/>
      <c r="AE159" s="249"/>
      <c r="AF159" s="247" t="s">
        <v>297</v>
      </c>
      <c r="AG159" s="464"/>
      <c r="AH159" s="464"/>
      <c r="AI159" s="249"/>
      <c r="AJ159" s="248" t="s">
        <v>327</v>
      </c>
      <c r="AK159" s="464"/>
      <c r="AL159" s="464"/>
      <c r="AM159" s="464"/>
      <c r="AN159" s="464"/>
      <c r="AO159" s="464"/>
      <c r="AP159" s="277"/>
      <c r="AQ159" s="278" t="s">
        <v>338</v>
      </c>
      <c r="AR159" s="464"/>
      <c r="AS159" s="464"/>
      <c r="AT159" s="249"/>
      <c r="AU159" s="872">
        <v>9999999</v>
      </c>
      <c r="AV159" s="873"/>
      <c r="AW159" s="873"/>
      <c r="AX159" s="874"/>
      <c r="AY159" s="870" t="s">
        <v>310</v>
      </c>
      <c r="AZ159" s="871"/>
      <c r="BA159" s="872">
        <v>9999999</v>
      </c>
      <c r="BB159" s="873"/>
      <c r="BC159" s="873"/>
      <c r="BD159" s="874"/>
      <c r="BE159" s="872">
        <v>9999999</v>
      </c>
      <c r="BF159" s="873"/>
      <c r="BG159" s="873"/>
      <c r="BH159" s="874"/>
      <c r="BI159" s="872">
        <v>9999999</v>
      </c>
      <c r="BJ159" s="873"/>
      <c r="BK159" s="873"/>
      <c r="BL159" s="874"/>
      <c r="BM159" s="870" t="s">
        <v>329</v>
      </c>
      <c r="BN159" s="871"/>
      <c r="BO159" s="248" t="s">
        <v>324</v>
      </c>
      <c r="BP159" s="464"/>
      <c r="BQ159" s="249"/>
      <c r="BR159" s="870" t="s">
        <v>316</v>
      </c>
      <c r="BS159" s="871"/>
      <c r="BT159" s="248" t="s">
        <v>350</v>
      </c>
      <c r="BU159" s="464"/>
      <c r="BV159" s="464"/>
      <c r="BW159" s="464"/>
      <c r="BX159" s="249"/>
    </row>
    <row r="160" spans="3:82" ht="12" customHeight="1">
      <c r="C160" s="181"/>
      <c r="D160" s="868">
        <v>23</v>
      </c>
      <c r="E160" s="869"/>
      <c r="F160" s="865">
        <v>1234</v>
      </c>
      <c r="G160" s="867"/>
      <c r="H160" s="464" t="s">
        <v>306</v>
      </c>
      <c r="I160" s="464"/>
      <c r="J160" s="249"/>
      <c r="K160" s="865">
        <v>12345</v>
      </c>
      <c r="L160" s="866"/>
      <c r="M160" s="867"/>
      <c r="N160" s="464" t="s">
        <v>294</v>
      </c>
      <c r="O160" s="464"/>
      <c r="P160" s="464"/>
      <c r="Q160" s="249"/>
      <c r="R160" s="247" t="s">
        <v>307</v>
      </c>
      <c r="S160" s="464"/>
      <c r="T160" s="464"/>
      <c r="U160" s="464"/>
      <c r="V160" s="464"/>
      <c r="W160" s="248" t="s">
        <v>308</v>
      </c>
      <c r="X160" s="464"/>
      <c r="Y160" s="464"/>
      <c r="Z160" s="249"/>
      <c r="AA160" s="248" t="s">
        <v>337</v>
      </c>
      <c r="AB160" s="464"/>
      <c r="AC160" s="464"/>
      <c r="AD160" s="464"/>
      <c r="AE160" s="249"/>
      <c r="AF160" s="247" t="s">
        <v>297</v>
      </c>
      <c r="AG160" s="464"/>
      <c r="AH160" s="464"/>
      <c r="AI160" s="249"/>
      <c r="AJ160" s="248" t="s">
        <v>327</v>
      </c>
      <c r="AK160" s="464"/>
      <c r="AL160" s="464"/>
      <c r="AM160" s="464"/>
      <c r="AN160" s="464"/>
      <c r="AO160" s="464"/>
      <c r="AP160" s="277"/>
      <c r="AQ160" s="278" t="s">
        <v>338</v>
      </c>
      <c r="AR160" s="464"/>
      <c r="AS160" s="464"/>
      <c r="AT160" s="249"/>
      <c r="AU160" s="872">
        <v>9999999</v>
      </c>
      <c r="AV160" s="873"/>
      <c r="AW160" s="873"/>
      <c r="AX160" s="874"/>
      <c r="AY160" s="870" t="s">
        <v>310</v>
      </c>
      <c r="AZ160" s="871"/>
      <c r="BA160" s="872">
        <v>9999999</v>
      </c>
      <c r="BB160" s="873"/>
      <c r="BC160" s="873"/>
      <c r="BD160" s="874"/>
      <c r="BE160" s="872">
        <v>9999999</v>
      </c>
      <c r="BF160" s="873"/>
      <c r="BG160" s="873"/>
      <c r="BH160" s="874"/>
      <c r="BI160" s="872">
        <v>9999999</v>
      </c>
      <c r="BJ160" s="873"/>
      <c r="BK160" s="873"/>
      <c r="BL160" s="874"/>
      <c r="BM160" s="870" t="s">
        <v>329</v>
      </c>
      <c r="BN160" s="871"/>
      <c r="BO160" s="248" t="s">
        <v>324</v>
      </c>
      <c r="BP160" s="464"/>
      <c r="BQ160" s="249"/>
      <c r="BR160" s="870" t="s">
        <v>316</v>
      </c>
      <c r="BS160" s="871"/>
      <c r="BT160" s="248" t="s">
        <v>350</v>
      </c>
      <c r="BU160" s="464"/>
      <c r="BV160" s="464"/>
      <c r="BW160" s="464"/>
      <c r="BX160" s="249"/>
    </row>
    <row r="161" spans="3:76" ht="12" customHeight="1">
      <c r="C161" s="181"/>
      <c r="D161" s="868">
        <v>24</v>
      </c>
      <c r="E161" s="869"/>
      <c r="F161" s="865">
        <v>1234</v>
      </c>
      <c r="G161" s="867"/>
      <c r="H161" s="464" t="s">
        <v>306</v>
      </c>
      <c r="I161" s="464"/>
      <c r="J161" s="249"/>
      <c r="K161" s="865">
        <v>12345</v>
      </c>
      <c r="L161" s="866"/>
      <c r="M161" s="867"/>
      <c r="N161" s="464" t="s">
        <v>294</v>
      </c>
      <c r="O161" s="464"/>
      <c r="P161" s="464"/>
      <c r="Q161" s="249"/>
      <c r="R161" s="247" t="s">
        <v>307</v>
      </c>
      <c r="S161" s="464"/>
      <c r="T161" s="464"/>
      <c r="U161" s="464"/>
      <c r="V161" s="464"/>
      <c r="W161" s="248" t="s">
        <v>308</v>
      </c>
      <c r="X161" s="464"/>
      <c r="Y161" s="464"/>
      <c r="Z161" s="249"/>
      <c r="AA161" s="248" t="s">
        <v>337</v>
      </c>
      <c r="AB161" s="464"/>
      <c r="AC161" s="464"/>
      <c r="AD161" s="464"/>
      <c r="AE161" s="249"/>
      <c r="AF161" s="247" t="s">
        <v>297</v>
      </c>
      <c r="AG161" s="464"/>
      <c r="AH161" s="464"/>
      <c r="AI161" s="249"/>
      <c r="AJ161" s="248" t="s">
        <v>327</v>
      </c>
      <c r="AK161" s="464"/>
      <c r="AL161" s="464"/>
      <c r="AM161" s="464"/>
      <c r="AN161" s="464"/>
      <c r="AO161" s="464"/>
      <c r="AP161" s="277"/>
      <c r="AQ161" s="278" t="s">
        <v>338</v>
      </c>
      <c r="AR161" s="464"/>
      <c r="AS161" s="464"/>
      <c r="AT161" s="249"/>
      <c r="AU161" s="872">
        <v>9999999</v>
      </c>
      <c r="AV161" s="873"/>
      <c r="AW161" s="873"/>
      <c r="AX161" s="874"/>
      <c r="AY161" s="870" t="s">
        <v>310</v>
      </c>
      <c r="AZ161" s="871"/>
      <c r="BA161" s="872">
        <v>9999999</v>
      </c>
      <c r="BB161" s="873"/>
      <c r="BC161" s="873"/>
      <c r="BD161" s="874"/>
      <c r="BE161" s="872">
        <v>9999999</v>
      </c>
      <c r="BF161" s="873"/>
      <c r="BG161" s="873"/>
      <c r="BH161" s="874"/>
      <c r="BI161" s="872">
        <v>9999999</v>
      </c>
      <c r="BJ161" s="873"/>
      <c r="BK161" s="873"/>
      <c r="BL161" s="874"/>
      <c r="BM161" s="870" t="s">
        <v>329</v>
      </c>
      <c r="BN161" s="871"/>
      <c r="BO161" s="248" t="s">
        <v>324</v>
      </c>
      <c r="BP161" s="464"/>
      <c r="BQ161" s="249"/>
      <c r="BR161" s="870" t="s">
        <v>316</v>
      </c>
      <c r="BS161" s="871"/>
      <c r="BT161" s="248" t="s">
        <v>350</v>
      </c>
      <c r="BU161" s="464"/>
      <c r="BV161" s="464"/>
      <c r="BW161" s="464"/>
      <c r="BX161" s="249"/>
    </row>
    <row r="162" spans="3:76" ht="12" customHeight="1">
      <c r="C162" s="181"/>
      <c r="D162" s="868">
        <v>25</v>
      </c>
      <c r="E162" s="869"/>
      <c r="F162" s="865">
        <v>1234</v>
      </c>
      <c r="G162" s="867"/>
      <c r="H162" s="464" t="s">
        <v>306</v>
      </c>
      <c r="I162" s="464"/>
      <c r="J162" s="249"/>
      <c r="K162" s="865">
        <v>12345</v>
      </c>
      <c r="L162" s="866"/>
      <c r="M162" s="867"/>
      <c r="N162" s="464" t="s">
        <v>294</v>
      </c>
      <c r="O162" s="464"/>
      <c r="P162" s="464"/>
      <c r="Q162" s="249"/>
      <c r="R162" s="247" t="s">
        <v>307</v>
      </c>
      <c r="S162" s="464"/>
      <c r="T162" s="464"/>
      <c r="U162" s="464"/>
      <c r="V162" s="464"/>
      <c r="W162" s="248" t="s">
        <v>308</v>
      </c>
      <c r="X162" s="464"/>
      <c r="Y162" s="464"/>
      <c r="Z162" s="249"/>
      <c r="AA162" s="248" t="s">
        <v>337</v>
      </c>
      <c r="AB162" s="464"/>
      <c r="AC162" s="464"/>
      <c r="AD162" s="464"/>
      <c r="AE162" s="249"/>
      <c r="AF162" s="247" t="s">
        <v>297</v>
      </c>
      <c r="AG162" s="464"/>
      <c r="AH162" s="464"/>
      <c r="AI162" s="249"/>
      <c r="AJ162" s="248" t="s">
        <v>327</v>
      </c>
      <c r="AK162" s="464"/>
      <c r="AL162" s="464"/>
      <c r="AM162" s="464"/>
      <c r="AN162" s="464"/>
      <c r="AO162" s="464"/>
      <c r="AP162" s="277"/>
      <c r="AQ162" s="278" t="s">
        <v>338</v>
      </c>
      <c r="AR162" s="464"/>
      <c r="AS162" s="464"/>
      <c r="AT162" s="249"/>
      <c r="AU162" s="872">
        <v>9999999</v>
      </c>
      <c r="AV162" s="873"/>
      <c r="AW162" s="873"/>
      <c r="AX162" s="874"/>
      <c r="AY162" s="870" t="s">
        <v>310</v>
      </c>
      <c r="AZ162" s="871"/>
      <c r="BA162" s="872">
        <v>9999999</v>
      </c>
      <c r="BB162" s="873"/>
      <c r="BC162" s="873"/>
      <c r="BD162" s="874"/>
      <c r="BE162" s="872">
        <v>9999999</v>
      </c>
      <c r="BF162" s="873"/>
      <c r="BG162" s="873"/>
      <c r="BH162" s="874"/>
      <c r="BI162" s="872">
        <v>9999999</v>
      </c>
      <c r="BJ162" s="873"/>
      <c r="BK162" s="873"/>
      <c r="BL162" s="874"/>
      <c r="BM162" s="870" t="s">
        <v>329</v>
      </c>
      <c r="BN162" s="871"/>
      <c r="BO162" s="248" t="s">
        <v>324</v>
      </c>
      <c r="BP162" s="464"/>
      <c r="BQ162" s="249"/>
      <c r="BR162" s="870" t="s">
        <v>316</v>
      </c>
      <c r="BS162" s="871"/>
      <c r="BT162" s="248" t="s">
        <v>350</v>
      </c>
      <c r="BU162" s="464"/>
      <c r="BV162" s="464"/>
      <c r="BW162" s="464"/>
      <c r="BX162" s="249"/>
    </row>
    <row r="163" spans="3:76" ht="12" customHeight="1">
      <c r="C163" s="181"/>
      <c r="D163" s="868">
        <v>26</v>
      </c>
      <c r="E163" s="869"/>
      <c r="F163" s="865">
        <v>1234</v>
      </c>
      <c r="G163" s="867"/>
      <c r="H163" s="464" t="s">
        <v>306</v>
      </c>
      <c r="I163" s="464"/>
      <c r="J163" s="249"/>
      <c r="K163" s="865">
        <v>12345</v>
      </c>
      <c r="L163" s="866"/>
      <c r="M163" s="867"/>
      <c r="N163" s="464" t="s">
        <v>294</v>
      </c>
      <c r="O163" s="464"/>
      <c r="P163" s="464"/>
      <c r="Q163" s="249"/>
      <c r="R163" s="247" t="s">
        <v>307</v>
      </c>
      <c r="S163" s="464"/>
      <c r="T163" s="464"/>
      <c r="U163" s="464"/>
      <c r="V163" s="464"/>
      <c r="W163" s="248" t="s">
        <v>308</v>
      </c>
      <c r="X163" s="464"/>
      <c r="Y163" s="464"/>
      <c r="Z163" s="249"/>
      <c r="AA163" s="248" t="s">
        <v>337</v>
      </c>
      <c r="AB163" s="464"/>
      <c r="AC163" s="464"/>
      <c r="AD163" s="464"/>
      <c r="AE163" s="249"/>
      <c r="AF163" s="247" t="s">
        <v>297</v>
      </c>
      <c r="AG163" s="464"/>
      <c r="AH163" s="464"/>
      <c r="AI163" s="249"/>
      <c r="AJ163" s="248" t="s">
        <v>327</v>
      </c>
      <c r="AK163" s="464"/>
      <c r="AL163" s="464"/>
      <c r="AM163" s="464"/>
      <c r="AN163" s="464"/>
      <c r="AO163" s="464"/>
      <c r="AP163" s="277"/>
      <c r="AQ163" s="278" t="s">
        <v>338</v>
      </c>
      <c r="AR163" s="464"/>
      <c r="AS163" s="464"/>
      <c r="AT163" s="249"/>
      <c r="AU163" s="872">
        <v>9999999</v>
      </c>
      <c r="AV163" s="873"/>
      <c r="AW163" s="873"/>
      <c r="AX163" s="874"/>
      <c r="AY163" s="870" t="s">
        <v>310</v>
      </c>
      <c r="AZ163" s="871"/>
      <c r="BA163" s="872">
        <v>9999999</v>
      </c>
      <c r="BB163" s="873"/>
      <c r="BC163" s="873"/>
      <c r="BD163" s="874"/>
      <c r="BE163" s="872">
        <v>9999999</v>
      </c>
      <c r="BF163" s="873"/>
      <c r="BG163" s="873"/>
      <c r="BH163" s="874"/>
      <c r="BI163" s="872">
        <v>9999999</v>
      </c>
      <c r="BJ163" s="873"/>
      <c r="BK163" s="873"/>
      <c r="BL163" s="874"/>
      <c r="BM163" s="870" t="s">
        <v>329</v>
      </c>
      <c r="BN163" s="871"/>
      <c r="BO163" s="248" t="s">
        <v>324</v>
      </c>
      <c r="BP163" s="464"/>
      <c r="BQ163" s="249"/>
      <c r="BR163" s="870" t="s">
        <v>316</v>
      </c>
      <c r="BS163" s="871"/>
      <c r="BT163" s="248" t="s">
        <v>350</v>
      </c>
      <c r="BU163" s="464"/>
      <c r="BV163" s="464"/>
      <c r="BW163" s="464"/>
      <c r="BX163" s="249"/>
    </row>
    <row r="164" spans="3:76" ht="12" customHeight="1">
      <c r="C164" s="181"/>
      <c r="D164" s="868">
        <v>27</v>
      </c>
      <c r="E164" s="869"/>
      <c r="F164" s="865">
        <v>1234</v>
      </c>
      <c r="G164" s="867"/>
      <c r="H164" s="464" t="s">
        <v>306</v>
      </c>
      <c r="I164" s="464"/>
      <c r="J164" s="249"/>
      <c r="K164" s="865">
        <v>12345</v>
      </c>
      <c r="L164" s="866"/>
      <c r="M164" s="867"/>
      <c r="N164" s="464" t="s">
        <v>294</v>
      </c>
      <c r="O164" s="464"/>
      <c r="P164" s="464"/>
      <c r="Q164" s="249"/>
      <c r="R164" s="247" t="s">
        <v>307</v>
      </c>
      <c r="S164" s="464"/>
      <c r="T164" s="464"/>
      <c r="U164" s="464"/>
      <c r="V164" s="464"/>
      <c r="W164" s="248" t="s">
        <v>308</v>
      </c>
      <c r="X164" s="464"/>
      <c r="Y164" s="464"/>
      <c r="Z164" s="249"/>
      <c r="AA164" s="248" t="s">
        <v>337</v>
      </c>
      <c r="AB164" s="464"/>
      <c r="AC164" s="464"/>
      <c r="AD164" s="464"/>
      <c r="AE164" s="249"/>
      <c r="AF164" s="247" t="s">
        <v>297</v>
      </c>
      <c r="AG164" s="464"/>
      <c r="AH164" s="464"/>
      <c r="AI164" s="249"/>
      <c r="AJ164" s="248" t="s">
        <v>327</v>
      </c>
      <c r="AK164" s="464"/>
      <c r="AL164" s="464"/>
      <c r="AM164" s="464"/>
      <c r="AN164" s="464"/>
      <c r="AO164" s="464"/>
      <c r="AP164" s="277"/>
      <c r="AQ164" s="278" t="s">
        <v>338</v>
      </c>
      <c r="AR164" s="464"/>
      <c r="AS164" s="464"/>
      <c r="AT164" s="249"/>
      <c r="AU164" s="872">
        <v>9999999</v>
      </c>
      <c r="AV164" s="873"/>
      <c r="AW164" s="873"/>
      <c r="AX164" s="874"/>
      <c r="AY164" s="870" t="s">
        <v>310</v>
      </c>
      <c r="AZ164" s="871"/>
      <c r="BA164" s="872">
        <v>9999999</v>
      </c>
      <c r="BB164" s="873"/>
      <c r="BC164" s="873"/>
      <c r="BD164" s="874"/>
      <c r="BE164" s="872">
        <v>9999999</v>
      </c>
      <c r="BF164" s="873"/>
      <c r="BG164" s="873"/>
      <c r="BH164" s="874"/>
      <c r="BI164" s="872">
        <v>9999999</v>
      </c>
      <c r="BJ164" s="873"/>
      <c r="BK164" s="873"/>
      <c r="BL164" s="874"/>
      <c r="BM164" s="870" t="s">
        <v>329</v>
      </c>
      <c r="BN164" s="871"/>
      <c r="BO164" s="248" t="s">
        <v>324</v>
      </c>
      <c r="BP164" s="464"/>
      <c r="BQ164" s="249"/>
      <c r="BR164" s="870" t="s">
        <v>316</v>
      </c>
      <c r="BS164" s="871"/>
      <c r="BT164" s="248" t="s">
        <v>350</v>
      </c>
      <c r="BU164" s="464"/>
      <c r="BV164" s="464"/>
      <c r="BW164" s="464"/>
      <c r="BX164" s="249"/>
    </row>
    <row r="165" spans="3:76" ht="12" customHeight="1">
      <c r="C165" s="181"/>
      <c r="D165" s="868">
        <v>28</v>
      </c>
      <c r="E165" s="869"/>
      <c r="F165" s="865">
        <v>1234</v>
      </c>
      <c r="G165" s="867"/>
      <c r="H165" s="464" t="s">
        <v>306</v>
      </c>
      <c r="I165" s="464"/>
      <c r="J165" s="249"/>
      <c r="K165" s="865">
        <v>12345</v>
      </c>
      <c r="L165" s="866"/>
      <c r="M165" s="867"/>
      <c r="N165" s="464" t="s">
        <v>294</v>
      </c>
      <c r="O165" s="464"/>
      <c r="P165" s="464"/>
      <c r="Q165" s="249"/>
      <c r="R165" s="247" t="s">
        <v>307</v>
      </c>
      <c r="S165" s="464"/>
      <c r="T165" s="464"/>
      <c r="U165" s="464"/>
      <c r="V165" s="464"/>
      <c r="W165" s="248" t="s">
        <v>308</v>
      </c>
      <c r="X165" s="464"/>
      <c r="Y165" s="464"/>
      <c r="Z165" s="249"/>
      <c r="AA165" s="248" t="s">
        <v>337</v>
      </c>
      <c r="AB165" s="464"/>
      <c r="AC165" s="464"/>
      <c r="AD165" s="464"/>
      <c r="AE165" s="249"/>
      <c r="AF165" s="247" t="s">
        <v>297</v>
      </c>
      <c r="AG165" s="464"/>
      <c r="AH165" s="464"/>
      <c r="AI165" s="249"/>
      <c r="AJ165" s="248" t="s">
        <v>327</v>
      </c>
      <c r="AK165" s="464"/>
      <c r="AL165" s="464"/>
      <c r="AM165" s="464"/>
      <c r="AN165" s="464"/>
      <c r="AO165" s="464"/>
      <c r="AP165" s="277"/>
      <c r="AQ165" s="278" t="s">
        <v>338</v>
      </c>
      <c r="AR165" s="464"/>
      <c r="AS165" s="464"/>
      <c r="AT165" s="249"/>
      <c r="AU165" s="872">
        <v>9999999</v>
      </c>
      <c r="AV165" s="873"/>
      <c r="AW165" s="873"/>
      <c r="AX165" s="874"/>
      <c r="AY165" s="870" t="s">
        <v>310</v>
      </c>
      <c r="AZ165" s="871"/>
      <c r="BA165" s="872">
        <v>9999999</v>
      </c>
      <c r="BB165" s="873"/>
      <c r="BC165" s="873"/>
      <c r="BD165" s="874"/>
      <c r="BE165" s="872">
        <v>9999999</v>
      </c>
      <c r="BF165" s="873"/>
      <c r="BG165" s="873"/>
      <c r="BH165" s="874"/>
      <c r="BI165" s="872">
        <v>9999999</v>
      </c>
      <c r="BJ165" s="873"/>
      <c r="BK165" s="873"/>
      <c r="BL165" s="874"/>
      <c r="BM165" s="870" t="s">
        <v>329</v>
      </c>
      <c r="BN165" s="871"/>
      <c r="BO165" s="248" t="s">
        <v>324</v>
      </c>
      <c r="BP165" s="464"/>
      <c r="BQ165" s="249"/>
      <c r="BR165" s="870" t="s">
        <v>316</v>
      </c>
      <c r="BS165" s="871"/>
      <c r="BT165" s="248" t="s">
        <v>350</v>
      </c>
      <c r="BU165" s="464"/>
      <c r="BV165" s="464"/>
      <c r="BW165" s="464"/>
      <c r="BX165" s="249"/>
    </row>
    <row r="166" spans="3:76" ht="12" customHeight="1">
      <c r="C166" s="181"/>
      <c r="D166" s="868">
        <v>29</v>
      </c>
      <c r="E166" s="869"/>
      <c r="F166" s="865">
        <v>1234</v>
      </c>
      <c r="G166" s="867"/>
      <c r="H166" s="464" t="s">
        <v>306</v>
      </c>
      <c r="I166" s="464"/>
      <c r="J166" s="249"/>
      <c r="K166" s="865">
        <v>12345</v>
      </c>
      <c r="L166" s="866"/>
      <c r="M166" s="867"/>
      <c r="N166" s="464" t="s">
        <v>294</v>
      </c>
      <c r="O166" s="464"/>
      <c r="P166" s="464"/>
      <c r="Q166" s="249"/>
      <c r="R166" s="247" t="s">
        <v>307</v>
      </c>
      <c r="S166" s="464"/>
      <c r="T166" s="464"/>
      <c r="U166" s="464"/>
      <c r="V166" s="464"/>
      <c r="W166" s="248" t="s">
        <v>308</v>
      </c>
      <c r="X166" s="464"/>
      <c r="Y166" s="464"/>
      <c r="Z166" s="249"/>
      <c r="AA166" s="248" t="s">
        <v>337</v>
      </c>
      <c r="AB166" s="464"/>
      <c r="AC166" s="464"/>
      <c r="AD166" s="464"/>
      <c r="AE166" s="249"/>
      <c r="AF166" s="247" t="s">
        <v>297</v>
      </c>
      <c r="AG166" s="464"/>
      <c r="AH166" s="464"/>
      <c r="AI166" s="249"/>
      <c r="AJ166" s="248" t="s">
        <v>327</v>
      </c>
      <c r="AK166" s="464"/>
      <c r="AL166" s="464"/>
      <c r="AM166" s="464"/>
      <c r="AN166" s="464"/>
      <c r="AO166" s="464"/>
      <c r="AP166" s="277"/>
      <c r="AQ166" s="278" t="s">
        <v>338</v>
      </c>
      <c r="AR166" s="464"/>
      <c r="AS166" s="464"/>
      <c r="AT166" s="249"/>
      <c r="AU166" s="872">
        <v>9999999</v>
      </c>
      <c r="AV166" s="873"/>
      <c r="AW166" s="873"/>
      <c r="AX166" s="874"/>
      <c r="AY166" s="870" t="s">
        <v>310</v>
      </c>
      <c r="AZ166" s="871"/>
      <c r="BA166" s="872">
        <v>9999999</v>
      </c>
      <c r="BB166" s="873"/>
      <c r="BC166" s="873"/>
      <c r="BD166" s="874"/>
      <c r="BE166" s="872">
        <v>9999999</v>
      </c>
      <c r="BF166" s="873"/>
      <c r="BG166" s="873"/>
      <c r="BH166" s="874"/>
      <c r="BI166" s="872">
        <v>9999999</v>
      </c>
      <c r="BJ166" s="873"/>
      <c r="BK166" s="873"/>
      <c r="BL166" s="874"/>
      <c r="BM166" s="870" t="s">
        <v>329</v>
      </c>
      <c r="BN166" s="871"/>
      <c r="BO166" s="248" t="s">
        <v>324</v>
      </c>
      <c r="BP166" s="464"/>
      <c r="BQ166" s="249"/>
      <c r="BR166" s="870" t="s">
        <v>316</v>
      </c>
      <c r="BS166" s="871"/>
      <c r="BT166" s="248" t="s">
        <v>350</v>
      </c>
      <c r="BU166" s="464"/>
      <c r="BV166" s="464"/>
      <c r="BW166" s="464"/>
      <c r="BX166" s="249"/>
    </row>
    <row r="167" spans="3:76" ht="12" customHeight="1">
      <c r="C167" s="181"/>
      <c r="D167" s="868">
        <v>30</v>
      </c>
      <c r="E167" s="869"/>
      <c r="F167" s="865">
        <v>1234</v>
      </c>
      <c r="G167" s="867"/>
      <c r="H167" s="464" t="s">
        <v>306</v>
      </c>
      <c r="I167" s="464"/>
      <c r="J167" s="249"/>
      <c r="K167" s="865">
        <v>12345</v>
      </c>
      <c r="L167" s="866"/>
      <c r="M167" s="867"/>
      <c r="N167" s="464" t="s">
        <v>294</v>
      </c>
      <c r="O167" s="464"/>
      <c r="P167" s="464"/>
      <c r="Q167" s="249"/>
      <c r="R167" s="247" t="s">
        <v>307</v>
      </c>
      <c r="S167" s="464"/>
      <c r="T167" s="464"/>
      <c r="U167" s="464"/>
      <c r="V167" s="464"/>
      <c r="W167" s="248" t="s">
        <v>308</v>
      </c>
      <c r="X167" s="464"/>
      <c r="Y167" s="464"/>
      <c r="Z167" s="249"/>
      <c r="AA167" s="248" t="s">
        <v>337</v>
      </c>
      <c r="AB167" s="464"/>
      <c r="AC167" s="464"/>
      <c r="AD167" s="464"/>
      <c r="AE167" s="249"/>
      <c r="AF167" s="247" t="s">
        <v>297</v>
      </c>
      <c r="AG167" s="464"/>
      <c r="AH167" s="464"/>
      <c r="AI167" s="249"/>
      <c r="AJ167" s="248" t="s">
        <v>327</v>
      </c>
      <c r="AK167" s="464"/>
      <c r="AL167" s="464"/>
      <c r="AM167" s="464"/>
      <c r="AN167" s="464"/>
      <c r="AO167" s="464"/>
      <c r="AP167" s="277"/>
      <c r="AQ167" s="278" t="s">
        <v>338</v>
      </c>
      <c r="AR167" s="464"/>
      <c r="AS167" s="464"/>
      <c r="AT167" s="249"/>
      <c r="AU167" s="872">
        <v>9999999</v>
      </c>
      <c r="AV167" s="873"/>
      <c r="AW167" s="873"/>
      <c r="AX167" s="874"/>
      <c r="AY167" s="870" t="s">
        <v>310</v>
      </c>
      <c r="AZ167" s="871"/>
      <c r="BA167" s="872">
        <v>9999999</v>
      </c>
      <c r="BB167" s="873"/>
      <c r="BC167" s="873"/>
      <c r="BD167" s="874"/>
      <c r="BE167" s="872">
        <v>9999999</v>
      </c>
      <c r="BF167" s="873"/>
      <c r="BG167" s="873"/>
      <c r="BH167" s="874"/>
      <c r="BI167" s="872">
        <v>9999999</v>
      </c>
      <c r="BJ167" s="873"/>
      <c r="BK167" s="873"/>
      <c r="BL167" s="874"/>
      <c r="BM167" s="870" t="s">
        <v>329</v>
      </c>
      <c r="BN167" s="871"/>
      <c r="BO167" s="248" t="s">
        <v>324</v>
      </c>
      <c r="BP167" s="464"/>
      <c r="BQ167" s="249"/>
      <c r="BR167" s="870" t="s">
        <v>316</v>
      </c>
      <c r="BS167" s="871"/>
      <c r="BT167" s="248" t="s">
        <v>350</v>
      </c>
      <c r="BU167" s="464"/>
      <c r="BV167" s="464"/>
      <c r="BW167" s="464"/>
      <c r="BX167" s="249"/>
    </row>
    <row r="168" spans="3:76" ht="12" customHeight="1">
      <c r="C168" s="181"/>
      <c r="D168" s="868">
        <v>31</v>
      </c>
      <c r="E168" s="869"/>
      <c r="F168" s="865">
        <v>1234</v>
      </c>
      <c r="G168" s="867"/>
      <c r="H168" s="464" t="s">
        <v>292</v>
      </c>
      <c r="I168" s="464"/>
      <c r="J168" s="249"/>
      <c r="K168" s="865">
        <v>12345</v>
      </c>
      <c r="L168" s="866"/>
      <c r="M168" s="867"/>
      <c r="N168" s="464" t="s">
        <v>294</v>
      </c>
      <c r="O168" s="464"/>
      <c r="P168" s="464"/>
      <c r="Q168" s="249"/>
      <c r="R168" s="247" t="s">
        <v>295</v>
      </c>
      <c r="S168" s="464"/>
      <c r="T168" s="464"/>
      <c r="U168" s="464"/>
      <c r="V168" s="464"/>
      <c r="W168" s="248" t="s">
        <v>294</v>
      </c>
      <c r="X168" s="464"/>
      <c r="Y168" s="464"/>
      <c r="Z168" s="249"/>
      <c r="AA168" s="248" t="s">
        <v>296</v>
      </c>
      <c r="AB168" s="464"/>
      <c r="AC168" s="464"/>
      <c r="AD168" s="464"/>
      <c r="AE168" s="249"/>
      <c r="AF168" s="247" t="s">
        <v>297</v>
      </c>
      <c r="AG168" s="464"/>
      <c r="AH168" s="464"/>
      <c r="AI168" s="249"/>
      <c r="AJ168" s="248" t="s">
        <v>298</v>
      </c>
      <c r="AK168" s="464"/>
      <c r="AL168" s="464"/>
      <c r="AM168" s="464"/>
      <c r="AN168" s="464"/>
      <c r="AO168" s="464"/>
      <c r="AP168" s="277"/>
      <c r="AQ168" s="278" t="s">
        <v>294</v>
      </c>
      <c r="AR168" s="464"/>
      <c r="AS168" s="464"/>
      <c r="AT168" s="249"/>
      <c r="AU168" s="872">
        <v>9999999</v>
      </c>
      <c r="AV168" s="873"/>
      <c r="AW168" s="873"/>
      <c r="AX168" s="874"/>
      <c r="AY168" s="870"/>
      <c r="AZ168" s="871"/>
      <c r="BA168" s="872">
        <v>9999999</v>
      </c>
      <c r="BB168" s="873"/>
      <c r="BC168" s="873"/>
      <c r="BD168" s="874"/>
      <c r="BE168" s="872">
        <v>9999999</v>
      </c>
      <c r="BF168" s="873"/>
      <c r="BG168" s="873"/>
      <c r="BH168" s="874"/>
      <c r="BI168" s="872">
        <v>9999999</v>
      </c>
      <c r="BJ168" s="873"/>
      <c r="BK168" s="873"/>
      <c r="BL168" s="874"/>
      <c r="BM168" s="870" t="s">
        <v>299</v>
      </c>
      <c r="BN168" s="871"/>
      <c r="BO168" s="248" t="s">
        <v>300</v>
      </c>
      <c r="BP168" s="464"/>
      <c r="BQ168" s="249"/>
      <c r="BR168" s="870" t="s">
        <v>316</v>
      </c>
      <c r="BS168" s="871"/>
      <c r="BT168" s="248"/>
      <c r="BU168" s="464"/>
      <c r="BV168" s="464"/>
      <c r="BW168" s="464"/>
      <c r="BX168" s="249"/>
    </row>
    <row r="169" spans="3:76" ht="12" customHeight="1">
      <c r="C169" s="181"/>
      <c r="D169" s="868">
        <v>32</v>
      </c>
      <c r="E169" s="869"/>
      <c r="F169" s="865">
        <v>1234</v>
      </c>
      <c r="G169" s="867"/>
      <c r="H169" s="464" t="s">
        <v>292</v>
      </c>
      <c r="I169" s="464"/>
      <c r="J169" s="249"/>
      <c r="K169" s="865">
        <v>12345</v>
      </c>
      <c r="L169" s="866"/>
      <c r="M169" s="867"/>
      <c r="N169" s="464" t="s">
        <v>294</v>
      </c>
      <c r="O169" s="464"/>
      <c r="P169" s="464"/>
      <c r="Q169" s="249"/>
      <c r="R169" s="247" t="s">
        <v>295</v>
      </c>
      <c r="S169" s="464"/>
      <c r="T169" s="464"/>
      <c r="U169" s="464"/>
      <c r="V169" s="464"/>
      <c r="W169" s="248" t="s">
        <v>294</v>
      </c>
      <c r="X169" s="464"/>
      <c r="Y169" s="464"/>
      <c r="Z169" s="249"/>
      <c r="AA169" s="248" t="s">
        <v>303</v>
      </c>
      <c r="AB169" s="464"/>
      <c r="AC169" s="464"/>
      <c r="AD169" s="464"/>
      <c r="AE169" s="249"/>
      <c r="AF169" s="247" t="s">
        <v>297</v>
      </c>
      <c r="AG169" s="464"/>
      <c r="AH169" s="464"/>
      <c r="AI169" s="249"/>
      <c r="AJ169" s="248" t="s">
        <v>298</v>
      </c>
      <c r="AK169" s="464"/>
      <c r="AL169" s="464"/>
      <c r="AM169" s="464"/>
      <c r="AN169" s="464"/>
      <c r="AO169" s="464"/>
      <c r="AP169" s="277"/>
      <c r="AQ169" s="278" t="s">
        <v>294</v>
      </c>
      <c r="AR169" s="464"/>
      <c r="AS169" s="464"/>
      <c r="AT169" s="249"/>
      <c r="AU169" s="872">
        <v>9999999</v>
      </c>
      <c r="AV169" s="873"/>
      <c r="AW169" s="873"/>
      <c r="AX169" s="874"/>
      <c r="AY169" s="870"/>
      <c r="AZ169" s="871"/>
      <c r="BA169" s="872">
        <v>9999999</v>
      </c>
      <c r="BB169" s="873"/>
      <c r="BC169" s="873"/>
      <c r="BD169" s="874"/>
      <c r="BE169" s="872">
        <v>9999999</v>
      </c>
      <c r="BF169" s="873"/>
      <c r="BG169" s="873"/>
      <c r="BH169" s="874"/>
      <c r="BI169" s="872">
        <v>9999999</v>
      </c>
      <c r="BJ169" s="873"/>
      <c r="BK169" s="873"/>
      <c r="BL169" s="874"/>
      <c r="BM169" s="870" t="s">
        <v>304</v>
      </c>
      <c r="BN169" s="871"/>
      <c r="BO169" s="248" t="s">
        <v>300</v>
      </c>
      <c r="BP169" s="464"/>
      <c r="BQ169" s="249"/>
      <c r="BR169" s="870" t="s">
        <v>316</v>
      </c>
      <c r="BS169" s="871"/>
      <c r="BT169" s="248"/>
      <c r="BU169" s="464"/>
      <c r="BV169" s="464"/>
      <c r="BW169" s="464"/>
      <c r="BX169" s="249"/>
    </row>
    <row r="170" spans="3:76" ht="12" customHeight="1">
      <c r="C170" s="181"/>
      <c r="D170" s="868">
        <v>33</v>
      </c>
      <c r="E170" s="869"/>
      <c r="F170" s="865">
        <v>1234</v>
      </c>
      <c r="G170" s="867"/>
      <c r="H170" s="464" t="s">
        <v>306</v>
      </c>
      <c r="I170" s="464"/>
      <c r="J170" s="249"/>
      <c r="K170" s="865">
        <v>12345</v>
      </c>
      <c r="L170" s="866"/>
      <c r="M170" s="867"/>
      <c r="N170" s="464" t="s">
        <v>294</v>
      </c>
      <c r="O170" s="464"/>
      <c r="P170" s="464"/>
      <c r="Q170" s="249"/>
      <c r="R170" s="247" t="s">
        <v>307</v>
      </c>
      <c r="S170" s="464"/>
      <c r="T170" s="464"/>
      <c r="U170" s="464"/>
      <c r="V170" s="464"/>
      <c r="W170" s="248" t="s">
        <v>308</v>
      </c>
      <c r="X170" s="464"/>
      <c r="Y170" s="464"/>
      <c r="Z170" s="249"/>
      <c r="AA170" s="248" t="s">
        <v>309</v>
      </c>
      <c r="AB170" s="464"/>
      <c r="AC170" s="464"/>
      <c r="AD170" s="464"/>
      <c r="AE170" s="249"/>
      <c r="AF170" s="247" t="s">
        <v>297</v>
      </c>
      <c r="AG170" s="464"/>
      <c r="AH170" s="464"/>
      <c r="AI170" s="249"/>
      <c r="AJ170" s="248" t="s">
        <v>298</v>
      </c>
      <c r="AK170" s="464"/>
      <c r="AL170" s="464"/>
      <c r="AM170" s="464"/>
      <c r="AN170" s="464"/>
      <c r="AO170" s="464"/>
      <c r="AP170" s="277"/>
      <c r="AQ170" s="278" t="s">
        <v>294</v>
      </c>
      <c r="AR170" s="464"/>
      <c r="AS170" s="464"/>
      <c r="AT170" s="249"/>
      <c r="AU170" s="872">
        <v>9999999</v>
      </c>
      <c r="AV170" s="873"/>
      <c r="AW170" s="873"/>
      <c r="AX170" s="874"/>
      <c r="AY170" s="870" t="s">
        <v>310</v>
      </c>
      <c r="AZ170" s="871"/>
      <c r="BA170" s="872">
        <v>9999999</v>
      </c>
      <c r="BB170" s="873"/>
      <c r="BC170" s="873"/>
      <c r="BD170" s="874"/>
      <c r="BE170" s="872">
        <v>9999999</v>
      </c>
      <c r="BF170" s="873"/>
      <c r="BG170" s="873"/>
      <c r="BH170" s="874"/>
      <c r="BI170" s="872">
        <v>9999999</v>
      </c>
      <c r="BJ170" s="873"/>
      <c r="BK170" s="873"/>
      <c r="BL170" s="874"/>
      <c r="BM170" s="870" t="s">
        <v>304</v>
      </c>
      <c r="BN170" s="871"/>
      <c r="BO170" s="248" t="s">
        <v>300</v>
      </c>
      <c r="BP170" s="464"/>
      <c r="BQ170" s="249"/>
      <c r="BR170" s="870" t="s">
        <v>316</v>
      </c>
      <c r="BS170" s="871"/>
      <c r="BT170" s="248" t="s">
        <v>350</v>
      </c>
      <c r="BU170" s="464"/>
      <c r="BV170" s="464"/>
      <c r="BW170" s="464"/>
      <c r="BX170" s="249"/>
    </row>
    <row r="171" spans="3:76" ht="12" customHeight="1">
      <c r="C171" s="181"/>
      <c r="D171" s="868">
        <v>34</v>
      </c>
      <c r="E171" s="869"/>
      <c r="F171" s="865">
        <v>1234</v>
      </c>
      <c r="G171" s="867"/>
      <c r="H171" s="464" t="s">
        <v>306</v>
      </c>
      <c r="I171" s="464"/>
      <c r="J171" s="249"/>
      <c r="K171" s="865">
        <v>12345</v>
      </c>
      <c r="L171" s="866"/>
      <c r="M171" s="867"/>
      <c r="N171" s="464" t="s">
        <v>294</v>
      </c>
      <c r="O171" s="464"/>
      <c r="P171" s="464"/>
      <c r="Q171" s="249"/>
      <c r="R171" s="247" t="s">
        <v>307</v>
      </c>
      <c r="S171" s="464"/>
      <c r="T171" s="464"/>
      <c r="U171" s="464"/>
      <c r="V171" s="464"/>
      <c r="W171" s="248" t="s">
        <v>308</v>
      </c>
      <c r="X171" s="464"/>
      <c r="Y171" s="464"/>
      <c r="Z171" s="249"/>
      <c r="AA171" s="248" t="s">
        <v>315</v>
      </c>
      <c r="AB171" s="464"/>
      <c r="AC171" s="464"/>
      <c r="AD171" s="464"/>
      <c r="AE171" s="249"/>
      <c r="AF171" s="247" t="s">
        <v>297</v>
      </c>
      <c r="AG171" s="464"/>
      <c r="AH171" s="464"/>
      <c r="AI171" s="249"/>
      <c r="AJ171" s="248" t="s">
        <v>298</v>
      </c>
      <c r="AK171" s="464"/>
      <c r="AL171" s="464"/>
      <c r="AM171" s="464"/>
      <c r="AN171" s="464"/>
      <c r="AO171" s="464"/>
      <c r="AP171" s="277"/>
      <c r="AQ171" s="278" t="s">
        <v>294</v>
      </c>
      <c r="AR171" s="464"/>
      <c r="AS171" s="464"/>
      <c r="AT171" s="249"/>
      <c r="AU171" s="872">
        <v>9999999</v>
      </c>
      <c r="AV171" s="873"/>
      <c r="AW171" s="873"/>
      <c r="AX171" s="874"/>
      <c r="AY171" s="870"/>
      <c r="AZ171" s="871"/>
      <c r="BA171" s="872">
        <v>9999999</v>
      </c>
      <c r="BB171" s="873"/>
      <c r="BC171" s="873"/>
      <c r="BD171" s="874"/>
      <c r="BE171" s="872">
        <v>9999999</v>
      </c>
      <c r="BF171" s="873"/>
      <c r="BG171" s="873"/>
      <c r="BH171" s="874"/>
      <c r="BI171" s="872">
        <v>9999999</v>
      </c>
      <c r="BJ171" s="873"/>
      <c r="BK171" s="873"/>
      <c r="BL171" s="874"/>
      <c r="BM171" s="870" t="s">
        <v>304</v>
      </c>
      <c r="BN171" s="871"/>
      <c r="BO171" s="248" t="s">
        <v>300</v>
      </c>
      <c r="BP171" s="464"/>
      <c r="BQ171" s="249"/>
      <c r="BR171" s="870" t="s">
        <v>316</v>
      </c>
      <c r="BS171" s="871"/>
      <c r="BT171" s="248"/>
      <c r="BU171" s="464"/>
      <c r="BV171" s="464"/>
      <c r="BW171" s="464"/>
      <c r="BX171" s="249"/>
    </row>
    <row r="172" spans="3:76" ht="12" customHeight="1">
      <c r="C172" s="181"/>
      <c r="D172" s="868">
        <v>35</v>
      </c>
      <c r="E172" s="869"/>
      <c r="F172" s="865">
        <v>1234</v>
      </c>
      <c r="G172" s="867"/>
      <c r="H172" s="464" t="s">
        <v>306</v>
      </c>
      <c r="I172" s="464"/>
      <c r="J172" s="249"/>
      <c r="K172" s="865">
        <v>12345</v>
      </c>
      <c r="L172" s="866"/>
      <c r="M172" s="867"/>
      <c r="N172" s="464" t="s">
        <v>294</v>
      </c>
      <c r="O172" s="464"/>
      <c r="P172" s="464"/>
      <c r="Q172" s="249"/>
      <c r="R172" s="247" t="s">
        <v>307</v>
      </c>
      <c r="S172" s="464"/>
      <c r="T172" s="464"/>
      <c r="U172" s="464"/>
      <c r="V172" s="464"/>
      <c r="W172" s="248" t="s">
        <v>308</v>
      </c>
      <c r="X172" s="464"/>
      <c r="Y172" s="464"/>
      <c r="Z172" s="249"/>
      <c r="AA172" s="248" t="s">
        <v>318</v>
      </c>
      <c r="AB172" s="464"/>
      <c r="AC172" s="464"/>
      <c r="AD172" s="464"/>
      <c r="AE172" s="249"/>
      <c r="AF172" s="247" t="s">
        <v>297</v>
      </c>
      <c r="AG172" s="464"/>
      <c r="AH172" s="464"/>
      <c r="AI172" s="249"/>
      <c r="AJ172" s="248" t="s">
        <v>298</v>
      </c>
      <c r="AK172" s="464"/>
      <c r="AL172" s="464"/>
      <c r="AM172" s="464"/>
      <c r="AN172" s="464"/>
      <c r="AO172" s="464"/>
      <c r="AP172" s="277"/>
      <c r="AQ172" s="278" t="s">
        <v>294</v>
      </c>
      <c r="AR172" s="464"/>
      <c r="AS172" s="464"/>
      <c r="AT172" s="249"/>
      <c r="AU172" s="872">
        <v>9999999</v>
      </c>
      <c r="AV172" s="873"/>
      <c r="AW172" s="873"/>
      <c r="AX172" s="874"/>
      <c r="AY172" s="870"/>
      <c r="AZ172" s="871"/>
      <c r="BA172" s="872">
        <v>9999999</v>
      </c>
      <c r="BB172" s="873"/>
      <c r="BC172" s="873"/>
      <c r="BD172" s="874"/>
      <c r="BE172" s="872">
        <v>9999999</v>
      </c>
      <c r="BF172" s="873"/>
      <c r="BG172" s="873"/>
      <c r="BH172" s="874"/>
      <c r="BI172" s="872">
        <v>9999999</v>
      </c>
      <c r="BJ172" s="873"/>
      <c r="BK172" s="873"/>
      <c r="BL172" s="874"/>
      <c r="BM172" s="870" t="s">
        <v>304</v>
      </c>
      <c r="BN172" s="871"/>
      <c r="BO172" s="248" t="s">
        <v>300</v>
      </c>
      <c r="BP172" s="464"/>
      <c r="BQ172" s="249"/>
      <c r="BR172" s="870" t="s">
        <v>316</v>
      </c>
      <c r="BS172" s="871"/>
      <c r="BT172" s="248"/>
      <c r="BU172" s="464"/>
      <c r="BV172" s="464"/>
      <c r="BW172" s="464"/>
      <c r="BX172" s="249"/>
    </row>
    <row r="173" spans="3:76" ht="12" customHeight="1">
      <c r="C173" s="181"/>
      <c r="D173" s="868">
        <v>36</v>
      </c>
      <c r="E173" s="869"/>
      <c r="F173" s="865">
        <v>1234</v>
      </c>
      <c r="G173" s="867"/>
      <c r="H173" s="464" t="s">
        <v>306</v>
      </c>
      <c r="I173" s="464"/>
      <c r="J173" s="249"/>
      <c r="K173" s="865">
        <v>12345</v>
      </c>
      <c r="L173" s="866"/>
      <c r="M173" s="867"/>
      <c r="N173" s="464" t="s">
        <v>294</v>
      </c>
      <c r="O173" s="464"/>
      <c r="P173" s="464"/>
      <c r="Q173" s="249"/>
      <c r="R173" s="247" t="s">
        <v>307</v>
      </c>
      <c r="S173" s="464"/>
      <c r="T173" s="464"/>
      <c r="U173" s="464"/>
      <c r="V173" s="464"/>
      <c r="W173" s="248" t="s">
        <v>308</v>
      </c>
      <c r="X173" s="464"/>
      <c r="Y173" s="464"/>
      <c r="Z173" s="249"/>
      <c r="AA173" s="248" t="s">
        <v>320</v>
      </c>
      <c r="AB173" s="464"/>
      <c r="AC173" s="464"/>
      <c r="AD173" s="464"/>
      <c r="AE173" s="249"/>
      <c r="AF173" s="247" t="s">
        <v>297</v>
      </c>
      <c r="AG173" s="464"/>
      <c r="AH173" s="464"/>
      <c r="AI173" s="249"/>
      <c r="AJ173" s="248" t="s">
        <v>321</v>
      </c>
      <c r="AK173" s="464"/>
      <c r="AL173" s="464"/>
      <c r="AM173" s="464"/>
      <c r="AN173" s="464"/>
      <c r="AO173" s="464"/>
      <c r="AP173" s="277"/>
      <c r="AQ173" s="278" t="s">
        <v>322</v>
      </c>
      <c r="AR173" s="464"/>
      <c r="AS173" s="464"/>
      <c r="AT173" s="249"/>
      <c r="AU173" s="872">
        <v>9999999</v>
      </c>
      <c r="AV173" s="873"/>
      <c r="AW173" s="873"/>
      <c r="AX173" s="874"/>
      <c r="AY173" s="870" t="s">
        <v>310</v>
      </c>
      <c r="AZ173" s="871"/>
      <c r="BA173" s="872">
        <v>9999999</v>
      </c>
      <c r="BB173" s="873"/>
      <c r="BC173" s="873"/>
      <c r="BD173" s="874"/>
      <c r="BE173" s="872">
        <v>9999999</v>
      </c>
      <c r="BF173" s="873"/>
      <c r="BG173" s="873"/>
      <c r="BH173" s="874"/>
      <c r="BI173" s="872">
        <v>9999999</v>
      </c>
      <c r="BJ173" s="873"/>
      <c r="BK173" s="873"/>
      <c r="BL173" s="874"/>
      <c r="BM173" s="870" t="s">
        <v>323</v>
      </c>
      <c r="BN173" s="871"/>
      <c r="BO173" s="248" t="s">
        <v>324</v>
      </c>
      <c r="BP173" s="464"/>
      <c r="BQ173" s="249"/>
      <c r="BR173" s="870" t="s">
        <v>316</v>
      </c>
      <c r="BS173" s="871"/>
      <c r="BT173" s="248" t="s">
        <v>350</v>
      </c>
      <c r="BU173" s="464"/>
      <c r="BV173" s="464"/>
      <c r="BW173" s="464"/>
      <c r="BX173" s="249"/>
    </row>
    <row r="174" spans="3:76" ht="12" customHeight="1">
      <c r="C174" s="181"/>
      <c r="D174" s="868">
        <v>37</v>
      </c>
      <c r="E174" s="869"/>
      <c r="F174" s="865">
        <v>1234</v>
      </c>
      <c r="G174" s="867"/>
      <c r="H174" s="464" t="s">
        <v>306</v>
      </c>
      <c r="I174" s="464"/>
      <c r="J174" s="249"/>
      <c r="K174" s="865">
        <v>12345</v>
      </c>
      <c r="L174" s="866"/>
      <c r="M174" s="867"/>
      <c r="N174" s="464" t="s">
        <v>294</v>
      </c>
      <c r="O174" s="464"/>
      <c r="P174" s="464"/>
      <c r="Q174" s="249"/>
      <c r="R174" s="247" t="s">
        <v>307</v>
      </c>
      <c r="S174" s="464"/>
      <c r="T174" s="464"/>
      <c r="U174" s="464"/>
      <c r="V174" s="464"/>
      <c r="W174" s="248" t="s">
        <v>308</v>
      </c>
      <c r="X174" s="464"/>
      <c r="Y174" s="464"/>
      <c r="Z174" s="249"/>
      <c r="AA174" s="248" t="s">
        <v>326</v>
      </c>
      <c r="AB174" s="464"/>
      <c r="AC174" s="464"/>
      <c r="AD174" s="464"/>
      <c r="AE174" s="249"/>
      <c r="AF174" s="247" t="s">
        <v>297</v>
      </c>
      <c r="AG174" s="464"/>
      <c r="AH174" s="464"/>
      <c r="AI174" s="249"/>
      <c r="AJ174" s="248" t="s">
        <v>327</v>
      </c>
      <c r="AK174" s="464"/>
      <c r="AL174" s="464"/>
      <c r="AM174" s="464"/>
      <c r="AN174" s="464"/>
      <c r="AO174" s="464"/>
      <c r="AP174" s="277"/>
      <c r="AQ174" s="278" t="s">
        <v>328</v>
      </c>
      <c r="AR174" s="464"/>
      <c r="AS174" s="464"/>
      <c r="AT174" s="249"/>
      <c r="AU174" s="872">
        <v>9999999</v>
      </c>
      <c r="AV174" s="873"/>
      <c r="AW174" s="873"/>
      <c r="AX174" s="874"/>
      <c r="AY174" s="870" t="s">
        <v>310</v>
      </c>
      <c r="AZ174" s="871"/>
      <c r="BA174" s="872">
        <v>9999999</v>
      </c>
      <c r="BB174" s="873"/>
      <c r="BC174" s="873"/>
      <c r="BD174" s="874"/>
      <c r="BE174" s="872">
        <v>9999999</v>
      </c>
      <c r="BF174" s="873"/>
      <c r="BG174" s="873"/>
      <c r="BH174" s="874"/>
      <c r="BI174" s="872">
        <v>9999999</v>
      </c>
      <c r="BJ174" s="873"/>
      <c r="BK174" s="873"/>
      <c r="BL174" s="874"/>
      <c r="BM174" s="870" t="s">
        <v>329</v>
      </c>
      <c r="BN174" s="871"/>
      <c r="BO174" s="248" t="s">
        <v>324</v>
      </c>
      <c r="BP174" s="464"/>
      <c r="BQ174" s="249"/>
      <c r="BR174" s="870" t="s">
        <v>316</v>
      </c>
      <c r="BS174" s="871"/>
      <c r="BT174" s="248" t="s">
        <v>350</v>
      </c>
      <c r="BU174" s="464"/>
      <c r="BV174" s="464"/>
      <c r="BW174" s="464"/>
      <c r="BX174" s="249"/>
    </row>
    <row r="175" spans="3:76" ht="12" customHeight="1">
      <c r="C175" s="181"/>
      <c r="D175" s="868">
        <v>38</v>
      </c>
      <c r="E175" s="869"/>
      <c r="F175" s="865">
        <v>1234</v>
      </c>
      <c r="G175" s="867"/>
      <c r="H175" s="464" t="s">
        <v>306</v>
      </c>
      <c r="I175" s="464"/>
      <c r="J175" s="249"/>
      <c r="K175" s="865">
        <v>12345</v>
      </c>
      <c r="L175" s="866"/>
      <c r="M175" s="867"/>
      <c r="N175" s="464" t="s">
        <v>294</v>
      </c>
      <c r="O175" s="464"/>
      <c r="P175" s="464"/>
      <c r="Q175" s="249"/>
      <c r="R175" s="247" t="s">
        <v>307</v>
      </c>
      <c r="S175" s="464"/>
      <c r="T175" s="464"/>
      <c r="U175" s="464"/>
      <c r="V175" s="464"/>
      <c r="W175" s="248" t="s">
        <v>308</v>
      </c>
      <c r="X175" s="464"/>
      <c r="Y175" s="464"/>
      <c r="Z175" s="249"/>
      <c r="AA175" s="248" t="s">
        <v>331</v>
      </c>
      <c r="AB175" s="464"/>
      <c r="AC175" s="464"/>
      <c r="AD175" s="464"/>
      <c r="AE175" s="249"/>
      <c r="AF175" s="247" t="s">
        <v>297</v>
      </c>
      <c r="AG175" s="464"/>
      <c r="AH175" s="464"/>
      <c r="AI175" s="249"/>
      <c r="AJ175" s="248" t="s">
        <v>327</v>
      </c>
      <c r="AK175" s="464"/>
      <c r="AL175" s="464"/>
      <c r="AM175" s="464"/>
      <c r="AN175" s="464"/>
      <c r="AO175" s="464"/>
      <c r="AP175" s="277"/>
      <c r="AQ175" s="278" t="s">
        <v>332</v>
      </c>
      <c r="AR175" s="464"/>
      <c r="AS175" s="464"/>
      <c r="AT175" s="249"/>
      <c r="AU175" s="872">
        <v>9999999</v>
      </c>
      <c r="AV175" s="873"/>
      <c r="AW175" s="873"/>
      <c r="AX175" s="874"/>
      <c r="AY175" s="870" t="s">
        <v>310</v>
      </c>
      <c r="AZ175" s="871"/>
      <c r="BA175" s="872">
        <v>9999999</v>
      </c>
      <c r="BB175" s="873"/>
      <c r="BC175" s="873"/>
      <c r="BD175" s="874"/>
      <c r="BE175" s="872">
        <v>9999999</v>
      </c>
      <c r="BF175" s="873"/>
      <c r="BG175" s="873"/>
      <c r="BH175" s="874"/>
      <c r="BI175" s="872">
        <v>9999999</v>
      </c>
      <c r="BJ175" s="873"/>
      <c r="BK175" s="873"/>
      <c r="BL175" s="874"/>
      <c r="BM175" s="870" t="s">
        <v>329</v>
      </c>
      <c r="BN175" s="871"/>
      <c r="BO175" s="248" t="s">
        <v>324</v>
      </c>
      <c r="BP175" s="464"/>
      <c r="BQ175" s="249"/>
      <c r="BR175" s="870" t="s">
        <v>316</v>
      </c>
      <c r="BS175" s="871"/>
      <c r="BT175" s="248" t="s">
        <v>350</v>
      </c>
      <c r="BU175" s="464"/>
      <c r="BV175" s="464"/>
      <c r="BW175" s="464"/>
      <c r="BX175" s="249"/>
    </row>
    <row r="176" spans="3:76" ht="12" customHeight="1">
      <c r="C176" s="181"/>
      <c r="D176" s="868">
        <v>39</v>
      </c>
      <c r="E176" s="869"/>
      <c r="F176" s="865">
        <v>1234</v>
      </c>
      <c r="G176" s="867"/>
      <c r="H176" s="464" t="s">
        <v>306</v>
      </c>
      <c r="I176" s="464"/>
      <c r="J176" s="249"/>
      <c r="K176" s="865">
        <v>12345</v>
      </c>
      <c r="L176" s="866"/>
      <c r="M176" s="867"/>
      <c r="N176" s="464" t="s">
        <v>294</v>
      </c>
      <c r="O176" s="464"/>
      <c r="P176" s="464"/>
      <c r="Q176" s="249"/>
      <c r="R176" s="247" t="s">
        <v>307</v>
      </c>
      <c r="S176" s="464"/>
      <c r="T176" s="464"/>
      <c r="U176" s="464"/>
      <c r="V176" s="464"/>
      <c r="W176" s="248" t="s">
        <v>308</v>
      </c>
      <c r="X176" s="464"/>
      <c r="Y176" s="464"/>
      <c r="Z176" s="249"/>
      <c r="AA176" s="248" t="s">
        <v>334</v>
      </c>
      <c r="AB176" s="464"/>
      <c r="AC176" s="464"/>
      <c r="AD176" s="464"/>
      <c r="AE176" s="249"/>
      <c r="AF176" s="247" t="s">
        <v>297</v>
      </c>
      <c r="AG176" s="464"/>
      <c r="AH176" s="464"/>
      <c r="AI176" s="249"/>
      <c r="AJ176" s="248" t="s">
        <v>327</v>
      </c>
      <c r="AK176" s="464"/>
      <c r="AL176" s="464"/>
      <c r="AM176" s="464"/>
      <c r="AN176" s="464"/>
      <c r="AO176" s="464"/>
      <c r="AP176" s="277"/>
      <c r="AQ176" s="278" t="s">
        <v>335</v>
      </c>
      <c r="AR176" s="464"/>
      <c r="AS176" s="464"/>
      <c r="AT176" s="249"/>
      <c r="AU176" s="872">
        <v>9999999</v>
      </c>
      <c r="AV176" s="873"/>
      <c r="AW176" s="873"/>
      <c r="AX176" s="874"/>
      <c r="AY176" s="870"/>
      <c r="AZ176" s="871"/>
      <c r="BA176" s="872">
        <v>9999999</v>
      </c>
      <c r="BB176" s="873"/>
      <c r="BC176" s="873"/>
      <c r="BD176" s="874"/>
      <c r="BE176" s="872">
        <v>9999999</v>
      </c>
      <c r="BF176" s="873"/>
      <c r="BG176" s="873"/>
      <c r="BH176" s="874"/>
      <c r="BI176" s="872">
        <v>9999999</v>
      </c>
      <c r="BJ176" s="873"/>
      <c r="BK176" s="873"/>
      <c r="BL176" s="874"/>
      <c r="BM176" s="870" t="s">
        <v>304</v>
      </c>
      <c r="BN176" s="871"/>
      <c r="BO176" s="248" t="s">
        <v>324</v>
      </c>
      <c r="BP176" s="464"/>
      <c r="BQ176" s="249"/>
      <c r="BR176" s="870" t="s">
        <v>316</v>
      </c>
      <c r="BS176" s="871"/>
      <c r="BT176" s="248"/>
      <c r="BU176" s="464"/>
      <c r="BV176" s="464"/>
      <c r="BW176" s="464"/>
      <c r="BX176" s="249"/>
    </row>
    <row r="177" spans="3:76" ht="12" customHeight="1">
      <c r="C177" s="181"/>
      <c r="D177" s="868">
        <v>40</v>
      </c>
      <c r="E177" s="869"/>
      <c r="F177" s="865">
        <v>1234</v>
      </c>
      <c r="G177" s="867"/>
      <c r="H177" s="464" t="s">
        <v>306</v>
      </c>
      <c r="I177" s="464"/>
      <c r="J177" s="249"/>
      <c r="K177" s="865">
        <v>12345</v>
      </c>
      <c r="L177" s="866"/>
      <c r="M177" s="867"/>
      <c r="N177" s="464" t="s">
        <v>294</v>
      </c>
      <c r="O177" s="464"/>
      <c r="P177" s="464"/>
      <c r="Q177" s="249"/>
      <c r="R177" s="247" t="s">
        <v>307</v>
      </c>
      <c r="S177" s="464"/>
      <c r="T177" s="464"/>
      <c r="U177" s="464"/>
      <c r="V177" s="464"/>
      <c r="W177" s="248" t="s">
        <v>308</v>
      </c>
      <c r="X177" s="464"/>
      <c r="Y177" s="464"/>
      <c r="Z177" s="249"/>
      <c r="AA177" s="248" t="s">
        <v>337</v>
      </c>
      <c r="AB177" s="464"/>
      <c r="AC177" s="464"/>
      <c r="AD177" s="464"/>
      <c r="AE177" s="249"/>
      <c r="AF177" s="247" t="s">
        <v>297</v>
      </c>
      <c r="AG177" s="464"/>
      <c r="AH177" s="464"/>
      <c r="AI177" s="249"/>
      <c r="AJ177" s="248" t="s">
        <v>327</v>
      </c>
      <c r="AK177" s="464"/>
      <c r="AL177" s="464"/>
      <c r="AM177" s="464"/>
      <c r="AN177" s="464"/>
      <c r="AO177" s="464"/>
      <c r="AP177" s="277"/>
      <c r="AQ177" s="278" t="s">
        <v>338</v>
      </c>
      <c r="AR177" s="464"/>
      <c r="AS177" s="464"/>
      <c r="AT177" s="249"/>
      <c r="AU177" s="872">
        <v>9999999</v>
      </c>
      <c r="AV177" s="873"/>
      <c r="AW177" s="873"/>
      <c r="AX177" s="874"/>
      <c r="AY177" s="870" t="s">
        <v>310</v>
      </c>
      <c r="AZ177" s="871"/>
      <c r="BA177" s="872">
        <v>9999999</v>
      </c>
      <c r="BB177" s="873"/>
      <c r="BC177" s="873"/>
      <c r="BD177" s="874"/>
      <c r="BE177" s="872">
        <v>9999999</v>
      </c>
      <c r="BF177" s="873"/>
      <c r="BG177" s="873"/>
      <c r="BH177" s="874"/>
      <c r="BI177" s="872">
        <v>9999999</v>
      </c>
      <c r="BJ177" s="873"/>
      <c r="BK177" s="873"/>
      <c r="BL177" s="874"/>
      <c r="BM177" s="870" t="s">
        <v>329</v>
      </c>
      <c r="BN177" s="871"/>
      <c r="BO177" s="248" t="s">
        <v>324</v>
      </c>
      <c r="BP177" s="464"/>
      <c r="BQ177" s="249"/>
      <c r="BR177" s="870" t="s">
        <v>316</v>
      </c>
      <c r="BS177" s="871"/>
      <c r="BT177" s="248" t="s">
        <v>350</v>
      </c>
      <c r="BU177" s="464"/>
      <c r="BV177" s="464"/>
      <c r="BW177" s="464"/>
      <c r="BX177" s="249"/>
    </row>
    <row r="178" spans="3:76" ht="12" customHeight="1">
      <c r="C178" s="181"/>
      <c r="Q178" s="24"/>
    </row>
  </sheetData>
  <mergeCells count="517">
    <mergeCell ref="BI53:BL53"/>
    <mergeCell ref="BI54:BL54"/>
    <mergeCell ref="BI55:BL55"/>
    <mergeCell ref="BI56:BL56"/>
    <mergeCell ref="BI57:BL57"/>
    <mergeCell ref="BI58:BL58"/>
    <mergeCell ref="BI59:BL59"/>
    <mergeCell ref="BI60:BL60"/>
    <mergeCell ref="BI61:BL61"/>
    <mergeCell ref="BR52:BS52"/>
    <mergeCell ref="BR53:BS53"/>
    <mergeCell ref="BR54:BS54"/>
    <mergeCell ref="BR55:BS55"/>
    <mergeCell ref="BR56:BS56"/>
    <mergeCell ref="BR62:BS62"/>
    <mergeCell ref="BR57:BS57"/>
    <mergeCell ref="BR58:BS58"/>
    <mergeCell ref="BR59:BS59"/>
    <mergeCell ref="BR60:BS60"/>
    <mergeCell ref="BR61:BS61"/>
    <mergeCell ref="BE54:BH54"/>
    <mergeCell ref="BE55:BH55"/>
    <mergeCell ref="BE56:BH56"/>
    <mergeCell ref="BE57:BH57"/>
    <mergeCell ref="BE58:BH58"/>
    <mergeCell ref="BE59:BH59"/>
    <mergeCell ref="BE60:BH60"/>
    <mergeCell ref="BE61:BH61"/>
    <mergeCell ref="BA53:BD53"/>
    <mergeCell ref="BA54:BD54"/>
    <mergeCell ref="BA55:BD55"/>
    <mergeCell ref="BA56:BD56"/>
    <mergeCell ref="BA57:BD57"/>
    <mergeCell ref="BA58:BD58"/>
    <mergeCell ref="BA59:BD59"/>
    <mergeCell ref="BA60:BD60"/>
    <mergeCell ref="BA61:BD61"/>
    <mergeCell ref="BE53:BH53"/>
    <mergeCell ref="AU58:AX58"/>
    <mergeCell ref="AU59:AX59"/>
    <mergeCell ref="AU60:AX60"/>
    <mergeCell ref="AU61:AX61"/>
    <mergeCell ref="AU62:AX62"/>
    <mergeCell ref="AU53:AX53"/>
    <mergeCell ref="AU54:AX54"/>
    <mergeCell ref="AU55:AX55"/>
    <mergeCell ref="AU56:AX56"/>
    <mergeCell ref="AU57:AX57"/>
    <mergeCell ref="U1:Y1"/>
    <mergeCell ref="Z1:AD1"/>
    <mergeCell ref="AE1:AI1"/>
    <mergeCell ref="C80:D80"/>
    <mergeCell ref="C81:D81"/>
    <mergeCell ref="C76:D76"/>
    <mergeCell ref="C77:D77"/>
    <mergeCell ref="C78:D78"/>
    <mergeCell ref="C79:D79"/>
    <mergeCell ref="F52:G52"/>
    <mergeCell ref="AY52:AZ52"/>
    <mergeCell ref="AY53:AZ53"/>
    <mergeCell ref="AY54:AZ54"/>
    <mergeCell ref="AY55:AZ55"/>
    <mergeCell ref="AY56:AZ56"/>
    <mergeCell ref="AJ1:AR1"/>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BM60:BN60"/>
    <mergeCell ref="BM61:BN61"/>
    <mergeCell ref="BM62:BN62"/>
    <mergeCell ref="AY57:AZ57"/>
    <mergeCell ref="AY58:AZ58"/>
    <mergeCell ref="AY59:AZ59"/>
    <mergeCell ref="AY60:AZ60"/>
    <mergeCell ref="AY61:AZ61"/>
    <mergeCell ref="BA62:BD62"/>
    <mergeCell ref="BE62:BH62"/>
    <mergeCell ref="BI62:BL62"/>
    <mergeCell ref="K167:M167"/>
    <mergeCell ref="K148:M148"/>
    <mergeCell ref="K149:M149"/>
    <mergeCell ref="BO52:BQ52"/>
    <mergeCell ref="AU138:AX138"/>
    <mergeCell ref="AY138:AZ138"/>
    <mergeCell ref="BA138:BD138"/>
    <mergeCell ref="BE138:BH138"/>
    <mergeCell ref="BI138:BL138"/>
    <mergeCell ref="BM138:BN138"/>
    <mergeCell ref="AU140:AX140"/>
    <mergeCell ref="AY140:AZ140"/>
    <mergeCell ref="BA140:BD140"/>
    <mergeCell ref="BE140:BH140"/>
    <mergeCell ref="BI140:BL140"/>
    <mergeCell ref="AY62:AZ62"/>
    <mergeCell ref="BM52:BN52"/>
    <mergeCell ref="BM53:BN53"/>
    <mergeCell ref="BM54:BN54"/>
    <mergeCell ref="BM55:BN55"/>
    <mergeCell ref="BM56:BN56"/>
    <mergeCell ref="BM57:BN57"/>
    <mergeCell ref="BM58:BN58"/>
    <mergeCell ref="BM59:BN59"/>
    <mergeCell ref="BM168:BN168"/>
    <mergeCell ref="BR168:BS168"/>
    <mergeCell ref="AU169:AX169"/>
    <mergeCell ref="AY169:AZ169"/>
    <mergeCell ref="BA169:BD169"/>
    <mergeCell ref="BE169:BH169"/>
    <mergeCell ref="BI169:BL169"/>
    <mergeCell ref="BM169:BN169"/>
    <mergeCell ref="BR169:BS169"/>
    <mergeCell ref="AU168:AX168"/>
    <mergeCell ref="AY168:AZ168"/>
    <mergeCell ref="BA168:BD168"/>
    <mergeCell ref="BE168:BH168"/>
    <mergeCell ref="BI168:BL168"/>
    <mergeCell ref="BM170:BN170"/>
    <mergeCell ref="BR170:BS170"/>
    <mergeCell ref="AU171:AX171"/>
    <mergeCell ref="AY171:AZ171"/>
    <mergeCell ref="BA171:BD171"/>
    <mergeCell ref="BE171:BH171"/>
    <mergeCell ref="BI171:BL171"/>
    <mergeCell ref="BM171:BN171"/>
    <mergeCell ref="BR171:BS171"/>
    <mergeCell ref="AU170:AX170"/>
    <mergeCell ref="AY170:AZ170"/>
    <mergeCell ref="BA170:BD170"/>
    <mergeCell ref="BE170:BH170"/>
    <mergeCell ref="BI170:BL170"/>
    <mergeCell ref="BM172:BN172"/>
    <mergeCell ref="BR172:BS172"/>
    <mergeCell ref="AU173:AX173"/>
    <mergeCell ref="AY173:AZ173"/>
    <mergeCell ref="BA173:BD173"/>
    <mergeCell ref="BE173:BH173"/>
    <mergeCell ref="BI173:BL173"/>
    <mergeCell ref="BM173:BN173"/>
    <mergeCell ref="BR173:BS173"/>
    <mergeCell ref="AU172:AX172"/>
    <mergeCell ref="AY172:AZ172"/>
    <mergeCell ref="BA172:BD172"/>
    <mergeCell ref="BE172:BH172"/>
    <mergeCell ref="BI172:BL172"/>
    <mergeCell ref="BM174:BN174"/>
    <mergeCell ref="BR174:BS174"/>
    <mergeCell ref="AU175:AX175"/>
    <mergeCell ref="AY175:AZ175"/>
    <mergeCell ref="BA175:BD175"/>
    <mergeCell ref="BE175:BH175"/>
    <mergeCell ref="BI175:BL175"/>
    <mergeCell ref="BM175:BN175"/>
    <mergeCell ref="BR175:BS175"/>
    <mergeCell ref="AU174:AX174"/>
    <mergeCell ref="AY174:AZ174"/>
    <mergeCell ref="BA174:BD174"/>
    <mergeCell ref="BE174:BH174"/>
    <mergeCell ref="BI174:BL174"/>
    <mergeCell ref="BM176:BN176"/>
    <mergeCell ref="BR176:BS176"/>
    <mergeCell ref="AU177:AX177"/>
    <mergeCell ref="AY177:AZ177"/>
    <mergeCell ref="BA177:BD177"/>
    <mergeCell ref="BE177:BH177"/>
    <mergeCell ref="BI177:BL177"/>
    <mergeCell ref="BM177:BN177"/>
    <mergeCell ref="BR177:BS177"/>
    <mergeCell ref="AU176:AX176"/>
    <mergeCell ref="AY176:AZ176"/>
    <mergeCell ref="BA176:BD176"/>
    <mergeCell ref="BE176:BH176"/>
    <mergeCell ref="BI176:BL176"/>
    <mergeCell ref="F137:G137"/>
    <mergeCell ref="AY137:AZ137"/>
    <mergeCell ref="BM137:BN137"/>
    <mergeCell ref="BO137:BQ137"/>
    <mergeCell ref="BR137:BS137"/>
    <mergeCell ref="F138:G138"/>
    <mergeCell ref="F139:G139"/>
    <mergeCell ref="K138:M138"/>
    <mergeCell ref="K139:M139"/>
    <mergeCell ref="BR140:BS140"/>
    <mergeCell ref="AU141:AX141"/>
    <mergeCell ref="AY141:AZ141"/>
    <mergeCell ref="BA141:BD141"/>
    <mergeCell ref="BE141:BH141"/>
    <mergeCell ref="BI141:BL141"/>
    <mergeCell ref="BM141:BN141"/>
    <mergeCell ref="BR141:BS141"/>
    <mergeCell ref="BR138:BS138"/>
    <mergeCell ref="AU139:AX139"/>
    <mergeCell ref="AY139:AZ139"/>
    <mergeCell ref="BA139:BD139"/>
    <mergeCell ref="BE139:BH139"/>
    <mergeCell ref="BI139:BL139"/>
    <mergeCell ref="BM139:BN139"/>
    <mergeCell ref="BR139:BS139"/>
    <mergeCell ref="BR142:BS142"/>
    <mergeCell ref="AU143:AX143"/>
    <mergeCell ref="AY143:AZ143"/>
    <mergeCell ref="BA143:BD143"/>
    <mergeCell ref="BE143:BH143"/>
    <mergeCell ref="BI143:BL143"/>
    <mergeCell ref="BM143:BN143"/>
    <mergeCell ref="BR143:BS143"/>
    <mergeCell ref="AU142:AX142"/>
    <mergeCell ref="AY142:AZ142"/>
    <mergeCell ref="BA142:BD142"/>
    <mergeCell ref="BE142:BH142"/>
    <mergeCell ref="BI142:BL142"/>
    <mergeCell ref="BR144:BS144"/>
    <mergeCell ref="AU145:AX145"/>
    <mergeCell ref="AY145:AZ145"/>
    <mergeCell ref="BA145:BD145"/>
    <mergeCell ref="BE145:BH145"/>
    <mergeCell ref="BI145:BL145"/>
    <mergeCell ref="BM145:BN145"/>
    <mergeCell ref="BR145:BS145"/>
    <mergeCell ref="AU144:AX144"/>
    <mergeCell ref="AY144:AZ144"/>
    <mergeCell ref="BA144:BD144"/>
    <mergeCell ref="BE144:BH144"/>
    <mergeCell ref="BI144:BL144"/>
    <mergeCell ref="BR146:BS146"/>
    <mergeCell ref="AU147:AX147"/>
    <mergeCell ref="AY147:AZ147"/>
    <mergeCell ref="BA147:BD147"/>
    <mergeCell ref="BE147:BH147"/>
    <mergeCell ref="BI147:BL147"/>
    <mergeCell ref="BM147:BN147"/>
    <mergeCell ref="BR147:BS147"/>
    <mergeCell ref="AU146:AX146"/>
    <mergeCell ref="AY146:AZ146"/>
    <mergeCell ref="BA146:BD146"/>
    <mergeCell ref="BE146:BH146"/>
    <mergeCell ref="BI146:BL146"/>
    <mergeCell ref="BR148:BS148"/>
    <mergeCell ref="AU149:AX149"/>
    <mergeCell ref="AY149:AZ149"/>
    <mergeCell ref="BA149:BD149"/>
    <mergeCell ref="BE149:BH149"/>
    <mergeCell ref="BI149:BL149"/>
    <mergeCell ref="BM149:BN149"/>
    <mergeCell ref="BR149:BS149"/>
    <mergeCell ref="AU148:AX148"/>
    <mergeCell ref="AY148:AZ148"/>
    <mergeCell ref="BA148:BD148"/>
    <mergeCell ref="BE148:BH148"/>
    <mergeCell ref="BI148:BL148"/>
    <mergeCell ref="BR150:BS150"/>
    <mergeCell ref="AU151:AX151"/>
    <mergeCell ref="AY151:AZ151"/>
    <mergeCell ref="BA151:BD151"/>
    <mergeCell ref="BE151:BH151"/>
    <mergeCell ref="BI151:BL151"/>
    <mergeCell ref="BM151:BN151"/>
    <mergeCell ref="BR151:BS151"/>
    <mergeCell ref="AU150:AX150"/>
    <mergeCell ref="AY150:AZ150"/>
    <mergeCell ref="BA150:BD150"/>
    <mergeCell ref="BE150:BH150"/>
    <mergeCell ref="BI150:BL150"/>
    <mergeCell ref="BR152:BS152"/>
    <mergeCell ref="AU153:AX153"/>
    <mergeCell ref="AY153:AZ153"/>
    <mergeCell ref="BA153:BD153"/>
    <mergeCell ref="BE153:BH153"/>
    <mergeCell ref="BI153:BL153"/>
    <mergeCell ref="BM153:BN153"/>
    <mergeCell ref="BR153:BS153"/>
    <mergeCell ref="AU152:AX152"/>
    <mergeCell ref="AY152:AZ152"/>
    <mergeCell ref="BA152:BD152"/>
    <mergeCell ref="BE152:BH152"/>
    <mergeCell ref="BI152:BL152"/>
    <mergeCell ref="BR154:BS154"/>
    <mergeCell ref="AU155:AX155"/>
    <mergeCell ref="AY155:AZ155"/>
    <mergeCell ref="BA155:BD155"/>
    <mergeCell ref="BE155:BH155"/>
    <mergeCell ref="BI155:BL155"/>
    <mergeCell ref="BM155:BN155"/>
    <mergeCell ref="BR155:BS155"/>
    <mergeCell ref="AU154:AX154"/>
    <mergeCell ref="AY154:AZ154"/>
    <mergeCell ref="BA154:BD154"/>
    <mergeCell ref="BE154:BH154"/>
    <mergeCell ref="BI154:BL154"/>
    <mergeCell ref="BR156:BS156"/>
    <mergeCell ref="AU157:AX157"/>
    <mergeCell ref="AY157:AZ157"/>
    <mergeCell ref="BA157:BD157"/>
    <mergeCell ref="BE157:BH157"/>
    <mergeCell ref="BI157:BL157"/>
    <mergeCell ref="BM157:BN157"/>
    <mergeCell ref="BR157:BS157"/>
    <mergeCell ref="AU156:AX156"/>
    <mergeCell ref="AY156:AZ156"/>
    <mergeCell ref="BA156:BD156"/>
    <mergeCell ref="BE156:BH156"/>
    <mergeCell ref="BI156:BL156"/>
    <mergeCell ref="BR158:BS158"/>
    <mergeCell ref="AU159:AX159"/>
    <mergeCell ref="AY159:AZ159"/>
    <mergeCell ref="BA159:BD159"/>
    <mergeCell ref="BE159:BH159"/>
    <mergeCell ref="BI159:BL159"/>
    <mergeCell ref="BM159:BN159"/>
    <mergeCell ref="BR159:BS159"/>
    <mergeCell ref="AU158:AX158"/>
    <mergeCell ref="AY158:AZ158"/>
    <mergeCell ref="BA158:BD158"/>
    <mergeCell ref="BE158:BH158"/>
    <mergeCell ref="BI158:BL158"/>
    <mergeCell ref="BR160:BS160"/>
    <mergeCell ref="AU161:AX161"/>
    <mergeCell ref="AY161:AZ161"/>
    <mergeCell ref="BA161:BD161"/>
    <mergeCell ref="BE161:BH161"/>
    <mergeCell ref="BI161:BL161"/>
    <mergeCell ref="BM161:BN161"/>
    <mergeCell ref="BR161:BS161"/>
    <mergeCell ref="AU160:AX160"/>
    <mergeCell ref="AY160:AZ160"/>
    <mergeCell ref="BA160:BD160"/>
    <mergeCell ref="BE160:BH160"/>
    <mergeCell ref="BI160:BL160"/>
    <mergeCell ref="BR162:BS162"/>
    <mergeCell ref="AU163:AX163"/>
    <mergeCell ref="AY163:AZ163"/>
    <mergeCell ref="BA163:BD163"/>
    <mergeCell ref="BE163:BH163"/>
    <mergeCell ref="BI163:BL163"/>
    <mergeCell ref="BM163:BN163"/>
    <mergeCell ref="BR163:BS163"/>
    <mergeCell ref="AU162:AX162"/>
    <mergeCell ref="AY162:AZ162"/>
    <mergeCell ref="BA162:BD162"/>
    <mergeCell ref="BE162:BH162"/>
    <mergeCell ref="BI162:BL162"/>
    <mergeCell ref="BR164:BS164"/>
    <mergeCell ref="AU165:AX165"/>
    <mergeCell ref="AY165:AZ165"/>
    <mergeCell ref="BA165:BD165"/>
    <mergeCell ref="BE165:BH165"/>
    <mergeCell ref="BI165:BL165"/>
    <mergeCell ref="BM165:BN165"/>
    <mergeCell ref="BR165:BS165"/>
    <mergeCell ref="AU164:AX164"/>
    <mergeCell ref="AY164:AZ164"/>
    <mergeCell ref="BA164:BD164"/>
    <mergeCell ref="BE164:BH164"/>
    <mergeCell ref="BI164:BL164"/>
    <mergeCell ref="BR166:BS166"/>
    <mergeCell ref="AU167:AX167"/>
    <mergeCell ref="BA167:BD167"/>
    <mergeCell ref="BE167:BH167"/>
    <mergeCell ref="BI167:BL167"/>
    <mergeCell ref="AU166:AX166"/>
    <mergeCell ref="AY166:AZ166"/>
    <mergeCell ref="BA166:BD166"/>
    <mergeCell ref="BE166:BH166"/>
    <mergeCell ref="BI166:BL166"/>
    <mergeCell ref="AY167:AZ167"/>
    <mergeCell ref="BM167:BN167"/>
    <mergeCell ref="BR167:BS167"/>
    <mergeCell ref="D145:E145"/>
    <mergeCell ref="D146:E146"/>
    <mergeCell ref="D147:E147"/>
    <mergeCell ref="D138:E138"/>
    <mergeCell ref="D139:E139"/>
    <mergeCell ref="D140:E140"/>
    <mergeCell ref="D141:E141"/>
    <mergeCell ref="D142:E142"/>
    <mergeCell ref="BM166:BN166"/>
    <mergeCell ref="BM164:BN164"/>
    <mergeCell ref="BM162:BN162"/>
    <mergeCell ref="BM160:BN160"/>
    <mergeCell ref="BM158:BN158"/>
    <mergeCell ref="BM156:BN156"/>
    <mergeCell ref="BM154:BN154"/>
    <mergeCell ref="BM152:BN152"/>
    <mergeCell ref="BM150:BN150"/>
    <mergeCell ref="BM148:BN148"/>
    <mergeCell ref="BM146:BN146"/>
    <mergeCell ref="BM144:BN144"/>
    <mergeCell ref="BM142:BN142"/>
    <mergeCell ref="BM140:BN140"/>
    <mergeCell ref="K165:M165"/>
    <mergeCell ref="K166:M166"/>
    <mergeCell ref="D177:E177"/>
    <mergeCell ref="D168:E168"/>
    <mergeCell ref="D169:E169"/>
    <mergeCell ref="D170:E170"/>
    <mergeCell ref="D171:E171"/>
    <mergeCell ref="D172:E172"/>
    <mergeCell ref="D163:E163"/>
    <mergeCell ref="D164:E164"/>
    <mergeCell ref="D165:E165"/>
    <mergeCell ref="D166:E166"/>
    <mergeCell ref="D167:E167"/>
    <mergeCell ref="F140:G140"/>
    <mergeCell ref="F141:G141"/>
    <mergeCell ref="F142:G142"/>
    <mergeCell ref="D173:E173"/>
    <mergeCell ref="D174:E174"/>
    <mergeCell ref="D175:E175"/>
    <mergeCell ref="D176:E176"/>
    <mergeCell ref="D158:E158"/>
    <mergeCell ref="D159:E159"/>
    <mergeCell ref="D160:E160"/>
    <mergeCell ref="D161:E161"/>
    <mergeCell ref="D162:E162"/>
    <mergeCell ref="D153:E153"/>
    <mergeCell ref="D154:E154"/>
    <mergeCell ref="D155:E155"/>
    <mergeCell ref="D156:E156"/>
    <mergeCell ref="D157:E157"/>
    <mergeCell ref="D148:E148"/>
    <mergeCell ref="D149:E149"/>
    <mergeCell ref="D150:E150"/>
    <mergeCell ref="D151:E151"/>
    <mergeCell ref="D152:E152"/>
    <mergeCell ref="D143:E143"/>
    <mergeCell ref="D144:E144"/>
    <mergeCell ref="F177:G177"/>
    <mergeCell ref="F168:G168"/>
    <mergeCell ref="F169:G169"/>
    <mergeCell ref="F170:G170"/>
    <mergeCell ref="F171:G171"/>
    <mergeCell ref="F172:G172"/>
    <mergeCell ref="F158:G158"/>
    <mergeCell ref="F159:G159"/>
    <mergeCell ref="F160:G160"/>
    <mergeCell ref="F161:G161"/>
    <mergeCell ref="F162:G162"/>
    <mergeCell ref="F163:G163"/>
    <mergeCell ref="F164:G164"/>
    <mergeCell ref="F165:G165"/>
    <mergeCell ref="F166:G166"/>
    <mergeCell ref="F167:G167"/>
    <mergeCell ref="K140:M140"/>
    <mergeCell ref="K141:M141"/>
    <mergeCell ref="K142:M142"/>
    <mergeCell ref="F173:G173"/>
    <mergeCell ref="F174:G174"/>
    <mergeCell ref="F175:G175"/>
    <mergeCell ref="F176:G176"/>
    <mergeCell ref="F153:G153"/>
    <mergeCell ref="F154:G154"/>
    <mergeCell ref="F155:G155"/>
    <mergeCell ref="F156:G156"/>
    <mergeCell ref="F157:G157"/>
    <mergeCell ref="F148:G148"/>
    <mergeCell ref="F149:G149"/>
    <mergeCell ref="F150:G150"/>
    <mergeCell ref="F151:G151"/>
    <mergeCell ref="F152:G152"/>
    <mergeCell ref="F143:G143"/>
    <mergeCell ref="F144:G144"/>
    <mergeCell ref="F145:G145"/>
    <mergeCell ref="F146:G146"/>
    <mergeCell ref="F147:G147"/>
    <mergeCell ref="K150:M150"/>
    <mergeCell ref="K151:M151"/>
    <mergeCell ref="K152:M152"/>
    <mergeCell ref="K153:M153"/>
    <mergeCell ref="K154:M154"/>
    <mergeCell ref="K143:M143"/>
    <mergeCell ref="K144:M144"/>
    <mergeCell ref="K145:M145"/>
    <mergeCell ref="K146:M146"/>
    <mergeCell ref="K147:M147"/>
    <mergeCell ref="K160:M160"/>
    <mergeCell ref="K161:M161"/>
    <mergeCell ref="K162:M162"/>
    <mergeCell ref="K163:M163"/>
    <mergeCell ref="K164:M164"/>
    <mergeCell ref="K155:M155"/>
    <mergeCell ref="K156:M156"/>
    <mergeCell ref="K157:M157"/>
    <mergeCell ref="K158:M158"/>
    <mergeCell ref="K159:M159"/>
    <mergeCell ref="K173:M173"/>
    <mergeCell ref="K174:M174"/>
    <mergeCell ref="K175:M175"/>
    <mergeCell ref="K176:M176"/>
    <mergeCell ref="K177:M177"/>
    <mergeCell ref="K168:M168"/>
    <mergeCell ref="K169:M169"/>
    <mergeCell ref="K170:M170"/>
    <mergeCell ref="K171:M171"/>
    <mergeCell ref="K172:M172"/>
    <mergeCell ref="BB37:BE37"/>
    <mergeCell ref="BB38:BE38"/>
    <mergeCell ref="CX19:ES19"/>
    <mergeCell ref="DG20:EN20"/>
    <mergeCell ref="DG21:EP21"/>
    <mergeCell ref="AC24:AH24"/>
    <mergeCell ref="P27:Q27"/>
    <mergeCell ref="AI28:AK28"/>
    <mergeCell ref="BJ32:BM32"/>
  </mergeCells>
  <phoneticPr fontId="8"/>
  <pageMargins left="0.51181102362204722" right="0.74803149606299213" top="0.70866141732283472" bottom="0.43307086614173229" header="0.51181102362204722" footer="0.19685039370078741"/>
  <pageSetup paperSize="9" scale="62" fitToHeight="0" orientation="landscape" r:id="rId1"/>
  <headerFooter alignWithMargins="0"/>
  <rowBreaks count="1" manualBreakCount="1">
    <brk id="74" max="9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C4CD-61A3-4231-B8B7-78D32378E0AD}">
  <sheetPr codeName="Sheet15">
    <pageSetUpPr fitToPage="1"/>
  </sheetPr>
  <dimension ref="A1:BN83"/>
  <sheetViews>
    <sheetView showGridLines="0" showZeros="0" topLeftCell="A11" zoomScaleNormal="100" zoomScaleSheetLayoutView="100" workbookViewId="0">
      <selection activeCell="AJ54" sqref="AJ54:AJ55"/>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62" width="2.125" style="24" customWidth="1"/>
    <col min="63" max="63" width="2.25" style="24" customWidth="1"/>
    <col min="64" max="16384" width="2.25" style="24"/>
  </cols>
  <sheetData>
    <row r="1" spans="1:63"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3"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3"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3" s="4" customFormat="1" ht="6.75" customHeight="1" thickBot="1">
      <c r="B4" s="5"/>
      <c r="C4" s="6"/>
      <c r="D4" s="6"/>
      <c r="E4" s="6"/>
      <c r="F4" s="7"/>
      <c r="G4" s="7"/>
      <c r="H4" s="7"/>
      <c r="I4" s="7"/>
      <c r="J4" s="6"/>
      <c r="K4" s="7"/>
      <c r="L4" s="7"/>
      <c r="M4" s="7"/>
      <c r="N4" s="7"/>
      <c r="O4" s="7"/>
      <c r="P4" s="7"/>
      <c r="Q4" s="8"/>
    </row>
    <row r="5" spans="1:63" s="4" customFormat="1" ht="15.75" customHeight="1">
      <c r="A5" s="900" t="s">
        <v>187</v>
      </c>
      <c r="B5" s="901"/>
      <c r="C5" s="901"/>
      <c r="D5" s="901"/>
      <c r="E5" s="901"/>
      <c r="F5" s="901"/>
      <c r="G5" s="901"/>
      <c r="H5" s="901"/>
      <c r="I5" s="901"/>
      <c r="J5" s="901"/>
      <c r="K5" s="901"/>
      <c r="L5" s="901"/>
      <c r="M5" s="901"/>
      <c r="N5" s="901"/>
      <c r="O5" s="901"/>
      <c r="P5" s="901"/>
      <c r="Q5" s="901"/>
      <c r="R5" s="901"/>
      <c r="S5" s="901"/>
      <c r="T5" s="901"/>
      <c r="U5" s="901"/>
      <c r="V5" s="901"/>
      <c r="W5" s="901"/>
      <c r="X5" s="901"/>
      <c r="Y5" s="901"/>
      <c r="Z5" s="901"/>
      <c r="AA5" s="901"/>
      <c r="AB5" s="901"/>
      <c r="AC5" s="901"/>
      <c r="AD5" s="901"/>
      <c r="AE5" s="901"/>
      <c r="AF5" s="901"/>
      <c r="AG5" s="901"/>
      <c r="AH5" s="901"/>
      <c r="AI5" s="901"/>
      <c r="AJ5" s="901"/>
      <c r="AK5" s="901"/>
      <c r="AL5" s="901"/>
      <c r="AM5" s="901"/>
      <c r="AN5" s="901"/>
      <c r="AO5" s="901"/>
      <c r="AP5" s="901"/>
      <c r="AQ5" s="901"/>
      <c r="AR5" s="901"/>
      <c r="AS5" s="901"/>
      <c r="AT5" s="901"/>
      <c r="AU5" s="901"/>
      <c r="AV5" s="901"/>
      <c r="AW5" s="901"/>
      <c r="AX5" s="901"/>
      <c r="AY5" s="901"/>
      <c r="AZ5" s="901"/>
      <c r="BA5" s="901"/>
      <c r="BB5" s="901"/>
      <c r="BC5" s="901"/>
      <c r="BD5" s="901"/>
      <c r="BE5" s="901"/>
      <c r="BF5" s="901"/>
      <c r="BG5" s="901"/>
      <c r="BH5" s="901"/>
      <c r="BI5" s="901"/>
      <c r="BJ5" s="901"/>
      <c r="BK5" s="902"/>
    </row>
    <row r="7" spans="1:63" ht="12" customHeight="1">
      <c r="B7" s="24" t="s">
        <v>188</v>
      </c>
    </row>
    <row r="8" spans="1:63" ht="12" customHeight="1">
      <c r="Q8" s="24" t="s">
        <v>189</v>
      </c>
      <c r="S8" s="24" t="s">
        <v>190</v>
      </c>
      <c r="AD8" s="24" t="s">
        <v>208</v>
      </c>
      <c r="AJ8" s="182"/>
      <c r="AK8" s="183"/>
      <c r="AL8" s="183"/>
      <c r="AM8" s="183"/>
      <c r="AN8" s="183"/>
      <c r="AO8" s="184"/>
      <c r="AR8" s="24" t="s">
        <v>189</v>
      </c>
      <c r="AT8" s="24" t="s">
        <v>351</v>
      </c>
    </row>
    <row r="9" spans="1:63" ht="12" customHeight="1">
      <c r="C9" s="24" t="s">
        <v>352</v>
      </c>
      <c r="I9" s="182"/>
      <c r="J9" s="183"/>
      <c r="K9" s="183"/>
      <c r="L9" s="183"/>
      <c r="M9" s="183"/>
      <c r="N9" s="184"/>
      <c r="O9" s="191"/>
      <c r="Q9" s="24" t="s">
        <v>189</v>
      </c>
      <c r="S9" s="24" t="s">
        <v>192</v>
      </c>
    </row>
    <row r="10" spans="1:63" ht="12" customHeight="1">
      <c r="C10" s="24" t="s">
        <v>194</v>
      </c>
      <c r="I10" s="182"/>
      <c r="J10" s="183"/>
      <c r="K10" s="183"/>
      <c r="L10" s="183"/>
      <c r="M10" s="183"/>
      <c r="N10" s="184"/>
      <c r="Q10" s="24" t="s">
        <v>189</v>
      </c>
      <c r="S10" s="24" t="s">
        <v>195</v>
      </c>
    </row>
    <row r="11" spans="1:63" ht="12" customHeight="1">
      <c r="C11" s="24" t="s">
        <v>196</v>
      </c>
      <c r="I11" s="188"/>
      <c r="J11" s="189"/>
      <c r="K11" s="189"/>
      <c r="L11" s="189"/>
      <c r="M11" s="189"/>
      <c r="N11" s="190"/>
      <c r="Q11" s="24" t="s">
        <v>189</v>
      </c>
      <c r="S11" s="24" t="s">
        <v>197</v>
      </c>
    </row>
    <row r="12" spans="1:63" ht="12" customHeight="1">
      <c r="C12" s="24" t="s">
        <v>199</v>
      </c>
      <c r="I12" s="24" t="s">
        <v>200</v>
      </c>
      <c r="M12" s="24" t="s">
        <v>201</v>
      </c>
      <c r="Q12" s="24" t="s">
        <v>189</v>
      </c>
      <c r="S12" s="24" t="s">
        <v>202</v>
      </c>
    </row>
    <row r="13" spans="1:63" ht="12" customHeight="1">
      <c r="C13" s="24" t="s">
        <v>203</v>
      </c>
      <c r="I13" s="182"/>
      <c r="J13" s="183"/>
      <c r="K13" s="183"/>
      <c r="L13" s="183"/>
      <c r="M13" s="183"/>
      <c r="N13" s="191"/>
      <c r="Q13" s="24" t="s">
        <v>189</v>
      </c>
      <c r="S13" s="24" t="s">
        <v>202</v>
      </c>
    </row>
    <row r="14" spans="1:63" ht="12" customHeight="1">
      <c r="C14" s="24" t="s">
        <v>204</v>
      </c>
      <c r="I14" s="24" t="s">
        <v>205</v>
      </c>
      <c r="M14" s="24" t="s">
        <v>206</v>
      </c>
      <c r="Q14" s="24" t="s">
        <v>189</v>
      </c>
      <c r="S14" s="24" t="s">
        <v>207</v>
      </c>
    </row>
    <row r="17" spans="3:63" ht="12" customHeight="1">
      <c r="C17" s="416"/>
      <c r="D17" s="417"/>
      <c r="E17" s="417"/>
      <c r="F17" s="417"/>
      <c r="G17" s="417"/>
      <c r="H17" s="417"/>
      <c r="I17" s="417"/>
      <c r="J17" s="417"/>
      <c r="K17" s="417"/>
      <c r="L17" s="417"/>
      <c r="M17" s="417"/>
      <c r="N17" s="417"/>
      <c r="O17" s="417"/>
      <c r="P17" s="417"/>
      <c r="Q17" s="418"/>
      <c r="R17" s="417"/>
      <c r="S17" s="417"/>
      <c r="T17" s="417"/>
      <c r="U17" s="417"/>
      <c r="V17" s="417"/>
      <c r="W17" s="417"/>
      <c r="X17" s="417"/>
      <c r="Y17" s="417"/>
      <c r="Z17" s="417"/>
      <c r="AA17" s="417"/>
      <c r="AB17" s="417"/>
      <c r="AC17" s="417"/>
      <c r="AD17" s="417"/>
      <c r="AE17" s="417"/>
      <c r="AF17" s="417"/>
      <c r="AG17" s="417"/>
      <c r="AH17" s="417"/>
      <c r="AI17" s="417"/>
      <c r="AJ17" s="417"/>
      <c r="AK17" s="417"/>
      <c r="AL17" s="417"/>
      <c r="AM17" s="417"/>
      <c r="AN17" s="417"/>
      <c r="AO17" s="417"/>
      <c r="AP17" s="417"/>
      <c r="AQ17" s="417"/>
      <c r="AR17" s="417"/>
      <c r="AS17" s="417"/>
      <c r="AT17" s="417"/>
      <c r="AU17" s="417"/>
      <c r="AV17" s="417"/>
      <c r="AW17" s="417"/>
      <c r="AX17" s="417"/>
      <c r="AY17" s="417"/>
      <c r="AZ17" s="417"/>
      <c r="BA17" s="417"/>
      <c r="BB17" s="417"/>
      <c r="BC17" s="417"/>
      <c r="BD17" s="417"/>
      <c r="BE17" s="417"/>
      <c r="BF17" s="417"/>
      <c r="BG17" s="417"/>
      <c r="BH17" s="417"/>
      <c r="BI17" s="417"/>
      <c r="BJ17" s="417"/>
      <c r="BK17" s="417"/>
    </row>
    <row r="18" spans="3:63" ht="12" customHeight="1">
      <c r="C18" s="185"/>
      <c r="D18" s="186"/>
      <c r="E18" s="186"/>
      <c r="F18" s="186"/>
      <c r="G18" s="186"/>
      <c r="H18" s="186"/>
      <c r="I18" s="186"/>
      <c r="J18" s="186"/>
      <c r="K18" s="186"/>
      <c r="L18" s="186"/>
      <c r="M18" s="186"/>
      <c r="N18" s="186"/>
      <c r="O18" s="186"/>
      <c r="P18" s="186"/>
      <c r="Q18" s="187"/>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row>
    <row r="19" spans="3:63" ht="12" customHeight="1">
      <c r="C19" s="416"/>
      <c r="D19" s="417"/>
      <c r="E19" s="417"/>
      <c r="F19" s="417"/>
      <c r="G19" s="417"/>
      <c r="H19" s="417"/>
      <c r="I19" s="417"/>
      <c r="J19" s="417"/>
      <c r="K19" s="417"/>
      <c r="L19" s="417"/>
      <c r="M19" s="417"/>
      <c r="N19" s="417"/>
      <c r="O19" s="417"/>
      <c r="P19" s="417"/>
      <c r="Q19" s="418"/>
      <c r="R19" s="417"/>
      <c r="S19" s="417"/>
      <c r="T19" s="417"/>
      <c r="U19" s="417"/>
      <c r="V19" s="417"/>
      <c r="W19" s="417"/>
      <c r="X19" s="417"/>
      <c r="Y19" s="417"/>
      <c r="Z19" s="417"/>
      <c r="AA19" s="417"/>
      <c r="AB19" s="417"/>
      <c r="AC19" s="417"/>
      <c r="AD19" s="417"/>
      <c r="AE19" s="417"/>
      <c r="AF19" s="417"/>
      <c r="AG19" s="417"/>
      <c r="AH19" s="417"/>
      <c r="AI19" s="417"/>
      <c r="AJ19" s="417"/>
      <c r="AK19" s="417"/>
      <c r="AL19" s="417"/>
      <c r="AM19" s="417"/>
      <c r="AN19" s="417"/>
      <c r="AO19" s="417"/>
      <c r="AP19" s="417"/>
      <c r="AQ19" s="417"/>
      <c r="AR19" s="417"/>
      <c r="AS19" s="417"/>
      <c r="AT19" s="417"/>
      <c r="AU19" s="417"/>
      <c r="AV19" s="417"/>
      <c r="AW19" s="417"/>
      <c r="AX19" s="417"/>
      <c r="AY19" s="417"/>
      <c r="AZ19" s="417"/>
      <c r="BA19" s="417"/>
      <c r="BB19" s="417"/>
      <c r="BC19" s="417"/>
      <c r="BD19" s="417"/>
      <c r="BE19" s="417"/>
      <c r="BF19" s="417"/>
      <c r="BG19" s="417"/>
      <c r="BH19" s="417"/>
      <c r="BI19" s="417"/>
      <c r="BJ19" s="417"/>
      <c r="BK19" s="417"/>
    </row>
    <row r="20" spans="3:63" ht="12" customHeight="1">
      <c r="C20" s="181"/>
      <c r="D20" s="24" t="s">
        <v>218</v>
      </c>
      <c r="J20" s="182"/>
      <c r="K20" s="183"/>
      <c r="L20" s="183"/>
      <c r="M20" s="183"/>
      <c r="N20" s="183"/>
      <c r="O20" s="184"/>
      <c r="P20" s="189"/>
      <c r="Q20" s="189"/>
      <c r="R20" s="189"/>
      <c r="S20" s="189"/>
      <c r="T20" s="189"/>
      <c r="U20" s="190"/>
      <c r="BC20" s="196" t="s">
        <v>219</v>
      </c>
      <c r="BD20" s="24" t="s">
        <v>220</v>
      </c>
    </row>
    <row r="21" spans="3:63" ht="12" customHeight="1">
      <c r="C21" s="181"/>
      <c r="D21" s="24" t="s">
        <v>198</v>
      </c>
      <c r="J21" s="182"/>
      <c r="K21" s="183"/>
      <c r="L21" s="183"/>
      <c r="M21" s="183"/>
      <c r="N21" s="183"/>
      <c r="O21" s="184"/>
      <c r="P21" s="188"/>
      <c r="Q21" s="189"/>
      <c r="R21" s="189"/>
      <c r="S21" s="189"/>
      <c r="T21" s="189"/>
      <c r="U21" s="190"/>
    </row>
    <row r="22" spans="3:63" ht="12" customHeight="1">
      <c r="C22" s="181"/>
    </row>
    <row r="23" spans="3:63" ht="12" customHeight="1">
      <c r="C23" s="181"/>
      <c r="D23" s="24" t="s">
        <v>208</v>
      </c>
      <c r="J23" s="182"/>
      <c r="K23" s="183"/>
      <c r="L23" s="183"/>
      <c r="M23" s="183"/>
      <c r="N23" s="183"/>
      <c r="O23" s="184"/>
      <c r="P23" s="860" t="s">
        <v>228</v>
      </c>
      <c r="Q23" s="861"/>
      <c r="R23" s="182"/>
      <c r="S23" s="183"/>
      <c r="T23" s="183"/>
      <c r="U23" s="183"/>
      <c r="V23" s="183"/>
      <c r="W23" s="184"/>
    </row>
    <row r="24" spans="3:63" ht="12" customHeight="1">
      <c r="C24" s="181"/>
      <c r="Q24" s="24"/>
    </row>
    <row r="25" spans="3:63" ht="12" customHeight="1">
      <c r="C25" s="181"/>
      <c r="D25" s="24" t="s">
        <v>352</v>
      </c>
      <c r="J25" s="182"/>
      <c r="K25" s="183"/>
      <c r="L25" s="183"/>
      <c r="M25" s="183"/>
      <c r="N25" s="183"/>
      <c r="O25" s="184"/>
    </row>
    <row r="26" spans="3:63" ht="12" customHeight="1">
      <c r="C26" s="181"/>
      <c r="D26" s="24" t="s">
        <v>353</v>
      </c>
      <c r="J26" s="199" t="s">
        <v>354</v>
      </c>
      <c r="K26" s="183"/>
      <c r="L26" s="183"/>
      <c r="M26" s="183"/>
      <c r="N26" s="183"/>
      <c r="O26" s="184"/>
      <c r="P26" s="191"/>
      <c r="Q26" s="189"/>
      <c r="R26" s="189"/>
      <c r="S26" s="189"/>
      <c r="T26" s="189"/>
      <c r="U26" s="189"/>
      <c r="V26" s="189"/>
      <c r="W26" s="189"/>
      <c r="X26" s="189"/>
      <c r="Y26" s="189"/>
      <c r="Z26" s="189"/>
      <c r="AA26" s="190"/>
    </row>
    <row r="27" spans="3:63" ht="12" customHeight="1">
      <c r="C27" s="181"/>
      <c r="D27" s="24" t="s">
        <v>196</v>
      </c>
      <c r="J27" s="199" t="s">
        <v>355</v>
      </c>
      <c r="K27" s="183"/>
      <c r="L27" s="183"/>
      <c r="M27" s="183"/>
      <c r="N27" s="183"/>
      <c r="O27" s="184"/>
      <c r="P27" s="191"/>
      <c r="Q27" s="188"/>
      <c r="R27" s="189"/>
      <c r="S27" s="189"/>
      <c r="T27" s="189"/>
      <c r="U27" s="189"/>
      <c r="V27" s="189"/>
      <c r="W27" s="189"/>
      <c r="X27" s="189"/>
      <c r="Y27" s="189"/>
      <c r="Z27" s="189"/>
      <c r="AA27" s="190"/>
    </row>
    <row r="28" spans="3:63" ht="12" customHeight="1">
      <c r="C28" s="181"/>
    </row>
    <row r="29" spans="3:63" ht="12" customHeight="1">
      <c r="C29" s="181"/>
      <c r="D29" s="195" t="s">
        <v>356</v>
      </c>
      <c r="J29" s="182"/>
      <c r="K29" s="183"/>
      <c r="L29" s="183"/>
      <c r="M29" s="183"/>
      <c r="N29" s="183"/>
      <c r="O29" s="184"/>
      <c r="P29" s="860" t="s">
        <v>228</v>
      </c>
      <c r="Q29" s="861"/>
      <c r="R29" s="182"/>
      <c r="S29" s="183"/>
      <c r="T29" s="183"/>
      <c r="U29" s="183"/>
      <c r="V29" s="183"/>
      <c r="W29" s="184"/>
    </row>
    <row r="30" spans="3:63" ht="12" customHeight="1">
      <c r="C30" s="181"/>
    </row>
    <row r="31" spans="3:63" ht="12" customHeight="1">
      <c r="C31" s="181"/>
      <c r="D31" s="24" t="s">
        <v>194</v>
      </c>
      <c r="J31" s="192"/>
      <c r="K31" s="193"/>
      <c r="L31" s="193"/>
      <c r="M31" s="193"/>
      <c r="N31" s="193"/>
      <c r="O31" s="193"/>
      <c r="P31" s="193"/>
      <c r="Q31" s="193"/>
      <c r="R31" s="193"/>
      <c r="S31" s="193"/>
      <c r="T31" s="193"/>
      <c r="U31" s="193"/>
      <c r="V31" s="193"/>
      <c r="W31" s="193"/>
      <c r="X31" s="193"/>
      <c r="Y31" s="193"/>
      <c r="Z31" s="193"/>
      <c r="AA31" s="194"/>
      <c r="AB31" s="24" t="s">
        <v>219</v>
      </c>
      <c r="AD31" s="24" t="s">
        <v>357</v>
      </c>
      <c r="AI31" s="182"/>
      <c r="AJ31" s="183"/>
      <c r="AK31" s="183"/>
      <c r="AL31" s="183"/>
      <c r="AM31" s="183"/>
      <c r="AN31" s="191"/>
    </row>
    <row r="32" spans="3:63" ht="12" customHeight="1">
      <c r="C32" s="181"/>
      <c r="D32" s="24" t="s">
        <v>203</v>
      </c>
      <c r="J32" s="182"/>
      <c r="K32" s="183"/>
      <c r="L32" s="183"/>
      <c r="M32" s="183"/>
      <c r="N32" s="183"/>
      <c r="O32" s="191"/>
      <c r="R32" s="24" t="s">
        <v>358</v>
      </c>
      <c r="V32" s="182"/>
      <c r="W32" s="183"/>
      <c r="X32" s="183"/>
      <c r="Y32" s="183"/>
      <c r="Z32" s="183"/>
      <c r="AA32" s="191"/>
    </row>
    <row r="33" spans="3:63" ht="12" customHeight="1">
      <c r="C33" s="181"/>
      <c r="D33" s="24" t="s">
        <v>254</v>
      </c>
      <c r="J33" s="182"/>
      <c r="K33" s="183"/>
      <c r="L33" s="183"/>
      <c r="M33" s="183"/>
      <c r="N33" s="183"/>
      <c r="O33" s="184"/>
      <c r="R33" s="24" t="s">
        <v>255</v>
      </c>
      <c r="V33" s="182"/>
      <c r="W33" s="183"/>
      <c r="X33" s="183"/>
      <c r="Y33" s="183"/>
      <c r="Z33" s="183"/>
      <c r="AA33" s="191"/>
    </row>
    <row r="34" spans="3:63" ht="12" customHeight="1">
      <c r="C34" s="181"/>
    </row>
    <row r="35" spans="3:63" ht="12" customHeight="1">
      <c r="C35" s="181"/>
      <c r="D35" s="24" t="s">
        <v>256</v>
      </c>
      <c r="J35" s="192"/>
      <c r="K35" s="193"/>
      <c r="L35" s="193"/>
      <c r="M35" s="193"/>
      <c r="N35" s="193"/>
      <c r="O35" s="193"/>
      <c r="P35" s="193"/>
      <c r="Q35" s="193"/>
      <c r="R35" s="193"/>
      <c r="S35" s="193"/>
      <c r="T35" s="193"/>
      <c r="U35" s="193"/>
      <c r="V35" s="193"/>
      <c r="W35" s="193"/>
      <c r="X35" s="193"/>
      <c r="Y35" s="193"/>
      <c r="Z35" s="193"/>
      <c r="AA35" s="194"/>
      <c r="AB35" s="196" t="s">
        <v>219</v>
      </c>
      <c r="AD35" s="24" t="s">
        <v>359</v>
      </c>
      <c r="AJ35" s="192"/>
      <c r="AK35" s="193"/>
      <c r="AL35" s="193"/>
      <c r="AM35" s="193"/>
      <c r="AN35" s="193"/>
      <c r="AO35" s="193"/>
      <c r="AP35" s="193"/>
      <c r="AQ35" s="193"/>
      <c r="AR35" s="193"/>
      <c r="AS35" s="193"/>
      <c r="AT35" s="193"/>
      <c r="AU35" s="193"/>
      <c r="AV35" s="193"/>
      <c r="AW35" s="193"/>
      <c r="AX35" s="193"/>
      <c r="AY35" s="193"/>
      <c r="AZ35" s="193"/>
      <c r="BA35" s="194"/>
      <c r="BB35" s="196" t="s">
        <v>219</v>
      </c>
    </row>
    <row r="36" spans="3:63" ht="12" customHeight="1">
      <c r="C36" s="181"/>
      <c r="D36" s="24" t="s">
        <v>360</v>
      </c>
      <c r="J36" s="192"/>
      <c r="K36" s="193"/>
      <c r="L36" s="193"/>
      <c r="M36" s="193"/>
      <c r="N36" s="193"/>
      <c r="O36" s="193"/>
      <c r="P36" s="193"/>
      <c r="Q36" s="193"/>
      <c r="R36" s="193"/>
      <c r="S36" s="193"/>
      <c r="T36" s="193"/>
      <c r="U36" s="193"/>
      <c r="V36" s="193"/>
      <c r="W36" s="193"/>
      <c r="X36" s="193"/>
      <c r="Y36" s="193"/>
      <c r="Z36" s="193"/>
      <c r="AA36" s="194"/>
      <c r="AB36" s="196" t="s">
        <v>219</v>
      </c>
      <c r="AD36" s="24" t="s">
        <v>260</v>
      </c>
      <c r="AJ36" s="192"/>
      <c r="AK36" s="193"/>
      <c r="AL36" s="193"/>
      <c r="AM36" s="193"/>
      <c r="AN36" s="193"/>
      <c r="AO36" s="193"/>
      <c r="AP36" s="193"/>
      <c r="AQ36" s="193"/>
      <c r="AR36" s="193"/>
      <c r="AS36" s="193"/>
      <c r="AT36" s="193"/>
      <c r="AU36" s="193"/>
      <c r="AV36" s="193"/>
      <c r="AW36" s="193"/>
      <c r="AX36" s="193"/>
      <c r="AY36" s="193"/>
      <c r="AZ36" s="193"/>
      <c r="BA36" s="194"/>
      <c r="BB36" s="196" t="s">
        <v>219</v>
      </c>
    </row>
    <row r="37" spans="3:63" ht="12" customHeight="1">
      <c r="C37" s="181"/>
      <c r="D37" s="24" t="s">
        <v>361</v>
      </c>
      <c r="J37" s="192"/>
      <c r="K37" s="193"/>
      <c r="L37" s="193"/>
      <c r="M37" s="193"/>
      <c r="N37" s="193"/>
      <c r="O37" s="193"/>
      <c r="P37" s="193"/>
      <c r="Q37" s="193"/>
      <c r="R37" s="193"/>
      <c r="S37" s="193"/>
      <c r="T37" s="193"/>
      <c r="U37" s="193"/>
      <c r="V37" s="193"/>
      <c r="W37" s="193"/>
      <c r="X37" s="193"/>
      <c r="Y37" s="193"/>
      <c r="Z37" s="193"/>
      <c r="AA37" s="194"/>
      <c r="AB37" s="196" t="s">
        <v>219</v>
      </c>
      <c r="AD37" s="24" t="s">
        <v>259</v>
      </c>
      <c r="AJ37" s="192"/>
      <c r="AK37" s="193"/>
      <c r="AL37" s="193"/>
      <c r="AM37" s="193"/>
      <c r="AN37" s="193"/>
      <c r="AO37" s="193"/>
      <c r="AP37" s="193"/>
      <c r="AQ37" s="193"/>
      <c r="AR37" s="193"/>
      <c r="AS37" s="193"/>
      <c r="AT37" s="193"/>
      <c r="AU37" s="193"/>
      <c r="AV37" s="193"/>
      <c r="AW37" s="193"/>
      <c r="AX37" s="193"/>
      <c r="AY37" s="193"/>
      <c r="AZ37" s="193"/>
      <c r="BA37" s="194"/>
      <c r="BB37" s="196" t="s">
        <v>219</v>
      </c>
    </row>
    <row r="38" spans="3:63" ht="12" customHeight="1">
      <c r="C38" s="181"/>
    </row>
    <row r="39" spans="3:63" ht="12" customHeight="1">
      <c r="C39" s="181"/>
      <c r="D39" s="24" t="s">
        <v>268</v>
      </c>
      <c r="J39" s="24" t="s">
        <v>362</v>
      </c>
      <c r="O39" s="24" t="s">
        <v>363</v>
      </c>
      <c r="T39" s="24" t="s">
        <v>364</v>
      </c>
      <c r="AD39" s="24" t="s">
        <v>365</v>
      </c>
      <c r="AJ39" s="182" t="s">
        <v>208</v>
      </c>
      <c r="AK39" s="183"/>
      <c r="AL39" s="183"/>
      <c r="AM39" s="183"/>
      <c r="AN39" s="183"/>
      <c r="AO39" s="191"/>
      <c r="AQ39" s="24" t="s">
        <v>366</v>
      </c>
      <c r="AU39" s="24" t="s">
        <v>367</v>
      </c>
    </row>
    <row r="40" spans="3:63" ht="12" customHeight="1">
      <c r="C40" s="181"/>
    </row>
    <row r="41" spans="3:63" ht="12" customHeight="1">
      <c r="C41" s="416"/>
      <c r="D41" s="417"/>
      <c r="E41" s="417"/>
      <c r="F41" s="417"/>
      <c r="G41" s="417"/>
      <c r="H41" s="417"/>
      <c r="I41" s="417"/>
      <c r="J41" s="417"/>
      <c r="K41" s="417"/>
      <c r="L41" s="417"/>
      <c r="M41" s="417"/>
      <c r="N41" s="417"/>
      <c r="O41" s="417"/>
      <c r="P41" s="417"/>
      <c r="Q41" s="418"/>
      <c r="R41" s="417"/>
      <c r="S41" s="417"/>
      <c r="T41" s="417"/>
      <c r="U41" s="417"/>
      <c r="V41" s="417"/>
      <c r="W41" s="417"/>
      <c r="X41" s="417"/>
      <c r="Y41" s="417"/>
      <c r="Z41" s="417"/>
      <c r="AA41" s="417"/>
      <c r="AB41" s="417"/>
      <c r="AC41" s="417"/>
      <c r="AD41" s="417"/>
      <c r="AE41" s="417"/>
      <c r="AF41" s="417"/>
      <c r="AG41" s="417"/>
      <c r="AH41" s="417"/>
      <c r="AI41" s="417"/>
      <c r="AJ41" s="417"/>
      <c r="AK41" s="417"/>
      <c r="AL41" s="417"/>
      <c r="AM41" s="417"/>
      <c r="AN41" s="417"/>
      <c r="AO41" s="417"/>
      <c r="AP41" s="417"/>
      <c r="AQ41" s="417"/>
      <c r="AR41" s="417"/>
      <c r="AS41" s="417"/>
      <c r="AT41" s="417"/>
      <c r="AU41" s="417"/>
      <c r="AV41" s="417"/>
      <c r="AW41" s="417"/>
      <c r="AX41" s="417"/>
      <c r="AY41" s="417"/>
      <c r="AZ41" s="417"/>
      <c r="BA41" s="417"/>
      <c r="BB41" s="417"/>
      <c r="BC41" s="417"/>
      <c r="BD41" s="417"/>
      <c r="BE41" s="417"/>
      <c r="BF41" s="417"/>
      <c r="BG41" s="417"/>
      <c r="BH41" s="417"/>
      <c r="BI41" s="417"/>
      <c r="BJ41" s="417"/>
      <c r="BK41" s="417"/>
    </row>
    <row r="42" spans="3:63" ht="12" customHeight="1">
      <c r="C42" s="185"/>
      <c r="D42" s="186"/>
      <c r="E42" s="186"/>
      <c r="F42" s="186"/>
      <c r="G42" s="186"/>
      <c r="H42" s="186"/>
      <c r="I42" s="186"/>
      <c r="J42" s="186"/>
      <c r="K42" s="186"/>
      <c r="L42" s="186"/>
      <c r="M42" s="186"/>
      <c r="N42" s="186"/>
      <c r="O42" s="186"/>
      <c r="P42" s="186"/>
      <c r="Q42" s="187"/>
      <c r="R42" s="186"/>
      <c r="S42" s="186"/>
      <c r="T42" s="186"/>
      <c r="U42" s="186"/>
      <c r="V42" s="186"/>
      <c r="W42" s="186"/>
      <c r="X42" s="186"/>
      <c r="Y42" s="186"/>
      <c r="Z42" s="186"/>
      <c r="AA42" s="186"/>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row>
    <row r="43" spans="3:63" ht="12" customHeight="1">
      <c r="C43" s="181"/>
    </row>
    <row r="44" spans="3:63" ht="12" customHeight="1">
      <c r="C44" s="181"/>
      <c r="D44" s="419" t="s">
        <v>368</v>
      </c>
      <c r="E44" s="420"/>
      <c r="F44" s="421" t="s">
        <v>268</v>
      </c>
      <c r="G44" s="421"/>
      <c r="H44" s="421"/>
      <c r="I44" s="419" t="s">
        <v>353</v>
      </c>
      <c r="J44" s="421"/>
      <c r="K44" s="421"/>
      <c r="L44" s="421"/>
      <c r="M44" s="421"/>
      <c r="N44" s="419" t="s">
        <v>369</v>
      </c>
      <c r="O44" s="421"/>
      <c r="P44" s="421"/>
      <c r="Q44" s="421"/>
      <c r="R44" s="421"/>
      <c r="S44" s="419" t="s">
        <v>280</v>
      </c>
      <c r="T44" s="421"/>
      <c r="U44" s="421"/>
      <c r="V44" s="421"/>
      <c r="W44" s="419" t="s">
        <v>196</v>
      </c>
      <c r="X44" s="421"/>
      <c r="Y44" s="421"/>
      <c r="Z44" s="421"/>
      <c r="AA44" s="421"/>
      <c r="AB44" s="419" t="s">
        <v>370</v>
      </c>
      <c r="AC44" s="421"/>
      <c r="AD44" s="421"/>
      <c r="AE44" s="421"/>
      <c r="AF44" s="419" t="s">
        <v>194</v>
      </c>
      <c r="AG44" s="421"/>
      <c r="AH44" s="421"/>
      <c r="AI44" s="421"/>
      <c r="AJ44" s="421"/>
      <c r="AK44" s="419" t="s">
        <v>371</v>
      </c>
      <c r="AL44" s="421"/>
      <c r="AM44" s="421"/>
      <c r="AN44" s="421"/>
      <c r="AO44" s="419" t="s">
        <v>372</v>
      </c>
      <c r="AP44" s="421"/>
      <c r="AQ44" s="421"/>
      <c r="AR44" s="421"/>
      <c r="AS44" s="419" t="s">
        <v>285</v>
      </c>
      <c r="AT44" s="421"/>
      <c r="AU44" s="421"/>
      <c r="AV44" s="421"/>
      <c r="AW44" s="419" t="s">
        <v>286</v>
      </c>
      <c r="AX44" s="421"/>
      <c r="AY44" s="421"/>
      <c r="AZ44" s="421"/>
      <c r="BA44" s="948" t="s">
        <v>349</v>
      </c>
      <c r="BB44" s="949"/>
      <c r="BC44" s="419"/>
      <c r="BD44" s="420"/>
      <c r="BE44" s="419"/>
      <c r="BF44" s="420"/>
      <c r="BG44" s="419"/>
      <c r="BH44" s="420"/>
      <c r="BI44" s="419"/>
      <c r="BJ44" s="420"/>
    </row>
    <row r="45" spans="3:63" ht="12" customHeight="1">
      <c r="C45" s="181"/>
      <c r="D45" s="197" t="s">
        <v>290</v>
      </c>
      <c r="E45" s="198"/>
      <c r="F45" s="200"/>
      <c r="G45" s="200"/>
      <c r="H45" s="200"/>
      <c r="I45" s="199"/>
      <c r="J45" s="200"/>
      <c r="K45" s="200"/>
      <c r="L45" s="200"/>
      <c r="M45" s="198"/>
      <c r="N45" s="199"/>
      <c r="O45" s="200"/>
      <c r="P45" s="200"/>
      <c r="Q45" s="200"/>
      <c r="R45" s="198"/>
      <c r="S45" s="199"/>
      <c r="T45" s="200"/>
      <c r="U45" s="200"/>
      <c r="V45" s="198"/>
      <c r="W45" s="199"/>
      <c r="X45" s="200"/>
      <c r="Y45" s="200"/>
      <c r="Z45" s="200"/>
      <c r="AA45" s="198"/>
      <c r="AB45" s="199" t="s">
        <v>373</v>
      </c>
      <c r="AC45" s="200"/>
      <c r="AD45" s="200"/>
      <c r="AE45" s="198"/>
      <c r="AF45" s="199"/>
      <c r="AG45" s="200"/>
      <c r="AH45" s="200"/>
      <c r="AI45" s="200"/>
      <c r="AJ45" s="198"/>
      <c r="AK45" s="199"/>
      <c r="AL45" s="200"/>
      <c r="AM45" s="200"/>
      <c r="AN45" s="198"/>
      <c r="AO45" s="199"/>
      <c r="AP45" s="200"/>
      <c r="AQ45" s="200"/>
      <c r="AR45" s="198"/>
      <c r="AS45" s="199"/>
      <c r="AT45" s="200"/>
      <c r="AU45" s="200"/>
      <c r="AV45" s="198"/>
      <c r="AW45" s="199"/>
      <c r="AX45" s="200"/>
      <c r="AY45" s="200"/>
      <c r="AZ45" s="200"/>
      <c r="BA45" s="946" t="s">
        <v>301</v>
      </c>
      <c r="BB45" s="947"/>
      <c r="BC45" s="201"/>
      <c r="BD45" s="202"/>
      <c r="BE45" s="201"/>
      <c r="BF45" s="202"/>
      <c r="BG45" s="201"/>
      <c r="BH45" s="202"/>
      <c r="BI45" s="201"/>
      <c r="BJ45" s="202"/>
    </row>
    <row r="46" spans="3:63" ht="12" customHeight="1">
      <c r="C46" s="181"/>
      <c r="D46" s="197" t="s">
        <v>302</v>
      </c>
      <c r="E46" s="198"/>
      <c r="F46" s="200" t="s">
        <v>374</v>
      </c>
      <c r="G46" s="200"/>
      <c r="H46" s="200"/>
      <c r="I46" s="199"/>
      <c r="J46" s="200"/>
      <c r="K46" s="200"/>
      <c r="L46" s="200"/>
      <c r="M46" s="198"/>
      <c r="N46" s="199"/>
      <c r="O46" s="200"/>
      <c r="P46" s="200"/>
      <c r="Q46" s="200"/>
      <c r="R46" s="198"/>
      <c r="S46" s="199"/>
      <c r="T46" s="200"/>
      <c r="U46" s="200"/>
      <c r="V46" s="198"/>
      <c r="W46" s="199"/>
      <c r="X46" s="200"/>
      <c r="Y46" s="200"/>
      <c r="Z46" s="200"/>
      <c r="AA46" s="198"/>
      <c r="AB46" s="199"/>
      <c r="AC46" s="200"/>
      <c r="AD46" s="200"/>
      <c r="AE46" s="198"/>
      <c r="AF46" s="199"/>
      <c r="AG46" s="200"/>
      <c r="AH46" s="200"/>
      <c r="AI46" s="200"/>
      <c r="AJ46" s="198"/>
      <c r="AK46" s="199"/>
      <c r="AL46" s="200"/>
      <c r="AM46" s="200"/>
      <c r="AN46" s="198"/>
      <c r="AO46" s="199"/>
      <c r="AP46" s="200"/>
      <c r="AQ46" s="200"/>
      <c r="AR46" s="198"/>
      <c r="AS46" s="199"/>
      <c r="AT46" s="200"/>
      <c r="AU46" s="200"/>
      <c r="AV46" s="198"/>
      <c r="AW46" s="199"/>
      <c r="AX46" s="200"/>
      <c r="AY46" s="200"/>
      <c r="AZ46" s="200"/>
      <c r="BA46" s="946" t="s">
        <v>301</v>
      </c>
      <c r="BB46" s="947"/>
      <c r="BC46" s="201"/>
      <c r="BD46" s="202"/>
      <c r="BE46" s="201"/>
      <c r="BF46" s="202"/>
      <c r="BG46" s="201"/>
      <c r="BH46" s="202"/>
      <c r="BI46" s="201"/>
      <c r="BJ46" s="202"/>
    </row>
    <row r="47" spans="3:63" ht="12" customHeight="1">
      <c r="C47" s="181"/>
      <c r="D47" s="197" t="s">
        <v>305</v>
      </c>
      <c r="E47" s="198"/>
      <c r="F47" s="200"/>
      <c r="G47" s="200"/>
      <c r="H47" s="200"/>
      <c r="I47" s="199"/>
      <c r="J47" s="200"/>
      <c r="K47" s="200"/>
      <c r="L47" s="200"/>
      <c r="M47" s="198"/>
      <c r="N47" s="199"/>
      <c r="O47" s="200"/>
      <c r="P47" s="200"/>
      <c r="Q47" s="200"/>
      <c r="R47" s="198"/>
      <c r="S47" s="199"/>
      <c r="T47" s="200"/>
      <c r="U47" s="200"/>
      <c r="V47" s="198"/>
      <c r="W47" s="199"/>
      <c r="X47" s="200"/>
      <c r="Y47" s="200"/>
      <c r="Z47" s="200"/>
      <c r="AA47" s="198"/>
      <c r="AB47" s="199"/>
      <c r="AC47" s="200"/>
      <c r="AD47" s="200"/>
      <c r="AE47" s="198"/>
      <c r="AF47" s="199"/>
      <c r="AG47" s="200"/>
      <c r="AH47" s="200"/>
      <c r="AI47" s="200"/>
      <c r="AJ47" s="198"/>
      <c r="AK47" s="199"/>
      <c r="AL47" s="200"/>
      <c r="AM47" s="200"/>
      <c r="AN47" s="198"/>
      <c r="AO47" s="199"/>
      <c r="AP47" s="200"/>
      <c r="AQ47" s="200"/>
      <c r="AR47" s="198"/>
      <c r="AS47" s="199"/>
      <c r="AT47" s="200"/>
      <c r="AU47" s="200"/>
      <c r="AV47" s="198"/>
      <c r="AW47" s="199"/>
      <c r="AX47" s="200"/>
      <c r="AY47" s="200"/>
      <c r="AZ47" s="200"/>
      <c r="BA47" s="946" t="s">
        <v>301</v>
      </c>
      <c r="BB47" s="947"/>
      <c r="BC47" s="201"/>
      <c r="BD47" s="202"/>
      <c r="BE47" s="201"/>
      <c r="BF47" s="202"/>
      <c r="BG47" s="201"/>
      <c r="BH47" s="202"/>
      <c r="BI47" s="201"/>
      <c r="BJ47" s="202"/>
    </row>
    <row r="48" spans="3:63" ht="12" customHeight="1">
      <c r="C48" s="181"/>
      <c r="D48" s="197" t="s">
        <v>312</v>
      </c>
      <c r="E48" s="198"/>
      <c r="F48" s="200"/>
      <c r="G48" s="200"/>
      <c r="H48" s="200"/>
      <c r="I48" s="199"/>
      <c r="J48" s="200"/>
      <c r="K48" s="200"/>
      <c r="L48" s="200"/>
      <c r="M48" s="198"/>
      <c r="N48" s="199"/>
      <c r="O48" s="200"/>
      <c r="P48" s="200"/>
      <c r="Q48" s="200"/>
      <c r="R48" s="198"/>
      <c r="S48" s="199"/>
      <c r="T48" s="200"/>
      <c r="U48" s="200"/>
      <c r="V48" s="198"/>
      <c r="W48" s="199"/>
      <c r="X48" s="200"/>
      <c r="Y48" s="200"/>
      <c r="Z48" s="200"/>
      <c r="AA48" s="198"/>
      <c r="AB48" s="199"/>
      <c r="AC48" s="200"/>
      <c r="AD48" s="200"/>
      <c r="AE48" s="198"/>
      <c r="AF48" s="199"/>
      <c r="AG48" s="200"/>
      <c r="AH48" s="200"/>
      <c r="AI48" s="200"/>
      <c r="AJ48" s="198"/>
      <c r="AK48" s="199"/>
      <c r="AL48" s="200"/>
      <c r="AM48" s="200"/>
      <c r="AN48" s="198"/>
      <c r="AO48" s="199"/>
      <c r="AP48" s="200"/>
      <c r="AQ48" s="200"/>
      <c r="AR48" s="198"/>
      <c r="AS48" s="199"/>
      <c r="AT48" s="200"/>
      <c r="AU48" s="200"/>
      <c r="AV48" s="198"/>
      <c r="AW48" s="199"/>
      <c r="AX48" s="200"/>
      <c r="AY48" s="200"/>
      <c r="AZ48" s="200"/>
      <c r="BA48" s="946" t="s">
        <v>301</v>
      </c>
      <c r="BB48" s="947"/>
      <c r="BC48" s="201"/>
      <c r="BD48" s="202"/>
      <c r="BE48" s="201"/>
      <c r="BF48" s="202"/>
      <c r="BG48" s="201"/>
      <c r="BH48" s="202"/>
      <c r="BI48" s="201"/>
      <c r="BJ48" s="202"/>
    </row>
    <row r="49" spans="3:66" ht="12" customHeight="1">
      <c r="C49" s="181"/>
      <c r="D49" s="197" t="s">
        <v>317</v>
      </c>
      <c r="E49" s="198"/>
      <c r="F49" s="200" t="s">
        <v>375</v>
      </c>
      <c r="G49" s="200"/>
      <c r="H49" s="200"/>
      <c r="I49" s="199"/>
      <c r="J49" s="200"/>
      <c r="K49" s="200"/>
      <c r="L49" s="200"/>
      <c r="M49" s="198"/>
      <c r="N49" s="199"/>
      <c r="O49" s="200"/>
      <c r="P49" s="200"/>
      <c r="Q49" s="200"/>
      <c r="R49" s="198"/>
      <c r="S49" s="199"/>
      <c r="T49" s="200"/>
      <c r="U49" s="200"/>
      <c r="V49" s="198"/>
      <c r="W49" s="199"/>
      <c r="X49" s="200"/>
      <c r="Y49" s="200"/>
      <c r="Z49" s="200"/>
      <c r="AA49" s="198"/>
      <c r="AB49" s="199"/>
      <c r="AC49" s="200"/>
      <c r="AD49" s="200"/>
      <c r="AE49" s="198"/>
      <c r="AF49" s="199"/>
      <c r="AG49" s="200"/>
      <c r="AH49" s="200"/>
      <c r="AI49" s="200"/>
      <c r="AJ49" s="198"/>
      <c r="AK49" s="199"/>
      <c r="AL49" s="200"/>
      <c r="AM49" s="200"/>
      <c r="AN49" s="198"/>
      <c r="AO49" s="199"/>
      <c r="AP49" s="200"/>
      <c r="AQ49" s="200"/>
      <c r="AR49" s="198"/>
      <c r="AS49" s="199"/>
      <c r="AT49" s="200"/>
      <c r="AU49" s="200"/>
      <c r="AV49" s="198"/>
      <c r="AW49" s="199"/>
      <c r="AX49" s="200"/>
      <c r="AY49" s="200"/>
      <c r="AZ49" s="200"/>
      <c r="BA49" s="946" t="s">
        <v>301</v>
      </c>
      <c r="BB49" s="947"/>
      <c r="BC49" s="201"/>
      <c r="BD49" s="202"/>
      <c r="BE49" s="201"/>
      <c r="BF49" s="202"/>
      <c r="BG49" s="201"/>
      <c r="BH49" s="202"/>
      <c r="BI49" s="201"/>
      <c r="BJ49" s="202"/>
    </row>
    <row r="50" spans="3:66" ht="12" customHeight="1">
      <c r="C50" s="181"/>
      <c r="D50" s="197" t="s">
        <v>319</v>
      </c>
      <c r="E50" s="198"/>
      <c r="F50" s="200"/>
      <c r="G50" s="200"/>
      <c r="H50" s="200"/>
      <c r="I50" s="199"/>
      <c r="J50" s="200"/>
      <c r="K50" s="200"/>
      <c r="L50" s="200"/>
      <c r="M50" s="198"/>
      <c r="N50" s="199"/>
      <c r="O50" s="200"/>
      <c r="P50" s="200"/>
      <c r="Q50" s="200"/>
      <c r="R50" s="198"/>
      <c r="S50" s="199"/>
      <c r="T50" s="200"/>
      <c r="U50" s="200"/>
      <c r="V50" s="198"/>
      <c r="W50" s="199"/>
      <c r="X50" s="200"/>
      <c r="Y50" s="200"/>
      <c r="Z50" s="200"/>
      <c r="AA50" s="198"/>
      <c r="AB50" s="199"/>
      <c r="AC50" s="200"/>
      <c r="AD50" s="200"/>
      <c r="AE50" s="198"/>
      <c r="AF50" s="199"/>
      <c r="AG50" s="200"/>
      <c r="AH50" s="200"/>
      <c r="AI50" s="200"/>
      <c r="AJ50" s="198"/>
      <c r="AK50" s="199"/>
      <c r="AL50" s="200"/>
      <c r="AM50" s="200"/>
      <c r="AN50" s="198"/>
      <c r="AO50" s="199"/>
      <c r="AP50" s="200"/>
      <c r="AQ50" s="200"/>
      <c r="AR50" s="198"/>
      <c r="AS50" s="199"/>
      <c r="AT50" s="200"/>
      <c r="AU50" s="200"/>
      <c r="AV50" s="198"/>
      <c r="AW50" s="199"/>
      <c r="AX50" s="200"/>
      <c r="AY50" s="200"/>
      <c r="AZ50" s="200"/>
      <c r="BA50" s="946" t="s">
        <v>316</v>
      </c>
      <c r="BB50" s="947"/>
      <c r="BC50" s="201"/>
      <c r="BD50" s="202"/>
      <c r="BE50" s="201"/>
      <c r="BF50" s="202"/>
      <c r="BG50" s="201"/>
      <c r="BH50" s="202"/>
      <c r="BI50" s="201"/>
      <c r="BJ50" s="202"/>
    </row>
    <row r="51" spans="3:66" ht="12" customHeight="1">
      <c r="C51" s="181"/>
      <c r="D51" s="197" t="s">
        <v>325</v>
      </c>
      <c r="E51" s="198"/>
      <c r="F51" s="200" t="s">
        <v>375</v>
      </c>
      <c r="G51" s="200"/>
      <c r="H51" s="200"/>
      <c r="I51" s="199"/>
      <c r="J51" s="200"/>
      <c r="K51" s="200"/>
      <c r="L51" s="200"/>
      <c r="M51" s="198"/>
      <c r="N51" s="199"/>
      <c r="O51" s="200"/>
      <c r="P51" s="200"/>
      <c r="Q51" s="200"/>
      <c r="R51" s="198"/>
      <c r="S51" s="199"/>
      <c r="T51" s="200"/>
      <c r="U51" s="200"/>
      <c r="V51" s="198"/>
      <c r="W51" s="199"/>
      <c r="X51" s="200"/>
      <c r="Y51" s="200"/>
      <c r="Z51" s="200"/>
      <c r="AA51" s="198"/>
      <c r="AB51" s="199"/>
      <c r="AC51" s="200"/>
      <c r="AD51" s="200"/>
      <c r="AE51" s="198"/>
      <c r="AF51" s="199"/>
      <c r="AG51" s="200"/>
      <c r="AH51" s="200"/>
      <c r="AI51" s="200"/>
      <c r="AJ51" s="198"/>
      <c r="AK51" s="199"/>
      <c r="AL51" s="200"/>
      <c r="AM51" s="200"/>
      <c r="AN51" s="198"/>
      <c r="AO51" s="199"/>
      <c r="AP51" s="200"/>
      <c r="AQ51" s="200"/>
      <c r="AR51" s="198"/>
      <c r="AS51" s="199"/>
      <c r="AT51" s="200"/>
      <c r="AU51" s="200"/>
      <c r="AV51" s="198"/>
      <c r="AW51" s="199"/>
      <c r="AX51" s="200"/>
      <c r="AY51" s="200"/>
      <c r="AZ51" s="200"/>
      <c r="BA51" s="946" t="s">
        <v>316</v>
      </c>
      <c r="BB51" s="947"/>
      <c r="BC51" s="201"/>
      <c r="BD51" s="202"/>
      <c r="BE51" s="201"/>
      <c r="BF51" s="202"/>
      <c r="BG51" s="201"/>
      <c r="BH51" s="202"/>
      <c r="BI51" s="201"/>
      <c r="BJ51" s="202"/>
    </row>
    <row r="52" spans="3:66" ht="12" customHeight="1">
      <c r="C52" s="181"/>
      <c r="D52" s="197" t="s">
        <v>330</v>
      </c>
      <c r="E52" s="198"/>
      <c r="F52" s="200" t="s">
        <v>375</v>
      </c>
      <c r="G52" s="200"/>
      <c r="H52" s="200"/>
      <c r="I52" s="199"/>
      <c r="J52" s="200"/>
      <c r="K52" s="200"/>
      <c r="L52" s="200"/>
      <c r="M52" s="198"/>
      <c r="N52" s="199"/>
      <c r="O52" s="200"/>
      <c r="P52" s="200"/>
      <c r="Q52" s="200"/>
      <c r="R52" s="198"/>
      <c r="S52" s="199"/>
      <c r="T52" s="200"/>
      <c r="U52" s="200"/>
      <c r="V52" s="198"/>
      <c r="W52" s="199"/>
      <c r="X52" s="200"/>
      <c r="Y52" s="200"/>
      <c r="Z52" s="200"/>
      <c r="AA52" s="198"/>
      <c r="AB52" s="199"/>
      <c r="AC52" s="200"/>
      <c r="AD52" s="200"/>
      <c r="AE52" s="198"/>
      <c r="AF52" s="199"/>
      <c r="AG52" s="200"/>
      <c r="AH52" s="200"/>
      <c r="AI52" s="200"/>
      <c r="AJ52" s="198"/>
      <c r="AK52" s="199"/>
      <c r="AL52" s="200"/>
      <c r="AM52" s="200"/>
      <c r="AN52" s="198"/>
      <c r="AO52" s="199"/>
      <c r="AP52" s="200"/>
      <c r="AQ52" s="200"/>
      <c r="AR52" s="198"/>
      <c r="AS52" s="199"/>
      <c r="AT52" s="200"/>
      <c r="AU52" s="200"/>
      <c r="AV52" s="198"/>
      <c r="AW52" s="199"/>
      <c r="AX52" s="200"/>
      <c r="AY52" s="200"/>
      <c r="AZ52" s="200"/>
      <c r="BA52" s="946" t="s">
        <v>316</v>
      </c>
      <c r="BB52" s="947"/>
      <c r="BC52" s="201"/>
      <c r="BD52" s="202"/>
      <c r="BE52" s="201"/>
      <c r="BF52" s="202"/>
      <c r="BG52" s="201"/>
      <c r="BH52" s="202"/>
      <c r="BI52" s="201"/>
      <c r="BJ52" s="202"/>
    </row>
    <row r="53" spans="3:66" ht="12" customHeight="1">
      <c r="C53" s="181"/>
      <c r="D53" s="197" t="s">
        <v>333</v>
      </c>
      <c r="E53" s="198"/>
      <c r="F53" s="200"/>
      <c r="G53" s="200"/>
      <c r="H53" s="200"/>
      <c r="I53" s="199"/>
      <c r="J53" s="200"/>
      <c r="K53" s="200"/>
      <c r="L53" s="200"/>
      <c r="M53" s="198"/>
      <c r="N53" s="199"/>
      <c r="O53" s="200"/>
      <c r="P53" s="200"/>
      <c r="Q53" s="200"/>
      <c r="R53" s="198"/>
      <c r="S53" s="199"/>
      <c r="T53" s="200"/>
      <c r="U53" s="200"/>
      <c r="V53" s="198"/>
      <c r="W53" s="199"/>
      <c r="X53" s="200"/>
      <c r="Y53" s="200"/>
      <c r="Z53" s="200"/>
      <c r="AA53" s="198"/>
      <c r="AB53" s="199"/>
      <c r="AC53" s="200"/>
      <c r="AD53" s="200"/>
      <c r="AE53" s="198"/>
      <c r="AF53" s="199"/>
      <c r="AG53" s="200"/>
      <c r="AH53" s="200"/>
      <c r="AI53" s="200"/>
      <c r="AJ53" s="198"/>
      <c r="AK53" s="199"/>
      <c r="AL53" s="200"/>
      <c r="AM53" s="200"/>
      <c r="AN53" s="198"/>
      <c r="AO53" s="199"/>
      <c r="AP53" s="200"/>
      <c r="AQ53" s="200"/>
      <c r="AR53" s="198"/>
      <c r="AS53" s="199"/>
      <c r="AT53" s="200"/>
      <c r="AU53" s="200"/>
      <c r="AV53" s="198"/>
      <c r="AW53" s="199"/>
      <c r="AX53" s="200"/>
      <c r="AY53" s="200"/>
      <c r="AZ53" s="200"/>
      <c r="BA53" s="946" t="s">
        <v>316</v>
      </c>
      <c r="BB53" s="947"/>
      <c r="BC53" s="201"/>
      <c r="BD53" s="202"/>
      <c r="BE53" s="201"/>
      <c r="BF53" s="202"/>
      <c r="BG53" s="201"/>
      <c r="BH53" s="202"/>
      <c r="BI53" s="201"/>
      <c r="BJ53" s="202"/>
    </row>
    <row r="54" spans="3:66" ht="12" customHeight="1">
      <c r="C54" s="181"/>
      <c r="D54" s="197" t="s">
        <v>336</v>
      </c>
      <c r="E54" s="198"/>
      <c r="F54" s="200" t="s">
        <v>375</v>
      </c>
      <c r="G54" s="200"/>
      <c r="H54" s="200"/>
      <c r="I54" s="199"/>
      <c r="J54" s="200"/>
      <c r="K54" s="200"/>
      <c r="L54" s="200"/>
      <c r="M54" s="198"/>
      <c r="N54" s="199"/>
      <c r="O54" s="200"/>
      <c r="P54" s="200"/>
      <c r="Q54" s="200"/>
      <c r="R54" s="198"/>
      <c r="S54" s="199"/>
      <c r="T54" s="200"/>
      <c r="U54" s="200"/>
      <c r="V54" s="198"/>
      <c r="W54" s="199"/>
      <c r="X54" s="200"/>
      <c r="Y54" s="200"/>
      <c r="Z54" s="200"/>
      <c r="AA54" s="198"/>
      <c r="AB54" s="199"/>
      <c r="AC54" s="200"/>
      <c r="AD54" s="200"/>
      <c r="AE54" s="198"/>
      <c r="AF54" s="199"/>
      <c r="AG54" s="200"/>
      <c r="AH54" s="200"/>
      <c r="AI54" s="200"/>
      <c r="AJ54" s="198"/>
      <c r="AK54" s="199"/>
      <c r="AL54" s="200"/>
      <c r="AM54" s="200"/>
      <c r="AN54" s="198"/>
      <c r="AO54" s="199"/>
      <c r="AP54" s="200"/>
      <c r="AQ54" s="200"/>
      <c r="AR54" s="198"/>
      <c r="AS54" s="199"/>
      <c r="AT54" s="200"/>
      <c r="AU54" s="200"/>
      <c r="AV54" s="198"/>
      <c r="AW54" s="199"/>
      <c r="AX54" s="200"/>
      <c r="AY54" s="200"/>
      <c r="AZ54" s="200"/>
      <c r="BA54" s="946" t="s">
        <v>316</v>
      </c>
      <c r="BB54" s="947"/>
      <c r="BC54" s="201"/>
      <c r="BD54" s="202"/>
      <c r="BE54" s="201"/>
      <c r="BF54" s="202"/>
      <c r="BG54" s="201"/>
      <c r="BH54" s="202"/>
      <c r="BI54" s="201"/>
      <c r="BJ54" s="202"/>
    </row>
    <row r="55" spans="3:66" ht="12" customHeight="1">
      <c r="C55" s="181"/>
      <c r="Q55" s="24"/>
    </row>
    <row r="56" spans="3:66" ht="12" customHeight="1">
      <c r="C56" s="181"/>
      <c r="Q56" s="24"/>
    </row>
    <row r="57" spans="3:66" ht="12" customHeight="1">
      <c r="C57" s="181"/>
      <c r="Q57" s="24"/>
    </row>
    <row r="58" spans="3:66" ht="12" customHeight="1">
      <c r="C58" s="181"/>
      <c r="Q58" s="24"/>
    </row>
    <row r="59" spans="3:66" ht="12" customHeight="1">
      <c r="C59" s="185"/>
      <c r="D59" s="186"/>
      <c r="E59" s="186"/>
      <c r="F59" s="186"/>
      <c r="G59" s="186"/>
      <c r="H59" s="186"/>
      <c r="I59" s="186"/>
      <c r="J59" s="186"/>
      <c r="K59" s="186"/>
      <c r="L59" s="186"/>
      <c r="M59" s="186"/>
      <c r="N59" s="186"/>
      <c r="O59" s="186"/>
      <c r="P59" s="186"/>
      <c r="Q59" s="187"/>
      <c r="R59" s="186"/>
      <c r="S59" s="186"/>
      <c r="T59" s="186"/>
      <c r="U59" s="186"/>
      <c r="V59" s="186"/>
      <c r="W59" s="186"/>
      <c r="X59" s="186"/>
      <c r="Y59" s="186"/>
      <c r="Z59" s="186"/>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c r="BI59" s="186"/>
      <c r="BJ59" s="186"/>
      <c r="BK59" s="186"/>
      <c r="BL59" s="186"/>
      <c r="BM59" s="186"/>
      <c r="BN59" s="186"/>
    </row>
    <row r="62" spans="3:66" ht="12" customHeight="1">
      <c r="C62" s="201"/>
      <c r="D62" s="202"/>
      <c r="F62" s="24" t="s">
        <v>189</v>
      </c>
      <c r="H62" s="24" t="s">
        <v>376</v>
      </c>
    </row>
    <row r="65" spans="3:8" ht="12" customHeight="1">
      <c r="C65" s="201"/>
      <c r="D65" s="202"/>
      <c r="F65" s="24" t="s">
        <v>189</v>
      </c>
      <c r="H65" s="24" t="s">
        <v>377</v>
      </c>
    </row>
    <row r="68" spans="3:8" ht="12" customHeight="1">
      <c r="C68" s="201"/>
      <c r="D68" s="202"/>
      <c r="F68" s="24" t="s">
        <v>189</v>
      </c>
      <c r="H68" s="24" t="s">
        <v>378</v>
      </c>
    </row>
    <row r="71" spans="3:8" ht="12" customHeight="1">
      <c r="C71" s="201"/>
      <c r="D71" s="202"/>
      <c r="F71" s="24" t="s">
        <v>189</v>
      </c>
      <c r="H71" s="24" t="s">
        <v>379</v>
      </c>
    </row>
    <row r="75" spans="3:8" ht="12" customHeight="1">
      <c r="C75" s="948" t="s">
        <v>349</v>
      </c>
      <c r="D75" s="949"/>
      <c r="F75" s="24" t="s">
        <v>189</v>
      </c>
      <c r="H75" s="24" t="s">
        <v>380</v>
      </c>
    </row>
    <row r="76" spans="3:8" ht="12" customHeight="1">
      <c r="C76" s="946" t="s">
        <v>301</v>
      </c>
      <c r="D76" s="947"/>
    </row>
    <row r="77" spans="3:8" ht="12" customHeight="1">
      <c r="C77" s="946" t="s">
        <v>301</v>
      </c>
      <c r="D77" s="947"/>
    </row>
    <row r="78" spans="3:8" ht="12" customHeight="1">
      <c r="C78" s="946" t="s">
        <v>301</v>
      </c>
      <c r="D78" s="947"/>
    </row>
    <row r="79" spans="3:8" ht="12" customHeight="1">
      <c r="C79" s="946" t="s">
        <v>301</v>
      </c>
      <c r="D79" s="947"/>
    </row>
    <row r="80" spans="3:8" ht="12" customHeight="1">
      <c r="C80" s="946" t="s">
        <v>301</v>
      </c>
      <c r="D80" s="947"/>
    </row>
    <row r="82" spans="3:12" ht="12" customHeight="1">
      <c r="C82" s="417"/>
      <c r="D82" s="417"/>
      <c r="E82" s="417"/>
      <c r="F82" s="417"/>
      <c r="G82" s="417"/>
      <c r="H82" s="417"/>
      <c r="J82" s="24" t="s">
        <v>189</v>
      </c>
      <c r="L82" s="24" t="s">
        <v>343</v>
      </c>
    </row>
    <row r="83" spans="3:12" ht="12" customHeight="1">
      <c r="C83" s="186"/>
      <c r="D83" s="186"/>
      <c r="E83" s="186"/>
      <c r="F83" s="186"/>
      <c r="G83" s="186"/>
      <c r="H83" s="186"/>
    </row>
  </sheetData>
  <mergeCells count="41">
    <mergeCell ref="BA53:BB53"/>
    <mergeCell ref="P23:Q23"/>
    <mergeCell ref="P29:Q29"/>
    <mergeCell ref="BA44:BB44"/>
    <mergeCell ref="BA45:BB45"/>
    <mergeCell ref="BA46:BB46"/>
    <mergeCell ref="BA48:BB48"/>
    <mergeCell ref="BA49:BB49"/>
    <mergeCell ref="BA50:BB50"/>
    <mergeCell ref="BA51:BB51"/>
    <mergeCell ref="C80:D80"/>
    <mergeCell ref="BA54:BB54"/>
    <mergeCell ref="C75:D75"/>
    <mergeCell ref="C76:D76"/>
    <mergeCell ref="C77:D77"/>
    <mergeCell ref="C78:D78"/>
    <mergeCell ref="C79:D79"/>
    <mergeCell ref="A5:BK5"/>
    <mergeCell ref="BA52:BB52"/>
    <mergeCell ref="BA47:BB47"/>
    <mergeCell ref="BF1:BK1"/>
    <mergeCell ref="K2:T2"/>
    <mergeCell ref="U2:Y2"/>
    <mergeCell ref="Z2:AD2"/>
    <mergeCell ref="AE2:AI2"/>
    <mergeCell ref="AJ2:AR2"/>
    <mergeCell ref="AS2:AY3"/>
    <mergeCell ref="AZ2:BE3"/>
    <mergeCell ref="BF2:BK3"/>
    <mergeCell ref="K3:T3"/>
    <mergeCell ref="U3:Y3"/>
    <mergeCell ref="Z3:AD3"/>
    <mergeCell ref="AE3:AR3"/>
    <mergeCell ref="AJ1:AR1"/>
    <mergeCell ref="AS1:AY1"/>
    <mergeCell ref="AZ1:BE1"/>
    <mergeCell ref="A1:J3"/>
    <mergeCell ref="K1:T1"/>
    <mergeCell ref="U1:Y1"/>
    <mergeCell ref="Z1:AD1"/>
    <mergeCell ref="AE1:AI1"/>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CJ90"/>
  <sheetViews>
    <sheetView showGridLines="0" showZeros="0" tabSelected="1" view="pageBreakPreview" zoomScaleNormal="100" zoomScaleSheetLayoutView="100" workbookViewId="0">
      <pane ySplit="4" topLeftCell="A20" activePane="bottomLeft" state="frozen"/>
      <selection pane="bottomLeft" activeCell="AS31" sqref="AS31"/>
      <selection activeCell="D40" sqref="D40"/>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88"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88"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88" s="4" customFormat="1" ht="6.75" customHeight="1" thickBot="1">
      <c r="B4" s="5"/>
      <c r="C4" s="6"/>
      <c r="D4" s="6"/>
      <c r="E4" s="6"/>
      <c r="F4" s="7"/>
      <c r="G4" s="7"/>
      <c r="H4" s="7"/>
      <c r="I4" s="7"/>
      <c r="J4" s="6"/>
      <c r="K4" s="7"/>
      <c r="L4" s="7"/>
      <c r="M4" s="7"/>
      <c r="N4" s="7"/>
      <c r="O4" s="7"/>
      <c r="P4" s="7"/>
      <c r="Q4" s="8"/>
    </row>
    <row r="5" spans="1:88" s="1" customFormat="1" ht="15.75" customHeight="1" thickBot="1">
      <c r="A5" s="250" t="s">
        <v>381</v>
      </c>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2"/>
    </row>
    <row r="6" spans="1:88" s="7" customFormat="1" ht="14.25">
      <c r="A6" s="30"/>
      <c r="B6" s="31" t="s">
        <v>382</v>
      </c>
      <c r="C6" s="32"/>
      <c r="D6" s="32"/>
      <c r="E6" s="32"/>
      <c r="F6" s="32"/>
      <c r="G6" s="32"/>
      <c r="H6" s="32"/>
      <c r="I6" s="32"/>
      <c r="J6" s="32"/>
      <c r="K6" s="32"/>
      <c r="L6" s="33"/>
      <c r="M6" s="32"/>
      <c r="N6" s="34" t="s">
        <v>383</v>
      </c>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5" t="s">
        <v>384</v>
      </c>
      <c r="BF6" s="35" t="s">
        <v>385</v>
      </c>
      <c r="BG6" s="35" t="s">
        <v>386</v>
      </c>
      <c r="BH6" s="35" t="s">
        <v>387</v>
      </c>
      <c r="BI6" s="35" t="s">
        <v>388</v>
      </c>
      <c r="BJ6" s="35" t="s">
        <v>389</v>
      </c>
      <c r="BK6" s="36" t="s">
        <v>390</v>
      </c>
      <c r="BM6" s="950"/>
      <c r="BN6" s="950"/>
      <c r="BO6" s="950"/>
      <c r="BP6" s="950"/>
      <c r="BQ6" s="950"/>
      <c r="BR6" s="950"/>
      <c r="BS6" s="950"/>
      <c r="BT6" s="950"/>
      <c r="BU6" s="950"/>
      <c r="BV6" s="950"/>
      <c r="BW6" s="950"/>
      <c r="BX6" s="950"/>
      <c r="BY6" s="950"/>
      <c r="BZ6" s="950"/>
      <c r="CA6" s="950"/>
      <c r="CB6" s="950"/>
      <c r="CC6" s="950"/>
      <c r="CD6" s="950"/>
      <c r="CE6" s="950"/>
      <c r="CF6" s="950"/>
      <c r="CG6" s="950"/>
      <c r="CH6" s="950"/>
      <c r="CI6" s="950"/>
      <c r="CJ6" s="950"/>
    </row>
    <row r="7" spans="1:88" ht="15.75" customHeight="1">
      <c r="A7" s="45" t="s">
        <v>391</v>
      </c>
      <c r="B7" s="37" t="s">
        <v>392</v>
      </c>
      <c r="C7" s="465"/>
      <c r="D7" s="465"/>
      <c r="E7" s="465"/>
      <c r="F7" s="465"/>
      <c r="G7" s="465"/>
      <c r="H7" s="465"/>
      <c r="I7" s="465"/>
      <c r="J7" s="465"/>
      <c r="K7" s="465"/>
      <c r="L7" s="258"/>
      <c r="M7" s="465" t="s">
        <v>393</v>
      </c>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7" t="s">
        <v>394</v>
      </c>
      <c r="BF7" s="47" t="s">
        <v>395</v>
      </c>
      <c r="BG7" s="43"/>
      <c r="BH7" s="47"/>
      <c r="BI7" s="47"/>
      <c r="BJ7" s="43"/>
      <c r="BK7" s="44"/>
    </row>
    <row r="8" spans="1:88" ht="15.75" customHeight="1">
      <c r="A8" s="45" t="s">
        <v>391</v>
      </c>
      <c r="B8" s="41" t="s">
        <v>396</v>
      </c>
      <c r="C8" s="465"/>
      <c r="D8" s="465"/>
      <c r="E8" s="465"/>
      <c r="F8" s="465"/>
      <c r="G8" s="465"/>
      <c r="H8" s="465"/>
      <c r="I8" s="465"/>
      <c r="J8" s="465"/>
      <c r="K8" s="465"/>
      <c r="L8" s="258"/>
      <c r="M8" s="465" t="s">
        <v>393</v>
      </c>
      <c r="N8" s="466"/>
      <c r="O8" s="466"/>
      <c r="P8" s="466"/>
      <c r="Q8" s="466"/>
      <c r="R8" s="466"/>
      <c r="S8" s="466"/>
      <c r="T8" s="466"/>
      <c r="U8" s="466"/>
      <c r="V8" s="466"/>
      <c r="W8" s="466"/>
      <c r="X8" s="466"/>
      <c r="Y8" s="466"/>
      <c r="Z8" s="466"/>
      <c r="AA8" s="466"/>
      <c r="AB8" s="466"/>
      <c r="AC8" s="466"/>
      <c r="AD8" s="466"/>
      <c r="AE8" s="466"/>
      <c r="AF8" s="466"/>
      <c r="AG8" s="466"/>
      <c r="AH8" s="466"/>
      <c r="AI8" s="466"/>
      <c r="AJ8" s="466"/>
      <c r="AK8" s="466"/>
      <c r="AL8" s="466"/>
      <c r="AM8" s="466"/>
      <c r="AN8" s="466"/>
      <c r="AO8" s="466"/>
      <c r="AP8" s="466"/>
      <c r="AQ8" s="466"/>
      <c r="AR8" s="466"/>
      <c r="AS8" s="466"/>
      <c r="AT8" s="466"/>
      <c r="AU8" s="466"/>
      <c r="AV8" s="466"/>
      <c r="AW8" s="466"/>
      <c r="AX8" s="466"/>
      <c r="AY8" s="466"/>
      <c r="AZ8" s="466"/>
      <c r="BA8" s="466"/>
      <c r="BB8" s="466"/>
      <c r="BC8" s="466"/>
      <c r="BD8" s="466"/>
      <c r="BE8" s="47" t="s">
        <v>397</v>
      </c>
      <c r="BF8" s="47" t="s">
        <v>395</v>
      </c>
      <c r="BG8" s="43"/>
      <c r="BH8" s="47"/>
      <c r="BI8" s="47"/>
      <c r="BJ8" s="43"/>
      <c r="BK8" s="44" t="s">
        <v>398</v>
      </c>
    </row>
    <row r="9" spans="1:88" ht="15.75" customHeight="1">
      <c r="A9" s="45" t="s">
        <v>391</v>
      </c>
      <c r="B9" s="37" t="s">
        <v>222</v>
      </c>
      <c r="C9" s="465"/>
      <c r="D9" s="465"/>
      <c r="E9" s="465"/>
      <c r="F9" s="465"/>
      <c r="G9" s="465"/>
      <c r="H9" s="465"/>
      <c r="I9" s="465"/>
      <c r="J9" s="465"/>
      <c r="K9" s="465"/>
      <c r="L9" s="258"/>
      <c r="M9" s="465" t="s">
        <v>393</v>
      </c>
      <c r="N9" s="466"/>
      <c r="O9" s="466"/>
      <c r="P9" s="466"/>
      <c r="Q9" s="466"/>
      <c r="R9" s="466"/>
      <c r="S9" s="466"/>
      <c r="T9" s="466"/>
      <c r="U9" s="466"/>
      <c r="V9" s="466"/>
      <c r="W9" s="466"/>
      <c r="X9" s="466"/>
      <c r="Y9" s="466"/>
      <c r="Z9" s="466"/>
      <c r="AA9" s="466"/>
      <c r="AB9" s="466"/>
      <c r="AC9" s="466"/>
      <c r="AD9" s="466"/>
      <c r="AE9" s="466"/>
      <c r="AF9" s="466"/>
      <c r="AG9" s="466"/>
      <c r="AH9" s="466"/>
      <c r="AI9" s="466"/>
      <c r="AJ9" s="466"/>
      <c r="AK9" s="466"/>
      <c r="AL9" s="466"/>
      <c r="AM9" s="466"/>
      <c r="AN9" s="466"/>
      <c r="AO9" s="466"/>
      <c r="AP9" s="466"/>
      <c r="AQ9" s="466"/>
      <c r="AR9" s="466"/>
      <c r="AS9" s="466"/>
      <c r="AT9" s="466"/>
      <c r="AU9" s="466"/>
      <c r="AV9" s="466"/>
      <c r="AW9" s="466"/>
      <c r="AX9" s="466"/>
      <c r="AY9" s="466"/>
      <c r="AZ9" s="466"/>
      <c r="BA9" s="466"/>
      <c r="BB9" s="466"/>
      <c r="BC9" s="466"/>
      <c r="BD9" s="466"/>
      <c r="BE9" s="47" t="s">
        <v>394</v>
      </c>
      <c r="BF9" s="47" t="s">
        <v>395</v>
      </c>
      <c r="BG9" s="43"/>
      <c r="BH9" s="47"/>
      <c r="BI9" s="47"/>
      <c r="BJ9" s="43"/>
      <c r="BK9" s="44"/>
    </row>
    <row r="10" spans="1:88" ht="15.75" customHeight="1">
      <c r="A10" s="45" t="s">
        <v>391</v>
      </c>
      <c r="B10" s="46" t="s">
        <v>399</v>
      </c>
      <c r="C10" s="465"/>
      <c r="D10" s="465"/>
      <c r="E10" s="465"/>
      <c r="F10" s="465"/>
      <c r="G10" s="465"/>
      <c r="H10" s="465"/>
      <c r="I10" s="465"/>
      <c r="J10" s="465"/>
      <c r="K10" s="465"/>
      <c r="L10" s="258"/>
      <c r="M10" s="465" t="s">
        <v>393</v>
      </c>
      <c r="N10" s="466"/>
      <c r="O10" s="466"/>
      <c r="P10" s="466"/>
      <c r="Q10" s="466"/>
      <c r="R10" s="466"/>
      <c r="S10" s="466"/>
      <c r="T10" s="466"/>
      <c r="U10" s="466"/>
      <c r="V10" s="466"/>
      <c r="W10" s="466"/>
      <c r="X10" s="466"/>
      <c r="Y10" s="466"/>
      <c r="Z10" s="466"/>
      <c r="AA10" s="466"/>
      <c r="AB10" s="466"/>
      <c r="AC10" s="466"/>
      <c r="AD10" s="466"/>
      <c r="AE10" s="466"/>
      <c r="AF10" s="466"/>
      <c r="AG10" s="466"/>
      <c r="AH10" s="466"/>
      <c r="AI10" s="466"/>
      <c r="AJ10" s="466"/>
      <c r="AK10" s="466"/>
      <c r="AL10" s="466"/>
      <c r="AM10" s="466"/>
      <c r="AN10" s="466"/>
      <c r="AO10" s="466"/>
      <c r="AP10" s="466"/>
      <c r="AQ10" s="466"/>
      <c r="AR10" s="466"/>
      <c r="AS10" s="466"/>
      <c r="AT10" s="466"/>
      <c r="AU10" s="466"/>
      <c r="AV10" s="466"/>
      <c r="AW10" s="466"/>
      <c r="AX10" s="466"/>
      <c r="AY10" s="466"/>
      <c r="AZ10" s="466"/>
      <c r="BA10" s="466"/>
      <c r="BB10" s="466"/>
      <c r="BC10" s="466"/>
      <c r="BD10" s="466"/>
      <c r="BE10" s="47" t="s">
        <v>397</v>
      </c>
      <c r="BF10" s="47" t="s">
        <v>395</v>
      </c>
      <c r="BG10" s="43"/>
      <c r="BH10" s="47"/>
      <c r="BI10" s="47"/>
      <c r="BJ10" s="43"/>
      <c r="BK10" s="44" t="s">
        <v>398</v>
      </c>
    </row>
    <row r="11" spans="1:88" ht="15.75" customHeight="1">
      <c r="A11" s="45" t="s">
        <v>391</v>
      </c>
      <c r="B11" s="41" t="s">
        <v>400</v>
      </c>
      <c r="C11" s="465"/>
      <c r="D11" s="465"/>
      <c r="E11" s="465"/>
      <c r="F11" s="465"/>
      <c r="G11" s="465"/>
      <c r="H11" s="465"/>
      <c r="I11" s="465"/>
      <c r="J11" s="465"/>
      <c r="K11" s="465"/>
      <c r="L11" s="258"/>
      <c r="M11" s="465" t="s">
        <v>401</v>
      </c>
      <c r="N11" s="466"/>
      <c r="O11" s="466"/>
      <c r="P11" s="466"/>
      <c r="Q11" s="466"/>
      <c r="R11" s="466"/>
      <c r="S11" s="466"/>
      <c r="T11" s="466"/>
      <c r="U11" s="466"/>
      <c r="V11" s="466"/>
      <c r="W11" s="466"/>
      <c r="X11" s="466"/>
      <c r="Y11" s="466"/>
      <c r="Z11" s="466"/>
      <c r="AA11" s="466"/>
      <c r="AB11" s="466"/>
      <c r="AC11" s="466"/>
      <c r="AD11" s="466"/>
      <c r="AE11" s="466"/>
      <c r="AF11" s="466"/>
      <c r="AG11" s="466"/>
      <c r="AH11" s="466"/>
      <c r="AI11" s="466"/>
      <c r="AJ11" s="466"/>
      <c r="AK11" s="466"/>
      <c r="AL11" s="466"/>
      <c r="AM11" s="466"/>
      <c r="AN11" s="466"/>
      <c r="AO11" s="466"/>
      <c r="AP11" s="466"/>
      <c r="AQ11" s="466"/>
      <c r="AR11" s="466"/>
      <c r="AS11" s="466"/>
      <c r="AT11" s="466"/>
      <c r="AU11" s="466"/>
      <c r="AV11" s="466"/>
      <c r="AW11" s="466"/>
      <c r="AX11" s="466"/>
      <c r="AY11" s="466"/>
      <c r="AZ11" s="467" t="s">
        <v>402</v>
      </c>
      <c r="BA11" s="466"/>
      <c r="BB11" s="466"/>
      <c r="BC11" s="466"/>
      <c r="BD11" s="466"/>
      <c r="BE11" s="47" t="s">
        <v>403</v>
      </c>
      <c r="BF11" s="47" t="s">
        <v>395</v>
      </c>
      <c r="BG11" s="43"/>
      <c r="BH11" s="47"/>
      <c r="BI11" s="47"/>
      <c r="BJ11" s="43"/>
      <c r="BK11" s="44"/>
    </row>
    <row r="12" spans="1:88" ht="15.75" customHeight="1">
      <c r="A12" s="45" t="s">
        <v>391</v>
      </c>
      <c r="B12" s="41" t="s">
        <v>404</v>
      </c>
      <c r="C12" s="465"/>
      <c r="D12" s="465"/>
      <c r="E12" s="465"/>
      <c r="F12" s="465"/>
      <c r="G12" s="465"/>
      <c r="H12" s="465"/>
      <c r="I12" s="465"/>
      <c r="J12" s="465"/>
      <c r="K12" s="465"/>
      <c r="L12" s="258"/>
      <c r="M12" s="465" t="s">
        <v>405</v>
      </c>
      <c r="N12" s="466"/>
      <c r="O12" s="466"/>
      <c r="P12" s="466"/>
      <c r="Q12" s="466"/>
      <c r="R12" s="466"/>
      <c r="S12" s="466"/>
      <c r="T12" s="466"/>
      <c r="U12" s="466"/>
      <c r="V12" s="466"/>
      <c r="W12" s="466"/>
      <c r="X12" s="466"/>
      <c r="Y12" s="466"/>
      <c r="Z12" s="466"/>
      <c r="AA12" s="466"/>
      <c r="AB12" s="466"/>
      <c r="AC12" s="466"/>
      <c r="AD12" s="466"/>
      <c r="AE12" s="466"/>
      <c r="AF12" s="466"/>
      <c r="AG12" s="466"/>
      <c r="AH12" s="466"/>
      <c r="AI12" s="466"/>
      <c r="AJ12" s="466"/>
      <c r="AK12" s="466"/>
      <c r="AL12" s="466"/>
      <c r="AM12" s="466"/>
      <c r="AN12" s="466"/>
      <c r="AO12" s="466"/>
      <c r="AP12" s="466"/>
      <c r="AQ12" s="466"/>
      <c r="AR12" s="466"/>
      <c r="AS12" s="466"/>
      <c r="AT12" s="466"/>
      <c r="AU12" s="466"/>
      <c r="AV12" s="466"/>
      <c r="AW12" s="466"/>
      <c r="AX12" s="466"/>
      <c r="AY12" s="466"/>
      <c r="AZ12" s="467" t="s">
        <v>402</v>
      </c>
      <c r="BA12" s="466"/>
      <c r="BB12" s="466"/>
      <c r="BC12" s="466"/>
      <c r="BD12" s="466"/>
      <c r="BE12" s="47" t="s">
        <v>403</v>
      </c>
      <c r="BF12" s="47" t="s">
        <v>395</v>
      </c>
      <c r="BG12" s="43"/>
      <c r="BH12" s="47"/>
      <c r="BI12" s="47"/>
      <c r="BJ12" s="43"/>
      <c r="BK12" s="44"/>
    </row>
    <row r="13" spans="1:88" ht="15.75" customHeight="1">
      <c r="A13" s="45" t="s">
        <v>391</v>
      </c>
      <c r="B13" s="46" t="s">
        <v>406</v>
      </c>
      <c r="C13" s="465"/>
      <c r="D13" s="465"/>
      <c r="E13" s="465"/>
      <c r="F13" s="465"/>
      <c r="G13" s="465"/>
      <c r="H13" s="465"/>
      <c r="I13" s="465"/>
      <c r="J13" s="465"/>
      <c r="K13" s="465"/>
      <c r="L13" s="258"/>
      <c r="M13" s="465" t="s">
        <v>407</v>
      </c>
      <c r="N13" s="466"/>
      <c r="O13" s="466"/>
      <c r="P13" s="466"/>
      <c r="Q13" s="466"/>
      <c r="R13" s="466"/>
      <c r="S13" s="466"/>
      <c r="T13" s="466"/>
      <c r="U13" s="466"/>
      <c r="V13" s="466"/>
      <c r="W13" s="466"/>
      <c r="X13" s="466"/>
      <c r="Y13" s="466"/>
      <c r="Z13" s="466"/>
      <c r="AA13" s="466"/>
      <c r="AB13" s="466"/>
      <c r="AC13" s="466"/>
      <c r="AD13" s="466"/>
      <c r="AE13" s="466"/>
      <c r="AF13" s="466"/>
      <c r="AG13" s="466"/>
      <c r="AH13" s="466"/>
      <c r="AI13" s="466"/>
      <c r="AJ13" s="466"/>
      <c r="AK13" s="466"/>
      <c r="AL13" s="466"/>
      <c r="AM13" s="466"/>
      <c r="AN13" s="466"/>
      <c r="AO13" s="466"/>
      <c r="AP13" s="466"/>
      <c r="AQ13" s="466"/>
      <c r="AR13" s="466"/>
      <c r="AS13" s="466"/>
      <c r="AT13" s="466"/>
      <c r="AU13" s="466"/>
      <c r="AV13" s="466"/>
      <c r="AW13" s="466"/>
      <c r="AX13" s="466"/>
      <c r="AY13" s="466"/>
      <c r="AZ13" s="466"/>
      <c r="BA13" s="466"/>
      <c r="BB13" s="466"/>
      <c r="BC13" s="466"/>
      <c r="BD13" s="466"/>
      <c r="BE13" s="47" t="s">
        <v>408</v>
      </c>
      <c r="BF13" s="47" t="s">
        <v>409</v>
      </c>
      <c r="BG13" s="43"/>
      <c r="BH13" s="47"/>
      <c r="BI13" s="47"/>
      <c r="BJ13" s="43"/>
      <c r="BK13" s="44"/>
    </row>
    <row r="14" spans="1:88" ht="15.75" customHeight="1">
      <c r="A14" s="45" t="s">
        <v>391</v>
      </c>
      <c r="B14" s="46" t="s">
        <v>410</v>
      </c>
      <c r="C14" s="465"/>
      <c r="D14" s="465"/>
      <c r="E14" s="465"/>
      <c r="F14" s="465"/>
      <c r="G14" s="465"/>
      <c r="H14" s="465"/>
      <c r="I14" s="465"/>
      <c r="J14" s="465"/>
      <c r="K14" s="465"/>
      <c r="L14" s="258"/>
      <c r="M14" s="465" t="s">
        <v>411</v>
      </c>
      <c r="N14" s="466"/>
      <c r="O14" s="466"/>
      <c r="P14" s="466"/>
      <c r="Q14" s="466"/>
      <c r="R14" s="466"/>
      <c r="S14" s="466"/>
      <c r="T14" s="466"/>
      <c r="U14" s="466"/>
      <c r="V14" s="466"/>
      <c r="W14" s="466"/>
      <c r="X14" s="466"/>
      <c r="Y14" s="466"/>
      <c r="Z14" s="466"/>
      <c r="AA14" s="466"/>
      <c r="AB14" s="466"/>
      <c r="AC14" s="466"/>
      <c r="AD14" s="466"/>
      <c r="AE14" s="466"/>
      <c r="AF14" s="466"/>
      <c r="AG14" s="466"/>
      <c r="AH14" s="466"/>
      <c r="AI14" s="466"/>
      <c r="AJ14" s="466"/>
      <c r="AK14" s="466"/>
      <c r="AL14" s="466"/>
      <c r="AM14" s="466"/>
      <c r="AN14" s="466"/>
      <c r="AO14" s="466"/>
      <c r="AP14" s="466"/>
      <c r="AQ14" s="466"/>
      <c r="AR14" s="466"/>
      <c r="AS14" s="466"/>
      <c r="AT14" s="466"/>
      <c r="AU14" s="466"/>
      <c r="AV14" s="466"/>
      <c r="AW14" s="466"/>
      <c r="AX14" s="466"/>
      <c r="AY14" s="466"/>
      <c r="AZ14" s="466"/>
      <c r="BA14" s="466"/>
      <c r="BB14" s="466"/>
      <c r="BC14" s="466"/>
      <c r="BD14" s="466"/>
      <c r="BE14" s="47" t="s">
        <v>408</v>
      </c>
      <c r="BF14" s="47" t="s">
        <v>409</v>
      </c>
      <c r="BG14" s="43"/>
      <c r="BH14" s="47"/>
      <c r="BI14" s="47"/>
      <c r="BJ14" s="43"/>
      <c r="BK14" s="44"/>
    </row>
    <row r="15" spans="1:88" ht="15.75" customHeight="1">
      <c r="A15" s="45" t="s">
        <v>391</v>
      </c>
      <c r="B15" s="37" t="s">
        <v>412</v>
      </c>
      <c r="C15" s="465"/>
      <c r="D15" s="465"/>
      <c r="E15" s="465"/>
      <c r="F15" s="465"/>
      <c r="G15" s="465"/>
      <c r="H15" s="465"/>
      <c r="I15" s="465"/>
      <c r="J15" s="465"/>
      <c r="K15" s="465"/>
      <c r="L15" s="258"/>
      <c r="M15" s="465" t="s">
        <v>413</v>
      </c>
      <c r="N15" s="466"/>
      <c r="O15" s="466"/>
      <c r="P15" s="466"/>
      <c r="Q15" s="466"/>
      <c r="R15" s="466"/>
      <c r="S15" s="466"/>
      <c r="T15" s="466"/>
      <c r="U15" s="466"/>
      <c r="V15" s="466"/>
      <c r="W15" s="466"/>
      <c r="X15" s="466"/>
      <c r="Y15" s="466"/>
      <c r="Z15" s="466"/>
      <c r="AA15" s="466"/>
      <c r="AB15" s="466"/>
      <c r="AC15" s="466"/>
      <c r="AD15" s="466"/>
      <c r="AE15" s="466"/>
      <c r="AF15" s="466"/>
      <c r="AG15" s="466"/>
      <c r="AH15" s="466"/>
      <c r="AI15" s="466"/>
      <c r="AJ15" s="466"/>
      <c r="AK15" s="466"/>
      <c r="AL15" s="466"/>
      <c r="AM15" s="466"/>
      <c r="AN15" s="466"/>
      <c r="AO15" s="466"/>
      <c r="AP15" s="466"/>
      <c r="AQ15" s="466"/>
      <c r="AR15" s="466"/>
      <c r="AS15" s="466"/>
      <c r="AT15" s="466"/>
      <c r="AU15" s="466"/>
      <c r="AV15" s="466"/>
      <c r="AW15" s="466"/>
      <c r="AX15" s="466"/>
      <c r="AY15" s="466"/>
      <c r="AZ15" s="466"/>
      <c r="BA15" s="466"/>
      <c r="BB15" s="466"/>
      <c r="BC15" s="466"/>
      <c r="BD15" s="466"/>
      <c r="BE15" s="47" t="s">
        <v>403</v>
      </c>
      <c r="BF15" s="47" t="s">
        <v>395</v>
      </c>
      <c r="BG15" s="43"/>
      <c r="BH15" s="47"/>
      <c r="BI15" s="47"/>
      <c r="BJ15" s="43"/>
      <c r="BK15" s="44"/>
    </row>
    <row r="16" spans="1:88" ht="15.75" customHeight="1">
      <c r="A16" s="45" t="s">
        <v>391</v>
      </c>
      <c r="B16" s="37" t="s">
        <v>414</v>
      </c>
      <c r="C16" s="465"/>
      <c r="D16" s="465"/>
      <c r="E16" s="465"/>
      <c r="F16" s="465"/>
      <c r="G16" s="465"/>
      <c r="H16" s="465"/>
      <c r="I16" s="465"/>
      <c r="J16" s="465"/>
      <c r="K16" s="465"/>
      <c r="L16" s="258"/>
      <c r="M16" s="465" t="s">
        <v>415</v>
      </c>
      <c r="N16" s="466"/>
      <c r="O16" s="466"/>
      <c r="P16" s="466"/>
      <c r="Q16" s="466"/>
      <c r="R16" s="466"/>
      <c r="S16" s="466"/>
      <c r="T16" s="466"/>
      <c r="U16" s="466"/>
      <c r="V16" s="466"/>
      <c r="W16" s="466"/>
      <c r="X16" s="466"/>
      <c r="Y16" s="466"/>
      <c r="Z16" s="466"/>
      <c r="AA16" s="466"/>
      <c r="AB16" s="466"/>
      <c r="AC16" s="466"/>
      <c r="AD16" s="466"/>
      <c r="AE16" s="466"/>
      <c r="AF16" s="466"/>
      <c r="AG16" s="466"/>
      <c r="AH16" s="466"/>
      <c r="AI16" s="466"/>
      <c r="AJ16" s="466"/>
      <c r="AK16" s="466"/>
      <c r="AL16" s="466"/>
      <c r="AM16" s="466"/>
      <c r="AN16" s="466"/>
      <c r="AO16" s="466"/>
      <c r="AP16" s="466"/>
      <c r="AQ16" s="466"/>
      <c r="AR16" s="466"/>
      <c r="AS16" s="466"/>
      <c r="AT16" s="466"/>
      <c r="AU16" s="466"/>
      <c r="AV16" s="466"/>
      <c r="AW16" s="466"/>
      <c r="AX16" s="466"/>
      <c r="AY16" s="466"/>
      <c r="AZ16" s="466"/>
      <c r="BA16" s="466"/>
      <c r="BB16" s="466"/>
      <c r="BC16" s="466"/>
      <c r="BD16" s="466"/>
      <c r="BE16" s="47" t="s">
        <v>403</v>
      </c>
      <c r="BF16" s="47" t="s">
        <v>395</v>
      </c>
      <c r="BG16" s="43"/>
      <c r="BH16" s="47"/>
      <c r="BI16" s="47"/>
      <c r="BJ16" s="43"/>
      <c r="BK16" s="44"/>
    </row>
    <row r="17" spans="1:63" ht="15.75" customHeight="1">
      <c r="A17" s="45" t="s">
        <v>391</v>
      </c>
      <c r="B17" s="46" t="s">
        <v>416</v>
      </c>
      <c r="C17" s="465"/>
      <c r="D17" s="465"/>
      <c r="E17" s="465"/>
      <c r="F17" s="465"/>
      <c r="G17" s="465"/>
      <c r="H17" s="465"/>
      <c r="I17" s="465"/>
      <c r="J17" s="465"/>
      <c r="K17" s="465"/>
      <c r="L17" s="258"/>
      <c r="M17" s="465" t="s">
        <v>417</v>
      </c>
      <c r="N17" s="466"/>
      <c r="O17" s="466"/>
      <c r="P17" s="466"/>
      <c r="Q17" s="466"/>
      <c r="R17" s="466"/>
      <c r="S17" s="466"/>
      <c r="T17" s="466"/>
      <c r="U17" s="466"/>
      <c r="V17" s="466"/>
      <c r="W17" s="466"/>
      <c r="X17" s="466"/>
      <c r="Y17" s="466"/>
      <c r="Z17" s="466"/>
      <c r="AA17" s="466"/>
      <c r="AB17" s="466"/>
      <c r="AC17" s="466"/>
      <c r="AD17" s="466"/>
      <c r="AE17" s="466"/>
      <c r="AF17" s="466"/>
      <c r="AG17" s="466"/>
      <c r="AH17" s="466"/>
      <c r="AI17" s="466"/>
      <c r="AJ17" s="466"/>
      <c r="AK17" s="466"/>
      <c r="AL17" s="466"/>
      <c r="AM17" s="466"/>
      <c r="AN17" s="466"/>
      <c r="AO17" s="466"/>
      <c r="AP17" s="466"/>
      <c r="AQ17" s="466"/>
      <c r="AR17" s="466"/>
      <c r="AS17" s="466"/>
      <c r="AT17" s="466"/>
      <c r="AU17" s="466"/>
      <c r="AV17" s="466"/>
      <c r="AW17" s="466"/>
      <c r="AX17" s="466"/>
      <c r="AY17" s="466"/>
      <c r="AZ17" s="466"/>
      <c r="BA17" s="466"/>
      <c r="BB17" s="466"/>
      <c r="BC17" s="466"/>
      <c r="BD17" s="466"/>
      <c r="BE17" s="47" t="s">
        <v>394</v>
      </c>
      <c r="BF17" s="47" t="s">
        <v>395</v>
      </c>
      <c r="BG17" s="43"/>
      <c r="BH17" s="47"/>
      <c r="BI17" s="47"/>
      <c r="BJ17" s="43"/>
      <c r="BK17" s="44"/>
    </row>
    <row r="18" spans="1:63" ht="15.75" customHeight="1">
      <c r="A18" s="45" t="s">
        <v>391</v>
      </c>
      <c r="B18" s="46" t="s">
        <v>418</v>
      </c>
      <c r="C18" s="465"/>
      <c r="D18" s="465"/>
      <c r="E18" s="465"/>
      <c r="F18" s="465"/>
      <c r="G18" s="465"/>
      <c r="H18" s="465"/>
      <c r="I18" s="465"/>
      <c r="J18" s="465"/>
      <c r="K18" s="465"/>
      <c r="L18" s="258"/>
      <c r="M18" s="465" t="s">
        <v>417</v>
      </c>
      <c r="N18" s="466"/>
      <c r="O18" s="466"/>
      <c r="P18" s="466"/>
      <c r="Q18" s="466"/>
      <c r="R18" s="466"/>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466"/>
      <c r="AQ18" s="466"/>
      <c r="AR18" s="466"/>
      <c r="AS18" s="466"/>
      <c r="AT18" s="466"/>
      <c r="AU18" s="466"/>
      <c r="AV18" s="466"/>
      <c r="AW18" s="466"/>
      <c r="AX18" s="466"/>
      <c r="AY18" s="466"/>
      <c r="AZ18" s="466"/>
      <c r="BA18" s="466"/>
      <c r="BB18" s="466"/>
      <c r="BC18" s="466"/>
      <c r="BD18" s="466"/>
      <c r="BE18" s="47" t="s">
        <v>394</v>
      </c>
      <c r="BF18" s="47" t="s">
        <v>419</v>
      </c>
      <c r="BG18" s="43"/>
      <c r="BH18" s="47"/>
      <c r="BI18" s="43"/>
      <c r="BJ18" s="43"/>
      <c r="BK18" s="44"/>
    </row>
    <row r="19" spans="1:63" ht="15.75" customHeight="1">
      <c r="A19" s="45" t="s">
        <v>391</v>
      </c>
      <c r="B19" s="46" t="s">
        <v>420</v>
      </c>
      <c r="C19" s="465"/>
      <c r="D19" s="465"/>
      <c r="E19" s="465"/>
      <c r="F19" s="465"/>
      <c r="G19" s="465"/>
      <c r="H19" s="465"/>
      <c r="I19" s="465"/>
      <c r="J19" s="465"/>
      <c r="K19" s="465"/>
      <c r="L19" s="258"/>
      <c r="M19" s="465" t="s">
        <v>417</v>
      </c>
      <c r="N19" s="466"/>
      <c r="O19" s="466"/>
      <c r="P19" s="466"/>
      <c r="Q19" s="466"/>
      <c r="R19" s="466"/>
      <c r="S19" s="466"/>
      <c r="T19" s="466"/>
      <c r="U19" s="466"/>
      <c r="V19" s="466"/>
      <c r="W19" s="466"/>
      <c r="X19" s="466"/>
      <c r="Y19" s="466"/>
      <c r="Z19" s="466"/>
      <c r="AA19" s="466"/>
      <c r="AB19" s="466"/>
      <c r="AC19" s="466"/>
      <c r="AD19" s="466"/>
      <c r="AE19" s="466"/>
      <c r="AF19" s="466"/>
      <c r="AG19" s="466"/>
      <c r="AH19" s="466"/>
      <c r="AI19" s="466"/>
      <c r="AJ19" s="466"/>
      <c r="AK19" s="466"/>
      <c r="AL19" s="466"/>
      <c r="AM19" s="466"/>
      <c r="AN19" s="466"/>
      <c r="AO19" s="466"/>
      <c r="AP19" s="466"/>
      <c r="AQ19" s="466"/>
      <c r="AR19" s="466"/>
      <c r="AS19" s="466"/>
      <c r="AT19" s="466"/>
      <c r="AU19" s="466"/>
      <c r="AV19" s="466"/>
      <c r="AW19" s="466"/>
      <c r="AX19" s="466"/>
      <c r="AY19" s="466"/>
      <c r="AZ19" s="466"/>
      <c r="BA19" s="466"/>
      <c r="BB19" s="466"/>
      <c r="BC19" s="466"/>
      <c r="BD19" s="466"/>
      <c r="BE19" s="47" t="s">
        <v>394</v>
      </c>
      <c r="BF19" s="47" t="s">
        <v>419</v>
      </c>
      <c r="BG19" s="43"/>
      <c r="BH19" s="47"/>
      <c r="BI19" s="43"/>
      <c r="BJ19" s="43"/>
      <c r="BK19" s="44"/>
    </row>
    <row r="20" spans="1:63" ht="15.75" customHeight="1">
      <c r="A20" s="45" t="s">
        <v>391</v>
      </c>
      <c r="B20" s="46" t="s">
        <v>421</v>
      </c>
      <c r="C20" s="465"/>
      <c r="D20" s="465"/>
      <c r="E20" s="465"/>
      <c r="F20" s="465"/>
      <c r="G20" s="465"/>
      <c r="H20" s="465"/>
      <c r="I20" s="465"/>
      <c r="J20" s="465"/>
      <c r="K20" s="465"/>
      <c r="L20" s="258"/>
      <c r="M20" s="465" t="s">
        <v>417</v>
      </c>
      <c r="N20" s="466"/>
      <c r="O20" s="466"/>
      <c r="P20" s="466"/>
      <c r="Q20" s="466"/>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466"/>
      <c r="BD20" s="466"/>
      <c r="BE20" s="47" t="s">
        <v>394</v>
      </c>
      <c r="BF20" s="47" t="s">
        <v>419</v>
      </c>
      <c r="BG20" s="43"/>
      <c r="BH20" s="47"/>
      <c r="BI20" s="43"/>
      <c r="BJ20" s="43"/>
      <c r="BK20" s="44"/>
    </row>
    <row r="21" spans="1:63" ht="15.75" customHeight="1">
      <c r="A21" s="45" t="s">
        <v>391</v>
      </c>
      <c r="B21" s="46" t="s">
        <v>422</v>
      </c>
      <c r="C21" s="465"/>
      <c r="D21" s="465"/>
      <c r="E21" s="465"/>
      <c r="F21" s="465"/>
      <c r="G21" s="465"/>
      <c r="H21" s="465"/>
      <c r="I21" s="465"/>
      <c r="J21" s="465"/>
      <c r="K21" s="465"/>
      <c r="L21" s="258"/>
      <c r="M21" s="465" t="s">
        <v>393</v>
      </c>
      <c r="N21" s="466"/>
      <c r="O21" s="466"/>
      <c r="P21" s="466"/>
      <c r="Q21" s="466"/>
      <c r="R21" s="466"/>
      <c r="S21" s="466"/>
      <c r="T21" s="466"/>
      <c r="U21" s="466"/>
      <c r="V21" s="466"/>
      <c r="W21" s="466"/>
      <c r="X21" s="466"/>
      <c r="Y21" s="466"/>
      <c r="Z21" s="466"/>
      <c r="AA21" s="466"/>
      <c r="AB21" s="466"/>
      <c r="AC21" s="466"/>
      <c r="AD21" s="466"/>
      <c r="AE21" s="466"/>
      <c r="AF21" s="466"/>
      <c r="AG21" s="466"/>
      <c r="AH21" s="466"/>
      <c r="AI21" s="466"/>
      <c r="AJ21" s="466"/>
      <c r="AK21" s="466"/>
      <c r="AL21" s="466"/>
      <c r="AM21" s="466"/>
      <c r="AN21" s="466"/>
      <c r="AO21" s="466"/>
      <c r="AP21" s="466"/>
      <c r="AQ21" s="466"/>
      <c r="AR21" s="466"/>
      <c r="AS21" s="466"/>
      <c r="AT21" s="466"/>
      <c r="AU21" s="466"/>
      <c r="AV21" s="466"/>
      <c r="AW21" s="466"/>
      <c r="AX21" s="466"/>
      <c r="AY21" s="466"/>
      <c r="AZ21" s="466"/>
      <c r="BA21" s="466"/>
      <c r="BB21" s="466"/>
      <c r="BC21" s="466"/>
      <c r="BD21" s="466"/>
      <c r="BE21" s="47" t="s">
        <v>394</v>
      </c>
      <c r="BF21" s="47" t="s">
        <v>395</v>
      </c>
      <c r="BG21" s="43"/>
      <c r="BH21" s="47"/>
      <c r="BI21" s="47"/>
      <c r="BJ21" s="43"/>
      <c r="BK21" s="44"/>
    </row>
    <row r="22" spans="1:63" ht="15.75" customHeight="1">
      <c r="A22" s="45" t="s">
        <v>391</v>
      </c>
      <c r="B22" s="46" t="s">
        <v>423</v>
      </c>
      <c r="C22" s="465"/>
      <c r="D22" s="465"/>
      <c r="E22" s="465"/>
      <c r="F22" s="465"/>
      <c r="G22" s="465"/>
      <c r="H22" s="465"/>
      <c r="I22" s="465"/>
      <c r="J22" s="465"/>
      <c r="K22" s="465"/>
      <c r="L22" s="258"/>
      <c r="M22" s="465" t="s">
        <v>393</v>
      </c>
      <c r="N22" s="466"/>
      <c r="O22" s="466"/>
      <c r="P22" s="466"/>
      <c r="Q22" s="466"/>
      <c r="R22" s="466"/>
      <c r="S22" s="466"/>
      <c r="T22" s="466"/>
      <c r="U22" s="466"/>
      <c r="V22" s="466"/>
      <c r="W22" s="466"/>
      <c r="X22" s="466"/>
      <c r="Y22" s="466"/>
      <c r="Z22" s="466"/>
      <c r="AA22" s="466"/>
      <c r="AB22" s="466"/>
      <c r="AC22" s="466"/>
      <c r="AD22" s="466"/>
      <c r="AE22" s="466"/>
      <c r="AF22" s="466"/>
      <c r="AG22" s="466"/>
      <c r="AH22" s="466"/>
      <c r="AI22" s="466"/>
      <c r="AJ22" s="466"/>
      <c r="AK22" s="466"/>
      <c r="AL22" s="466"/>
      <c r="AM22" s="466"/>
      <c r="AN22" s="466"/>
      <c r="AO22" s="466"/>
      <c r="AP22" s="466"/>
      <c r="AQ22" s="466"/>
      <c r="AR22" s="466"/>
      <c r="AS22" s="466"/>
      <c r="AT22" s="466"/>
      <c r="AU22" s="466"/>
      <c r="AV22" s="466"/>
      <c r="AW22" s="466"/>
      <c r="AX22" s="466"/>
      <c r="AY22" s="466"/>
      <c r="AZ22" s="466"/>
      <c r="BA22" s="466"/>
      <c r="BB22" s="466"/>
      <c r="BC22" s="466"/>
      <c r="BD22" s="466"/>
      <c r="BE22" s="47" t="s">
        <v>394</v>
      </c>
      <c r="BF22" s="47" t="s">
        <v>419</v>
      </c>
      <c r="BG22" s="43"/>
      <c r="BH22" s="47"/>
      <c r="BI22" s="47"/>
      <c r="BJ22" s="43"/>
      <c r="BK22" s="44"/>
    </row>
    <row r="23" spans="1:63" ht="15.75" customHeight="1">
      <c r="A23" s="45" t="s">
        <v>391</v>
      </c>
      <c r="B23" s="46" t="s">
        <v>424</v>
      </c>
      <c r="C23" s="465"/>
      <c r="D23" s="465"/>
      <c r="E23" s="465"/>
      <c r="F23" s="465"/>
      <c r="G23" s="465"/>
      <c r="H23" s="465"/>
      <c r="I23" s="465"/>
      <c r="J23" s="465"/>
      <c r="K23" s="465"/>
      <c r="L23" s="258"/>
      <c r="M23" s="465" t="s">
        <v>417</v>
      </c>
      <c r="N23" s="466"/>
      <c r="O23" s="466"/>
      <c r="P23" s="466"/>
      <c r="Q23" s="466"/>
      <c r="R23" s="466"/>
      <c r="S23" s="466"/>
      <c r="T23" s="466"/>
      <c r="U23" s="466"/>
      <c r="V23" s="466"/>
      <c r="W23" s="466"/>
      <c r="X23" s="466"/>
      <c r="Y23" s="466"/>
      <c r="Z23" s="466"/>
      <c r="AA23" s="466"/>
      <c r="AB23" s="466"/>
      <c r="AC23" s="466"/>
      <c r="AD23" s="466"/>
      <c r="AE23" s="466"/>
      <c r="AF23" s="466"/>
      <c r="AG23" s="466"/>
      <c r="AH23" s="466"/>
      <c r="AI23" s="466"/>
      <c r="AJ23" s="466"/>
      <c r="AK23" s="466"/>
      <c r="AL23" s="466"/>
      <c r="AM23" s="466"/>
      <c r="AN23" s="466"/>
      <c r="AO23" s="466"/>
      <c r="AP23" s="466"/>
      <c r="AQ23" s="466"/>
      <c r="AR23" s="466"/>
      <c r="AS23" s="466"/>
      <c r="AT23" s="466"/>
      <c r="AU23" s="466"/>
      <c r="AV23" s="466"/>
      <c r="AW23" s="466"/>
      <c r="AX23" s="466"/>
      <c r="AY23" s="466"/>
      <c r="AZ23" s="466"/>
      <c r="BA23" s="466"/>
      <c r="BB23" s="466"/>
      <c r="BC23" s="466"/>
      <c r="BD23" s="466"/>
      <c r="BE23" s="47" t="s">
        <v>425</v>
      </c>
      <c r="BF23" s="47" t="s">
        <v>419</v>
      </c>
      <c r="BG23" s="43"/>
      <c r="BH23" s="47"/>
      <c r="BI23" s="47"/>
      <c r="BJ23" s="43"/>
      <c r="BK23" s="44"/>
    </row>
    <row r="24" spans="1:63" ht="15.75" customHeight="1">
      <c r="A24" s="45" t="s">
        <v>391</v>
      </c>
      <c r="B24" s="46" t="s">
        <v>426</v>
      </c>
      <c r="C24" s="465"/>
      <c r="D24" s="465"/>
      <c r="E24" s="465"/>
      <c r="F24" s="465"/>
      <c r="G24" s="465"/>
      <c r="H24" s="465"/>
      <c r="I24" s="465"/>
      <c r="J24" s="465"/>
      <c r="K24" s="465"/>
      <c r="L24" s="258"/>
      <c r="M24" s="465" t="s">
        <v>417</v>
      </c>
      <c r="N24" s="466"/>
      <c r="O24" s="466"/>
      <c r="P24" s="466"/>
      <c r="Q24" s="466"/>
      <c r="R24" s="466"/>
      <c r="S24" s="466"/>
      <c r="T24" s="466"/>
      <c r="U24" s="466"/>
      <c r="V24" s="466"/>
      <c r="W24" s="466"/>
      <c r="X24" s="466"/>
      <c r="Y24" s="466"/>
      <c r="Z24" s="466"/>
      <c r="AA24" s="466"/>
      <c r="AB24" s="466"/>
      <c r="AC24" s="466"/>
      <c r="AD24" s="466"/>
      <c r="AE24" s="466"/>
      <c r="AF24" s="466"/>
      <c r="AG24" s="466"/>
      <c r="AH24" s="466"/>
      <c r="AI24" s="466"/>
      <c r="AJ24" s="466"/>
      <c r="AK24" s="466"/>
      <c r="AL24" s="466"/>
      <c r="AM24" s="466"/>
      <c r="AN24" s="466"/>
      <c r="AO24" s="466"/>
      <c r="AP24" s="466"/>
      <c r="AQ24" s="466"/>
      <c r="AR24" s="466"/>
      <c r="AS24" s="466"/>
      <c r="AT24" s="466"/>
      <c r="AU24" s="466"/>
      <c r="AV24" s="466"/>
      <c r="AW24" s="466"/>
      <c r="AX24" s="466"/>
      <c r="AY24" s="466"/>
      <c r="AZ24" s="466"/>
      <c r="BA24" s="466"/>
      <c r="BB24" s="466"/>
      <c r="BC24" s="466"/>
      <c r="BD24" s="466"/>
      <c r="BE24" s="47" t="s">
        <v>394</v>
      </c>
      <c r="BF24" s="47" t="s">
        <v>395</v>
      </c>
      <c r="BG24" s="43"/>
      <c r="BH24" s="47"/>
      <c r="BI24" s="47"/>
      <c r="BJ24" s="43"/>
      <c r="BK24" s="44"/>
    </row>
    <row r="25" spans="1:63" ht="15.75" customHeight="1">
      <c r="A25" s="45" t="s">
        <v>391</v>
      </c>
      <c r="B25" s="46" t="s">
        <v>427</v>
      </c>
      <c r="C25" s="465"/>
      <c r="D25" s="465"/>
      <c r="E25" s="465"/>
      <c r="F25" s="465"/>
      <c r="G25" s="465"/>
      <c r="H25" s="465"/>
      <c r="I25" s="465"/>
      <c r="J25" s="465"/>
      <c r="K25" s="465"/>
      <c r="L25" s="258"/>
      <c r="M25" s="465" t="s">
        <v>393</v>
      </c>
      <c r="N25" s="466"/>
      <c r="O25" s="466"/>
      <c r="P25" s="466"/>
      <c r="Q25" s="466"/>
      <c r="R25" s="466"/>
      <c r="S25" s="466"/>
      <c r="T25" s="466"/>
      <c r="U25" s="466"/>
      <c r="V25" s="466"/>
      <c r="W25" s="466"/>
      <c r="X25" s="466"/>
      <c r="Y25" s="466"/>
      <c r="Z25" s="466"/>
      <c r="AA25" s="466"/>
      <c r="AB25" s="466"/>
      <c r="AC25" s="466"/>
      <c r="AD25" s="466"/>
      <c r="AE25" s="466"/>
      <c r="AF25" s="466"/>
      <c r="AG25" s="466"/>
      <c r="AH25" s="466"/>
      <c r="AI25" s="466"/>
      <c r="AJ25" s="466"/>
      <c r="AK25" s="466"/>
      <c r="AL25" s="466"/>
      <c r="AM25" s="466"/>
      <c r="AN25" s="466"/>
      <c r="AO25" s="466"/>
      <c r="AP25" s="466"/>
      <c r="AQ25" s="466"/>
      <c r="AR25" s="466"/>
      <c r="AS25" s="466"/>
      <c r="AT25" s="466"/>
      <c r="AU25" s="466"/>
      <c r="AV25" s="466"/>
      <c r="AW25" s="466"/>
      <c r="AX25" s="466"/>
      <c r="AY25" s="466"/>
      <c r="AZ25" s="466"/>
      <c r="BA25" s="466"/>
      <c r="BB25" s="466"/>
      <c r="BC25" s="466"/>
      <c r="BD25" s="466"/>
      <c r="BE25" s="47" t="s">
        <v>397</v>
      </c>
      <c r="BF25" s="47" t="s">
        <v>419</v>
      </c>
      <c r="BG25" s="43"/>
      <c r="BH25" s="47"/>
      <c r="BI25" s="47"/>
      <c r="BJ25" s="43" t="s">
        <v>398</v>
      </c>
      <c r="BK25" s="44"/>
    </row>
    <row r="26" spans="1:63" ht="15.75" customHeight="1">
      <c r="A26" s="45" t="s">
        <v>391</v>
      </c>
      <c r="B26" s="46" t="s">
        <v>428</v>
      </c>
      <c r="C26" s="465"/>
      <c r="D26" s="465"/>
      <c r="E26" s="465"/>
      <c r="F26" s="465"/>
      <c r="G26" s="465"/>
      <c r="H26" s="465"/>
      <c r="I26" s="465"/>
      <c r="J26" s="465"/>
      <c r="K26" s="465"/>
      <c r="L26" s="258"/>
      <c r="M26" s="465" t="s">
        <v>393</v>
      </c>
      <c r="N26" s="466"/>
      <c r="O26" s="466"/>
      <c r="P26" s="466"/>
      <c r="Q26" s="466"/>
      <c r="R26" s="466"/>
      <c r="S26" s="466"/>
      <c r="T26" s="466"/>
      <c r="U26" s="466"/>
      <c r="V26" s="466"/>
      <c r="W26" s="466"/>
      <c r="X26" s="466"/>
      <c r="Y26" s="466"/>
      <c r="Z26" s="466"/>
      <c r="AA26" s="466"/>
      <c r="AB26" s="466"/>
      <c r="AC26" s="466"/>
      <c r="AD26" s="466"/>
      <c r="AE26" s="466"/>
      <c r="AF26" s="466"/>
      <c r="AG26" s="466"/>
      <c r="AH26" s="466"/>
      <c r="AI26" s="466"/>
      <c r="AJ26" s="466"/>
      <c r="AK26" s="466"/>
      <c r="AL26" s="466"/>
      <c r="AM26" s="466"/>
      <c r="AN26" s="466"/>
      <c r="AO26" s="466"/>
      <c r="AP26" s="466"/>
      <c r="AQ26" s="466"/>
      <c r="AR26" s="466"/>
      <c r="AS26" s="466"/>
      <c r="AT26" s="466"/>
      <c r="AU26" s="466"/>
      <c r="AV26" s="466"/>
      <c r="AW26" s="466"/>
      <c r="AX26" s="466"/>
      <c r="AY26" s="466"/>
      <c r="AZ26" s="466"/>
      <c r="BA26" s="466"/>
      <c r="BB26" s="466"/>
      <c r="BC26" s="466"/>
      <c r="BD26" s="466"/>
      <c r="BE26" s="47" t="s">
        <v>397</v>
      </c>
      <c r="BF26" s="47" t="s">
        <v>419</v>
      </c>
      <c r="BG26" s="43"/>
      <c r="BH26" s="47"/>
      <c r="BI26" s="47"/>
      <c r="BJ26" s="43" t="s">
        <v>398</v>
      </c>
      <c r="BK26" s="44"/>
    </row>
    <row r="27" spans="1:63" ht="15.75" customHeight="1">
      <c r="A27" s="45" t="s">
        <v>391</v>
      </c>
      <c r="B27" s="46" t="s">
        <v>429</v>
      </c>
      <c r="C27" s="465"/>
      <c r="D27" s="465"/>
      <c r="E27" s="465"/>
      <c r="F27" s="465"/>
      <c r="G27" s="465"/>
      <c r="H27" s="465"/>
      <c r="I27" s="465"/>
      <c r="J27" s="465"/>
      <c r="K27" s="465"/>
      <c r="L27" s="258"/>
      <c r="M27" s="465" t="s">
        <v>417</v>
      </c>
      <c r="N27" s="466"/>
      <c r="O27" s="466"/>
      <c r="P27" s="466"/>
      <c r="Q27" s="466"/>
      <c r="R27" s="466"/>
      <c r="S27" s="466"/>
      <c r="T27" s="466"/>
      <c r="U27" s="466"/>
      <c r="V27" s="466"/>
      <c r="W27" s="466"/>
      <c r="X27" s="466"/>
      <c r="Y27" s="466"/>
      <c r="Z27" s="466"/>
      <c r="AA27" s="466"/>
      <c r="AB27" s="466"/>
      <c r="AC27" s="466"/>
      <c r="AD27" s="466"/>
      <c r="AE27" s="466"/>
      <c r="AF27" s="466"/>
      <c r="AG27" s="466"/>
      <c r="AH27" s="466"/>
      <c r="AI27" s="466"/>
      <c r="AJ27" s="466"/>
      <c r="AK27" s="466"/>
      <c r="AL27" s="466"/>
      <c r="AM27" s="466"/>
      <c r="AN27" s="466"/>
      <c r="AO27" s="466"/>
      <c r="AP27" s="466"/>
      <c r="AQ27" s="466"/>
      <c r="AR27" s="466"/>
      <c r="AS27" s="466"/>
      <c r="AT27" s="466"/>
      <c r="AU27" s="466"/>
      <c r="AV27" s="466"/>
      <c r="AW27" s="466"/>
      <c r="AX27" s="466"/>
      <c r="AY27" s="466"/>
      <c r="AZ27" s="466"/>
      <c r="BA27" s="466"/>
      <c r="BB27" s="466"/>
      <c r="BC27" s="466"/>
      <c r="BD27" s="466"/>
      <c r="BE27" s="47" t="s">
        <v>397</v>
      </c>
      <c r="BF27" s="47" t="s">
        <v>419</v>
      </c>
      <c r="BG27" s="43"/>
      <c r="BH27" s="47"/>
      <c r="BI27" s="47"/>
      <c r="BJ27" s="43" t="s">
        <v>398</v>
      </c>
      <c r="BK27" s="44"/>
    </row>
    <row r="28" spans="1:63" ht="15.75" customHeight="1">
      <c r="A28" s="45" t="s">
        <v>391</v>
      </c>
      <c r="B28" s="46" t="s">
        <v>430</v>
      </c>
      <c r="C28" s="465"/>
      <c r="D28" s="465"/>
      <c r="E28" s="465"/>
      <c r="F28" s="465"/>
      <c r="G28" s="465"/>
      <c r="H28" s="465"/>
      <c r="I28" s="465"/>
      <c r="J28" s="465"/>
      <c r="K28" s="465"/>
      <c r="L28" s="258"/>
      <c r="M28" s="465" t="s">
        <v>417</v>
      </c>
      <c r="N28" s="466"/>
      <c r="O28" s="466"/>
      <c r="P28" s="466"/>
      <c r="Q28" s="466"/>
      <c r="R28" s="466"/>
      <c r="S28" s="466"/>
      <c r="T28" s="466"/>
      <c r="U28" s="466"/>
      <c r="V28" s="466"/>
      <c r="W28" s="466"/>
      <c r="X28" s="466"/>
      <c r="Y28" s="466"/>
      <c r="Z28" s="466"/>
      <c r="AA28" s="466"/>
      <c r="AB28" s="466"/>
      <c r="AC28" s="466"/>
      <c r="AD28" s="466"/>
      <c r="AE28" s="466"/>
      <c r="AF28" s="466"/>
      <c r="AG28" s="466"/>
      <c r="AH28" s="466"/>
      <c r="AI28" s="466"/>
      <c r="AJ28" s="466"/>
      <c r="AK28" s="466"/>
      <c r="AL28" s="466"/>
      <c r="AM28" s="466"/>
      <c r="AN28" s="466"/>
      <c r="AO28" s="466"/>
      <c r="AP28" s="466"/>
      <c r="AQ28" s="466"/>
      <c r="AR28" s="466"/>
      <c r="AS28" s="466"/>
      <c r="AT28" s="466"/>
      <c r="AU28" s="466"/>
      <c r="AV28" s="466"/>
      <c r="AW28" s="466"/>
      <c r="AX28" s="466"/>
      <c r="AY28" s="466"/>
      <c r="AZ28" s="466"/>
      <c r="BA28" s="466"/>
      <c r="BB28" s="466"/>
      <c r="BC28" s="466"/>
      <c r="BD28" s="466"/>
      <c r="BE28" s="47" t="s">
        <v>397</v>
      </c>
      <c r="BF28" s="47" t="s">
        <v>419</v>
      </c>
      <c r="BG28" s="43"/>
      <c r="BH28" s="47"/>
      <c r="BI28" s="47"/>
      <c r="BJ28" s="43" t="s">
        <v>398</v>
      </c>
      <c r="BK28" s="44"/>
    </row>
    <row r="29" spans="1:63" ht="15.75" customHeight="1" thickBot="1">
      <c r="A29" s="42"/>
      <c r="B29" s="46"/>
      <c r="C29" s="465"/>
      <c r="D29" s="465"/>
      <c r="E29" s="465"/>
      <c r="F29" s="465"/>
      <c r="G29" s="465"/>
      <c r="H29" s="465"/>
      <c r="I29" s="465"/>
      <c r="J29" s="465"/>
      <c r="K29" s="465"/>
      <c r="L29" s="258"/>
      <c r="M29" s="465"/>
      <c r="N29" s="466"/>
      <c r="O29" s="466"/>
      <c r="P29" s="466"/>
      <c r="Q29" s="466"/>
      <c r="R29" s="466"/>
      <c r="S29" s="466"/>
      <c r="T29" s="466"/>
      <c r="U29" s="466"/>
      <c r="V29" s="466"/>
      <c r="W29" s="466"/>
      <c r="X29" s="466"/>
      <c r="Y29" s="466"/>
      <c r="Z29" s="466"/>
      <c r="AA29" s="466"/>
      <c r="AB29" s="466"/>
      <c r="AC29" s="466"/>
      <c r="AD29" s="466"/>
      <c r="AE29" s="466"/>
      <c r="AF29" s="466"/>
      <c r="AG29" s="466"/>
      <c r="AH29" s="466"/>
      <c r="AI29" s="466"/>
      <c r="AJ29" s="466"/>
      <c r="AK29" s="466"/>
      <c r="AL29" s="466"/>
      <c r="AM29" s="466"/>
      <c r="AN29" s="466"/>
      <c r="AO29" s="466"/>
      <c r="AP29" s="466"/>
      <c r="AQ29" s="466"/>
      <c r="AR29" s="466"/>
      <c r="AS29" s="466"/>
      <c r="AT29" s="466"/>
      <c r="AU29" s="466"/>
      <c r="AV29" s="466"/>
      <c r="AW29" s="466"/>
      <c r="AX29" s="466"/>
      <c r="AY29" s="466"/>
      <c r="AZ29" s="466"/>
      <c r="BA29" s="466"/>
      <c r="BB29" s="466"/>
      <c r="BC29" s="466"/>
      <c r="BD29" s="466"/>
      <c r="BE29" s="43"/>
      <c r="BF29" s="47"/>
      <c r="BG29" s="43"/>
      <c r="BH29" s="47"/>
      <c r="BI29" s="43"/>
      <c r="BJ29" s="43"/>
      <c r="BK29" s="44"/>
    </row>
    <row r="30" spans="1:63" ht="15.75" customHeight="1">
      <c r="A30" s="253"/>
      <c r="B30" s="254" t="s">
        <v>431</v>
      </c>
      <c r="C30" s="255"/>
      <c r="D30" s="255"/>
      <c r="E30" s="255"/>
      <c r="F30" s="255"/>
      <c r="G30" s="255"/>
      <c r="H30" s="255"/>
      <c r="I30" s="255"/>
      <c r="J30" s="255"/>
      <c r="K30" s="255"/>
      <c r="L30" s="256"/>
      <c r="M30" s="255"/>
      <c r="N30" s="257" t="s">
        <v>383</v>
      </c>
      <c r="O30" s="255"/>
      <c r="P30" s="255"/>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35" t="s">
        <v>384</v>
      </c>
      <c r="BF30" s="35" t="s">
        <v>385</v>
      </c>
      <c r="BG30" s="35" t="s">
        <v>386</v>
      </c>
      <c r="BH30" s="35" t="s">
        <v>387</v>
      </c>
      <c r="BI30" s="35" t="s">
        <v>388</v>
      </c>
      <c r="BJ30" s="35" t="s">
        <v>389</v>
      </c>
      <c r="BK30" s="36" t="s">
        <v>390</v>
      </c>
    </row>
    <row r="31" spans="1:63" ht="15.75" customHeight="1">
      <c r="A31" s="45" t="s">
        <v>391</v>
      </c>
      <c r="B31" s="46" t="s">
        <v>432</v>
      </c>
      <c r="C31" s="465"/>
      <c r="D31" s="465"/>
      <c r="E31" s="465"/>
      <c r="F31" s="465"/>
      <c r="G31" s="465"/>
      <c r="H31" s="465"/>
      <c r="I31" s="465"/>
      <c r="J31" s="465"/>
      <c r="K31" s="465"/>
      <c r="L31" s="258"/>
      <c r="M31" s="465" t="s">
        <v>433</v>
      </c>
      <c r="N31" s="466"/>
      <c r="O31" s="466"/>
      <c r="P31" s="466"/>
      <c r="Q31" s="466"/>
      <c r="R31" s="466"/>
      <c r="S31" s="466"/>
      <c r="T31" s="466"/>
      <c r="U31" s="466"/>
      <c r="V31" s="466"/>
      <c r="W31" s="466"/>
      <c r="X31" s="466"/>
      <c r="Y31" s="466"/>
      <c r="Z31" s="466"/>
      <c r="AA31" s="466" t="s">
        <v>434</v>
      </c>
      <c r="AB31" s="466"/>
      <c r="AC31" s="466"/>
      <c r="AD31" s="466"/>
      <c r="AE31" s="466"/>
      <c r="AF31" s="466"/>
      <c r="AG31" s="466"/>
      <c r="AH31" s="466"/>
      <c r="AI31" s="466"/>
      <c r="AJ31" s="466"/>
      <c r="AK31" s="466"/>
      <c r="AL31" s="466"/>
      <c r="AM31" s="466"/>
      <c r="AN31" s="466"/>
      <c r="AO31" s="466"/>
      <c r="AP31" s="466"/>
      <c r="AQ31" s="466"/>
      <c r="AR31" s="466"/>
      <c r="AS31" s="456" t="s">
        <v>435</v>
      </c>
      <c r="AT31" s="466"/>
      <c r="AU31" s="466"/>
      <c r="AV31" s="456"/>
      <c r="AW31" s="466"/>
      <c r="AX31" s="466"/>
      <c r="AY31" s="466"/>
      <c r="AZ31" s="466"/>
      <c r="BA31" s="466"/>
      <c r="BB31" s="466"/>
      <c r="BC31" s="466"/>
      <c r="BD31" s="466"/>
      <c r="BE31" s="47"/>
      <c r="BF31" s="47"/>
      <c r="BG31" s="43"/>
      <c r="BH31" s="47"/>
      <c r="BI31" s="47"/>
      <c r="BJ31" s="43"/>
      <c r="BK31" s="44"/>
    </row>
    <row r="32" spans="1:63" ht="15.75" customHeight="1">
      <c r="A32" s="45" t="s">
        <v>391</v>
      </c>
      <c r="B32" s="46" t="s">
        <v>436</v>
      </c>
      <c r="C32" s="465"/>
      <c r="D32" s="465"/>
      <c r="E32" s="465"/>
      <c r="F32" s="465"/>
      <c r="G32" s="465"/>
      <c r="H32" s="465"/>
      <c r="I32" s="465"/>
      <c r="J32" s="465"/>
      <c r="K32" s="465"/>
      <c r="L32" s="258"/>
      <c r="M32" s="465" t="s">
        <v>417</v>
      </c>
      <c r="N32" s="466"/>
      <c r="O32" s="466"/>
      <c r="P32" s="466"/>
      <c r="Q32" s="466"/>
      <c r="R32" s="466"/>
      <c r="S32" s="466"/>
      <c r="T32" s="466"/>
      <c r="U32" s="466"/>
      <c r="V32" s="466"/>
      <c r="W32" s="466"/>
      <c r="X32" s="466"/>
      <c r="Y32" s="466"/>
      <c r="Z32" s="466"/>
      <c r="AA32" s="466"/>
      <c r="AB32" s="466"/>
      <c r="AC32" s="466"/>
      <c r="AD32" s="466"/>
      <c r="AE32" s="466"/>
      <c r="AF32" s="466"/>
      <c r="AG32" s="466"/>
      <c r="AH32" s="466"/>
      <c r="AI32" s="466"/>
      <c r="AJ32" s="466"/>
      <c r="AK32" s="466"/>
      <c r="AL32" s="466"/>
      <c r="AM32" s="466"/>
      <c r="AN32" s="466"/>
      <c r="AO32" s="466"/>
      <c r="AP32" s="466"/>
      <c r="AQ32" s="466"/>
      <c r="AR32" s="466"/>
      <c r="AS32" s="466"/>
      <c r="AT32" s="466"/>
      <c r="AU32" s="466"/>
      <c r="AV32" s="466"/>
      <c r="AW32" s="466"/>
      <c r="AX32" s="466"/>
      <c r="AY32" s="466"/>
      <c r="AZ32" s="466"/>
      <c r="BA32" s="466"/>
      <c r="BB32" s="466"/>
      <c r="BC32" s="466"/>
      <c r="BD32" s="466"/>
      <c r="BE32" s="47" t="s">
        <v>397</v>
      </c>
      <c r="BF32" s="47" t="s">
        <v>419</v>
      </c>
      <c r="BG32" s="43"/>
      <c r="BH32" s="47"/>
      <c r="BI32" s="47"/>
      <c r="BJ32" s="43" t="s">
        <v>398</v>
      </c>
      <c r="BK32" s="44"/>
    </row>
    <row r="33" spans="1:63" ht="15.75" customHeight="1">
      <c r="A33" s="45" t="s">
        <v>391</v>
      </c>
      <c r="B33" s="46" t="s">
        <v>437</v>
      </c>
      <c r="C33" s="465"/>
      <c r="D33" s="465"/>
      <c r="E33" s="465"/>
      <c r="F33" s="465"/>
      <c r="G33" s="465"/>
      <c r="H33" s="465"/>
      <c r="I33" s="465"/>
      <c r="J33" s="465"/>
      <c r="K33" s="465"/>
      <c r="L33" s="258"/>
      <c r="M33" s="465" t="s">
        <v>417</v>
      </c>
      <c r="N33" s="466"/>
      <c r="O33" s="466"/>
      <c r="P33" s="466"/>
      <c r="Q33" s="466"/>
      <c r="R33" s="466"/>
      <c r="S33" s="466"/>
      <c r="T33" s="466"/>
      <c r="U33" s="466"/>
      <c r="V33" s="466"/>
      <c r="W33" s="466"/>
      <c r="X33" s="466"/>
      <c r="Y33" s="466"/>
      <c r="Z33" s="466"/>
      <c r="AA33" s="466"/>
      <c r="AB33" s="466"/>
      <c r="AC33" s="466"/>
      <c r="AD33" s="466"/>
      <c r="AE33" s="466"/>
      <c r="AF33" s="466"/>
      <c r="AG33" s="466"/>
      <c r="AH33" s="466"/>
      <c r="AI33" s="466"/>
      <c r="AJ33" s="466"/>
      <c r="AK33" s="466"/>
      <c r="AL33" s="466"/>
      <c r="AM33" s="466"/>
      <c r="AN33" s="466"/>
      <c r="AO33" s="466"/>
      <c r="AP33" s="466"/>
      <c r="AQ33" s="466"/>
      <c r="AR33" s="466"/>
      <c r="AS33" s="466"/>
      <c r="AT33" s="466"/>
      <c r="AU33" s="466"/>
      <c r="AV33" s="466"/>
      <c r="AW33" s="466"/>
      <c r="AX33" s="466"/>
      <c r="AY33" s="466"/>
      <c r="AZ33" s="466"/>
      <c r="BA33" s="466"/>
      <c r="BB33" s="466"/>
      <c r="BC33" s="466"/>
      <c r="BD33" s="466"/>
      <c r="BE33" s="47" t="s">
        <v>397</v>
      </c>
      <c r="BF33" s="47" t="s">
        <v>419</v>
      </c>
      <c r="BG33" s="43"/>
      <c r="BH33" s="47"/>
      <c r="BI33" s="47"/>
      <c r="BJ33" s="43" t="s">
        <v>398</v>
      </c>
      <c r="BK33" s="44"/>
    </row>
    <row r="34" spans="1:63" ht="15.75" customHeight="1">
      <c r="A34" s="45" t="s">
        <v>391</v>
      </c>
      <c r="B34" s="46" t="s">
        <v>438</v>
      </c>
      <c r="C34" s="465"/>
      <c r="D34" s="465"/>
      <c r="E34" s="465"/>
      <c r="F34" s="465"/>
      <c r="G34" s="465"/>
      <c r="H34" s="465"/>
      <c r="I34" s="465"/>
      <c r="J34" s="465"/>
      <c r="K34" s="465"/>
      <c r="L34" s="258"/>
      <c r="M34" s="465" t="s">
        <v>417</v>
      </c>
      <c r="N34" s="466"/>
      <c r="O34" s="466"/>
      <c r="P34" s="466"/>
      <c r="Q34" s="466"/>
      <c r="R34" s="466"/>
      <c r="S34" s="466"/>
      <c r="T34" s="466"/>
      <c r="U34" s="466"/>
      <c r="V34" s="466"/>
      <c r="W34" s="466"/>
      <c r="X34" s="466"/>
      <c r="Y34" s="466"/>
      <c r="Z34" s="466"/>
      <c r="AA34" s="466"/>
      <c r="AB34" s="466"/>
      <c r="AC34" s="466"/>
      <c r="AD34" s="466"/>
      <c r="AE34" s="466"/>
      <c r="AF34" s="466"/>
      <c r="AG34" s="466"/>
      <c r="AH34" s="466"/>
      <c r="AI34" s="466"/>
      <c r="AJ34" s="466"/>
      <c r="AK34" s="466"/>
      <c r="AL34" s="466"/>
      <c r="AM34" s="466"/>
      <c r="AN34" s="466"/>
      <c r="AO34" s="466"/>
      <c r="AP34" s="466"/>
      <c r="AQ34" s="466"/>
      <c r="AR34" s="466"/>
      <c r="AS34" s="466"/>
      <c r="AT34" s="466"/>
      <c r="AU34" s="466"/>
      <c r="AV34" s="466"/>
      <c r="AW34" s="466"/>
      <c r="AX34" s="466"/>
      <c r="AY34" s="466"/>
      <c r="AZ34" s="466"/>
      <c r="BA34" s="466"/>
      <c r="BB34" s="466"/>
      <c r="BC34" s="466"/>
      <c r="BD34" s="466"/>
      <c r="BE34" s="47" t="s">
        <v>397</v>
      </c>
      <c r="BF34" s="47" t="s">
        <v>419</v>
      </c>
      <c r="BG34" s="43"/>
      <c r="BH34" s="47"/>
      <c r="BI34" s="47"/>
      <c r="BJ34" s="43" t="s">
        <v>398</v>
      </c>
      <c r="BK34" s="44"/>
    </row>
    <row r="35" spans="1:63" ht="15.75" customHeight="1">
      <c r="A35" s="45" t="s">
        <v>391</v>
      </c>
      <c r="B35" s="46" t="s">
        <v>439</v>
      </c>
      <c r="C35" s="465"/>
      <c r="D35" s="465"/>
      <c r="E35" s="465"/>
      <c r="F35" s="465"/>
      <c r="G35" s="465"/>
      <c r="H35" s="465"/>
      <c r="I35" s="465"/>
      <c r="J35" s="465"/>
      <c r="K35" s="465"/>
      <c r="L35" s="258"/>
      <c r="M35" s="465" t="s">
        <v>417</v>
      </c>
      <c r="N35" s="466"/>
      <c r="O35" s="466"/>
      <c r="P35" s="466"/>
      <c r="Q35" s="466"/>
      <c r="R35" s="466"/>
      <c r="S35" s="466"/>
      <c r="T35" s="466"/>
      <c r="U35" s="466"/>
      <c r="V35" s="466"/>
      <c r="W35" s="466"/>
      <c r="X35" s="466"/>
      <c r="Y35" s="466"/>
      <c r="Z35" s="466"/>
      <c r="AA35" s="466"/>
      <c r="AB35" s="466"/>
      <c r="AC35" s="466"/>
      <c r="AD35" s="466"/>
      <c r="AE35" s="466"/>
      <c r="AF35" s="466"/>
      <c r="AG35" s="466"/>
      <c r="AH35" s="466"/>
      <c r="AI35" s="466"/>
      <c r="AJ35" s="466"/>
      <c r="AK35" s="466"/>
      <c r="AL35" s="466"/>
      <c r="AM35" s="466"/>
      <c r="AN35" s="466"/>
      <c r="AO35" s="466"/>
      <c r="AP35" s="466"/>
      <c r="AQ35" s="466"/>
      <c r="AR35" s="466"/>
      <c r="AS35" s="466"/>
      <c r="AT35" s="466"/>
      <c r="AU35" s="466"/>
      <c r="AV35" s="466"/>
      <c r="AW35" s="466"/>
      <c r="AX35" s="466"/>
      <c r="AY35" s="466"/>
      <c r="AZ35" s="466"/>
      <c r="BA35" s="466"/>
      <c r="BB35" s="466"/>
      <c r="BC35" s="466"/>
      <c r="BD35" s="466"/>
      <c r="BE35" s="47" t="s">
        <v>397</v>
      </c>
      <c r="BF35" s="47" t="s">
        <v>419</v>
      </c>
      <c r="BG35" s="43"/>
      <c r="BH35" s="47"/>
      <c r="BI35" s="47"/>
      <c r="BJ35" s="43" t="s">
        <v>398</v>
      </c>
      <c r="BK35" s="44"/>
    </row>
    <row r="36" spans="1:63" ht="15.75" customHeight="1">
      <c r="A36" s="45" t="s">
        <v>391</v>
      </c>
      <c r="B36" s="46" t="s">
        <v>440</v>
      </c>
      <c r="C36" s="465"/>
      <c r="D36" s="465"/>
      <c r="E36" s="465"/>
      <c r="F36" s="465"/>
      <c r="G36" s="465"/>
      <c r="H36" s="465"/>
      <c r="I36" s="465"/>
      <c r="J36" s="465"/>
      <c r="K36" s="465"/>
      <c r="L36" s="258"/>
      <c r="M36" s="465" t="s">
        <v>417</v>
      </c>
      <c r="N36" s="466"/>
      <c r="O36" s="466"/>
      <c r="P36" s="466"/>
      <c r="Q36" s="466"/>
      <c r="R36" s="466"/>
      <c r="S36" s="466"/>
      <c r="T36" s="466"/>
      <c r="U36" s="466"/>
      <c r="V36" s="466"/>
      <c r="W36" s="466"/>
      <c r="X36" s="466"/>
      <c r="Y36" s="466"/>
      <c r="Z36" s="466"/>
      <c r="AA36" s="466"/>
      <c r="AB36" s="466"/>
      <c r="AC36" s="466"/>
      <c r="AD36" s="466"/>
      <c r="AE36" s="466"/>
      <c r="AF36" s="466"/>
      <c r="AG36" s="466"/>
      <c r="AH36" s="466"/>
      <c r="AI36" s="466"/>
      <c r="AJ36" s="466"/>
      <c r="AK36" s="466"/>
      <c r="AL36" s="466"/>
      <c r="AM36" s="466"/>
      <c r="AN36" s="466"/>
      <c r="AO36" s="466"/>
      <c r="AP36" s="466"/>
      <c r="AQ36" s="466"/>
      <c r="AR36" s="466"/>
      <c r="AS36" s="466"/>
      <c r="AT36" s="466"/>
      <c r="AU36" s="466"/>
      <c r="AV36" s="466"/>
      <c r="AW36" s="466"/>
      <c r="AX36" s="466"/>
      <c r="AY36" s="466"/>
      <c r="AZ36" s="466"/>
      <c r="BA36" s="466"/>
      <c r="BB36" s="466"/>
      <c r="BC36" s="466"/>
      <c r="BD36" s="466"/>
      <c r="BE36" s="47" t="s">
        <v>397</v>
      </c>
      <c r="BF36" s="47" t="s">
        <v>419</v>
      </c>
      <c r="BG36" s="43"/>
      <c r="BH36" s="47"/>
      <c r="BI36" s="47"/>
      <c r="BJ36" s="43" t="s">
        <v>398</v>
      </c>
      <c r="BK36" s="44"/>
    </row>
    <row r="37" spans="1:63" ht="15.75" customHeight="1">
      <c r="A37" s="45" t="s">
        <v>391</v>
      </c>
      <c r="B37" s="46" t="s">
        <v>441</v>
      </c>
      <c r="C37" s="465"/>
      <c r="D37" s="465"/>
      <c r="E37" s="465"/>
      <c r="F37" s="465"/>
      <c r="G37" s="465"/>
      <c r="H37" s="465"/>
      <c r="I37" s="465"/>
      <c r="J37" s="465"/>
      <c r="K37" s="465"/>
      <c r="L37" s="258"/>
      <c r="M37" s="465" t="s">
        <v>417</v>
      </c>
      <c r="N37" s="466"/>
      <c r="O37" s="466"/>
      <c r="P37" s="466"/>
      <c r="Q37" s="466"/>
      <c r="R37" s="466"/>
      <c r="S37" s="466"/>
      <c r="T37" s="466"/>
      <c r="U37" s="466"/>
      <c r="V37" s="466"/>
      <c r="W37" s="466"/>
      <c r="X37" s="466"/>
      <c r="Y37" s="466"/>
      <c r="Z37" s="466"/>
      <c r="AA37" s="466"/>
      <c r="AB37" s="466"/>
      <c r="AC37" s="466"/>
      <c r="AD37" s="466"/>
      <c r="AE37" s="466"/>
      <c r="AF37" s="466"/>
      <c r="AG37" s="466"/>
      <c r="AH37" s="466"/>
      <c r="AI37" s="466"/>
      <c r="AJ37" s="466"/>
      <c r="AK37" s="466"/>
      <c r="AL37" s="466"/>
      <c r="AM37" s="466"/>
      <c r="AN37" s="466"/>
      <c r="AO37" s="466"/>
      <c r="AP37" s="466"/>
      <c r="AQ37" s="466"/>
      <c r="AR37" s="466"/>
      <c r="AS37" s="466"/>
      <c r="AT37" s="466"/>
      <c r="AU37" s="466"/>
      <c r="AV37" s="466"/>
      <c r="AW37" s="466"/>
      <c r="AX37" s="466"/>
      <c r="AY37" s="466"/>
      <c r="AZ37" s="466"/>
      <c r="BA37" s="466"/>
      <c r="BB37" s="466"/>
      <c r="BC37" s="466"/>
      <c r="BD37" s="466"/>
      <c r="BE37" s="47" t="s">
        <v>397</v>
      </c>
      <c r="BF37" s="47" t="s">
        <v>419</v>
      </c>
      <c r="BG37" s="43"/>
      <c r="BH37" s="47"/>
      <c r="BI37" s="47"/>
      <c r="BJ37" s="43" t="s">
        <v>398</v>
      </c>
      <c r="BK37" s="44"/>
    </row>
    <row r="38" spans="1:63" ht="15.75" customHeight="1">
      <c r="A38" s="45" t="s">
        <v>391</v>
      </c>
      <c r="B38" s="46" t="s">
        <v>442</v>
      </c>
      <c r="C38" s="465"/>
      <c r="D38" s="465"/>
      <c r="E38" s="465"/>
      <c r="F38" s="465"/>
      <c r="G38" s="465"/>
      <c r="H38" s="465"/>
      <c r="I38" s="465"/>
      <c r="J38" s="465"/>
      <c r="K38" s="465"/>
      <c r="L38" s="258"/>
      <c r="M38" s="465" t="s">
        <v>417</v>
      </c>
      <c r="N38" s="466"/>
      <c r="O38" s="466"/>
      <c r="P38" s="466"/>
      <c r="Q38" s="466"/>
      <c r="R38" s="466"/>
      <c r="S38" s="466"/>
      <c r="T38" s="466"/>
      <c r="U38" s="466"/>
      <c r="V38" s="466"/>
      <c r="W38" s="466"/>
      <c r="X38" s="466"/>
      <c r="Y38" s="466"/>
      <c r="Z38" s="466"/>
      <c r="AA38" s="466"/>
      <c r="AB38" s="466"/>
      <c r="AC38" s="466"/>
      <c r="AD38" s="466"/>
      <c r="AE38" s="466"/>
      <c r="AF38" s="466"/>
      <c r="AG38" s="466"/>
      <c r="AH38" s="466"/>
      <c r="AI38" s="466"/>
      <c r="AJ38" s="466"/>
      <c r="AK38" s="466"/>
      <c r="AL38" s="466"/>
      <c r="AM38" s="466"/>
      <c r="AN38" s="466"/>
      <c r="AO38" s="466"/>
      <c r="AP38" s="466"/>
      <c r="AQ38" s="466"/>
      <c r="AR38" s="466"/>
      <c r="AS38" s="466"/>
      <c r="AT38" s="466"/>
      <c r="AU38" s="466"/>
      <c r="AV38" s="466"/>
      <c r="AW38" s="466"/>
      <c r="AX38" s="466"/>
      <c r="AY38" s="466"/>
      <c r="AZ38" s="466"/>
      <c r="BA38" s="466"/>
      <c r="BB38" s="466"/>
      <c r="BC38" s="466"/>
      <c r="BD38" s="466"/>
      <c r="BE38" s="47" t="s">
        <v>397</v>
      </c>
      <c r="BF38" s="47" t="s">
        <v>419</v>
      </c>
      <c r="BG38" s="43"/>
      <c r="BH38" s="47"/>
      <c r="BI38" s="47"/>
      <c r="BJ38" s="43" t="s">
        <v>398</v>
      </c>
      <c r="BK38" s="44"/>
    </row>
    <row r="39" spans="1:63" ht="15.75" customHeight="1">
      <c r="A39" s="45" t="s">
        <v>391</v>
      </c>
      <c r="B39" s="46" t="s">
        <v>443</v>
      </c>
      <c r="C39" s="465"/>
      <c r="D39" s="465"/>
      <c r="E39" s="465"/>
      <c r="F39" s="465"/>
      <c r="G39" s="465"/>
      <c r="H39" s="465"/>
      <c r="I39" s="465"/>
      <c r="J39" s="465"/>
      <c r="K39" s="465"/>
      <c r="L39" s="258"/>
      <c r="M39" s="465" t="s">
        <v>417</v>
      </c>
      <c r="N39" s="466"/>
      <c r="O39" s="466"/>
      <c r="P39" s="466"/>
      <c r="Q39" s="466"/>
      <c r="R39" s="466"/>
      <c r="S39" s="466"/>
      <c r="T39" s="466"/>
      <c r="U39" s="466"/>
      <c r="V39" s="466"/>
      <c r="W39" s="466"/>
      <c r="X39" s="466"/>
      <c r="Y39" s="466"/>
      <c r="Z39" s="466"/>
      <c r="AA39" s="466"/>
      <c r="AB39" s="466"/>
      <c r="AC39" s="466"/>
      <c r="AD39" s="466"/>
      <c r="AE39" s="466"/>
      <c r="AF39" s="466"/>
      <c r="AG39" s="466"/>
      <c r="AH39" s="466"/>
      <c r="AI39" s="466"/>
      <c r="AJ39" s="466"/>
      <c r="AK39" s="466"/>
      <c r="AL39" s="466"/>
      <c r="AM39" s="466"/>
      <c r="AN39" s="466"/>
      <c r="AO39" s="466"/>
      <c r="AP39" s="466"/>
      <c r="AQ39" s="466"/>
      <c r="AR39" s="466"/>
      <c r="AS39" s="466"/>
      <c r="AT39" s="466"/>
      <c r="AU39" s="466"/>
      <c r="AV39" s="466"/>
      <c r="AW39" s="466"/>
      <c r="AX39" s="466"/>
      <c r="AY39" s="466"/>
      <c r="AZ39" s="466"/>
      <c r="BA39" s="466"/>
      <c r="BB39" s="466"/>
      <c r="BC39" s="466"/>
      <c r="BD39" s="466"/>
      <c r="BE39" s="47" t="s">
        <v>397</v>
      </c>
      <c r="BF39" s="47" t="s">
        <v>419</v>
      </c>
      <c r="BG39" s="43"/>
      <c r="BH39" s="47"/>
      <c r="BI39" s="47"/>
      <c r="BJ39" s="43" t="s">
        <v>398</v>
      </c>
      <c r="BK39" s="44"/>
    </row>
    <row r="40" spans="1:63" ht="15.75" customHeight="1">
      <c r="A40" s="45" t="s">
        <v>391</v>
      </c>
      <c r="B40" s="46" t="s">
        <v>444</v>
      </c>
      <c r="C40" s="465"/>
      <c r="D40" s="465"/>
      <c r="E40" s="465"/>
      <c r="F40" s="465"/>
      <c r="G40" s="465"/>
      <c r="H40" s="465"/>
      <c r="I40" s="465"/>
      <c r="J40" s="465"/>
      <c r="K40" s="465"/>
      <c r="L40" s="258"/>
      <c r="M40" s="465" t="s">
        <v>417</v>
      </c>
      <c r="N40" s="466"/>
      <c r="O40" s="466"/>
      <c r="P40" s="466"/>
      <c r="Q40" s="466"/>
      <c r="R40" s="466"/>
      <c r="S40" s="466"/>
      <c r="T40" s="466"/>
      <c r="U40" s="466"/>
      <c r="V40" s="466"/>
      <c r="W40" s="466"/>
      <c r="X40" s="466"/>
      <c r="Y40" s="466"/>
      <c r="Z40" s="466"/>
      <c r="AA40" s="466"/>
      <c r="AB40" s="466"/>
      <c r="AC40" s="466"/>
      <c r="AD40" s="466"/>
      <c r="AE40" s="466"/>
      <c r="AF40" s="466"/>
      <c r="AG40" s="466"/>
      <c r="AH40" s="466"/>
      <c r="AI40" s="466"/>
      <c r="AJ40" s="466"/>
      <c r="AK40" s="466"/>
      <c r="AL40" s="466"/>
      <c r="AM40" s="466"/>
      <c r="AN40" s="466"/>
      <c r="AO40" s="466"/>
      <c r="AP40" s="466"/>
      <c r="AQ40" s="466"/>
      <c r="AR40" s="466"/>
      <c r="AS40" s="466"/>
      <c r="AT40" s="466"/>
      <c r="AU40" s="466"/>
      <c r="AV40" s="466"/>
      <c r="AW40" s="466"/>
      <c r="AX40" s="466"/>
      <c r="AY40" s="466"/>
      <c r="AZ40" s="466"/>
      <c r="BA40" s="466"/>
      <c r="BB40" s="466"/>
      <c r="BC40" s="466"/>
      <c r="BD40" s="466"/>
      <c r="BE40" s="47" t="s">
        <v>394</v>
      </c>
      <c r="BF40" s="47" t="s">
        <v>419</v>
      </c>
      <c r="BG40" s="43"/>
      <c r="BH40" s="47"/>
      <c r="BI40" s="43"/>
      <c r="BJ40" s="43"/>
      <c r="BK40" s="44"/>
    </row>
    <row r="41" spans="1:63" ht="15.75" customHeight="1">
      <c r="A41" s="45" t="s">
        <v>391</v>
      </c>
      <c r="B41" s="46" t="s">
        <v>445</v>
      </c>
      <c r="C41" s="465"/>
      <c r="D41" s="465"/>
      <c r="E41" s="465"/>
      <c r="F41" s="465"/>
      <c r="G41" s="465"/>
      <c r="H41" s="465"/>
      <c r="I41" s="465"/>
      <c r="J41" s="465"/>
      <c r="K41" s="465"/>
      <c r="L41" s="258"/>
      <c r="M41" s="465" t="s">
        <v>417</v>
      </c>
      <c r="N41" s="466"/>
      <c r="O41" s="466"/>
      <c r="P41" s="466"/>
      <c r="Q41" s="466"/>
      <c r="R41" s="466"/>
      <c r="S41" s="466"/>
      <c r="T41" s="466"/>
      <c r="U41" s="466"/>
      <c r="V41" s="466"/>
      <c r="W41" s="466"/>
      <c r="X41" s="466"/>
      <c r="Y41" s="466"/>
      <c r="Z41" s="466"/>
      <c r="AA41" s="466"/>
      <c r="AB41" s="466"/>
      <c r="AC41" s="466"/>
      <c r="AD41" s="466"/>
      <c r="AE41" s="466"/>
      <c r="AF41" s="466"/>
      <c r="AG41" s="466"/>
      <c r="AH41" s="466"/>
      <c r="AI41" s="466"/>
      <c r="AJ41" s="466"/>
      <c r="AK41" s="466"/>
      <c r="AL41" s="466"/>
      <c r="AM41" s="466"/>
      <c r="AN41" s="466"/>
      <c r="AO41" s="466"/>
      <c r="AP41" s="466"/>
      <c r="AQ41" s="466"/>
      <c r="AR41" s="466"/>
      <c r="AS41" s="466"/>
      <c r="AT41" s="466"/>
      <c r="AU41" s="466"/>
      <c r="AV41" s="466"/>
      <c r="AW41" s="466"/>
      <c r="AX41" s="466"/>
      <c r="AY41" s="466"/>
      <c r="AZ41" s="466"/>
      <c r="BA41" s="466"/>
      <c r="BB41" s="466"/>
      <c r="BC41" s="466"/>
      <c r="BD41" s="466"/>
      <c r="BE41" s="47" t="s">
        <v>394</v>
      </c>
      <c r="BF41" s="47" t="s">
        <v>419</v>
      </c>
      <c r="BG41" s="43"/>
      <c r="BH41" s="47"/>
      <c r="BI41" s="43"/>
      <c r="BJ41" s="43"/>
      <c r="BK41" s="44"/>
    </row>
    <row r="42" spans="1:63" ht="15.75" customHeight="1">
      <c r="A42" s="45" t="s">
        <v>391</v>
      </c>
      <c r="B42" s="46" t="s">
        <v>446</v>
      </c>
      <c r="C42" s="465"/>
      <c r="D42" s="465"/>
      <c r="E42" s="465"/>
      <c r="F42" s="465"/>
      <c r="G42" s="465"/>
      <c r="H42" s="465"/>
      <c r="I42" s="465"/>
      <c r="J42" s="465"/>
      <c r="K42" s="465"/>
      <c r="L42" s="258"/>
      <c r="M42" s="465" t="s">
        <v>447</v>
      </c>
      <c r="N42" s="466"/>
      <c r="O42" s="466"/>
      <c r="P42" s="466"/>
      <c r="Q42" s="466"/>
      <c r="R42" s="466"/>
      <c r="S42" s="466"/>
      <c r="T42" s="466"/>
      <c r="U42" s="466"/>
      <c r="V42" s="466"/>
      <c r="W42" s="466"/>
      <c r="X42" s="466"/>
      <c r="Y42" s="466"/>
      <c r="Z42" s="466"/>
      <c r="AA42" s="466"/>
      <c r="AB42" s="466"/>
      <c r="AC42" s="466"/>
      <c r="AD42" s="466"/>
      <c r="AE42" s="466"/>
      <c r="AF42" s="466"/>
      <c r="AG42" s="466"/>
      <c r="AH42" s="466"/>
      <c r="AI42" s="466"/>
      <c r="AJ42" s="466"/>
      <c r="AK42" s="466"/>
      <c r="AL42" s="466"/>
      <c r="AM42" s="466"/>
      <c r="AN42" s="466"/>
      <c r="AO42" s="466"/>
      <c r="AP42" s="466"/>
      <c r="AQ42" s="466"/>
      <c r="AR42" s="466"/>
      <c r="AS42" s="466"/>
      <c r="AT42" s="466"/>
      <c r="AU42" s="466"/>
      <c r="AV42" s="466"/>
      <c r="AW42" s="466"/>
      <c r="AX42" s="466"/>
      <c r="AY42" s="466"/>
      <c r="AZ42" s="466"/>
      <c r="BA42" s="466"/>
      <c r="BB42" s="466"/>
      <c r="BC42" s="466"/>
      <c r="BD42" s="466"/>
      <c r="BE42" s="43" t="s">
        <v>403</v>
      </c>
      <c r="BF42" s="47" t="s">
        <v>448</v>
      </c>
      <c r="BG42" s="43"/>
      <c r="BH42" s="47"/>
      <c r="BI42" s="47"/>
      <c r="BJ42" s="43"/>
      <c r="BK42" s="44"/>
    </row>
    <row r="43" spans="1:63" ht="15.75" customHeight="1">
      <c r="A43" s="45" t="s">
        <v>391</v>
      </c>
      <c r="B43" s="46" t="s">
        <v>449</v>
      </c>
      <c r="C43" s="465"/>
      <c r="D43" s="465"/>
      <c r="E43" s="465"/>
      <c r="F43" s="465"/>
      <c r="G43" s="465"/>
      <c r="H43" s="465"/>
      <c r="I43" s="465"/>
      <c r="J43" s="465"/>
      <c r="K43" s="465"/>
      <c r="L43" s="258"/>
      <c r="M43" s="465" t="s">
        <v>450</v>
      </c>
      <c r="N43" s="466"/>
      <c r="O43" s="466"/>
      <c r="P43" s="466"/>
      <c r="Q43" s="466"/>
      <c r="R43" s="466"/>
      <c r="S43" s="466"/>
      <c r="T43" s="466"/>
      <c r="U43" s="466"/>
      <c r="V43" s="466"/>
      <c r="W43" s="466"/>
      <c r="X43" s="466"/>
      <c r="Y43" s="466"/>
      <c r="Z43" s="466"/>
      <c r="AA43" s="466"/>
      <c r="AB43" s="466"/>
      <c r="AC43" s="466"/>
      <c r="AD43" s="466"/>
      <c r="AE43" s="466"/>
      <c r="AF43" s="466"/>
      <c r="AG43" s="466"/>
      <c r="AH43" s="466"/>
      <c r="AI43" s="466"/>
      <c r="AJ43" s="466"/>
      <c r="AK43" s="466"/>
      <c r="AL43" s="466"/>
      <c r="AM43" s="466"/>
      <c r="AN43" s="466"/>
      <c r="AO43" s="466"/>
      <c r="AP43" s="466"/>
      <c r="AQ43" s="466"/>
      <c r="AR43" s="466"/>
      <c r="AS43" s="466"/>
      <c r="AT43" s="466"/>
      <c r="AU43" s="466"/>
      <c r="AV43" s="466"/>
      <c r="AW43" s="466"/>
      <c r="AX43" s="466"/>
      <c r="AY43" s="466"/>
      <c r="AZ43" s="466"/>
      <c r="BA43" s="466"/>
      <c r="BB43" s="466"/>
      <c r="BC43" s="466"/>
      <c r="BD43" s="466"/>
      <c r="BE43" s="47" t="s">
        <v>403</v>
      </c>
      <c r="BF43" s="47" t="s">
        <v>448</v>
      </c>
      <c r="BG43" s="43"/>
      <c r="BH43" s="47"/>
      <c r="BI43" s="47"/>
      <c r="BJ43" s="43"/>
      <c r="BK43" s="44"/>
    </row>
    <row r="44" spans="1:63" ht="15.75" customHeight="1">
      <c r="A44" s="45" t="s">
        <v>391</v>
      </c>
      <c r="B44" s="46" t="s">
        <v>451</v>
      </c>
      <c r="C44" s="465"/>
      <c r="D44" s="465"/>
      <c r="E44" s="465"/>
      <c r="F44" s="465"/>
      <c r="G44" s="465"/>
      <c r="H44" s="465"/>
      <c r="I44" s="465"/>
      <c r="J44" s="465"/>
      <c r="K44" s="465"/>
      <c r="L44" s="258"/>
      <c r="M44" s="465" t="s">
        <v>452</v>
      </c>
      <c r="N44" s="466"/>
      <c r="O44" s="466"/>
      <c r="P44" s="466"/>
      <c r="Q44" s="466"/>
      <c r="R44" s="466"/>
      <c r="S44" s="466"/>
      <c r="T44" s="466"/>
      <c r="U44" s="466"/>
      <c r="V44" s="466"/>
      <c r="W44" s="466"/>
      <c r="X44" s="466"/>
      <c r="Y44" s="466"/>
      <c r="Z44" s="466"/>
      <c r="AA44" s="466"/>
      <c r="AB44" s="466"/>
      <c r="AC44" s="466"/>
      <c r="AD44" s="466"/>
      <c r="AE44" s="466"/>
      <c r="AF44" s="466"/>
      <c r="AG44" s="466"/>
      <c r="AH44" s="466"/>
      <c r="AI44" s="466"/>
      <c r="AJ44" s="466"/>
      <c r="AK44" s="466"/>
      <c r="AL44" s="466"/>
      <c r="AM44" s="466"/>
      <c r="AN44" s="466"/>
      <c r="AO44" s="466"/>
      <c r="AP44" s="466"/>
      <c r="AQ44" s="466"/>
      <c r="AR44" s="466"/>
      <c r="AS44" s="466"/>
      <c r="AT44" s="466"/>
      <c r="AU44" s="466"/>
      <c r="AV44" s="466"/>
      <c r="AW44" s="466"/>
      <c r="AX44" s="466"/>
      <c r="AY44" s="466"/>
      <c r="AZ44" s="466"/>
      <c r="BA44" s="466"/>
      <c r="BB44" s="466"/>
      <c r="BC44" s="466"/>
      <c r="BD44" s="466"/>
      <c r="BE44" s="43" t="s">
        <v>403</v>
      </c>
      <c r="BF44" s="47" t="s">
        <v>448</v>
      </c>
      <c r="BG44" s="43"/>
      <c r="BH44" s="47"/>
      <c r="BI44" s="47"/>
      <c r="BJ44" s="43"/>
      <c r="BK44" s="44"/>
    </row>
    <row r="45" spans="1:63" ht="15.75" customHeight="1">
      <c r="A45" s="45" t="s">
        <v>391</v>
      </c>
      <c r="B45" s="46" t="s">
        <v>453</v>
      </c>
      <c r="C45" s="465"/>
      <c r="D45" s="465"/>
      <c r="E45" s="465"/>
      <c r="F45" s="465"/>
      <c r="G45" s="465"/>
      <c r="H45" s="465"/>
      <c r="I45" s="465"/>
      <c r="J45" s="465"/>
      <c r="K45" s="465"/>
      <c r="L45" s="258"/>
      <c r="M45" s="465" t="s">
        <v>454</v>
      </c>
      <c r="N45" s="466"/>
      <c r="O45" s="466"/>
      <c r="P45" s="466"/>
      <c r="Q45" s="466"/>
      <c r="R45" s="466"/>
      <c r="S45" s="466"/>
      <c r="T45" s="466"/>
      <c r="U45" s="466"/>
      <c r="V45" s="466"/>
      <c r="W45" s="466"/>
      <c r="X45" s="466"/>
      <c r="Y45" s="466"/>
      <c r="Z45" s="466"/>
      <c r="AA45" s="466"/>
      <c r="AB45" s="466"/>
      <c r="AC45" s="466"/>
      <c r="AD45" s="466"/>
      <c r="AE45" s="466"/>
      <c r="AF45" s="466"/>
      <c r="AG45" s="466"/>
      <c r="AH45" s="466"/>
      <c r="AI45" s="466"/>
      <c r="AJ45" s="466"/>
      <c r="AK45" s="466"/>
      <c r="AL45" s="466"/>
      <c r="AM45" s="466"/>
      <c r="AN45" s="466"/>
      <c r="AO45" s="466"/>
      <c r="AP45" s="466"/>
      <c r="AQ45" s="466"/>
      <c r="AR45" s="466"/>
      <c r="AS45" s="466"/>
      <c r="AT45" s="466"/>
      <c r="AU45" s="466"/>
      <c r="AV45" s="466"/>
      <c r="AW45" s="466"/>
      <c r="AX45" s="466"/>
      <c r="AY45" s="466"/>
      <c r="AZ45" s="466"/>
      <c r="BA45" s="466"/>
      <c r="BB45" s="466"/>
      <c r="BC45" s="466"/>
      <c r="BD45" s="466"/>
      <c r="BE45" s="43" t="s">
        <v>403</v>
      </c>
      <c r="BF45" s="47" t="s">
        <v>448</v>
      </c>
      <c r="BG45" s="43"/>
      <c r="BH45" s="47"/>
      <c r="BI45" s="47"/>
      <c r="BJ45" s="43"/>
      <c r="BK45" s="44"/>
    </row>
    <row r="46" spans="1:63" ht="15.75" customHeight="1">
      <c r="A46" s="45" t="s">
        <v>391</v>
      </c>
      <c r="B46" s="46" t="s">
        <v>455</v>
      </c>
      <c r="C46" s="465"/>
      <c r="D46" s="465"/>
      <c r="E46" s="465"/>
      <c r="F46" s="465"/>
      <c r="G46" s="465"/>
      <c r="H46" s="465"/>
      <c r="I46" s="465"/>
      <c r="J46" s="465"/>
      <c r="K46" s="465"/>
      <c r="L46" s="258"/>
      <c r="M46" s="465" t="s">
        <v>456</v>
      </c>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c r="AK46" s="466"/>
      <c r="AL46" s="466"/>
      <c r="AM46" s="466"/>
      <c r="AN46" s="466"/>
      <c r="AO46" s="466"/>
      <c r="AP46" s="466"/>
      <c r="AQ46" s="466"/>
      <c r="AR46" s="466"/>
      <c r="AS46" s="466"/>
      <c r="AT46" s="466"/>
      <c r="AU46" s="466"/>
      <c r="AV46" s="466"/>
      <c r="AW46" s="466"/>
      <c r="AX46" s="466"/>
      <c r="AY46" s="466"/>
      <c r="AZ46" s="467" t="s">
        <v>402</v>
      </c>
      <c r="BA46" s="466"/>
      <c r="BB46" s="466"/>
      <c r="BC46" s="466"/>
      <c r="BD46" s="466"/>
      <c r="BE46" s="43" t="s">
        <v>403</v>
      </c>
      <c r="BF46" s="47" t="s">
        <v>395</v>
      </c>
      <c r="BG46" s="43"/>
      <c r="BH46" s="47"/>
      <c r="BI46" s="47"/>
      <c r="BJ46" s="43"/>
      <c r="BK46" s="44"/>
    </row>
    <row r="47" spans="1:63" ht="15.75" customHeight="1">
      <c r="A47" s="45" t="s">
        <v>391</v>
      </c>
      <c r="B47" s="46" t="s">
        <v>457</v>
      </c>
      <c r="C47" s="465"/>
      <c r="D47" s="465"/>
      <c r="E47" s="465"/>
      <c r="F47" s="465"/>
      <c r="G47" s="465"/>
      <c r="H47" s="465"/>
      <c r="I47" s="465"/>
      <c r="J47" s="465"/>
      <c r="K47" s="465"/>
      <c r="L47" s="258"/>
      <c r="M47" s="465" t="s">
        <v>458</v>
      </c>
      <c r="N47" s="466"/>
      <c r="O47" s="466"/>
      <c r="P47" s="466"/>
      <c r="Q47" s="466"/>
      <c r="R47" s="466"/>
      <c r="S47" s="466"/>
      <c r="T47" s="466"/>
      <c r="U47" s="466"/>
      <c r="V47" s="466"/>
      <c r="W47" s="466"/>
      <c r="X47" s="466"/>
      <c r="Y47" s="466"/>
      <c r="Z47" s="466"/>
      <c r="AA47" s="466"/>
      <c r="AB47" s="466"/>
      <c r="AC47" s="466"/>
      <c r="AD47" s="466"/>
      <c r="AE47" s="466"/>
      <c r="AF47" s="466"/>
      <c r="AG47" s="466"/>
      <c r="AH47" s="466"/>
      <c r="AI47" s="466"/>
      <c r="AJ47" s="466"/>
      <c r="AK47" s="466"/>
      <c r="AL47" s="466"/>
      <c r="AM47" s="466"/>
      <c r="AN47" s="466"/>
      <c r="AO47" s="466"/>
      <c r="AP47" s="466"/>
      <c r="AQ47" s="466"/>
      <c r="AR47" s="466"/>
      <c r="AS47" s="466"/>
      <c r="AT47" s="466"/>
      <c r="AU47" s="466"/>
      <c r="AV47" s="466"/>
      <c r="AW47" s="466"/>
      <c r="AX47" s="466"/>
      <c r="AY47" s="466"/>
      <c r="AZ47" s="467" t="s">
        <v>402</v>
      </c>
      <c r="BA47" s="466"/>
      <c r="BB47" s="466"/>
      <c r="BC47" s="466"/>
      <c r="BD47" s="466"/>
      <c r="BE47" s="43" t="s">
        <v>403</v>
      </c>
      <c r="BF47" s="47" t="s">
        <v>395</v>
      </c>
      <c r="BG47" s="43"/>
      <c r="BH47" s="47"/>
      <c r="BI47" s="47"/>
      <c r="BJ47" s="43"/>
      <c r="BK47" s="44"/>
    </row>
    <row r="48" spans="1:63" ht="15.75" customHeight="1">
      <c r="A48" s="45" t="s">
        <v>391</v>
      </c>
      <c r="B48" s="46" t="s">
        <v>459</v>
      </c>
      <c r="C48" s="465"/>
      <c r="D48" s="465"/>
      <c r="E48" s="465"/>
      <c r="F48" s="465"/>
      <c r="G48" s="465"/>
      <c r="H48" s="465"/>
      <c r="I48" s="465"/>
      <c r="J48" s="465"/>
      <c r="K48" s="465"/>
      <c r="L48" s="258"/>
      <c r="M48" s="465" t="s">
        <v>460</v>
      </c>
      <c r="N48" s="466"/>
      <c r="O48" s="466"/>
      <c r="P48" s="466"/>
      <c r="Q48" s="466"/>
      <c r="R48" s="466"/>
      <c r="S48" s="466"/>
      <c r="T48" s="466"/>
      <c r="U48" s="466"/>
      <c r="V48" s="466"/>
      <c r="W48" s="466"/>
      <c r="X48" s="466"/>
      <c r="Y48" s="466"/>
      <c r="Z48" s="466"/>
      <c r="AA48" s="466"/>
      <c r="AB48" s="466"/>
      <c r="AC48" s="466"/>
      <c r="AD48" s="466"/>
      <c r="AE48" s="466"/>
      <c r="AF48" s="466"/>
      <c r="AG48" s="466"/>
      <c r="AH48" s="466"/>
      <c r="AI48" s="466"/>
      <c r="AJ48" s="466"/>
      <c r="AK48" s="466"/>
      <c r="AL48" s="466"/>
      <c r="AM48" s="466"/>
      <c r="AN48" s="466"/>
      <c r="AO48" s="466"/>
      <c r="AP48" s="466"/>
      <c r="AQ48" s="466"/>
      <c r="AR48" s="466"/>
      <c r="AS48" s="466"/>
      <c r="AT48" s="466"/>
      <c r="AU48" s="466"/>
      <c r="AV48" s="466"/>
      <c r="AW48" s="466"/>
      <c r="AX48" s="466"/>
      <c r="AY48" s="466"/>
      <c r="AZ48" s="467" t="s">
        <v>402</v>
      </c>
      <c r="BA48" s="466"/>
      <c r="BB48" s="466"/>
      <c r="BC48" s="466"/>
      <c r="BD48" s="466"/>
      <c r="BE48" s="43" t="s">
        <v>403</v>
      </c>
      <c r="BF48" s="47" t="s">
        <v>395</v>
      </c>
      <c r="BG48" s="43"/>
      <c r="BH48" s="47"/>
      <c r="BI48" s="47"/>
      <c r="BJ48" s="43"/>
      <c r="BK48" s="44"/>
    </row>
    <row r="49" spans="1:88" ht="15.75" customHeight="1">
      <c r="A49" s="45" t="s">
        <v>391</v>
      </c>
      <c r="B49" s="46" t="s">
        <v>461</v>
      </c>
      <c r="C49" s="465"/>
      <c r="D49" s="465"/>
      <c r="E49" s="465"/>
      <c r="F49" s="465"/>
      <c r="G49" s="465"/>
      <c r="H49" s="465"/>
      <c r="I49" s="465"/>
      <c r="J49" s="465"/>
      <c r="K49" s="465"/>
      <c r="L49" s="258"/>
      <c r="M49" s="465" t="s">
        <v>462</v>
      </c>
      <c r="N49" s="466"/>
      <c r="O49" s="466"/>
      <c r="P49" s="466"/>
      <c r="Q49" s="466"/>
      <c r="R49" s="466"/>
      <c r="S49" s="466"/>
      <c r="T49" s="466"/>
      <c r="U49" s="466"/>
      <c r="V49" s="466"/>
      <c r="W49" s="466"/>
      <c r="X49" s="466"/>
      <c r="Y49" s="466"/>
      <c r="Z49" s="466"/>
      <c r="AA49" s="466"/>
      <c r="AB49" s="466"/>
      <c r="AC49" s="466"/>
      <c r="AD49" s="466"/>
      <c r="AE49" s="466"/>
      <c r="AF49" s="466"/>
      <c r="AG49" s="466"/>
      <c r="AH49" s="466"/>
      <c r="AI49" s="466"/>
      <c r="AJ49" s="466"/>
      <c r="AK49" s="466"/>
      <c r="AL49" s="466"/>
      <c r="AM49" s="466"/>
      <c r="AN49" s="466"/>
      <c r="AO49" s="466"/>
      <c r="AP49" s="466"/>
      <c r="AQ49" s="466"/>
      <c r="AR49" s="466"/>
      <c r="AS49" s="466"/>
      <c r="AT49" s="466"/>
      <c r="AU49" s="466"/>
      <c r="AV49" s="466"/>
      <c r="AW49" s="466"/>
      <c r="AX49" s="466"/>
      <c r="AY49" s="466"/>
      <c r="AZ49" s="467" t="s">
        <v>402</v>
      </c>
      <c r="BA49" s="466"/>
      <c r="BB49" s="466"/>
      <c r="BC49" s="466"/>
      <c r="BD49" s="466"/>
      <c r="BE49" s="43" t="s">
        <v>403</v>
      </c>
      <c r="BF49" s="47" t="s">
        <v>395</v>
      </c>
      <c r="BG49" s="43"/>
      <c r="BH49" s="47"/>
      <c r="BI49" s="47"/>
      <c r="BJ49" s="43"/>
      <c r="BK49" s="44"/>
    </row>
    <row r="50" spans="1:88" ht="15.75" customHeight="1">
      <c r="A50" s="45" t="s">
        <v>391</v>
      </c>
      <c r="B50" s="46" t="s">
        <v>463</v>
      </c>
      <c r="C50" s="465"/>
      <c r="D50" s="465"/>
      <c r="E50" s="465"/>
      <c r="F50" s="465"/>
      <c r="G50" s="465"/>
      <c r="H50" s="465"/>
      <c r="I50" s="465"/>
      <c r="J50" s="465"/>
      <c r="K50" s="465"/>
      <c r="L50" s="258"/>
      <c r="M50" s="465" t="s">
        <v>464</v>
      </c>
      <c r="N50" s="466"/>
      <c r="O50" s="466"/>
      <c r="P50" s="466"/>
      <c r="Q50" s="466"/>
      <c r="R50" s="466"/>
      <c r="S50" s="466"/>
      <c r="T50" s="466"/>
      <c r="U50" s="466"/>
      <c r="V50" s="466"/>
      <c r="W50" s="466"/>
      <c r="X50" s="466"/>
      <c r="Y50" s="466"/>
      <c r="Z50" s="466"/>
      <c r="AA50" s="466"/>
      <c r="AB50" s="466"/>
      <c r="AC50" s="466"/>
      <c r="AD50" s="466"/>
      <c r="AE50" s="466"/>
      <c r="AF50" s="466"/>
      <c r="AG50" s="466"/>
      <c r="AH50" s="466"/>
      <c r="AI50" s="466"/>
      <c r="AJ50" s="466"/>
      <c r="AK50" s="466"/>
      <c r="AL50" s="466"/>
      <c r="AM50" s="466"/>
      <c r="AN50" s="466"/>
      <c r="AO50" s="466"/>
      <c r="AP50" s="466"/>
      <c r="AQ50" s="466"/>
      <c r="AR50" s="466"/>
      <c r="AS50" s="466"/>
      <c r="AT50" s="466"/>
      <c r="AU50" s="466"/>
      <c r="AV50" s="466"/>
      <c r="AW50" s="466"/>
      <c r="AX50" s="466"/>
      <c r="AY50" s="466"/>
      <c r="AZ50" s="467" t="s">
        <v>402</v>
      </c>
      <c r="BA50" s="466"/>
      <c r="BB50" s="466"/>
      <c r="BC50" s="466"/>
      <c r="BD50" s="466"/>
      <c r="BE50" s="43" t="s">
        <v>403</v>
      </c>
      <c r="BF50" s="47" t="s">
        <v>395</v>
      </c>
      <c r="BG50" s="43"/>
      <c r="BH50" s="47"/>
      <c r="BI50" s="47"/>
      <c r="BJ50" s="43"/>
      <c r="BK50" s="44"/>
    </row>
    <row r="51" spans="1:88" ht="15.75" customHeight="1">
      <c r="A51" s="45" t="s">
        <v>391</v>
      </c>
      <c r="B51" s="46" t="s">
        <v>465</v>
      </c>
      <c r="C51" s="465"/>
      <c r="D51" s="465"/>
      <c r="E51" s="465"/>
      <c r="F51" s="465"/>
      <c r="G51" s="465"/>
      <c r="H51" s="465"/>
      <c r="I51" s="465"/>
      <c r="J51" s="465"/>
      <c r="K51" s="465"/>
      <c r="L51" s="258"/>
      <c r="M51" s="465" t="s">
        <v>466</v>
      </c>
      <c r="N51" s="466"/>
      <c r="O51" s="466"/>
      <c r="P51" s="466"/>
      <c r="Q51" s="466"/>
      <c r="R51" s="466"/>
      <c r="S51" s="466"/>
      <c r="T51" s="466"/>
      <c r="U51" s="466"/>
      <c r="V51" s="466"/>
      <c r="W51" s="466"/>
      <c r="X51" s="466"/>
      <c r="Y51" s="466"/>
      <c r="Z51" s="466"/>
      <c r="AA51" s="466"/>
      <c r="AB51" s="466"/>
      <c r="AC51" s="466"/>
      <c r="AD51" s="466"/>
      <c r="AE51" s="466"/>
      <c r="AF51" s="466"/>
      <c r="AG51" s="466"/>
      <c r="AH51" s="466"/>
      <c r="AI51" s="466"/>
      <c r="AJ51" s="466"/>
      <c r="AK51" s="466"/>
      <c r="AL51" s="466"/>
      <c r="AM51" s="466"/>
      <c r="AN51" s="466"/>
      <c r="AO51" s="466"/>
      <c r="AP51" s="466"/>
      <c r="AQ51" s="466"/>
      <c r="AR51" s="466"/>
      <c r="AS51" s="466"/>
      <c r="AT51" s="466"/>
      <c r="AU51" s="466"/>
      <c r="AV51" s="466"/>
      <c r="AW51" s="466"/>
      <c r="AX51" s="466"/>
      <c r="AY51" s="466"/>
      <c r="AZ51" s="467" t="s">
        <v>402</v>
      </c>
      <c r="BA51" s="466"/>
      <c r="BB51" s="466"/>
      <c r="BC51" s="466"/>
      <c r="BD51" s="466"/>
      <c r="BE51" s="43" t="s">
        <v>403</v>
      </c>
      <c r="BF51" s="47" t="s">
        <v>395</v>
      </c>
      <c r="BG51" s="43"/>
      <c r="BH51" s="47"/>
      <c r="BI51" s="47"/>
      <c r="BJ51" s="43"/>
      <c r="BK51" s="44"/>
    </row>
    <row r="52" spans="1:88" ht="15.75" customHeight="1" thickBot="1">
      <c r="A52" s="45"/>
      <c r="B52" s="46"/>
      <c r="C52" s="465"/>
      <c r="D52" s="465"/>
      <c r="E52" s="465"/>
      <c r="F52" s="465"/>
      <c r="G52" s="465"/>
      <c r="H52" s="465"/>
      <c r="I52" s="465"/>
      <c r="J52" s="465"/>
      <c r="K52" s="465"/>
      <c r="L52" s="258"/>
      <c r="M52" s="465"/>
      <c r="N52" s="466"/>
      <c r="O52" s="466"/>
      <c r="P52" s="466"/>
      <c r="Q52" s="466"/>
      <c r="R52" s="466"/>
      <c r="S52" s="466"/>
      <c r="T52" s="466"/>
      <c r="U52" s="466"/>
      <c r="V52" s="466"/>
      <c r="W52" s="466"/>
      <c r="X52" s="466"/>
      <c r="Y52" s="466"/>
      <c r="Z52" s="466"/>
      <c r="AA52" s="466"/>
      <c r="AB52" s="466"/>
      <c r="AC52" s="466"/>
      <c r="AD52" s="466"/>
      <c r="AE52" s="466"/>
      <c r="AF52" s="466"/>
      <c r="AG52" s="466"/>
      <c r="AH52" s="466"/>
      <c r="AI52" s="466"/>
      <c r="AJ52" s="466"/>
      <c r="AK52" s="466"/>
      <c r="AL52" s="466"/>
      <c r="AM52" s="466"/>
      <c r="AN52" s="466"/>
      <c r="AO52" s="466"/>
      <c r="AP52" s="466"/>
      <c r="AQ52" s="466"/>
      <c r="AR52" s="466"/>
      <c r="AS52" s="466"/>
      <c r="AT52" s="466"/>
      <c r="AU52" s="466"/>
      <c r="AV52" s="466"/>
      <c r="AW52" s="466"/>
      <c r="AX52" s="466"/>
      <c r="AY52" s="466"/>
      <c r="AZ52" s="467"/>
      <c r="BA52" s="466"/>
      <c r="BB52" s="466"/>
      <c r="BC52" s="466"/>
      <c r="BD52" s="466"/>
      <c r="BE52" s="38"/>
      <c r="BF52" s="349"/>
      <c r="BG52" s="43"/>
      <c r="BH52" s="47"/>
      <c r="BI52" s="47"/>
      <c r="BJ52" s="43"/>
      <c r="BK52" s="44"/>
    </row>
    <row r="53" spans="1:88" ht="15.75" customHeight="1">
      <c r="A53" s="253"/>
      <c r="B53" s="254" t="s">
        <v>467</v>
      </c>
      <c r="C53" s="255"/>
      <c r="D53" s="255"/>
      <c r="E53" s="255"/>
      <c r="F53" s="255"/>
      <c r="G53" s="255"/>
      <c r="H53" s="255"/>
      <c r="I53" s="255"/>
      <c r="J53" s="255"/>
      <c r="K53" s="255"/>
      <c r="L53" s="256"/>
      <c r="M53" s="255"/>
      <c r="N53" s="257" t="s">
        <v>383</v>
      </c>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35" t="s">
        <v>384</v>
      </c>
      <c r="BF53" s="35" t="s">
        <v>385</v>
      </c>
      <c r="BG53" s="35" t="s">
        <v>386</v>
      </c>
      <c r="BH53" s="35" t="s">
        <v>387</v>
      </c>
      <c r="BI53" s="35" t="s">
        <v>388</v>
      </c>
      <c r="BJ53" s="35" t="s">
        <v>389</v>
      </c>
      <c r="BK53" s="36" t="s">
        <v>390</v>
      </c>
    </row>
    <row r="54" spans="1:88" ht="15.75" customHeight="1">
      <c r="A54" s="45" t="s">
        <v>391</v>
      </c>
      <c r="B54" s="46" t="s">
        <v>468</v>
      </c>
      <c r="C54" s="465"/>
      <c r="D54" s="465"/>
      <c r="E54" s="465"/>
      <c r="F54" s="465"/>
      <c r="G54" s="465"/>
      <c r="H54" s="465"/>
      <c r="I54" s="465"/>
      <c r="J54" s="465"/>
      <c r="K54" s="465"/>
      <c r="L54" s="258"/>
      <c r="M54" s="465" t="s">
        <v>469</v>
      </c>
      <c r="N54" s="466"/>
      <c r="O54" s="466"/>
      <c r="P54" s="466"/>
      <c r="Q54" s="466"/>
      <c r="R54" s="466"/>
      <c r="S54" s="466"/>
      <c r="T54" s="466"/>
      <c r="U54" s="466"/>
      <c r="V54" s="466"/>
      <c r="W54" s="466"/>
      <c r="X54" s="466"/>
      <c r="Y54" s="466"/>
      <c r="Z54" s="466"/>
      <c r="AA54" s="466"/>
      <c r="AB54" s="466"/>
      <c r="AC54" s="466"/>
      <c r="AD54" s="466"/>
      <c r="AE54" s="466"/>
      <c r="AF54" s="466"/>
      <c r="AG54" s="466"/>
      <c r="AH54" s="466"/>
      <c r="AI54" s="466"/>
      <c r="AJ54" s="466"/>
      <c r="AK54" s="466"/>
      <c r="AL54" s="466"/>
      <c r="AM54" s="466"/>
      <c r="AN54" s="466"/>
      <c r="AO54" s="466"/>
      <c r="AP54" s="466"/>
      <c r="AQ54" s="466"/>
      <c r="AR54" s="466"/>
      <c r="AS54" s="467" t="s">
        <v>470</v>
      </c>
      <c r="AT54" s="466"/>
      <c r="AU54" s="466"/>
      <c r="AV54" s="466"/>
      <c r="AW54" s="466"/>
      <c r="AX54" s="466"/>
      <c r="AY54" s="466"/>
      <c r="AZ54" s="466"/>
      <c r="BA54" s="466"/>
      <c r="BB54" s="466"/>
      <c r="BC54" s="466"/>
      <c r="BD54" s="466"/>
      <c r="BE54" s="38" t="s">
        <v>471</v>
      </c>
      <c r="BF54" s="349" t="s">
        <v>472</v>
      </c>
      <c r="BG54" s="43"/>
      <c r="BH54" s="47"/>
      <c r="BI54" s="43"/>
      <c r="BJ54" s="43"/>
      <c r="BK54" s="44"/>
    </row>
    <row r="55" spans="1:88" ht="15.75" customHeight="1">
      <c r="A55" s="45" t="s">
        <v>391</v>
      </c>
      <c r="B55" s="46" t="s">
        <v>265</v>
      </c>
      <c r="C55" s="465"/>
      <c r="D55" s="465"/>
      <c r="E55" s="465"/>
      <c r="F55" s="465"/>
      <c r="G55" s="465"/>
      <c r="H55" s="465"/>
      <c r="I55" s="465"/>
      <c r="J55" s="465"/>
      <c r="K55" s="465"/>
      <c r="L55" s="258"/>
      <c r="M55" s="465" t="s">
        <v>473</v>
      </c>
      <c r="N55" s="466"/>
      <c r="O55" s="466"/>
      <c r="P55" s="466"/>
      <c r="Q55" s="466"/>
      <c r="R55" s="466"/>
      <c r="S55" s="466"/>
      <c r="T55" s="466"/>
      <c r="U55" s="466"/>
      <c r="V55" s="466"/>
      <c r="W55" s="466"/>
      <c r="X55" s="466"/>
      <c r="Y55" s="466"/>
      <c r="Z55" s="466"/>
      <c r="AA55" s="466"/>
      <c r="AB55" s="466"/>
      <c r="AC55" s="466"/>
      <c r="AD55" s="466"/>
      <c r="AE55" s="466"/>
      <c r="AF55" s="466"/>
      <c r="AG55" s="466"/>
      <c r="AH55" s="466"/>
      <c r="AI55" s="466"/>
      <c r="AJ55" s="466"/>
      <c r="AK55" s="466"/>
      <c r="AL55" s="466"/>
      <c r="AM55" s="466"/>
      <c r="AN55" s="466"/>
      <c r="AO55" s="466"/>
      <c r="AP55" s="466"/>
      <c r="AQ55" s="466"/>
      <c r="AR55" s="466"/>
      <c r="AS55" s="467" t="s">
        <v>470</v>
      </c>
      <c r="AT55" s="466"/>
      <c r="AU55" s="466"/>
      <c r="AV55" s="466"/>
      <c r="AW55" s="466"/>
      <c r="AX55" s="466"/>
      <c r="AY55" s="466"/>
      <c r="AZ55" s="466"/>
      <c r="BA55" s="466"/>
      <c r="BB55" s="466"/>
      <c r="BC55" s="466"/>
      <c r="BD55" s="466"/>
      <c r="BE55" s="38" t="s">
        <v>471</v>
      </c>
      <c r="BF55" s="349" t="s">
        <v>472</v>
      </c>
      <c r="BG55" s="43"/>
      <c r="BH55" s="47"/>
      <c r="BI55" s="43"/>
      <c r="BJ55" s="43"/>
      <c r="BK55" s="44"/>
    </row>
    <row r="56" spans="1:88" ht="15.75" customHeight="1">
      <c r="A56" s="45" t="s">
        <v>391</v>
      </c>
      <c r="B56" s="46" t="s">
        <v>268</v>
      </c>
      <c r="C56" s="465"/>
      <c r="D56" s="465"/>
      <c r="E56" s="465"/>
      <c r="F56" s="465"/>
      <c r="G56" s="465"/>
      <c r="H56" s="465"/>
      <c r="I56" s="465"/>
      <c r="J56" s="465"/>
      <c r="K56" s="465"/>
      <c r="L56" s="258"/>
      <c r="M56" s="465" t="s">
        <v>474</v>
      </c>
      <c r="N56" s="466"/>
      <c r="O56" s="466"/>
      <c r="P56" s="466"/>
      <c r="Q56" s="466"/>
      <c r="R56" s="466"/>
      <c r="S56" s="466"/>
      <c r="T56" s="466"/>
      <c r="U56" s="466"/>
      <c r="V56" s="466"/>
      <c r="W56" s="466"/>
      <c r="X56" s="466"/>
      <c r="Y56" s="466"/>
      <c r="Z56" s="466"/>
      <c r="AA56" s="466"/>
      <c r="AB56" s="466"/>
      <c r="AC56" s="466"/>
      <c r="AD56" s="466"/>
      <c r="AE56" s="466"/>
      <c r="AF56" s="466"/>
      <c r="AG56" s="466"/>
      <c r="AH56" s="466"/>
      <c r="AI56" s="466"/>
      <c r="AJ56" s="466"/>
      <c r="AK56" s="466"/>
      <c r="AL56" s="466"/>
      <c r="AM56" s="466"/>
      <c r="AN56" s="466"/>
      <c r="AO56" s="466"/>
      <c r="AP56" s="466"/>
      <c r="AQ56" s="466"/>
      <c r="AR56" s="466"/>
      <c r="AS56" s="467" t="s">
        <v>470</v>
      </c>
      <c r="AT56" s="466"/>
      <c r="AU56" s="466"/>
      <c r="AV56" s="466"/>
      <c r="AW56" s="466"/>
      <c r="AX56" s="466"/>
      <c r="AY56" s="466"/>
      <c r="AZ56" s="466"/>
      <c r="BA56" s="466"/>
      <c r="BB56" s="466"/>
      <c r="BC56" s="466"/>
      <c r="BD56" s="466"/>
      <c r="BE56" s="38" t="s">
        <v>471</v>
      </c>
      <c r="BF56" s="349" t="s">
        <v>472</v>
      </c>
      <c r="BG56" s="43"/>
      <c r="BH56" s="47"/>
      <c r="BI56" s="43"/>
      <c r="BJ56" s="43"/>
      <c r="BK56" s="44"/>
    </row>
    <row r="57" spans="1:88" ht="15.75" customHeight="1" thickBot="1">
      <c r="A57" s="45"/>
      <c r="B57" s="46"/>
      <c r="C57" s="465"/>
      <c r="D57" s="465"/>
      <c r="E57" s="465"/>
      <c r="F57" s="465"/>
      <c r="G57" s="465"/>
      <c r="H57" s="465"/>
      <c r="I57" s="465"/>
      <c r="J57" s="465"/>
      <c r="K57" s="465"/>
      <c r="L57" s="258"/>
      <c r="M57" s="465"/>
      <c r="N57" s="466"/>
      <c r="O57" s="466"/>
      <c r="P57" s="466"/>
      <c r="Q57" s="466"/>
      <c r="R57" s="466"/>
      <c r="S57" s="466"/>
      <c r="T57" s="466"/>
      <c r="U57" s="466"/>
      <c r="V57" s="466"/>
      <c r="W57" s="466"/>
      <c r="X57" s="466"/>
      <c r="Y57" s="466"/>
      <c r="Z57" s="466"/>
      <c r="AA57" s="466"/>
      <c r="AB57" s="466"/>
      <c r="AC57" s="466"/>
      <c r="AD57" s="466"/>
      <c r="AE57" s="466"/>
      <c r="AF57" s="466"/>
      <c r="AG57" s="466"/>
      <c r="AH57" s="466"/>
      <c r="AI57" s="466"/>
      <c r="AJ57" s="466"/>
      <c r="AK57" s="466"/>
      <c r="AL57" s="466"/>
      <c r="AM57" s="466"/>
      <c r="AN57" s="466"/>
      <c r="AO57" s="466"/>
      <c r="AP57" s="466"/>
      <c r="AQ57" s="466"/>
      <c r="AR57" s="466"/>
      <c r="AS57" s="466"/>
      <c r="AT57" s="466"/>
      <c r="AU57" s="466"/>
      <c r="AV57" s="466"/>
      <c r="AW57" s="466"/>
      <c r="AX57" s="466"/>
      <c r="AY57" s="466"/>
      <c r="AZ57" s="466"/>
      <c r="BA57" s="466"/>
      <c r="BB57" s="466"/>
      <c r="BC57" s="466"/>
      <c r="BD57" s="466"/>
      <c r="BE57" s="43"/>
      <c r="BF57" s="47"/>
      <c r="BG57" s="43"/>
      <c r="BH57" s="47"/>
      <c r="BI57" s="47"/>
      <c r="BJ57" s="43"/>
      <c r="BK57" s="44"/>
    </row>
    <row r="58" spans="1:88" s="7" customFormat="1" ht="14.25">
      <c r="A58" s="30"/>
      <c r="B58" s="31" t="s">
        <v>475</v>
      </c>
      <c r="C58" s="32"/>
      <c r="D58" s="32"/>
      <c r="E58" s="32"/>
      <c r="F58" s="32"/>
      <c r="G58" s="32"/>
      <c r="H58" s="32"/>
      <c r="I58" s="32"/>
      <c r="J58" s="32"/>
      <c r="K58" s="32"/>
      <c r="L58" s="33"/>
      <c r="M58" s="32"/>
      <c r="N58" s="34" t="s">
        <v>383</v>
      </c>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5" t="s">
        <v>384</v>
      </c>
      <c r="BF58" s="35" t="s">
        <v>385</v>
      </c>
      <c r="BG58" s="35" t="s">
        <v>386</v>
      </c>
      <c r="BH58" s="35" t="s">
        <v>387</v>
      </c>
      <c r="BI58" s="35" t="s">
        <v>388</v>
      </c>
      <c r="BJ58" s="35" t="s">
        <v>389</v>
      </c>
      <c r="BK58" s="36" t="s">
        <v>390</v>
      </c>
      <c r="BM58" s="950"/>
      <c r="BN58" s="950"/>
      <c r="BO58" s="950"/>
      <c r="BP58" s="950"/>
      <c r="BQ58" s="950"/>
      <c r="BR58" s="950"/>
      <c r="BS58" s="950"/>
      <c r="BT58" s="950"/>
      <c r="BU58" s="950"/>
      <c r="BV58" s="950"/>
      <c r="BW58" s="950"/>
      <c r="BX58" s="950"/>
      <c r="BY58" s="950"/>
      <c r="BZ58" s="950"/>
      <c r="CA58" s="950"/>
      <c r="CB58" s="950"/>
      <c r="CC58" s="950"/>
      <c r="CD58" s="950"/>
      <c r="CE58" s="950"/>
      <c r="CF58" s="950"/>
      <c r="CG58" s="950"/>
      <c r="CH58" s="950"/>
      <c r="CI58" s="950"/>
      <c r="CJ58" s="950"/>
    </row>
    <row r="59" spans="1:88" ht="15.75" customHeight="1">
      <c r="A59" s="45"/>
      <c r="B59" s="37" t="s">
        <v>273</v>
      </c>
      <c r="C59" s="465"/>
      <c r="D59" s="465"/>
      <c r="E59" s="465"/>
      <c r="F59" s="465"/>
      <c r="G59" s="465"/>
      <c r="H59" s="465"/>
      <c r="I59" s="465"/>
      <c r="J59" s="465"/>
      <c r="K59" s="465"/>
      <c r="L59" s="258"/>
      <c r="M59" s="465" t="s">
        <v>476</v>
      </c>
      <c r="N59" s="466"/>
      <c r="O59" s="466"/>
      <c r="P59" s="466"/>
      <c r="Q59" s="466"/>
      <c r="R59" s="466"/>
      <c r="S59" s="466"/>
      <c r="T59" s="466"/>
      <c r="U59" s="466"/>
      <c r="V59" s="466"/>
      <c r="W59" s="466"/>
      <c r="X59" s="466"/>
      <c r="Y59" s="466"/>
      <c r="Z59" s="466"/>
      <c r="AA59" s="466"/>
      <c r="AB59" s="466"/>
      <c r="AC59" s="466"/>
      <c r="AD59" s="466"/>
      <c r="AE59" s="466"/>
      <c r="AF59" s="466"/>
      <c r="AG59" s="466"/>
      <c r="AH59" s="466"/>
      <c r="AI59" s="466"/>
      <c r="AJ59" s="466"/>
      <c r="AK59" s="466"/>
      <c r="AL59" s="466"/>
      <c r="AM59" s="466"/>
      <c r="AN59" s="466"/>
      <c r="AO59" s="466"/>
      <c r="AP59" s="466"/>
      <c r="AQ59" s="466"/>
      <c r="AR59" s="466"/>
      <c r="AS59" s="466"/>
      <c r="AT59" s="466"/>
      <c r="AU59" s="466"/>
      <c r="AV59" s="466"/>
      <c r="AW59" s="466"/>
      <c r="AX59" s="466"/>
      <c r="AY59" s="466"/>
      <c r="AZ59" s="466"/>
      <c r="BA59" s="466"/>
      <c r="BB59" s="466"/>
      <c r="BC59" s="466"/>
      <c r="BD59" s="466"/>
      <c r="BE59" s="47" t="s">
        <v>403</v>
      </c>
      <c r="BF59" s="47" t="s">
        <v>448</v>
      </c>
      <c r="BG59" s="43"/>
      <c r="BH59" s="47"/>
      <c r="BI59" s="47"/>
      <c r="BJ59" s="43"/>
      <c r="BK59" s="44"/>
    </row>
    <row r="60" spans="1:88" ht="15.75" customHeight="1">
      <c r="A60" s="45"/>
      <c r="B60" s="37" t="s">
        <v>477</v>
      </c>
      <c r="C60" s="465"/>
      <c r="D60" s="465"/>
      <c r="E60" s="465"/>
      <c r="F60" s="465"/>
      <c r="G60" s="465"/>
      <c r="H60" s="465"/>
      <c r="I60" s="465"/>
      <c r="J60" s="465"/>
      <c r="K60" s="465"/>
      <c r="L60" s="258"/>
      <c r="M60" s="465" t="s">
        <v>478</v>
      </c>
      <c r="N60" s="466"/>
      <c r="O60" s="466"/>
      <c r="P60" s="466"/>
      <c r="Q60" s="466"/>
      <c r="R60" s="466"/>
      <c r="S60" s="466"/>
      <c r="T60" s="466"/>
      <c r="U60" s="466"/>
      <c r="V60" s="466"/>
      <c r="W60" s="466"/>
      <c r="X60" s="466"/>
      <c r="Y60" s="466"/>
      <c r="Z60" s="466"/>
      <c r="AA60" s="466"/>
      <c r="AB60" s="466"/>
      <c r="AC60" s="466"/>
      <c r="AD60" s="466"/>
      <c r="AE60" s="466"/>
      <c r="AF60" s="466"/>
      <c r="AG60" s="466"/>
      <c r="AH60" s="466"/>
      <c r="AI60" s="466"/>
      <c r="AJ60" s="466"/>
      <c r="AK60" s="466"/>
      <c r="AL60" s="466"/>
      <c r="AM60" s="466"/>
      <c r="AN60" s="466"/>
      <c r="AO60" s="466"/>
      <c r="AP60" s="466"/>
      <c r="AQ60" s="466"/>
      <c r="AR60" s="466"/>
      <c r="AS60" s="466"/>
      <c r="AT60" s="466"/>
      <c r="AU60" s="466"/>
      <c r="AV60" s="466"/>
      <c r="AW60" s="466"/>
      <c r="AX60" s="466"/>
      <c r="AY60" s="466"/>
      <c r="AZ60" s="466"/>
      <c r="BA60" s="466"/>
      <c r="BB60" s="466"/>
      <c r="BC60" s="466"/>
      <c r="BD60" s="466"/>
      <c r="BE60" s="47" t="s">
        <v>403</v>
      </c>
      <c r="BF60" s="47" t="s">
        <v>395</v>
      </c>
      <c r="BG60" s="43"/>
      <c r="BH60" s="47"/>
      <c r="BI60" s="47"/>
      <c r="BJ60" s="43"/>
      <c r="BK60" s="44"/>
    </row>
    <row r="61" spans="1:88" ht="15.75" customHeight="1">
      <c r="A61" s="45"/>
      <c r="B61" s="37" t="s">
        <v>479</v>
      </c>
      <c r="C61" s="465"/>
      <c r="D61" s="465"/>
      <c r="E61" s="465"/>
      <c r="F61" s="465"/>
      <c r="G61" s="465"/>
      <c r="H61" s="465"/>
      <c r="I61" s="465"/>
      <c r="J61" s="465"/>
      <c r="K61" s="465"/>
      <c r="L61" s="258"/>
      <c r="M61" s="465" t="s">
        <v>480</v>
      </c>
      <c r="N61" s="466"/>
      <c r="O61" s="466"/>
      <c r="P61" s="466"/>
      <c r="Q61" s="466"/>
      <c r="R61" s="466"/>
      <c r="S61" s="466"/>
      <c r="T61" s="466"/>
      <c r="U61" s="466"/>
      <c r="V61" s="466"/>
      <c r="W61" s="466"/>
      <c r="X61" s="466"/>
      <c r="Y61" s="466"/>
      <c r="Z61" s="466"/>
      <c r="AA61" s="466"/>
      <c r="AB61" s="466"/>
      <c r="AC61" s="466"/>
      <c r="AD61" s="466"/>
      <c r="AE61" s="466"/>
      <c r="AF61" s="466"/>
      <c r="AG61" s="466"/>
      <c r="AH61" s="466"/>
      <c r="AI61" s="466"/>
      <c r="AJ61" s="466"/>
      <c r="AK61" s="466"/>
      <c r="AL61" s="466"/>
      <c r="AM61" s="466"/>
      <c r="AN61" s="466"/>
      <c r="AO61" s="466"/>
      <c r="AP61" s="466"/>
      <c r="AQ61" s="466"/>
      <c r="AR61" s="466"/>
      <c r="AS61" s="466"/>
      <c r="AT61" s="466"/>
      <c r="AU61" s="466"/>
      <c r="AV61" s="466"/>
      <c r="AW61" s="466"/>
      <c r="AX61" s="466"/>
      <c r="AY61" s="466"/>
      <c r="AZ61" s="466"/>
      <c r="BA61" s="466"/>
      <c r="BB61" s="466"/>
      <c r="BC61" s="466"/>
      <c r="BD61" s="466"/>
      <c r="BE61" s="47" t="s">
        <v>403</v>
      </c>
      <c r="BF61" s="47" t="s">
        <v>395</v>
      </c>
      <c r="BG61" s="43"/>
      <c r="BH61" s="47"/>
      <c r="BI61" s="47"/>
      <c r="BJ61" s="43"/>
      <c r="BK61" s="44"/>
    </row>
    <row r="62" spans="1:88" ht="15.75" customHeight="1">
      <c r="A62" s="45"/>
      <c r="B62" s="46" t="s">
        <v>396</v>
      </c>
      <c r="C62" s="465"/>
      <c r="D62" s="465"/>
      <c r="E62" s="465"/>
      <c r="F62" s="465"/>
      <c r="G62" s="465"/>
      <c r="H62" s="465"/>
      <c r="I62" s="465"/>
      <c r="J62" s="465"/>
      <c r="K62" s="465"/>
      <c r="L62" s="258"/>
      <c r="M62" s="465" t="s">
        <v>481</v>
      </c>
      <c r="N62" s="466"/>
      <c r="O62" s="466"/>
      <c r="P62" s="466"/>
      <c r="Q62" s="466"/>
      <c r="R62" s="466"/>
      <c r="S62" s="466"/>
      <c r="T62" s="466"/>
      <c r="U62" s="466"/>
      <c r="V62" s="466"/>
      <c r="W62" s="466"/>
      <c r="X62" s="466"/>
      <c r="Y62" s="466"/>
      <c r="Z62" s="466"/>
      <c r="AA62" s="466"/>
      <c r="AB62" s="466"/>
      <c r="AC62" s="466"/>
      <c r="AD62" s="466"/>
      <c r="AE62" s="466"/>
      <c r="AF62" s="466"/>
      <c r="AG62" s="466"/>
      <c r="AH62" s="466"/>
      <c r="AI62" s="466"/>
      <c r="AJ62" s="466"/>
      <c r="AK62" s="466"/>
      <c r="AL62" s="466"/>
      <c r="AM62" s="466"/>
      <c r="AN62" s="466"/>
      <c r="AO62" s="466"/>
      <c r="AP62" s="466"/>
      <c r="AQ62" s="466"/>
      <c r="AR62" s="466"/>
      <c r="AS62" s="466"/>
      <c r="AT62" s="466"/>
      <c r="AU62" s="466"/>
      <c r="AV62" s="466"/>
      <c r="AW62" s="466"/>
      <c r="AX62" s="466"/>
      <c r="AY62" s="466"/>
      <c r="AZ62" s="466"/>
      <c r="BA62" s="466"/>
      <c r="BB62" s="466"/>
      <c r="BC62" s="466"/>
      <c r="BD62" s="466"/>
      <c r="BE62" s="47" t="s">
        <v>403</v>
      </c>
      <c r="BF62" s="47" t="s">
        <v>395</v>
      </c>
      <c r="BG62" s="43"/>
      <c r="BH62" s="47"/>
      <c r="BI62" s="47"/>
      <c r="BJ62" s="43"/>
      <c r="BK62" s="44"/>
    </row>
    <row r="63" spans="1:88" ht="15.75" customHeight="1">
      <c r="A63" s="45"/>
      <c r="B63" s="46" t="s">
        <v>482</v>
      </c>
      <c r="C63" s="465"/>
      <c r="D63" s="465"/>
      <c r="E63" s="465"/>
      <c r="F63" s="465"/>
      <c r="G63" s="465"/>
      <c r="H63" s="465"/>
      <c r="I63" s="465"/>
      <c r="J63" s="465"/>
      <c r="K63" s="465"/>
      <c r="L63" s="258"/>
      <c r="M63" s="465" t="s">
        <v>483</v>
      </c>
      <c r="N63" s="466"/>
      <c r="O63" s="466"/>
      <c r="P63" s="466"/>
      <c r="Q63" s="466"/>
      <c r="R63" s="466"/>
      <c r="S63" s="466"/>
      <c r="T63" s="466"/>
      <c r="U63" s="466"/>
      <c r="V63" s="466"/>
      <c r="W63" s="466"/>
      <c r="X63" s="466"/>
      <c r="Y63" s="466"/>
      <c r="Z63" s="466"/>
      <c r="AA63" s="466"/>
      <c r="AB63" s="466"/>
      <c r="AC63" s="466"/>
      <c r="AD63" s="466"/>
      <c r="AE63" s="466"/>
      <c r="AF63" s="466"/>
      <c r="AG63" s="466"/>
      <c r="AH63" s="466"/>
      <c r="AI63" s="466"/>
      <c r="AJ63" s="466"/>
      <c r="AK63" s="466"/>
      <c r="AL63" s="466"/>
      <c r="AM63" s="466"/>
      <c r="AN63" s="466"/>
      <c r="AO63" s="466"/>
      <c r="AP63" s="466"/>
      <c r="AQ63" s="466"/>
      <c r="AR63" s="466"/>
      <c r="AS63" s="466"/>
      <c r="AT63" s="466"/>
      <c r="AU63" s="466"/>
      <c r="AV63" s="466"/>
      <c r="AW63" s="466"/>
      <c r="AX63" s="466"/>
      <c r="AY63" s="466"/>
      <c r="AZ63" s="466"/>
      <c r="BA63" s="466"/>
      <c r="BB63" s="466"/>
      <c r="BC63" s="466"/>
      <c r="BD63" s="466"/>
      <c r="BE63" s="47" t="s">
        <v>403</v>
      </c>
      <c r="BF63" s="47" t="s">
        <v>395</v>
      </c>
      <c r="BG63" s="43"/>
      <c r="BH63" s="47"/>
      <c r="BI63" s="47"/>
      <c r="BJ63" s="43"/>
      <c r="BK63" s="44"/>
    </row>
    <row r="64" spans="1:88" ht="15.75" customHeight="1">
      <c r="A64" s="45"/>
      <c r="B64" s="46" t="s">
        <v>484</v>
      </c>
      <c r="C64" s="465"/>
      <c r="D64" s="465"/>
      <c r="E64" s="465"/>
      <c r="F64" s="465"/>
      <c r="G64" s="465"/>
      <c r="H64" s="465"/>
      <c r="I64" s="465"/>
      <c r="J64" s="465"/>
      <c r="K64" s="465"/>
      <c r="L64" s="258"/>
      <c r="M64" s="465" t="s">
        <v>485</v>
      </c>
      <c r="N64" s="466"/>
      <c r="O64" s="466"/>
      <c r="P64" s="466"/>
      <c r="Q64" s="466"/>
      <c r="R64" s="466"/>
      <c r="S64" s="466"/>
      <c r="T64" s="466"/>
      <c r="U64" s="466"/>
      <c r="V64" s="466"/>
      <c r="W64" s="466"/>
      <c r="X64" s="466"/>
      <c r="Y64" s="466"/>
      <c r="Z64" s="466"/>
      <c r="AA64" s="466"/>
      <c r="AB64" s="466"/>
      <c r="AC64" s="466"/>
      <c r="AD64" s="466"/>
      <c r="AE64" s="466"/>
      <c r="AF64" s="466"/>
      <c r="AG64" s="466"/>
      <c r="AH64" s="466"/>
      <c r="AI64" s="466"/>
      <c r="AJ64" s="466"/>
      <c r="AK64" s="466"/>
      <c r="AL64" s="466"/>
      <c r="AM64" s="466"/>
      <c r="AN64" s="466"/>
      <c r="AO64" s="466"/>
      <c r="AP64" s="466"/>
      <c r="AQ64" s="466"/>
      <c r="AR64" s="466"/>
      <c r="AS64" s="466"/>
      <c r="AT64" s="466"/>
      <c r="AU64" s="466"/>
      <c r="AV64" s="466"/>
      <c r="AW64" s="466"/>
      <c r="AX64" s="466"/>
      <c r="AY64" s="466"/>
      <c r="AZ64" s="466"/>
      <c r="BA64" s="466"/>
      <c r="BB64" s="466"/>
      <c r="BC64" s="466"/>
      <c r="BD64" s="466"/>
      <c r="BE64" s="47" t="s">
        <v>403</v>
      </c>
      <c r="BF64" s="47" t="s">
        <v>395</v>
      </c>
      <c r="BG64" s="43"/>
      <c r="BH64" s="47"/>
      <c r="BI64" s="47"/>
      <c r="BJ64" s="43"/>
      <c r="BK64" s="44"/>
    </row>
    <row r="65" spans="1:63" ht="15.75" customHeight="1">
      <c r="A65" s="45"/>
      <c r="B65" s="46" t="s">
        <v>278</v>
      </c>
      <c r="C65" s="465"/>
      <c r="D65" s="465"/>
      <c r="E65" s="465"/>
      <c r="F65" s="465"/>
      <c r="G65" s="465"/>
      <c r="H65" s="465"/>
      <c r="I65" s="465"/>
      <c r="J65" s="465"/>
      <c r="K65" s="465"/>
      <c r="L65" s="258"/>
      <c r="M65" s="465" t="s">
        <v>486</v>
      </c>
      <c r="N65" s="466"/>
      <c r="O65" s="466"/>
      <c r="P65" s="466"/>
      <c r="Q65" s="466"/>
      <c r="R65" s="466"/>
      <c r="S65" s="466"/>
      <c r="T65" s="466"/>
      <c r="U65" s="466"/>
      <c r="V65" s="466"/>
      <c r="W65" s="466"/>
      <c r="X65" s="466"/>
      <c r="Y65" s="466"/>
      <c r="Z65" s="466"/>
      <c r="AA65" s="466"/>
      <c r="AB65" s="466"/>
      <c r="AC65" s="466"/>
      <c r="AD65" s="466"/>
      <c r="AE65" s="466"/>
      <c r="AF65" s="466"/>
      <c r="AG65" s="466"/>
      <c r="AH65" s="466"/>
      <c r="AI65" s="466"/>
      <c r="AJ65" s="466"/>
      <c r="AK65" s="466"/>
      <c r="AL65" s="466"/>
      <c r="AM65" s="466"/>
      <c r="AN65" s="466"/>
      <c r="AO65" s="466"/>
      <c r="AP65" s="466"/>
      <c r="AQ65" s="466"/>
      <c r="AR65" s="466"/>
      <c r="AS65" s="466"/>
      <c r="AT65" s="466"/>
      <c r="AU65" s="466"/>
      <c r="AV65" s="466"/>
      <c r="AW65" s="466"/>
      <c r="AX65" s="466"/>
      <c r="AY65" s="466"/>
      <c r="AZ65" s="466"/>
      <c r="BA65" s="466"/>
      <c r="BB65" s="466"/>
      <c r="BC65" s="466"/>
      <c r="BD65" s="466"/>
      <c r="BE65" s="47" t="s">
        <v>403</v>
      </c>
      <c r="BF65" s="47" t="s">
        <v>395</v>
      </c>
      <c r="BG65" s="43"/>
      <c r="BH65" s="47"/>
      <c r="BI65" s="47"/>
      <c r="BJ65" s="43"/>
      <c r="BK65" s="44"/>
    </row>
    <row r="66" spans="1:63" ht="15.75" customHeight="1">
      <c r="A66" s="45"/>
      <c r="B66" s="37" t="s">
        <v>191</v>
      </c>
      <c r="C66" s="465"/>
      <c r="D66" s="465"/>
      <c r="E66" s="465"/>
      <c r="F66" s="465"/>
      <c r="G66" s="465"/>
      <c r="H66" s="465"/>
      <c r="I66" s="465"/>
      <c r="J66" s="465"/>
      <c r="K66" s="465"/>
      <c r="L66" s="258"/>
      <c r="M66" s="465" t="s">
        <v>487</v>
      </c>
      <c r="N66" s="466"/>
      <c r="O66" s="466"/>
      <c r="P66" s="466"/>
      <c r="Q66" s="466"/>
      <c r="R66" s="466"/>
      <c r="S66" s="466"/>
      <c r="T66" s="466"/>
      <c r="U66" s="466"/>
      <c r="V66" s="466"/>
      <c r="W66" s="466"/>
      <c r="X66" s="466"/>
      <c r="Y66" s="466"/>
      <c r="Z66" s="466"/>
      <c r="AA66" s="466"/>
      <c r="AB66" s="466"/>
      <c r="AC66" s="466"/>
      <c r="AD66" s="466"/>
      <c r="AE66" s="466"/>
      <c r="AF66" s="466"/>
      <c r="AG66" s="466"/>
      <c r="AH66" s="466"/>
      <c r="AI66" s="466"/>
      <c r="AJ66" s="466"/>
      <c r="AK66" s="466"/>
      <c r="AL66" s="466"/>
      <c r="AM66" s="466"/>
      <c r="AN66" s="466"/>
      <c r="AO66" s="466"/>
      <c r="AP66" s="466"/>
      <c r="AQ66" s="466"/>
      <c r="AR66" s="466"/>
      <c r="AS66" s="466"/>
      <c r="AT66" s="466"/>
      <c r="AU66" s="466"/>
      <c r="AV66" s="466"/>
      <c r="AW66" s="466"/>
      <c r="AX66" s="466"/>
      <c r="AY66" s="466"/>
      <c r="AZ66" s="466"/>
      <c r="BA66" s="466"/>
      <c r="BB66" s="466"/>
      <c r="BC66" s="466"/>
      <c r="BD66" s="466"/>
      <c r="BE66" s="47" t="s">
        <v>403</v>
      </c>
      <c r="BF66" s="47" t="s">
        <v>395</v>
      </c>
      <c r="BG66" s="43"/>
      <c r="BH66" s="47"/>
      <c r="BI66" s="47"/>
      <c r="BJ66" s="43"/>
      <c r="BK66" s="44"/>
    </row>
    <row r="67" spans="1:63" ht="15.75" customHeight="1">
      <c r="A67" s="45"/>
      <c r="B67" s="37" t="s">
        <v>488</v>
      </c>
      <c r="C67" s="465"/>
      <c r="D67" s="465"/>
      <c r="E67" s="465"/>
      <c r="F67" s="465"/>
      <c r="G67" s="465"/>
      <c r="H67" s="465"/>
      <c r="I67" s="465"/>
      <c r="J67" s="465"/>
      <c r="K67" s="465"/>
      <c r="L67" s="258"/>
      <c r="M67" s="465" t="s">
        <v>489</v>
      </c>
      <c r="N67" s="466"/>
      <c r="O67" s="466"/>
      <c r="P67" s="466"/>
      <c r="Q67" s="466"/>
      <c r="R67" s="466"/>
      <c r="S67" s="466"/>
      <c r="T67" s="466"/>
      <c r="U67" s="466"/>
      <c r="V67" s="466"/>
      <c r="W67" s="466"/>
      <c r="X67" s="466"/>
      <c r="Y67" s="466"/>
      <c r="Z67" s="466"/>
      <c r="AA67" s="466"/>
      <c r="AB67" s="466"/>
      <c r="AC67" s="466"/>
      <c r="AD67" s="466"/>
      <c r="AE67" s="466"/>
      <c r="AF67" s="466"/>
      <c r="AG67" s="466"/>
      <c r="AH67" s="466"/>
      <c r="AI67" s="466"/>
      <c r="AJ67" s="466"/>
      <c r="AK67" s="466"/>
      <c r="AL67" s="466"/>
      <c r="AM67" s="466"/>
      <c r="AN67" s="466"/>
      <c r="AO67" s="466"/>
      <c r="AP67" s="466"/>
      <c r="AQ67" s="466"/>
      <c r="AR67" s="466"/>
      <c r="AS67" s="466"/>
      <c r="AT67" s="466"/>
      <c r="AU67" s="466"/>
      <c r="AV67" s="466"/>
      <c r="AW67" s="466"/>
      <c r="AX67" s="466"/>
      <c r="AY67" s="466"/>
      <c r="AZ67" s="466"/>
      <c r="BA67" s="466"/>
      <c r="BB67" s="466"/>
      <c r="BC67" s="466"/>
      <c r="BD67" s="466"/>
      <c r="BE67" s="47" t="s">
        <v>403</v>
      </c>
      <c r="BF67" s="47" t="s">
        <v>409</v>
      </c>
      <c r="BG67" s="43"/>
      <c r="BH67" s="47"/>
      <c r="BI67" s="47"/>
      <c r="BJ67" s="43"/>
      <c r="BK67" s="44"/>
    </row>
    <row r="68" spans="1:63" ht="15.75" customHeight="1">
      <c r="A68" s="45"/>
      <c r="B68" s="41" t="s">
        <v>400</v>
      </c>
      <c r="C68" s="465"/>
      <c r="D68" s="465"/>
      <c r="E68" s="465"/>
      <c r="F68" s="465"/>
      <c r="G68" s="465"/>
      <c r="H68" s="465"/>
      <c r="I68" s="465"/>
      <c r="J68" s="465"/>
      <c r="K68" s="465"/>
      <c r="L68" s="258"/>
      <c r="M68" s="465" t="s">
        <v>490</v>
      </c>
      <c r="N68" s="466"/>
      <c r="O68" s="466"/>
      <c r="P68" s="466"/>
      <c r="Q68" s="466"/>
      <c r="R68" s="466"/>
      <c r="S68" s="466"/>
      <c r="T68" s="466"/>
      <c r="U68" s="466"/>
      <c r="V68" s="466"/>
      <c r="W68" s="466"/>
      <c r="X68" s="466"/>
      <c r="Y68" s="466"/>
      <c r="Z68" s="466"/>
      <c r="AA68" s="466"/>
      <c r="AB68" s="466"/>
      <c r="AC68" s="466"/>
      <c r="AD68" s="466"/>
      <c r="AE68" s="466"/>
      <c r="AF68" s="466"/>
      <c r="AG68" s="466"/>
      <c r="AH68" s="466"/>
      <c r="AI68" s="466"/>
      <c r="AJ68" s="466"/>
      <c r="AK68" s="466"/>
      <c r="AL68" s="466"/>
      <c r="AM68" s="466"/>
      <c r="AN68" s="466"/>
      <c r="AO68" s="466"/>
      <c r="AP68" s="466"/>
      <c r="AQ68" s="466"/>
      <c r="AR68" s="466"/>
      <c r="AS68" s="466"/>
      <c r="AT68" s="466"/>
      <c r="AU68" s="466"/>
      <c r="AV68" s="466"/>
      <c r="AW68" s="466"/>
      <c r="AX68" s="466"/>
      <c r="AY68" s="466"/>
      <c r="AZ68" s="466"/>
      <c r="BA68" s="466"/>
      <c r="BB68" s="466"/>
      <c r="BC68" s="466"/>
      <c r="BD68" s="466"/>
      <c r="BE68" s="47" t="s">
        <v>403</v>
      </c>
      <c r="BF68" s="47" t="s">
        <v>395</v>
      </c>
      <c r="BG68" s="43"/>
      <c r="BH68" s="47"/>
      <c r="BI68" s="47"/>
      <c r="BJ68" s="43"/>
      <c r="BK68" s="44"/>
    </row>
    <row r="69" spans="1:63" ht="15.75" customHeight="1">
      <c r="A69" s="45"/>
      <c r="B69" s="41" t="s">
        <v>404</v>
      </c>
      <c r="C69" s="465"/>
      <c r="D69" s="465"/>
      <c r="E69" s="465"/>
      <c r="F69" s="465"/>
      <c r="G69" s="465"/>
      <c r="H69" s="465"/>
      <c r="I69" s="465"/>
      <c r="J69" s="465"/>
      <c r="K69" s="465"/>
      <c r="L69" s="258"/>
      <c r="M69" s="465" t="s">
        <v>491</v>
      </c>
      <c r="N69" s="466"/>
      <c r="O69" s="466"/>
      <c r="P69" s="466"/>
      <c r="Q69" s="466"/>
      <c r="R69" s="466"/>
      <c r="S69" s="466"/>
      <c r="T69" s="466"/>
      <c r="U69" s="466"/>
      <c r="V69" s="466"/>
      <c r="W69" s="466"/>
      <c r="X69" s="466"/>
      <c r="Y69" s="466"/>
      <c r="Z69" s="466"/>
      <c r="AA69" s="466"/>
      <c r="AB69" s="466"/>
      <c r="AC69" s="466"/>
      <c r="AD69" s="466"/>
      <c r="AE69" s="466"/>
      <c r="AF69" s="466"/>
      <c r="AG69" s="466"/>
      <c r="AH69" s="466"/>
      <c r="AI69" s="466"/>
      <c r="AJ69" s="466"/>
      <c r="AK69" s="466"/>
      <c r="AL69" s="466"/>
      <c r="AM69" s="466"/>
      <c r="AN69" s="466"/>
      <c r="AO69" s="466"/>
      <c r="AP69" s="466"/>
      <c r="AQ69" s="466"/>
      <c r="AR69" s="466"/>
      <c r="AS69" s="466"/>
      <c r="AT69" s="466"/>
      <c r="AU69" s="466"/>
      <c r="AV69" s="466"/>
      <c r="AW69" s="466"/>
      <c r="AX69" s="466"/>
      <c r="AY69" s="466"/>
      <c r="AZ69" s="466"/>
      <c r="BA69" s="466"/>
      <c r="BB69" s="466"/>
      <c r="BC69" s="466"/>
      <c r="BD69" s="466"/>
      <c r="BE69" s="47" t="s">
        <v>403</v>
      </c>
      <c r="BF69" s="47" t="s">
        <v>395</v>
      </c>
      <c r="BG69" s="43"/>
      <c r="BH69" s="47"/>
      <c r="BI69" s="47"/>
      <c r="BJ69" s="43"/>
      <c r="BK69" s="44"/>
    </row>
    <row r="70" spans="1:63" ht="15.75" customHeight="1">
      <c r="A70" s="45"/>
      <c r="B70" s="46" t="s">
        <v>492</v>
      </c>
      <c r="C70" s="465"/>
      <c r="D70" s="465"/>
      <c r="E70" s="465"/>
      <c r="F70" s="465"/>
      <c r="G70" s="465"/>
      <c r="H70" s="465"/>
      <c r="I70" s="465"/>
      <c r="J70" s="465"/>
      <c r="K70" s="465"/>
      <c r="L70" s="258"/>
      <c r="M70" s="465" t="s">
        <v>493</v>
      </c>
      <c r="N70" s="466"/>
      <c r="O70" s="466"/>
      <c r="P70" s="466"/>
      <c r="Q70" s="466"/>
      <c r="R70" s="466"/>
      <c r="S70" s="466"/>
      <c r="T70" s="466"/>
      <c r="U70" s="466"/>
      <c r="V70" s="466"/>
      <c r="W70" s="466"/>
      <c r="X70" s="466"/>
      <c r="Y70" s="466"/>
      <c r="Z70" s="466"/>
      <c r="AA70" s="466"/>
      <c r="AB70" s="466"/>
      <c r="AC70" s="466"/>
      <c r="AD70" s="466"/>
      <c r="AE70" s="466"/>
      <c r="AF70" s="466"/>
      <c r="AG70" s="466"/>
      <c r="AH70" s="466"/>
      <c r="AI70" s="466"/>
      <c r="AJ70" s="466"/>
      <c r="AK70" s="466"/>
      <c r="AL70" s="466"/>
      <c r="AM70" s="466"/>
      <c r="AN70" s="466"/>
      <c r="AO70" s="466"/>
      <c r="AP70" s="466"/>
      <c r="AQ70" s="466"/>
      <c r="AR70" s="466"/>
      <c r="AS70" s="466"/>
      <c r="AT70" s="466"/>
      <c r="AU70" s="466"/>
      <c r="AV70" s="466"/>
      <c r="AW70" s="466"/>
      <c r="AX70" s="466"/>
      <c r="AY70" s="466"/>
      <c r="AZ70" s="466"/>
      <c r="BA70" s="466"/>
      <c r="BB70" s="466"/>
      <c r="BC70" s="466"/>
      <c r="BD70" s="466"/>
      <c r="BE70" s="47" t="s">
        <v>403</v>
      </c>
      <c r="BF70" s="47" t="s">
        <v>448</v>
      </c>
      <c r="BG70" s="43"/>
      <c r="BH70" s="47"/>
      <c r="BI70" s="47"/>
      <c r="BJ70" s="43"/>
      <c r="BK70" s="44"/>
    </row>
    <row r="71" spans="1:63" s="2" customFormat="1" ht="15.75" customHeight="1">
      <c r="A71" s="45"/>
      <c r="B71" s="46" t="s">
        <v>263</v>
      </c>
      <c r="C71" s="465"/>
      <c r="D71" s="465"/>
      <c r="E71" s="465"/>
      <c r="F71" s="465"/>
      <c r="G71" s="465"/>
      <c r="H71" s="465"/>
      <c r="I71" s="465"/>
      <c r="J71" s="465"/>
      <c r="K71" s="465"/>
      <c r="L71" s="258"/>
      <c r="M71" s="465" t="s">
        <v>494</v>
      </c>
      <c r="N71" s="466"/>
      <c r="O71" s="466"/>
      <c r="P71" s="466"/>
      <c r="Q71" s="466"/>
      <c r="R71" s="466"/>
      <c r="S71" s="466"/>
      <c r="T71" s="466"/>
      <c r="U71" s="466"/>
      <c r="V71" s="466"/>
      <c r="W71" s="466"/>
      <c r="X71" s="466"/>
      <c r="Y71" s="466"/>
      <c r="Z71" s="466"/>
      <c r="AA71" s="466"/>
      <c r="AB71" s="466"/>
      <c r="AC71" s="466"/>
      <c r="AD71" s="466"/>
      <c r="AE71" s="466"/>
      <c r="AF71" s="466"/>
      <c r="AG71" s="466"/>
      <c r="AH71" s="466"/>
      <c r="AI71" s="466"/>
      <c r="AJ71" s="466"/>
      <c r="AK71" s="466"/>
      <c r="AL71" s="466"/>
      <c r="AM71" s="466"/>
      <c r="AN71" s="466"/>
      <c r="AO71" s="466"/>
      <c r="AP71" s="466"/>
      <c r="AQ71" s="466"/>
      <c r="AR71" s="466"/>
      <c r="AS71" s="466"/>
      <c r="AT71" s="466"/>
      <c r="AU71" s="466"/>
      <c r="AV71" s="466"/>
      <c r="AW71" s="466"/>
      <c r="AX71" s="466"/>
      <c r="AY71" s="466"/>
      <c r="AZ71" s="466"/>
      <c r="BA71" s="466"/>
      <c r="BB71" s="466"/>
      <c r="BC71" s="466"/>
      <c r="BD71" s="466"/>
      <c r="BE71" s="47" t="s">
        <v>403</v>
      </c>
      <c r="BF71" s="47" t="s">
        <v>395</v>
      </c>
      <c r="BG71" s="43"/>
      <c r="BH71" s="47"/>
      <c r="BI71" s="43"/>
      <c r="BJ71" s="43"/>
      <c r="BK71" s="44"/>
    </row>
    <row r="72" spans="1:63" s="2" customFormat="1" ht="15.75" customHeight="1">
      <c r="A72" s="45"/>
      <c r="B72" s="41" t="s">
        <v>495</v>
      </c>
      <c r="C72" s="465"/>
      <c r="D72" s="465"/>
      <c r="E72" s="465"/>
      <c r="F72" s="465"/>
      <c r="G72" s="465"/>
      <c r="H72" s="465"/>
      <c r="I72" s="465"/>
      <c r="J72" s="465"/>
      <c r="K72" s="465"/>
      <c r="L72" s="258"/>
      <c r="M72" s="465" t="s">
        <v>496</v>
      </c>
      <c r="N72" s="466"/>
      <c r="O72" s="466"/>
      <c r="P72" s="466"/>
      <c r="Q72" s="466"/>
      <c r="R72" s="466"/>
      <c r="S72" s="466"/>
      <c r="T72" s="466"/>
      <c r="U72" s="466"/>
      <c r="V72" s="466"/>
      <c r="W72" s="466"/>
      <c r="X72" s="466"/>
      <c r="Y72" s="466"/>
      <c r="Z72" s="466"/>
      <c r="AA72" s="466"/>
      <c r="AB72" s="466"/>
      <c r="AC72" s="466"/>
      <c r="AD72" s="466"/>
      <c r="AE72" s="466"/>
      <c r="AF72" s="466"/>
      <c r="AG72" s="466"/>
      <c r="AH72" s="466"/>
      <c r="AI72" s="466"/>
      <c r="AJ72" s="466"/>
      <c r="AK72" s="466"/>
      <c r="AL72" s="466"/>
      <c r="AM72" s="466"/>
      <c r="AN72" s="466"/>
      <c r="AO72" s="466"/>
      <c r="AP72" s="466"/>
      <c r="AQ72" s="466"/>
      <c r="AR72" s="466"/>
      <c r="AS72" s="466"/>
      <c r="AT72" s="466"/>
      <c r="AU72" s="466"/>
      <c r="AV72" s="466"/>
      <c r="AW72" s="466"/>
      <c r="AX72" s="466"/>
      <c r="AY72" s="466"/>
      <c r="AZ72" s="466"/>
      <c r="BA72" s="466"/>
      <c r="BB72" s="466"/>
      <c r="BC72" s="466"/>
      <c r="BD72" s="466"/>
      <c r="BE72" s="47" t="s">
        <v>403</v>
      </c>
      <c r="BF72" s="47" t="s">
        <v>448</v>
      </c>
      <c r="BG72" s="43"/>
      <c r="BH72" s="47"/>
      <c r="BI72" s="47"/>
      <c r="BJ72" s="43"/>
      <c r="BK72" s="44"/>
    </row>
    <row r="73" spans="1:63" s="2" customFormat="1" ht="15.75" customHeight="1">
      <c r="A73" s="45"/>
      <c r="B73" s="41" t="s">
        <v>497</v>
      </c>
      <c r="C73" s="465"/>
      <c r="D73" s="465"/>
      <c r="E73" s="465"/>
      <c r="F73" s="465"/>
      <c r="G73" s="465"/>
      <c r="H73" s="465"/>
      <c r="I73" s="465"/>
      <c r="J73" s="465"/>
      <c r="K73" s="465"/>
      <c r="L73" s="258"/>
      <c r="M73" s="465" t="s">
        <v>498</v>
      </c>
      <c r="N73" s="466"/>
      <c r="O73" s="466"/>
      <c r="P73" s="466"/>
      <c r="Q73" s="466"/>
      <c r="R73" s="466"/>
      <c r="S73" s="466"/>
      <c r="T73" s="466"/>
      <c r="U73" s="466"/>
      <c r="V73" s="466"/>
      <c r="W73" s="466"/>
      <c r="X73" s="466"/>
      <c r="Y73" s="466"/>
      <c r="Z73" s="466"/>
      <c r="AA73" s="466"/>
      <c r="AB73" s="466"/>
      <c r="AC73" s="466"/>
      <c r="AD73" s="466"/>
      <c r="AE73" s="466"/>
      <c r="AF73" s="466"/>
      <c r="AG73" s="466"/>
      <c r="AH73" s="466"/>
      <c r="AI73" s="466"/>
      <c r="AJ73" s="466"/>
      <c r="AK73" s="466"/>
      <c r="AL73" s="466"/>
      <c r="AM73" s="466"/>
      <c r="AN73" s="466"/>
      <c r="AO73" s="466"/>
      <c r="AP73" s="466"/>
      <c r="AQ73" s="466"/>
      <c r="AR73" s="466"/>
      <c r="AS73" s="466"/>
      <c r="AT73" s="466"/>
      <c r="AU73" s="466"/>
      <c r="AV73" s="466"/>
      <c r="AW73" s="466"/>
      <c r="AX73" s="466"/>
      <c r="AY73" s="466"/>
      <c r="AZ73" s="466"/>
      <c r="BA73" s="466"/>
      <c r="BB73" s="466"/>
      <c r="BC73" s="466"/>
      <c r="BD73" s="466"/>
      <c r="BE73" s="47" t="s">
        <v>403</v>
      </c>
      <c r="BF73" s="47" t="s">
        <v>448</v>
      </c>
      <c r="BG73" s="43"/>
      <c r="BH73" s="47"/>
      <c r="BI73" s="47"/>
      <c r="BJ73" s="43"/>
      <c r="BK73" s="44"/>
    </row>
    <row r="74" spans="1:63" s="2" customFormat="1" ht="15.75" customHeight="1">
      <c r="A74" s="45"/>
      <c r="B74" s="46" t="s">
        <v>499</v>
      </c>
      <c r="C74" s="465"/>
      <c r="D74" s="465"/>
      <c r="E74" s="465"/>
      <c r="F74" s="465"/>
      <c r="G74" s="465"/>
      <c r="H74" s="465"/>
      <c r="I74" s="465"/>
      <c r="J74" s="465"/>
      <c r="K74" s="465"/>
      <c r="L74" s="258"/>
      <c r="M74" s="465" t="s">
        <v>500</v>
      </c>
      <c r="N74" s="466"/>
      <c r="O74" s="466"/>
      <c r="P74" s="466"/>
      <c r="Q74" s="466"/>
      <c r="R74" s="466"/>
      <c r="S74" s="466"/>
      <c r="T74" s="466"/>
      <c r="U74" s="466"/>
      <c r="V74" s="466"/>
      <c r="W74" s="466"/>
      <c r="X74" s="466"/>
      <c r="Y74" s="466"/>
      <c r="Z74" s="466"/>
      <c r="AA74" s="466"/>
      <c r="AB74" s="466"/>
      <c r="AC74" s="466"/>
      <c r="AD74" s="466"/>
      <c r="AE74" s="466"/>
      <c r="AF74" s="466"/>
      <c r="AG74" s="466"/>
      <c r="AH74" s="466"/>
      <c r="AI74" s="466"/>
      <c r="AJ74" s="466"/>
      <c r="AK74" s="466"/>
      <c r="AL74" s="466"/>
      <c r="AM74" s="466"/>
      <c r="AN74" s="466"/>
      <c r="AO74" s="466"/>
      <c r="AP74" s="466"/>
      <c r="AQ74" s="466"/>
      <c r="AR74" s="466"/>
      <c r="AS74" s="466"/>
      <c r="AT74" s="466"/>
      <c r="AU74" s="466"/>
      <c r="AV74" s="466"/>
      <c r="AW74" s="466"/>
      <c r="AX74" s="466"/>
      <c r="AY74" s="466"/>
      <c r="AZ74" s="466"/>
      <c r="BA74" s="466"/>
      <c r="BB74" s="466"/>
      <c r="BC74" s="466"/>
      <c r="BD74" s="466"/>
      <c r="BE74" s="47" t="s">
        <v>403</v>
      </c>
      <c r="BF74" s="47" t="s">
        <v>448</v>
      </c>
      <c r="BG74" s="43"/>
      <c r="BH74" s="47"/>
      <c r="BI74" s="47"/>
      <c r="BJ74" s="43"/>
      <c r="BK74" s="44"/>
    </row>
    <row r="75" spans="1:63" s="2" customFormat="1" ht="15.75" customHeight="1">
      <c r="A75" s="283"/>
      <c r="B75" s="284" t="s">
        <v>501</v>
      </c>
      <c r="C75" s="285"/>
      <c r="D75" s="285"/>
      <c r="E75" s="285"/>
      <c r="F75" s="285"/>
      <c r="G75" s="285"/>
      <c r="H75" s="285"/>
      <c r="I75" s="285"/>
      <c r="J75" s="285"/>
      <c r="K75" s="285"/>
      <c r="L75" s="286"/>
      <c r="M75" s="285" t="s">
        <v>502</v>
      </c>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287" t="s">
        <v>403</v>
      </c>
      <c r="BF75" s="47" t="s">
        <v>395</v>
      </c>
      <c r="BG75" s="287"/>
      <c r="BH75" s="288"/>
      <c r="BI75" s="287"/>
      <c r="BJ75" s="287"/>
      <c r="BK75" s="289"/>
    </row>
    <row r="76" spans="1:63" s="2" customFormat="1" ht="15.75" customHeight="1">
      <c r="A76" s="45"/>
      <c r="B76" s="46" t="s">
        <v>503</v>
      </c>
      <c r="C76" s="465"/>
      <c r="D76" s="465"/>
      <c r="E76" s="465"/>
      <c r="F76" s="465"/>
      <c r="G76" s="465"/>
      <c r="H76" s="465"/>
      <c r="I76" s="465"/>
      <c r="J76" s="465"/>
      <c r="K76" s="465"/>
      <c r="L76" s="258"/>
      <c r="M76" s="465" t="s">
        <v>504</v>
      </c>
      <c r="N76" s="466"/>
      <c r="O76" s="466"/>
      <c r="P76" s="466"/>
      <c r="Q76" s="466"/>
      <c r="R76" s="466"/>
      <c r="S76" s="466"/>
      <c r="T76" s="466"/>
      <c r="U76" s="466"/>
      <c r="V76" s="466"/>
      <c r="W76" s="466"/>
      <c r="X76" s="466"/>
      <c r="Y76" s="466"/>
      <c r="Z76" s="466"/>
      <c r="AA76" s="466"/>
      <c r="AB76" s="466"/>
      <c r="AC76" s="466"/>
      <c r="AD76" s="466"/>
      <c r="AE76" s="466"/>
      <c r="AF76" s="466"/>
      <c r="AG76" s="466"/>
      <c r="AH76" s="466"/>
      <c r="AI76" s="466"/>
      <c r="AJ76" s="466"/>
      <c r="AK76" s="466"/>
      <c r="AL76" s="466"/>
      <c r="AM76" s="466"/>
      <c r="AN76" s="466"/>
      <c r="AO76" s="466"/>
      <c r="AP76" s="466"/>
      <c r="AQ76" s="466"/>
      <c r="AR76" s="466"/>
      <c r="AS76" s="466"/>
      <c r="AT76" s="466"/>
      <c r="AU76" s="466"/>
      <c r="AV76" s="466"/>
      <c r="AW76" s="466"/>
      <c r="AX76" s="466"/>
      <c r="AY76" s="466"/>
      <c r="AZ76" s="466"/>
      <c r="BA76" s="466"/>
      <c r="BB76" s="466"/>
      <c r="BC76" s="466"/>
      <c r="BD76" s="466"/>
      <c r="BE76" s="47" t="s">
        <v>403</v>
      </c>
      <c r="BF76" s="47" t="s">
        <v>395</v>
      </c>
      <c r="BG76" s="43"/>
      <c r="BH76" s="47"/>
      <c r="BI76" s="47"/>
      <c r="BJ76" s="43"/>
      <c r="BK76" s="44"/>
    </row>
    <row r="77" spans="1:63" s="2" customFormat="1" ht="15.75" customHeight="1">
      <c r="A77" s="45" t="s">
        <v>310</v>
      </c>
      <c r="B77" s="46" t="s">
        <v>288</v>
      </c>
      <c r="C77" s="465"/>
      <c r="D77" s="465"/>
      <c r="E77" s="465"/>
      <c r="F77" s="465"/>
      <c r="G77" s="465"/>
      <c r="H77" s="465"/>
      <c r="I77" s="465"/>
      <c r="J77" s="465"/>
      <c r="K77" s="465"/>
      <c r="L77" s="258"/>
      <c r="M77" s="465" t="s">
        <v>505</v>
      </c>
      <c r="N77" s="466"/>
      <c r="O77" s="466"/>
      <c r="P77" s="466"/>
      <c r="Q77" s="466"/>
      <c r="R77" s="466"/>
      <c r="S77" s="466"/>
      <c r="T77" s="466"/>
      <c r="U77" s="466"/>
      <c r="V77" s="466"/>
      <c r="W77" s="466"/>
      <c r="X77" s="466"/>
      <c r="Y77" s="466"/>
      <c r="Z77" s="466"/>
      <c r="AA77" s="466"/>
      <c r="AB77" s="466"/>
      <c r="AC77" s="466"/>
      <c r="AD77" s="466"/>
      <c r="AE77" s="466"/>
      <c r="AF77" s="466"/>
      <c r="AG77" s="466"/>
      <c r="AH77" s="466"/>
      <c r="AI77" s="466"/>
      <c r="AJ77" s="466"/>
      <c r="AK77" s="466"/>
      <c r="AL77" s="466"/>
      <c r="AM77" s="466"/>
      <c r="AN77" s="466"/>
      <c r="AO77" s="466"/>
      <c r="AP77" s="466"/>
      <c r="AQ77" s="466"/>
      <c r="AR77" s="466"/>
      <c r="AS77" s="466"/>
      <c r="AT77" s="466"/>
      <c r="AU77" s="466"/>
      <c r="AV77" s="466"/>
      <c r="AW77" s="466"/>
      <c r="AX77" s="466"/>
      <c r="AY77" s="466"/>
      <c r="AZ77" s="466"/>
      <c r="BA77" s="466"/>
      <c r="BB77" s="466"/>
      <c r="BC77" s="466"/>
      <c r="BD77" s="466"/>
      <c r="BE77" s="38" t="s">
        <v>471</v>
      </c>
      <c r="BF77" s="349" t="s">
        <v>472</v>
      </c>
      <c r="BG77" s="43"/>
      <c r="BH77" s="47"/>
      <c r="BI77" s="43"/>
      <c r="BJ77" s="43"/>
      <c r="BK77" s="44"/>
    </row>
    <row r="78" spans="1:63" s="2" customFormat="1" ht="15.75" customHeight="1" thickBot="1">
      <c r="A78" s="45"/>
      <c r="B78" s="46" t="s">
        <v>289</v>
      </c>
      <c r="C78" s="465"/>
      <c r="D78" s="465"/>
      <c r="E78" s="465"/>
      <c r="F78" s="465"/>
      <c r="G78" s="465"/>
      <c r="H78" s="465"/>
      <c r="I78" s="465"/>
      <c r="J78" s="465"/>
      <c r="K78" s="465"/>
      <c r="L78" s="258"/>
      <c r="M78" s="465" t="s">
        <v>506</v>
      </c>
      <c r="N78" s="466"/>
      <c r="O78" s="466"/>
      <c r="P78" s="466"/>
      <c r="Q78" s="466"/>
      <c r="R78" s="466"/>
      <c r="S78" s="466"/>
      <c r="T78" s="466"/>
      <c r="U78" s="466"/>
      <c r="V78" s="466"/>
      <c r="W78" s="466"/>
      <c r="X78" s="466"/>
      <c r="Y78" s="466"/>
      <c r="Z78" s="466"/>
      <c r="AA78" s="466"/>
      <c r="AB78" s="466"/>
      <c r="AC78" s="466"/>
      <c r="AD78" s="466"/>
      <c r="AE78" s="466"/>
      <c r="AF78" s="466"/>
      <c r="AG78" s="466"/>
      <c r="AH78" s="466"/>
      <c r="AI78" s="466"/>
      <c r="AJ78" s="466"/>
      <c r="AK78" s="466"/>
      <c r="AL78" s="466"/>
      <c r="AM78" s="466"/>
      <c r="AN78" s="466"/>
      <c r="AO78" s="466"/>
      <c r="AP78" s="466"/>
      <c r="AQ78" s="466"/>
      <c r="AR78" s="466"/>
      <c r="AS78" s="466"/>
      <c r="AT78" s="466"/>
      <c r="AU78" s="466"/>
      <c r="AV78" s="466"/>
      <c r="AW78" s="466"/>
      <c r="AX78" s="466"/>
      <c r="AY78" s="466"/>
      <c r="AZ78" s="466"/>
      <c r="BA78" s="466"/>
      <c r="BB78" s="466"/>
      <c r="BC78" s="466"/>
      <c r="BD78" s="466"/>
      <c r="BE78" s="43" t="s">
        <v>403</v>
      </c>
      <c r="BF78" s="47" t="s">
        <v>395</v>
      </c>
      <c r="BG78" s="43"/>
      <c r="BH78" s="47"/>
      <c r="BI78" s="43"/>
      <c r="BJ78" s="43"/>
      <c r="BK78" s="44"/>
    </row>
    <row r="79" spans="1:63" ht="15.75" customHeight="1">
      <c r="A79" s="30"/>
      <c r="B79" s="31" t="s">
        <v>507</v>
      </c>
      <c r="C79" s="32"/>
      <c r="D79" s="32"/>
      <c r="E79" s="32"/>
      <c r="F79" s="32"/>
      <c r="G79" s="32"/>
      <c r="H79" s="32"/>
      <c r="I79" s="32"/>
      <c r="J79" s="32"/>
      <c r="K79" s="32"/>
      <c r="L79" s="33"/>
      <c r="M79" s="32"/>
      <c r="N79" s="34"/>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5" t="s">
        <v>384</v>
      </c>
      <c r="BF79" s="35" t="s">
        <v>385</v>
      </c>
      <c r="BG79" s="35" t="s">
        <v>386</v>
      </c>
      <c r="BH79" s="35" t="s">
        <v>387</v>
      </c>
      <c r="BI79" s="35" t="s">
        <v>388</v>
      </c>
      <c r="BJ79" s="35" t="s">
        <v>389</v>
      </c>
      <c r="BK79" s="36" t="s">
        <v>390</v>
      </c>
    </row>
    <row r="80" spans="1:63" ht="15.75" customHeight="1">
      <c r="A80" s="42"/>
      <c r="B80" s="46" t="s">
        <v>508</v>
      </c>
      <c r="C80" s="465"/>
      <c r="D80" s="465"/>
      <c r="E80" s="465"/>
      <c r="F80" s="465"/>
      <c r="G80" s="465"/>
      <c r="H80" s="465"/>
      <c r="I80" s="465"/>
      <c r="J80" s="465"/>
      <c r="K80" s="465"/>
      <c r="L80" s="258"/>
      <c r="M80" s="465" t="s">
        <v>509</v>
      </c>
      <c r="N80" s="468"/>
      <c r="O80" s="468"/>
      <c r="P80" s="468"/>
      <c r="Q80" s="468"/>
      <c r="R80" s="468"/>
      <c r="S80" s="468"/>
      <c r="T80" s="468"/>
      <c r="U80" s="468"/>
      <c r="V80" s="468"/>
      <c r="W80" s="468"/>
      <c r="X80" s="468"/>
      <c r="Y80" s="468"/>
      <c r="Z80" s="468"/>
      <c r="AA80" s="468"/>
      <c r="AB80" s="468"/>
      <c r="AC80" s="468"/>
      <c r="AD80" s="468"/>
      <c r="AE80" s="468"/>
      <c r="AF80" s="468"/>
      <c r="AG80" s="468"/>
      <c r="AH80" s="468"/>
      <c r="AI80" s="468"/>
      <c r="AJ80" s="468"/>
      <c r="AK80" s="468"/>
      <c r="AL80" s="468"/>
      <c r="AM80" s="468"/>
      <c r="AN80" s="468"/>
      <c r="AO80" s="468"/>
      <c r="AP80" s="468"/>
      <c r="AQ80" s="468"/>
      <c r="AR80" s="468"/>
      <c r="AS80" s="468"/>
      <c r="AT80" s="468"/>
      <c r="AU80" s="468"/>
      <c r="AV80" s="468"/>
      <c r="AW80" s="468"/>
      <c r="AX80" s="468"/>
      <c r="AY80" s="468"/>
      <c r="AZ80" s="468"/>
      <c r="BA80" s="468"/>
      <c r="BB80" s="468"/>
      <c r="BC80" s="468"/>
      <c r="BD80" s="282"/>
      <c r="BE80" s="38" t="s">
        <v>471</v>
      </c>
      <c r="BF80" s="349" t="s">
        <v>472</v>
      </c>
      <c r="BG80" s="43"/>
      <c r="BH80" s="43"/>
      <c r="BI80" s="43"/>
      <c r="BJ80" s="43"/>
      <c r="BK80" s="44"/>
    </row>
    <row r="81" spans="1:63" ht="15.75" customHeight="1">
      <c r="A81" s="42"/>
      <c r="B81" s="46" t="s">
        <v>510</v>
      </c>
      <c r="C81" s="465"/>
      <c r="D81" s="465"/>
      <c r="E81" s="465"/>
      <c r="F81" s="465"/>
      <c r="G81" s="465"/>
      <c r="H81" s="465"/>
      <c r="I81" s="465"/>
      <c r="J81" s="465"/>
      <c r="K81" s="465"/>
      <c r="L81" s="258"/>
      <c r="M81" s="465" t="s">
        <v>511</v>
      </c>
      <c r="N81" s="468"/>
      <c r="O81" s="468"/>
      <c r="P81" s="468"/>
      <c r="Q81" s="468"/>
      <c r="R81" s="468"/>
      <c r="S81" s="468"/>
      <c r="T81" s="468"/>
      <c r="U81" s="468"/>
      <c r="V81" s="468"/>
      <c r="W81" s="468"/>
      <c r="X81" s="468"/>
      <c r="Y81" s="468"/>
      <c r="Z81" s="468"/>
      <c r="AA81" s="468"/>
      <c r="AB81" s="468"/>
      <c r="AC81" s="468"/>
      <c r="AD81" s="468"/>
      <c r="AE81" s="468"/>
      <c r="AF81" s="468"/>
      <c r="AG81" s="468"/>
      <c r="AH81" s="468"/>
      <c r="AI81" s="468"/>
      <c r="AJ81" s="468"/>
      <c r="AK81" s="468"/>
      <c r="AL81" s="468"/>
      <c r="AM81" s="468"/>
      <c r="AN81" s="468"/>
      <c r="AO81" s="468"/>
      <c r="AP81" s="468"/>
      <c r="AQ81" s="468"/>
      <c r="AR81" s="468"/>
      <c r="AS81" s="468"/>
      <c r="AT81" s="468"/>
      <c r="AU81" s="468"/>
      <c r="AV81" s="468"/>
      <c r="AW81" s="468"/>
      <c r="AX81" s="468"/>
      <c r="AY81" s="468"/>
      <c r="AZ81" s="468"/>
      <c r="BA81" s="468"/>
      <c r="BB81" s="468"/>
      <c r="BC81" s="468"/>
      <c r="BD81" s="282"/>
      <c r="BE81" s="38" t="s">
        <v>471</v>
      </c>
      <c r="BF81" s="349" t="s">
        <v>472</v>
      </c>
      <c r="BG81" s="43"/>
      <c r="BH81" s="43"/>
      <c r="BI81" s="43"/>
      <c r="BJ81" s="43"/>
      <c r="BK81" s="44"/>
    </row>
    <row r="82" spans="1:63" ht="15.75" customHeight="1" thickBot="1">
      <c r="A82" s="40"/>
      <c r="B82" s="41"/>
      <c r="C82" s="422"/>
      <c r="D82" s="422"/>
      <c r="E82" s="422"/>
      <c r="F82" s="422"/>
      <c r="G82" s="422"/>
      <c r="H82" s="422"/>
      <c r="I82" s="422"/>
      <c r="J82" s="422"/>
      <c r="K82" s="422"/>
      <c r="L82" s="423"/>
      <c r="M82" s="422"/>
      <c r="N82" s="422"/>
      <c r="O82" s="422"/>
      <c r="P82" s="422"/>
      <c r="Q82" s="422"/>
      <c r="R82" s="422"/>
      <c r="S82" s="422"/>
      <c r="T82" s="422"/>
      <c r="U82" s="422"/>
      <c r="V82" s="422"/>
      <c r="W82" s="422"/>
      <c r="X82" s="422"/>
      <c r="Y82" s="422"/>
      <c r="Z82" s="422"/>
      <c r="AA82" s="422"/>
      <c r="AB82" s="422"/>
      <c r="AC82" s="422"/>
      <c r="AD82" s="422"/>
      <c r="AE82" s="422"/>
      <c r="AF82" s="422"/>
      <c r="AG82" s="422"/>
      <c r="AH82" s="422"/>
      <c r="AI82" s="422"/>
      <c r="AJ82" s="422"/>
      <c r="AK82" s="422"/>
      <c r="AL82" s="422"/>
      <c r="AM82" s="422"/>
      <c r="AN82" s="422"/>
      <c r="AO82" s="422"/>
      <c r="AP82" s="422"/>
      <c r="AQ82" s="422"/>
      <c r="AR82" s="422"/>
      <c r="AS82" s="422"/>
      <c r="AT82" s="422"/>
      <c r="AU82" s="422"/>
      <c r="AV82" s="422"/>
      <c r="AW82" s="422"/>
      <c r="AX82" s="422"/>
      <c r="AY82" s="422"/>
      <c r="AZ82" s="422"/>
      <c r="BA82" s="422"/>
      <c r="BB82" s="422"/>
      <c r="BC82" s="422"/>
      <c r="BD82" s="422"/>
      <c r="BE82" s="38"/>
      <c r="BF82" s="38"/>
      <c r="BG82" s="38"/>
      <c r="BH82" s="38"/>
      <c r="BI82" s="38"/>
      <c r="BJ82" s="38"/>
      <c r="BK82" s="39"/>
    </row>
    <row r="83" spans="1:63" ht="15.75" customHeight="1">
      <c r="A83" s="30"/>
      <c r="B83" s="31" t="s">
        <v>512</v>
      </c>
      <c r="C83" s="32"/>
      <c r="D83" s="32"/>
      <c r="E83" s="32"/>
      <c r="F83" s="32"/>
      <c r="G83" s="32"/>
      <c r="H83" s="32"/>
      <c r="I83" s="32"/>
      <c r="J83" s="32"/>
      <c r="K83" s="32"/>
      <c r="L83" s="33"/>
      <c r="M83" s="32"/>
      <c r="N83" s="34" t="s">
        <v>383</v>
      </c>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5" t="s">
        <v>384</v>
      </c>
      <c r="BF83" s="35" t="s">
        <v>385</v>
      </c>
      <c r="BG83" s="35" t="s">
        <v>386</v>
      </c>
      <c r="BH83" s="35" t="s">
        <v>387</v>
      </c>
      <c r="BI83" s="35" t="s">
        <v>388</v>
      </c>
      <c r="BJ83" s="35" t="s">
        <v>389</v>
      </c>
      <c r="BK83" s="36" t="s">
        <v>390</v>
      </c>
    </row>
    <row r="84" spans="1:63" ht="15.75" customHeight="1">
      <c r="A84" s="42"/>
      <c r="B84" s="46" t="s">
        <v>513</v>
      </c>
      <c r="C84" s="465"/>
      <c r="D84" s="465"/>
      <c r="E84" s="465"/>
      <c r="F84" s="465"/>
      <c r="G84" s="465"/>
      <c r="H84" s="465"/>
      <c r="I84" s="465"/>
      <c r="J84" s="465"/>
      <c r="K84" s="465"/>
      <c r="L84" s="258"/>
      <c r="M84" s="259" t="s">
        <v>514</v>
      </c>
      <c r="N84" s="465"/>
      <c r="O84" s="465"/>
      <c r="P84" s="465"/>
      <c r="Q84" s="465"/>
      <c r="R84" s="465"/>
      <c r="S84" s="465"/>
      <c r="T84" s="465"/>
      <c r="U84" s="465"/>
      <c r="V84" s="465"/>
      <c r="W84" s="465"/>
      <c r="X84" s="465"/>
      <c r="Y84" s="465"/>
      <c r="Z84" s="465"/>
      <c r="AA84" s="465"/>
      <c r="AB84" s="465"/>
      <c r="AC84" s="465"/>
      <c r="AD84" s="465"/>
      <c r="AE84" s="465"/>
      <c r="AF84" s="465"/>
      <c r="AG84" s="465"/>
      <c r="AH84" s="465"/>
      <c r="AI84" s="465"/>
      <c r="AJ84" s="465"/>
      <c r="AK84" s="465"/>
      <c r="AL84" s="465"/>
      <c r="AM84" s="465"/>
      <c r="AN84" s="465"/>
      <c r="AO84" s="465"/>
      <c r="AP84" s="465"/>
      <c r="AQ84" s="465"/>
      <c r="AR84" s="465"/>
      <c r="AS84" s="465"/>
      <c r="AT84" s="465"/>
      <c r="AU84" s="465"/>
      <c r="AV84" s="465"/>
      <c r="AW84" s="465"/>
      <c r="AX84" s="465"/>
      <c r="AY84" s="465"/>
      <c r="AZ84" s="465"/>
      <c r="BA84" s="465"/>
      <c r="BB84" s="465"/>
      <c r="BC84" s="465"/>
      <c r="BD84" s="258"/>
      <c r="BE84" s="43" t="s">
        <v>515</v>
      </c>
      <c r="BF84" s="47"/>
      <c r="BG84" s="43"/>
      <c r="BH84" s="43"/>
      <c r="BI84" s="43"/>
      <c r="BJ84" s="43"/>
      <c r="BK84" s="44"/>
    </row>
    <row r="85" spans="1:63" ht="15.75" customHeight="1">
      <c r="A85" s="42"/>
      <c r="B85" s="46" t="s">
        <v>516</v>
      </c>
      <c r="C85" s="465"/>
      <c r="D85" s="465"/>
      <c r="E85" s="465"/>
      <c r="F85" s="465"/>
      <c r="G85" s="465"/>
      <c r="H85" s="465"/>
      <c r="I85" s="465"/>
      <c r="J85" s="465"/>
      <c r="K85" s="465"/>
      <c r="L85" s="258"/>
      <c r="M85" s="259" t="s">
        <v>517</v>
      </c>
      <c r="N85" s="465"/>
      <c r="O85" s="465"/>
      <c r="P85" s="465"/>
      <c r="Q85" s="465"/>
      <c r="R85" s="465"/>
      <c r="S85" s="465"/>
      <c r="T85" s="465"/>
      <c r="U85" s="465"/>
      <c r="V85" s="465"/>
      <c r="W85" s="465"/>
      <c r="X85" s="465"/>
      <c r="Y85" s="465"/>
      <c r="Z85" s="465"/>
      <c r="AA85" s="465"/>
      <c r="AB85" s="465"/>
      <c r="AC85" s="465"/>
      <c r="AD85" s="465"/>
      <c r="AE85" s="465"/>
      <c r="AF85" s="465"/>
      <c r="AG85" s="465"/>
      <c r="AH85" s="465"/>
      <c r="AI85" s="465"/>
      <c r="AJ85" s="465"/>
      <c r="AK85" s="465"/>
      <c r="AL85" s="465"/>
      <c r="AM85" s="465"/>
      <c r="AN85" s="465"/>
      <c r="AO85" s="465"/>
      <c r="AP85" s="465"/>
      <c r="AQ85" s="465"/>
      <c r="AR85" s="465"/>
      <c r="AS85" s="465"/>
      <c r="AT85" s="465"/>
      <c r="AU85" s="465"/>
      <c r="AV85" s="465"/>
      <c r="AW85" s="465"/>
      <c r="AX85" s="465"/>
      <c r="AY85" s="465"/>
      <c r="AZ85" s="465"/>
      <c r="BA85" s="465"/>
      <c r="BB85" s="465"/>
      <c r="BC85" s="465"/>
      <c r="BD85" s="258"/>
      <c r="BE85" s="43" t="s">
        <v>515</v>
      </c>
      <c r="BF85" s="47"/>
      <c r="BG85" s="43"/>
      <c r="BH85" s="43"/>
      <c r="BI85" s="43"/>
      <c r="BJ85" s="43"/>
      <c r="BK85" s="44"/>
    </row>
    <row r="86" spans="1:63" ht="15.75" customHeight="1">
      <c r="A86" s="40"/>
      <c r="B86" s="37" t="s">
        <v>518</v>
      </c>
      <c r="C86" s="422"/>
      <c r="D86" s="422"/>
      <c r="E86" s="422"/>
      <c r="F86" s="422"/>
      <c r="G86" s="422"/>
      <c r="H86" s="422"/>
      <c r="I86" s="422"/>
      <c r="J86" s="422"/>
      <c r="K86" s="422"/>
      <c r="L86" s="423"/>
      <c r="M86" s="259" t="s">
        <v>519</v>
      </c>
      <c r="N86" s="465"/>
      <c r="O86" s="465"/>
      <c r="P86" s="465"/>
      <c r="Q86" s="465"/>
      <c r="R86" s="465"/>
      <c r="S86" s="465"/>
      <c r="T86" s="465"/>
      <c r="U86" s="465"/>
      <c r="V86" s="465"/>
      <c r="W86" s="465"/>
      <c r="X86" s="465"/>
      <c r="Y86" s="465"/>
      <c r="Z86" s="465"/>
      <c r="AA86" s="465"/>
      <c r="AB86" s="465"/>
      <c r="AC86" s="465"/>
      <c r="AD86" s="465"/>
      <c r="AE86" s="465"/>
      <c r="AF86" s="465"/>
      <c r="AG86" s="465"/>
      <c r="AH86" s="465"/>
      <c r="AI86" s="465"/>
      <c r="AJ86" s="465"/>
      <c r="AK86" s="465"/>
      <c r="AL86" s="465"/>
      <c r="AM86" s="465"/>
      <c r="AN86" s="465"/>
      <c r="AO86" s="465"/>
      <c r="AP86" s="465"/>
      <c r="AQ86" s="465"/>
      <c r="AR86" s="465"/>
      <c r="AS86" s="465"/>
      <c r="AT86" s="465"/>
      <c r="AU86" s="465"/>
      <c r="AV86" s="465"/>
      <c r="AW86" s="465"/>
      <c r="AX86" s="465"/>
      <c r="AY86" s="465"/>
      <c r="AZ86" s="465"/>
      <c r="BA86" s="465"/>
      <c r="BB86" s="465"/>
      <c r="BC86" s="465"/>
      <c r="BD86" s="258"/>
      <c r="BE86" s="43" t="s">
        <v>515</v>
      </c>
      <c r="BF86" s="47"/>
      <c r="BG86" s="43"/>
      <c r="BH86" s="43"/>
      <c r="BI86" s="43"/>
      <c r="BJ86" s="43"/>
      <c r="BK86" s="44"/>
    </row>
    <row r="87" spans="1:63" ht="15.75" customHeight="1">
      <c r="A87" s="40"/>
      <c r="B87" s="37" t="s">
        <v>520</v>
      </c>
      <c r="C87" s="422"/>
      <c r="D87" s="422"/>
      <c r="E87" s="422"/>
      <c r="F87" s="422"/>
      <c r="G87" s="422"/>
      <c r="H87" s="422"/>
      <c r="I87" s="422"/>
      <c r="J87" s="422"/>
      <c r="K87" s="422"/>
      <c r="L87" s="423"/>
      <c r="M87" s="259" t="s">
        <v>521</v>
      </c>
      <c r="N87" s="465"/>
      <c r="O87" s="465"/>
      <c r="P87" s="465"/>
      <c r="Q87" s="465"/>
      <c r="R87" s="465"/>
      <c r="S87" s="465"/>
      <c r="T87" s="465"/>
      <c r="U87" s="465"/>
      <c r="V87" s="465"/>
      <c r="W87" s="465"/>
      <c r="X87" s="465"/>
      <c r="Y87" s="465"/>
      <c r="Z87" s="465"/>
      <c r="AA87" s="465"/>
      <c r="AB87" s="465"/>
      <c r="AC87" s="465"/>
      <c r="AD87" s="465"/>
      <c r="AE87" s="465"/>
      <c r="AF87" s="465"/>
      <c r="AG87" s="465"/>
      <c r="AH87" s="465"/>
      <c r="AI87" s="465"/>
      <c r="AJ87" s="465"/>
      <c r="AK87" s="465"/>
      <c r="AL87" s="465"/>
      <c r="AM87" s="465"/>
      <c r="AN87" s="465"/>
      <c r="AO87" s="465"/>
      <c r="AP87" s="465"/>
      <c r="AQ87" s="465"/>
      <c r="AR87" s="465"/>
      <c r="AS87" s="465"/>
      <c r="AT87" s="465"/>
      <c r="AU87" s="465"/>
      <c r="AV87" s="465"/>
      <c r="AW87" s="465"/>
      <c r="AX87" s="465"/>
      <c r="AY87" s="465"/>
      <c r="AZ87" s="465"/>
      <c r="BA87" s="465"/>
      <c r="BB87" s="465"/>
      <c r="BC87" s="465"/>
      <c r="BD87" s="258"/>
      <c r="BE87" s="43" t="s">
        <v>515</v>
      </c>
      <c r="BF87" s="47"/>
      <c r="BG87" s="43"/>
      <c r="BH87" s="43"/>
      <c r="BI87" s="43"/>
      <c r="BJ87" s="43"/>
      <c r="BK87" s="44"/>
    </row>
    <row r="88" spans="1:63" ht="15.75" customHeight="1">
      <c r="A88" s="40"/>
      <c r="B88" s="37" t="s">
        <v>522</v>
      </c>
      <c r="C88" s="422"/>
      <c r="D88" s="422"/>
      <c r="E88" s="422"/>
      <c r="F88" s="422"/>
      <c r="G88" s="422"/>
      <c r="H88" s="422"/>
      <c r="I88" s="422"/>
      <c r="J88" s="422"/>
      <c r="K88" s="422"/>
      <c r="L88" s="423"/>
      <c r="M88" s="259" t="s">
        <v>523</v>
      </c>
      <c r="N88" s="465"/>
      <c r="O88" s="465"/>
      <c r="P88" s="465"/>
      <c r="Q88" s="465"/>
      <c r="R88" s="465"/>
      <c r="S88" s="465"/>
      <c r="T88" s="465"/>
      <c r="U88" s="465"/>
      <c r="V88" s="465"/>
      <c r="W88" s="465"/>
      <c r="X88" s="465"/>
      <c r="Y88" s="465"/>
      <c r="Z88" s="465"/>
      <c r="AA88" s="465"/>
      <c r="AB88" s="465"/>
      <c r="AC88" s="465"/>
      <c r="AD88" s="465"/>
      <c r="AE88" s="465"/>
      <c r="AF88" s="465"/>
      <c r="AG88" s="465"/>
      <c r="AH88" s="465"/>
      <c r="AI88" s="465"/>
      <c r="AJ88" s="465"/>
      <c r="AK88" s="465"/>
      <c r="AL88" s="465"/>
      <c r="AM88" s="465"/>
      <c r="AN88" s="465"/>
      <c r="AO88" s="465"/>
      <c r="AP88" s="465"/>
      <c r="AQ88" s="465"/>
      <c r="AR88" s="465"/>
      <c r="AS88" s="465"/>
      <c r="AT88" s="465"/>
      <c r="AU88" s="465"/>
      <c r="AV88" s="465"/>
      <c r="AW88" s="465"/>
      <c r="AX88" s="465"/>
      <c r="AY88" s="465"/>
      <c r="AZ88" s="465"/>
      <c r="BA88" s="465"/>
      <c r="BB88" s="465"/>
      <c r="BC88" s="465"/>
      <c r="BD88" s="258"/>
      <c r="BE88" s="43" t="s">
        <v>515</v>
      </c>
      <c r="BF88" s="47"/>
      <c r="BG88" s="43"/>
      <c r="BH88" s="43"/>
      <c r="BI88" s="43"/>
      <c r="BJ88" s="43"/>
      <c r="BK88" s="44"/>
    </row>
    <row r="89" spans="1:63" ht="15.75" customHeight="1">
      <c r="A89" s="40"/>
      <c r="B89" s="37" t="s">
        <v>524</v>
      </c>
      <c r="C89" s="422"/>
      <c r="D89" s="422"/>
      <c r="E89" s="422"/>
      <c r="F89" s="422"/>
      <c r="G89" s="422"/>
      <c r="H89" s="422"/>
      <c r="I89" s="422"/>
      <c r="J89" s="422"/>
      <c r="K89" s="422"/>
      <c r="L89" s="423"/>
      <c r="M89" s="259" t="s">
        <v>525</v>
      </c>
      <c r="N89" s="465"/>
      <c r="O89" s="465"/>
      <c r="P89" s="465"/>
      <c r="Q89" s="465"/>
      <c r="R89" s="465"/>
      <c r="S89" s="465"/>
      <c r="T89" s="465"/>
      <c r="U89" s="465"/>
      <c r="V89" s="465"/>
      <c r="W89" s="465"/>
      <c r="X89" s="465"/>
      <c r="Y89" s="465"/>
      <c r="Z89" s="465"/>
      <c r="AA89" s="465"/>
      <c r="AB89" s="465"/>
      <c r="AC89" s="465"/>
      <c r="AD89" s="465"/>
      <c r="AE89" s="465"/>
      <c r="AF89" s="465"/>
      <c r="AG89" s="465"/>
      <c r="AH89" s="465"/>
      <c r="AI89" s="465"/>
      <c r="AJ89" s="465"/>
      <c r="AK89" s="465"/>
      <c r="AL89" s="465"/>
      <c r="AM89" s="465"/>
      <c r="AN89" s="465"/>
      <c r="AO89" s="465"/>
      <c r="AP89" s="465"/>
      <c r="AQ89" s="465"/>
      <c r="AR89" s="465"/>
      <c r="AS89" s="465"/>
      <c r="AT89" s="465"/>
      <c r="AU89" s="465"/>
      <c r="AV89" s="465"/>
      <c r="AW89" s="465"/>
      <c r="AX89" s="465"/>
      <c r="AY89" s="465"/>
      <c r="AZ89" s="465"/>
      <c r="BA89" s="465"/>
      <c r="BB89" s="465"/>
      <c r="BC89" s="465"/>
      <c r="BD89" s="258"/>
      <c r="BE89" s="43" t="s">
        <v>515</v>
      </c>
      <c r="BF89" s="47"/>
      <c r="BG89" s="43"/>
      <c r="BH89" s="43"/>
      <c r="BI89" s="43"/>
      <c r="BJ89" s="43"/>
      <c r="BK89" s="44"/>
    </row>
    <row r="90" spans="1:63" s="2" customFormat="1" ht="15.75" customHeight="1" thickBot="1">
      <c r="A90" s="290"/>
      <c r="B90" s="291"/>
      <c r="C90" s="292"/>
      <c r="D90" s="292"/>
      <c r="E90" s="292"/>
      <c r="F90" s="292"/>
      <c r="G90" s="292"/>
      <c r="H90" s="292"/>
      <c r="I90" s="292"/>
      <c r="J90" s="292"/>
      <c r="K90" s="292"/>
      <c r="L90" s="293"/>
      <c r="M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4"/>
      <c r="BF90" s="294"/>
      <c r="BG90" s="294"/>
      <c r="BH90" s="294"/>
      <c r="BI90" s="294"/>
      <c r="BJ90" s="294"/>
      <c r="BK90" s="295"/>
    </row>
  </sheetData>
  <mergeCells count="23">
    <mergeCell ref="BM58:CJ58"/>
    <mergeCell ref="BM6:CJ6"/>
    <mergeCell ref="AS1:AY1"/>
    <mergeCell ref="AZ1:BE1"/>
    <mergeCell ref="BF1:BK1"/>
    <mergeCell ref="AS2:AY3"/>
    <mergeCell ref="AZ2:BE3"/>
    <mergeCell ref="BF2:BK3"/>
    <mergeCell ref="A1:J3"/>
    <mergeCell ref="K1:T1"/>
    <mergeCell ref="U1:Y1"/>
    <mergeCell ref="Z1:AD1"/>
    <mergeCell ref="AE1:AI1"/>
    <mergeCell ref="AE3:AR3"/>
    <mergeCell ref="AJ1:AR1"/>
    <mergeCell ref="K3:T3"/>
    <mergeCell ref="U3:Y3"/>
    <mergeCell ref="Z3:AD3"/>
    <mergeCell ref="K2:T2"/>
    <mergeCell ref="U2:Y2"/>
    <mergeCell ref="Z2:AD2"/>
    <mergeCell ref="AE2:AI2"/>
    <mergeCell ref="AJ2:AR2"/>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showGridLines="0" showZeros="0" zoomScaleNormal="100" zoomScaleSheetLayoutView="85" workbookViewId="0">
      <pane ySplit="4" topLeftCell="A5" activePane="bottomLeft" state="frozen"/>
      <selection pane="bottomLeft" activeCell="AI38" sqref="AI38"/>
      <selection activeCell="AL26" sqref="AL26"/>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88"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88"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88" s="4" customFormat="1" ht="6.75" customHeight="1" thickBot="1">
      <c r="B4" s="5"/>
      <c r="C4" s="6"/>
      <c r="D4" s="6"/>
      <c r="E4" s="6"/>
      <c r="F4" s="7"/>
      <c r="G4" s="7"/>
      <c r="H4" s="7"/>
      <c r="I4" s="7"/>
      <c r="J4" s="6"/>
      <c r="K4" s="7"/>
      <c r="L4" s="7"/>
      <c r="M4" s="7"/>
      <c r="N4" s="7"/>
      <c r="O4" s="7"/>
      <c r="P4" s="7"/>
      <c r="Q4" s="8"/>
    </row>
    <row r="5" spans="1:88" s="7" customFormat="1" ht="14.25">
      <c r="A5" s="88"/>
      <c r="B5" s="48" t="s">
        <v>526</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50"/>
      <c r="BM5" s="950"/>
      <c r="BN5" s="950"/>
      <c r="BO5" s="950"/>
      <c r="BP5" s="950"/>
      <c r="BQ5" s="950"/>
      <c r="BR5" s="950"/>
      <c r="BS5" s="950"/>
      <c r="BT5" s="950"/>
      <c r="BU5" s="950"/>
      <c r="BV5" s="950"/>
      <c r="BW5" s="950"/>
      <c r="BX5" s="950"/>
      <c r="BY5" s="950"/>
      <c r="BZ5" s="950"/>
      <c r="CA5" s="950"/>
      <c r="CB5" s="950"/>
      <c r="CC5" s="950"/>
      <c r="CD5" s="950"/>
      <c r="CE5" s="950"/>
      <c r="CF5" s="950"/>
      <c r="CG5" s="950"/>
      <c r="CH5" s="950"/>
      <c r="CI5" s="950"/>
      <c r="CJ5" s="950"/>
    </row>
    <row r="6" spans="1:88" ht="15.75" customHeight="1">
      <c r="A6" s="89" t="s">
        <v>387</v>
      </c>
      <c r="B6" s="90" t="s">
        <v>527</v>
      </c>
      <c r="C6" s="469"/>
      <c r="D6" s="469"/>
      <c r="E6" s="469"/>
      <c r="F6" s="469"/>
      <c r="G6" s="469"/>
      <c r="H6" s="469"/>
      <c r="I6" s="469"/>
      <c r="J6" s="469"/>
      <c r="K6" s="469"/>
      <c r="L6" s="309"/>
      <c r="M6" s="469"/>
      <c r="N6" s="470" t="s">
        <v>528</v>
      </c>
      <c r="O6" s="469"/>
      <c r="P6" s="469"/>
      <c r="Q6" s="469"/>
      <c r="R6" s="469"/>
      <c r="S6" s="469"/>
      <c r="T6" s="469"/>
      <c r="U6" s="469"/>
      <c r="V6" s="469"/>
      <c r="W6" s="469"/>
      <c r="X6" s="469"/>
      <c r="Y6" s="469"/>
      <c r="Z6" s="469"/>
      <c r="AA6" s="469"/>
      <c r="AB6" s="469"/>
      <c r="AC6" s="469"/>
      <c r="AD6" s="469"/>
      <c r="AE6" s="469"/>
      <c r="AF6" s="469"/>
      <c r="AG6" s="469"/>
      <c r="AH6" s="469"/>
      <c r="AI6" s="469"/>
      <c r="AJ6" s="469"/>
      <c r="AK6" s="469"/>
      <c r="AL6" s="469"/>
      <c r="AM6" s="469"/>
      <c r="AN6" s="469"/>
      <c r="AO6" s="469"/>
      <c r="AP6" s="469"/>
      <c r="AQ6" s="469"/>
      <c r="AR6" s="469"/>
      <c r="AS6" s="310" t="s">
        <v>529</v>
      </c>
      <c r="AT6" s="469"/>
      <c r="AU6" s="469"/>
      <c r="AV6" s="469"/>
      <c r="AW6" s="469"/>
      <c r="AX6" s="469"/>
      <c r="AY6" s="469"/>
      <c r="AZ6" s="469"/>
      <c r="BA6" s="469"/>
      <c r="BB6" s="469"/>
      <c r="BC6" s="469"/>
      <c r="BD6" s="469"/>
      <c r="BE6" s="469"/>
      <c r="BF6" s="469"/>
      <c r="BG6" s="469"/>
      <c r="BH6" s="469"/>
      <c r="BI6" s="469"/>
      <c r="BJ6" s="469"/>
      <c r="BK6" s="311"/>
    </row>
    <row r="7" spans="1:88" ht="15.75" customHeight="1">
      <c r="A7" s="91"/>
      <c r="B7" s="92"/>
      <c r="C7" s="424"/>
      <c r="D7" s="424"/>
      <c r="E7" s="424"/>
      <c r="F7" s="424"/>
      <c r="G7" s="424"/>
      <c r="H7" s="424"/>
      <c r="I7" s="424"/>
      <c r="J7" s="424"/>
      <c r="K7" s="424"/>
      <c r="L7" s="425"/>
      <c r="M7" s="424"/>
      <c r="N7" s="424"/>
      <c r="O7" s="424"/>
      <c r="P7" s="424"/>
      <c r="Q7" s="424"/>
      <c r="R7" s="424"/>
      <c r="S7" s="424"/>
      <c r="T7" s="424"/>
      <c r="U7" s="424"/>
      <c r="V7" s="424"/>
      <c r="W7" s="424"/>
      <c r="X7" s="424"/>
      <c r="Y7" s="424"/>
      <c r="Z7" s="424"/>
      <c r="AA7" s="424"/>
      <c r="AB7" s="424"/>
      <c r="AC7" s="424"/>
      <c r="AD7" s="424"/>
      <c r="AE7" s="424"/>
      <c r="AF7" s="424"/>
      <c r="AG7" s="424"/>
      <c r="AH7" s="424"/>
      <c r="AI7" s="424"/>
      <c r="AJ7" s="424"/>
      <c r="AK7" s="424"/>
      <c r="AL7" s="424"/>
      <c r="AM7" s="424"/>
      <c r="AN7" s="424"/>
      <c r="AO7" s="424"/>
      <c r="AP7" s="424"/>
      <c r="AQ7" s="424"/>
      <c r="AR7" s="424"/>
      <c r="AS7" s="426"/>
      <c r="AT7" s="424"/>
      <c r="AU7" s="424"/>
      <c r="AV7" s="424"/>
      <c r="AW7" s="424"/>
      <c r="AX7" s="424"/>
      <c r="AY7" s="424"/>
      <c r="AZ7" s="424"/>
      <c r="BA7" s="424"/>
      <c r="BB7" s="424"/>
      <c r="BC7" s="424"/>
      <c r="BD7" s="424"/>
      <c r="BE7" s="424"/>
      <c r="BF7" s="424"/>
      <c r="BG7" s="424"/>
      <c r="BH7" s="424"/>
      <c r="BI7" s="424"/>
      <c r="BJ7" s="424"/>
      <c r="BK7" s="427"/>
    </row>
    <row r="8" spans="1:88" ht="15.75" customHeight="1">
      <c r="A8" s="91"/>
      <c r="B8" s="92"/>
      <c r="C8" s="424"/>
      <c r="D8" s="424"/>
      <c r="E8" s="424"/>
      <c r="F8" s="424"/>
      <c r="G8" s="424"/>
      <c r="H8" s="424"/>
      <c r="I8" s="424"/>
      <c r="J8" s="424"/>
      <c r="K8" s="424"/>
      <c r="L8" s="425"/>
      <c r="M8" s="424"/>
      <c r="N8" s="424"/>
      <c r="O8" s="424"/>
      <c r="P8" s="424"/>
      <c r="Q8" s="424"/>
      <c r="R8" s="424"/>
      <c r="S8" s="424"/>
      <c r="T8" s="424"/>
      <c r="U8" s="424"/>
      <c r="V8" s="424"/>
      <c r="W8" s="424"/>
      <c r="X8" s="424"/>
      <c r="Y8" s="424"/>
      <c r="Z8" s="424"/>
      <c r="AA8" s="424"/>
      <c r="AB8" s="424"/>
      <c r="AC8" s="424"/>
      <c r="AD8" s="424"/>
      <c r="AE8" s="424"/>
      <c r="AF8" s="424"/>
      <c r="AG8" s="424"/>
      <c r="AH8" s="424"/>
      <c r="AI8" s="424"/>
      <c r="AJ8" s="424"/>
      <c r="AK8" s="424"/>
      <c r="AL8" s="424"/>
      <c r="AM8" s="424"/>
      <c r="AN8" s="424"/>
      <c r="AO8" s="424"/>
      <c r="AP8" s="424"/>
      <c r="AQ8" s="424"/>
      <c r="AR8" s="424"/>
      <c r="AS8" s="426"/>
      <c r="AT8" s="424"/>
      <c r="AU8" s="424"/>
      <c r="AV8" s="424"/>
      <c r="AW8" s="424"/>
      <c r="AX8" s="424"/>
      <c r="AY8" s="424"/>
      <c r="AZ8" s="424"/>
      <c r="BA8" s="424"/>
      <c r="BB8" s="424"/>
      <c r="BC8" s="424"/>
      <c r="BD8" s="424"/>
      <c r="BE8" s="424"/>
      <c r="BF8" s="424"/>
      <c r="BG8" s="424"/>
      <c r="BH8" s="424"/>
      <c r="BI8" s="424"/>
      <c r="BJ8" s="424"/>
      <c r="BK8" s="427"/>
    </row>
    <row r="9" spans="1:88" ht="15.75" customHeight="1">
      <c r="A9" s="93"/>
      <c r="B9" s="3"/>
      <c r="C9" s="466"/>
      <c r="D9" s="466"/>
      <c r="E9" s="466"/>
      <c r="F9" s="466"/>
      <c r="G9" s="466"/>
      <c r="H9" s="466"/>
      <c r="I9" s="466"/>
      <c r="J9" s="466"/>
      <c r="K9" s="466"/>
      <c r="L9" s="266"/>
      <c r="M9" s="424"/>
      <c r="N9" s="424"/>
      <c r="O9" s="424"/>
      <c r="P9" s="424"/>
      <c r="Q9" s="424"/>
      <c r="R9" s="424"/>
      <c r="S9" s="424"/>
      <c r="T9" s="424"/>
      <c r="U9" s="424"/>
      <c r="V9" s="424"/>
      <c r="W9" s="424"/>
      <c r="X9" s="424"/>
      <c r="Y9" s="424"/>
      <c r="Z9" s="424"/>
      <c r="AA9" s="424"/>
      <c r="AB9" s="424"/>
      <c r="AC9" s="424"/>
      <c r="AD9" s="424"/>
      <c r="AE9" s="424"/>
      <c r="AF9" s="424"/>
      <c r="AG9" s="424"/>
      <c r="AH9" s="424"/>
      <c r="AI9" s="424"/>
      <c r="AJ9" s="424"/>
      <c r="AK9" s="424"/>
      <c r="AL9" s="424"/>
      <c r="AM9" s="424"/>
      <c r="AN9" s="424"/>
      <c r="AO9" s="424"/>
      <c r="AP9" s="424"/>
      <c r="AQ9" s="424"/>
      <c r="AR9" s="424"/>
      <c r="AS9" s="426"/>
      <c r="AT9" s="424"/>
      <c r="AU9" s="424"/>
      <c r="AV9" s="424"/>
      <c r="AW9" s="424"/>
      <c r="AX9" s="424"/>
      <c r="AY9" s="424"/>
      <c r="AZ9" s="424"/>
      <c r="BA9" s="424"/>
      <c r="BB9" s="424"/>
      <c r="BC9" s="424"/>
      <c r="BD9" s="424"/>
      <c r="BE9" s="424"/>
      <c r="BF9" s="424"/>
      <c r="BG9" s="424"/>
      <c r="BH9" s="424"/>
      <c r="BI9" s="424"/>
      <c r="BJ9" s="424"/>
      <c r="BK9" s="427"/>
    </row>
    <row r="10" spans="1:88" ht="15.75" customHeight="1">
      <c r="A10" s="93"/>
      <c r="B10" s="3"/>
      <c r="C10" s="466"/>
      <c r="D10" s="466"/>
      <c r="E10" s="466"/>
      <c r="F10" s="466"/>
      <c r="G10" s="466"/>
      <c r="H10" s="466"/>
      <c r="I10" s="466"/>
      <c r="J10" s="466"/>
      <c r="K10" s="466"/>
      <c r="L10" s="266"/>
      <c r="M10" s="424"/>
      <c r="N10" s="424"/>
      <c r="O10" s="424"/>
      <c r="P10" s="424"/>
      <c r="Q10" s="424"/>
      <c r="R10" s="424"/>
      <c r="S10" s="424"/>
      <c r="T10" s="424"/>
      <c r="U10" s="424"/>
      <c r="V10" s="424"/>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6"/>
      <c r="AT10" s="424"/>
      <c r="AU10" s="424"/>
      <c r="AV10" s="424"/>
      <c r="AW10" s="424"/>
      <c r="AX10" s="424"/>
      <c r="AY10" s="424"/>
      <c r="AZ10" s="424"/>
      <c r="BA10" s="424"/>
      <c r="BB10" s="424"/>
      <c r="BC10" s="424"/>
      <c r="BD10" s="424"/>
      <c r="BE10" s="424"/>
      <c r="BF10" s="424"/>
      <c r="BG10" s="424"/>
      <c r="BH10" s="424"/>
      <c r="BI10" s="424"/>
      <c r="BJ10" s="424"/>
      <c r="BK10" s="427"/>
    </row>
    <row r="11" spans="1:88" ht="15.75" customHeight="1">
      <c r="A11" s="93"/>
      <c r="B11" s="3"/>
      <c r="C11" s="466"/>
      <c r="D11" s="466"/>
      <c r="E11" s="466"/>
      <c r="F11" s="466"/>
      <c r="G11" s="466"/>
      <c r="H11" s="466"/>
      <c r="I11" s="466"/>
      <c r="J11" s="466"/>
      <c r="K11" s="466"/>
      <c r="L11" s="266"/>
      <c r="M11" s="424"/>
      <c r="N11" s="424"/>
      <c r="O11" s="424"/>
      <c r="P11" s="424"/>
      <c r="Q11" s="424"/>
      <c r="R11" s="424"/>
      <c r="S11" s="424"/>
      <c r="T11" s="424"/>
      <c r="U11" s="424"/>
      <c r="V11" s="424"/>
      <c r="W11" s="424"/>
      <c r="X11" s="424"/>
      <c r="Y11" s="424"/>
      <c r="Z11" s="424"/>
      <c r="AA11" s="424"/>
      <c r="AB11" s="424"/>
      <c r="AC11" s="424"/>
      <c r="AD11" s="424"/>
      <c r="AE11" s="424"/>
      <c r="AF11" s="424"/>
      <c r="AG11" s="424"/>
      <c r="AH11" s="424"/>
      <c r="AI11" s="424"/>
      <c r="AJ11" s="424"/>
      <c r="AK11" s="424"/>
      <c r="AL11" s="424"/>
      <c r="AM11" s="424"/>
      <c r="AN11" s="424"/>
      <c r="AO11" s="424"/>
      <c r="AP11" s="424"/>
      <c r="AQ11" s="424"/>
      <c r="AR11" s="424"/>
      <c r="AS11" s="426"/>
      <c r="AT11" s="424"/>
      <c r="AU11" s="424"/>
      <c r="AV11" s="424"/>
      <c r="AW11" s="424"/>
      <c r="AX11" s="424"/>
      <c r="AY11" s="424"/>
      <c r="AZ11" s="424"/>
      <c r="BA11" s="424"/>
      <c r="BB11" s="424"/>
      <c r="BC11" s="424"/>
      <c r="BD11" s="424"/>
      <c r="BE11" s="424"/>
      <c r="BF11" s="424"/>
      <c r="BG11" s="424"/>
      <c r="BH11" s="424"/>
      <c r="BI11" s="424"/>
      <c r="BJ11" s="424"/>
      <c r="BK11" s="427"/>
    </row>
    <row r="12" spans="1:88" ht="15.75" customHeight="1">
      <c r="A12" s="93"/>
      <c r="B12" s="3"/>
      <c r="C12" s="466"/>
      <c r="D12" s="466"/>
      <c r="E12" s="466"/>
      <c r="F12" s="466"/>
      <c r="G12" s="466"/>
      <c r="H12" s="466"/>
      <c r="I12" s="466"/>
      <c r="J12" s="466"/>
      <c r="K12" s="466"/>
      <c r="L12" s="266"/>
      <c r="M12" s="424"/>
      <c r="N12" s="424"/>
      <c r="O12" s="424"/>
      <c r="P12" s="424"/>
      <c r="Q12" s="424"/>
      <c r="R12" s="424"/>
      <c r="S12" s="424"/>
      <c r="T12" s="424"/>
      <c r="U12" s="424"/>
      <c r="V12" s="424"/>
      <c r="W12" s="424"/>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6"/>
      <c r="AT12" s="424"/>
      <c r="AU12" s="424"/>
      <c r="AV12" s="424"/>
      <c r="AW12" s="424"/>
      <c r="AX12" s="424"/>
      <c r="AY12" s="424"/>
      <c r="AZ12" s="424"/>
      <c r="BA12" s="424"/>
      <c r="BB12" s="424"/>
      <c r="BC12" s="424"/>
      <c r="BD12" s="424"/>
      <c r="BE12" s="424"/>
      <c r="BF12" s="424"/>
      <c r="BG12" s="424"/>
      <c r="BH12" s="424"/>
      <c r="BI12" s="424"/>
      <c r="BJ12" s="424"/>
      <c r="BK12" s="427"/>
    </row>
    <row r="13" spans="1:88" ht="15.75" customHeight="1">
      <c r="A13" s="93"/>
      <c r="B13" s="3"/>
      <c r="C13" s="466"/>
      <c r="D13" s="466"/>
      <c r="E13" s="466"/>
      <c r="F13" s="466"/>
      <c r="G13" s="466"/>
      <c r="H13" s="466"/>
      <c r="I13" s="466"/>
      <c r="J13" s="466"/>
      <c r="K13" s="466"/>
      <c r="L13" s="266"/>
      <c r="M13" s="424"/>
      <c r="N13" s="424"/>
      <c r="O13" s="424"/>
      <c r="P13" s="424"/>
      <c r="Q13" s="424"/>
      <c r="R13" s="424"/>
      <c r="S13" s="424"/>
      <c r="T13" s="424"/>
      <c r="U13" s="424"/>
      <c r="V13" s="424"/>
      <c r="W13" s="424"/>
      <c r="X13" s="424"/>
      <c r="Y13" s="424"/>
      <c r="Z13" s="424"/>
      <c r="AA13" s="424"/>
      <c r="AB13" s="424"/>
      <c r="AC13" s="424"/>
      <c r="AD13" s="424"/>
      <c r="AE13" s="424"/>
      <c r="AF13" s="424"/>
      <c r="AG13" s="424"/>
      <c r="AH13" s="424"/>
      <c r="AI13" s="424"/>
      <c r="AJ13" s="424"/>
      <c r="AK13" s="424"/>
      <c r="AL13" s="424"/>
      <c r="AM13" s="424"/>
      <c r="AN13" s="424"/>
      <c r="AO13" s="424"/>
      <c r="AP13" s="424"/>
      <c r="AQ13" s="424"/>
      <c r="AR13" s="424"/>
      <c r="AS13" s="426"/>
      <c r="AT13" s="424"/>
      <c r="AU13" s="424"/>
      <c r="AV13" s="424"/>
      <c r="AW13" s="424"/>
      <c r="AX13" s="424"/>
      <c r="AY13" s="424"/>
      <c r="AZ13" s="424"/>
      <c r="BA13" s="424"/>
      <c r="BB13" s="424"/>
      <c r="BC13" s="424"/>
      <c r="BD13" s="424"/>
      <c r="BE13" s="424"/>
      <c r="BF13" s="424"/>
      <c r="BG13" s="424"/>
      <c r="BH13" s="424"/>
      <c r="BI13" s="424"/>
      <c r="BJ13" s="424"/>
      <c r="BK13" s="427"/>
    </row>
    <row r="14" spans="1:88" ht="15.75" customHeight="1">
      <c r="A14" s="93"/>
      <c r="B14" s="3"/>
      <c r="C14" s="466"/>
      <c r="D14" s="466"/>
      <c r="E14" s="466"/>
      <c r="F14" s="466"/>
      <c r="G14" s="466"/>
      <c r="H14" s="466"/>
      <c r="I14" s="466"/>
      <c r="J14" s="466"/>
      <c r="K14" s="466"/>
      <c r="L14" s="266"/>
      <c r="M14" s="424"/>
      <c r="N14" s="424"/>
      <c r="O14" s="424"/>
      <c r="P14" s="424"/>
      <c r="Q14" s="424"/>
      <c r="R14" s="424"/>
      <c r="S14" s="424"/>
      <c r="T14" s="424"/>
      <c r="U14" s="424"/>
      <c r="V14" s="424"/>
      <c r="W14" s="424"/>
      <c r="X14" s="424"/>
      <c r="Y14" s="424"/>
      <c r="Z14" s="424"/>
      <c r="AA14" s="424"/>
      <c r="AB14" s="424"/>
      <c r="AC14" s="424"/>
      <c r="AD14" s="424"/>
      <c r="AE14" s="424"/>
      <c r="AF14" s="424"/>
      <c r="AG14" s="424"/>
      <c r="AH14" s="424"/>
      <c r="AI14" s="424"/>
      <c r="AJ14" s="424"/>
      <c r="AK14" s="424"/>
      <c r="AL14" s="424"/>
      <c r="AM14" s="424"/>
      <c r="AN14" s="424"/>
      <c r="AO14" s="424"/>
      <c r="AP14" s="424"/>
      <c r="AQ14" s="424"/>
      <c r="AR14" s="424"/>
      <c r="AS14" s="426"/>
      <c r="AT14" s="424"/>
      <c r="AU14" s="424"/>
      <c r="AV14" s="424"/>
      <c r="AW14" s="424"/>
      <c r="AX14" s="424"/>
      <c r="AY14" s="424"/>
      <c r="AZ14" s="424"/>
      <c r="BA14" s="424"/>
      <c r="BB14" s="424"/>
      <c r="BC14" s="424"/>
      <c r="BD14" s="424"/>
      <c r="BE14" s="424"/>
      <c r="BF14" s="424"/>
      <c r="BG14" s="424"/>
      <c r="BH14" s="424"/>
      <c r="BI14" s="424"/>
      <c r="BJ14" s="424"/>
      <c r="BK14" s="427"/>
    </row>
    <row r="15" spans="1:88" ht="15.75" customHeight="1">
      <c r="A15" s="93"/>
      <c r="B15" s="3"/>
      <c r="C15" s="466"/>
      <c r="D15" s="466"/>
      <c r="E15" s="466"/>
      <c r="F15" s="466"/>
      <c r="G15" s="466"/>
      <c r="H15" s="466"/>
      <c r="I15" s="466"/>
      <c r="J15" s="466"/>
      <c r="K15" s="466"/>
      <c r="L15" s="266"/>
      <c r="M15" s="424"/>
      <c r="N15" s="424"/>
      <c r="O15" s="424"/>
      <c r="P15" s="424"/>
      <c r="Q15" s="424"/>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6"/>
      <c r="AT15" s="424"/>
      <c r="AU15" s="424"/>
      <c r="AV15" s="424"/>
      <c r="AW15" s="424"/>
      <c r="AX15" s="424"/>
      <c r="AY15" s="424"/>
      <c r="AZ15" s="424"/>
      <c r="BA15" s="424"/>
      <c r="BB15" s="424"/>
      <c r="BC15" s="424"/>
      <c r="BD15" s="424"/>
      <c r="BE15" s="424"/>
      <c r="BF15" s="424"/>
      <c r="BG15" s="424"/>
      <c r="BH15" s="424"/>
      <c r="BI15" s="424"/>
      <c r="BJ15" s="424"/>
      <c r="BK15" s="427"/>
    </row>
    <row r="16" spans="1:88" ht="15.75" customHeight="1">
      <c r="A16" s="93"/>
      <c r="B16" s="3"/>
      <c r="C16" s="466"/>
      <c r="D16" s="466"/>
      <c r="E16" s="466"/>
      <c r="F16" s="466"/>
      <c r="G16" s="466"/>
      <c r="H16" s="466"/>
      <c r="I16" s="466"/>
      <c r="J16" s="466"/>
      <c r="K16" s="466"/>
      <c r="L16" s="266"/>
      <c r="M16" s="424"/>
      <c r="N16" s="424"/>
      <c r="O16" s="424"/>
      <c r="P16" s="424"/>
      <c r="Q16" s="424"/>
      <c r="R16" s="424"/>
      <c r="S16" s="424"/>
      <c r="T16" s="424"/>
      <c r="U16" s="424"/>
      <c r="V16" s="424"/>
      <c r="W16" s="424"/>
      <c r="X16" s="424"/>
      <c r="Y16" s="424"/>
      <c r="Z16" s="424"/>
      <c r="AA16" s="424"/>
      <c r="AB16" s="424"/>
      <c r="AC16" s="424"/>
      <c r="AD16" s="424"/>
      <c r="AE16" s="424"/>
      <c r="AF16" s="424"/>
      <c r="AG16" s="424"/>
      <c r="AH16" s="424"/>
      <c r="AI16" s="424"/>
      <c r="AJ16" s="424"/>
      <c r="AK16" s="424"/>
      <c r="AL16" s="424"/>
      <c r="AM16" s="424"/>
      <c r="AN16" s="424"/>
      <c r="AO16" s="424"/>
      <c r="AP16" s="424"/>
      <c r="AQ16" s="424"/>
      <c r="AR16" s="424"/>
      <c r="AS16" s="426"/>
      <c r="AT16" s="424"/>
      <c r="AU16" s="424"/>
      <c r="AV16" s="424"/>
      <c r="AW16" s="424"/>
      <c r="AX16" s="424"/>
      <c r="AY16" s="424"/>
      <c r="AZ16" s="424"/>
      <c r="BA16" s="424"/>
      <c r="BB16" s="424"/>
      <c r="BC16" s="424"/>
      <c r="BD16" s="424"/>
      <c r="BE16" s="424"/>
      <c r="BF16" s="424"/>
      <c r="BG16" s="424"/>
      <c r="BH16" s="424"/>
      <c r="BI16" s="424"/>
      <c r="BJ16" s="424"/>
      <c r="BK16" s="427"/>
    </row>
    <row r="17" spans="1:63" ht="15.75" customHeight="1">
      <c r="A17" s="93"/>
      <c r="B17" s="3"/>
      <c r="C17" s="466"/>
      <c r="D17" s="466"/>
      <c r="E17" s="466"/>
      <c r="F17" s="466"/>
      <c r="G17" s="466"/>
      <c r="H17" s="466"/>
      <c r="I17" s="466"/>
      <c r="J17" s="466"/>
      <c r="K17" s="466"/>
      <c r="L17" s="266"/>
      <c r="M17" s="424"/>
      <c r="N17" s="424"/>
      <c r="O17" s="424"/>
      <c r="P17" s="424"/>
      <c r="Q17" s="424"/>
      <c r="R17" s="424"/>
      <c r="S17" s="424"/>
      <c r="T17" s="424"/>
      <c r="U17" s="424"/>
      <c r="V17" s="424"/>
      <c r="W17" s="424"/>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6"/>
      <c r="AT17" s="424"/>
      <c r="AU17" s="424"/>
      <c r="AV17" s="424"/>
      <c r="AW17" s="424"/>
      <c r="AX17" s="424"/>
      <c r="AY17" s="424"/>
      <c r="AZ17" s="424"/>
      <c r="BA17" s="424"/>
      <c r="BB17" s="424"/>
      <c r="BC17" s="424"/>
      <c r="BD17" s="424"/>
      <c r="BE17" s="424"/>
      <c r="BF17" s="424"/>
      <c r="BG17" s="424"/>
      <c r="BH17" s="424"/>
      <c r="BI17" s="424"/>
      <c r="BJ17" s="424"/>
      <c r="BK17" s="427"/>
    </row>
    <row r="18" spans="1:63" ht="15.75" customHeight="1">
      <c r="A18" s="93"/>
      <c r="B18" s="3"/>
      <c r="C18" s="466"/>
      <c r="D18" s="466"/>
      <c r="E18" s="466"/>
      <c r="F18" s="466"/>
      <c r="G18" s="466"/>
      <c r="H18" s="466"/>
      <c r="I18" s="466"/>
      <c r="J18" s="466"/>
      <c r="K18" s="466"/>
      <c r="L18" s="266"/>
      <c r="M18" s="466"/>
      <c r="N18" s="466"/>
      <c r="O18" s="466"/>
      <c r="P18" s="466"/>
      <c r="Q18" s="466"/>
      <c r="R18" s="466"/>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466"/>
      <c r="AQ18" s="466"/>
      <c r="AR18" s="466"/>
      <c r="AS18" s="267"/>
      <c r="AT18" s="466"/>
      <c r="AU18" s="466"/>
      <c r="AV18" s="466"/>
      <c r="AW18" s="466"/>
      <c r="AX18" s="466"/>
      <c r="AY18" s="466"/>
      <c r="AZ18" s="466"/>
      <c r="BA18" s="466"/>
      <c r="BB18" s="466"/>
      <c r="BC18" s="466"/>
      <c r="BD18" s="466"/>
      <c r="BE18" s="466"/>
      <c r="BF18" s="466"/>
      <c r="BG18" s="466"/>
      <c r="BH18" s="466"/>
      <c r="BI18" s="466"/>
      <c r="BJ18" s="466"/>
      <c r="BK18" s="312"/>
    </row>
    <row r="19" spans="1:63" ht="15.75" customHeight="1">
      <c r="A19" s="93"/>
      <c r="B19" s="3"/>
      <c r="C19" s="466"/>
      <c r="D19" s="466"/>
      <c r="E19" s="466"/>
      <c r="F19" s="466"/>
      <c r="G19" s="466"/>
      <c r="H19" s="466"/>
      <c r="I19" s="466"/>
      <c r="J19" s="466"/>
      <c r="K19" s="466"/>
      <c r="L19" s="266"/>
      <c r="M19" s="466"/>
      <c r="N19" s="466"/>
      <c r="O19" s="466"/>
      <c r="P19" s="466"/>
      <c r="Q19" s="466"/>
      <c r="R19" s="466"/>
      <c r="S19" s="466"/>
      <c r="T19" s="466"/>
      <c r="U19" s="466"/>
      <c r="V19" s="466"/>
      <c r="W19" s="466"/>
      <c r="X19" s="466"/>
      <c r="Y19" s="466"/>
      <c r="Z19" s="466"/>
      <c r="AA19" s="466"/>
      <c r="AB19" s="466"/>
      <c r="AC19" s="466"/>
      <c r="AD19" s="466"/>
      <c r="AE19" s="466"/>
      <c r="AF19" s="466"/>
      <c r="AG19" s="466"/>
      <c r="AH19" s="466"/>
      <c r="AI19" s="466"/>
      <c r="AJ19" s="466"/>
      <c r="AK19" s="466"/>
      <c r="AL19" s="466"/>
      <c r="AM19" s="466"/>
      <c r="AN19" s="466"/>
      <c r="AO19" s="466"/>
      <c r="AP19" s="466"/>
      <c r="AQ19" s="466"/>
      <c r="AR19" s="466"/>
      <c r="AS19" s="267"/>
      <c r="AT19" s="466"/>
      <c r="AU19" s="466"/>
      <c r="AV19" s="466"/>
      <c r="AW19" s="466"/>
      <c r="AX19" s="466"/>
      <c r="AY19" s="466"/>
      <c r="AZ19" s="466"/>
      <c r="BA19" s="466"/>
      <c r="BB19" s="466"/>
      <c r="BC19" s="466"/>
      <c r="BD19" s="466"/>
      <c r="BE19" s="466"/>
      <c r="BF19" s="466"/>
      <c r="BG19" s="466"/>
      <c r="BH19" s="466"/>
      <c r="BI19" s="466"/>
      <c r="BJ19" s="466"/>
      <c r="BK19" s="312"/>
    </row>
    <row r="20" spans="1:63" ht="15.75" customHeight="1">
      <c r="A20" s="93"/>
      <c r="B20" s="3"/>
      <c r="C20" s="466"/>
      <c r="D20" s="466"/>
      <c r="E20" s="466"/>
      <c r="F20" s="466"/>
      <c r="G20" s="466"/>
      <c r="H20" s="466"/>
      <c r="I20" s="466"/>
      <c r="J20" s="466"/>
      <c r="K20" s="466"/>
      <c r="L20" s="266"/>
      <c r="M20" s="466"/>
      <c r="N20" s="466"/>
      <c r="O20" s="466"/>
      <c r="P20" s="466"/>
      <c r="Q20" s="466"/>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267"/>
      <c r="AT20" s="466"/>
      <c r="AU20" s="466"/>
      <c r="AV20" s="466"/>
      <c r="AW20" s="466"/>
      <c r="AX20" s="466"/>
      <c r="AY20" s="466"/>
      <c r="AZ20" s="466"/>
      <c r="BA20" s="466"/>
      <c r="BB20" s="466"/>
      <c r="BC20" s="466"/>
      <c r="BD20" s="466"/>
      <c r="BE20" s="466"/>
      <c r="BF20" s="466"/>
      <c r="BG20" s="466"/>
      <c r="BH20" s="466"/>
      <c r="BI20" s="466"/>
      <c r="BJ20" s="466"/>
      <c r="BK20" s="312"/>
    </row>
    <row r="21" spans="1:63" ht="15.75" customHeight="1">
      <c r="A21" s="93"/>
      <c r="B21" s="3"/>
      <c r="C21" s="466"/>
      <c r="D21" s="466"/>
      <c r="E21" s="466"/>
      <c r="F21" s="466"/>
      <c r="G21" s="466"/>
      <c r="H21" s="466"/>
      <c r="I21" s="466"/>
      <c r="J21" s="466"/>
      <c r="K21" s="466"/>
      <c r="L21" s="266"/>
      <c r="M21" s="466"/>
      <c r="N21" s="466"/>
      <c r="O21" s="466"/>
      <c r="P21" s="466"/>
      <c r="Q21" s="466"/>
      <c r="R21" s="466"/>
      <c r="S21" s="466"/>
      <c r="T21" s="466"/>
      <c r="U21" s="466"/>
      <c r="V21" s="466"/>
      <c r="W21" s="466"/>
      <c r="X21" s="466"/>
      <c r="Y21" s="466"/>
      <c r="Z21" s="466"/>
      <c r="AA21" s="466"/>
      <c r="AB21" s="466"/>
      <c r="AC21" s="466"/>
      <c r="AD21" s="466"/>
      <c r="AE21" s="466"/>
      <c r="AF21" s="466"/>
      <c r="AG21" s="466"/>
      <c r="AH21" s="466"/>
      <c r="AI21" s="466"/>
      <c r="AJ21" s="466"/>
      <c r="AK21" s="466"/>
      <c r="AL21" s="466"/>
      <c r="AM21" s="466"/>
      <c r="AN21" s="466"/>
      <c r="AO21" s="466"/>
      <c r="AP21" s="466"/>
      <c r="AQ21" s="466"/>
      <c r="AR21" s="466"/>
      <c r="AS21" s="267"/>
      <c r="AT21" s="466"/>
      <c r="AU21" s="466"/>
      <c r="AV21" s="466"/>
      <c r="AW21" s="466"/>
      <c r="AX21" s="466"/>
      <c r="AY21" s="466"/>
      <c r="AZ21" s="466"/>
      <c r="BA21" s="466"/>
      <c r="BB21" s="466"/>
      <c r="BC21" s="466"/>
      <c r="BD21" s="466"/>
      <c r="BE21" s="466"/>
      <c r="BF21" s="466"/>
      <c r="BG21" s="466"/>
      <c r="BH21" s="466"/>
      <c r="BI21" s="466"/>
      <c r="BJ21" s="466"/>
      <c r="BK21" s="312"/>
    </row>
    <row r="22" spans="1:63" ht="15.75" customHeight="1">
      <c r="A22" s="93"/>
      <c r="B22" s="3"/>
      <c r="C22" s="466"/>
      <c r="D22" s="466"/>
      <c r="E22" s="466"/>
      <c r="F22" s="466"/>
      <c r="G22" s="466"/>
      <c r="H22" s="466"/>
      <c r="I22" s="466"/>
      <c r="J22" s="466"/>
      <c r="K22" s="466"/>
      <c r="L22" s="266"/>
      <c r="M22" s="466"/>
      <c r="N22" s="466"/>
      <c r="O22" s="466"/>
      <c r="P22" s="466"/>
      <c r="Q22" s="466"/>
      <c r="R22" s="466"/>
      <c r="S22" s="466"/>
      <c r="T22" s="466"/>
      <c r="U22" s="466"/>
      <c r="V22" s="466"/>
      <c r="W22" s="466"/>
      <c r="X22" s="466"/>
      <c r="Y22" s="466"/>
      <c r="Z22" s="466"/>
      <c r="AA22" s="466"/>
      <c r="AB22" s="466"/>
      <c r="AC22" s="466"/>
      <c r="AD22" s="466"/>
      <c r="AE22" s="466"/>
      <c r="AF22" s="466"/>
      <c r="AG22" s="466"/>
      <c r="AH22" s="466"/>
      <c r="AI22" s="466"/>
      <c r="AJ22" s="466"/>
      <c r="AK22" s="466"/>
      <c r="AL22" s="466"/>
      <c r="AM22" s="466"/>
      <c r="AN22" s="466"/>
      <c r="AO22" s="466"/>
      <c r="AP22" s="466"/>
      <c r="AQ22" s="466"/>
      <c r="AR22" s="466"/>
      <c r="AS22" s="267"/>
      <c r="AT22" s="466"/>
      <c r="AU22" s="466"/>
      <c r="AV22" s="466"/>
      <c r="AW22" s="466"/>
      <c r="AX22" s="466"/>
      <c r="AY22" s="466"/>
      <c r="AZ22" s="466"/>
      <c r="BA22" s="466"/>
      <c r="BB22" s="466"/>
      <c r="BC22" s="466"/>
      <c r="BD22" s="466"/>
      <c r="BE22" s="466"/>
      <c r="BF22" s="466"/>
      <c r="BG22" s="466"/>
      <c r="BH22" s="466"/>
      <c r="BI22" s="466"/>
      <c r="BJ22" s="466"/>
      <c r="BK22" s="312"/>
    </row>
    <row r="23" spans="1:63" ht="15.75" customHeight="1">
      <c r="A23" s="93"/>
      <c r="B23" s="3"/>
      <c r="C23" s="466"/>
      <c r="D23" s="466"/>
      <c r="E23" s="466"/>
      <c r="F23" s="466"/>
      <c r="G23" s="466"/>
      <c r="H23" s="466"/>
      <c r="I23" s="466"/>
      <c r="J23" s="466"/>
      <c r="K23" s="466"/>
      <c r="L23" s="266"/>
      <c r="M23" s="466"/>
      <c r="N23" s="466"/>
      <c r="O23" s="466"/>
      <c r="P23" s="466"/>
      <c r="Q23" s="466"/>
      <c r="R23" s="466"/>
      <c r="S23" s="466"/>
      <c r="T23" s="466"/>
      <c r="U23" s="466"/>
      <c r="V23" s="466"/>
      <c r="W23" s="466"/>
      <c r="X23" s="466"/>
      <c r="Y23" s="466"/>
      <c r="Z23" s="466"/>
      <c r="AA23" s="466"/>
      <c r="AB23" s="466"/>
      <c r="AC23" s="466"/>
      <c r="AD23" s="466"/>
      <c r="AE23" s="466"/>
      <c r="AF23" s="466"/>
      <c r="AG23" s="466"/>
      <c r="AH23" s="466"/>
      <c r="AI23" s="466"/>
      <c r="AJ23" s="466"/>
      <c r="AK23" s="466"/>
      <c r="AL23" s="466"/>
      <c r="AM23" s="466"/>
      <c r="AN23" s="466"/>
      <c r="AO23" s="466"/>
      <c r="AP23" s="466"/>
      <c r="AQ23" s="466"/>
      <c r="AR23" s="466"/>
      <c r="AS23" s="267"/>
      <c r="AT23" s="466"/>
      <c r="AU23" s="466"/>
      <c r="AV23" s="466"/>
      <c r="AW23" s="466"/>
      <c r="AX23" s="466"/>
      <c r="AY23" s="466"/>
      <c r="AZ23" s="466"/>
      <c r="BA23" s="466"/>
      <c r="BB23" s="466"/>
      <c r="BC23" s="466"/>
      <c r="BD23" s="466"/>
      <c r="BE23" s="466"/>
      <c r="BF23" s="466"/>
      <c r="BG23" s="466"/>
      <c r="BH23" s="466"/>
      <c r="BI23" s="466"/>
      <c r="BJ23" s="466"/>
      <c r="BK23" s="312"/>
    </row>
    <row r="24" spans="1:63" ht="15.75" customHeight="1">
      <c r="A24" s="93"/>
      <c r="B24" s="3"/>
      <c r="C24" s="466"/>
      <c r="D24" s="466"/>
      <c r="E24" s="466"/>
      <c r="F24" s="466"/>
      <c r="G24" s="466"/>
      <c r="H24" s="466"/>
      <c r="I24" s="466"/>
      <c r="J24" s="466"/>
      <c r="K24" s="466"/>
      <c r="L24" s="266"/>
      <c r="M24" s="466"/>
      <c r="N24" s="466"/>
      <c r="O24" s="466"/>
      <c r="P24" s="466"/>
      <c r="Q24" s="466"/>
      <c r="R24" s="466"/>
      <c r="S24" s="466"/>
      <c r="T24" s="466"/>
      <c r="U24" s="466"/>
      <c r="V24" s="466"/>
      <c r="W24" s="466"/>
      <c r="X24" s="466"/>
      <c r="Y24" s="466"/>
      <c r="Z24" s="466"/>
      <c r="AA24" s="466"/>
      <c r="AB24" s="466"/>
      <c r="AC24" s="466"/>
      <c r="AD24" s="466"/>
      <c r="AE24" s="466"/>
      <c r="AF24" s="466"/>
      <c r="AG24" s="466"/>
      <c r="AH24" s="466"/>
      <c r="AI24" s="466"/>
      <c r="AJ24" s="466"/>
      <c r="AK24" s="466"/>
      <c r="AL24" s="466"/>
      <c r="AM24" s="466"/>
      <c r="AN24" s="466"/>
      <c r="AO24" s="466"/>
      <c r="AP24" s="466"/>
      <c r="AQ24" s="466"/>
      <c r="AR24" s="466"/>
      <c r="AS24" s="267"/>
      <c r="AT24" s="466"/>
      <c r="AU24" s="466"/>
      <c r="AV24" s="466"/>
      <c r="AW24" s="466"/>
      <c r="AX24" s="466"/>
      <c r="AY24" s="466"/>
      <c r="AZ24" s="466"/>
      <c r="BA24" s="466"/>
      <c r="BB24" s="466"/>
      <c r="BC24" s="466"/>
      <c r="BD24" s="466"/>
      <c r="BE24" s="466"/>
      <c r="BF24" s="466"/>
      <c r="BG24" s="466"/>
      <c r="BH24" s="466"/>
      <c r="BI24" s="466"/>
      <c r="BJ24" s="466"/>
      <c r="BK24" s="312"/>
    </row>
    <row r="25" spans="1:63" ht="15.75" customHeight="1">
      <c r="A25" s="93"/>
      <c r="B25" s="3"/>
      <c r="C25" s="466"/>
      <c r="D25" s="466"/>
      <c r="E25" s="466"/>
      <c r="F25" s="466"/>
      <c r="G25" s="466"/>
      <c r="H25" s="466"/>
      <c r="I25" s="466"/>
      <c r="J25" s="466"/>
      <c r="K25" s="466"/>
      <c r="L25" s="266"/>
      <c r="M25" s="466"/>
      <c r="N25" s="466"/>
      <c r="O25" s="466"/>
      <c r="P25" s="466"/>
      <c r="Q25" s="466"/>
      <c r="R25" s="466"/>
      <c r="S25" s="466"/>
      <c r="T25" s="466"/>
      <c r="U25" s="466"/>
      <c r="V25" s="466"/>
      <c r="W25" s="466"/>
      <c r="X25" s="466"/>
      <c r="Y25" s="466"/>
      <c r="Z25" s="466"/>
      <c r="AA25" s="466"/>
      <c r="AB25" s="466"/>
      <c r="AC25" s="466"/>
      <c r="AD25" s="466"/>
      <c r="AE25" s="466"/>
      <c r="AF25" s="466"/>
      <c r="AG25" s="466"/>
      <c r="AH25" s="466"/>
      <c r="AI25" s="466"/>
      <c r="AJ25" s="466"/>
      <c r="AK25" s="466"/>
      <c r="AL25" s="466"/>
      <c r="AM25" s="466"/>
      <c r="AN25" s="466"/>
      <c r="AO25" s="466"/>
      <c r="AP25" s="466"/>
      <c r="AQ25" s="466"/>
      <c r="AR25" s="466"/>
      <c r="AS25" s="267"/>
      <c r="AT25" s="466"/>
      <c r="AU25" s="466"/>
      <c r="AV25" s="466"/>
      <c r="AW25" s="466"/>
      <c r="AX25" s="466"/>
      <c r="AY25" s="466"/>
      <c r="AZ25" s="466"/>
      <c r="BA25" s="466"/>
      <c r="BB25" s="466"/>
      <c r="BC25" s="466"/>
      <c r="BD25" s="466"/>
      <c r="BE25" s="466"/>
      <c r="BF25" s="466"/>
      <c r="BG25" s="466"/>
      <c r="BH25" s="466"/>
      <c r="BI25" s="466"/>
      <c r="BJ25" s="466"/>
      <c r="BK25" s="312"/>
    </row>
    <row r="26" spans="1:63" ht="15.75" customHeight="1">
      <c r="A26" s="93"/>
      <c r="B26" s="3"/>
      <c r="C26" s="466"/>
      <c r="D26" s="466"/>
      <c r="E26" s="466"/>
      <c r="F26" s="466"/>
      <c r="G26" s="466"/>
      <c r="H26" s="466"/>
      <c r="I26" s="466"/>
      <c r="J26" s="466"/>
      <c r="K26" s="466"/>
      <c r="L26" s="266"/>
      <c r="M26" s="466"/>
      <c r="N26" s="466"/>
      <c r="O26" s="466"/>
      <c r="P26" s="466"/>
      <c r="Q26" s="466"/>
      <c r="R26" s="466"/>
      <c r="S26" s="466"/>
      <c r="T26" s="466"/>
      <c r="U26" s="466"/>
      <c r="V26" s="466"/>
      <c r="W26" s="466"/>
      <c r="X26" s="466"/>
      <c r="Y26" s="466"/>
      <c r="Z26" s="466"/>
      <c r="AA26" s="466"/>
      <c r="AB26" s="466"/>
      <c r="AC26" s="466"/>
      <c r="AD26" s="466"/>
      <c r="AE26" s="466"/>
      <c r="AF26" s="466"/>
      <c r="AG26" s="466"/>
      <c r="AH26" s="466"/>
      <c r="AI26" s="466"/>
      <c r="AJ26" s="466"/>
      <c r="AK26" s="466"/>
      <c r="AL26" s="466"/>
      <c r="AM26" s="466"/>
      <c r="AN26" s="466"/>
      <c r="AO26" s="466"/>
      <c r="AP26" s="466"/>
      <c r="AQ26" s="466"/>
      <c r="AR26" s="466"/>
      <c r="AS26" s="267"/>
      <c r="AT26" s="466"/>
      <c r="AU26" s="466"/>
      <c r="AV26" s="466"/>
      <c r="AW26" s="466"/>
      <c r="AX26" s="466"/>
      <c r="AY26" s="466"/>
      <c r="AZ26" s="466"/>
      <c r="BA26" s="466"/>
      <c r="BB26" s="466"/>
      <c r="BC26" s="466"/>
      <c r="BD26" s="466"/>
      <c r="BE26" s="466"/>
      <c r="BF26" s="466"/>
      <c r="BG26" s="466"/>
      <c r="BH26" s="466"/>
      <c r="BI26" s="466"/>
      <c r="BJ26" s="466"/>
      <c r="BK26" s="312"/>
    </row>
    <row r="27" spans="1:63" ht="15.75" customHeight="1">
      <c r="A27" s="93"/>
      <c r="B27" s="3"/>
      <c r="C27" s="466"/>
      <c r="D27" s="466"/>
      <c r="E27" s="466"/>
      <c r="F27" s="466"/>
      <c r="G27" s="466"/>
      <c r="H27" s="466"/>
      <c r="I27" s="466"/>
      <c r="J27" s="466"/>
      <c r="K27" s="466"/>
      <c r="L27" s="266"/>
      <c r="M27" s="466"/>
      <c r="N27" s="466"/>
      <c r="O27" s="466"/>
      <c r="P27" s="466"/>
      <c r="Q27" s="466"/>
      <c r="R27" s="466"/>
      <c r="S27" s="466"/>
      <c r="T27" s="466"/>
      <c r="U27" s="466"/>
      <c r="V27" s="466"/>
      <c r="W27" s="466"/>
      <c r="X27" s="466"/>
      <c r="Y27" s="466"/>
      <c r="Z27" s="466"/>
      <c r="AA27" s="466"/>
      <c r="AB27" s="466"/>
      <c r="AC27" s="466"/>
      <c r="AD27" s="466"/>
      <c r="AE27" s="466"/>
      <c r="AF27" s="466"/>
      <c r="AG27" s="466"/>
      <c r="AH27" s="466"/>
      <c r="AI27" s="466"/>
      <c r="AJ27" s="466"/>
      <c r="AK27" s="466"/>
      <c r="AL27" s="466"/>
      <c r="AM27" s="466"/>
      <c r="AN27" s="466"/>
      <c r="AO27" s="466"/>
      <c r="AP27" s="466"/>
      <c r="AQ27" s="466"/>
      <c r="AR27" s="466"/>
      <c r="AS27" s="267"/>
      <c r="AT27" s="466"/>
      <c r="AU27" s="466"/>
      <c r="AV27" s="466"/>
      <c r="AW27" s="466"/>
      <c r="AX27" s="466"/>
      <c r="AY27" s="466"/>
      <c r="AZ27" s="466"/>
      <c r="BA27" s="466"/>
      <c r="BB27" s="466"/>
      <c r="BC27" s="466"/>
      <c r="BD27" s="466"/>
      <c r="BE27" s="466"/>
      <c r="BF27" s="466"/>
      <c r="BG27" s="466"/>
      <c r="BH27" s="466"/>
      <c r="BI27" s="466"/>
      <c r="BJ27" s="466"/>
      <c r="BK27" s="312"/>
    </row>
    <row r="28" spans="1:63" ht="15.75" customHeight="1">
      <c r="A28" s="93"/>
      <c r="B28" s="3"/>
      <c r="C28" s="466"/>
      <c r="D28" s="466"/>
      <c r="E28" s="466"/>
      <c r="F28" s="466"/>
      <c r="G28" s="466"/>
      <c r="H28" s="466"/>
      <c r="I28" s="466"/>
      <c r="J28" s="466"/>
      <c r="K28" s="466"/>
      <c r="L28" s="266"/>
      <c r="M28" s="466"/>
      <c r="N28" s="466"/>
      <c r="O28" s="466"/>
      <c r="P28" s="466"/>
      <c r="Q28" s="466"/>
      <c r="R28" s="466"/>
      <c r="S28" s="466"/>
      <c r="T28" s="466"/>
      <c r="U28" s="466"/>
      <c r="V28" s="466"/>
      <c r="W28" s="466"/>
      <c r="X28" s="466"/>
      <c r="Y28" s="466"/>
      <c r="Z28" s="466"/>
      <c r="AA28" s="466"/>
      <c r="AB28" s="466"/>
      <c r="AC28" s="466"/>
      <c r="AD28" s="466"/>
      <c r="AE28" s="466"/>
      <c r="AF28" s="466"/>
      <c r="AG28" s="466"/>
      <c r="AH28" s="466"/>
      <c r="AI28" s="466"/>
      <c r="AJ28" s="466"/>
      <c r="AK28" s="466"/>
      <c r="AL28" s="466"/>
      <c r="AM28" s="466"/>
      <c r="AN28" s="466"/>
      <c r="AO28" s="466"/>
      <c r="AP28" s="466"/>
      <c r="AQ28" s="466"/>
      <c r="AR28" s="466"/>
      <c r="AS28" s="267"/>
      <c r="AT28" s="466"/>
      <c r="AU28" s="466"/>
      <c r="AV28" s="466"/>
      <c r="AW28" s="466"/>
      <c r="AX28" s="466"/>
      <c r="AY28" s="466"/>
      <c r="AZ28" s="466"/>
      <c r="BA28" s="466"/>
      <c r="BB28" s="466"/>
      <c r="BC28" s="466"/>
      <c r="BD28" s="466"/>
      <c r="BE28" s="466"/>
      <c r="BF28" s="466"/>
      <c r="BG28" s="466"/>
      <c r="BH28" s="466"/>
      <c r="BI28" s="466"/>
      <c r="BJ28" s="466"/>
      <c r="BK28" s="312"/>
    </row>
    <row r="29" spans="1:63" ht="15.75" customHeight="1">
      <c r="A29" s="93"/>
      <c r="B29" s="3"/>
      <c r="C29" s="466"/>
      <c r="D29" s="466"/>
      <c r="E29" s="466"/>
      <c r="F29" s="466"/>
      <c r="G29" s="466"/>
      <c r="H29" s="466"/>
      <c r="I29" s="466"/>
      <c r="J29" s="466"/>
      <c r="K29" s="466"/>
      <c r="L29" s="266"/>
      <c r="M29" s="466"/>
      <c r="N29" s="466"/>
      <c r="O29" s="466"/>
      <c r="P29" s="466"/>
      <c r="Q29" s="466"/>
      <c r="R29" s="466"/>
      <c r="S29" s="466"/>
      <c r="T29" s="466"/>
      <c r="U29" s="466"/>
      <c r="V29" s="466"/>
      <c r="W29" s="466"/>
      <c r="X29" s="466"/>
      <c r="Y29" s="466"/>
      <c r="Z29" s="466"/>
      <c r="AA29" s="466"/>
      <c r="AB29" s="466"/>
      <c r="AC29" s="466"/>
      <c r="AD29" s="466"/>
      <c r="AE29" s="466"/>
      <c r="AF29" s="466"/>
      <c r="AG29" s="466"/>
      <c r="AH29" s="466"/>
      <c r="AI29" s="466"/>
      <c r="AJ29" s="466"/>
      <c r="AK29" s="466"/>
      <c r="AL29" s="466"/>
      <c r="AM29" s="466"/>
      <c r="AN29" s="466"/>
      <c r="AO29" s="466"/>
      <c r="AP29" s="466"/>
      <c r="AQ29" s="466"/>
      <c r="AR29" s="466"/>
      <c r="AS29" s="267"/>
      <c r="AT29" s="466"/>
      <c r="AU29" s="466"/>
      <c r="AV29" s="466"/>
      <c r="AW29" s="466"/>
      <c r="AX29" s="466"/>
      <c r="AY29" s="466"/>
      <c r="AZ29" s="466"/>
      <c r="BA29" s="466"/>
      <c r="BB29" s="466"/>
      <c r="BC29" s="466"/>
      <c r="BD29" s="466"/>
      <c r="BE29" s="466"/>
      <c r="BF29" s="466"/>
      <c r="BG29" s="466"/>
      <c r="BH29" s="466"/>
      <c r="BI29" s="466"/>
      <c r="BJ29" s="466"/>
      <c r="BK29" s="312"/>
    </row>
    <row r="30" spans="1:63" ht="15.75" customHeight="1">
      <c r="A30" s="93"/>
      <c r="B30" s="3"/>
      <c r="C30" s="466"/>
      <c r="D30" s="466"/>
      <c r="E30" s="466"/>
      <c r="F30" s="466"/>
      <c r="G30" s="466"/>
      <c r="H30" s="466"/>
      <c r="I30" s="466"/>
      <c r="J30" s="466"/>
      <c r="K30" s="466"/>
      <c r="L30" s="266"/>
      <c r="M30" s="466"/>
      <c r="N30" s="466"/>
      <c r="O30" s="466"/>
      <c r="P30" s="466"/>
      <c r="Q30" s="466"/>
      <c r="R30" s="466"/>
      <c r="S30" s="466"/>
      <c r="T30" s="466"/>
      <c r="U30" s="466"/>
      <c r="V30" s="466"/>
      <c r="W30" s="466"/>
      <c r="X30" s="466"/>
      <c r="Y30" s="466"/>
      <c r="Z30" s="466"/>
      <c r="AA30" s="466"/>
      <c r="AB30" s="466"/>
      <c r="AC30" s="466"/>
      <c r="AD30" s="466"/>
      <c r="AE30" s="466"/>
      <c r="AF30" s="466"/>
      <c r="AG30" s="466"/>
      <c r="AH30" s="466"/>
      <c r="AI30" s="466"/>
      <c r="AJ30" s="466"/>
      <c r="AK30" s="466"/>
      <c r="AL30" s="466"/>
      <c r="AM30" s="466"/>
      <c r="AN30" s="466"/>
      <c r="AO30" s="466"/>
      <c r="AP30" s="466"/>
      <c r="AQ30" s="466"/>
      <c r="AR30" s="466"/>
      <c r="AS30" s="267"/>
      <c r="AT30" s="466"/>
      <c r="AU30" s="466"/>
      <c r="AV30" s="466"/>
      <c r="AW30" s="466"/>
      <c r="AX30" s="466"/>
      <c r="AY30" s="466"/>
      <c r="AZ30" s="466"/>
      <c r="BA30" s="466"/>
      <c r="BB30" s="466"/>
      <c r="BC30" s="466"/>
      <c r="BD30" s="466"/>
      <c r="BE30" s="466"/>
      <c r="BF30" s="466"/>
      <c r="BG30" s="466"/>
      <c r="BH30" s="466"/>
      <c r="BI30" s="466"/>
      <c r="BJ30" s="466"/>
      <c r="BK30" s="312"/>
    </row>
    <row r="31" spans="1:63" ht="15.75" customHeight="1">
      <c r="A31" s="93"/>
      <c r="B31" s="3"/>
      <c r="C31" s="466"/>
      <c r="D31" s="466"/>
      <c r="E31" s="466"/>
      <c r="F31" s="466"/>
      <c r="G31" s="466"/>
      <c r="H31" s="466"/>
      <c r="I31" s="466"/>
      <c r="J31" s="466"/>
      <c r="K31" s="466"/>
      <c r="L31" s="266"/>
      <c r="M31" s="466"/>
      <c r="N31" s="466"/>
      <c r="O31" s="466"/>
      <c r="P31" s="466"/>
      <c r="Q31" s="466"/>
      <c r="R31" s="466"/>
      <c r="S31" s="466"/>
      <c r="T31" s="466"/>
      <c r="U31" s="466"/>
      <c r="V31" s="466"/>
      <c r="W31" s="466"/>
      <c r="X31" s="466"/>
      <c r="Y31" s="466"/>
      <c r="Z31" s="466"/>
      <c r="AA31" s="466"/>
      <c r="AB31" s="466"/>
      <c r="AC31" s="466"/>
      <c r="AD31" s="466"/>
      <c r="AE31" s="466"/>
      <c r="AF31" s="466"/>
      <c r="AG31" s="466"/>
      <c r="AH31" s="466"/>
      <c r="AI31" s="466"/>
      <c r="AJ31" s="466"/>
      <c r="AK31" s="466"/>
      <c r="AL31" s="466"/>
      <c r="AM31" s="466"/>
      <c r="AN31" s="466"/>
      <c r="AO31" s="466"/>
      <c r="AP31" s="466"/>
      <c r="AQ31" s="466"/>
      <c r="AR31" s="466"/>
      <c r="AS31" s="267"/>
      <c r="AT31" s="466"/>
      <c r="AU31" s="466"/>
      <c r="AV31" s="466"/>
      <c r="AW31" s="466"/>
      <c r="AX31" s="466"/>
      <c r="AY31" s="466"/>
      <c r="AZ31" s="466"/>
      <c r="BA31" s="466"/>
      <c r="BB31" s="466"/>
      <c r="BC31" s="466"/>
      <c r="BD31" s="466"/>
      <c r="BE31" s="466"/>
      <c r="BF31" s="466"/>
      <c r="BG31" s="466"/>
      <c r="BH31" s="466"/>
      <c r="BI31" s="466"/>
      <c r="BJ31" s="466"/>
      <c r="BK31" s="312"/>
    </row>
    <row r="32" spans="1:63" ht="15.75" customHeight="1">
      <c r="A32" s="93"/>
      <c r="B32" s="3"/>
      <c r="C32" s="466"/>
      <c r="D32" s="466"/>
      <c r="E32" s="466"/>
      <c r="F32" s="466"/>
      <c r="G32" s="466"/>
      <c r="H32" s="466"/>
      <c r="I32" s="466"/>
      <c r="J32" s="466"/>
      <c r="K32" s="466"/>
      <c r="L32" s="266"/>
      <c r="M32" s="466"/>
      <c r="N32" s="466"/>
      <c r="O32" s="466"/>
      <c r="P32" s="466"/>
      <c r="Q32" s="466"/>
      <c r="R32" s="466"/>
      <c r="S32" s="466"/>
      <c r="T32" s="466"/>
      <c r="U32" s="466"/>
      <c r="V32" s="466"/>
      <c r="W32" s="466"/>
      <c r="X32" s="466"/>
      <c r="Y32" s="466"/>
      <c r="Z32" s="466"/>
      <c r="AA32" s="466"/>
      <c r="AB32" s="466"/>
      <c r="AC32" s="466"/>
      <c r="AD32" s="466"/>
      <c r="AE32" s="466"/>
      <c r="AF32" s="466"/>
      <c r="AG32" s="466"/>
      <c r="AH32" s="466"/>
      <c r="AI32" s="466"/>
      <c r="AJ32" s="466"/>
      <c r="AK32" s="466"/>
      <c r="AL32" s="466"/>
      <c r="AM32" s="466"/>
      <c r="AN32" s="466"/>
      <c r="AO32" s="466"/>
      <c r="AP32" s="466"/>
      <c r="AQ32" s="466"/>
      <c r="AR32" s="466"/>
      <c r="AS32" s="267"/>
      <c r="AT32" s="466"/>
      <c r="AU32" s="466"/>
      <c r="AV32" s="466"/>
      <c r="AW32" s="466"/>
      <c r="AX32" s="466"/>
      <c r="AY32" s="466"/>
      <c r="AZ32" s="466"/>
      <c r="BA32" s="466"/>
      <c r="BB32" s="466"/>
      <c r="BC32" s="466"/>
      <c r="BD32" s="466"/>
      <c r="BE32" s="466"/>
      <c r="BF32" s="466"/>
      <c r="BG32" s="466"/>
      <c r="BH32" s="466"/>
      <c r="BI32" s="466"/>
      <c r="BJ32" s="466"/>
      <c r="BK32" s="312"/>
    </row>
    <row r="33" spans="1:63" ht="15.75" customHeight="1">
      <c r="A33" s="93"/>
      <c r="B33" s="3"/>
      <c r="C33" s="466"/>
      <c r="D33" s="466"/>
      <c r="E33" s="466"/>
      <c r="F33" s="466"/>
      <c r="G33" s="466"/>
      <c r="H33" s="466"/>
      <c r="I33" s="466"/>
      <c r="J33" s="466"/>
      <c r="K33" s="466"/>
      <c r="L33" s="266"/>
      <c r="M33" s="466"/>
      <c r="N33" s="466"/>
      <c r="O33" s="466"/>
      <c r="P33" s="466"/>
      <c r="Q33" s="466"/>
      <c r="R33" s="466"/>
      <c r="S33" s="466"/>
      <c r="T33" s="466"/>
      <c r="U33" s="466"/>
      <c r="V33" s="466"/>
      <c r="W33" s="466"/>
      <c r="X33" s="466"/>
      <c r="Y33" s="466"/>
      <c r="Z33" s="466"/>
      <c r="AA33" s="466"/>
      <c r="AB33" s="466"/>
      <c r="AC33" s="466"/>
      <c r="AD33" s="466"/>
      <c r="AE33" s="466"/>
      <c r="AF33" s="466"/>
      <c r="AG33" s="466"/>
      <c r="AH33" s="466"/>
      <c r="AI33" s="466"/>
      <c r="AJ33" s="466"/>
      <c r="AK33" s="466"/>
      <c r="AL33" s="466"/>
      <c r="AM33" s="466"/>
      <c r="AN33" s="466"/>
      <c r="AO33" s="466"/>
      <c r="AP33" s="466"/>
      <c r="AQ33" s="466"/>
      <c r="AR33" s="466"/>
      <c r="AS33" s="267"/>
      <c r="AT33" s="466"/>
      <c r="AU33" s="466"/>
      <c r="AV33" s="466"/>
      <c r="AW33" s="466"/>
      <c r="AX33" s="466"/>
      <c r="AY33" s="466"/>
      <c r="AZ33" s="466"/>
      <c r="BA33" s="466"/>
      <c r="BB33" s="466"/>
      <c r="BC33" s="466"/>
      <c r="BD33" s="466"/>
      <c r="BE33" s="466"/>
      <c r="BF33" s="466"/>
      <c r="BG33" s="466"/>
      <c r="BH33" s="466"/>
      <c r="BI33" s="466"/>
      <c r="BJ33" s="466"/>
      <c r="BK33" s="312"/>
    </row>
    <row r="34" spans="1:63" ht="15.75" customHeight="1">
      <c r="A34" s="93"/>
      <c r="B34" s="3"/>
      <c r="C34" s="466"/>
      <c r="D34" s="466"/>
      <c r="E34" s="466"/>
      <c r="F34" s="466"/>
      <c r="G34" s="466"/>
      <c r="H34" s="466"/>
      <c r="I34" s="466"/>
      <c r="J34" s="466"/>
      <c r="K34" s="466"/>
      <c r="L34" s="266"/>
      <c r="M34" s="466"/>
      <c r="N34" s="466"/>
      <c r="O34" s="466"/>
      <c r="P34" s="466"/>
      <c r="Q34" s="466"/>
      <c r="R34" s="466"/>
      <c r="S34" s="466"/>
      <c r="T34" s="466"/>
      <c r="U34" s="466"/>
      <c r="V34" s="466"/>
      <c r="W34" s="466"/>
      <c r="X34" s="466"/>
      <c r="Y34" s="466"/>
      <c r="Z34" s="466"/>
      <c r="AA34" s="466"/>
      <c r="AB34" s="466"/>
      <c r="AC34" s="466"/>
      <c r="AD34" s="466"/>
      <c r="AE34" s="466"/>
      <c r="AF34" s="466"/>
      <c r="AG34" s="466"/>
      <c r="AH34" s="466"/>
      <c r="AI34" s="466"/>
      <c r="AJ34" s="466"/>
      <c r="AK34" s="466"/>
      <c r="AL34" s="466"/>
      <c r="AM34" s="466"/>
      <c r="AN34" s="466"/>
      <c r="AO34" s="466"/>
      <c r="AP34" s="466"/>
      <c r="AQ34" s="466"/>
      <c r="AR34" s="466"/>
      <c r="AS34" s="267"/>
      <c r="AT34" s="466"/>
      <c r="AU34" s="466"/>
      <c r="AV34" s="466"/>
      <c r="AW34" s="466"/>
      <c r="AX34" s="466"/>
      <c r="AY34" s="466"/>
      <c r="AZ34" s="466"/>
      <c r="BA34" s="466"/>
      <c r="BB34" s="466"/>
      <c r="BC34" s="466"/>
      <c r="BD34" s="466"/>
      <c r="BE34" s="466"/>
      <c r="BF34" s="466"/>
      <c r="BG34" s="466"/>
      <c r="BH34" s="466"/>
      <c r="BI34" s="466"/>
      <c r="BJ34" s="466"/>
      <c r="BK34" s="312"/>
    </row>
    <row r="35" spans="1:63" s="1" customFormat="1" ht="15.75" customHeight="1" thickBot="1">
      <c r="A35" s="94"/>
      <c r="B35" s="95"/>
      <c r="C35" s="96"/>
      <c r="D35" s="96"/>
      <c r="E35" s="96"/>
      <c r="F35" s="96"/>
      <c r="G35" s="96"/>
      <c r="H35" s="96"/>
      <c r="I35" s="96"/>
      <c r="J35" s="96"/>
      <c r="K35" s="96"/>
      <c r="L35" s="97"/>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8"/>
      <c r="AT35" s="96"/>
      <c r="AU35" s="96"/>
      <c r="AV35" s="96"/>
      <c r="AW35" s="96"/>
      <c r="AX35" s="96"/>
      <c r="AY35" s="96"/>
      <c r="AZ35" s="96"/>
      <c r="BA35" s="96"/>
      <c r="BB35" s="96"/>
      <c r="BC35" s="96"/>
      <c r="BD35" s="96"/>
      <c r="BE35" s="96"/>
      <c r="BF35" s="96"/>
      <c r="BG35" s="96"/>
      <c r="BH35" s="96"/>
      <c r="BI35" s="96"/>
      <c r="BJ35" s="96"/>
      <c r="BK35" s="99"/>
    </row>
  </sheetData>
  <mergeCells count="22">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1:J3"/>
    <mergeCell ref="K1:T1"/>
    <mergeCell ref="U1:Y1"/>
    <mergeCell ref="Z1:AD1"/>
    <mergeCell ref="AE1:AI1"/>
    <mergeCell ref="AE3:AR3"/>
  </mergeCells>
  <phoneticPr fontId="8"/>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B079-1C23-497F-8DB1-4B8D26051F1C}">
  <sheetPr codeName="Sheet5">
    <pageSetUpPr fitToPage="1"/>
  </sheetPr>
  <dimension ref="A1:DI52"/>
  <sheetViews>
    <sheetView showGridLines="0" showZeros="0" view="pageBreakPreview" zoomScale="115" zoomScaleNormal="100" zoomScaleSheetLayoutView="115" workbookViewId="0">
      <selection activeCell="BN5" sqref="BN5"/>
    </sheetView>
  </sheetViews>
  <sheetFormatPr defaultColWidth="2.125" defaultRowHeight="15.75" customHeight="1"/>
  <cols>
    <col min="1" max="1" width="2.125" style="22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3" s="14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3" s="14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3" s="14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3" s="144" customFormat="1" ht="6.75" customHeight="1" thickBot="1">
      <c r="B4" s="145"/>
      <c r="C4" s="146"/>
      <c r="D4" s="146"/>
      <c r="E4" s="146"/>
      <c r="F4" s="147"/>
      <c r="G4" s="147"/>
      <c r="H4" s="147"/>
      <c r="I4" s="147"/>
      <c r="J4" s="146"/>
      <c r="K4" s="147"/>
      <c r="L4" s="147"/>
      <c r="M4" s="147"/>
      <c r="N4" s="147"/>
      <c r="O4" s="147"/>
      <c r="P4" s="147"/>
      <c r="Q4" s="148"/>
    </row>
    <row r="5" spans="1:63" ht="15.75" customHeight="1" thickBot="1">
      <c r="A5" s="382" t="s">
        <v>530</v>
      </c>
      <c r="B5" s="383" t="s">
        <v>531</v>
      </c>
      <c r="C5" s="383"/>
      <c r="D5" s="383"/>
      <c r="E5" s="383"/>
      <c r="F5" s="383"/>
      <c r="G5" s="383"/>
      <c r="H5" s="383"/>
      <c r="I5" s="384"/>
      <c r="J5" s="383" t="s">
        <v>532</v>
      </c>
      <c r="K5" s="383"/>
      <c r="L5" s="383"/>
      <c r="M5" s="383"/>
      <c r="N5" s="383"/>
      <c r="O5" s="383"/>
      <c r="P5" s="383"/>
      <c r="Q5" s="383"/>
      <c r="R5" s="383"/>
      <c r="S5" s="383"/>
      <c r="T5" s="383"/>
      <c r="U5" s="383"/>
      <c r="V5" s="383"/>
      <c r="W5" s="383"/>
      <c r="X5" s="383"/>
      <c r="Y5" s="383"/>
      <c r="Z5" s="383"/>
      <c r="AA5" s="383"/>
      <c r="AB5" s="383"/>
      <c r="AC5" s="383"/>
      <c r="AD5" s="383"/>
      <c r="AE5" s="383"/>
      <c r="AF5" s="383"/>
      <c r="AG5" s="383"/>
      <c r="AH5" s="383"/>
      <c r="AI5" s="383"/>
      <c r="AJ5" s="383"/>
      <c r="AK5" s="383"/>
      <c r="AL5" s="383"/>
      <c r="AM5" s="383"/>
      <c r="AN5" s="383"/>
      <c r="AO5" s="383"/>
      <c r="AP5" s="383"/>
      <c r="AQ5" s="383"/>
      <c r="AR5" s="383"/>
      <c r="AS5" s="383"/>
      <c r="AT5" s="383"/>
      <c r="AU5" s="383"/>
      <c r="AV5" s="383"/>
      <c r="AW5" s="383"/>
      <c r="AX5" s="383"/>
      <c r="AY5" s="383"/>
      <c r="AZ5" s="383"/>
      <c r="BA5" s="383"/>
      <c r="BB5" s="383"/>
      <c r="BC5" s="384"/>
      <c r="BD5" s="383" t="s">
        <v>533</v>
      </c>
      <c r="BE5" s="383"/>
      <c r="BF5" s="383"/>
      <c r="BG5" s="383"/>
      <c r="BH5" s="383"/>
      <c r="BI5" s="383"/>
      <c r="BJ5" s="383"/>
      <c r="BK5" s="385"/>
    </row>
    <row r="6" spans="1:63" s="210" customFormat="1" ht="15.75" customHeight="1" thickTop="1">
      <c r="A6" s="386" t="s">
        <v>290</v>
      </c>
      <c r="B6" s="471" t="s">
        <v>534</v>
      </c>
      <c r="C6" s="471"/>
      <c r="D6" s="471"/>
      <c r="E6" s="471"/>
      <c r="F6" s="471"/>
      <c r="G6" s="471"/>
      <c r="H6" s="471"/>
      <c r="I6" s="471"/>
      <c r="J6" s="471"/>
      <c r="K6" s="471"/>
      <c r="L6" s="472"/>
      <c r="M6" s="472"/>
      <c r="N6" s="472"/>
      <c r="O6" s="472"/>
      <c r="P6" s="472"/>
      <c r="Q6" s="472"/>
      <c r="R6" s="472"/>
      <c r="S6" s="472"/>
      <c r="T6" s="472"/>
      <c r="U6" s="472"/>
      <c r="V6" s="472"/>
      <c r="W6" s="472"/>
      <c r="X6" s="472"/>
      <c r="Y6" s="472"/>
      <c r="Z6" s="472"/>
      <c r="AA6" s="472"/>
      <c r="AB6" s="472"/>
      <c r="AC6" s="472"/>
      <c r="AD6" s="472"/>
      <c r="AE6" s="472"/>
      <c r="AF6" s="472"/>
      <c r="AG6" s="472"/>
      <c r="AH6" s="472"/>
      <c r="AI6" s="472"/>
      <c r="AJ6" s="472"/>
      <c r="AK6" s="472"/>
      <c r="AL6" s="472"/>
      <c r="AM6" s="472"/>
      <c r="AN6" s="472"/>
      <c r="AO6" s="472"/>
      <c r="AP6" s="472"/>
      <c r="AQ6" s="472"/>
      <c r="AR6" s="472"/>
      <c r="AS6" s="472"/>
      <c r="AT6" s="472"/>
      <c r="AU6" s="472"/>
      <c r="AV6" s="472"/>
      <c r="AW6" s="472"/>
      <c r="AX6" s="472"/>
      <c r="AY6" s="472"/>
      <c r="AZ6" s="472"/>
      <c r="BA6" s="472"/>
      <c r="BB6" s="472"/>
      <c r="BC6" s="472"/>
      <c r="BD6" s="472"/>
      <c r="BE6" s="472"/>
      <c r="BF6" s="472"/>
      <c r="BG6" s="472"/>
      <c r="BH6" s="472"/>
      <c r="BI6" s="472"/>
      <c r="BJ6" s="472"/>
      <c r="BK6" s="387"/>
    </row>
    <row r="7" spans="1:63" s="210" customFormat="1" ht="15.75" customHeight="1">
      <c r="A7" s="388"/>
      <c r="B7" s="389"/>
      <c r="C7" s="381"/>
      <c r="D7" s="381"/>
      <c r="E7" s="381"/>
      <c r="F7" s="381"/>
      <c r="G7" s="381"/>
      <c r="H7" s="381"/>
      <c r="I7" s="390"/>
      <c r="J7" s="391" t="s">
        <v>535</v>
      </c>
      <c r="K7" s="391"/>
      <c r="L7" s="39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381"/>
      <c r="AQ7" s="381"/>
      <c r="AR7" s="381"/>
      <c r="AS7" s="381"/>
      <c r="AT7" s="381"/>
      <c r="AU7" s="381"/>
      <c r="AV7" s="381"/>
      <c r="AW7" s="381"/>
      <c r="AX7" s="381"/>
      <c r="AY7" s="381"/>
      <c r="AZ7" s="381"/>
      <c r="BA7" s="381"/>
      <c r="BB7" s="381"/>
      <c r="BC7" s="381"/>
      <c r="BD7" s="389"/>
      <c r="BE7" s="381"/>
      <c r="BF7" s="381"/>
      <c r="BG7" s="381"/>
      <c r="BH7" s="381"/>
      <c r="BI7" s="381"/>
      <c r="BJ7" s="381"/>
      <c r="BK7" s="392"/>
    </row>
    <row r="8" spans="1:63" s="210" customFormat="1" ht="15.75" customHeight="1">
      <c r="A8" s="388"/>
      <c r="B8" s="381"/>
      <c r="C8" s="381"/>
      <c r="D8" s="381"/>
      <c r="E8" s="381"/>
      <c r="F8" s="381"/>
      <c r="G8" s="381"/>
      <c r="H8" s="381"/>
      <c r="I8" s="390"/>
      <c r="J8" s="391"/>
      <c r="K8" s="391" t="s">
        <v>534</v>
      </c>
      <c r="L8" s="391"/>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9"/>
      <c r="BE8" s="381"/>
      <c r="BF8" s="381"/>
      <c r="BG8" s="381"/>
      <c r="BH8" s="381"/>
      <c r="BI8" s="381"/>
      <c r="BJ8" s="381"/>
      <c r="BK8" s="392"/>
    </row>
    <row r="9" spans="1:63" s="210" customFormat="1" ht="15.75" customHeight="1">
      <c r="A9" s="388"/>
      <c r="B9" s="389"/>
      <c r="C9" s="381"/>
      <c r="D9" s="381"/>
      <c r="E9" s="381"/>
      <c r="F9" s="381"/>
      <c r="G9" s="381"/>
      <c r="H9" s="381"/>
      <c r="I9" s="390"/>
      <c r="J9" s="393"/>
      <c r="K9" s="381"/>
      <c r="L9" s="381" t="s">
        <v>218</v>
      </c>
      <c r="M9" s="381"/>
      <c r="N9" s="381"/>
      <c r="O9" s="381"/>
      <c r="P9" s="381"/>
      <c r="Q9" s="381" t="s">
        <v>536</v>
      </c>
      <c r="R9" s="381" t="s">
        <v>537</v>
      </c>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1"/>
      <c r="BD9" s="389"/>
      <c r="BE9" s="381"/>
      <c r="BF9" s="381"/>
      <c r="BG9" s="381"/>
      <c r="BH9" s="381"/>
      <c r="BI9" s="381"/>
      <c r="BJ9" s="381"/>
      <c r="BK9" s="392"/>
    </row>
    <row r="10" spans="1:63" s="210" customFormat="1" ht="15.75" customHeight="1">
      <c r="A10" s="388"/>
      <c r="B10" s="389"/>
      <c r="C10" s="381"/>
      <c r="D10" s="381"/>
      <c r="E10" s="381"/>
      <c r="F10" s="381"/>
      <c r="G10" s="381"/>
      <c r="H10" s="381"/>
      <c r="I10" s="390"/>
      <c r="J10" s="393"/>
      <c r="K10" s="381"/>
      <c r="L10" s="381"/>
      <c r="M10" s="381"/>
      <c r="N10" s="381"/>
      <c r="O10" s="381"/>
      <c r="P10" s="381"/>
      <c r="Q10" s="381"/>
      <c r="R10" s="381" t="s">
        <v>538</v>
      </c>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1"/>
      <c r="BD10" s="389"/>
      <c r="BE10" s="381"/>
      <c r="BF10" s="381"/>
      <c r="BG10" s="381"/>
      <c r="BH10" s="381"/>
      <c r="BI10" s="381"/>
      <c r="BJ10" s="381"/>
      <c r="BK10" s="392"/>
    </row>
    <row r="11" spans="1:63" s="210" customFormat="1" ht="15.75" customHeight="1">
      <c r="A11" s="388"/>
      <c r="B11" s="389"/>
      <c r="C11" s="381"/>
      <c r="D11" s="381"/>
      <c r="E11" s="381"/>
      <c r="F11" s="381"/>
      <c r="G11" s="381"/>
      <c r="H11" s="381"/>
      <c r="I11" s="390"/>
      <c r="J11" s="393"/>
      <c r="K11" s="381"/>
      <c r="L11" s="381" t="s">
        <v>539</v>
      </c>
      <c r="M11" s="381"/>
      <c r="N11" s="381"/>
      <c r="O11" s="381"/>
      <c r="P11" s="381"/>
      <c r="Q11" s="381" t="s">
        <v>536</v>
      </c>
      <c r="R11" s="381" t="s">
        <v>540</v>
      </c>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1"/>
      <c r="BD11" s="389"/>
      <c r="BE11" s="381"/>
      <c r="BF11" s="381"/>
      <c r="BG11" s="381"/>
      <c r="BH11" s="381"/>
      <c r="BI11" s="381"/>
      <c r="BJ11" s="381"/>
      <c r="BK11" s="392"/>
    </row>
    <row r="12" spans="1:63" s="210" customFormat="1" ht="15.75" customHeight="1">
      <c r="A12" s="388"/>
      <c r="B12" s="389"/>
      <c r="C12" s="381"/>
      <c r="D12" s="381"/>
      <c r="E12" s="381"/>
      <c r="F12" s="381"/>
      <c r="G12" s="381"/>
      <c r="H12" s="381"/>
      <c r="I12" s="390"/>
      <c r="J12" s="393"/>
      <c r="K12" s="381"/>
      <c r="L12" s="381" t="s">
        <v>227</v>
      </c>
      <c r="M12" s="381"/>
      <c r="N12" s="381"/>
      <c r="O12" s="381"/>
      <c r="P12" s="381"/>
      <c r="Q12" s="381" t="s">
        <v>536</v>
      </c>
      <c r="R12" s="381" t="s">
        <v>541</v>
      </c>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9"/>
      <c r="BE12" s="381"/>
      <c r="BF12" s="381"/>
      <c r="BG12" s="381"/>
      <c r="BH12" s="381"/>
      <c r="BI12" s="381"/>
      <c r="BJ12" s="381"/>
      <c r="BK12" s="392"/>
    </row>
    <row r="13" spans="1:63" s="210" customFormat="1" ht="15.75" customHeight="1">
      <c r="A13" s="388"/>
      <c r="B13" s="389"/>
      <c r="C13" s="381"/>
      <c r="D13" s="381"/>
      <c r="E13" s="381"/>
      <c r="F13" s="381"/>
      <c r="G13" s="381"/>
      <c r="H13" s="381"/>
      <c r="I13" s="390"/>
      <c r="J13" s="393"/>
      <c r="K13" s="381"/>
      <c r="L13" s="381" t="s">
        <v>542</v>
      </c>
      <c r="M13" s="381"/>
      <c r="N13" s="381"/>
      <c r="O13" s="381"/>
      <c r="P13" s="381"/>
      <c r="Q13" s="381" t="s">
        <v>536</v>
      </c>
      <c r="R13" s="381" t="s">
        <v>543</v>
      </c>
      <c r="S13" s="381"/>
      <c r="T13" s="381"/>
      <c r="U13" s="381"/>
      <c r="V13" s="381"/>
      <c r="W13" s="381"/>
      <c r="X13" s="381"/>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9" t="s">
        <v>544</v>
      </c>
      <c r="BE13" s="381"/>
      <c r="BF13" s="381"/>
      <c r="BG13" s="381"/>
      <c r="BH13" s="381"/>
      <c r="BI13" s="381"/>
      <c r="BJ13" s="381"/>
      <c r="BK13" s="392"/>
    </row>
    <row r="14" spans="1:63" s="210" customFormat="1" ht="15.75" customHeight="1">
      <c r="A14" s="388"/>
      <c r="B14" s="389"/>
      <c r="C14" s="381"/>
      <c r="D14" s="381"/>
      <c r="E14" s="381"/>
      <c r="F14" s="381"/>
      <c r="G14" s="381"/>
      <c r="H14" s="381"/>
      <c r="I14" s="390"/>
      <c r="J14" s="393"/>
      <c r="K14" s="381"/>
      <c r="L14" s="381"/>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1"/>
      <c r="BD14" s="389"/>
      <c r="BE14" s="381"/>
      <c r="BF14" s="381"/>
      <c r="BG14" s="381"/>
      <c r="BH14" s="381"/>
      <c r="BI14" s="381"/>
      <c r="BJ14" s="381"/>
      <c r="BK14" s="392"/>
    </row>
    <row r="15" spans="1:63" s="210" customFormat="1" ht="15.75" customHeight="1">
      <c r="A15" s="388"/>
      <c r="B15" s="389"/>
      <c r="C15" s="381"/>
      <c r="D15" s="381"/>
      <c r="E15" s="381"/>
      <c r="F15" s="381"/>
      <c r="G15" s="381"/>
      <c r="H15" s="381"/>
      <c r="I15" s="390"/>
      <c r="J15" s="393"/>
      <c r="K15" s="381"/>
      <c r="L15" s="381" t="s">
        <v>545</v>
      </c>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9"/>
      <c r="BE15" s="381"/>
      <c r="BF15" s="381"/>
      <c r="BG15" s="381"/>
      <c r="BH15" s="381"/>
      <c r="BI15" s="381"/>
      <c r="BJ15" s="381"/>
      <c r="BK15" s="392"/>
    </row>
    <row r="16" spans="1:63" s="210" customFormat="1" ht="15.75" customHeight="1">
      <c r="A16" s="388"/>
      <c r="B16" s="389"/>
      <c r="C16" s="381"/>
      <c r="D16" s="381"/>
      <c r="E16" s="381"/>
      <c r="F16" s="381"/>
      <c r="G16" s="381"/>
      <c r="H16" s="381"/>
      <c r="I16" s="390"/>
      <c r="J16" s="393"/>
      <c r="K16" s="381"/>
      <c r="L16" s="381"/>
      <c r="M16" s="381" t="s">
        <v>546</v>
      </c>
      <c r="N16" s="381"/>
      <c r="O16" s="381"/>
      <c r="P16" s="381"/>
      <c r="Q16" s="381"/>
      <c r="R16" s="381"/>
      <c r="S16" s="381"/>
      <c r="T16" s="381"/>
      <c r="U16" s="381"/>
      <c r="V16" s="381"/>
      <c r="W16" s="381"/>
      <c r="X16" s="381"/>
      <c r="Y16" s="381"/>
      <c r="Z16" s="381"/>
      <c r="AA16" s="381"/>
      <c r="AB16" s="381"/>
      <c r="AC16" s="381" t="s">
        <v>189</v>
      </c>
      <c r="AD16" s="381"/>
      <c r="AE16" s="381" t="s">
        <v>547</v>
      </c>
      <c r="AF16" s="381"/>
      <c r="AG16" s="381"/>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1"/>
      <c r="BD16" s="389"/>
      <c r="BE16" s="381"/>
      <c r="BF16" s="381"/>
      <c r="BG16" s="381"/>
      <c r="BH16" s="381"/>
      <c r="BI16" s="381"/>
      <c r="BJ16" s="381"/>
      <c r="BK16" s="392"/>
    </row>
    <row r="17" spans="1:63" s="210" customFormat="1" ht="15.75" customHeight="1">
      <c r="A17" s="388"/>
      <c r="B17" s="389"/>
      <c r="C17" s="381"/>
      <c r="D17" s="381"/>
      <c r="E17" s="381"/>
      <c r="F17" s="381"/>
      <c r="G17" s="381"/>
      <c r="H17" s="381"/>
      <c r="I17" s="390"/>
      <c r="J17" s="393"/>
      <c r="K17" s="381"/>
      <c r="L17" s="381"/>
      <c r="M17" s="381" t="s">
        <v>548</v>
      </c>
      <c r="N17" s="381"/>
      <c r="O17" s="381"/>
      <c r="P17" s="381"/>
      <c r="Q17" s="381"/>
      <c r="R17" s="381"/>
      <c r="S17" s="381"/>
      <c r="T17" s="381"/>
      <c r="U17" s="381"/>
      <c r="V17" s="381"/>
      <c r="W17" s="381"/>
      <c r="X17" s="381"/>
      <c r="Y17" s="381"/>
      <c r="Z17" s="381"/>
      <c r="AA17" s="381"/>
      <c r="AB17" s="381"/>
      <c r="AC17" s="381" t="s">
        <v>189</v>
      </c>
      <c r="AD17" s="381"/>
      <c r="AE17" s="381" t="s">
        <v>549</v>
      </c>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1"/>
      <c r="BD17" s="389"/>
      <c r="BE17" s="381"/>
      <c r="BF17" s="381"/>
      <c r="BG17" s="381"/>
      <c r="BH17" s="381"/>
      <c r="BI17" s="381"/>
      <c r="BJ17" s="381"/>
      <c r="BK17" s="392"/>
    </row>
    <row r="18" spans="1:63" s="210" customFormat="1" ht="15.75" customHeight="1">
      <c r="A18" s="388"/>
      <c r="B18" s="389"/>
      <c r="C18" s="381"/>
      <c r="D18" s="381"/>
      <c r="E18" s="381"/>
      <c r="F18" s="381"/>
      <c r="G18" s="381"/>
      <c r="H18" s="381"/>
      <c r="I18" s="390"/>
      <c r="J18" s="393"/>
      <c r="K18" s="381"/>
      <c r="L18" s="381"/>
      <c r="M18" s="394" t="s">
        <v>550</v>
      </c>
      <c r="N18" s="381"/>
      <c r="O18" s="381"/>
      <c r="P18" s="381"/>
      <c r="Q18" s="381"/>
      <c r="R18" s="381"/>
      <c r="S18" s="381"/>
      <c r="T18" s="381"/>
      <c r="U18" s="381"/>
      <c r="V18" s="381"/>
      <c r="W18" s="381"/>
      <c r="X18" s="381"/>
      <c r="Y18" s="381"/>
      <c r="Z18" s="381"/>
      <c r="AA18" s="381"/>
      <c r="AB18" s="381"/>
      <c r="AC18" s="381"/>
      <c r="AD18" s="381"/>
      <c r="AE18" s="381"/>
      <c r="AF18" s="381"/>
      <c r="AG18" s="381"/>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1"/>
      <c r="BD18" s="389"/>
      <c r="BE18" s="381"/>
      <c r="BF18" s="381"/>
      <c r="BG18" s="381"/>
      <c r="BH18" s="381"/>
      <c r="BI18" s="381"/>
      <c r="BJ18" s="381"/>
      <c r="BK18" s="392"/>
    </row>
    <row r="19" spans="1:63" s="210" customFormat="1" ht="15.75" customHeight="1">
      <c r="A19" s="395"/>
      <c r="B19" s="381"/>
      <c r="C19" s="381"/>
      <c r="D19" s="381"/>
      <c r="E19" s="381"/>
      <c r="F19" s="381"/>
      <c r="G19" s="381"/>
      <c r="H19" s="381"/>
      <c r="I19" s="381"/>
      <c r="J19" s="396"/>
      <c r="K19" s="397"/>
      <c r="L19" s="397"/>
      <c r="M19" s="397"/>
      <c r="N19" s="397"/>
      <c r="O19" s="397"/>
      <c r="P19" s="397"/>
      <c r="Q19" s="397"/>
      <c r="R19" s="397"/>
      <c r="S19" s="397"/>
      <c r="T19" s="397"/>
      <c r="U19" s="397"/>
      <c r="V19" s="397"/>
      <c r="W19" s="397"/>
      <c r="X19" s="397"/>
      <c r="Y19" s="397"/>
      <c r="Z19" s="397"/>
      <c r="AA19" s="397"/>
      <c r="AB19" s="397"/>
      <c r="AC19" s="397"/>
      <c r="AD19" s="397"/>
      <c r="AE19" s="397"/>
      <c r="AF19" s="397"/>
      <c r="AG19" s="397"/>
      <c r="AH19" s="397"/>
      <c r="AI19" s="397"/>
      <c r="AJ19" s="397"/>
      <c r="AK19" s="397"/>
      <c r="AL19" s="397"/>
      <c r="AM19" s="397"/>
      <c r="AN19" s="397"/>
      <c r="AO19" s="397"/>
      <c r="AP19" s="397"/>
      <c r="AQ19" s="397"/>
      <c r="AR19" s="397"/>
      <c r="AS19" s="397"/>
      <c r="AT19" s="397"/>
      <c r="AU19" s="397"/>
      <c r="AV19" s="397"/>
      <c r="AW19" s="397"/>
      <c r="AX19" s="397"/>
      <c r="AY19" s="397"/>
      <c r="AZ19" s="397"/>
      <c r="BA19" s="397"/>
      <c r="BB19" s="397"/>
      <c r="BC19" s="398"/>
      <c r="BD19" s="381"/>
      <c r="BE19" s="381"/>
      <c r="BF19" s="381"/>
      <c r="BG19" s="381"/>
      <c r="BH19" s="381"/>
      <c r="BI19" s="381"/>
      <c r="BJ19" s="381"/>
      <c r="BK19" s="392"/>
    </row>
    <row r="20" spans="1:63" s="210" customFormat="1" ht="15.75" customHeight="1">
      <c r="A20" s="388" t="s">
        <v>551</v>
      </c>
      <c r="B20" s="471" t="s">
        <v>552</v>
      </c>
      <c r="C20" s="471"/>
      <c r="D20" s="471"/>
      <c r="E20" s="471"/>
      <c r="F20" s="471"/>
      <c r="G20" s="471"/>
      <c r="H20" s="471"/>
      <c r="I20" s="471"/>
      <c r="J20" s="471"/>
      <c r="K20" s="471"/>
      <c r="L20" s="472"/>
      <c r="M20" s="472"/>
      <c r="N20" s="472"/>
      <c r="O20" s="472"/>
      <c r="P20" s="472"/>
      <c r="Q20" s="472"/>
      <c r="R20" s="472"/>
      <c r="S20" s="472"/>
      <c r="T20" s="472"/>
      <c r="U20" s="472"/>
      <c r="V20" s="472"/>
      <c r="W20" s="472"/>
      <c r="X20" s="472"/>
      <c r="Y20" s="472"/>
      <c r="Z20" s="472"/>
      <c r="AA20" s="472"/>
      <c r="AB20" s="472"/>
      <c r="AC20" s="472"/>
      <c r="AD20" s="472"/>
      <c r="AE20" s="472"/>
      <c r="AF20" s="472"/>
      <c r="AG20" s="472"/>
      <c r="AH20" s="472"/>
      <c r="AI20" s="472"/>
      <c r="AJ20" s="472"/>
      <c r="AK20" s="472"/>
      <c r="AL20" s="472"/>
      <c r="AM20" s="472"/>
      <c r="AN20" s="472"/>
      <c r="AO20" s="472"/>
      <c r="AP20" s="472"/>
      <c r="AQ20" s="472"/>
      <c r="AR20" s="472"/>
      <c r="AS20" s="472"/>
      <c r="AT20" s="472"/>
      <c r="AU20" s="472"/>
      <c r="AV20" s="472"/>
      <c r="AW20" s="472"/>
      <c r="AX20" s="472"/>
      <c r="AY20" s="472"/>
      <c r="AZ20" s="472"/>
      <c r="BA20" s="472"/>
      <c r="BB20" s="472"/>
      <c r="BC20" s="472"/>
      <c r="BD20" s="472"/>
      <c r="BE20" s="472"/>
      <c r="BF20" s="472"/>
      <c r="BG20" s="472"/>
      <c r="BH20" s="472"/>
      <c r="BI20" s="472"/>
      <c r="BJ20" s="472"/>
      <c r="BK20" s="387"/>
    </row>
    <row r="21" spans="1:63" s="210" customFormat="1" ht="15.75" customHeight="1">
      <c r="A21" s="388"/>
      <c r="B21" s="389"/>
      <c r="C21" s="381"/>
      <c r="D21" s="381"/>
      <c r="E21" s="381"/>
      <c r="F21" s="381"/>
      <c r="G21" s="381"/>
      <c r="H21" s="381"/>
      <c r="I21" s="390"/>
      <c r="J21" s="380" t="s">
        <v>553</v>
      </c>
      <c r="K21" s="317"/>
      <c r="L21" s="317"/>
      <c r="M21" s="317"/>
      <c r="N21" s="317"/>
      <c r="O21" s="317"/>
      <c r="P21" s="317"/>
      <c r="Q21" s="317"/>
      <c r="R21" s="317"/>
      <c r="S21" s="317"/>
      <c r="T21" s="317"/>
      <c r="U21" s="317"/>
      <c r="V21" s="317"/>
      <c r="W21" s="317"/>
      <c r="X21" s="317"/>
      <c r="Y21" s="317"/>
      <c r="Z21" s="317"/>
      <c r="AA21" s="317"/>
      <c r="AB21" s="317"/>
      <c r="AC21" s="317"/>
      <c r="AD21" s="317"/>
      <c r="AE21" s="317"/>
      <c r="AF21" s="317"/>
      <c r="AG21" s="317"/>
      <c r="AH21" s="317"/>
      <c r="AI21" s="317"/>
      <c r="AJ21" s="317"/>
      <c r="AK21" s="317"/>
      <c r="AL21" s="317"/>
      <c r="AM21" s="317"/>
      <c r="AN21" s="317"/>
      <c r="AO21" s="381"/>
      <c r="AP21" s="381"/>
      <c r="AQ21" s="381"/>
      <c r="AR21" s="381"/>
      <c r="AS21" s="381"/>
      <c r="AT21" s="381"/>
      <c r="AU21" s="381"/>
      <c r="AV21" s="381"/>
      <c r="AW21" s="381"/>
      <c r="AX21" s="381"/>
      <c r="AY21" s="381"/>
      <c r="AZ21" s="381"/>
      <c r="BA21" s="381"/>
      <c r="BB21" s="381"/>
      <c r="BC21" s="381"/>
      <c r="BD21" s="389"/>
      <c r="BE21" s="381"/>
      <c r="BF21" s="381"/>
      <c r="BG21" s="381"/>
      <c r="BH21" s="381"/>
      <c r="BI21" s="381"/>
      <c r="BJ21" s="381"/>
      <c r="BK21" s="392"/>
    </row>
    <row r="22" spans="1:63" s="210" customFormat="1" ht="15.75" customHeight="1">
      <c r="A22" s="388"/>
      <c r="B22" s="389"/>
      <c r="C22" s="381"/>
      <c r="D22" s="381"/>
      <c r="E22" s="381"/>
      <c r="F22" s="381"/>
      <c r="G22" s="381"/>
      <c r="H22" s="381"/>
      <c r="I22" s="390"/>
      <c r="J22" s="317"/>
      <c r="K22" s="317" t="s">
        <v>554</v>
      </c>
      <c r="L22" s="317"/>
      <c r="M22" s="317"/>
      <c r="N22" s="317"/>
      <c r="O22" s="317"/>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c r="AO22" s="381"/>
      <c r="AP22" s="381"/>
      <c r="AQ22" s="381"/>
      <c r="AR22" s="381"/>
      <c r="AS22" s="381"/>
      <c r="AT22" s="381"/>
      <c r="AU22" s="381"/>
      <c r="AV22" s="381"/>
      <c r="AW22" s="381"/>
      <c r="AX22" s="381"/>
      <c r="AY22" s="381"/>
      <c r="AZ22" s="381"/>
      <c r="BA22" s="381"/>
      <c r="BB22" s="381"/>
      <c r="BC22" s="381"/>
      <c r="BD22" s="389"/>
      <c r="BE22" s="381"/>
      <c r="BF22" s="381"/>
      <c r="BG22" s="381"/>
      <c r="BH22" s="381"/>
      <c r="BI22" s="381"/>
      <c r="BJ22" s="381"/>
      <c r="BK22" s="392"/>
    </row>
    <row r="23" spans="1:63" s="210" customFormat="1" ht="15.75" customHeight="1">
      <c r="A23" s="388"/>
      <c r="B23" s="389"/>
      <c r="C23" s="381"/>
      <c r="D23" s="381"/>
      <c r="E23" s="381"/>
      <c r="F23" s="381"/>
      <c r="G23" s="381"/>
      <c r="H23" s="381"/>
      <c r="I23" s="390"/>
      <c r="J23" s="317"/>
      <c r="K23" s="317"/>
      <c r="L23" s="317" t="s">
        <v>555</v>
      </c>
      <c r="M23" s="317"/>
      <c r="N23" s="317"/>
      <c r="O23" s="317"/>
      <c r="P23" s="317"/>
      <c r="Q23" s="317"/>
      <c r="R23" s="317"/>
      <c r="S23" s="317"/>
      <c r="T23" s="317"/>
      <c r="U23" s="317" t="s">
        <v>556</v>
      </c>
      <c r="V23" s="317" t="s">
        <v>557</v>
      </c>
      <c r="W23" s="317"/>
      <c r="X23" s="381"/>
      <c r="Y23" s="317"/>
      <c r="Z23" s="317"/>
      <c r="AA23" s="317"/>
      <c r="AB23" s="317"/>
      <c r="AC23" s="317"/>
      <c r="AD23" s="317"/>
      <c r="AE23" s="317"/>
      <c r="AF23" s="317"/>
      <c r="AG23" s="317"/>
      <c r="AH23" s="317"/>
      <c r="AI23" s="317"/>
      <c r="AJ23" s="317"/>
      <c r="AK23" s="317"/>
      <c r="AL23" s="317"/>
      <c r="AM23" s="317"/>
      <c r="AN23" s="317"/>
      <c r="AO23" s="381"/>
      <c r="AP23" s="381"/>
      <c r="AQ23" s="381"/>
      <c r="AR23" s="381"/>
      <c r="AS23" s="381"/>
      <c r="AT23" s="381"/>
      <c r="AU23" s="381"/>
      <c r="AV23" s="381"/>
      <c r="AW23" s="381"/>
      <c r="AX23" s="381"/>
      <c r="AY23" s="381"/>
      <c r="AZ23" s="381"/>
      <c r="BA23" s="381"/>
      <c r="BB23" s="381"/>
      <c r="BC23" s="381"/>
      <c r="BD23" s="389"/>
      <c r="BE23" s="381"/>
      <c r="BF23" s="381"/>
      <c r="BG23" s="381"/>
      <c r="BH23" s="381"/>
      <c r="BI23" s="381"/>
      <c r="BJ23" s="381"/>
      <c r="BK23" s="392"/>
    </row>
    <row r="24" spans="1:63" s="210" customFormat="1" ht="15.75" customHeight="1">
      <c r="A24" s="388"/>
      <c r="B24" s="389"/>
      <c r="C24" s="381"/>
      <c r="D24" s="381"/>
      <c r="E24" s="381"/>
      <c r="F24" s="381"/>
      <c r="G24" s="381"/>
      <c r="H24" s="381"/>
      <c r="I24" s="390"/>
      <c r="J24" s="317"/>
      <c r="K24" s="317"/>
      <c r="L24" s="317"/>
      <c r="M24" s="317"/>
      <c r="N24" s="317"/>
      <c r="O24" s="317"/>
      <c r="P24" s="317"/>
      <c r="Q24" s="317"/>
      <c r="R24" s="317"/>
      <c r="S24" s="317"/>
      <c r="T24" s="317"/>
      <c r="U24" s="317"/>
      <c r="V24" s="317"/>
      <c r="W24" s="317"/>
      <c r="X24" s="381"/>
      <c r="Y24" s="317"/>
      <c r="Z24" s="317"/>
      <c r="AA24" s="317"/>
      <c r="AB24" s="317"/>
      <c r="AC24" s="317"/>
      <c r="AD24" s="317"/>
      <c r="AE24" s="317"/>
      <c r="AF24" s="317"/>
      <c r="AG24" s="317"/>
      <c r="AH24" s="317"/>
      <c r="AI24" s="317"/>
      <c r="AJ24" s="317"/>
      <c r="AK24" s="317"/>
      <c r="AL24" s="317"/>
      <c r="AM24" s="317"/>
      <c r="AN24" s="317"/>
      <c r="AO24" s="381"/>
      <c r="AP24" s="381"/>
      <c r="AQ24" s="381"/>
      <c r="AR24" s="381"/>
      <c r="AS24" s="381"/>
      <c r="AT24" s="381"/>
      <c r="AU24" s="381"/>
      <c r="AV24" s="381"/>
      <c r="AW24" s="381"/>
      <c r="AX24" s="381"/>
      <c r="AY24" s="381"/>
      <c r="AZ24" s="381"/>
      <c r="BA24" s="381"/>
      <c r="BB24" s="381"/>
      <c r="BC24" s="381"/>
      <c r="BD24" s="389"/>
      <c r="BE24" s="381"/>
      <c r="BF24" s="381"/>
      <c r="BG24" s="381"/>
      <c r="BH24" s="381"/>
      <c r="BI24" s="381"/>
      <c r="BJ24" s="381"/>
      <c r="BK24" s="392"/>
    </row>
    <row r="25" spans="1:63" s="210" customFormat="1" ht="15.75" customHeight="1">
      <c r="A25" s="388"/>
      <c r="B25" s="389"/>
      <c r="C25" s="381"/>
      <c r="D25" s="381"/>
      <c r="E25" s="381"/>
      <c r="F25" s="381"/>
      <c r="G25" s="381"/>
      <c r="H25" s="381"/>
      <c r="I25" s="390"/>
      <c r="J25" s="317"/>
      <c r="K25" s="317"/>
      <c r="L25" s="317" t="s">
        <v>558</v>
      </c>
      <c r="M25" s="317"/>
      <c r="N25" s="317"/>
      <c r="O25" s="317"/>
      <c r="P25" s="317"/>
      <c r="Q25" s="317"/>
      <c r="R25" s="317"/>
      <c r="S25" s="317"/>
      <c r="T25" s="317"/>
      <c r="U25" s="317" t="s">
        <v>556</v>
      </c>
      <c r="V25" s="317" t="s">
        <v>559</v>
      </c>
      <c r="W25" s="317"/>
      <c r="X25" s="381"/>
      <c r="Y25" s="317"/>
      <c r="Z25" s="317"/>
      <c r="AA25" s="317"/>
      <c r="AB25" s="317"/>
      <c r="AC25" s="317"/>
      <c r="AD25" s="317"/>
      <c r="AE25" s="317"/>
      <c r="AF25" s="317"/>
      <c r="AG25" s="317"/>
      <c r="AH25" s="317"/>
      <c r="AI25" s="317"/>
      <c r="AJ25" s="317"/>
      <c r="AK25" s="317"/>
      <c r="AL25" s="317"/>
      <c r="AM25" s="317"/>
      <c r="AN25" s="317"/>
      <c r="AO25" s="381"/>
      <c r="AP25" s="381"/>
      <c r="AQ25" s="381"/>
      <c r="AR25" s="381"/>
      <c r="AS25" s="381"/>
      <c r="AT25" s="381"/>
      <c r="AU25" s="381"/>
      <c r="AV25" s="381"/>
      <c r="AW25" s="381"/>
      <c r="AX25" s="381"/>
      <c r="AY25" s="381"/>
      <c r="AZ25" s="381"/>
      <c r="BA25" s="381"/>
      <c r="BB25" s="381"/>
      <c r="BC25" s="381"/>
      <c r="BD25" s="389"/>
      <c r="BE25" s="381"/>
      <c r="BF25" s="381"/>
      <c r="BG25" s="381"/>
      <c r="BH25" s="381"/>
      <c r="BI25" s="381"/>
      <c r="BJ25" s="381"/>
      <c r="BK25" s="392"/>
    </row>
    <row r="26" spans="1:63" s="210" customFormat="1" ht="15.75" customHeight="1">
      <c r="A26" s="388"/>
      <c r="B26" s="389"/>
      <c r="C26" s="381"/>
      <c r="D26" s="381"/>
      <c r="E26" s="381"/>
      <c r="F26" s="381"/>
      <c r="G26" s="381"/>
      <c r="H26" s="381"/>
      <c r="I26" s="390"/>
      <c r="J26" s="317"/>
      <c r="K26" s="317"/>
      <c r="L26" s="317" t="s">
        <v>560</v>
      </c>
      <c r="M26" s="317"/>
      <c r="N26" s="317"/>
      <c r="O26" s="317"/>
      <c r="P26" s="317"/>
      <c r="Q26" s="317"/>
      <c r="R26" s="317"/>
      <c r="S26" s="317"/>
      <c r="T26" s="317"/>
      <c r="U26" s="317"/>
      <c r="V26" s="317"/>
      <c r="W26" s="317" t="s">
        <v>561</v>
      </c>
      <c r="X26" s="381"/>
      <c r="Y26" s="317"/>
      <c r="Z26" s="317"/>
      <c r="AA26" s="317"/>
      <c r="AB26" s="317"/>
      <c r="AC26" s="317"/>
      <c r="AD26" s="317"/>
      <c r="AE26" s="317"/>
      <c r="AF26" s="317"/>
      <c r="AG26" s="317"/>
      <c r="AH26" s="317" t="s">
        <v>344</v>
      </c>
      <c r="AI26" s="353" t="s">
        <v>562</v>
      </c>
      <c r="AJ26" s="317"/>
      <c r="AK26" s="317"/>
      <c r="AL26" s="317"/>
      <c r="AM26" s="317"/>
      <c r="AN26" s="317"/>
      <c r="AO26" s="381"/>
      <c r="AP26" s="381"/>
      <c r="AQ26" s="381"/>
      <c r="AR26" s="381"/>
      <c r="AS26" s="381"/>
      <c r="AT26" s="381"/>
      <c r="AU26" s="381"/>
      <c r="AV26" s="381"/>
      <c r="AW26" s="381"/>
      <c r="AX26" s="381"/>
      <c r="AY26" s="381"/>
      <c r="AZ26" s="381"/>
      <c r="BA26" s="381"/>
      <c r="BB26" s="381"/>
      <c r="BC26" s="381"/>
      <c r="BD26" s="389" t="s">
        <v>563</v>
      </c>
      <c r="BE26" s="381"/>
      <c r="BF26" s="381"/>
      <c r="BG26" s="381"/>
      <c r="BH26" s="381"/>
      <c r="BI26" s="381"/>
      <c r="BJ26" s="381"/>
      <c r="BK26" s="392"/>
    </row>
    <row r="27" spans="1:63" s="210" customFormat="1" ht="15.75" customHeight="1">
      <c r="A27" s="388"/>
      <c r="B27" s="389"/>
      <c r="C27" s="381"/>
      <c r="D27" s="381"/>
      <c r="E27" s="381"/>
      <c r="F27" s="381"/>
      <c r="G27" s="381"/>
      <c r="H27" s="381"/>
      <c r="I27" s="390"/>
      <c r="J27" s="317"/>
      <c r="K27" s="317"/>
      <c r="L27" s="317"/>
      <c r="M27" s="317"/>
      <c r="N27" s="317"/>
      <c r="O27" s="317"/>
      <c r="P27" s="317"/>
      <c r="Q27" s="317"/>
      <c r="R27" s="317"/>
      <c r="S27" s="317"/>
      <c r="T27" s="317"/>
      <c r="U27" s="317"/>
      <c r="V27" s="317"/>
      <c r="W27" s="317" t="s">
        <v>564</v>
      </c>
      <c r="X27" s="381"/>
      <c r="Y27" s="317"/>
      <c r="Z27" s="317"/>
      <c r="AA27" s="317"/>
      <c r="AB27" s="317"/>
      <c r="AC27" s="317"/>
      <c r="AD27" s="317"/>
      <c r="AE27" s="317"/>
      <c r="AF27" s="317"/>
      <c r="AG27" s="381"/>
      <c r="AH27" s="317" t="s">
        <v>344</v>
      </c>
      <c r="AI27" s="353" t="s">
        <v>565</v>
      </c>
      <c r="AJ27" s="317"/>
      <c r="AK27" s="317"/>
      <c r="AL27" s="317"/>
      <c r="AM27" s="317"/>
      <c r="AN27" s="317"/>
      <c r="AO27" s="381"/>
      <c r="AP27" s="381"/>
      <c r="AQ27" s="381"/>
      <c r="AR27" s="381"/>
      <c r="AS27" s="381"/>
      <c r="AT27" s="381"/>
      <c r="AU27" s="381"/>
      <c r="AV27" s="381"/>
      <c r="AW27" s="381"/>
      <c r="AX27" s="381"/>
      <c r="AY27" s="381"/>
      <c r="AZ27" s="381"/>
      <c r="BA27" s="381"/>
      <c r="BB27" s="381"/>
      <c r="BC27" s="381"/>
      <c r="BD27" s="389" t="s">
        <v>566</v>
      </c>
      <c r="BE27" s="381"/>
      <c r="BF27" s="381"/>
      <c r="BG27" s="381"/>
      <c r="BH27" s="381"/>
      <c r="BI27" s="381"/>
      <c r="BJ27" s="381"/>
      <c r="BK27" s="392"/>
    </row>
    <row r="28" spans="1:63" s="210" customFormat="1" ht="15.75" customHeight="1">
      <c r="A28" s="388"/>
      <c r="B28" s="389"/>
      <c r="C28" s="381"/>
      <c r="D28" s="381"/>
      <c r="E28" s="381"/>
      <c r="F28" s="381"/>
      <c r="G28" s="381"/>
      <c r="H28" s="381"/>
      <c r="I28" s="390"/>
      <c r="J28" s="317"/>
      <c r="K28" s="317"/>
      <c r="L28" s="317"/>
      <c r="M28" s="317"/>
      <c r="N28" s="317"/>
      <c r="O28" s="317"/>
      <c r="P28" s="317"/>
      <c r="Q28" s="317"/>
      <c r="R28" s="317"/>
      <c r="S28" s="317"/>
      <c r="T28" s="317"/>
      <c r="U28" s="317"/>
      <c r="V28" s="317"/>
      <c r="W28" s="317"/>
      <c r="X28" s="381"/>
      <c r="Y28" s="317"/>
      <c r="Z28" s="317"/>
      <c r="AA28" s="317"/>
      <c r="AB28" s="317"/>
      <c r="AC28" s="317"/>
      <c r="AD28" s="317"/>
      <c r="AE28" s="317"/>
      <c r="AF28" s="317"/>
      <c r="AG28" s="317"/>
      <c r="AH28" s="317"/>
      <c r="AI28" s="317"/>
      <c r="AJ28" s="317"/>
      <c r="AK28" s="317"/>
      <c r="AL28" s="317"/>
      <c r="AM28" s="317"/>
      <c r="AN28" s="317"/>
      <c r="AO28" s="381"/>
      <c r="AP28" s="381"/>
      <c r="AQ28" s="381"/>
      <c r="AR28" s="381"/>
      <c r="AS28" s="381"/>
      <c r="AT28" s="381"/>
      <c r="AU28" s="381"/>
      <c r="AV28" s="381"/>
      <c r="AW28" s="381"/>
      <c r="AX28" s="381"/>
      <c r="AY28" s="381"/>
      <c r="AZ28" s="381"/>
      <c r="BA28" s="381"/>
      <c r="BB28" s="381"/>
      <c r="BC28" s="381"/>
      <c r="BD28" s="389"/>
      <c r="BE28" s="381"/>
      <c r="BF28" s="381"/>
      <c r="BG28" s="381"/>
      <c r="BH28" s="381"/>
      <c r="BI28" s="381"/>
      <c r="BJ28" s="381"/>
      <c r="BK28" s="392"/>
    </row>
    <row r="29" spans="1:63" s="210" customFormat="1" ht="15.75" customHeight="1">
      <c r="A29" s="388"/>
      <c r="B29" s="389"/>
      <c r="C29" s="381"/>
      <c r="D29" s="381"/>
      <c r="E29" s="381"/>
      <c r="F29" s="381"/>
      <c r="G29" s="381"/>
      <c r="H29" s="381"/>
      <c r="I29" s="390"/>
      <c r="J29" s="317"/>
      <c r="K29" s="317"/>
      <c r="L29" s="317" t="s">
        <v>558</v>
      </c>
      <c r="M29" s="317"/>
      <c r="N29" s="317"/>
      <c r="O29" s="317"/>
      <c r="P29" s="317"/>
      <c r="Q29" s="317"/>
      <c r="R29" s="317"/>
      <c r="S29" s="317"/>
      <c r="T29" s="317"/>
      <c r="U29" s="317" t="s">
        <v>556</v>
      </c>
      <c r="V29" s="317" t="s">
        <v>517</v>
      </c>
      <c r="W29" s="317"/>
      <c r="X29" s="381"/>
      <c r="Y29" s="317"/>
      <c r="Z29" s="317"/>
      <c r="AA29" s="317"/>
      <c r="AB29" s="317"/>
      <c r="AC29" s="317"/>
      <c r="AD29" s="317"/>
      <c r="AE29" s="317"/>
      <c r="AF29" s="317"/>
      <c r="AG29" s="317"/>
      <c r="AH29" s="317"/>
      <c r="AI29" s="317"/>
      <c r="AJ29" s="317"/>
      <c r="AK29" s="317"/>
      <c r="AL29" s="317"/>
      <c r="AM29" s="317"/>
      <c r="AN29" s="317"/>
      <c r="AO29" s="381"/>
      <c r="AP29" s="381"/>
      <c r="AQ29" s="381"/>
      <c r="AR29" s="381"/>
      <c r="AS29" s="381"/>
      <c r="AT29" s="381"/>
      <c r="AU29" s="381"/>
      <c r="AV29" s="381"/>
      <c r="AW29" s="381"/>
      <c r="AX29" s="381"/>
      <c r="AY29" s="381"/>
      <c r="AZ29" s="381"/>
      <c r="BA29" s="381"/>
      <c r="BB29" s="381"/>
      <c r="BC29" s="381"/>
      <c r="BD29" s="389" t="s">
        <v>544</v>
      </c>
      <c r="BE29" s="381"/>
      <c r="BF29" s="381"/>
      <c r="BG29" s="381"/>
      <c r="BH29" s="381"/>
      <c r="BI29" s="381"/>
      <c r="BJ29" s="381"/>
      <c r="BK29" s="392"/>
    </row>
    <row r="30" spans="1:63" s="210" customFormat="1" ht="15.75" customHeight="1">
      <c r="A30" s="388"/>
      <c r="B30" s="389"/>
      <c r="C30" s="381"/>
      <c r="D30" s="381"/>
      <c r="E30" s="381"/>
      <c r="F30" s="381"/>
      <c r="G30" s="381"/>
      <c r="H30" s="381"/>
      <c r="I30" s="390"/>
      <c r="J30" s="317"/>
      <c r="K30" s="317"/>
      <c r="L30" s="317"/>
      <c r="M30" s="317"/>
      <c r="N30" s="317"/>
      <c r="O30" s="317"/>
      <c r="P30" s="317"/>
      <c r="Q30" s="317"/>
      <c r="R30" s="317"/>
      <c r="S30" s="317"/>
      <c r="T30" s="317"/>
      <c r="U30" s="317"/>
      <c r="V30" s="399"/>
      <c r="W30" s="399" t="s">
        <v>567</v>
      </c>
      <c r="X30" s="381"/>
      <c r="Y30" s="317"/>
      <c r="Z30" s="317"/>
      <c r="AA30" s="317"/>
      <c r="AB30" s="317"/>
      <c r="AC30" s="317"/>
      <c r="AD30" s="317"/>
      <c r="AE30" s="317"/>
      <c r="AF30" s="317"/>
      <c r="AG30" s="317"/>
      <c r="AH30" s="317"/>
      <c r="AI30" s="317"/>
      <c r="AJ30" s="317"/>
      <c r="AK30" s="317"/>
      <c r="AL30" s="317"/>
      <c r="AM30" s="317"/>
      <c r="AN30" s="317"/>
      <c r="AO30" s="381"/>
      <c r="AP30" s="381"/>
      <c r="AQ30" s="381"/>
      <c r="AR30" s="381"/>
      <c r="AS30" s="381"/>
      <c r="AT30" s="381"/>
      <c r="AU30" s="381"/>
      <c r="AV30" s="381"/>
      <c r="AW30" s="381"/>
      <c r="AX30" s="381"/>
      <c r="AY30" s="381"/>
      <c r="AZ30" s="381"/>
      <c r="BA30" s="381"/>
      <c r="BB30" s="381"/>
      <c r="BC30" s="381"/>
      <c r="BD30" s="389"/>
      <c r="BE30" s="381"/>
      <c r="BF30" s="381"/>
      <c r="BG30" s="381"/>
      <c r="BH30" s="381"/>
      <c r="BI30" s="381"/>
      <c r="BJ30" s="381"/>
      <c r="BK30" s="392"/>
    </row>
    <row r="31" spans="1:63" s="210" customFormat="1" ht="15.75" customHeight="1">
      <c r="A31" s="388"/>
      <c r="B31" s="389"/>
      <c r="C31" s="381"/>
      <c r="D31" s="381"/>
      <c r="E31" s="381"/>
      <c r="F31" s="381"/>
      <c r="G31" s="381"/>
      <c r="H31" s="381"/>
      <c r="I31" s="390"/>
      <c r="J31" s="317"/>
      <c r="K31" s="317"/>
      <c r="L31" s="317"/>
      <c r="M31" s="317"/>
      <c r="N31" s="317"/>
      <c r="O31" s="317"/>
      <c r="P31" s="317"/>
      <c r="Q31" s="317"/>
      <c r="R31" s="317"/>
      <c r="S31" s="317"/>
      <c r="T31" s="317"/>
      <c r="U31" s="317"/>
      <c r="V31" s="399"/>
      <c r="W31" s="400" t="s">
        <v>568</v>
      </c>
      <c r="X31" s="381"/>
      <c r="Y31" s="317"/>
      <c r="Z31" s="317"/>
      <c r="AA31" s="317"/>
      <c r="AB31" s="317"/>
      <c r="AC31" s="317"/>
      <c r="AD31" s="317"/>
      <c r="AE31" s="317"/>
      <c r="AF31" s="317"/>
      <c r="AG31" s="317"/>
      <c r="AH31" s="317"/>
      <c r="AI31" s="317"/>
      <c r="AJ31" s="317"/>
      <c r="AK31" s="317"/>
      <c r="AL31" s="317"/>
      <c r="AM31" s="317"/>
      <c r="AN31" s="317"/>
      <c r="AO31" s="381"/>
      <c r="AP31" s="381"/>
      <c r="AQ31" s="381"/>
      <c r="AR31" s="381"/>
      <c r="AS31" s="381"/>
      <c r="AT31" s="381"/>
      <c r="AU31" s="381"/>
      <c r="AV31" s="381"/>
      <c r="AW31" s="381"/>
      <c r="AX31" s="381"/>
      <c r="AY31" s="381"/>
      <c r="AZ31" s="381"/>
      <c r="BA31" s="381"/>
      <c r="BB31" s="381"/>
      <c r="BC31" s="381"/>
      <c r="BD31" s="389" t="s">
        <v>569</v>
      </c>
      <c r="BE31" s="381"/>
      <c r="BF31" s="381"/>
      <c r="BG31" s="381"/>
      <c r="BH31" s="381"/>
      <c r="BI31" s="381"/>
      <c r="BJ31" s="381"/>
      <c r="BK31" s="392"/>
    </row>
    <row r="32" spans="1:63" s="210" customFormat="1" ht="15.75" customHeight="1">
      <c r="A32" s="388"/>
      <c r="B32" s="389"/>
      <c r="C32" s="381"/>
      <c r="D32" s="381"/>
      <c r="E32" s="381"/>
      <c r="F32" s="381"/>
      <c r="G32" s="381"/>
      <c r="H32" s="381"/>
      <c r="I32" s="390"/>
      <c r="J32" s="317"/>
      <c r="K32" s="317"/>
      <c r="L32" s="317"/>
      <c r="M32" s="317"/>
      <c r="N32" s="317"/>
      <c r="O32" s="317"/>
      <c r="P32" s="317"/>
      <c r="Q32" s="317"/>
      <c r="R32" s="317"/>
      <c r="S32" s="317"/>
      <c r="T32" s="317"/>
      <c r="U32" s="317"/>
      <c r="V32" s="399"/>
      <c r="W32" s="400"/>
      <c r="X32" s="381"/>
      <c r="Y32" s="317"/>
      <c r="Z32" s="317"/>
      <c r="AA32" s="317"/>
      <c r="AB32" s="317"/>
      <c r="AC32" s="317"/>
      <c r="AD32" s="317"/>
      <c r="AE32" s="317"/>
      <c r="AF32" s="317"/>
      <c r="AG32" s="317"/>
      <c r="AH32" s="317"/>
      <c r="AI32" s="317"/>
      <c r="AJ32" s="317"/>
      <c r="AK32" s="317"/>
      <c r="AL32" s="317"/>
      <c r="AM32" s="317"/>
      <c r="AN32" s="317"/>
      <c r="AO32" s="381"/>
      <c r="AP32" s="381"/>
      <c r="AQ32" s="381"/>
      <c r="AR32" s="381"/>
      <c r="AS32" s="381"/>
      <c r="AT32" s="381"/>
      <c r="AU32" s="381"/>
      <c r="AV32" s="381"/>
      <c r="AW32" s="381"/>
      <c r="AX32" s="381"/>
      <c r="AY32" s="381"/>
      <c r="AZ32" s="381"/>
      <c r="BA32" s="381"/>
      <c r="BB32" s="381"/>
      <c r="BC32" s="381"/>
      <c r="BD32" s="389"/>
      <c r="BE32" s="381"/>
      <c r="BF32" s="381"/>
      <c r="BG32" s="381"/>
      <c r="BH32" s="381"/>
      <c r="BI32" s="381"/>
      <c r="BJ32" s="381"/>
      <c r="BK32" s="392"/>
    </row>
    <row r="33" spans="1:113" s="210" customFormat="1" ht="15.75" customHeight="1">
      <c r="A33" s="388"/>
      <c r="B33" s="389"/>
      <c r="C33" s="381"/>
      <c r="D33" s="381"/>
      <c r="E33" s="381"/>
      <c r="F33" s="381"/>
      <c r="G33" s="381"/>
      <c r="H33" s="381"/>
      <c r="I33" s="390"/>
      <c r="J33" s="317"/>
      <c r="K33" s="317"/>
      <c r="L33" s="317" t="s">
        <v>570</v>
      </c>
      <c r="M33" s="317"/>
      <c r="N33" s="317"/>
      <c r="O33" s="317"/>
      <c r="P33" s="317"/>
      <c r="Q33" s="317"/>
      <c r="R33" s="317"/>
      <c r="S33" s="317"/>
      <c r="T33" s="317"/>
      <c r="U33" s="317" t="s">
        <v>556</v>
      </c>
      <c r="V33" s="317" t="s">
        <v>521</v>
      </c>
      <c r="W33" s="317"/>
      <c r="X33" s="381"/>
      <c r="Y33" s="317"/>
      <c r="Z33" s="317"/>
      <c r="AA33" s="317"/>
      <c r="AB33" s="317"/>
      <c r="AC33" s="317"/>
      <c r="AD33" s="317"/>
      <c r="AE33" s="317"/>
      <c r="AF33" s="317"/>
      <c r="AG33" s="317"/>
      <c r="AH33" s="317"/>
      <c r="AI33" s="317"/>
      <c r="AJ33" s="317"/>
      <c r="AK33" s="317"/>
      <c r="AL33" s="317"/>
      <c r="AM33" s="317"/>
      <c r="AN33" s="317"/>
      <c r="AO33" s="381"/>
      <c r="AP33" s="381"/>
      <c r="AQ33" s="381"/>
      <c r="AR33" s="381"/>
      <c r="AS33" s="381"/>
      <c r="AT33" s="381"/>
      <c r="AU33" s="381"/>
      <c r="AV33" s="381"/>
      <c r="AW33" s="381"/>
      <c r="AX33" s="381"/>
      <c r="AY33" s="381"/>
      <c r="AZ33" s="381"/>
      <c r="BA33" s="381"/>
      <c r="BB33" s="381"/>
      <c r="BC33" s="381"/>
      <c r="BD33" s="389"/>
      <c r="BE33" s="381"/>
      <c r="BF33" s="381"/>
      <c r="BG33" s="381"/>
      <c r="BH33" s="381"/>
      <c r="BI33" s="381"/>
      <c r="BJ33" s="381"/>
      <c r="BK33" s="392"/>
    </row>
    <row r="34" spans="1:113" s="210" customFormat="1" ht="15.75" customHeight="1">
      <c r="A34" s="388"/>
      <c r="B34" s="389"/>
      <c r="C34" s="381"/>
      <c r="D34" s="381"/>
      <c r="E34" s="381"/>
      <c r="F34" s="381"/>
      <c r="G34" s="381"/>
      <c r="H34" s="381"/>
      <c r="I34" s="390"/>
      <c r="J34" s="317"/>
      <c r="K34" s="317"/>
      <c r="L34" s="317"/>
      <c r="M34" s="317"/>
      <c r="N34" s="317"/>
      <c r="O34" s="317"/>
      <c r="P34" s="317"/>
      <c r="Q34" s="317"/>
      <c r="R34" s="317"/>
      <c r="S34" s="317"/>
      <c r="T34" s="317"/>
      <c r="U34" s="317"/>
      <c r="V34" s="399"/>
      <c r="W34" s="399" t="s">
        <v>571</v>
      </c>
      <c r="X34" s="381"/>
      <c r="Y34" s="317"/>
      <c r="Z34" s="317"/>
      <c r="AA34" s="317"/>
      <c r="AB34" s="317"/>
      <c r="AC34" s="317"/>
      <c r="AD34" s="317"/>
      <c r="AE34" s="317"/>
      <c r="AF34" s="317"/>
      <c r="AG34" s="317"/>
      <c r="AH34" s="317"/>
      <c r="AI34" s="317"/>
      <c r="AJ34" s="317"/>
      <c r="AK34" s="317"/>
      <c r="AL34" s="317"/>
      <c r="AM34" s="317"/>
      <c r="AN34" s="317"/>
      <c r="AO34" s="381"/>
      <c r="AP34" s="381"/>
      <c r="AQ34" s="381"/>
      <c r="AR34" s="381"/>
      <c r="AS34" s="381"/>
      <c r="AT34" s="381"/>
      <c r="AU34" s="381"/>
      <c r="AV34" s="381"/>
      <c r="AW34" s="381"/>
      <c r="AX34" s="381"/>
      <c r="AY34" s="381"/>
      <c r="AZ34" s="381"/>
      <c r="BA34" s="381"/>
      <c r="BB34" s="381"/>
      <c r="BC34" s="381"/>
      <c r="BD34" s="389"/>
      <c r="BE34" s="381"/>
      <c r="BF34" s="381"/>
      <c r="BG34" s="381"/>
      <c r="BH34" s="381"/>
      <c r="BI34" s="381"/>
      <c r="BJ34" s="381"/>
      <c r="BK34" s="392"/>
    </row>
    <row r="35" spans="1:113" s="210" customFormat="1" ht="15.75" customHeight="1">
      <c r="A35" s="388"/>
      <c r="B35" s="389"/>
      <c r="C35" s="381"/>
      <c r="D35" s="381"/>
      <c r="E35" s="381"/>
      <c r="F35" s="381"/>
      <c r="G35" s="381"/>
      <c r="H35" s="381"/>
      <c r="I35" s="390"/>
      <c r="J35" s="317"/>
      <c r="K35" s="317"/>
      <c r="L35" s="317"/>
      <c r="M35" s="317"/>
      <c r="N35" s="317"/>
      <c r="O35" s="317"/>
      <c r="P35" s="317"/>
      <c r="Q35" s="317"/>
      <c r="R35" s="317"/>
      <c r="S35" s="317"/>
      <c r="T35" s="317"/>
      <c r="U35" s="317"/>
      <c r="V35" s="399"/>
      <c r="W35" s="400" t="s">
        <v>572</v>
      </c>
      <c r="X35" s="381"/>
      <c r="Y35" s="317"/>
      <c r="Z35" s="317"/>
      <c r="AA35" s="317"/>
      <c r="AB35" s="317"/>
      <c r="AC35" s="317"/>
      <c r="AD35" s="317"/>
      <c r="AE35" s="317"/>
      <c r="AF35" s="317"/>
      <c r="AG35" s="317"/>
      <c r="AH35" s="317"/>
      <c r="AI35" s="317"/>
      <c r="AJ35" s="317"/>
      <c r="AK35" s="317"/>
      <c r="AL35" s="317"/>
      <c r="AM35" s="317"/>
      <c r="AN35" s="317"/>
      <c r="AO35" s="381"/>
      <c r="AP35" s="381"/>
      <c r="AQ35" s="381"/>
      <c r="AR35" s="381"/>
      <c r="AS35" s="381"/>
      <c r="AT35" s="381"/>
      <c r="AU35" s="381"/>
      <c r="AV35" s="381"/>
      <c r="AW35" s="381"/>
      <c r="AX35" s="381"/>
      <c r="AY35" s="381"/>
      <c r="AZ35" s="381"/>
      <c r="BA35" s="381"/>
      <c r="BB35" s="381"/>
      <c r="BC35" s="381"/>
      <c r="BD35" s="389" t="s">
        <v>573</v>
      </c>
      <c r="BE35" s="381"/>
      <c r="BF35" s="381"/>
      <c r="BG35" s="381"/>
      <c r="BH35" s="381"/>
      <c r="BI35" s="381"/>
      <c r="BJ35" s="381"/>
      <c r="BK35" s="392"/>
    </row>
    <row r="36" spans="1:113" s="210" customFormat="1" ht="15.75" customHeight="1">
      <c r="A36" s="388"/>
      <c r="B36" s="389"/>
      <c r="C36" s="381"/>
      <c r="D36" s="381"/>
      <c r="E36" s="381"/>
      <c r="F36" s="381"/>
      <c r="G36" s="381"/>
      <c r="H36" s="381"/>
      <c r="I36" s="390"/>
      <c r="J36" s="317"/>
      <c r="K36" s="317"/>
      <c r="L36" s="317"/>
      <c r="M36" s="317"/>
      <c r="N36" s="317"/>
      <c r="O36" s="317"/>
      <c r="P36" s="317"/>
      <c r="Q36" s="317"/>
      <c r="R36" s="317"/>
      <c r="S36" s="317"/>
      <c r="T36" s="317"/>
      <c r="U36" s="352" t="s">
        <v>574</v>
      </c>
      <c r="V36" s="317"/>
      <c r="W36" s="317"/>
      <c r="X36" s="381"/>
      <c r="Y36" s="317"/>
      <c r="Z36" s="317"/>
      <c r="AA36" s="317"/>
      <c r="AB36" s="317"/>
      <c r="AC36" s="317"/>
      <c r="AD36" s="317"/>
      <c r="AE36" s="317"/>
      <c r="AF36" s="317"/>
      <c r="AG36" s="317"/>
      <c r="AH36" s="317"/>
      <c r="AI36" s="317"/>
      <c r="AJ36" s="317"/>
      <c r="AK36" s="317"/>
      <c r="AL36" s="317"/>
      <c r="AM36" s="317"/>
      <c r="AN36" s="317"/>
      <c r="AO36" s="381"/>
      <c r="AP36" s="381"/>
      <c r="AQ36" s="381"/>
      <c r="AR36" s="381"/>
      <c r="AS36" s="381"/>
      <c r="AT36" s="381"/>
      <c r="AU36" s="381"/>
      <c r="AV36" s="381"/>
      <c r="AW36" s="381"/>
      <c r="AX36" s="381"/>
      <c r="AY36" s="381"/>
      <c r="AZ36" s="381"/>
      <c r="BA36" s="381"/>
      <c r="BB36" s="381"/>
      <c r="BC36" s="381"/>
      <c r="BD36" s="389"/>
      <c r="BE36" s="381"/>
      <c r="BF36" s="381"/>
      <c r="BG36" s="381"/>
      <c r="BH36" s="381"/>
      <c r="BI36" s="381"/>
      <c r="BJ36" s="381"/>
      <c r="BK36" s="392"/>
    </row>
    <row r="37" spans="1:113" s="210" customFormat="1" ht="15.75" customHeight="1">
      <c r="A37" s="388"/>
      <c r="B37" s="389"/>
      <c r="C37" s="381"/>
      <c r="D37" s="381"/>
      <c r="E37" s="381"/>
      <c r="F37" s="381"/>
      <c r="G37" s="381"/>
      <c r="H37" s="381"/>
      <c r="I37" s="390"/>
      <c r="J37" s="317"/>
      <c r="K37" s="317"/>
      <c r="L37" s="317"/>
      <c r="M37" s="317"/>
      <c r="N37" s="317"/>
      <c r="O37" s="317"/>
      <c r="P37" s="317"/>
      <c r="Q37" s="317"/>
      <c r="R37" s="317"/>
      <c r="S37" s="317"/>
      <c r="T37" s="317"/>
      <c r="U37" s="352"/>
      <c r="V37" s="317"/>
      <c r="W37" s="317"/>
      <c r="X37" s="381"/>
      <c r="Y37" s="317"/>
      <c r="Z37" s="317"/>
      <c r="AA37" s="317"/>
      <c r="AB37" s="317"/>
      <c r="AC37" s="317"/>
      <c r="AD37" s="317"/>
      <c r="AE37" s="317"/>
      <c r="AF37" s="317"/>
      <c r="AG37" s="317"/>
      <c r="AH37" s="317"/>
      <c r="AI37" s="317"/>
      <c r="AJ37" s="317"/>
      <c r="AK37" s="317"/>
      <c r="AL37" s="317"/>
      <c r="AM37" s="317"/>
      <c r="AN37" s="317"/>
      <c r="AO37" s="381"/>
      <c r="AP37" s="381"/>
      <c r="AQ37" s="381"/>
      <c r="AR37" s="381"/>
      <c r="AS37" s="381"/>
      <c r="AT37" s="381"/>
      <c r="AU37" s="381"/>
      <c r="AV37" s="381"/>
      <c r="AW37" s="381"/>
      <c r="AX37" s="381"/>
      <c r="AY37" s="381"/>
      <c r="AZ37" s="381"/>
      <c r="BA37" s="381"/>
      <c r="BB37" s="381"/>
      <c r="BC37" s="381"/>
      <c r="BD37" s="389"/>
      <c r="BE37" s="381"/>
      <c r="BF37" s="381"/>
      <c r="BG37" s="381"/>
      <c r="BH37" s="381"/>
      <c r="BI37" s="381"/>
      <c r="BJ37" s="381"/>
      <c r="BK37" s="392"/>
    </row>
    <row r="38" spans="1:113" s="210" customFormat="1" ht="15.75" customHeight="1">
      <c r="A38" s="388"/>
      <c r="B38" s="389"/>
      <c r="C38" s="381"/>
      <c r="D38" s="381"/>
      <c r="E38" s="381"/>
      <c r="F38" s="381"/>
      <c r="G38" s="381"/>
      <c r="H38" s="381"/>
      <c r="I38" s="390"/>
      <c r="J38" s="317"/>
      <c r="K38" s="317"/>
      <c r="L38" s="381" t="s">
        <v>522</v>
      </c>
      <c r="M38" s="317"/>
      <c r="N38" s="317"/>
      <c r="O38" s="317"/>
      <c r="P38" s="317"/>
      <c r="Q38" s="317"/>
      <c r="R38" s="317"/>
      <c r="S38" s="317"/>
      <c r="T38" s="317"/>
      <c r="U38" s="317" t="s">
        <v>556</v>
      </c>
      <c r="V38" s="317" t="s">
        <v>523</v>
      </c>
      <c r="W38" s="317"/>
      <c r="X38" s="381"/>
      <c r="Y38" s="317"/>
      <c r="Z38" s="317"/>
      <c r="AA38" s="317"/>
      <c r="AB38" s="317"/>
      <c r="AC38" s="317"/>
      <c r="AD38" s="317"/>
      <c r="AE38" s="317"/>
      <c r="AF38" s="317"/>
      <c r="AG38" s="317"/>
      <c r="AH38" s="317"/>
      <c r="AI38" s="317"/>
      <c r="AJ38" s="317"/>
      <c r="AK38" s="317"/>
      <c r="AL38" s="317"/>
      <c r="AM38" s="317"/>
      <c r="AN38" s="317"/>
      <c r="AO38" s="381"/>
      <c r="AP38" s="381"/>
      <c r="AQ38" s="381"/>
      <c r="AR38" s="381"/>
      <c r="AS38" s="381"/>
      <c r="AT38" s="381"/>
      <c r="AU38" s="381"/>
      <c r="AV38" s="381"/>
      <c r="AW38" s="381"/>
      <c r="AX38" s="381"/>
      <c r="AY38" s="381"/>
      <c r="AZ38" s="381"/>
      <c r="BA38" s="381"/>
      <c r="BB38" s="381"/>
      <c r="BC38" s="381"/>
      <c r="BD38" s="389" t="s">
        <v>575</v>
      </c>
      <c r="BE38" s="381"/>
      <c r="BF38" s="381"/>
      <c r="BG38" s="381"/>
      <c r="BH38" s="381"/>
      <c r="BI38" s="381"/>
      <c r="BJ38" s="381"/>
      <c r="BK38" s="392"/>
    </row>
    <row r="39" spans="1:113" s="210" customFormat="1" ht="15.75" customHeight="1">
      <c r="A39" s="388"/>
      <c r="B39" s="389"/>
      <c r="C39" s="381"/>
      <c r="D39" s="381"/>
      <c r="E39" s="381"/>
      <c r="F39" s="381"/>
      <c r="G39" s="381"/>
      <c r="H39" s="381"/>
      <c r="I39" s="390"/>
      <c r="J39" s="317"/>
      <c r="K39" s="317"/>
      <c r="L39" s="317"/>
      <c r="M39" s="317"/>
      <c r="N39" s="317"/>
      <c r="O39" s="317"/>
      <c r="P39" s="317"/>
      <c r="Q39" s="317"/>
      <c r="R39" s="317"/>
      <c r="S39" s="317"/>
      <c r="T39" s="317"/>
      <c r="U39" s="352" t="s">
        <v>576</v>
      </c>
      <c r="V39" s="317"/>
      <c r="W39" s="317"/>
      <c r="X39" s="317"/>
      <c r="Y39" s="317"/>
      <c r="Z39" s="317"/>
      <c r="AA39" s="317"/>
      <c r="AB39" s="317"/>
      <c r="AC39" s="317"/>
      <c r="AD39" s="317"/>
      <c r="AE39" s="317"/>
      <c r="AF39" s="317"/>
      <c r="AG39" s="317"/>
      <c r="AH39" s="317"/>
      <c r="AI39" s="317"/>
      <c r="AJ39" s="317"/>
      <c r="AK39" s="317"/>
      <c r="AL39" s="317"/>
      <c r="AM39" s="317"/>
      <c r="AN39" s="317"/>
      <c r="AO39" s="381"/>
      <c r="AP39" s="381"/>
      <c r="AQ39" s="381"/>
      <c r="AR39" s="381"/>
      <c r="AS39" s="381"/>
      <c r="AT39" s="381"/>
      <c r="AU39" s="381"/>
      <c r="AV39" s="381"/>
      <c r="AW39" s="381"/>
      <c r="AX39" s="381"/>
      <c r="AY39" s="381"/>
      <c r="AZ39" s="381"/>
      <c r="BA39" s="381"/>
      <c r="BB39" s="381"/>
      <c r="BC39" s="381"/>
      <c r="BD39" s="389"/>
      <c r="BE39" s="381"/>
      <c r="BF39" s="381"/>
      <c r="BG39" s="381"/>
      <c r="BH39" s="381"/>
      <c r="BI39" s="381"/>
      <c r="BJ39" s="381"/>
      <c r="BK39" s="392"/>
    </row>
    <row r="40" spans="1:113" s="210" customFormat="1" ht="15.75" customHeight="1">
      <c r="A40" s="388"/>
      <c r="B40" s="389"/>
      <c r="C40" s="381"/>
      <c r="D40" s="381"/>
      <c r="E40" s="381"/>
      <c r="F40" s="381"/>
      <c r="G40" s="381"/>
      <c r="H40" s="381"/>
      <c r="I40" s="390"/>
      <c r="J40" s="317"/>
      <c r="K40" s="317"/>
      <c r="L40" s="317"/>
      <c r="M40" s="317"/>
      <c r="N40" s="317"/>
      <c r="O40" s="317"/>
      <c r="P40" s="317"/>
      <c r="Q40" s="317"/>
      <c r="R40" s="317"/>
      <c r="S40" s="317"/>
      <c r="T40" s="317"/>
      <c r="U40" s="352" t="s">
        <v>577</v>
      </c>
      <c r="V40" s="317"/>
      <c r="W40" s="317"/>
      <c r="X40" s="317"/>
      <c r="Y40" s="317"/>
      <c r="Z40" s="317"/>
      <c r="AA40" s="317"/>
      <c r="AB40" s="317"/>
      <c r="AC40" s="317"/>
      <c r="AD40" s="317"/>
      <c r="AE40" s="317"/>
      <c r="AF40" s="317"/>
      <c r="AG40" s="317"/>
      <c r="AH40" s="317"/>
      <c r="AI40" s="317"/>
      <c r="AJ40" s="317"/>
      <c r="AK40" s="317"/>
      <c r="AL40" s="317"/>
      <c r="AM40" s="317"/>
      <c r="AN40" s="317"/>
      <c r="AO40" s="381"/>
      <c r="AP40" s="381"/>
      <c r="AQ40" s="381"/>
      <c r="AR40" s="381"/>
      <c r="AS40" s="381"/>
      <c r="AT40" s="381"/>
      <c r="AU40" s="381"/>
      <c r="AV40" s="381"/>
      <c r="AW40" s="381"/>
      <c r="AX40" s="381"/>
      <c r="AY40" s="381"/>
      <c r="AZ40" s="381"/>
      <c r="BA40" s="381"/>
      <c r="BB40" s="381"/>
      <c r="BC40" s="381"/>
      <c r="BD40" s="389"/>
      <c r="BE40" s="381"/>
      <c r="BF40" s="381"/>
      <c r="BG40" s="381"/>
      <c r="BH40" s="381"/>
      <c r="BI40" s="381"/>
      <c r="BJ40" s="381"/>
      <c r="BK40" s="392"/>
    </row>
    <row r="41" spans="1:113" s="210" customFormat="1" ht="15.75" customHeight="1">
      <c r="A41" s="388"/>
      <c r="B41" s="389"/>
      <c r="C41" s="381"/>
      <c r="D41" s="381"/>
      <c r="E41" s="381"/>
      <c r="F41" s="381"/>
      <c r="G41" s="381"/>
      <c r="H41" s="381"/>
      <c r="I41" s="390"/>
      <c r="J41" s="317"/>
      <c r="K41" s="317"/>
      <c r="L41" s="317"/>
      <c r="M41" s="317"/>
      <c r="N41" s="317"/>
      <c r="O41" s="317"/>
      <c r="P41" s="317"/>
      <c r="Q41" s="317"/>
      <c r="R41" s="317"/>
      <c r="S41" s="317"/>
      <c r="T41" s="317"/>
      <c r="U41" s="352"/>
      <c r="V41" s="317"/>
      <c r="W41" s="317"/>
      <c r="X41" s="317"/>
      <c r="Y41" s="317"/>
      <c r="Z41" s="317"/>
      <c r="AA41" s="317"/>
      <c r="AB41" s="317"/>
      <c r="AC41" s="317"/>
      <c r="AD41" s="317"/>
      <c r="AE41" s="317"/>
      <c r="AF41" s="317"/>
      <c r="AG41" s="317"/>
      <c r="AH41" s="317"/>
      <c r="AI41" s="317"/>
      <c r="AJ41" s="317"/>
      <c r="AK41" s="317"/>
      <c r="AL41" s="317"/>
      <c r="AM41" s="317"/>
      <c r="AN41" s="317"/>
      <c r="AO41" s="381"/>
      <c r="AP41" s="381"/>
      <c r="AQ41" s="381"/>
      <c r="AR41" s="381"/>
      <c r="AS41" s="381"/>
      <c r="AT41" s="381"/>
      <c r="AU41" s="381"/>
      <c r="AV41" s="381"/>
      <c r="AW41" s="381"/>
      <c r="AX41" s="381"/>
      <c r="AY41" s="381"/>
      <c r="AZ41" s="381"/>
      <c r="BA41" s="381"/>
      <c r="BB41" s="381"/>
      <c r="BC41" s="381"/>
      <c r="BD41" s="389"/>
      <c r="BE41" s="381"/>
      <c r="BF41" s="381"/>
      <c r="BG41" s="381"/>
      <c r="BH41" s="381"/>
      <c r="BI41" s="381"/>
      <c r="BJ41" s="381"/>
      <c r="BK41" s="392"/>
      <c r="BM41" s="453" t="s">
        <v>578</v>
      </c>
    </row>
    <row r="42" spans="1:113" s="210" customFormat="1" ht="15.75" customHeight="1">
      <c r="A42" s="388"/>
      <c r="B42" s="389"/>
      <c r="C42" s="381"/>
      <c r="D42" s="381"/>
      <c r="E42" s="381"/>
      <c r="F42" s="381"/>
      <c r="G42" s="381"/>
      <c r="H42" s="381"/>
      <c r="I42" s="390"/>
      <c r="J42" s="317"/>
      <c r="K42" s="317"/>
      <c r="L42" s="317" t="s">
        <v>579</v>
      </c>
      <c r="M42" s="317"/>
      <c r="N42" s="317"/>
      <c r="O42" s="317"/>
      <c r="P42" s="317"/>
      <c r="Q42" s="317"/>
      <c r="R42" s="317"/>
      <c r="S42" s="317"/>
      <c r="T42" s="317"/>
      <c r="U42" s="317" t="s">
        <v>556</v>
      </c>
      <c r="V42" s="317" t="s">
        <v>580</v>
      </c>
      <c r="W42" s="317"/>
      <c r="X42" s="381"/>
      <c r="Y42" s="317"/>
      <c r="Z42" s="317"/>
      <c r="AA42" s="317"/>
      <c r="AB42" s="317"/>
      <c r="AC42" s="317"/>
      <c r="AD42" s="317"/>
      <c r="AE42" s="317"/>
      <c r="AF42" s="317"/>
      <c r="AG42" s="317"/>
      <c r="AH42" s="317"/>
      <c r="AI42" s="317"/>
      <c r="AJ42" s="317"/>
      <c r="AK42" s="317"/>
      <c r="AL42" s="317"/>
      <c r="AM42" s="317"/>
      <c r="AN42" s="317"/>
      <c r="AO42" s="381"/>
      <c r="AP42" s="381"/>
      <c r="AQ42" s="381"/>
      <c r="AR42" s="381"/>
      <c r="AS42" s="381"/>
      <c r="AT42" s="381"/>
      <c r="AU42" s="381"/>
      <c r="AV42" s="381"/>
      <c r="AW42" s="381"/>
      <c r="AX42" s="381"/>
      <c r="AY42" s="381"/>
      <c r="AZ42" s="381"/>
      <c r="BA42" s="381"/>
      <c r="BB42" s="381"/>
      <c r="BC42" s="381"/>
      <c r="BD42" s="389"/>
      <c r="BE42" s="381"/>
      <c r="BF42" s="381"/>
      <c r="BG42" s="381"/>
      <c r="BH42" s="381"/>
      <c r="BI42" s="381"/>
      <c r="BJ42" s="381"/>
      <c r="BK42" s="392"/>
      <c r="BM42" s="453"/>
    </row>
    <row r="43" spans="1:113" s="210" customFormat="1" ht="15.75" customHeight="1">
      <c r="A43" s="388"/>
      <c r="B43" s="389"/>
      <c r="C43" s="381"/>
      <c r="D43" s="381"/>
      <c r="E43" s="381"/>
      <c r="F43" s="381"/>
      <c r="G43" s="381"/>
      <c r="H43" s="381"/>
      <c r="I43" s="390"/>
      <c r="J43" s="317"/>
      <c r="K43" s="317"/>
      <c r="L43" s="317"/>
      <c r="M43" s="317"/>
      <c r="N43" s="317"/>
      <c r="O43" s="317"/>
      <c r="P43" s="317"/>
      <c r="Q43" s="317"/>
      <c r="R43" s="317"/>
      <c r="S43" s="317"/>
      <c r="T43" s="317"/>
      <c r="U43" s="317"/>
      <c r="V43" s="399"/>
      <c r="W43" s="399" t="s">
        <v>581</v>
      </c>
      <c r="X43" s="381"/>
      <c r="Y43" s="317"/>
      <c r="Z43" s="317"/>
      <c r="AA43" s="317"/>
      <c r="AB43" s="317"/>
      <c r="AC43" s="317"/>
      <c r="AD43" s="317"/>
      <c r="AE43" s="317"/>
      <c r="AF43" s="317"/>
      <c r="AG43" s="317"/>
      <c r="AH43" s="317"/>
      <c r="AI43" s="317"/>
      <c r="AJ43" s="317"/>
      <c r="AK43" s="317"/>
      <c r="AL43" s="317"/>
      <c r="AM43" s="317"/>
      <c r="AN43" s="317"/>
      <c r="AO43" s="381"/>
      <c r="AP43" s="381"/>
      <c r="AQ43" s="381"/>
      <c r="AR43" s="381"/>
      <c r="AS43" s="381"/>
      <c r="AT43" s="381"/>
      <c r="AU43" s="381"/>
      <c r="AV43" s="381"/>
      <c r="AW43" s="381"/>
      <c r="AX43" s="381"/>
      <c r="AY43" s="381"/>
      <c r="AZ43" s="381"/>
      <c r="BA43" s="381"/>
      <c r="BB43" s="381"/>
      <c r="BC43" s="381"/>
      <c r="BD43" s="389"/>
      <c r="BE43" s="381"/>
      <c r="BF43" s="381"/>
      <c r="BG43" s="381"/>
      <c r="BH43" s="381"/>
      <c r="BI43" s="381"/>
      <c r="BJ43" s="381"/>
      <c r="BK43" s="392"/>
      <c r="BM43" s="454" t="s">
        <v>582</v>
      </c>
    </row>
    <row r="44" spans="1:113" s="210" customFormat="1" ht="15.75" customHeight="1">
      <c r="A44" s="388"/>
      <c r="B44" s="389"/>
      <c r="C44" s="381"/>
      <c r="D44" s="381"/>
      <c r="E44" s="381"/>
      <c r="F44" s="381"/>
      <c r="G44" s="381"/>
      <c r="H44" s="381"/>
      <c r="I44" s="390"/>
      <c r="J44" s="317"/>
      <c r="K44" s="317"/>
      <c r="L44" s="317"/>
      <c r="M44" s="317"/>
      <c r="N44" s="317"/>
      <c r="O44" s="317"/>
      <c r="P44" s="317"/>
      <c r="Q44" s="317"/>
      <c r="R44" s="317"/>
      <c r="S44" s="317"/>
      <c r="T44" s="317"/>
      <c r="U44" s="317"/>
      <c r="V44" s="399"/>
      <c r="W44" s="400" t="s">
        <v>583</v>
      </c>
      <c r="X44" s="381"/>
      <c r="Y44" s="317"/>
      <c r="Z44" s="317"/>
      <c r="AA44" s="317"/>
      <c r="AB44" s="317"/>
      <c r="AC44" s="317"/>
      <c r="AD44" s="317"/>
      <c r="AE44" s="317"/>
      <c r="AF44" s="317"/>
      <c r="AG44" s="317"/>
      <c r="AH44" s="317"/>
      <c r="AI44" s="317"/>
      <c r="AJ44" s="317"/>
      <c r="AK44" s="317"/>
      <c r="AL44" s="317"/>
      <c r="AM44" s="317"/>
      <c r="AN44" s="317"/>
      <c r="AO44" s="381"/>
      <c r="AP44" s="381"/>
      <c r="AQ44" s="381"/>
      <c r="AR44" s="381"/>
      <c r="AS44" s="381"/>
      <c r="AT44" s="381"/>
      <c r="AU44" s="381"/>
      <c r="AV44" s="381"/>
      <c r="AW44" s="381"/>
      <c r="AX44" s="381"/>
      <c r="AY44" s="381"/>
      <c r="AZ44" s="381"/>
      <c r="BA44" s="381"/>
      <c r="BB44" s="381"/>
      <c r="BC44" s="381"/>
      <c r="BD44" s="389" t="s">
        <v>584</v>
      </c>
      <c r="BE44" s="381"/>
      <c r="BF44" s="381"/>
      <c r="BG44" s="381"/>
      <c r="BH44" s="381"/>
      <c r="BI44" s="381"/>
      <c r="BJ44" s="381"/>
      <c r="BK44" s="392"/>
      <c r="BM44" s="454"/>
      <c r="BN44" s="447" t="s">
        <v>585</v>
      </c>
      <c r="DI44" s="454" t="s">
        <v>211</v>
      </c>
    </row>
    <row r="45" spans="1:113" s="210" customFormat="1" ht="15.75" customHeight="1">
      <c r="A45" s="388"/>
      <c r="B45" s="389"/>
      <c r="C45" s="381"/>
      <c r="D45" s="381"/>
      <c r="E45" s="381"/>
      <c r="F45" s="381"/>
      <c r="G45" s="381"/>
      <c r="H45" s="381"/>
      <c r="I45" s="390"/>
      <c r="J45" s="317"/>
      <c r="K45" s="317"/>
      <c r="L45" s="317"/>
      <c r="M45" s="317"/>
      <c r="N45" s="317"/>
      <c r="O45" s="317"/>
      <c r="P45" s="317"/>
      <c r="Q45" s="317"/>
      <c r="R45" s="317"/>
      <c r="S45" s="317"/>
      <c r="T45" s="317"/>
      <c r="U45" s="352" t="s">
        <v>586</v>
      </c>
      <c r="V45" s="317"/>
      <c r="W45" s="317"/>
      <c r="X45" s="381"/>
      <c r="Y45" s="317"/>
      <c r="Z45" s="317"/>
      <c r="AA45" s="317"/>
      <c r="AB45" s="317"/>
      <c r="AC45" s="317"/>
      <c r="AD45" s="317"/>
      <c r="AE45" s="317"/>
      <c r="AF45" s="317"/>
      <c r="AG45" s="317"/>
      <c r="AH45" s="317"/>
      <c r="AI45" s="317"/>
      <c r="AJ45" s="317"/>
      <c r="AK45" s="317"/>
      <c r="AL45" s="317"/>
      <c r="AM45" s="317"/>
      <c r="AN45" s="317"/>
      <c r="AO45" s="381"/>
      <c r="AP45" s="381"/>
      <c r="AQ45" s="381"/>
      <c r="AR45" s="381"/>
      <c r="AS45" s="381"/>
      <c r="AT45" s="381"/>
      <c r="AU45" s="381"/>
      <c r="AV45" s="381"/>
      <c r="AW45" s="381"/>
      <c r="AX45" s="381"/>
      <c r="AY45" s="381"/>
      <c r="AZ45" s="381"/>
      <c r="BA45" s="381"/>
      <c r="BB45" s="381"/>
      <c r="BC45" s="381"/>
      <c r="BD45" s="389" t="s">
        <v>587</v>
      </c>
      <c r="BE45" s="381"/>
      <c r="BF45" s="381"/>
      <c r="BG45" s="381"/>
      <c r="BH45" s="381"/>
      <c r="BI45" s="381"/>
      <c r="BJ45" s="381"/>
      <c r="BK45" s="392"/>
      <c r="BM45" s="454"/>
    </row>
    <row r="46" spans="1:113" s="210" customFormat="1" ht="15.75" customHeight="1">
      <c r="A46" s="388"/>
      <c r="B46" s="389"/>
      <c r="C46" s="381"/>
      <c r="D46" s="381"/>
      <c r="E46" s="381"/>
      <c r="F46" s="381"/>
      <c r="G46" s="381"/>
      <c r="H46" s="381"/>
      <c r="I46" s="390"/>
      <c r="J46" s="317"/>
      <c r="K46" s="317"/>
      <c r="L46" s="317"/>
      <c r="M46" s="317"/>
      <c r="N46" s="317"/>
      <c r="O46" s="317"/>
      <c r="P46" s="317"/>
      <c r="Q46" s="317"/>
      <c r="R46" s="317"/>
      <c r="S46" s="317"/>
      <c r="T46" s="317"/>
      <c r="U46" s="352"/>
      <c r="V46" s="317"/>
      <c r="W46" s="317"/>
      <c r="X46" s="381"/>
      <c r="Y46" s="317"/>
      <c r="Z46" s="317"/>
      <c r="AA46" s="317"/>
      <c r="AB46" s="317"/>
      <c r="AC46" s="317"/>
      <c r="AD46" s="317"/>
      <c r="AE46" s="317"/>
      <c r="AF46" s="317"/>
      <c r="AG46" s="317"/>
      <c r="AH46" s="317"/>
      <c r="AI46" s="317"/>
      <c r="AJ46" s="317"/>
      <c r="AK46" s="317"/>
      <c r="AL46" s="317"/>
      <c r="AM46" s="317"/>
      <c r="AN46" s="317"/>
      <c r="AO46" s="381"/>
      <c r="AP46" s="381"/>
      <c r="AQ46" s="381"/>
      <c r="AR46" s="381"/>
      <c r="AS46" s="381"/>
      <c r="AT46" s="381"/>
      <c r="AU46" s="381"/>
      <c r="AV46" s="381"/>
      <c r="AW46" s="381"/>
      <c r="AX46" s="381"/>
      <c r="AY46" s="381"/>
      <c r="AZ46" s="381"/>
      <c r="BA46" s="381"/>
      <c r="BB46" s="381"/>
      <c r="BC46" s="381"/>
      <c r="BD46" s="389"/>
      <c r="BE46" s="381"/>
      <c r="BF46" s="381"/>
      <c r="BG46" s="381"/>
      <c r="BH46" s="381"/>
      <c r="BI46" s="381"/>
      <c r="BJ46" s="381"/>
      <c r="BK46" s="392"/>
      <c r="BM46" s="454"/>
    </row>
    <row r="47" spans="1:113" s="210" customFormat="1" ht="15.75" customHeight="1">
      <c r="A47" s="388"/>
      <c r="B47" s="389"/>
      <c r="C47" s="381"/>
      <c r="D47" s="381"/>
      <c r="E47" s="381"/>
      <c r="F47" s="381"/>
      <c r="G47" s="381"/>
      <c r="H47" s="381"/>
      <c r="I47" s="390"/>
      <c r="J47" s="317"/>
      <c r="K47" s="317"/>
      <c r="L47" s="317" t="s">
        <v>588</v>
      </c>
      <c r="M47" s="317"/>
      <c r="N47" s="317"/>
      <c r="O47" s="317"/>
      <c r="P47" s="317"/>
      <c r="Q47" s="317"/>
      <c r="R47" s="317"/>
      <c r="S47" s="317"/>
      <c r="T47" s="317"/>
      <c r="U47" s="317" t="s">
        <v>556</v>
      </c>
      <c r="V47" s="317" t="s">
        <v>589</v>
      </c>
      <c r="W47" s="317"/>
      <c r="X47" s="381"/>
      <c r="Y47" s="317"/>
      <c r="Z47" s="317"/>
      <c r="AA47" s="317"/>
      <c r="AB47" s="317"/>
      <c r="AC47" s="317"/>
      <c r="AD47" s="317"/>
      <c r="AE47" s="317"/>
      <c r="AF47" s="317"/>
      <c r="AG47" s="317"/>
      <c r="AH47" s="317"/>
      <c r="AI47" s="317"/>
      <c r="AJ47" s="317"/>
      <c r="AK47" s="317"/>
      <c r="AL47" s="317"/>
      <c r="AM47" s="317"/>
      <c r="AN47" s="317"/>
      <c r="AO47" s="381"/>
      <c r="AP47" s="381"/>
      <c r="AQ47" s="381"/>
      <c r="AR47" s="381"/>
      <c r="AS47" s="381"/>
      <c r="AT47" s="381"/>
      <c r="AU47" s="381"/>
      <c r="AV47" s="381"/>
      <c r="AW47" s="381"/>
      <c r="AX47" s="381"/>
      <c r="AY47" s="381"/>
      <c r="AZ47" s="381"/>
      <c r="BA47" s="381"/>
      <c r="BB47" s="381"/>
      <c r="BC47" s="381"/>
      <c r="BD47" s="389"/>
      <c r="BE47" s="381"/>
      <c r="BF47" s="381"/>
      <c r="BG47" s="381"/>
      <c r="BH47" s="381"/>
      <c r="BI47" s="381"/>
      <c r="BJ47" s="381"/>
      <c r="BK47" s="392"/>
      <c r="BM47" s="454" t="s">
        <v>590</v>
      </c>
    </row>
    <row r="48" spans="1:113" s="210" customFormat="1" ht="15.75" customHeight="1">
      <c r="A48" s="388"/>
      <c r="B48" s="389"/>
      <c r="C48" s="381"/>
      <c r="D48" s="381"/>
      <c r="E48" s="381"/>
      <c r="F48" s="381"/>
      <c r="G48" s="381"/>
      <c r="H48" s="381"/>
      <c r="I48" s="390"/>
      <c r="J48" s="317"/>
      <c r="K48" s="317"/>
      <c r="L48" s="317"/>
      <c r="M48" s="317"/>
      <c r="N48" s="317"/>
      <c r="O48" s="317"/>
      <c r="P48" s="317"/>
      <c r="Q48" s="317"/>
      <c r="R48" s="317"/>
      <c r="S48" s="317"/>
      <c r="T48" s="317"/>
      <c r="U48" s="317"/>
      <c r="V48" s="399"/>
      <c r="W48" s="399" t="s">
        <v>581</v>
      </c>
      <c r="X48" s="381"/>
      <c r="Y48" s="317"/>
      <c r="Z48" s="317"/>
      <c r="AA48" s="317"/>
      <c r="AB48" s="317"/>
      <c r="AC48" s="317"/>
      <c r="AD48" s="317"/>
      <c r="AE48" s="317"/>
      <c r="AF48" s="317"/>
      <c r="AG48" s="317"/>
      <c r="AH48" s="317"/>
      <c r="AI48" s="317"/>
      <c r="AJ48" s="317"/>
      <c r="AK48" s="317"/>
      <c r="AL48" s="317"/>
      <c r="AM48" s="317"/>
      <c r="AN48" s="317"/>
      <c r="AO48" s="381"/>
      <c r="AP48" s="381"/>
      <c r="AQ48" s="381"/>
      <c r="AR48" s="381"/>
      <c r="AS48" s="381"/>
      <c r="AT48" s="381"/>
      <c r="AU48" s="381"/>
      <c r="AV48" s="381"/>
      <c r="AW48" s="381"/>
      <c r="AX48" s="381"/>
      <c r="AY48" s="381"/>
      <c r="AZ48" s="381"/>
      <c r="BA48" s="381"/>
      <c r="BB48" s="381"/>
      <c r="BC48" s="381"/>
      <c r="BD48" s="389"/>
      <c r="BE48" s="381"/>
      <c r="BF48" s="381"/>
      <c r="BG48" s="381"/>
      <c r="BH48" s="381"/>
      <c r="BI48" s="381"/>
      <c r="BJ48" s="381"/>
      <c r="BK48" s="392"/>
      <c r="BN48" s="447" t="s">
        <v>591</v>
      </c>
      <c r="CN48" s="454" t="s">
        <v>211</v>
      </c>
    </row>
    <row r="49" spans="1:63" s="210" customFormat="1" ht="15.75" customHeight="1">
      <c r="A49" s="388"/>
      <c r="B49" s="389"/>
      <c r="C49" s="381"/>
      <c r="D49" s="381"/>
      <c r="E49" s="381"/>
      <c r="F49" s="381"/>
      <c r="G49" s="381"/>
      <c r="H49" s="381"/>
      <c r="I49" s="390"/>
      <c r="J49" s="317"/>
      <c r="K49" s="317"/>
      <c r="L49" s="317"/>
      <c r="M49" s="317"/>
      <c r="N49" s="317"/>
      <c r="O49" s="317"/>
      <c r="P49" s="317"/>
      <c r="Q49" s="317"/>
      <c r="R49" s="317"/>
      <c r="S49" s="317"/>
      <c r="T49" s="317"/>
      <c r="U49" s="317"/>
      <c r="V49" s="399"/>
      <c r="W49" s="400" t="s">
        <v>583</v>
      </c>
      <c r="X49" s="381"/>
      <c r="Y49" s="317"/>
      <c r="Z49" s="317"/>
      <c r="AA49" s="317"/>
      <c r="AB49" s="317"/>
      <c r="AC49" s="317"/>
      <c r="AD49" s="317"/>
      <c r="AE49" s="317"/>
      <c r="AF49" s="317"/>
      <c r="AG49" s="317"/>
      <c r="AH49" s="317"/>
      <c r="AI49" s="317"/>
      <c r="AJ49" s="317"/>
      <c r="AK49" s="317"/>
      <c r="AL49" s="317"/>
      <c r="AM49" s="317"/>
      <c r="AN49" s="317"/>
      <c r="AO49" s="381"/>
      <c r="AP49" s="381"/>
      <c r="AQ49" s="381"/>
      <c r="AR49" s="381"/>
      <c r="AS49" s="381"/>
      <c r="AT49" s="381"/>
      <c r="AU49" s="381"/>
      <c r="AV49" s="381"/>
      <c r="AW49" s="381"/>
      <c r="AX49" s="381"/>
      <c r="AY49" s="381"/>
      <c r="AZ49" s="381"/>
      <c r="BA49" s="381"/>
      <c r="BB49" s="381"/>
      <c r="BC49" s="381"/>
      <c r="BD49" s="389" t="s">
        <v>584</v>
      </c>
      <c r="BE49" s="381"/>
      <c r="BF49" s="381"/>
      <c r="BG49" s="381"/>
      <c r="BH49" s="381"/>
      <c r="BI49" s="381"/>
      <c r="BJ49" s="381"/>
      <c r="BK49" s="392"/>
    </row>
    <row r="50" spans="1:63" s="210" customFormat="1" ht="15.75" customHeight="1">
      <c r="A50" s="388"/>
      <c r="B50" s="389"/>
      <c r="C50" s="381"/>
      <c r="D50" s="381"/>
      <c r="E50" s="381"/>
      <c r="F50" s="381"/>
      <c r="G50" s="381"/>
      <c r="H50" s="381"/>
      <c r="I50" s="390"/>
      <c r="J50" s="317"/>
      <c r="K50" s="317"/>
      <c r="L50" s="317"/>
      <c r="M50" s="317"/>
      <c r="N50" s="317"/>
      <c r="O50" s="317"/>
      <c r="P50" s="317"/>
      <c r="Q50" s="317"/>
      <c r="R50" s="317"/>
      <c r="S50" s="317"/>
      <c r="T50" s="317"/>
      <c r="U50" s="352" t="s">
        <v>592</v>
      </c>
      <c r="V50" s="317"/>
      <c r="W50" s="317"/>
      <c r="X50" s="317"/>
      <c r="Y50" s="317"/>
      <c r="Z50" s="317"/>
      <c r="AA50" s="317"/>
      <c r="AB50" s="317"/>
      <c r="AC50" s="317"/>
      <c r="AD50" s="317"/>
      <c r="AE50" s="317"/>
      <c r="AF50" s="317"/>
      <c r="AG50" s="317"/>
      <c r="AH50" s="317"/>
      <c r="AI50" s="317"/>
      <c r="AJ50" s="317"/>
      <c r="AK50" s="317"/>
      <c r="AL50" s="317"/>
      <c r="AM50" s="317"/>
      <c r="AN50" s="317"/>
      <c r="AO50" s="381"/>
      <c r="AP50" s="381"/>
      <c r="AQ50" s="381"/>
      <c r="AR50" s="381"/>
      <c r="AS50" s="381"/>
      <c r="AT50" s="381"/>
      <c r="AU50" s="381"/>
      <c r="AV50" s="381"/>
      <c r="AW50" s="381"/>
      <c r="AX50" s="381"/>
      <c r="AY50" s="381"/>
      <c r="AZ50" s="381"/>
      <c r="BA50" s="381"/>
      <c r="BB50" s="381"/>
      <c r="BC50" s="381"/>
      <c r="BD50" s="389"/>
      <c r="BE50" s="381"/>
      <c r="BF50" s="381"/>
      <c r="BG50" s="381"/>
      <c r="BH50" s="381"/>
      <c r="BI50" s="381"/>
      <c r="BJ50" s="381"/>
      <c r="BK50" s="392"/>
    </row>
    <row r="51" spans="1:63" s="210" customFormat="1" ht="15.75" customHeight="1">
      <c r="A51" s="388"/>
      <c r="B51" s="389"/>
      <c r="C51" s="381"/>
      <c r="D51" s="381"/>
      <c r="E51" s="381"/>
      <c r="F51" s="381"/>
      <c r="G51" s="381"/>
      <c r="H51" s="381"/>
      <c r="I51" s="390"/>
      <c r="J51" s="317"/>
      <c r="K51" s="317"/>
      <c r="L51" s="317"/>
      <c r="M51" s="317"/>
      <c r="N51" s="317"/>
      <c r="O51" s="317"/>
      <c r="P51" s="317"/>
      <c r="Q51" s="317"/>
      <c r="R51" s="317"/>
      <c r="S51" s="317"/>
      <c r="T51" s="317"/>
      <c r="U51" s="352" t="s">
        <v>593</v>
      </c>
      <c r="V51" s="317"/>
      <c r="W51" s="317"/>
      <c r="X51" s="317"/>
      <c r="Y51" s="317"/>
      <c r="Z51" s="317"/>
      <c r="AA51" s="317"/>
      <c r="AB51" s="317"/>
      <c r="AC51" s="317"/>
      <c r="AD51" s="317"/>
      <c r="AE51" s="317"/>
      <c r="AF51" s="317"/>
      <c r="AG51" s="317"/>
      <c r="AH51" s="317"/>
      <c r="AI51" s="317"/>
      <c r="AJ51" s="317"/>
      <c r="AK51" s="317"/>
      <c r="AL51" s="317"/>
      <c r="AM51" s="317"/>
      <c r="AN51" s="317"/>
      <c r="AO51" s="381"/>
      <c r="AP51" s="381"/>
      <c r="AQ51" s="381"/>
      <c r="AR51" s="381"/>
      <c r="AS51" s="381"/>
      <c r="AT51" s="381"/>
      <c r="AU51" s="381"/>
      <c r="AV51" s="381"/>
      <c r="AW51" s="381"/>
      <c r="AX51" s="381"/>
      <c r="AY51" s="381"/>
      <c r="AZ51" s="381"/>
      <c r="BA51" s="381"/>
      <c r="BB51" s="381"/>
      <c r="BC51" s="381"/>
      <c r="BD51" s="389"/>
      <c r="BE51" s="381"/>
      <c r="BF51" s="381"/>
      <c r="BG51" s="381"/>
      <c r="BH51" s="381"/>
      <c r="BI51" s="381"/>
      <c r="BJ51" s="381"/>
      <c r="BK51" s="392"/>
    </row>
    <row r="52" spans="1:63" ht="15.75" customHeight="1" thickBot="1">
      <c r="A52" s="401"/>
      <c r="B52" s="402"/>
      <c r="C52" s="403"/>
      <c r="D52" s="403"/>
      <c r="E52" s="403"/>
      <c r="F52" s="403"/>
      <c r="G52" s="403"/>
      <c r="H52" s="403"/>
      <c r="I52" s="404"/>
      <c r="J52" s="403"/>
      <c r="K52" s="403"/>
      <c r="L52" s="403"/>
      <c r="M52" s="403"/>
      <c r="N52" s="403"/>
      <c r="O52" s="403"/>
      <c r="P52" s="403"/>
      <c r="Q52" s="403"/>
      <c r="R52" s="403"/>
      <c r="S52" s="403"/>
      <c r="T52" s="403"/>
      <c r="U52" s="403"/>
      <c r="V52" s="403"/>
      <c r="W52" s="403"/>
      <c r="X52" s="403"/>
      <c r="Y52" s="403"/>
      <c r="Z52" s="403"/>
      <c r="AA52" s="403"/>
      <c r="AB52" s="403"/>
      <c r="AC52" s="403"/>
      <c r="AD52" s="403"/>
      <c r="AE52" s="403"/>
      <c r="AF52" s="403"/>
      <c r="AG52" s="403"/>
      <c r="AH52" s="403"/>
      <c r="AI52" s="403"/>
      <c r="AJ52" s="403"/>
      <c r="AK52" s="403"/>
      <c r="AL52" s="403"/>
      <c r="AM52" s="403"/>
      <c r="AN52" s="403"/>
      <c r="AO52" s="403"/>
      <c r="AP52" s="403"/>
      <c r="AQ52" s="403"/>
      <c r="AR52" s="403"/>
      <c r="AS52" s="403"/>
      <c r="AT52" s="403"/>
      <c r="AU52" s="403"/>
      <c r="AV52" s="403"/>
      <c r="AW52" s="403"/>
      <c r="AX52" s="403"/>
      <c r="AY52" s="403"/>
      <c r="AZ52" s="403"/>
      <c r="BA52" s="403"/>
      <c r="BB52" s="403"/>
      <c r="BC52" s="403"/>
      <c r="BD52" s="402"/>
      <c r="BE52" s="403"/>
      <c r="BF52" s="403"/>
      <c r="BG52" s="403"/>
      <c r="BH52" s="403"/>
      <c r="BI52" s="403"/>
      <c r="BJ52" s="403"/>
      <c r="BK52" s="428"/>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B22D-779C-4E72-A898-CD7A0479F553}">
  <sheetPr codeName="Sheet6">
    <pageSetUpPr fitToPage="1"/>
  </sheetPr>
  <dimension ref="A1:BL33"/>
  <sheetViews>
    <sheetView showGridLines="0" showZeros="0" view="pageBreakPreview" zoomScale="115" zoomScaleNormal="100" zoomScaleSheetLayoutView="115" workbookViewId="0">
      <selection activeCell="AE31" sqref="AE31"/>
    </sheetView>
  </sheetViews>
  <sheetFormatPr defaultColWidth="2.125" defaultRowHeight="15.75" customHeight="1"/>
  <cols>
    <col min="1" max="1" width="2.125" style="22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4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4" s="14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4" s="14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4" s="144" customFormat="1" ht="6.75" customHeight="1" thickBot="1">
      <c r="B4" s="145"/>
      <c r="C4" s="146"/>
      <c r="D4" s="146"/>
      <c r="E4" s="146"/>
      <c r="F4" s="147"/>
      <c r="G4" s="147"/>
      <c r="H4" s="147"/>
      <c r="I4" s="147"/>
      <c r="J4" s="146"/>
      <c r="K4" s="147"/>
      <c r="L4" s="147"/>
      <c r="M4" s="147"/>
      <c r="N4" s="147"/>
      <c r="O4" s="147"/>
      <c r="P4" s="147"/>
      <c r="Q4" s="148"/>
    </row>
    <row r="5" spans="1:64" ht="15.75" customHeight="1" thickBot="1">
      <c r="A5" s="203" t="s">
        <v>530</v>
      </c>
      <c r="B5" s="204" t="s">
        <v>531</v>
      </c>
      <c r="C5" s="204"/>
      <c r="D5" s="204"/>
      <c r="E5" s="204"/>
      <c r="F5" s="204"/>
      <c r="G5" s="204"/>
      <c r="H5" s="204"/>
      <c r="I5" s="205"/>
      <c r="J5" s="204" t="s">
        <v>532</v>
      </c>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5"/>
      <c r="BD5" s="204" t="s">
        <v>533</v>
      </c>
      <c r="BE5" s="204"/>
      <c r="BF5" s="204"/>
      <c r="BG5" s="204"/>
      <c r="BH5" s="204"/>
      <c r="BI5" s="204"/>
      <c r="BJ5" s="204"/>
      <c r="BK5" s="206"/>
      <c r="BL5" s="156"/>
    </row>
    <row r="6" spans="1:64" s="210" customFormat="1" ht="15.75" customHeight="1" thickTop="1">
      <c r="A6" s="207" t="s">
        <v>290</v>
      </c>
      <c r="B6" s="473" t="s">
        <v>534</v>
      </c>
      <c r="C6" s="473"/>
      <c r="D6" s="473"/>
      <c r="E6" s="473"/>
      <c r="F6" s="473"/>
      <c r="G6" s="473"/>
      <c r="H6" s="473"/>
      <c r="I6" s="473"/>
      <c r="J6" s="473"/>
      <c r="K6" s="473"/>
      <c r="L6" s="474"/>
      <c r="M6" s="474"/>
      <c r="N6" s="474"/>
      <c r="O6" s="474"/>
      <c r="P6" s="474"/>
      <c r="Q6" s="474"/>
      <c r="R6" s="474"/>
      <c r="S6" s="474"/>
      <c r="T6" s="474"/>
      <c r="U6" s="474"/>
      <c r="V6" s="474"/>
      <c r="W6" s="474"/>
      <c r="X6" s="474"/>
      <c r="Y6" s="474"/>
      <c r="Z6" s="474"/>
      <c r="AA6" s="474"/>
      <c r="AB6" s="474"/>
      <c r="AC6" s="474"/>
      <c r="AD6" s="474"/>
      <c r="AE6" s="474"/>
      <c r="AF6" s="474"/>
      <c r="AG6" s="474"/>
      <c r="AH6" s="474"/>
      <c r="AI6" s="474"/>
      <c r="AJ6" s="474"/>
      <c r="AK6" s="474"/>
      <c r="AL6" s="474"/>
      <c r="AM6" s="474"/>
      <c r="AN6" s="474"/>
      <c r="AO6" s="474"/>
      <c r="AP6" s="474"/>
      <c r="AQ6" s="474"/>
      <c r="AR6" s="474"/>
      <c r="AS6" s="474"/>
      <c r="AT6" s="474"/>
      <c r="AU6" s="474"/>
      <c r="AV6" s="474"/>
      <c r="AW6" s="474"/>
      <c r="AX6" s="474"/>
      <c r="AY6" s="474"/>
      <c r="AZ6" s="474"/>
      <c r="BA6" s="474"/>
      <c r="BB6" s="474"/>
      <c r="BC6" s="474"/>
      <c r="BD6" s="474"/>
      <c r="BE6" s="474"/>
      <c r="BF6" s="474"/>
      <c r="BG6" s="474"/>
      <c r="BH6" s="474"/>
      <c r="BI6" s="474"/>
      <c r="BJ6" s="474"/>
      <c r="BK6" s="208"/>
      <c r="BL6" s="209"/>
    </row>
    <row r="7" spans="1:64" s="210" customFormat="1" ht="15.75" customHeight="1">
      <c r="A7" s="211"/>
      <c r="B7" s="212"/>
      <c r="I7" s="213"/>
      <c r="J7" s="214"/>
      <c r="BD7" s="212"/>
      <c r="BK7" s="215"/>
    </row>
    <row r="8" spans="1:64" s="210" customFormat="1" ht="15.75" customHeight="1">
      <c r="A8" s="211"/>
      <c r="I8" s="213"/>
      <c r="BD8" s="212"/>
      <c r="BK8" s="215"/>
    </row>
    <row r="9" spans="1:64" s="210" customFormat="1" ht="15.75" customHeight="1">
      <c r="A9" s="211"/>
      <c r="B9" s="212"/>
      <c r="I9" s="213"/>
      <c r="BD9" s="212"/>
      <c r="BK9" s="215"/>
    </row>
    <row r="10" spans="1:64" s="210" customFormat="1" ht="15.75" customHeight="1">
      <c r="A10" s="211"/>
      <c r="B10" s="212"/>
      <c r="I10" s="213"/>
      <c r="BD10" s="212"/>
      <c r="BK10" s="215"/>
    </row>
    <row r="11" spans="1:64" s="210" customFormat="1" ht="15.75" customHeight="1">
      <c r="A11" s="216"/>
      <c r="J11" s="217"/>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9"/>
      <c r="BK11" s="215"/>
    </row>
    <row r="12" spans="1:64" s="210" customFormat="1" ht="15.75" customHeight="1">
      <c r="A12" s="211" t="s">
        <v>551</v>
      </c>
      <c r="B12" s="473" t="s">
        <v>552</v>
      </c>
      <c r="C12" s="473"/>
      <c r="D12" s="473"/>
      <c r="E12" s="473"/>
      <c r="F12" s="473"/>
      <c r="G12" s="473"/>
      <c r="H12" s="473"/>
      <c r="I12" s="473"/>
      <c r="J12" s="473"/>
      <c r="K12" s="473"/>
      <c r="L12" s="474"/>
      <c r="M12" s="474"/>
      <c r="N12" s="474"/>
      <c r="O12" s="474"/>
      <c r="P12" s="474"/>
      <c r="Q12" s="474"/>
      <c r="R12" s="474"/>
      <c r="S12" s="474"/>
      <c r="T12" s="474"/>
      <c r="U12" s="474"/>
      <c r="V12" s="474"/>
      <c r="W12" s="474"/>
      <c r="X12" s="474"/>
      <c r="Y12" s="474"/>
      <c r="Z12" s="474"/>
      <c r="AA12" s="474"/>
      <c r="AB12" s="474"/>
      <c r="AC12" s="474"/>
      <c r="AD12" s="474"/>
      <c r="AE12" s="474"/>
      <c r="AF12" s="474"/>
      <c r="AG12" s="474"/>
      <c r="AH12" s="474"/>
      <c r="AI12" s="474"/>
      <c r="AJ12" s="474"/>
      <c r="AK12" s="474"/>
      <c r="AL12" s="474"/>
      <c r="AM12" s="474"/>
      <c r="AN12" s="474"/>
      <c r="AO12" s="474"/>
      <c r="AP12" s="474"/>
      <c r="AQ12" s="474"/>
      <c r="AR12" s="474"/>
      <c r="AS12" s="474"/>
      <c r="AT12" s="474"/>
      <c r="AU12" s="474"/>
      <c r="AV12" s="474"/>
      <c r="AW12" s="474"/>
      <c r="AX12" s="474"/>
      <c r="AY12" s="474"/>
      <c r="AZ12" s="474"/>
      <c r="BA12" s="474"/>
      <c r="BB12" s="474"/>
      <c r="BC12" s="474"/>
      <c r="BD12" s="474"/>
      <c r="BE12" s="474"/>
      <c r="BF12" s="474"/>
      <c r="BG12" s="474"/>
      <c r="BH12" s="474"/>
      <c r="BI12" s="474"/>
      <c r="BJ12" s="474"/>
      <c r="BK12" s="208"/>
      <c r="BL12" s="209"/>
    </row>
    <row r="13" spans="1:64" s="210" customFormat="1" ht="15.75" customHeight="1">
      <c r="A13" s="211"/>
      <c r="B13" s="212"/>
      <c r="I13" s="213"/>
      <c r="J13" s="220"/>
      <c r="K13" s="221"/>
      <c r="L13" s="221"/>
      <c r="M13" s="221"/>
      <c r="N13" s="221"/>
      <c r="O13" s="221"/>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2"/>
      <c r="AP13" s="222"/>
      <c r="AQ13" s="222"/>
      <c r="AR13" s="222"/>
      <c r="BD13" s="212"/>
      <c r="BK13" s="215"/>
    </row>
    <row r="14" spans="1:64" s="210" customFormat="1" ht="15.75" customHeight="1">
      <c r="A14" s="211"/>
      <c r="B14" s="212"/>
      <c r="I14" s="213"/>
      <c r="J14" s="221"/>
      <c r="K14" s="221"/>
      <c r="L14" s="221"/>
      <c r="M14" s="221"/>
      <c r="N14" s="221"/>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2"/>
      <c r="AP14" s="222"/>
      <c r="AQ14" s="222"/>
      <c r="AR14" s="222"/>
      <c r="BD14" s="212"/>
      <c r="BK14" s="215"/>
    </row>
    <row r="15" spans="1:64" s="210" customFormat="1" ht="15.75" customHeight="1">
      <c r="A15" s="211"/>
      <c r="B15" s="212"/>
      <c r="I15" s="213"/>
      <c r="J15" s="221"/>
      <c r="K15" s="221"/>
      <c r="L15" s="221"/>
      <c r="M15" s="221"/>
      <c r="N15" s="221"/>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2"/>
      <c r="AP15" s="222"/>
      <c r="AQ15" s="222"/>
      <c r="AR15" s="222"/>
      <c r="BD15" s="212"/>
      <c r="BK15" s="215"/>
    </row>
    <row r="16" spans="1:64" s="210" customFormat="1" ht="15.75" customHeight="1">
      <c r="A16" s="211"/>
      <c r="B16" s="212"/>
      <c r="I16" s="213"/>
      <c r="J16" s="221"/>
      <c r="K16" s="221"/>
      <c r="L16" s="221"/>
      <c r="M16" s="221"/>
      <c r="N16" s="221"/>
      <c r="O16" s="221"/>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2"/>
      <c r="AP16" s="222"/>
      <c r="AQ16" s="222"/>
      <c r="AR16" s="222"/>
      <c r="BD16" s="212"/>
      <c r="BK16" s="215"/>
    </row>
    <row r="17" spans="1:64" s="210" customFormat="1" ht="15.75" customHeight="1">
      <c r="A17" s="211"/>
      <c r="B17" s="212"/>
      <c r="I17" s="213"/>
      <c r="J17" s="221"/>
      <c r="K17" s="221"/>
      <c r="L17" s="221"/>
      <c r="M17" s="221"/>
      <c r="N17" s="221"/>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2"/>
      <c r="AP17" s="222"/>
      <c r="AQ17" s="222"/>
      <c r="AR17" s="222"/>
      <c r="BD17" s="212"/>
      <c r="BK17" s="215"/>
    </row>
    <row r="18" spans="1:64" s="210" customFormat="1" ht="15.75" customHeight="1">
      <c r="A18" s="211" t="s">
        <v>594</v>
      </c>
      <c r="B18" s="473" t="s">
        <v>595</v>
      </c>
      <c r="C18" s="473"/>
      <c r="D18" s="473"/>
      <c r="E18" s="473"/>
      <c r="F18" s="473"/>
      <c r="G18" s="473"/>
      <c r="H18" s="473"/>
      <c r="I18" s="473"/>
      <c r="J18" s="473"/>
      <c r="K18" s="473"/>
      <c r="L18" s="474"/>
      <c r="M18" s="474"/>
      <c r="N18" s="474"/>
      <c r="O18" s="474"/>
      <c r="P18" s="474"/>
      <c r="Q18" s="474"/>
      <c r="R18" s="474"/>
      <c r="S18" s="474"/>
      <c r="T18" s="474"/>
      <c r="U18" s="474"/>
      <c r="V18" s="474"/>
      <c r="W18" s="474"/>
      <c r="X18" s="474"/>
      <c r="Y18" s="474"/>
      <c r="Z18" s="474"/>
      <c r="AA18" s="474"/>
      <c r="AB18" s="474"/>
      <c r="AC18" s="474"/>
      <c r="AD18" s="474"/>
      <c r="AE18" s="474"/>
      <c r="AF18" s="474"/>
      <c r="AG18" s="474"/>
      <c r="AH18" s="474"/>
      <c r="AI18" s="474"/>
      <c r="AJ18" s="474"/>
      <c r="AK18" s="474"/>
      <c r="AL18" s="474"/>
      <c r="AM18" s="474"/>
      <c r="AN18" s="474"/>
      <c r="AO18" s="474"/>
      <c r="AP18" s="474"/>
      <c r="AQ18" s="474"/>
      <c r="AR18" s="474"/>
      <c r="AS18" s="474"/>
      <c r="AT18" s="474"/>
      <c r="AU18" s="474"/>
      <c r="AV18" s="474"/>
      <c r="AW18" s="474"/>
      <c r="AX18" s="474"/>
      <c r="AY18" s="474"/>
      <c r="AZ18" s="474"/>
      <c r="BA18" s="474"/>
      <c r="BB18" s="474"/>
      <c r="BC18" s="474"/>
      <c r="BD18" s="474"/>
      <c r="BE18" s="474"/>
      <c r="BF18" s="474"/>
      <c r="BG18" s="474"/>
      <c r="BH18" s="474"/>
      <c r="BI18" s="474"/>
      <c r="BJ18" s="474"/>
      <c r="BK18" s="208"/>
      <c r="BL18" s="209"/>
    </row>
    <row r="19" spans="1:64" ht="15.75" customHeight="1">
      <c r="B19" s="224"/>
      <c r="I19" s="225"/>
      <c r="BD19" s="224"/>
    </row>
    <row r="20" spans="1:64" ht="15.75" customHeight="1">
      <c r="B20" s="224"/>
      <c r="I20" s="225"/>
      <c r="BD20" s="224"/>
    </row>
    <row r="21" spans="1:64" ht="15.75" customHeight="1">
      <c r="B21" s="224"/>
      <c r="I21" s="225"/>
      <c r="BD21" s="224"/>
    </row>
    <row r="22" spans="1:64" ht="15.75" customHeight="1">
      <c r="B22" s="224"/>
      <c r="I22" s="225"/>
      <c r="BD22" s="224"/>
    </row>
    <row r="23" spans="1:64" ht="15.75" customHeight="1">
      <c r="B23" s="224"/>
      <c r="I23" s="225"/>
      <c r="BD23" s="224"/>
    </row>
    <row r="24" spans="1:64" ht="15.75" customHeight="1">
      <c r="B24" s="224"/>
      <c r="I24" s="225"/>
      <c r="BD24" s="224"/>
    </row>
    <row r="25" spans="1:64" ht="15.75" customHeight="1">
      <c r="B25" s="224"/>
      <c r="I25" s="225"/>
      <c r="BD25" s="224"/>
    </row>
    <row r="26" spans="1:64" ht="15.75" customHeight="1">
      <c r="B26" s="224"/>
      <c r="I26" s="225"/>
      <c r="BD26" s="224"/>
    </row>
    <row r="27" spans="1:64" ht="15.75" customHeight="1">
      <c r="B27" s="224"/>
      <c r="I27" s="225"/>
      <c r="BD27" s="224"/>
    </row>
    <row r="28" spans="1:64" ht="15.75" customHeight="1">
      <c r="B28" s="224"/>
      <c r="I28" s="225"/>
      <c r="BD28" s="224"/>
    </row>
    <row r="29" spans="1:64" ht="15.75" customHeight="1">
      <c r="B29" s="224"/>
      <c r="I29" s="225"/>
      <c r="BD29" s="224"/>
    </row>
    <row r="30" spans="1:64" ht="15.75" customHeight="1">
      <c r="B30" s="224"/>
      <c r="I30" s="225"/>
      <c r="BD30" s="224"/>
    </row>
    <row r="31" spans="1:64" ht="15.75" customHeight="1">
      <c r="B31" s="224"/>
      <c r="I31" s="225"/>
      <c r="BD31" s="224"/>
    </row>
    <row r="32" spans="1:64" ht="15.75" customHeight="1">
      <c r="B32" s="224"/>
      <c r="I32" s="225"/>
      <c r="BD32" s="224"/>
    </row>
    <row r="33" spans="2:56" ht="15.75" customHeight="1">
      <c r="B33" s="224"/>
      <c r="I33" s="225"/>
      <c r="BD33" s="22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18"/>
  <sheetViews>
    <sheetView showGridLines="0" showZeros="0" view="pageBreakPreview" zoomScaleNormal="100" zoomScaleSheetLayoutView="100" workbookViewId="0">
      <pane ySplit="4" topLeftCell="A5" activePane="bottomLeft" state="frozen"/>
      <selection pane="bottomLeft" sqref="A1:J3"/>
      <selection activeCell="D40" sqref="D40"/>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3"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3"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3" s="4" customFormat="1" ht="6.75" customHeight="1">
      <c r="B4" s="5"/>
      <c r="C4" s="6"/>
      <c r="D4" s="6"/>
      <c r="E4" s="6"/>
      <c r="F4" s="7"/>
      <c r="G4" s="7"/>
      <c r="H4" s="7"/>
      <c r="I4" s="7"/>
      <c r="J4" s="6"/>
      <c r="K4" s="7"/>
      <c r="L4" s="7"/>
      <c r="M4" s="7"/>
      <c r="N4" s="7"/>
      <c r="O4" s="7"/>
      <c r="P4" s="7"/>
      <c r="Q4" s="8"/>
    </row>
    <row r="7" spans="1:63" ht="15.75" customHeight="1">
      <c r="C7" s="179" t="s">
        <v>596</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spans="1:63" ht="15.75" customHeight="1">
      <c r="C8" s="29"/>
      <c r="D8" s="180"/>
      <c r="E8" s="29"/>
      <c r="F8" s="29"/>
      <c r="G8" s="29"/>
      <c r="H8" s="29"/>
      <c r="I8" s="29"/>
      <c r="J8" s="29"/>
      <c r="K8" s="29"/>
      <c r="L8" s="29"/>
      <c r="M8" s="29"/>
      <c r="N8" s="29"/>
      <c r="O8" s="29"/>
      <c r="P8" s="29"/>
      <c r="Q8" s="29"/>
      <c r="R8" s="29"/>
      <c r="S8" s="29"/>
      <c r="T8" s="29"/>
      <c r="U8" s="29"/>
      <c r="V8" s="29"/>
      <c r="W8" s="29"/>
      <c r="X8" s="29"/>
      <c r="Y8" s="29"/>
      <c r="Z8" s="29"/>
      <c r="AA8" s="29"/>
      <c r="AB8" s="29"/>
      <c r="AC8" s="29"/>
      <c r="AD8" s="29"/>
      <c r="AE8" s="29"/>
    </row>
    <row r="9" spans="1:63" ht="15.75" customHeight="1">
      <c r="C9" s="29"/>
      <c r="D9" s="180"/>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spans="1:63" ht="15.75" customHeight="1">
      <c r="C10" s="29"/>
      <c r="D10" s="180"/>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spans="1:63" ht="15.75" customHeight="1">
      <c r="C11" s="29"/>
      <c r="D11" s="180"/>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spans="1:63" ht="15.75" customHeight="1">
      <c r="C12" s="29"/>
      <c r="D12" s="180"/>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spans="1:63" ht="15.75" customHeight="1">
      <c r="C13" s="29"/>
      <c r="D13" s="180"/>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8"/>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9">
    <pageSetUpPr fitToPage="1"/>
  </sheetPr>
  <dimension ref="A1:BK29"/>
  <sheetViews>
    <sheetView showGridLines="0" showZeros="0" view="pageBreakPreview" zoomScaleNormal="100" zoomScaleSheetLayoutView="100" workbookViewId="0">
      <pane ySplit="4" topLeftCell="A5" activePane="bottomLeft" state="frozen"/>
      <selection pane="bottomLeft" activeCell="O33" sqref="O33"/>
      <selection activeCell="D40" sqref="D40"/>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3"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3"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3" s="4" customFormat="1" ht="6.75" customHeight="1" thickBot="1">
      <c r="B4" s="5"/>
      <c r="C4" s="6"/>
      <c r="D4" s="6"/>
      <c r="E4" s="6"/>
      <c r="F4" s="7"/>
      <c r="G4" s="7"/>
      <c r="H4" s="7"/>
      <c r="I4" s="7"/>
      <c r="J4" s="6"/>
      <c r="K4" s="7"/>
      <c r="L4" s="7"/>
      <c r="M4" s="7"/>
      <c r="N4" s="7"/>
      <c r="O4" s="7"/>
      <c r="P4" s="7"/>
      <c r="Q4" s="8"/>
    </row>
    <row r="5" spans="1:63" ht="15.75" customHeight="1">
      <c r="A5" s="103" t="s">
        <v>530</v>
      </c>
      <c r="B5" s="104"/>
      <c r="C5" s="104"/>
      <c r="D5" s="104"/>
      <c r="E5" s="105"/>
      <c r="F5" s="106"/>
      <c r="G5" s="107">
        <v>1</v>
      </c>
      <c r="H5" s="108"/>
      <c r="I5" s="109"/>
      <c r="J5" s="109"/>
      <c r="K5" s="109"/>
      <c r="L5" s="109"/>
      <c r="M5" s="109"/>
      <c r="N5" s="109"/>
      <c r="O5" s="109"/>
      <c r="P5" s="109"/>
      <c r="Q5" s="109"/>
      <c r="R5" s="110"/>
      <c r="S5" s="111" t="s">
        <v>190</v>
      </c>
      <c r="T5" s="112"/>
      <c r="U5" s="112"/>
      <c r="V5" s="112"/>
      <c r="W5" s="112"/>
      <c r="X5" s="112"/>
      <c r="Y5" s="113"/>
      <c r="Z5" s="114" t="s">
        <v>516</v>
      </c>
      <c r="AA5" s="114"/>
      <c r="AB5" s="114"/>
      <c r="AC5" s="114"/>
      <c r="AD5" s="109"/>
      <c r="AE5" s="114"/>
      <c r="AF5" s="114"/>
      <c r="AG5" s="114"/>
      <c r="AH5" s="115" t="s">
        <v>597</v>
      </c>
      <c r="AI5" s="112"/>
      <c r="AJ5" s="113"/>
      <c r="AK5" s="114" t="s">
        <v>598</v>
      </c>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3" ht="15.75" customHeight="1">
      <c r="A6" s="142" t="s">
        <v>599</v>
      </c>
      <c r="B6" s="475"/>
      <c r="C6" s="475"/>
      <c r="D6" s="476"/>
      <c r="E6" s="260" t="s">
        <v>600</v>
      </c>
      <c r="F6" s="477"/>
      <c r="G6" s="477"/>
      <c r="H6" s="478"/>
      <c r="I6" s="478"/>
      <c r="J6" s="478"/>
      <c r="K6" s="478"/>
      <c r="L6" s="479"/>
      <c r="M6" s="479"/>
      <c r="N6" s="479"/>
      <c r="O6" s="479"/>
      <c r="P6" s="479"/>
      <c r="Q6" s="479"/>
      <c r="R6" s="479"/>
      <c r="S6" s="143" t="s">
        <v>601</v>
      </c>
      <c r="T6" s="475"/>
      <c r="U6" s="475"/>
      <c r="V6" s="475"/>
      <c r="W6" s="475"/>
      <c r="X6" s="475"/>
      <c r="Y6" s="261"/>
      <c r="Z6" s="477" t="s">
        <v>182</v>
      </c>
      <c r="AA6" s="477"/>
      <c r="AB6" s="477"/>
      <c r="AC6" s="477"/>
      <c r="AD6" s="477"/>
      <c r="AE6" s="477"/>
      <c r="AF6" s="477"/>
      <c r="AG6" s="477"/>
      <c r="AH6" s="477"/>
      <c r="AI6" s="477"/>
      <c r="AJ6" s="477"/>
      <c r="AK6" s="477"/>
      <c r="AL6" s="477"/>
      <c r="AM6" s="477"/>
      <c r="AN6" s="477"/>
      <c r="AO6" s="477"/>
      <c r="AP6" s="477"/>
      <c r="AQ6" s="477"/>
      <c r="AR6" s="477"/>
      <c r="AS6" s="477"/>
      <c r="AT6" s="477"/>
      <c r="AU6" s="477"/>
      <c r="AV6" s="477"/>
      <c r="AW6" s="477"/>
      <c r="AX6" s="477"/>
      <c r="AY6" s="477"/>
      <c r="AZ6" s="477"/>
      <c r="BA6" s="477"/>
      <c r="BB6" s="477"/>
      <c r="BC6" s="477"/>
      <c r="BD6" s="477"/>
      <c r="BE6" s="477"/>
      <c r="BF6" s="477"/>
      <c r="BG6" s="477"/>
      <c r="BH6" s="477"/>
      <c r="BI6" s="477"/>
      <c r="BJ6" s="477"/>
      <c r="BK6" s="262"/>
    </row>
    <row r="7" spans="1:63" ht="15.75" customHeight="1">
      <c r="A7" s="123" t="s">
        <v>530</v>
      </c>
      <c r="B7" s="124"/>
      <c r="C7" s="263" t="s">
        <v>602</v>
      </c>
      <c r="D7" s="480"/>
      <c r="E7" s="125"/>
      <c r="F7" s="125"/>
      <c r="G7" s="125"/>
      <c r="H7" s="125"/>
      <c r="I7" s="125"/>
      <c r="J7" s="125"/>
      <c r="K7" s="125"/>
      <c r="L7" s="125"/>
      <c r="M7" s="125"/>
      <c r="N7" s="125"/>
      <c r="O7" s="125"/>
      <c r="P7" s="125"/>
      <c r="Q7" s="125"/>
      <c r="R7" s="125"/>
      <c r="S7" s="125"/>
      <c r="T7" s="125"/>
      <c r="U7" s="125"/>
      <c r="V7" s="263" t="s">
        <v>603</v>
      </c>
      <c r="W7" s="480"/>
      <c r="X7" s="125"/>
      <c r="Y7" s="125"/>
      <c r="Z7" s="125"/>
      <c r="AA7" s="125"/>
      <c r="AB7" s="125"/>
      <c r="AC7" s="125"/>
      <c r="AD7" s="125"/>
      <c r="AE7" s="125"/>
      <c r="AF7" s="124"/>
      <c r="AG7" s="124"/>
      <c r="AH7" s="124"/>
      <c r="AI7" s="124"/>
      <c r="AJ7" s="124"/>
      <c r="AK7" s="124"/>
      <c r="AL7" s="124"/>
      <c r="AM7" s="124"/>
      <c r="AN7" s="124"/>
      <c r="AO7" s="124"/>
      <c r="AP7" s="124"/>
      <c r="AQ7" s="429" t="s">
        <v>528</v>
      </c>
      <c r="AR7" s="124"/>
      <c r="AS7" s="124"/>
      <c r="AT7" s="124"/>
      <c r="AU7" s="124"/>
      <c r="AV7" s="124"/>
      <c r="AW7" s="124"/>
      <c r="AX7" s="124"/>
      <c r="AY7" s="124"/>
      <c r="AZ7" s="124"/>
      <c r="BA7" s="124"/>
      <c r="BB7" s="124"/>
      <c r="BC7" s="124"/>
      <c r="BD7" s="124"/>
      <c r="BE7" s="124"/>
      <c r="BF7" s="124"/>
      <c r="BG7" s="124"/>
      <c r="BH7" s="124"/>
      <c r="BI7" s="124"/>
      <c r="BJ7" s="124"/>
      <c r="BK7" s="126"/>
    </row>
    <row r="8" spans="1:63" ht="15.75" customHeight="1" thickBot="1">
      <c r="A8" s="127"/>
      <c r="B8" s="264"/>
      <c r="C8" s="128" t="s">
        <v>604</v>
      </c>
      <c r="D8" s="101" t="s">
        <v>605</v>
      </c>
      <c r="E8" s="102"/>
      <c r="F8" s="102"/>
      <c r="G8" s="102"/>
      <c r="H8" s="102"/>
      <c r="I8" s="102"/>
      <c r="J8" s="129"/>
      <c r="K8" s="101" t="s">
        <v>527</v>
      </c>
      <c r="L8" s="102"/>
      <c r="M8" s="102"/>
      <c r="N8" s="102"/>
      <c r="O8" s="102"/>
      <c r="P8" s="102"/>
      <c r="Q8" s="102"/>
      <c r="R8" s="102"/>
      <c r="S8" s="102"/>
      <c r="T8" s="102"/>
      <c r="U8" s="129"/>
      <c r="V8" s="128" t="s">
        <v>604</v>
      </c>
      <c r="W8" s="101" t="s">
        <v>605</v>
      </c>
      <c r="X8" s="102"/>
      <c r="Y8" s="102"/>
      <c r="Z8" s="102"/>
      <c r="AA8" s="102"/>
      <c r="AB8" s="102"/>
      <c r="AC8" s="102"/>
      <c r="AD8" s="102"/>
      <c r="AE8" s="129"/>
      <c r="AF8" s="101" t="s">
        <v>527</v>
      </c>
      <c r="AG8" s="102"/>
      <c r="AH8" s="102"/>
      <c r="AI8" s="102"/>
      <c r="AJ8" s="102"/>
      <c r="AK8" s="102"/>
      <c r="AL8" s="102"/>
      <c r="AM8" s="102"/>
      <c r="AN8" s="102"/>
      <c r="AO8" s="102"/>
      <c r="AP8" s="129"/>
      <c r="AQ8" s="130"/>
      <c r="AR8" s="264"/>
      <c r="AS8" s="264"/>
      <c r="AT8" s="264"/>
      <c r="AU8" s="264"/>
      <c r="AV8" s="264"/>
      <c r="AW8" s="264"/>
      <c r="AX8" s="264"/>
      <c r="AY8" s="264"/>
      <c r="AZ8" s="264"/>
      <c r="BA8" s="264"/>
      <c r="BB8" s="264"/>
      <c r="BC8" s="264"/>
      <c r="BD8" s="264"/>
      <c r="BE8" s="264"/>
      <c r="BF8" s="264"/>
      <c r="BG8" s="264"/>
      <c r="BH8" s="264"/>
      <c r="BI8" s="264"/>
      <c r="BJ8" s="264"/>
      <c r="BK8" s="131"/>
    </row>
    <row r="9" spans="1:63" ht="15.75" customHeight="1" thickTop="1">
      <c r="A9" s="955">
        <v>1</v>
      </c>
      <c r="B9" s="956"/>
      <c r="C9" s="137" t="s">
        <v>606</v>
      </c>
      <c r="D9" s="138" t="s">
        <v>475</v>
      </c>
      <c r="E9" s="139"/>
      <c r="F9" s="139"/>
      <c r="G9" s="139"/>
      <c r="H9" s="139"/>
      <c r="I9" s="139"/>
      <c r="J9" s="140"/>
      <c r="K9" s="138" t="s">
        <v>273</v>
      </c>
      <c r="L9" s="139"/>
      <c r="M9" s="139"/>
      <c r="N9" s="139"/>
      <c r="O9" s="139"/>
      <c r="P9" s="139"/>
      <c r="Q9" s="139"/>
      <c r="R9" s="139"/>
      <c r="S9" s="139"/>
      <c r="T9" s="139"/>
      <c r="U9" s="140"/>
      <c r="V9" s="141"/>
      <c r="W9" s="138"/>
      <c r="X9" s="139"/>
      <c r="Y9" s="139"/>
      <c r="Z9" s="139"/>
      <c r="AA9" s="139"/>
      <c r="AB9" s="139"/>
      <c r="AC9" s="139"/>
      <c r="AD9" s="139"/>
      <c r="AE9" s="140"/>
      <c r="AF9" s="138" t="s">
        <v>607</v>
      </c>
      <c r="AG9" s="139"/>
      <c r="AH9" s="139"/>
      <c r="AI9" s="139"/>
      <c r="AJ9" s="139"/>
      <c r="AK9" s="139"/>
      <c r="AL9" s="139"/>
      <c r="AM9" s="139"/>
      <c r="AN9" s="139"/>
      <c r="AO9" s="139"/>
      <c r="AP9" s="140"/>
      <c r="AQ9" s="138"/>
      <c r="AR9" s="139"/>
      <c r="AS9" s="139"/>
      <c r="AT9" s="139"/>
      <c r="AU9" s="139"/>
      <c r="AV9" s="139"/>
      <c r="AW9" s="139"/>
      <c r="AX9" s="139"/>
      <c r="AY9" s="139"/>
      <c r="AZ9" s="139"/>
      <c r="BA9" s="139"/>
      <c r="BB9" s="139"/>
      <c r="BC9" s="139"/>
      <c r="BD9" s="139"/>
      <c r="BE9" s="139"/>
      <c r="BF9" s="139"/>
      <c r="BG9" s="139"/>
      <c r="BH9" s="139"/>
      <c r="BI9" s="139"/>
      <c r="BJ9" s="139"/>
      <c r="BK9" s="276"/>
    </row>
    <row r="10" spans="1:63" ht="15.75" customHeight="1">
      <c r="A10" s="951">
        <v>2</v>
      </c>
      <c r="B10" s="952"/>
      <c r="C10" s="430" t="s">
        <v>608</v>
      </c>
      <c r="D10" s="426" t="s">
        <v>475</v>
      </c>
      <c r="E10" s="424"/>
      <c r="F10" s="424"/>
      <c r="G10" s="424"/>
      <c r="H10" s="424"/>
      <c r="I10" s="424"/>
      <c r="J10" s="425"/>
      <c r="K10" s="426" t="s">
        <v>609</v>
      </c>
      <c r="L10" s="424"/>
      <c r="M10" s="424"/>
      <c r="N10" s="424"/>
      <c r="O10" s="424"/>
      <c r="P10" s="424"/>
      <c r="Q10" s="424"/>
      <c r="R10" s="424"/>
      <c r="S10" s="424"/>
      <c r="T10" s="424"/>
      <c r="U10" s="425"/>
      <c r="V10" s="431" t="s">
        <v>403</v>
      </c>
      <c r="W10" s="426" t="s">
        <v>520</v>
      </c>
      <c r="X10" s="424"/>
      <c r="Y10" s="424"/>
      <c r="Z10" s="424"/>
      <c r="AA10" s="424"/>
      <c r="AB10" s="424"/>
      <c r="AC10" s="424"/>
      <c r="AD10" s="424"/>
      <c r="AE10" s="425"/>
      <c r="AF10" s="426" t="s">
        <v>609</v>
      </c>
      <c r="AG10" s="424"/>
      <c r="AH10" s="424"/>
      <c r="AI10" s="424"/>
      <c r="AJ10" s="424"/>
      <c r="AK10" s="424"/>
      <c r="AL10" s="424"/>
      <c r="AM10" s="424"/>
      <c r="AN10" s="424"/>
      <c r="AO10" s="424"/>
      <c r="AP10" s="425"/>
      <c r="AQ10" s="432"/>
      <c r="AR10" s="433"/>
      <c r="AS10" s="433"/>
      <c r="AT10" s="433"/>
      <c r="AU10" s="433"/>
      <c r="AV10" s="433"/>
      <c r="AW10" s="433"/>
      <c r="AX10" s="433"/>
      <c r="AY10" s="433"/>
      <c r="AZ10" s="433"/>
      <c r="BA10" s="433"/>
      <c r="BB10" s="433"/>
      <c r="BC10" s="433"/>
      <c r="BD10" s="433"/>
      <c r="BE10" s="433"/>
      <c r="BF10" s="433"/>
      <c r="BG10" s="433"/>
      <c r="BH10" s="433"/>
      <c r="BI10" s="433"/>
      <c r="BJ10" s="433"/>
      <c r="BK10" s="434"/>
    </row>
    <row r="11" spans="1:63" ht="15.75" customHeight="1">
      <c r="A11" s="951">
        <v>3</v>
      </c>
      <c r="B11" s="952"/>
      <c r="C11" s="265" t="s">
        <v>608</v>
      </c>
      <c r="D11" s="267" t="s">
        <v>475</v>
      </c>
      <c r="E11" s="466"/>
      <c r="F11" s="466"/>
      <c r="G11" s="466"/>
      <c r="H11" s="466"/>
      <c r="I11" s="466"/>
      <c r="J11" s="266"/>
      <c r="K11" s="267" t="s">
        <v>610</v>
      </c>
      <c r="L11" s="466"/>
      <c r="M11" s="466"/>
      <c r="N11" s="466"/>
      <c r="O11" s="466"/>
      <c r="P11" s="466"/>
      <c r="Q11" s="466"/>
      <c r="R11" s="466"/>
      <c r="S11" s="466"/>
      <c r="T11" s="466"/>
      <c r="U11" s="266"/>
      <c r="V11" s="268" t="s">
        <v>403</v>
      </c>
      <c r="W11" s="267" t="s">
        <v>477</v>
      </c>
      <c r="X11" s="466"/>
      <c r="Y11" s="466"/>
      <c r="Z11" s="466"/>
      <c r="AA11" s="466"/>
      <c r="AB11" s="466"/>
      <c r="AC11" s="466"/>
      <c r="AD11" s="466"/>
      <c r="AE11" s="266"/>
      <c r="AF11" s="267" t="s">
        <v>610</v>
      </c>
      <c r="AG11" s="466"/>
      <c r="AH11" s="466"/>
      <c r="AI11" s="466"/>
      <c r="AJ11" s="466"/>
      <c r="AK11" s="466"/>
      <c r="AL11" s="466"/>
      <c r="AM11" s="466"/>
      <c r="AN11" s="466"/>
      <c r="AO11" s="466"/>
      <c r="AP11" s="266"/>
      <c r="AQ11" s="269"/>
      <c r="AR11" s="481"/>
      <c r="AS11" s="481"/>
      <c r="AT11" s="481"/>
      <c r="AU11" s="481"/>
      <c r="AV11" s="481"/>
      <c r="AW11" s="481"/>
      <c r="AX11" s="481"/>
      <c r="AY11" s="481"/>
      <c r="AZ11" s="481"/>
      <c r="BA11" s="481"/>
      <c r="BB11" s="481"/>
      <c r="BC11" s="481"/>
      <c r="BD11" s="481"/>
      <c r="BE11" s="481"/>
      <c r="BF11" s="481"/>
      <c r="BG11" s="481"/>
      <c r="BH11" s="481"/>
      <c r="BI11" s="481"/>
      <c r="BJ11" s="481"/>
      <c r="BK11" s="270"/>
    </row>
    <row r="12" spans="1:63" ht="15.75" customHeight="1">
      <c r="A12" s="951">
        <v>4</v>
      </c>
      <c r="B12" s="952"/>
      <c r="C12" s="265" t="s">
        <v>608</v>
      </c>
      <c r="D12" s="267" t="s">
        <v>475</v>
      </c>
      <c r="E12" s="466"/>
      <c r="F12" s="466"/>
      <c r="G12" s="466"/>
      <c r="H12" s="466"/>
      <c r="I12" s="466"/>
      <c r="J12" s="266"/>
      <c r="K12" s="267" t="s">
        <v>396</v>
      </c>
      <c r="L12" s="466"/>
      <c r="M12" s="466"/>
      <c r="N12" s="466"/>
      <c r="O12" s="466"/>
      <c r="P12" s="466"/>
      <c r="Q12" s="466"/>
      <c r="R12" s="466"/>
      <c r="S12" s="466"/>
      <c r="T12" s="466"/>
      <c r="U12" s="266"/>
      <c r="V12" s="268" t="s">
        <v>403</v>
      </c>
      <c r="W12" s="267" t="s">
        <v>520</v>
      </c>
      <c r="X12" s="466"/>
      <c r="Y12" s="466"/>
      <c r="Z12" s="466"/>
      <c r="AA12" s="466"/>
      <c r="AB12" s="466"/>
      <c r="AC12" s="466"/>
      <c r="AD12" s="466"/>
      <c r="AE12" s="266"/>
      <c r="AF12" s="267" t="s">
        <v>396</v>
      </c>
      <c r="AG12" s="466"/>
      <c r="AH12" s="466"/>
      <c r="AI12" s="466"/>
      <c r="AJ12" s="466"/>
      <c r="AK12" s="466"/>
      <c r="AL12" s="466"/>
      <c r="AM12" s="466"/>
      <c r="AN12" s="466"/>
      <c r="AO12" s="466"/>
      <c r="AP12" s="266"/>
      <c r="AQ12" s="269"/>
      <c r="AR12" s="481"/>
      <c r="AS12" s="481"/>
      <c r="AT12" s="481"/>
      <c r="AU12" s="481"/>
      <c r="AV12" s="481"/>
      <c r="AW12" s="481"/>
      <c r="AX12" s="481"/>
      <c r="AY12" s="481"/>
      <c r="AZ12" s="481"/>
      <c r="BA12" s="481"/>
      <c r="BB12" s="481"/>
      <c r="BC12" s="481"/>
      <c r="BD12" s="481"/>
      <c r="BE12" s="481"/>
      <c r="BF12" s="481"/>
      <c r="BG12" s="481"/>
      <c r="BH12" s="481"/>
      <c r="BI12" s="481"/>
      <c r="BJ12" s="481"/>
      <c r="BK12" s="270"/>
    </row>
    <row r="13" spans="1:63" ht="15.75" customHeight="1">
      <c r="A13" s="951">
        <v>5</v>
      </c>
      <c r="B13" s="952"/>
      <c r="C13" s="265" t="s">
        <v>608</v>
      </c>
      <c r="D13" s="267" t="s">
        <v>475</v>
      </c>
      <c r="E13" s="466"/>
      <c r="F13" s="466"/>
      <c r="G13" s="466"/>
      <c r="H13" s="466"/>
      <c r="I13" s="466"/>
      <c r="J13" s="266"/>
      <c r="K13" s="267" t="s">
        <v>611</v>
      </c>
      <c r="L13" s="466"/>
      <c r="M13" s="466"/>
      <c r="N13" s="466"/>
      <c r="O13" s="466"/>
      <c r="P13" s="466"/>
      <c r="Q13" s="466"/>
      <c r="R13" s="466"/>
      <c r="S13" s="466"/>
      <c r="T13" s="466"/>
      <c r="U13" s="266"/>
      <c r="V13" s="268" t="s">
        <v>403</v>
      </c>
      <c r="W13" s="267" t="s">
        <v>196</v>
      </c>
      <c r="X13" s="466"/>
      <c r="Y13" s="466"/>
      <c r="Z13" s="466"/>
      <c r="AA13" s="466"/>
      <c r="AB13" s="466"/>
      <c r="AC13" s="466"/>
      <c r="AD13" s="466"/>
      <c r="AE13" s="266"/>
      <c r="AF13" s="267" t="s">
        <v>611</v>
      </c>
      <c r="AG13" s="466"/>
      <c r="AH13" s="466"/>
      <c r="AI13" s="466"/>
      <c r="AJ13" s="466"/>
      <c r="AK13" s="466"/>
      <c r="AL13" s="466"/>
      <c r="AM13" s="466"/>
      <c r="AN13" s="466"/>
      <c r="AO13" s="466"/>
      <c r="AP13" s="266"/>
      <c r="AQ13" s="269"/>
      <c r="AR13" s="481"/>
      <c r="AS13" s="481"/>
      <c r="AT13" s="481"/>
      <c r="AU13" s="481"/>
      <c r="AV13" s="481"/>
      <c r="AW13" s="481"/>
      <c r="AX13" s="481"/>
      <c r="AY13" s="481"/>
      <c r="AZ13" s="481"/>
      <c r="BA13" s="481"/>
      <c r="BB13" s="481"/>
      <c r="BC13" s="481"/>
      <c r="BD13" s="481"/>
      <c r="BE13" s="481"/>
      <c r="BF13" s="481"/>
      <c r="BG13" s="481"/>
      <c r="BH13" s="481"/>
      <c r="BI13" s="481"/>
      <c r="BJ13" s="481"/>
      <c r="BK13" s="270"/>
    </row>
    <row r="14" spans="1:63" ht="15.75" customHeight="1">
      <c r="A14" s="951">
        <v>6</v>
      </c>
      <c r="B14" s="952"/>
      <c r="C14" s="265" t="s">
        <v>608</v>
      </c>
      <c r="D14" s="267" t="s">
        <v>475</v>
      </c>
      <c r="E14" s="466"/>
      <c r="F14" s="466"/>
      <c r="G14" s="466"/>
      <c r="H14" s="466"/>
      <c r="I14" s="466"/>
      <c r="J14" s="266"/>
      <c r="K14" s="267" t="s">
        <v>484</v>
      </c>
      <c r="L14" s="466"/>
      <c r="M14" s="466"/>
      <c r="N14" s="466"/>
      <c r="O14" s="466"/>
      <c r="P14" s="466"/>
      <c r="Q14" s="466"/>
      <c r="R14" s="466"/>
      <c r="S14" s="466"/>
      <c r="T14" s="466"/>
      <c r="U14" s="266"/>
      <c r="V14" s="268" t="s">
        <v>403</v>
      </c>
      <c r="W14" s="267" t="s">
        <v>520</v>
      </c>
      <c r="X14" s="466"/>
      <c r="Y14" s="466"/>
      <c r="Z14" s="466"/>
      <c r="AA14" s="466"/>
      <c r="AB14" s="466"/>
      <c r="AC14" s="466"/>
      <c r="AD14" s="466"/>
      <c r="AE14" s="266"/>
      <c r="AF14" s="267" t="s">
        <v>484</v>
      </c>
      <c r="AG14" s="466"/>
      <c r="AH14" s="466"/>
      <c r="AI14" s="466"/>
      <c r="AJ14" s="466"/>
      <c r="AK14" s="466"/>
      <c r="AL14" s="466"/>
      <c r="AM14" s="466"/>
      <c r="AN14" s="466"/>
      <c r="AO14" s="466"/>
      <c r="AP14" s="266"/>
      <c r="AQ14" s="269"/>
      <c r="AR14" s="481"/>
      <c r="AS14" s="481"/>
      <c r="AT14" s="481"/>
      <c r="AU14" s="481"/>
      <c r="AV14" s="481"/>
      <c r="AW14" s="481"/>
      <c r="AX14" s="481"/>
      <c r="AY14" s="481"/>
      <c r="AZ14" s="481"/>
      <c r="BA14" s="481"/>
      <c r="BB14" s="481"/>
      <c r="BC14" s="481"/>
      <c r="BD14" s="481"/>
      <c r="BE14" s="481"/>
      <c r="BF14" s="481"/>
      <c r="BG14" s="481"/>
      <c r="BH14" s="481"/>
      <c r="BI14" s="481"/>
      <c r="BJ14" s="481"/>
      <c r="BK14" s="270"/>
    </row>
    <row r="15" spans="1:63" ht="15.75" customHeight="1">
      <c r="A15" s="951">
        <v>7</v>
      </c>
      <c r="B15" s="952"/>
      <c r="C15" s="265" t="s">
        <v>608</v>
      </c>
      <c r="D15" s="267" t="s">
        <v>475</v>
      </c>
      <c r="E15" s="466"/>
      <c r="F15" s="466"/>
      <c r="G15" s="466"/>
      <c r="H15" s="466"/>
      <c r="I15" s="466"/>
      <c r="J15" s="266"/>
      <c r="K15" s="267" t="s">
        <v>278</v>
      </c>
      <c r="L15" s="466"/>
      <c r="M15" s="466"/>
      <c r="N15" s="466"/>
      <c r="O15" s="466"/>
      <c r="P15" s="466"/>
      <c r="Q15" s="466"/>
      <c r="R15" s="466"/>
      <c r="S15" s="466"/>
      <c r="T15" s="466"/>
      <c r="U15" s="266"/>
      <c r="V15" s="268" t="s">
        <v>403</v>
      </c>
      <c r="W15" s="267" t="s">
        <v>520</v>
      </c>
      <c r="X15" s="466"/>
      <c r="Y15" s="466"/>
      <c r="Z15" s="466"/>
      <c r="AA15" s="466"/>
      <c r="AB15" s="466"/>
      <c r="AC15" s="466"/>
      <c r="AD15" s="466"/>
      <c r="AE15" s="266"/>
      <c r="AF15" s="267" t="s">
        <v>278</v>
      </c>
      <c r="AG15" s="466"/>
      <c r="AH15" s="466"/>
      <c r="AI15" s="466"/>
      <c r="AJ15" s="466"/>
      <c r="AK15" s="466"/>
      <c r="AL15" s="466"/>
      <c r="AM15" s="466"/>
      <c r="AN15" s="466"/>
      <c r="AO15" s="466"/>
      <c r="AP15" s="266"/>
      <c r="AQ15" s="269"/>
      <c r="AR15" s="481"/>
      <c r="AS15" s="481"/>
      <c r="AT15" s="481"/>
      <c r="AU15" s="481"/>
      <c r="AV15" s="481"/>
      <c r="AW15" s="481"/>
      <c r="AX15" s="481"/>
      <c r="AY15" s="481"/>
      <c r="AZ15" s="481"/>
      <c r="BA15" s="481"/>
      <c r="BB15" s="481"/>
      <c r="BC15" s="481"/>
      <c r="BD15" s="481"/>
      <c r="BE15" s="481"/>
      <c r="BF15" s="481"/>
      <c r="BG15" s="481"/>
      <c r="BH15" s="481"/>
      <c r="BI15" s="481"/>
      <c r="BJ15" s="481"/>
      <c r="BK15" s="270"/>
    </row>
    <row r="16" spans="1:63" ht="15.75" customHeight="1">
      <c r="A16" s="951">
        <v>8</v>
      </c>
      <c r="B16" s="952"/>
      <c r="C16" s="265" t="s">
        <v>608</v>
      </c>
      <c r="D16" s="267" t="s">
        <v>475</v>
      </c>
      <c r="E16" s="466"/>
      <c r="F16" s="466"/>
      <c r="G16" s="466"/>
      <c r="H16" s="466"/>
      <c r="I16" s="466"/>
      <c r="J16" s="266"/>
      <c r="K16" s="267" t="s">
        <v>191</v>
      </c>
      <c r="L16" s="466"/>
      <c r="M16" s="466"/>
      <c r="N16" s="466"/>
      <c r="O16" s="466"/>
      <c r="P16" s="466"/>
      <c r="Q16" s="466"/>
      <c r="R16" s="466"/>
      <c r="S16" s="466"/>
      <c r="T16" s="466"/>
      <c r="U16" s="266"/>
      <c r="V16" s="268" t="s">
        <v>403</v>
      </c>
      <c r="W16" s="267" t="s">
        <v>520</v>
      </c>
      <c r="X16" s="466"/>
      <c r="Y16" s="466"/>
      <c r="Z16" s="466"/>
      <c r="AA16" s="466"/>
      <c r="AB16" s="466"/>
      <c r="AC16" s="466"/>
      <c r="AD16" s="466"/>
      <c r="AE16" s="266"/>
      <c r="AF16" s="267" t="s">
        <v>191</v>
      </c>
      <c r="AG16" s="466"/>
      <c r="AH16" s="466"/>
      <c r="AI16" s="466"/>
      <c r="AJ16" s="466"/>
      <c r="AK16" s="466"/>
      <c r="AL16" s="466"/>
      <c r="AM16" s="466"/>
      <c r="AN16" s="466"/>
      <c r="AO16" s="466"/>
      <c r="AP16" s="266"/>
      <c r="AQ16" s="269"/>
      <c r="AR16" s="481"/>
      <c r="AS16" s="481"/>
      <c r="AT16" s="481"/>
      <c r="AU16" s="481"/>
      <c r="AV16" s="481"/>
      <c r="AW16" s="481"/>
      <c r="AX16" s="481"/>
      <c r="AY16" s="481"/>
      <c r="AZ16" s="481"/>
      <c r="BA16" s="481"/>
      <c r="BB16" s="481"/>
      <c r="BC16" s="481"/>
      <c r="BD16" s="481"/>
      <c r="BE16" s="481"/>
      <c r="BF16" s="481"/>
      <c r="BG16" s="481"/>
      <c r="BH16" s="481"/>
      <c r="BI16" s="481"/>
      <c r="BJ16" s="481"/>
      <c r="BK16" s="270"/>
    </row>
    <row r="17" spans="1:63" ht="15.75" customHeight="1">
      <c r="A17" s="951">
        <v>9</v>
      </c>
      <c r="B17" s="952"/>
      <c r="C17" s="265" t="s">
        <v>608</v>
      </c>
      <c r="D17" s="267" t="s">
        <v>475</v>
      </c>
      <c r="E17" s="466"/>
      <c r="F17" s="466"/>
      <c r="G17" s="466"/>
      <c r="H17" s="466"/>
      <c r="I17" s="466"/>
      <c r="J17" s="266"/>
      <c r="K17" s="267" t="s">
        <v>488</v>
      </c>
      <c r="L17" s="466"/>
      <c r="M17" s="466"/>
      <c r="N17" s="466"/>
      <c r="O17" s="466"/>
      <c r="P17" s="466"/>
      <c r="Q17" s="466"/>
      <c r="R17" s="466"/>
      <c r="S17" s="466"/>
      <c r="T17" s="466"/>
      <c r="U17" s="266"/>
      <c r="V17" s="268" t="s">
        <v>403</v>
      </c>
      <c r="W17" s="267" t="s">
        <v>520</v>
      </c>
      <c r="X17" s="466"/>
      <c r="Y17" s="466"/>
      <c r="Z17" s="466"/>
      <c r="AA17" s="466"/>
      <c r="AB17" s="466"/>
      <c r="AC17" s="466"/>
      <c r="AD17" s="466"/>
      <c r="AE17" s="266"/>
      <c r="AF17" s="267" t="s">
        <v>488</v>
      </c>
      <c r="AG17" s="466"/>
      <c r="AH17" s="466"/>
      <c r="AI17" s="466"/>
      <c r="AJ17" s="466"/>
      <c r="AK17" s="466"/>
      <c r="AL17" s="466"/>
      <c r="AM17" s="466"/>
      <c r="AN17" s="466"/>
      <c r="AO17" s="466"/>
      <c r="AP17" s="266"/>
      <c r="AQ17" s="269"/>
      <c r="AR17" s="481"/>
      <c r="AS17" s="481"/>
      <c r="AT17" s="481"/>
      <c r="AU17" s="481"/>
      <c r="AV17" s="481"/>
      <c r="AW17" s="481"/>
      <c r="AX17" s="481"/>
      <c r="AY17" s="481"/>
      <c r="AZ17" s="481"/>
      <c r="BA17" s="481"/>
      <c r="BB17" s="481"/>
      <c r="BC17" s="481"/>
      <c r="BD17" s="481"/>
      <c r="BE17" s="481"/>
      <c r="BF17" s="481"/>
      <c r="BG17" s="481"/>
      <c r="BH17" s="481"/>
      <c r="BI17" s="481"/>
      <c r="BJ17" s="481"/>
      <c r="BK17" s="270"/>
    </row>
    <row r="18" spans="1:63" ht="15.75" customHeight="1">
      <c r="A18" s="951">
        <v>10</v>
      </c>
      <c r="B18" s="952"/>
      <c r="C18" s="265" t="s">
        <v>608</v>
      </c>
      <c r="D18" s="267" t="s">
        <v>475</v>
      </c>
      <c r="E18" s="466"/>
      <c r="F18" s="466"/>
      <c r="G18" s="466"/>
      <c r="H18" s="466"/>
      <c r="I18" s="466"/>
      <c r="J18" s="266"/>
      <c r="K18" s="267" t="s">
        <v>612</v>
      </c>
      <c r="L18" s="466"/>
      <c r="M18" s="466"/>
      <c r="N18" s="466"/>
      <c r="O18" s="466"/>
      <c r="P18" s="466"/>
      <c r="Q18" s="466"/>
      <c r="R18" s="466"/>
      <c r="S18" s="466"/>
      <c r="T18" s="466"/>
      <c r="U18" s="266"/>
      <c r="V18" s="268" t="s">
        <v>403</v>
      </c>
      <c r="W18" s="267" t="s">
        <v>520</v>
      </c>
      <c r="X18" s="466"/>
      <c r="Y18" s="466"/>
      <c r="Z18" s="466"/>
      <c r="AA18" s="466"/>
      <c r="AB18" s="466"/>
      <c r="AC18" s="466"/>
      <c r="AD18" s="466"/>
      <c r="AE18" s="266"/>
      <c r="AF18" s="267" t="s">
        <v>612</v>
      </c>
      <c r="AG18" s="466"/>
      <c r="AH18" s="466"/>
      <c r="AI18" s="466"/>
      <c r="AJ18" s="466"/>
      <c r="AK18" s="466"/>
      <c r="AL18" s="466"/>
      <c r="AM18" s="466"/>
      <c r="AN18" s="466"/>
      <c r="AO18" s="466"/>
      <c r="AP18" s="266"/>
      <c r="AQ18" s="269"/>
      <c r="AR18" s="481"/>
      <c r="AS18" s="481"/>
      <c r="AT18" s="481"/>
      <c r="AU18" s="481"/>
      <c r="AV18" s="481"/>
      <c r="AW18" s="481"/>
      <c r="AX18" s="481"/>
      <c r="AY18" s="481"/>
      <c r="AZ18" s="481"/>
      <c r="BA18" s="481"/>
      <c r="BB18" s="481"/>
      <c r="BC18" s="481"/>
      <c r="BD18" s="481"/>
      <c r="BE18" s="481"/>
      <c r="BF18" s="481"/>
      <c r="BG18" s="481"/>
      <c r="BH18" s="481"/>
      <c r="BI18" s="481"/>
      <c r="BJ18" s="481"/>
      <c r="BK18" s="270"/>
    </row>
    <row r="19" spans="1:63" ht="15.75" customHeight="1">
      <c r="A19" s="951">
        <v>11</v>
      </c>
      <c r="B19" s="952"/>
      <c r="C19" s="265" t="s">
        <v>608</v>
      </c>
      <c r="D19" s="267" t="s">
        <v>475</v>
      </c>
      <c r="E19" s="466"/>
      <c r="F19" s="466"/>
      <c r="G19" s="466"/>
      <c r="H19" s="466"/>
      <c r="I19" s="466"/>
      <c r="J19" s="266"/>
      <c r="K19" s="267" t="s">
        <v>613</v>
      </c>
      <c r="L19" s="466"/>
      <c r="M19" s="466"/>
      <c r="N19" s="466"/>
      <c r="O19" s="466"/>
      <c r="P19" s="466"/>
      <c r="Q19" s="466"/>
      <c r="R19" s="466"/>
      <c r="S19" s="466"/>
      <c r="T19" s="466"/>
      <c r="U19" s="266"/>
      <c r="V19" s="268" t="s">
        <v>403</v>
      </c>
      <c r="W19" s="267" t="s">
        <v>520</v>
      </c>
      <c r="X19" s="466"/>
      <c r="Y19" s="466"/>
      <c r="Z19" s="466"/>
      <c r="AA19" s="466"/>
      <c r="AB19" s="466"/>
      <c r="AC19" s="466"/>
      <c r="AD19" s="466"/>
      <c r="AE19" s="266"/>
      <c r="AF19" s="267" t="s">
        <v>613</v>
      </c>
      <c r="AG19" s="466"/>
      <c r="AH19" s="466"/>
      <c r="AI19" s="466"/>
      <c r="AJ19" s="466"/>
      <c r="AK19" s="466"/>
      <c r="AL19" s="466"/>
      <c r="AM19" s="466"/>
      <c r="AN19" s="466"/>
      <c r="AO19" s="466"/>
      <c r="AP19" s="266"/>
      <c r="AQ19" s="269"/>
      <c r="AR19" s="481"/>
      <c r="AS19" s="481"/>
      <c r="AT19" s="481"/>
      <c r="AU19" s="481"/>
      <c r="AV19" s="481"/>
      <c r="AW19" s="481"/>
      <c r="AX19" s="481"/>
      <c r="AY19" s="481"/>
      <c r="AZ19" s="481"/>
      <c r="BA19" s="481"/>
      <c r="BB19" s="481"/>
      <c r="BC19" s="481"/>
      <c r="BD19" s="481"/>
      <c r="BE19" s="481"/>
      <c r="BF19" s="481"/>
      <c r="BG19" s="481"/>
      <c r="BH19" s="481"/>
      <c r="BI19" s="481"/>
      <c r="BJ19" s="481"/>
      <c r="BK19" s="270"/>
    </row>
    <row r="20" spans="1:63" ht="15.75" customHeight="1">
      <c r="A20" s="951">
        <v>12</v>
      </c>
      <c r="B20" s="952"/>
      <c r="C20" s="265" t="s">
        <v>608</v>
      </c>
      <c r="D20" s="267" t="s">
        <v>475</v>
      </c>
      <c r="E20" s="466"/>
      <c r="F20" s="466"/>
      <c r="G20" s="466"/>
      <c r="H20" s="466"/>
      <c r="I20" s="466"/>
      <c r="J20" s="266"/>
      <c r="K20" s="267" t="s">
        <v>492</v>
      </c>
      <c r="L20" s="466"/>
      <c r="M20" s="466"/>
      <c r="N20" s="466"/>
      <c r="O20" s="466"/>
      <c r="P20" s="466"/>
      <c r="Q20" s="466"/>
      <c r="R20" s="466"/>
      <c r="S20" s="466"/>
      <c r="T20" s="466"/>
      <c r="U20" s="266"/>
      <c r="V20" s="268" t="s">
        <v>403</v>
      </c>
      <c r="W20" s="267" t="s">
        <v>520</v>
      </c>
      <c r="X20" s="466"/>
      <c r="Y20" s="466"/>
      <c r="Z20" s="466"/>
      <c r="AA20" s="466"/>
      <c r="AB20" s="466"/>
      <c r="AC20" s="466"/>
      <c r="AD20" s="466"/>
      <c r="AE20" s="266"/>
      <c r="AF20" s="267" t="s">
        <v>492</v>
      </c>
      <c r="AG20" s="466"/>
      <c r="AH20" s="466"/>
      <c r="AI20" s="466"/>
      <c r="AJ20" s="466"/>
      <c r="AK20" s="466"/>
      <c r="AL20" s="466"/>
      <c r="AM20" s="466"/>
      <c r="AN20" s="466"/>
      <c r="AO20" s="466"/>
      <c r="AP20" s="266"/>
      <c r="AQ20" s="269"/>
      <c r="AR20" s="481"/>
      <c r="AS20" s="481"/>
      <c r="AT20" s="481"/>
      <c r="AU20" s="481"/>
      <c r="AV20" s="481"/>
      <c r="AW20" s="481"/>
      <c r="AX20" s="481"/>
      <c r="AY20" s="481"/>
      <c r="AZ20" s="481"/>
      <c r="BA20" s="481"/>
      <c r="BB20" s="481"/>
      <c r="BC20" s="481"/>
      <c r="BD20" s="481"/>
      <c r="BE20" s="481"/>
      <c r="BF20" s="481"/>
      <c r="BG20" s="481"/>
      <c r="BH20" s="481"/>
      <c r="BI20" s="481"/>
      <c r="BJ20" s="481"/>
      <c r="BK20" s="270"/>
    </row>
    <row r="21" spans="1:63" ht="15.75" customHeight="1">
      <c r="A21" s="951">
        <v>13</v>
      </c>
      <c r="B21" s="952"/>
      <c r="C21" s="265" t="s">
        <v>608</v>
      </c>
      <c r="D21" s="267" t="s">
        <v>475</v>
      </c>
      <c r="E21" s="466"/>
      <c r="F21" s="466"/>
      <c r="G21" s="466"/>
      <c r="H21" s="466"/>
      <c r="I21" s="466"/>
      <c r="J21" s="266"/>
      <c r="K21" s="267" t="s">
        <v>263</v>
      </c>
      <c r="L21" s="466"/>
      <c r="M21" s="466"/>
      <c r="N21" s="466"/>
      <c r="O21" s="466"/>
      <c r="P21" s="466"/>
      <c r="Q21" s="466"/>
      <c r="R21" s="466"/>
      <c r="S21" s="466"/>
      <c r="T21" s="466"/>
      <c r="U21" s="266"/>
      <c r="V21" s="268" t="s">
        <v>403</v>
      </c>
      <c r="W21" s="267" t="s">
        <v>520</v>
      </c>
      <c r="X21" s="466"/>
      <c r="Y21" s="466"/>
      <c r="Z21" s="466"/>
      <c r="AA21" s="466"/>
      <c r="AB21" s="466"/>
      <c r="AC21" s="466"/>
      <c r="AD21" s="466"/>
      <c r="AE21" s="266"/>
      <c r="AF21" s="267" t="s">
        <v>263</v>
      </c>
      <c r="AG21" s="466"/>
      <c r="AH21" s="466"/>
      <c r="AI21" s="466"/>
      <c r="AJ21" s="466"/>
      <c r="AK21" s="466"/>
      <c r="AL21" s="466"/>
      <c r="AM21" s="466"/>
      <c r="AN21" s="466"/>
      <c r="AO21" s="466"/>
      <c r="AP21" s="266"/>
      <c r="AQ21" s="269"/>
      <c r="AR21" s="481"/>
      <c r="AS21" s="481"/>
      <c r="AT21" s="481"/>
      <c r="AU21" s="481"/>
      <c r="AV21" s="481"/>
      <c r="AW21" s="481"/>
      <c r="AX21" s="481"/>
      <c r="AY21" s="481"/>
      <c r="AZ21" s="481"/>
      <c r="BA21" s="481"/>
      <c r="BB21" s="481"/>
      <c r="BC21" s="481"/>
      <c r="BD21" s="481"/>
      <c r="BE21" s="481"/>
      <c r="BF21" s="481"/>
      <c r="BG21" s="481"/>
      <c r="BH21" s="481"/>
      <c r="BI21" s="481"/>
      <c r="BJ21" s="481"/>
      <c r="BK21" s="270"/>
    </row>
    <row r="22" spans="1:63" ht="15.75" customHeight="1">
      <c r="A22" s="951">
        <v>14</v>
      </c>
      <c r="B22" s="952"/>
      <c r="C22" s="265" t="s">
        <v>608</v>
      </c>
      <c r="D22" s="267" t="s">
        <v>475</v>
      </c>
      <c r="E22" s="466"/>
      <c r="F22" s="466"/>
      <c r="G22" s="466"/>
      <c r="H22" s="466"/>
      <c r="I22" s="466"/>
      <c r="J22" s="266"/>
      <c r="K22" s="267" t="s">
        <v>495</v>
      </c>
      <c r="L22" s="466"/>
      <c r="M22" s="466"/>
      <c r="N22" s="466"/>
      <c r="O22" s="466"/>
      <c r="P22" s="466"/>
      <c r="Q22" s="466"/>
      <c r="R22" s="466"/>
      <c r="S22" s="466"/>
      <c r="T22" s="466"/>
      <c r="U22" s="266"/>
      <c r="V22" s="268" t="s">
        <v>403</v>
      </c>
      <c r="W22" s="267" t="s">
        <v>520</v>
      </c>
      <c r="X22" s="466"/>
      <c r="Y22" s="466"/>
      <c r="Z22" s="466"/>
      <c r="AA22" s="466"/>
      <c r="AB22" s="466"/>
      <c r="AC22" s="466"/>
      <c r="AD22" s="466"/>
      <c r="AE22" s="266"/>
      <c r="AF22" s="267" t="s">
        <v>495</v>
      </c>
      <c r="AG22" s="466"/>
      <c r="AH22" s="466"/>
      <c r="AI22" s="466"/>
      <c r="AJ22" s="466"/>
      <c r="AK22" s="466"/>
      <c r="AL22" s="466"/>
      <c r="AM22" s="466"/>
      <c r="AN22" s="466"/>
      <c r="AO22" s="466"/>
      <c r="AP22" s="266"/>
      <c r="AQ22" s="269"/>
      <c r="AR22" s="481"/>
      <c r="AS22" s="481"/>
      <c r="AT22" s="481"/>
      <c r="AU22" s="481"/>
      <c r="AV22" s="481"/>
      <c r="AW22" s="481"/>
      <c r="AX22" s="481"/>
      <c r="AY22" s="481"/>
      <c r="AZ22" s="481"/>
      <c r="BA22" s="481"/>
      <c r="BB22" s="481"/>
      <c r="BC22" s="481"/>
      <c r="BD22" s="481"/>
      <c r="BE22" s="481"/>
      <c r="BF22" s="481"/>
      <c r="BG22" s="481"/>
      <c r="BH22" s="481"/>
      <c r="BI22" s="481"/>
      <c r="BJ22" s="481"/>
      <c r="BK22" s="270"/>
    </row>
    <row r="23" spans="1:63" ht="15.75" customHeight="1">
      <c r="A23" s="951">
        <v>15</v>
      </c>
      <c r="B23" s="952"/>
      <c r="C23" s="265" t="s">
        <v>608</v>
      </c>
      <c r="D23" s="267" t="s">
        <v>475</v>
      </c>
      <c r="E23" s="466"/>
      <c r="F23" s="466"/>
      <c r="G23" s="466"/>
      <c r="H23" s="466"/>
      <c r="I23" s="466"/>
      <c r="J23" s="266"/>
      <c r="K23" s="267" t="s">
        <v>497</v>
      </c>
      <c r="L23" s="466"/>
      <c r="M23" s="466"/>
      <c r="N23" s="466"/>
      <c r="O23" s="466"/>
      <c r="P23" s="466"/>
      <c r="Q23" s="466"/>
      <c r="R23" s="466"/>
      <c r="S23" s="466"/>
      <c r="T23" s="466"/>
      <c r="U23" s="266"/>
      <c r="V23" s="268" t="s">
        <v>403</v>
      </c>
      <c r="W23" s="267" t="s">
        <v>520</v>
      </c>
      <c r="X23" s="466"/>
      <c r="Y23" s="466"/>
      <c r="Z23" s="466"/>
      <c r="AA23" s="466"/>
      <c r="AB23" s="466"/>
      <c r="AC23" s="466"/>
      <c r="AD23" s="466"/>
      <c r="AE23" s="266"/>
      <c r="AF23" s="267" t="s">
        <v>497</v>
      </c>
      <c r="AG23" s="466"/>
      <c r="AH23" s="466"/>
      <c r="AI23" s="466"/>
      <c r="AJ23" s="466"/>
      <c r="AK23" s="466"/>
      <c r="AL23" s="466"/>
      <c r="AM23" s="466"/>
      <c r="AN23" s="466"/>
      <c r="AO23" s="466"/>
      <c r="AP23" s="266"/>
      <c r="AQ23" s="269"/>
      <c r="AR23" s="481"/>
      <c r="AS23" s="481"/>
      <c r="AT23" s="481"/>
      <c r="AU23" s="481"/>
      <c r="AV23" s="481"/>
      <c r="AW23" s="481"/>
      <c r="AX23" s="481"/>
      <c r="AY23" s="481"/>
      <c r="AZ23" s="481"/>
      <c r="BA23" s="481"/>
      <c r="BB23" s="481"/>
      <c r="BC23" s="481"/>
      <c r="BD23" s="481"/>
      <c r="BE23" s="481"/>
      <c r="BF23" s="481"/>
      <c r="BG23" s="481"/>
      <c r="BH23" s="481"/>
      <c r="BI23" s="481"/>
      <c r="BJ23" s="481"/>
      <c r="BK23" s="270"/>
    </row>
    <row r="24" spans="1:63" ht="15.75" customHeight="1">
      <c r="A24" s="951">
        <v>16</v>
      </c>
      <c r="B24" s="952"/>
      <c r="C24" s="265" t="s">
        <v>608</v>
      </c>
      <c r="D24" s="267" t="s">
        <v>475</v>
      </c>
      <c r="E24" s="466"/>
      <c r="F24" s="466"/>
      <c r="G24" s="466"/>
      <c r="H24" s="466"/>
      <c r="I24" s="466"/>
      <c r="J24" s="266"/>
      <c r="K24" s="267" t="s">
        <v>499</v>
      </c>
      <c r="L24" s="466"/>
      <c r="M24" s="466"/>
      <c r="N24" s="466"/>
      <c r="O24" s="466"/>
      <c r="P24" s="466"/>
      <c r="Q24" s="466"/>
      <c r="R24" s="466"/>
      <c r="S24" s="466"/>
      <c r="T24" s="466"/>
      <c r="U24" s="266"/>
      <c r="V24" s="268" t="s">
        <v>403</v>
      </c>
      <c r="W24" s="267" t="s">
        <v>520</v>
      </c>
      <c r="X24" s="466"/>
      <c r="Y24" s="466"/>
      <c r="Z24" s="466"/>
      <c r="AA24" s="466"/>
      <c r="AB24" s="466"/>
      <c r="AC24" s="466"/>
      <c r="AD24" s="466"/>
      <c r="AE24" s="266"/>
      <c r="AF24" s="267" t="s">
        <v>499</v>
      </c>
      <c r="AG24" s="466"/>
      <c r="AH24" s="466"/>
      <c r="AI24" s="466"/>
      <c r="AJ24" s="466"/>
      <c r="AK24" s="466"/>
      <c r="AL24" s="466"/>
      <c r="AM24" s="466"/>
      <c r="AN24" s="466"/>
      <c r="AO24" s="466"/>
      <c r="AP24" s="266"/>
      <c r="AQ24" s="269"/>
      <c r="AR24" s="481"/>
      <c r="AS24" s="481"/>
      <c r="AT24" s="481"/>
      <c r="AU24" s="481"/>
      <c r="AV24" s="481"/>
      <c r="AW24" s="481"/>
      <c r="AX24" s="481"/>
      <c r="AY24" s="481"/>
      <c r="AZ24" s="481"/>
      <c r="BA24" s="481"/>
      <c r="BB24" s="481"/>
      <c r="BC24" s="481"/>
      <c r="BD24" s="481"/>
      <c r="BE24" s="481"/>
      <c r="BF24" s="481"/>
      <c r="BG24" s="481"/>
      <c r="BH24" s="481"/>
      <c r="BI24" s="481"/>
      <c r="BJ24" s="481"/>
      <c r="BK24" s="270"/>
    </row>
    <row r="25" spans="1:63" ht="15.75" customHeight="1">
      <c r="A25" s="951">
        <v>17</v>
      </c>
      <c r="B25" s="952"/>
      <c r="C25" s="265" t="s">
        <v>608</v>
      </c>
      <c r="D25" s="267" t="s">
        <v>475</v>
      </c>
      <c r="E25" s="466"/>
      <c r="F25" s="466"/>
      <c r="G25" s="466"/>
      <c r="H25" s="466"/>
      <c r="I25" s="466"/>
      <c r="J25" s="266"/>
      <c r="K25" s="267" t="s">
        <v>501</v>
      </c>
      <c r="L25" s="466"/>
      <c r="M25" s="466"/>
      <c r="N25" s="466"/>
      <c r="O25" s="466"/>
      <c r="P25" s="466"/>
      <c r="Q25" s="466"/>
      <c r="R25" s="466"/>
      <c r="S25" s="466"/>
      <c r="T25" s="466"/>
      <c r="U25" s="266"/>
      <c r="V25" s="268" t="s">
        <v>403</v>
      </c>
      <c r="W25" s="267" t="s">
        <v>614</v>
      </c>
      <c r="X25" s="466"/>
      <c r="Y25" s="466"/>
      <c r="Z25" s="466"/>
      <c r="AA25" s="466"/>
      <c r="AB25" s="466"/>
      <c r="AC25" s="466"/>
      <c r="AD25" s="466"/>
      <c r="AE25" s="266"/>
      <c r="AF25" s="267" t="s">
        <v>501</v>
      </c>
      <c r="AG25" s="466"/>
      <c r="AH25" s="466"/>
      <c r="AI25" s="466"/>
      <c r="AJ25" s="466"/>
      <c r="AK25" s="466"/>
      <c r="AL25" s="466"/>
      <c r="AM25" s="466"/>
      <c r="AN25" s="466"/>
      <c r="AO25" s="466"/>
      <c r="AP25" s="266"/>
      <c r="AQ25" s="269"/>
      <c r="AR25" s="481"/>
      <c r="AS25" s="481"/>
      <c r="AT25" s="481"/>
      <c r="AU25" s="481"/>
      <c r="AV25" s="481"/>
      <c r="AW25" s="481"/>
      <c r="AX25" s="481"/>
      <c r="AY25" s="481"/>
      <c r="AZ25" s="481"/>
      <c r="BA25" s="481"/>
      <c r="BB25" s="481"/>
      <c r="BC25" s="481"/>
      <c r="BD25" s="481"/>
      <c r="BE25" s="481"/>
      <c r="BF25" s="481"/>
      <c r="BG25" s="481"/>
      <c r="BH25" s="481"/>
      <c r="BI25" s="481"/>
      <c r="BJ25" s="481"/>
      <c r="BK25" s="270"/>
    </row>
    <row r="26" spans="1:63" ht="15.75" customHeight="1">
      <c r="A26" s="951">
        <v>18</v>
      </c>
      <c r="B26" s="952"/>
      <c r="C26" s="265" t="s">
        <v>608</v>
      </c>
      <c r="D26" s="267" t="s">
        <v>475</v>
      </c>
      <c r="E26" s="466"/>
      <c r="F26" s="466"/>
      <c r="G26" s="466"/>
      <c r="H26" s="466"/>
      <c r="I26" s="466"/>
      <c r="J26" s="266"/>
      <c r="K26" s="267" t="s">
        <v>268</v>
      </c>
      <c r="L26" s="466"/>
      <c r="M26" s="466"/>
      <c r="N26" s="466"/>
      <c r="O26" s="466"/>
      <c r="P26" s="466"/>
      <c r="Q26" s="466"/>
      <c r="R26" s="466"/>
      <c r="S26" s="466"/>
      <c r="T26" s="466"/>
      <c r="U26" s="266"/>
      <c r="V26" s="268" t="s">
        <v>403</v>
      </c>
      <c r="W26" s="267" t="s">
        <v>520</v>
      </c>
      <c r="X26" s="466"/>
      <c r="Y26" s="466"/>
      <c r="Z26" s="466"/>
      <c r="AA26" s="466"/>
      <c r="AB26" s="466"/>
      <c r="AC26" s="466"/>
      <c r="AD26" s="466"/>
      <c r="AE26" s="266"/>
      <c r="AF26" s="267" t="s">
        <v>268</v>
      </c>
      <c r="AG26" s="466"/>
      <c r="AH26" s="466"/>
      <c r="AI26" s="466"/>
      <c r="AJ26" s="466"/>
      <c r="AK26" s="466"/>
      <c r="AL26" s="466"/>
      <c r="AM26" s="466"/>
      <c r="AN26" s="466"/>
      <c r="AO26" s="466"/>
      <c r="AP26" s="266"/>
      <c r="AQ26" s="269"/>
      <c r="AR26" s="481"/>
      <c r="AS26" s="481"/>
      <c r="AT26" s="481"/>
      <c r="AU26" s="481"/>
      <c r="AV26" s="481"/>
      <c r="AW26" s="481"/>
      <c r="AX26" s="481"/>
      <c r="AY26" s="481"/>
      <c r="AZ26" s="481"/>
      <c r="BA26" s="481"/>
      <c r="BB26" s="481"/>
      <c r="BC26" s="481"/>
      <c r="BD26" s="481"/>
      <c r="BE26" s="481"/>
      <c r="BF26" s="481"/>
      <c r="BG26" s="481"/>
      <c r="BH26" s="481"/>
      <c r="BI26" s="481"/>
      <c r="BJ26" s="481"/>
      <c r="BK26" s="270"/>
    </row>
    <row r="27" spans="1:63" ht="15.75" customHeight="1">
      <c r="A27" s="951">
        <v>19</v>
      </c>
      <c r="B27" s="952"/>
      <c r="C27" s="265" t="s">
        <v>608</v>
      </c>
      <c r="D27" s="267" t="s">
        <v>475</v>
      </c>
      <c r="E27" s="466"/>
      <c r="F27" s="466"/>
      <c r="G27" s="466"/>
      <c r="H27" s="466"/>
      <c r="I27" s="466"/>
      <c r="J27" s="266"/>
      <c r="K27" s="267" t="s">
        <v>288</v>
      </c>
      <c r="L27" s="466"/>
      <c r="M27" s="466"/>
      <c r="N27" s="466"/>
      <c r="O27" s="466"/>
      <c r="P27" s="466"/>
      <c r="Q27" s="466"/>
      <c r="R27" s="466"/>
      <c r="S27" s="466"/>
      <c r="T27" s="466"/>
      <c r="U27" s="266"/>
      <c r="V27" s="268"/>
      <c r="W27" s="267"/>
      <c r="X27" s="466"/>
      <c r="Y27" s="466"/>
      <c r="Z27" s="466"/>
      <c r="AA27" s="466"/>
      <c r="AB27" s="466"/>
      <c r="AC27" s="466"/>
      <c r="AD27" s="466"/>
      <c r="AE27" s="266"/>
      <c r="AF27" s="267" t="s">
        <v>615</v>
      </c>
      <c r="AG27" s="466"/>
      <c r="AH27" s="466"/>
      <c r="AI27" s="466"/>
      <c r="AJ27" s="466"/>
      <c r="AK27" s="466"/>
      <c r="AL27" s="466"/>
      <c r="AM27" s="466"/>
      <c r="AN27" s="466"/>
      <c r="AO27" s="466"/>
      <c r="AP27" s="266"/>
      <c r="AQ27" s="269" t="s">
        <v>616</v>
      </c>
      <c r="AR27" s="481"/>
      <c r="AS27" s="481"/>
      <c r="AT27" s="481"/>
      <c r="AU27" s="481"/>
      <c r="AV27" s="481"/>
      <c r="AW27" s="481"/>
      <c r="AX27" s="481"/>
      <c r="AY27" s="481"/>
      <c r="AZ27" s="481"/>
      <c r="BA27" s="481"/>
      <c r="BB27" s="481"/>
      <c r="BC27" s="481"/>
      <c r="BD27" s="481"/>
      <c r="BE27" s="481"/>
      <c r="BF27" s="481"/>
      <c r="BG27" s="481"/>
      <c r="BH27" s="481"/>
      <c r="BI27" s="481"/>
      <c r="BJ27" s="481"/>
      <c r="BK27" s="270"/>
    </row>
    <row r="28" spans="1:63" ht="15.75" customHeight="1">
      <c r="A28" s="951">
        <v>20</v>
      </c>
      <c r="B28" s="952"/>
      <c r="C28" s="265" t="s">
        <v>608</v>
      </c>
      <c r="D28" s="267" t="s">
        <v>475</v>
      </c>
      <c r="E28" s="466"/>
      <c r="F28" s="466"/>
      <c r="G28" s="466"/>
      <c r="H28" s="466"/>
      <c r="I28" s="466"/>
      <c r="J28" s="266"/>
      <c r="K28" s="267" t="s">
        <v>289</v>
      </c>
      <c r="L28" s="466"/>
      <c r="M28" s="466"/>
      <c r="N28" s="466"/>
      <c r="O28" s="466"/>
      <c r="P28" s="466"/>
      <c r="Q28" s="466"/>
      <c r="R28" s="466"/>
      <c r="S28" s="466"/>
      <c r="T28" s="466"/>
      <c r="U28" s="266"/>
      <c r="V28" s="268" t="s">
        <v>403</v>
      </c>
      <c r="W28" s="267" t="s">
        <v>520</v>
      </c>
      <c r="X28" s="466"/>
      <c r="Y28" s="466"/>
      <c r="Z28" s="466"/>
      <c r="AA28" s="466"/>
      <c r="AB28" s="466"/>
      <c r="AC28" s="466"/>
      <c r="AD28" s="466"/>
      <c r="AE28" s="266"/>
      <c r="AF28" s="267"/>
      <c r="AG28" s="466"/>
      <c r="AH28" s="466"/>
      <c r="AI28" s="466"/>
      <c r="AJ28" s="466"/>
      <c r="AK28" s="466"/>
      <c r="AL28" s="466"/>
      <c r="AM28" s="466"/>
      <c r="AN28" s="466"/>
      <c r="AO28" s="466"/>
      <c r="AP28" s="266"/>
      <c r="AQ28" s="269"/>
      <c r="AR28" s="481"/>
      <c r="AS28" s="481"/>
      <c r="AT28" s="481"/>
      <c r="AU28" s="481"/>
      <c r="AV28" s="481"/>
      <c r="AW28" s="481"/>
      <c r="AX28" s="481"/>
      <c r="AY28" s="481"/>
      <c r="AZ28" s="481"/>
      <c r="BA28" s="481"/>
      <c r="BB28" s="481"/>
      <c r="BC28" s="481"/>
      <c r="BD28" s="481"/>
      <c r="BE28" s="481"/>
      <c r="BF28" s="481"/>
      <c r="BG28" s="481"/>
      <c r="BH28" s="481"/>
      <c r="BI28" s="481"/>
      <c r="BJ28" s="481"/>
      <c r="BK28" s="270"/>
    </row>
    <row r="29" spans="1:63" ht="15.75" customHeight="1" thickBot="1">
      <c r="A29" s="953"/>
      <c r="B29" s="954"/>
      <c r="C29" s="271"/>
      <c r="D29" s="98"/>
      <c r="E29" s="96"/>
      <c r="F29" s="96"/>
      <c r="G29" s="96"/>
      <c r="H29" s="96"/>
      <c r="I29" s="96"/>
      <c r="J29" s="97"/>
      <c r="K29" s="98"/>
      <c r="L29" s="96"/>
      <c r="M29" s="96"/>
      <c r="N29" s="96"/>
      <c r="O29" s="96"/>
      <c r="P29" s="96"/>
      <c r="Q29" s="96"/>
      <c r="R29" s="96"/>
      <c r="S29" s="96"/>
      <c r="T29" s="96"/>
      <c r="U29" s="97"/>
      <c r="V29" s="272"/>
      <c r="W29" s="98"/>
      <c r="X29" s="96"/>
      <c r="Y29" s="96"/>
      <c r="Z29" s="96"/>
      <c r="AA29" s="96"/>
      <c r="AB29" s="96"/>
      <c r="AC29" s="96"/>
      <c r="AD29" s="96"/>
      <c r="AE29" s="97"/>
      <c r="AF29" s="98"/>
      <c r="AG29" s="96"/>
      <c r="AH29" s="96"/>
      <c r="AI29" s="96"/>
      <c r="AJ29" s="96"/>
      <c r="AK29" s="96"/>
      <c r="AL29" s="96"/>
      <c r="AM29" s="96"/>
      <c r="AN29" s="96"/>
      <c r="AO29" s="96"/>
      <c r="AP29" s="97"/>
      <c r="AQ29" s="273"/>
      <c r="AR29" s="274"/>
      <c r="AS29" s="274"/>
      <c r="AT29" s="274"/>
      <c r="AU29" s="274"/>
      <c r="AV29" s="274"/>
      <c r="AW29" s="274"/>
      <c r="AX29" s="274"/>
      <c r="AY29" s="274"/>
      <c r="AZ29" s="274"/>
      <c r="BA29" s="274"/>
      <c r="BB29" s="274"/>
      <c r="BC29" s="274"/>
      <c r="BD29" s="274"/>
      <c r="BE29" s="274"/>
      <c r="BF29" s="274"/>
      <c r="BG29" s="274"/>
      <c r="BH29" s="274"/>
      <c r="BI29" s="274"/>
      <c r="BJ29" s="274"/>
      <c r="BK29" s="275"/>
    </row>
  </sheetData>
  <mergeCells count="42">
    <mergeCell ref="A13:B13"/>
    <mergeCell ref="A15:B15"/>
    <mergeCell ref="BF1:BK1"/>
    <mergeCell ref="BF2:BK3"/>
    <mergeCell ref="A27:B27"/>
    <mergeCell ref="A26:B26"/>
    <mergeCell ref="A1:J3"/>
    <mergeCell ref="K1:T1"/>
    <mergeCell ref="U1:Y1"/>
    <mergeCell ref="Z1:AD1"/>
    <mergeCell ref="K2:T2"/>
    <mergeCell ref="U2:Y2"/>
    <mergeCell ref="Z2:AD2"/>
    <mergeCell ref="K3:T3"/>
    <mergeCell ref="U3:Y3"/>
    <mergeCell ref="Z3:AD3"/>
    <mergeCell ref="AS2:AY3"/>
    <mergeCell ref="AZ1:BE1"/>
    <mergeCell ref="AZ2:BE3"/>
    <mergeCell ref="A9:B9"/>
    <mergeCell ref="AS1:AY1"/>
    <mergeCell ref="A10:B10"/>
    <mergeCell ref="A12:B12"/>
    <mergeCell ref="AE2:AI2"/>
    <mergeCell ref="AJ2:AR2"/>
    <mergeCell ref="AE1:AI1"/>
    <mergeCell ref="AJ1:AR1"/>
    <mergeCell ref="A11:B11"/>
    <mergeCell ref="AE3:AR3"/>
    <mergeCell ref="A14:B14"/>
    <mergeCell ref="A16:B16"/>
    <mergeCell ref="A17:B17"/>
    <mergeCell ref="A18:B18"/>
    <mergeCell ref="A19:B19"/>
    <mergeCell ref="A20:B20"/>
    <mergeCell ref="A21:B21"/>
    <mergeCell ref="A29:B29"/>
    <mergeCell ref="A24:B24"/>
    <mergeCell ref="A25:B25"/>
    <mergeCell ref="A28:B28"/>
    <mergeCell ref="A22:B22"/>
    <mergeCell ref="A23:B23"/>
  </mergeCells>
  <phoneticPr fontId="8"/>
  <dataValidations count="1">
    <dataValidation imeMode="off" allowBlank="1" showInputMessage="1" showErrorMessage="1" sqref="D9:J29 W9:AE29" xr:uid="{8EF3B9DF-C2D8-41FD-AEF5-85BBE10EA9E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0">
    <pageSetUpPr fitToPage="1"/>
  </sheetPr>
  <dimension ref="A1:BK16"/>
  <sheetViews>
    <sheetView showGridLines="0" showZeros="0" zoomScaleNormal="100" zoomScaleSheetLayoutView="85" workbookViewId="0">
      <pane ySplit="4" topLeftCell="A5" activePane="bottomLeft" state="frozen"/>
      <selection pane="bottomLeft" sqref="A1:J3"/>
      <selection activeCell="AL26" sqref="AL26"/>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3"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3"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3" s="4" customFormat="1" ht="6.75" customHeight="1" thickBot="1">
      <c r="B4" s="5"/>
      <c r="C4" s="6"/>
      <c r="D4" s="6"/>
      <c r="E4" s="6"/>
      <c r="F4" s="7"/>
      <c r="G4" s="7"/>
      <c r="H4" s="7"/>
      <c r="I4" s="7"/>
      <c r="J4" s="6"/>
      <c r="K4" s="7"/>
      <c r="L4" s="7"/>
      <c r="M4" s="7"/>
      <c r="N4" s="7"/>
      <c r="O4" s="7"/>
      <c r="P4" s="7"/>
      <c r="Q4" s="8"/>
    </row>
    <row r="5" spans="1:63" ht="15.75" customHeight="1">
      <c r="A5" s="103" t="s">
        <v>530</v>
      </c>
      <c r="B5" s="104"/>
      <c r="C5" s="104"/>
      <c r="D5" s="104"/>
      <c r="E5" s="105"/>
      <c r="F5" s="106"/>
      <c r="G5" s="107">
        <v>1</v>
      </c>
      <c r="H5" s="108"/>
      <c r="I5" s="109"/>
      <c r="J5" s="109"/>
      <c r="K5" s="109"/>
      <c r="L5" s="109"/>
      <c r="M5" s="109"/>
      <c r="N5" s="109"/>
      <c r="O5" s="109"/>
      <c r="P5" s="109"/>
      <c r="Q5" s="109"/>
      <c r="R5" s="110"/>
      <c r="S5" s="111" t="s">
        <v>617</v>
      </c>
      <c r="T5" s="112"/>
      <c r="U5" s="112"/>
      <c r="V5" s="112"/>
      <c r="W5" s="112"/>
      <c r="X5" s="112"/>
      <c r="Y5" s="113"/>
      <c r="Z5" s="114"/>
      <c r="AA5" s="114"/>
      <c r="AB5" s="114"/>
      <c r="AC5" s="114"/>
      <c r="AD5" s="109"/>
      <c r="AE5" s="114"/>
      <c r="AF5" s="114"/>
      <c r="AG5" s="114"/>
      <c r="AH5" s="115" t="s">
        <v>597</v>
      </c>
      <c r="AI5" s="112"/>
      <c r="AJ5" s="113"/>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3" ht="15.75" customHeight="1">
      <c r="A6" s="117" t="s">
        <v>599</v>
      </c>
      <c r="B6" s="118"/>
      <c r="C6" s="118"/>
      <c r="D6" s="119"/>
      <c r="E6" s="120" t="s">
        <v>618</v>
      </c>
      <c r="F6" s="121"/>
      <c r="G6" s="121"/>
      <c r="H6" s="478"/>
      <c r="I6" s="478"/>
      <c r="J6" s="478"/>
      <c r="K6" s="478"/>
      <c r="L6" s="479"/>
      <c r="M6" s="479"/>
      <c r="N6" s="479"/>
      <c r="O6" s="479"/>
      <c r="P6" s="479"/>
      <c r="Q6" s="479"/>
      <c r="R6" s="479"/>
      <c r="S6" s="479"/>
      <c r="T6" s="479"/>
      <c r="U6" s="479"/>
      <c r="V6" s="479"/>
      <c r="W6" s="479"/>
      <c r="X6" s="479"/>
      <c r="Y6" s="479"/>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2"/>
    </row>
    <row r="7" spans="1:63" ht="15.75" customHeight="1">
      <c r="A7" s="123" t="s">
        <v>530</v>
      </c>
      <c r="B7" s="124"/>
      <c r="C7" s="263" t="s">
        <v>602</v>
      </c>
      <c r="D7" s="480"/>
      <c r="E7" s="125"/>
      <c r="F7" s="125"/>
      <c r="G7" s="125"/>
      <c r="H7" s="125"/>
      <c r="I7" s="125"/>
      <c r="J7" s="125"/>
      <c r="K7" s="125"/>
      <c r="L7" s="125"/>
      <c r="M7" s="125"/>
      <c r="N7" s="125"/>
      <c r="O7" s="125"/>
      <c r="P7" s="125"/>
      <c r="Q7" s="125"/>
      <c r="R7" s="125"/>
      <c r="S7" s="125"/>
      <c r="T7" s="125"/>
      <c r="U7" s="125"/>
      <c r="V7" s="263" t="s">
        <v>603</v>
      </c>
      <c r="W7" s="480"/>
      <c r="X7" s="125"/>
      <c r="Y7" s="125"/>
      <c r="Z7" s="125"/>
      <c r="AA7" s="125"/>
      <c r="AB7" s="125"/>
      <c r="AC7" s="125"/>
      <c r="AD7" s="125"/>
      <c r="AE7" s="125"/>
      <c r="AF7" s="124"/>
      <c r="AG7" s="124"/>
      <c r="AH7" s="124"/>
      <c r="AI7" s="124"/>
      <c r="AJ7" s="124"/>
      <c r="AK7" s="124"/>
      <c r="AL7" s="124"/>
      <c r="AM7" s="124"/>
      <c r="AN7" s="124"/>
      <c r="AO7" s="124"/>
      <c r="AP7" s="124"/>
      <c r="AQ7" s="429" t="s">
        <v>528</v>
      </c>
      <c r="AR7" s="124"/>
      <c r="AS7" s="124"/>
      <c r="AT7" s="124"/>
      <c r="AU7" s="124"/>
      <c r="AV7" s="124"/>
      <c r="AW7" s="124"/>
      <c r="AX7" s="124"/>
      <c r="AY7" s="124"/>
      <c r="AZ7" s="124"/>
      <c r="BA7" s="124"/>
      <c r="BB7" s="124"/>
      <c r="BC7" s="124"/>
      <c r="BD7" s="124"/>
      <c r="BE7" s="124"/>
      <c r="BF7" s="124"/>
      <c r="BG7" s="124"/>
      <c r="BH7" s="124"/>
      <c r="BI7" s="124"/>
      <c r="BJ7" s="124"/>
      <c r="BK7" s="126"/>
    </row>
    <row r="8" spans="1:63" ht="15.75" customHeight="1" thickBot="1">
      <c r="A8" s="127"/>
      <c r="B8" s="264"/>
      <c r="C8" s="128" t="s">
        <v>604</v>
      </c>
      <c r="D8" s="101" t="s">
        <v>605</v>
      </c>
      <c r="E8" s="102"/>
      <c r="F8" s="102"/>
      <c r="G8" s="102"/>
      <c r="H8" s="102"/>
      <c r="I8" s="102"/>
      <c r="J8" s="129"/>
      <c r="K8" s="101" t="s">
        <v>527</v>
      </c>
      <c r="L8" s="102"/>
      <c r="M8" s="102"/>
      <c r="N8" s="102"/>
      <c r="O8" s="102"/>
      <c r="P8" s="102"/>
      <c r="Q8" s="102"/>
      <c r="R8" s="102"/>
      <c r="S8" s="102"/>
      <c r="T8" s="102"/>
      <c r="U8" s="129"/>
      <c r="V8" s="128" t="s">
        <v>604</v>
      </c>
      <c r="W8" s="101" t="s">
        <v>605</v>
      </c>
      <c r="X8" s="102"/>
      <c r="Y8" s="102"/>
      <c r="Z8" s="102"/>
      <c r="AA8" s="102"/>
      <c r="AB8" s="102"/>
      <c r="AC8" s="102"/>
      <c r="AD8" s="102"/>
      <c r="AE8" s="129"/>
      <c r="AF8" s="101" t="s">
        <v>527</v>
      </c>
      <c r="AG8" s="102"/>
      <c r="AH8" s="102"/>
      <c r="AI8" s="102"/>
      <c r="AJ8" s="102"/>
      <c r="AK8" s="102"/>
      <c r="AL8" s="102"/>
      <c r="AM8" s="102"/>
      <c r="AN8" s="102"/>
      <c r="AO8" s="102"/>
      <c r="AP8" s="129"/>
      <c r="AQ8" s="130"/>
      <c r="AR8" s="264"/>
      <c r="AS8" s="264"/>
      <c r="AT8" s="264"/>
      <c r="AU8" s="264"/>
      <c r="AV8" s="264"/>
      <c r="AW8" s="264"/>
      <c r="AX8" s="264"/>
      <c r="AY8" s="264"/>
      <c r="AZ8" s="264"/>
      <c r="BA8" s="264"/>
      <c r="BB8" s="264"/>
      <c r="BC8" s="264"/>
      <c r="BD8" s="264"/>
      <c r="BE8" s="264"/>
      <c r="BF8" s="264"/>
      <c r="BG8" s="264"/>
      <c r="BH8" s="264"/>
      <c r="BI8" s="264"/>
      <c r="BJ8" s="264"/>
      <c r="BK8" s="131"/>
    </row>
    <row r="9" spans="1:63" ht="15.75" customHeight="1" thickTop="1">
      <c r="A9" s="955"/>
      <c r="B9" s="956"/>
      <c r="C9" s="137"/>
      <c r="D9" s="138"/>
      <c r="E9" s="139"/>
      <c r="F9" s="139"/>
      <c r="G9" s="139"/>
      <c r="H9" s="139"/>
      <c r="I9" s="139"/>
      <c r="J9" s="140"/>
      <c r="K9" s="138"/>
      <c r="L9" s="139"/>
      <c r="M9" s="139"/>
      <c r="N9" s="139"/>
      <c r="O9" s="139"/>
      <c r="P9" s="139"/>
      <c r="Q9" s="139"/>
      <c r="R9" s="139"/>
      <c r="S9" s="139"/>
      <c r="T9" s="139"/>
      <c r="U9" s="140"/>
      <c r="V9" s="141"/>
      <c r="W9" s="138"/>
      <c r="X9" s="139"/>
      <c r="Y9" s="139"/>
      <c r="Z9" s="139"/>
      <c r="AA9" s="139"/>
      <c r="AB9" s="139"/>
      <c r="AC9" s="139"/>
      <c r="AD9" s="139"/>
      <c r="AE9" s="140"/>
      <c r="AF9" s="138"/>
      <c r="AG9" s="139"/>
      <c r="AH9" s="139"/>
      <c r="AI9" s="139"/>
      <c r="AJ9" s="139"/>
      <c r="AK9" s="139"/>
      <c r="AL9" s="139"/>
      <c r="AM9" s="139"/>
      <c r="AN9" s="139"/>
      <c r="AO9" s="139"/>
      <c r="AP9" s="140"/>
      <c r="AQ9" s="957"/>
      <c r="AR9" s="958"/>
      <c r="AS9" s="958"/>
      <c r="AT9" s="958"/>
      <c r="AU9" s="958"/>
      <c r="AV9" s="958"/>
      <c r="AW9" s="958"/>
      <c r="AX9" s="958"/>
      <c r="AY9" s="958"/>
      <c r="AZ9" s="958"/>
      <c r="BA9" s="958"/>
      <c r="BB9" s="958"/>
      <c r="BC9" s="958"/>
      <c r="BD9" s="958"/>
      <c r="BE9" s="958"/>
      <c r="BF9" s="958"/>
      <c r="BG9" s="958"/>
      <c r="BH9" s="958"/>
      <c r="BI9" s="958"/>
      <c r="BJ9" s="958"/>
      <c r="BK9" s="959"/>
    </row>
    <row r="10" spans="1:63" ht="15.75" customHeight="1">
      <c r="A10" s="965"/>
      <c r="B10" s="966"/>
      <c r="C10" s="313"/>
      <c r="D10" s="314"/>
      <c r="E10" s="482"/>
      <c r="F10" s="482"/>
      <c r="G10" s="482"/>
      <c r="H10" s="482"/>
      <c r="I10" s="482"/>
      <c r="J10" s="315"/>
      <c r="K10" s="314"/>
      <c r="L10" s="482"/>
      <c r="M10" s="482"/>
      <c r="N10" s="482"/>
      <c r="O10" s="482"/>
      <c r="P10" s="482"/>
      <c r="Q10" s="482"/>
      <c r="R10" s="482"/>
      <c r="S10" s="482"/>
      <c r="T10" s="482"/>
      <c r="U10" s="315"/>
      <c r="V10" s="316"/>
      <c r="W10" s="314"/>
      <c r="X10" s="482"/>
      <c r="Y10" s="482"/>
      <c r="Z10" s="482"/>
      <c r="AA10" s="482"/>
      <c r="AB10" s="482"/>
      <c r="AC10" s="482"/>
      <c r="AD10" s="482"/>
      <c r="AE10" s="315"/>
      <c r="AF10" s="314"/>
      <c r="AG10" s="482"/>
      <c r="AH10" s="482"/>
      <c r="AI10" s="482"/>
      <c r="AJ10" s="482"/>
      <c r="AK10" s="482"/>
      <c r="AL10" s="482"/>
      <c r="AM10" s="482"/>
      <c r="AN10" s="482"/>
      <c r="AO10" s="482"/>
      <c r="AP10" s="315"/>
      <c r="AQ10" s="967"/>
      <c r="AR10" s="968"/>
      <c r="AS10" s="968"/>
      <c r="AT10" s="968"/>
      <c r="AU10" s="968"/>
      <c r="AV10" s="968"/>
      <c r="AW10" s="968"/>
      <c r="AX10" s="968"/>
      <c r="AY10" s="968"/>
      <c r="AZ10" s="968"/>
      <c r="BA10" s="968"/>
      <c r="BB10" s="968"/>
      <c r="BC10" s="968"/>
      <c r="BD10" s="968"/>
      <c r="BE10" s="968"/>
      <c r="BF10" s="968"/>
      <c r="BG10" s="968"/>
      <c r="BH10" s="968"/>
      <c r="BI10" s="968"/>
      <c r="BJ10" s="968"/>
      <c r="BK10" s="969"/>
    </row>
    <row r="11" spans="1:63" ht="15.75" customHeight="1">
      <c r="A11" s="965"/>
      <c r="B11" s="966"/>
      <c r="C11" s="313"/>
      <c r="D11" s="314"/>
      <c r="E11" s="482"/>
      <c r="F11" s="482"/>
      <c r="G11" s="482"/>
      <c r="H11" s="482"/>
      <c r="I11" s="482"/>
      <c r="J11" s="315"/>
      <c r="K11" s="314"/>
      <c r="L11" s="482"/>
      <c r="M11" s="482"/>
      <c r="N11" s="482"/>
      <c r="O11" s="482"/>
      <c r="P11" s="482"/>
      <c r="Q11" s="482"/>
      <c r="R11" s="482"/>
      <c r="S11" s="482"/>
      <c r="T11" s="482"/>
      <c r="U11" s="315"/>
      <c r="V11" s="316"/>
      <c r="W11" s="314"/>
      <c r="X11" s="482"/>
      <c r="Y11" s="482"/>
      <c r="Z11" s="482"/>
      <c r="AA11" s="482"/>
      <c r="AB11" s="482"/>
      <c r="AC11" s="482"/>
      <c r="AD11" s="482"/>
      <c r="AE11" s="315"/>
      <c r="AF11" s="314"/>
      <c r="AG11" s="482"/>
      <c r="AH11" s="482"/>
      <c r="AI11" s="482"/>
      <c r="AJ11" s="482"/>
      <c r="AK11" s="482"/>
      <c r="AL11" s="482"/>
      <c r="AM11" s="482"/>
      <c r="AN11" s="482"/>
      <c r="AO11" s="482"/>
      <c r="AP11" s="315"/>
      <c r="AQ11" s="967"/>
      <c r="AR11" s="968"/>
      <c r="AS11" s="968"/>
      <c r="AT11" s="968"/>
      <c r="AU11" s="968"/>
      <c r="AV11" s="968"/>
      <c r="AW11" s="968"/>
      <c r="AX11" s="968"/>
      <c r="AY11" s="968"/>
      <c r="AZ11" s="968"/>
      <c r="BA11" s="968"/>
      <c r="BB11" s="968"/>
      <c r="BC11" s="968"/>
      <c r="BD11" s="968"/>
      <c r="BE11" s="968"/>
      <c r="BF11" s="968"/>
      <c r="BG11" s="968"/>
      <c r="BH11" s="968"/>
      <c r="BI11" s="968"/>
      <c r="BJ11" s="968"/>
      <c r="BK11" s="969"/>
    </row>
    <row r="12" spans="1:63" ht="15.75" customHeight="1">
      <c r="A12" s="965"/>
      <c r="B12" s="966"/>
      <c r="C12" s="313"/>
      <c r="D12" s="314"/>
      <c r="E12" s="482"/>
      <c r="F12" s="482"/>
      <c r="G12" s="482"/>
      <c r="H12" s="482"/>
      <c r="I12" s="482"/>
      <c r="J12" s="315"/>
      <c r="K12" s="314"/>
      <c r="L12" s="482"/>
      <c r="M12" s="482"/>
      <c r="N12" s="482"/>
      <c r="O12" s="482"/>
      <c r="P12" s="482"/>
      <c r="Q12" s="482"/>
      <c r="R12" s="482"/>
      <c r="S12" s="482"/>
      <c r="T12" s="482"/>
      <c r="U12" s="315"/>
      <c r="V12" s="316"/>
      <c r="W12" s="314"/>
      <c r="X12" s="482"/>
      <c r="Y12" s="482"/>
      <c r="Z12" s="482"/>
      <c r="AA12" s="482"/>
      <c r="AB12" s="482"/>
      <c r="AC12" s="482"/>
      <c r="AD12" s="482"/>
      <c r="AE12" s="315"/>
      <c r="AF12" s="314"/>
      <c r="AG12" s="482"/>
      <c r="AH12" s="482"/>
      <c r="AI12" s="482"/>
      <c r="AJ12" s="482"/>
      <c r="AK12" s="482"/>
      <c r="AL12" s="482"/>
      <c r="AM12" s="482"/>
      <c r="AN12" s="482"/>
      <c r="AO12" s="482"/>
      <c r="AP12" s="315"/>
      <c r="AQ12" s="967"/>
      <c r="AR12" s="968"/>
      <c r="AS12" s="968"/>
      <c r="AT12" s="968"/>
      <c r="AU12" s="968"/>
      <c r="AV12" s="968"/>
      <c r="AW12" s="968"/>
      <c r="AX12" s="968"/>
      <c r="AY12" s="968"/>
      <c r="AZ12" s="968"/>
      <c r="BA12" s="968"/>
      <c r="BB12" s="968"/>
      <c r="BC12" s="968"/>
      <c r="BD12" s="968"/>
      <c r="BE12" s="968"/>
      <c r="BF12" s="968"/>
      <c r="BG12" s="968"/>
      <c r="BH12" s="968"/>
      <c r="BI12" s="968"/>
      <c r="BJ12" s="968"/>
      <c r="BK12" s="969"/>
    </row>
    <row r="13" spans="1:63" ht="15.75" customHeight="1">
      <c r="A13" s="965"/>
      <c r="B13" s="966"/>
      <c r="C13" s="313"/>
      <c r="D13" s="314"/>
      <c r="E13" s="482"/>
      <c r="F13" s="482"/>
      <c r="G13" s="482"/>
      <c r="H13" s="482"/>
      <c r="I13" s="482"/>
      <c r="J13" s="315"/>
      <c r="K13" s="314"/>
      <c r="L13" s="482"/>
      <c r="M13" s="482"/>
      <c r="N13" s="482"/>
      <c r="O13" s="482"/>
      <c r="P13" s="482"/>
      <c r="Q13" s="482"/>
      <c r="R13" s="482"/>
      <c r="S13" s="482"/>
      <c r="T13" s="482"/>
      <c r="U13" s="315"/>
      <c r="V13" s="316"/>
      <c r="W13" s="314"/>
      <c r="X13" s="482"/>
      <c r="Y13" s="482"/>
      <c r="Z13" s="482"/>
      <c r="AA13" s="482"/>
      <c r="AB13" s="482"/>
      <c r="AC13" s="482"/>
      <c r="AD13" s="482"/>
      <c r="AE13" s="315"/>
      <c r="AF13" s="314"/>
      <c r="AG13" s="482"/>
      <c r="AH13" s="482"/>
      <c r="AI13" s="482"/>
      <c r="AJ13" s="482"/>
      <c r="AK13" s="482"/>
      <c r="AL13" s="482"/>
      <c r="AM13" s="482"/>
      <c r="AN13" s="482"/>
      <c r="AO13" s="482"/>
      <c r="AP13" s="315"/>
      <c r="AQ13" s="967"/>
      <c r="AR13" s="968"/>
      <c r="AS13" s="968"/>
      <c r="AT13" s="968"/>
      <c r="AU13" s="968"/>
      <c r="AV13" s="968"/>
      <c r="AW13" s="968"/>
      <c r="AX13" s="968"/>
      <c r="AY13" s="968"/>
      <c r="AZ13" s="968"/>
      <c r="BA13" s="968"/>
      <c r="BB13" s="968"/>
      <c r="BC13" s="968"/>
      <c r="BD13" s="968"/>
      <c r="BE13" s="968"/>
      <c r="BF13" s="968"/>
      <c r="BG13" s="968"/>
      <c r="BH13" s="968"/>
      <c r="BI13" s="968"/>
      <c r="BJ13" s="968"/>
      <c r="BK13" s="969"/>
    </row>
    <row r="14" spans="1:63" ht="15.75" customHeight="1">
      <c r="A14" s="965"/>
      <c r="B14" s="966"/>
      <c r="C14" s="313"/>
      <c r="D14" s="314"/>
      <c r="E14" s="482"/>
      <c r="F14" s="482"/>
      <c r="G14" s="482"/>
      <c r="H14" s="482"/>
      <c r="I14" s="482"/>
      <c r="J14" s="315"/>
      <c r="K14" s="314"/>
      <c r="L14" s="482"/>
      <c r="M14" s="482"/>
      <c r="N14" s="482"/>
      <c r="O14" s="482"/>
      <c r="P14" s="482"/>
      <c r="Q14" s="482"/>
      <c r="R14" s="482"/>
      <c r="S14" s="482"/>
      <c r="T14" s="482"/>
      <c r="U14" s="315"/>
      <c r="V14" s="316"/>
      <c r="W14" s="314"/>
      <c r="X14" s="482"/>
      <c r="Y14" s="482"/>
      <c r="Z14" s="482"/>
      <c r="AA14" s="482"/>
      <c r="AB14" s="482"/>
      <c r="AC14" s="482"/>
      <c r="AD14" s="482"/>
      <c r="AE14" s="315"/>
      <c r="AF14" s="314"/>
      <c r="AG14" s="482"/>
      <c r="AH14" s="482"/>
      <c r="AI14" s="482"/>
      <c r="AJ14" s="482"/>
      <c r="AK14" s="482"/>
      <c r="AL14" s="482"/>
      <c r="AM14" s="482"/>
      <c r="AN14" s="482"/>
      <c r="AO14" s="482"/>
      <c r="AP14" s="315"/>
      <c r="AQ14" s="967"/>
      <c r="AR14" s="968"/>
      <c r="AS14" s="968"/>
      <c r="AT14" s="968"/>
      <c r="AU14" s="968"/>
      <c r="AV14" s="968"/>
      <c r="AW14" s="968"/>
      <c r="AX14" s="968"/>
      <c r="AY14" s="968"/>
      <c r="AZ14" s="968"/>
      <c r="BA14" s="968"/>
      <c r="BB14" s="968"/>
      <c r="BC14" s="968"/>
      <c r="BD14" s="968"/>
      <c r="BE14" s="968"/>
      <c r="BF14" s="968"/>
      <c r="BG14" s="968"/>
      <c r="BH14" s="968"/>
      <c r="BI14" s="968"/>
      <c r="BJ14" s="968"/>
      <c r="BK14" s="969"/>
    </row>
    <row r="15" spans="1:63" ht="15.75" customHeight="1">
      <c r="A15" s="965"/>
      <c r="B15" s="966"/>
      <c r="C15" s="313"/>
      <c r="D15" s="314"/>
      <c r="E15" s="482"/>
      <c r="F15" s="482"/>
      <c r="G15" s="482"/>
      <c r="H15" s="482"/>
      <c r="I15" s="482"/>
      <c r="J15" s="315"/>
      <c r="K15" s="314"/>
      <c r="L15" s="482"/>
      <c r="M15" s="482"/>
      <c r="N15" s="482"/>
      <c r="O15" s="482"/>
      <c r="P15" s="482"/>
      <c r="Q15" s="482"/>
      <c r="R15" s="482"/>
      <c r="S15" s="482"/>
      <c r="T15" s="482"/>
      <c r="U15" s="315"/>
      <c r="V15" s="316"/>
      <c r="W15" s="314"/>
      <c r="X15" s="482"/>
      <c r="Y15" s="482"/>
      <c r="Z15" s="482"/>
      <c r="AA15" s="482"/>
      <c r="AB15" s="482"/>
      <c r="AC15" s="482"/>
      <c r="AD15" s="482"/>
      <c r="AE15" s="315"/>
      <c r="AF15" s="314"/>
      <c r="AG15" s="482"/>
      <c r="AH15" s="482"/>
      <c r="AI15" s="482"/>
      <c r="AJ15" s="482"/>
      <c r="AK15" s="482"/>
      <c r="AL15" s="482"/>
      <c r="AM15" s="482"/>
      <c r="AN15" s="482"/>
      <c r="AO15" s="482"/>
      <c r="AP15" s="315"/>
      <c r="AQ15" s="967"/>
      <c r="AR15" s="968"/>
      <c r="AS15" s="968"/>
      <c r="AT15" s="968"/>
      <c r="AU15" s="968"/>
      <c r="AV15" s="968"/>
      <c r="AW15" s="968"/>
      <c r="AX15" s="968"/>
      <c r="AY15" s="968"/>
      <c r="AZ15" s="968"/>
      <c r="BA15" s="968"/>
      <c r="BB15" s="968"/>
      <c r="BC15" s="968"/>
      <c r="BD15" s="968"/>
      <c r="BE15" s="968"/>
      <c r="BF15" s="968"/>
      <c r="BG15" s="968"/>
      <c r="BH15" s="968"/>
      <c r="BI15" s="968"/>
      <c r="BJ15" s="968"/>
      <c r="BK15" s="969"/>
    </row>
    <row r="16" spans="1:63" ht="15.75" customHeight="1" thickBot="1">
      <c r="A16" s="960"/>
      <c r="B16" s="961"/>
      <c r="C16" s="132"/>
      <c r="D16" s="133"/>
      <c r="E16" s="134"/>
      <c r="F16" s="134"/>
      <c r="G16" s="134"/>
      <c r="H16" s="134"/>
      <c r="I16" s="134"/>
      <c r="J16" s="135"/>
      <c r="K16" s="133"/>
      <c r="L16" s="134"/>
      <c r="M16" s="134"/>
      <c r="N16" s="134"/>
      <c r="O16" s="134"/>
      <c r="P16" s="134"/>
      <c r="Q16" s="134"/>
      <c r="R16" s="134"/>
      <c r="S16" s="134"/>
      <c r="T16" s="134"/>
      <c r="U16" s="135"/>
      <c r="V16" s="136"/>
      <c r="W16" s="133"/>
      <c r="X16" s="134"/>
      <c r="Y16" s="134"/>
      <c r="Z16" s="134"/>
      <c r="AA16" s="134"/>
      <c r="AB16" s="134"/>
      <c r="AC16" s="134"/>
      <c r="AD16" s="134"/>
      <c r="AE16" s="135"/>
      <c r="AF16" s="133"/>
      <c r="AG16" s="134"/>
      <c r="AH16" s="134"/>
      <c r="AI16" s="134"/>
      <c r="AJ16" s="134"/>
      <c r="AK16" s="134"/>
      <c r="AL16" s="134"/>
      <c r="AM16" s="134"/>
      <c r="AN16" s="134"/>
      <c r="AO16" s="134"/>
      <c r="AP16" s="135"/>
      <c r="AQ16" s="962"/>
      <c r="AR16" s="963"/>
      <c r="AS16" s="963"/>
      <c r="AT16" s="963"/>
      <c r="AU16" s="963"/>
      <c r="AV16" s="963"/>
      <c r="AW16" s="963"/>
      <c r="AX16" s="963"/>
      <c r="AY16" s="963"/>
      <c r="AZ16" s="963"/>
      <c r="BA16" s="963"/>
      <c r="BB16" s="963"/>
      <c r="BC16" s="963"/>
      <c r="BD16" s="963"/>
      <c r="BE16" s="963"/>
      <c r="BF16" s="963"/>
      <c r="BG16" s="963"/>
      <c r="BH16" s="963"/>
      <c r="BI16" s="963"/>
      <c r="BJ16" s="963"/>
      <c r="BK16" s="964"/>
    </row>
  </sheetData>
  <mergeCells count="37">
    <mergeCell ref="AE1:AI1"/>
    <mergeCell ref="AJ1:AR1"/>
    <mergeCell ref="A16:B16"/>
    <mergeCell ref="AQ16:BK16"/>
    <mergeCell ref="A15:B15"/>
    <mergeCell ref="AQ15:BK15"/>
    <mergeCell ref="A14:B14"/>
    <mergeCell ref="AQ14:BK14"/>
    <mergeCell ref="A12:B12"/>
    <mergeCell ref="AQ12:BK12"/>
    <mergeCell ref="A13:B13"/>
    <mergeCell ref="AQ13:BK13"/>
    <mergeCell ref="A10:B10"/>
    <mergeCell ref="AQ10:BK10"/>
    <mergeCell ref="A11:B11"/>
    <mergeCell ref="AQ11:BK11"/>
    <mergeCell ref="BF2:BK3"/>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s>
  <phoneticPr fontId="8"/>
  <dataValidations count="1">
    <dataValidation imeMode="off" allowBlank="1" showInputMessage="1" showErrorMessage="1" sqref="W9:AE16 D9:J16"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1">
    <pageSetUpPr fitToPage="1"/>
  </sheetPr>
  <dimension ref="A1:BK28"/>
  <sheetViews>
    <sheetView showGridLines="0" showZeros="0" view="pageBreakPreview" zoomScaleNormal="100" zoomScaleSheetLayoutView="100" workbookViewId="0">
      <pane ySplit="4" topLeftCell="A5" activePane="bottomLeft" state="frozen"/>
      <selection pane="bottomLeft" sqref="A1:J3"/>
      <selection activeCell="D40" sqref="D40"/>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3" s="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3" s="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3" s="4" customFormat="1" ht="6.75" customHeight="1" thickBot="1">
      <c r="B4" s="5"/>
      <c r="C4" s="6"/>
      <c r="D4" s="6"/>
      <c r="E4" s="6"/>
      <c r="F4" s="7"/>
      <c r="G4" s="7"/>
      <c r="H4" s="7"/>
      <c r="I4" s="7"/>
      <c r="J4" s="6"/>
      <c r="K4" s="7"/>
      <c r="L4" s="7"/>
      <c r="M4" s="7"/>
      <c r="N4" s="7"/>
      <c r="O4" s="7"/>
      <c r="P4" s="7"/>
      <c r="Q4" s="8"/>
    </row>
    <row r="5" spans="1:63" ht="15.75" customHeight="1">
      <c r="A5" s="103" t="s">
        <v>530</v>
      </c>
      <c r="B5" s="104"/>
      <c r="C5" s="104"/>
      <c r="D5" s="104"/>
      <c r="E5" s="105"/>
      <c r="F5" s="106"/>
      <c r="G5" s="107">
        <v>1</v>
      </c>
      <c r="H5" s="108"/>
      <c r="I5" s="109"/>
      <c r="J5" s="109"/>
      <c r="K5" s="109"/>
      <c r="L5" s="109"/>
      <c r="M5" s="109"/>
      <c r="N5" s="109"/>
      <c r="O5" s="109"/>
      <c r="P5" s="109"/>
      <c r="Q5" s="109"/>
      <c r="R5" s="110"/>
      <c r="S5" s="111" t="s">
        <v>617</v>
      </c>
      <c r="T5" s="112"/>
      <c r="U5" s="112"/>
      <c r="V5" s="112"/>
      <c r="W5" s="112"/>
      <c r="X5" s="112"/>
      <c r="Y5" s="113"/>
      <c r="Z5" s="114" t="s">
        <v>619</v>
      </c>
      <c r="AA5" s="114"/>
      <c r="AB5" s="114"/>
      <c r="AC5" s="114"/>
      <c r="AD5" s="109"/>
      <c r="AE5" s="114"/>
      <c r="AF5" s="114"/>
      <c r="AG5" s="114"/>
      <c r="AH5" s="115" t="s">
        <v>597</v>
      </c>
      <c r="AI5" s="112"/>
      <c r="AJ5" s="113"/>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6"/>
    </row>
    <row r="6" spans="1:63" ht="15.75" customHeight="1">
      <c r="A6" s="117" t="s">
        <v>599</v>
      </c>
      <c r="B6" s="118"/>
      <c r="C6" s="118"/>
      <c r="D6" s="119"/>
      <c r="E6" s="120" t="s">
        <v>620</v>
      </c>
      <c r="F6" s="121"/>
      <c r="G6" s="121"/>
      <c r="H6" s="478"/>
      <c r="I6" s="478"/>
      <c r="J6" s="478"/>
      <c r="K6" s="478"/>
      <c r="L6" s="479"/>
      <c r="M6" s="479"/>
      <c r="N6" s="479"/>
      <c r="O6" s="479"/>
      <c r="P6" s="479"/>
      <c r="Q6" s="479"/>
      <c r="R6" s="479"/>
      <c r="S6" s="143" t="s">
        <v>601</v>
      </c>
      <c r="T6" s="475"/>
      <c r="U6" s="475"/>
      <c r="V6" s="475"/>
      <c r="W6" s="475"/>
      <c r="X6" s="475"/>
      <c r="Y6" s="261"/>
      <c r="Z6" s="477"/>
      <c r="AA6" s="477"/>
      <c r="AB6" s="477"/>
      <c r="AC6" s="477"/>
      <c r="AD6" s="477"/>
      <c r="AE6" s="477"/>
      <c r="AF6" s="477"/>
      <c r="AG6" s="477"/>
      <c r="AH6" s="477"/>
      <c r="AI6" s="477"/>
      <c r="AJ6" s="477"/>
      <c r="AK6" s="477"/>
      <c r="AL6" s="477"/>
      <c r="AM6" s="477"/>
      <c r="AN6" s="477"/>
      <c r="AO6" s="477"/>
      <c r="AP6" s="477"/>
      <c r="AQ6" s="477"/>
      <c r="AR6" s="477"/>
      <c r="AS6" s="477"/>
      <c r="AT6" s="477"/>
      <c r="AU6" s="477"/>
      <c r="AV6" s="477"/>
      <c r="AW6" s="477"/>
      <c r="AX6" s="477"/>
      <c r="AY6" s="477"/>
      <c r="AZ6" s="477"/>
      <c r="BA6" s="477"/>
      <c r="BB6" s="477"/>
      <c r="BC6" s="477"/>
      <c r="BD6" s="477"/>
      <c r="BE6" s="477"/>
      <c r="BF6" s="477"/>
      <c r="BG6" s="477"/>
      <c r="BH6" s="477"/>
      <c r="BI6" s="477"/>
      <c r="BJ6" s="477"/>
      <c r="BK6" s="262"/>
    </row>
    <row r="7" spans="1:63" ht="15.75" customHeight="1">
      <c r="A7" s="123" t="s">
        <v>530</v>
      </c>
      <c r="B7" s="124"/>
      <c r="C7" s="263" t="s">
        <v>602</v>
      </c>
      <c r="D7" s="480"/>
      <c r="E7" s="125"/>
      <c r="F7" s="125"/>
      <c r="G7" s="125"/>
      <c r="H7" s="125"/>
      <c r="I7" s="125"/>
      <c r="J7" s="125"/>
      <c r="K7" s="125"/>
      <c r="L7" s="125"/>
      <c r="M7" s="125"/>
      <c r="N7" s="125"/>
      <c r="O7" s="125"/>
      <c r="P7" s="125"/>
      <c r="Q7" s="125"/>
      <c r="R7" s="125"/>
      <c r="S7" s="125"/>
      <c r="T7" s="125"/>
      <c r="U7" s="125"/>
      <c r="V7" s="263" t="s">
        <v>603</v>
      </c>
      <c r="W7" s="480"/>
      <c r="X7" s="125"/>
      <c r="Y7" s="125"/>
      <c r="Z7" s="125"/>
      <c r="AA7" s="125"/>
      <c r="AB7" s="125"/>
      <c r="AC7" s="125"/>
      <c r="AD7" s="125"/>
      <c r="AE7" s="125"/>
      <c r="AF7" s="124"/>
      <c r="AG7" s="124"/>
      <c r="AH7" s="124"/>
      <c r="AI7" s="124"/>
      <c r="AJ7" s="124"/>
      <c r="AK7" s="124"/>
      <c r="AL7" s="124"/>
      <c r="AM7" s="124"/>
      <c r="AN7" s="124"/>
      <c r="AO7" s="124"/>
      <c r="AP7" s="124"/>
      <c r="AQ7" s="429" t="s">
        <v>528</v>
      </c>
      <c r="AR7" s="124"/>
      <c r="AS7" s="124"/>
      <c r="AT7" s="124"/>
      <c r="AU7" s="124"/>
      <c r="AV7" s="124"/>
      <c r="AW7" s="124"/>
      <c r="AX7" s="124"/>
      <c r="AY7" s="124"/>
      <c r="AZ7" s="124"/>
      <c r="BA7" s="124"/>
      <c r="BB7" s="124"/>
      <c r="BC7" s="124"/>
      <c r="BD7" s="124"/>
      <c r="BE7" s="124"/>
      <c r="BF7" s="124"/>
      <c r="BG7" s="124"/>
      <c r="BH7" s="124"/>
      <c r="BI7" s="124"/>
      <c r="BJ7" s="124"/>
      <c r="BK7" s="126"/>
    </row>
    <row r="8" spans="1:63" ht="15.75" customHeight="1" thickBot="1">
      <c r="A8" s="127"/>
      <c r="B8" s="264"/>
      <c r="C8" s="128" t="s">
        <v>604</v>
      </c>
      <c r="D8" s="101" t="s">
        <v>605</v>
      </c>
      <c r="E8" s="102"/>
      <c r="F8" s="102"/>
      <c r="G8" s="102"/>
      <c r="H8" s="102"/>
      <c r="I8" s="102"/>
      <c r="J8" s="129"/>
      <c r="K8" s="101" t="s">
        <v>527</v>
      </c>
      <c r="L8" s="102"/>
      <c r="M8" s="102"/>
      <c r="N8" s="102"/>
      <c r="O8" s="102"/>
      <c r="P8" s="102"/>
      <c r="Q8" s="102"/>
      <c r="R8" s="102"/>
      <c r="S8" s="102"/>
      <c r="T8" s="102"/>
      <c r="U8" s="129"/>
      <c r="V8" s="128" t="s">
        <v>604</v>
      </c>
      <c r="W8" s="101" t="s">
        <v>605</v>
      </c>
      <c r="X8" s="102"/>
      <c r="Y8" s="102"/>
      <c r="Z8" s="102"/>
      <c r="AA8" s="102"/>
      <c r="AB8" s="102"/>
      <c r="AC8" s="102"/>
      <c r="AD8" s="102"/>
      <c r="AE8" s="129"/>
      <c r="AF8" s="101" t="s">
        <v>527</v>
      </c>
      <c r="AG8" s="102"/>
      <c r="AH8" s="102"/>
      <c r="AI8" s="102"/>
      <c r="AJ8" s="102"/>
      <c r="AK8" s="102"/>
      <c r="AL8" s="102"/>
      <c r="AM8" s="102"/>
      <c r="AN8" s="102"/>
      <c r="AO8" s="102"/>
      <c r="AP8" s="129"/>
      <c r="AQ8" s="130"/>
      <c r="AR8" s="264"/>
      <c r="AS8" s="264"/>
      <c r="AT8" s="264"/>
      <c r="AU8" s="264"/>
      <c r="AV8" s="264"/>
      <c r="AW8" s="264"/>
      <c r="AX8" s="264"/>
      <c r="AY8" s="264"/>
      <c r="AZ8" s="264"/>
      <c r="BA8" s="264"/>
      <c r="BB8" s="264"/>
      <c r="BC8" s="264"/>
      <c r="BD8" s="264"/>
      <c r="BE8" s="264"/>
      <c r="BF8" s="264"/>
      <c r="BG8" s="264"/>
      <c r="BH8" s="264"/>
      <c r="BI8" s="264"/>
      <c r="BJ8" s="264"/>
      <c r="BK8" s="131"/>
    </row>
    <row r="9" spans="1:63" ht="15.75" customHeight="1" thickTop="1">
      <c r="A9" s="955">
        <v>1</v>
      </c>
      <c r="B9" s="956"/>
      <c r="C9" s="137" t="s">
        <v>621</v>
      </c>
      <c r="D9" s="138" t="s">
        <v>475</v>
      </c>
      <c r="E9" s="139"/>
      <c r="F9" s="139"/>
      <c r="G9" s="139"/>
      <c r="H9" s="139"/>
      <c r="I9" s="139"/>
      <c r="J9" s="140"/>
      <c r="K9" s="138" t="s">
        <v>273</v>
      </c>
      <c r="L9" s="139"/>
      <c r="M9" s="139"/>
      <c r="N9" s="139"/>
      <c r="O9" s="139"/>
      <c r="P9" s="139"/>
      <c r="Q9" s="139"/>
      <c r="R9" s="139"/>
      <c r="S9" s="139"/>
      <c r="T9" s="139"/>
      <c r="U9" s="140"/>
      <c r="V9" s="141" t="s">
        <v>606</v>
      </c>
      <c r="W9" s="138" t="s">
        <v>622</v>
      </c>
      <c r="X9" s="139"/>
      <c r="Y9" s="139"/>
      <c r="Z9" s="139"/>
      <c r="AA9" s="139"/>
      <c r="AB9" s="139"/>
      <c r="AC9" s="139"/>
      <c r="AD9" s="139"/>
      <c r="AE9" s="140"/>
      <c r="AF9" s="138" t="s">
        <v>273</v>
      </c>
      <c r="AG9" s="139"/>
      <c r="AH9" s="139"/>
      <c r="AI9" s="139"/>
      <c r="AJ9" s="139"/>
      <c r="AK9" s="139"/>
      <c r="AL9" s="139"/>
      <c r="AM9" s="139"/>
      <c r="AN9" s="139"/>
      <c r="AO9" s="139"/>
      <c r="AP9" s="140"/>
      <c r="AQ9" s="138"/>
      <c r="AR9" s="139"/>
      <c r="AS9" s="139"/>
      <c r="AT9" s="139"/>
      <c r="AU9" s="139"/>
      <c r="AV9" s="139"/>
      <c r="AW9" s="139"/>
      <c r="AX9" s="139"/>
      <c r="AY9" s="139"/>
      <c r="AZ9" s="139"/>
      <c r="BA9" s="139"/>
      <c r="BB9" s="139"/>
      <c r="BC9" s="139"/>
      <c r="BD9" s="139"/>
      <c r="BE9" s="139"/>
      <c r="BF9" s="139"/>
      <c r="BG9" s="139"/>
      <c r="BH9" s="139"/>
      <c r="BI9" s="139"/>
      <c r="BJ9" s="139"/>
      <c r="BK9" s="276"/>
    </row>
    <row r="10" spans="1:63" ht="15.75" customHeight="1">
      <c r="A10" s="970">
        <v>2</v>
      </c>
      <c r="B10" s="971"/>
      <c r="C10" s="265" t="s">
        <v>621</v>
      </c>
      <c r="D10" s="267" t="s">
        <v>475</v>
      </c>
      <c r="E10" s="466"/>
      <c r="F10" s="466"/>
      <c r="G10" s="466"/>
      <c r="H10" s="466"/>
      <c r="I10" s="466"/>
      <c r="J10" s="266"/>
      <c r="K10" s="267" t="s">
        <v>609</v>
      </c>
      <c r="L10" s="466"/>
      <c r="M10" s="466"/>
      <c r="N10" s="466"/>
      <c r="O10" s="466"/>
      <c r="P10" s="466"/>
      <c r="Q10" s="466"/>
      <c r="R10" s="466"/>
      <c r="S10" s="466"/>
      <c r="T10" s="466"/>
      <c r="U10" s="266"/>
      <c r="V10" s="268" t="s">
        <v>623</v>
      </c>
      <c r="W10" s="267" t="s">
        <v>622</v>
      </c>
      <c r="X10" s="466"/>
      <c r="Y10" s="466"/>
      <c r="Z10" s="466"/>
      <c r="AA10" s="466"/>
      <c r="AB10" s="466"/>
      <c r="AC10" s="466"/>
      <c r="AD10" s="466"/>
      <c r="AE10" s="266"/>
      <c r="AF10" s="267" t="s">
        <v>609</v>
      </c>
      <c r="AG10" s="466"/>
      <c r="AH10" s="466"/>
      <c r="AI10" s="466"/>
      <c r="AJ10" s="466"/>
      <c r="AK10" s="466"/>
      <c r="AL10" s="466"/>
      <c r="AM10" s="466"/>
      <c r="AN10" s="466"/>
      <c r="AO10" s="466"/>
      <c r="AP10" s="266"/>
      <c r="AQ10" s="269"/>
      <c r="AR10" s="481"/>
      <c r="AS10" s="481"/>
      <c r="AT10" s="481"/>
      <c r="AU10" s="481"/>
      <c r="AV10" s="481"/>
      <c r="AW10" s="481"/>
      <c r="AX10" s="481"/>
      <c r="AY10" s="481"/>
      <c r="AZ10" s="481"/>
      <c r="BA10" s="481"/>
      <c r="BB10" s="481"/>
      <c r="BC10" s="481"/>
      <c r="BD10" s="481"/>
      <c r="BE10" s="481"/>
      <c r="BF10" s="481"/>
      <c r="BG10" s="481"/>
      <c r="BH10" s="481"/>
      <c r="BI10" s="481"/>
      <c r="BJ10" s="481"/>
      <c r="BK10" s="270"/>
    </row>
    <row r="11" spans="1:63" ht="15.75" customHeight="1">
      <c r="A11" s="970">
        <v>3</v>
      </c>
      <c r="B11" s="971"/>
      <c r="C11" s="265" t="s">
        <v>621</v>
      </c>
      <c r="D11" s="267" t="s">
        <v>475</v>
      </c>
      <c r="E11" s="466"/>
      <c r="F11" s="466"/>
      <c r="G11" s="466"/>
      <c r="H11" s="466"/>
      <c r="I11" s="466"/>
      <c r="J11" s="266"/>
      <c r="K11" s="267" t="s">
        <v>610</v>
      </c>
      <c r="L11" s="466"/>
      <c r="M11" s="466"/>
      <c r="N11" s="466"/>
      <c r="O11" s="466"/>
      <c r="P11" s="466"/>
      <c r="Q11" s="466"/>
      <c r="R11" s="466"/>
      <c r="S11" s="466"/>
      <c r="T11" s="466"/>
      <c r="U11" s="266"/>
      <c r="V11" s="268" t="s">
        <v>623</v>
      </c>
      <c r="W11" s="267" t="s">
        <v>622</v>
      </c>
      <c r="X11" s="466"/>
      <c r="Y11" s="466"/>
      <c r="Z11" s="466"/>
      <c r="AA11" s="466"/>
      <c r="AB11" s="466"/>
      <c r="AC11" s="466"/>
      <c r="AD11" s="466"/>
      <c r="AE11" s="266"/>
      <c r="AF11" s="267" t="s">
        <v>610</v>
      </c>
      <c r="AG11" s="466"/>
      <c r="AH11" s="466"/>
      <c r="AI11" s="466"/>
      <c r="AJ11" s="466"/>
      <c r="AK11" s="466"/>
      <c r="AL11" s="466"/>
      <c r="AM11" s="466"/>
      <c r="AN11" s="466"/>
      <c r="AO11" s="466"/>
      <c r="AP11" s="266"/>
      <c r="AQ11" s="269"/>
      <c r="AR11" s="481"/>
      <c r="AS11" s="481"/>
      <c r="AT11" s="481"/>
      <c r="AU11" s="481"/>
      <c r="AV11" s="481"/>
      <c r="AW11" s="481"/>
      <c r="AX11" s="481"/>
      <c r="AY11" s="481"/>
      <c r="AZ11" s="481"/>
      <c r="BA11" s="481"/>
      <c r="BB11" s="481"/>
      <c r="BC11" s="481"/>
      <c r="BD11" s="481"/>
      <c r="BE11" s="481"/>
      <c r="BF11" s="481"/>
      <c r="BG11" s="481"/>
      <c r="BH11" s="481"/>
      <c r="BI11" s="481"/>
      <c r="BJ11" s="481"/>
      <c r="BK11" s="270"/>
    </row>
    <row r="12" spans="1:63" ht="15.75" customHeight="1">
      <c r="A12" s="970">
        <v>4</v>
      </c>
      <c r="B12" s="971"/>
      <c r="C12" s="265" t="s">
        <v>621</v>
      </c>
      <c r="D12" s="267" t="s">
        <v>475</v>
      </c>
      <c r="E12" s="466"/>
      <c r="F12" s="466"/>
      <c r="G12" s="466"/>
      <c r="H12" s="466"/>
      <c r="I12" s="466"/>
      <c r="J12" s="266"/>
      <c r="K12" s="267" t="s">
        <v>396</v>
      </c>
      <c r="L12" s="466"/>
      <c r="M12" s="466"/>
      <c r="N12" s="466"/>
      <c r="O12" s="466"/>
      <c r="P12" s="466"/>
      <c r="Q12" s="466"/>
      <c r="R12" s="466"/>
      <c r="S12" s="466"/>
      <c r="T12" s="466"/>
      <c r="U12" s="266"/>
      <c r="V12" s="268" t="s">
        <v>623</v>
      </c>
      <c r="W12" s="267" t="s">
        <v>622</v>
      </c>
      <c r="X12" s="466"/>
      <c r="Y12" s="466"/>
      <c r="Z12" s="466"/>
      <c r="AA12" s="466"/>
      <c r="AB12" s="466"/>
      <c r="AC12" s="466"/>
      <c r="AD12" s="466"/>
      <c r="AE12" s="266"/>
      <c r="AF12" s="267" t="s">
        <v>396</v>
      </c>
      <c r="AG12" s="466"/>
      <c r="AH12" s="466"/>
      <c r="AI12" s="466"/>
      <c r="AJ12" s="466"/>
      <c r="AK12" s="466"/>
      <c r="AL12" s="466"/>
      <c r="AM12" s="466"/>
      <c r="AN12" s="466"/>
      <c r="AO12" s="466"/>
      <c r="AP12" s="266"/>
      <c r="AQ12" s="269"/>
      <c r="AR12" s="481"/>
      <c r="AS12" s="481"/>
      <c r="AT12" s="481"/>
      <c r="AU12" s="481"/>
      <c r="AV12" s="481"/>
      <c r="AW12" s="481"/>
      <c r="AX12" s="481"/>
      <c r="AY12" s="481"/>
      <c r="AZ12" s="481"/>
      <c r="BA12" s="481"/>
      <c r="BB12" s="481"/>
      <c r="BC12" s="481"/>
      <c r="BD12" s="481"/>
      <c r="BE12" s="481"/>
      <c r="BF12" s="481"/>
      <c r="BG12" s="481"/>
      <c r="BH12" s="481"/>
      <c r="BI12" s="481"/>
      <c r="BJ12" s="481"/>
      <c r="BK12" s="270"/>
    </row>
    <row r="13" spans="1:63" ht="15.75" customHeight="1">
      <c r="A13" s="970">
        <v>5</v>
      </c>
      <c r="B13" s="971"/>
      <c r="C13" s="265" t="s">
        <v>621</v>
      </c>
      <c r="D13" s="267" t="s">
        <v>475</v>
      </c>
      <c r="E13" s="466"/>
      <c r="F13" s="466"/>
      <c r="G13" s="466"/>
      <c r="H13" s="466"/>
      <c r="I13" s="466"/>
      <c r="J13" s="266"/>
      <c r="K13" s="267" t="s">
        <v>611</v>
      </c>
      <c r="L13" s="466"/>
      <c r="M13" s="466"/>
      <c r="N13" s="466"/>
      <c r="O13" s="466"/>
      <c r="P13" s="466"/>
      <c r="Q13" s="466"/>
      <c r="R13" s="466"/>
      <c r="S13" s="466"/>
      <c r="T13" s="466"/>
      <c r="U13" s="266"/>
      <c r="V13" s="268" t="s">
        <v>623</v>
      </c>
      <c r="W13" s="267" t="s">
        <v>622</v>
      </c>
      <c r="X13" s="466"/>
      <c r="Y13" s="466"/>
      <c r="Z13" s="466"/>
      <c r="AA13" s="466"/>
      <c r="AB13" s="466"/>
      <c r="AC13" s="466"/>
      <c r="AD13" s="466"/>
      <c r="AE13" s="266"/>
      <c r="AF13" s="267" t="s">
        <v>611</v>
      </c>
      <c r="AG13" s="466"/>
      <c r="AH13" s="466"/>
      <c r="AI13" s="466"/>
      <c r="AJ13" s="466"/>
      <c r="AK13" s="466"/>
      <c r="AL13" s="466"/>
      <c r="AM13" s="466"/>
      <c r="AN13" s="466"/>
      <c r="AO13" s="466"/>
      <c r="AP13" s="266"/>
      <c r="AQ13" s="269"/>
      <c r="AR13" s="481"/>
      <c r="AS13" s="481"/>
      <c r="AT13" s="481"/>
      <c r="AU13" s="481"/>
      <c r="AV13" s="481"/>
      <c r="AW13" s="481"/>
      <c r="AX13" s="481"/>
      <c r="AY13" s="481"/>
      <c r="AZ13" s="481"/>
      <c r="BA13" s="481"/>
      <c r="BB13" s="481"/>
      <c r="BC13" s="481"/>
      <c r="BD13" s="481"/>
      <c r="BE13" s="481"/>
      <c r="BF13" s="481"/>
      <c r="BG13" s="481"/>
      <c r="BH13" s="481"/>
      <c r="BI13" s="481"/>
      <c r="BJ13" s="481"/>
      <c r="BK13" s="270"/>
    </row>
    <row r="14" spans="1:63" ht="15.75" customHeight="1">
      <c r="A14" s="970">
        <v>6</v>
      </c>
      <c r="B14" s="971"/>
      <c r="C14" s="265" t="s">
        <v>621</v>
      </c>
      <c r="D14" s="267" t="s">
        <v>475</v>
      </c>
      <c r="E14" s="466"/>
      <c r="F14" s="466"/>
      <c r="G14" s="466"/>
      <c r="H14" s="466"/>
      <c r="I14" s="466"/>
      <c r="J14" s="266"/>
      <c r="K14" s="267" t="s">
        <v>484</v>
      </c>
      <c r="L14" s="466"/>
      <c r="M14" s="466"/>
      <c r="N14" s="466"/>
      <c r="O14" s="466"/>
      <c r="P14" s="466"/>
      <c r="Q14" s="466"/>
      <c r="R14" s="466"/>
      <c r="S14" s="466"/>
      <c r="T14" s="466"/>
      <c r="U14" s="266"/>
      <c r="V14" s="268" t="s">
        <v>623</v>
      </c>
      <c r="W14" s="267" t="s">
        <v>622</v>
      </c>
      <c r="X14" s="466"/>
      <c r="Y14" s="466"/>
      <c r="Z14" s="466"/>
      <c r="AA14" s="466"/>
      <c r="AB14" s="466"/>
      <c r="AC14" s="466"/>
      <c r="AD14" s="466"/>
      <c r="AE14" s="266"/>
      <c r="AF14" s="267" t="s">
        <v>484</v>
      </c>
      <c r="AG14" s="466"/>
      <c r="AH14" s="466"/>
      <c r="AI14" s="466"/>
      <c r="AJ14" s="466"/>
      <c r="AK14" s="466"/>
      <c r="AL14" s="466"/>
      <c r="AM14" s="466"/>
      <c r="AN14" s="466"/>
      <c r="AO14" s="466"/>
      <c r="AP14" s="266"/>
      <c r="AQ14" s="269"/>
      <c r="AR14" s="481"/>
      <c r="AS14" s="481"/>
      <c r="AT14" s="481"/>
      <c r="AU14" s="481"/>
      <c r="AV14" s="481"/>
      <c r="AW14" s="481"/>
      <c r="AX14" s="481"/>
      <c r="AY14" s="481"/>
      <c r="AZ14" s="481"/>
      <c r="BA14" s="481"/>
      <c r="BB14" s="481"/>
      <c r="BC14" s="481"/>
      <c r="BD14" s="481"/>
      <c r="BE14" s="481"/>
      <c r="BF14" s="481"/>
      <c r="BG14" s="481"/>
      <c r="BH14" s="481"/>
      <c r="BI14" s="481"/>
      <c r="BJ14" s="481"/>
      <c r="BK14" s="270"/>
    </row>
    <row r="15" spans="1:63" ht="15.75" customHeight="1">
      <c r="A15" s="970">
        <v>7</v>
      </c>
      <c r="B15" s="971"/>
      <c r="C15" s="265" t="s">
        <v>621</v>
      </c>
      <c r="D15" s="267" t="s">
        <v>475</v>
      </c>
      <c r="E15" s="466"/>
      <c r="F15" s="466"/>
      <c r="G15" s="466"/>
      <c r="H15" s="466"/>
      <c r="I15" s="466"/>
      <c r="J15" s="266"/>
      <c r="K15" s="267" t="s">
        <v>278</v>
      </c>
      <c r="L15" s="466"/>
      <c r="M15" s="466"/>
      <c r="N15" s="466"/>
      <c r="O15" s="466"/>
      <c r="P15" s="466"/>
      <c r="Q15" s="466"/>
      <c r="R15" s="466"/>
      <c r="S15" s="466"/>
      <c r="T15" s="466"/>
      <c r="U15" s="266"/>
      <c r="V15" s="268" t="s">
        <v>623</v>
      </c>
      <c r="W15" s="267" t="s">
        <v>622</v>
      </c>
      <c r="X15" s="466"/>
      <c r="Y15" s="466"/>
      <c r="Z15" s="466"/>
      <c r="AA15" s="466"/>
      <c r="AB15" s="466"/>
      <c r="AC15" s="466"/>
      <c r="AD15" s="466"/>
      <c r="AE15" s="266"/>
      <c r="AF15" s="267" t="s">
        <v>278</v>
      </c>
      <c r="AG15" s="466"/>
      <c r="AH15" s="466"/>
      <c r="AI15" s="466"/>
      <c r="AJ15" s="466"/>
      <c r="AK15" s="466"/>
      <c r="AL15" s="466"/>
      <c r="AM15" s="466"/>
      <c r="AN15" s="466"/>
      <c r="AO15" s="466"/>
      <c r="AP15" s="266"/>
      <c r="AQ15" s="269"/>
      <c r="AR15" s="481"/>
      <c r="AS15" s="481"/>
      <c r="AT15" s="481"/>
      <c r="AU15" s="481"/>
      <c r="AV15" s="481"/>
      <c r="AW15" s="481"/>
      <c r="AX15" s="481"/>
      <c r="AY15" s="481"/>
      <c r="AZ15" s="481"/>
      <c r="BA15" s="481"/>
      <c r="BB15" s="481"/>
      <c r="BC15" s="481"/>
      <c r="BD15" s="481"/>
      <c r="BE15" s="481"/>
      <c r="BF15" s="481"/>
      <c r="BG15" s="481"/>
      <c r="BH15" s="481"/>
      <c r="BI15" s="481"/>
      <c r="BJ15" s="481"/>
      <c r="BK15" s="270"/>
    </row>
    <row r="16" spans="1:63" ht="15.75" customHeight="1">
      <c r="A16" s="970">
        <v>8</v>
      </c>
      <c r="B16" s="971"/>
      <c r="C16" s="265" t="s">
        <v>621</v>
      </c>
      <c r="D16" s="267" t="s">
        <v>475</v>
      </c>
      <c r="E16" s="466"/>
      <c r="F16" s="466"/>
      <c r="G16" s="466"/>
      <c r="H16" s="466"/>
      <c r="I16" s="466"/>
      <c r="J16" s="266"/>
      <c r="K16" s="267" t="s">
        <v>191</v>
      </c>
      <c r="L16" s="466"/>
      <c r="M16" s="466"/>
      <c r="N16" s="466"/>
      <c r="O16" s="466"/>
      <c r="P16" s="466"/>
      <c r="Q16" s="466"/>
      <c r="R16" s="466"/>
      <c r="S16" s="466"/>
      <c r="T16" s="466"/>
      <c r="U16" s="266"/>
      <c r="V16" s="268" t="s">
        <v>623</v>
      </c>
      <c r="W16" s="267" t="s">
        <v>622</v>
      </c>
      <c r="X16" s="466"/>
      <c r="Y16" s="466"/>
      <c r="Z16" s="466"/>
      <c r="AA16" s="466"/>
      <c r="AB16" s="466"/>
      <c r="AC16" s="466"/>
      <c r="AD16" s="466"/>
      <c r="AE16" s="266"/>
      <c r="AF16" s="267" t="s">
        <v>191</v>
      </c>
      <c r="AG16" s="466"/>
      <c r="AH16" s="466"/>
      <c r="AI16" s="466"/>
      <c r="AJ16" s="466"/>
      <c r="AK16" s="466"/>
      <c r="AL16" s="466"/>
      <c r="AM16" s="466"/>
      <c r="AN16" s="466"/>
      <c r="AO16" s="466"/>
      <c r="AP16" s="266"/>
      <c r="AQ16" s="269"/>
      <c r="AR16" s="481"/>
      <c r="AS16" s="481"/>
      <c r="AT16" s="481"/>
      <c r="AU16" s="481"/>
      <c r="AV16" s="481"/>
      <c r="AW16" s="481"/>
      <c r="AX16" s="481"/>
      <c r="AY16" s="481"/>
      <c r="AZ16" s="481"/>
      <c r="BA16" s="481"/>
      <c r="BB16" s="481"/>
      <c r="BC16" s="481"/>
      <c r="BD16" s="481"/>
      <c r="BE16" s="481"/>
      <c r="BF16" s="481"/>
      <c r="BG16" s="481"/>
      <c r="BH16" s="481"/>
      <c r="BI16" s="481"/>
      <c r="BJ16" s="481"/>
      <c r="BK16" s="270"/>
    </row>
    <row r="17" spans="1:63" ht="15.75" customHeight="1">
      <c r="A17" s="951">
        <v>9</v>
      </c>
      <c r="B17" s="952"/>
      <c r="C17" s="265" t="s">
        <v>621</v>
      </c>
      <c r="D17" s="267" t="s">
        <v>475</v>
      </c>
      <c r="E17" s="466"/>
      <c r="F17" s="466"/>
      <c r="G17" s="466"/>
      <c r="H17" s="466"/>
      <c r="I17" s="466"/>
      <c r="J17" s="266"/>
      <c r="K17" s="267" t="s">
        <v>488</v>
      </c>
      <c r="L17" s="466"/>
      <c r="M17" s="466"/>
      <c r="N17" s="466"/>
      <c r="O17" s="466"/>
      <c r="P17" s="466"/>
      <c r="Q17" s="466"/>
      <c r="R17" s="466"/>
      <c r="S17" s="466"/>
      <c r="T17" s="466"/>
      <c r="U17" s="266"/>
      <c r="V17" s="268" t="s">
        <v>623</v>
      </c>
      <c r="W17" s="267" t="s">
        <v>622</v>
      </c>
      <c r="X17" s="466"/>
      <c r="Y17" s="466"/>
      <c r="Z17" s="466"/>
      <c r="AA17" s="466"/>
      <c r="AB17" s="466"/>
      <c r="AC17" s="466"/>
      <c r="AD17" s="466"/>
      <c r="AE17" s="266"/>
      <c r="AF17" s="267" t="s">
        <v>488</v>
      </c>
      <c r="AG17" s="466"/>
      <c r="AH17" s="466"/>
      <c r="AI17" s="466"/>
      <c r="AJ17" s="466"/>
      <c r="AK17" s="466"/>
      <c r="AL17" s="466"/>
      <c r="AM17" s="466"/>
      <c r="AN17" s="466"/>
      <c r="AO17" s="466"/>
      <c r="AP17" s="266"/>
      <c r="AQ17" s="269"/>
      <c r="AR17" s="481"/>
      <c r="AS17" s="481"/>
      <c r="AT17" s="481"/>
      <c r="AU17" s="481"/>
      <c r="AV17" s="481"/>
      <c r="AW17" s="481"/>
      <c r="AX17" s="481"/>
      <c r="AY17" s="481"/>
      <c r="AZ17" s="481"/>
      <c r="BA17" s="481"/>
      <c r="BB17" s="481"/>
      <c r="BC17" s="481"/>
      <c r="BD17" s="481"/>
      <c r="BE17" s="481"/>
      <c r="BF17" s="481"/>
      <c r="BG17" s="481"/>
      <c r="BH17" s="481"/>
      <c r="BI17" s="481"/>
      <c r="BJ17" s="481"/>
      <c r="BK17" s="270"/>
    </row>
    <row r="18" spans="1:63" ht="15.75" customHeight="1">
      <c r="A18" s="951">
        <v>10</v>
      </c>
      <c r="B18" s="952"/>
      <c r="C18" s="265" t="s">
        <v>621</v>
      </c>
      <c r="D18" s="267" t="s">
        <v>475</v>
      </c>
      <c r="E18" s="466"/>
      <c r="F18" s="466"/>
      <c r="G18" s="466"/>
      <c r="H18" s="466"/>
      <c r="I18" s="466"/>
      <c r="J18" s="266"/>
      <c r="K18" s="267" t="s">
        <v>612</v>
      </c>
      <c r="L18" s="466"/>
      <c r="M18" s="466"/>
      <c r="N18" s="466"/>
      <c r="O18" s="466"/>
      <c r="P18" s="466"/>
      <c r="Q18" s="466"/>
      <c r="R18" s="466"/>
      <c r="S18" s="466"/>
      <c r="T18" s="466"/>
      <c r="U18" s="266"/>
      <c r="V18" s="268" t="s">
        <v>623</v>
      </c>
      <c r="W18" s="267" t="s">
        <v>622</v>
      </c>
      <c r="X18" s="466"/>
      <c r="Y18" s="466"/>
      <c r="Z18" s="466"/>
      <c r="AA18" s="466"/>
      <c r="AB18" s="466"/>
      <c r="AC18" s="466"/>
      <c r="AD18" s="466"/>
      <c r="AE18" s="266"/>
      <c r="AF18" s="267" t="s">
        <v>612</v>
      </c>
      <c r="AG18" s="466"/>
      <c r="AH18" s="466"/>
      <c r="AI18" s="466"/>
      <c r="AJ18" s="466"/>
      <c r="AK18" s="466"/>
      <c r="AL18" s="466"/>
      <c r="AM18" s="466"/>
      <c r="AN18" s="466"/>
      <c r="AO18" s="466"/>
      <c r="AP18" s="266"/>
      <c r="AQ18" s="269"/>
      <c r="AR18" s="481"/>
      <c r="AS18" s="481"/>
      <c r="AT18" s="481"/>
      <c r="AU18" s="481"/>
      <c r="AV18" s="481"/>
      <c r="AW18" s="481"/>
      <c r="AX18" s="481"/>
      <c r="AY18" s="481"/>
      <c r="AZ18" s="481"/>
      <c r="BA18" s="481"/>
      <c r="BB18" s="481"/>
      <c r="BC18" s="481"/>
      <c r="BD18" s="481"/>
      <c r="BE18" s="481"/>
      <c r="BF18" s="481"/>
      <c r="BG18" s="481"/>
      <c r="BH18" s="481"/>
      <c r="BI18" s="481"/>
      <c r="BJ18" s="481"/>
      <c r="BK18" s="270"/>
    </row>
    <row r="19" spans="1:63" ht="15.75" customHeight="1">
      <c r="A19" s="951">
        <v>11</v>
      </c>
      <c r="B19" s="952"/>
      <c r="C19" s="265" t="s">
        <v>621</v>
      </c>
      <c r="D19" s="267" t="s">
        <v>475</v>
      </c>
      <c r="E19" s="466"/>
      <c r="F19" s="466"/>
      <c r="G19" s="466"/>
      <c r="H19" s="466"/>
      <c r="I19" s="466"/>
      <c r="J19" s="266"/>
      <c r="K19" s="267" t="s">
        <v>613</v>
      </c>
      <c r="L19" s="466"/>
      <c r="M19" s="466"/>
      <c r="N19" s="466"/>
      <c r="O19" s="466"/>
      <c r="P19" s="466"/>
      <c r="Q19" s="466"/>
      <c r="R19" s="466"/>
      <c r="S19" s="466"/>
      <c r="T19" s="466"/>
      <c r="U19" s="266"/>
      <c r="V19" s="268" t="s">
        <v>623</v>
      </c>
      <c r="W19" s="267" t="s">
        <v>622</v>
      </c>
      <c r="X19" s="466"/>
      <c r="Y19" s="466"/>
      <c r="Z19" s="466"/>
      <c r="AA19" s="466"/>
      <c r="AB19" s="466"/>
      <c r="AC19" s="466"/>
      <c r="AD19" s="466"/>
      <c r="AE19" s="266"/>
      <c r="AF19" s="267" t="s">
        <v>613</v>
      </c>
      <c r="AG19" s="466"/>
      <c r="AH19" s="466"/>
      <c r="AI19" s="466"/>
      <c r="AJ19" s="466"/>
      <c r="AK19" s="466"/>
      <c r="AL19" s="466"/>
      <c r="AM19" s="466"/>
      <c r="AN19" s="466"/>
      <c r="AO19" s="466"/>
      <c r="AP19" s="266"/>
      <c r="AQ19" s="269"/>
      <c r="AR19" s="481"/>
      <c r="AS19" s="481"/>
      <c r="AT19" s="481"/>
      <c r="AU19" s="481"/>
      <c r="AV19" s="481"/>
      <c r="AW19" s="481"/>
      <c r="AX19" s="481"/>
      <c r="AY19" s="481"/>
      <c r="AZ19" s="481"/>
      <c r="BA19" s="481"/>
      <c r="BB19" s="481"/>
      <c r="BC19" s="481"/>
      <c r="BD19" s="481"/>
      <c r="BE19" s="481"/>
      <c r="BF19" s="481"/>
      <c r="BG19" s="481"/>
      <c r="BH19" s="481"/>
      <c r="BI19" s="481"/>
      <c r="BJ19" s="481"/>
      <c r="BK19" s="270"/>
    </row>
    <row r="20" spans="1:63" ht="15.75" customHeight="1">
      <c r="A20" s="951">
        <v>12</v>
      </c>
      <c r="B20" s="952"/>
      <c r="C20" s="265" t="s">
        <v>621</v>
      </c>
      <c r="D20" s="267" t="s">
        <v>475</v>
      </c>
      <c r="E20" s="466"/>
      <c r="F20" s="466"/>
      <c r="G20" s="466"/>
      <c r="H20" s="466"/>
      <c r="I20" s="466"/>
      <c r="J20" s="266"/>
      <c r="K20" s="267" t="s">
        <v>492</v>
      </c>
      <c r="L20" s="466"/>
      <c r="M20" s="466"/>
      <c r="N20" s="466"/>
      <c r="O20" s="466"/>
      <c r="P20" s="466"/>
      <c r="Q20" s="466"/>
      <c r="R20" s="466"/>
      <c r="S20" s="466"/>
      <c r="T20" s="466"/>
      <c r="U20" s="266"/>
      <c r="V20" s="268" t="s">
        <v>623</v>
      </c>
      <c r="W20" s="267" t="s">
        <v>622</v>
      </c>
      <c r="X20" s="466"/>
      <c r="Y20" s="466"/>
      <c r="Z20" s="466"/>
      <c r="AA20" s="466"/>
      <c r="AB20" s="466"/>
      <c r="AC20" s="466"/>
      <c r="AD20" s="466"/>
      <c r="AE20" s="266"/>
      <c r="AF20" s="267" t="s">
        <v>492</v>
      </c>
      <c r="AG20" s="466"/>
      <c r="AH20" s="466"/>
      <c r="AI20" s="466"/>
      <c r="AJ20" s="466"/>
      <c r="AK20" s="466"/>
      <c r="AL20" s="466"/>
      <c r="AM20" s="466"/>
      <c r="AN20" s="466"/>
      <c r="AO20" s="466"/>
      <c r="AP20" s="266"/>
      <c r="AQ20" s="269"/>
      <c r="AR20" s="481"/>
      <c r="AS20" s="481"/>
      <c r="AT20" s="481"/>
      <c r="AU20" s="481"/>
      <c r="AV20" s="481"/>
      <c r="AW20" s="481"/>
      <c r="AX20" s="481"/>
      <c r="AY20" s="481"/>
      <c r="AZ20" s="481"/>
      <c r="BA20" s="481"/>
      <c r="BB20" s="481"/>
      <c r="BC20" s="481"/>
      <c r="BD20" s="481"/>
      <c r="BE20" s="481"/>
      <c r="BF20" s="481"/>
      <c r="BG20" s="481"/>
      <c r="BH20" s="481"/>
      <c r="BI20" s="481"/>
      <c r="BJ20" s="481"/>
      <c r="BK20" s="270"/>
    </row>
    <row r="21" spans="1:63" ht="15.75" customHeight="1">
      <c r="A21" s="951">
        <v>13</v>
      </c>
      <c r="B21" s="952"/>
      <c r="C21" s="265" t="s">
        <v>621</v>
      </c>
      <c r="D21" s="267" t="s">
        <v>475</v>
      </c>
      <c r="E21" s="466"/>
      <c r="F21" s="466"/>
      <c r="G21" s="466"/>
      <c r="H21" s="466"/>
      <c r="I21" s="466"/>
      <c r="J21" s="266"/>
      <c r="K21" s="267" t="s">
        <v>263</v>
      </c>
      <c r="L21" s="466"/>
      <c r="M21" s="466"/>
      <c r="N21" s="466"/>
      <c r="O21" s="466"/>
      <c r="P21" s="466"/>
      <c r="Q21" s="466"/>
      <c r="R21" s="466"/>
      <c r="S21" s="466"/>
      <c r="T21" s="466"/>
      <c r="U21" s="266"/>
      <c r="V21" s="268" t="s">
        <v>623</v>
      </c>
      <c r="W21" s="267" t="s">
        <v>622</v>
      </c>
      <c r="X21" s="466"/>
      <c r="Y21" s="466"/>
      <c r="Z21" s="466"/>
      <c r="AA21" s="466"/>
      <c r="AB21" s="466"/>
      <c r="AC21" s="466"/>
      <c r="AD21" s="466"/>
      <c r="AE21" s="266"/>
      <c r="AF21" s="267" t="s">
        <v>263</v>
      </c>
      <c r="AG21" s="466"/>
      <c r="AH21" s="466"/>
      <c r="AI21" s="466"/>
      <c r="AJ21" s="466"/>
      <c r="AK21" s="466"/>
      <c r="AL21" s="466"/>
      <c r="AM21" s="466"/>
      <c r="AN21" s="466"/>
      <c r="AO21" s="466"/>
      <c r="AP21" s="266"/>
      <c r="AQ21" s="269"/>
      <c r="AR21" s="481"/>
      <c r="AS21" s="481"/>
      <c r="AT21" s="481"/>
      <c r="AU21" s="481"/>
      <c r="AV21" s="481"/>
      <c r="AW21" s="481"/>
      <c r="AX21" s="481"/>
      <c r="AY21" s="481"/>
      <c r="AZ21" s="481"/>
      <c r="BA21" s="481"/>
      <c r="BB21" s="481"/>
      <c r="BC21" s="481"/>
      <c r="BD21" s="481"/>
      <c r="BE21" s="481"/>
      <c r="BF21" s="481"/>
      <c r="BG21" s="481"/>
      <c r="BH21" s="481"/>
      <c r="BI21" s="481"/>
      <c r="BJ21" s="481"/>
      <c r="BK21" s="270"/>
    </row>
    <row r="22" spans="1:63" ht="15.75" customHeight="1">
      <c r="A22" s="951">
        <v>14</v>
      </c>
      <c r="B22" s="952"/>
      <c r="C22" s="265" t="s">
        <v>621</v>
      </c>
      <c r="D22" s="267" t="s">
        <v>475</v>
      </c>
      <c r="E22" s="466"/>
      <c r="F22" s="466"/>
      <c r="G22" s="466"/>
      <c r="H22" s="466"/>
      <c r="I22" s="466"/>
      <c r="J22" s="266"/>
      <c r="K22" s="267" t="s">
        <v>495</v>
      </c>
      <c r="L22" s="466"/>
      <c r="M22" s="466"/>
      <c r="N22" s="466"/>
      <c r="O22" s="466"/>
      <c r="P22" s="466"/>
      <c r="Q22" s="466"/>
      <c r="R22" s="466"/>
      <c r="S22" s="466"/>
      <c r="T22" s="466"/>
      <c r="U22" s="266"/>
      <c r="V22" s="268" t="s">
        <v>623</v>
      </c>
      <c r="W22" s="267" t="s">
        <v>622</v>
      </c>
      <c r="X22" s="466"/>
      <c r="Y22" s="466"/>
      <c r="Z22" s="466"/>
      <c r="AA22" s="466"/>
      <c r="AB22" s="466"/>
      <c r="AC22" s="466"/>
      <c r="AD22" s="466"/>
      <c r="AE22" s="266"/>
      <c r="AF22" s="267" t="s">
        <v>495</v>
      </c>
      <c r="AG22" s="466"/>
      <c r="AH22" s="466"/>
      <c r="AI22" s="466"/>
      <c r="AJ22" s="466"/>
      <c r="AK22" s="466"/>
      <c r="AL22" s="466"/>
      <c r="AM22" s="466"/>
      <c r="AN22" s="466"/>
      <c r="AO22" s="466"/>
      <c r="AP22" s="266"/>
      <c r="AQ22" s="269"/>
      <c r="AR22" s="481"/>
      <c r="AS22" s="481"/>
      <c r="AT22" s="481"/>
      <c r="AU22" s="481"/>
      <c r="AV22" s="481"/>
      <c r="AW22" s="481"/>
      <c r="AX22" s="481"/>
      <c r="AY22" s="481"/>
      <c r="AZ22" s="481"/>
      <c r="BA22" s="481"/>
      <c r="BB22" s="481"/>
      <c r="BC22" s="481"/>
      <c r="BD22" s="481"/>
      <c r="BE22" s="481"/>
      <c r="BF22" s="481"/>
      <c r="BG22" s="481"/>
      <c r="BH22" s="481"/>
      <c r="BI22" s="481"/>
      <c r="BJ22" s="481"/>
      <c r="BK22" s="270"/>
    </row>
    <row r="23" spans="1:63" ht="15.75" customHeight="1">
      <c r="A23" s="951">
        <v>15</v>
      </c>
      <c r="B23" s="952"/>
      <c r="C23" s="265" t="s">
        <v>621</v>
      </c>
      <c r="D23" s="267" t="s">
        <v>475</v>
      </c>
      <c r="E23" s="466"/>
      <c r="F23" s="466"/>
      <c r="G23" s="466"/>
      <c r="H23" s="466"/>
      <c r="I23" s="466"/>
      <c r="J23" s="266"/>
      <c r="K23" s="267" t="s">
        <v>497</v>
      </c>
      <c r="L23" s="466"/>
      <c r="M23" s="466"/>
      <c r="N23" s="466"/>
      <c r="O23" s="466"/>
      <c r="P23" s="466"/>
      <c r="Q23" s="466"/>
      <c r="R23" s="466"/>
      <c r="S23" s="466"/>
      <c r="T23" s="466"/>
      <c r="U23" s="266"/>
      <c r="V23" s="268" t="s">
        <v>623</v>
      </c>
      <c r="W23" s="267" t="s">
        <v>622</v>
      </c>
      <c r="X23" s="466"/>
      <c r="Y23" s="466"/>
      <c r="Z23" s="466"/>
      <c r="AA23" s="466"/>
      <c r="AB23" s="466"/>
      <c r="AC23" s="466"/>
      <c r="AD23" s="466"/>
      <c r="AE23" s="266"/>
      <c r="AF23" s="267" t="s">
        <v>497</v>
      </c>
      <c r="AG23" s="466"/>
      <c r="AH23" s="466"/>
      <c r="AI23" s="466"/>
      <c r="AJ23" s="466"/>
      <c r="AK23" s="466"/>
      <c r="AL23" s="466"/>
      <c r="AM23" s="466"/>
      <c r="AN23" s="466"/>
      <c r="AO23" s="466"/>
      <c r="AP23" s="266"/>
      <c r="AQ23" s="269"/>
      <c r="AR23" s="481"/>
      <c r="AS23" s="481"/>
      <c r="AT23" s="481"/>
      <c r="AU23" s="481"/>
      <c r="AV23" s="481"/>
      <c r="AW23" s="481"/>
      <c r="AX23" s="481"/>
      <c r="AY23" s="481"/>
      <c r="AZ23" s="481"/>
      <c r="BA23" s="481"/>
      <c r="BB23" s="481"/>
      <c r="BC23" s="481"/>
      <c r="BD23" s="481"/>
      <c r="BE23" s="481"/>
      <c r="BF23" s="481"/>
      <c r="BG23" s="481"/>
      <c r="BH23" s="481"/>
      <c r="BI23" s="481"/>
      <c r="BJ23" s="481"/>
      <c r="BK23" s="270"/>
    </row>
    <row r="24" spans="1:63" ht="15.75" customHeight="1">
      <c r="A24" s="951">
        <v>16</v>
      </c>
      <c r="B24" s="952"/>
      <c r="C24" s="265" t="s">
        <v>621</v>
      </c>
      <c r="D24" s="267" t="s">
        <v>475</v>
      </c>
      <c r="E24" s="466"/>
      <c r="F24" s="466"/>
      <c r="G24" s="466"/>
      <c r="H24" s="466"/>
      <c r="I24" s="466"/>
      <c r="J24" s="266"/>
      <c r="K24" s="267" t="s">
        <v>499</v>
      </c>
      <c r="L24" s="466"/>
      <c r="M24" s="466"/>
      <c r="N24" s="466"/>
      <c r="O24" s="466"/>
      <c r="P24" s="466"/>
      <c r="Q24" s="466"/>
      <c r="R24" s="466"/>
      <c r="S24" s="466"/>
      <c r="T24" s="466"/>
      <c r="U24" s="266"/>
      <c r="V24" s="268" t="s">
        <v>623</v>
      </c>
      <c r="W24" s="267" t="s">
        <v>622</v>
      </c>
      <c r="X24" s="466"/>
      <c r="Y24" s="466"/>
      <c r="Z24" s="466"/>
      <c r="AA24" s="466"/>
      <c r="AB24" s="466"/>
      <c r="AC24" s="466"/>
      <c r="AD24" s="466"/>
      <c r="AE24" s="266"/>
      <c r="AF24" s="267" t="s">
        <v>499</v>
      </c>
      <c r="AG24" s="466"/>
      <c r="AH24" s="466"/>
      <c r="AI24" s="466"/>
      <c r="AJ24" s="466"/>
      <c r="AK24" s="466"/>
      <c r="AL24" s="466"/>
      <c r="AM24" s="466"/>
      <c r="AN24" s="466"/>
      <c r="AO24" s="466"/>
      <c r="AP24" s="266"/>
      <c r="AQ24" s="269"/>
      <c r="AR24" s="481"/>
      <c r="AS24" s="481"/>
      <c r="AT24" s="481"/>
      <c r="AU24" s="481"/>
      <c r="AV24" s="481"/>
      <c r="AW24" s="481"/>
      <c r="AX24" s="481"/>
      <c r="AY24" s="481"/>
      <c r="AZ24" s="481"/>
      <c r="BA24" s="481"/>
      <c r="BB24" s="481"/>
      <c r="BC24" s="481"/>
      <c r="BD24" s="481"/>
      <c r="BE24" s="481"/>
      <c r="BF24" s="481"/>
      <c r="BG24" s="481"/>
      <c r="BH24" s="481"/>
      <c r="BI24" s="481"/>
      <c r="BJ24" s="481"/>
      <c r="BK24" s="270"/>
    </row>
    <row r="25" spans="1:63" ht="15.75" customHeight="1">
      <c r="A25" s="951">
        <v>17</v>
      </c>
      <c r="B25" s="952"/>
      <c r="C25" s="265" t="s">
        <v>621</v>
      </c>
      <c r="D25" s="267" t="s">
        <v>475</v>
      </c>
      <c r="E25" s="466"/>
      <c r="F25" s="466"/>
      <c r="G25" s="466"/>
      <c r="H25" s="466"/>
      <c r="I25" s="466"/>
      <c r="J25" s="266"/>
      <c r="K25" s="267" t="s">
        <v>501</v>
      </c>
      <c r="L25" s="466"/>
      <c r="M25" s="466"/>
      <c r="N25" s="466"/>
      <c r="O25" s="466"/>
      <c r="P25" s="466"/>
      <c r="Q25" s="466"/>
      <c r="R25" s="466"/>
      <c r="S25" s="466"/>
      <c r="T25" s="466"/>
      <c r="U25" s="266"/>
      <c r="V25" s="268" t="s">
        <v>623</v>
      </c>
      <c r="W25" s="267" t="s">
        <v>622</v>
      </c>
      <c r="X25" s="466"/>
      <c r="Y25" s="466"/>
      <c r="Z25" s="466"/>
      <c r="AA25" s="466"/>
      <c r="AB25" s="466"/>
      <c r="AC25" s="466"/>
      <c r="AD25" s="466"/>
      <c r="AE25" s="266"/>
      <c r="AF25" s="267" t="s">
        <v>501</v>
      </c>
      <c r="AG25" s="466"/>
      <c r="AH25" s="466"/>
      <c r="AI25" s="466"/>
      <c r="AJ25" s="466"/>
      <c r="AK25" s="466"/>
      <c r="AL25" s="466"/>
      <c r="AM25" s="466"/>
      <c r="AN25" s="466"/>
      <c r="AO25" s="466"/>
      <c r="AP25" s="266"/>
      <c r="AQ25" s="269"/>
      <c r="AR25" s="481"/>
      <c r="AS25" s="481"/>
      <c r="AT25" s="481"/>
      <c r="AU25" s="481"/>
      <c r="AV25" s="481"/>
      <c r="AW25" s="481"/>
      <c r="AX25" s="481"/>
      <c r="AY25" s="481"/>
      <c r="AZ25" s="481"/>
      <c r="BA25" s="481"/>
      <c r="BB25" s="481"/>
      <c r="BC25" s="481"/>
      <c r="BD25" s="481"/>
      <c r="BE25" s="481"/>
      <c r="BF25" s="481"/>
      <c r="BG25" s="481"/>
      <c r="BH25" s="481"/>
      <c r="BI25" s="481"/>
      <c r="BJ25" s="481"/>
      <c r="BK25" s="270"/>
    </row>
    <row r="26" spans="1:63" ht="15.75" customHeight="1">
      <c r="A26" s="951">
        <v>18</v>
      </c>
      <c r="B26" s="952"/>
      <c r="C26" s="265" t="s">
        <v>621</v>
      </c>
      <c r="D26" s="267" t="s">
        <v>475</v>
      </c>
      <c r="E26" s="466"/>
      <c r="F26" s="466"/>
      <c r="G26" s="466"/>
      <c r="H26" s="466"/>
      <c r="I26" s="466"/>
      <c r="J26" s="266"/>
      <c r="K26" s="267" t="s">
        <v>268</v>
      </c>
      <c r="L26" s="466"/>
      <c r="M26" s="466"/>
      <c r="N26" s="466"/>
      <c r="O26" s="466"/>
      <c r="P26" s="466"/>
      <c r="Q26" s="466"/>
      <c r="R26" s="466"/>
      <c r="S26" s="466"/>
      <c r="T26" s="466"/>
      <c r="U26" s="266"/>
      <c r="V26" s="268" t="s">
        <v>623</v>
      </c>
      <c r="W26" s="267" t="s">
        <v>622</v>
      </c>
      <c r="X26" s="466"/>
      <c r="Y26" s="466"/>
      <c r="Z26" s="466"/>
      <c r="AA26" s="466"/>
      <c r="AB26" s="466"/>
      <c r="AC26" s="466"/>
      <c r="AD26" s="466"/>
      <c r="AE26" s="266"/>
      <c r="AF26" s="267" t="s">
        <v>503</v>
      </c>
      <c r="AG26" s="466"/>
      <c r="AH26" s="466"/>
      <c r="AI26" s="466"/>
      <c r="AJ26" s="466"/>
      <c r="AK26" s="466"/>
      <c r="AL26" s="466"/>
      <c r="AM26" s="466"/>
      <c r="AN26" s="466"/>
      <c r="AO26" s="466"/>
      <c r="AP26" s="266"/>
      <c r="AQ26" s="269"/>
      <c r="AR26" s="481"/>
      <c r="AS26" s="481"/>
      <c r="AT26" s="481"/>
      <c r="AU26" s="481"/>
      <c r="AV26" s="481"/>
      <c r="AW26" s="481"/>
      <c r="AX26" s="481"/>
      <c r="AY26" s="481"/>
      <c r="AZ26" s="481"/>
      <c r="BA26" s="481"/>
      <c r="BB26" s="481"/>
      <c r="BC26" s="481"/>
      <c r="BD26" s="481"/>
      <c r="BE26" s="481"/>
      <c r="BF26" s="481"/>
      <c r="BG26" s="481"/>
      <c r="BH26" s="481"/>
      <c r="BI26" s="481"/>
      <c r="BJ26" s="481"/>
      <c r="BK26" s="270"/>
    </row>
    <row r="27" spans="1:63" ht="15.75" customHeight="1">
      <c r="A27" s="951">
        <v>19</v>
      </c>
      <c r="B27" s="952"/>
      <c r="C27" s="265" t="s">
        <v>621</v>
      </c>
      <c r="D27" s="267" t="s">
        <v>475</v>
      </c>
      <c r="E27" s="466"/>
      <c r="F27" s="466"/>
      <c r="G27" s="466"/>
      <c r="H27" s="466"/>
      <c r="I27" s="466"/>
      <c r="J27" s="266"/>
      <c r="K27" s="267" t="s">
        <v>289</v>
      </c>
      <c r="L27" s="466"/>
      <c r="M27" s="466"/>
      <c r="N27" s="466"/>
      <c r="O27" s="466"/>
      <c r="P27" s="466"/>
      <c r="Q27" s="466"/>
      <c r="R27" s="466"/>
      <c r="S27" s="466"/>
      <c r="T27" s="466"/>
      <c r="U27" s="266"/>
      <c r="V27" s="268" t="s">
        <v>623</v>
      </c>
      <c r="W27" s="267" t="s">
        <v>622</v>
      </c>
      <c r="X27" s="466"/>
      <c r="Y27" s="466"/>
      <c r="Z27" s="466"/>
      <c r="AA27" s="466"/>
      <c r="AB27" s="466"/>
      <c r="AC27" s="466"/>
      <c r="AD27" s="466"/>
      <c r="AE27" s="266"/>
      <c r="AF27" s="267" t="s">
        <v>289</v>
      </c>
      <c r="AG27" s="466"/>
      <c r="AH27" s="466"/>
      <c r="AI27" s="466"/>
      <c r="AJ27" s="466"/>
      <c r="AK27" s="466"/>
      <c r="AL27" s="466"/>
      <c r="AM27" s="466"/>
      <c r="AN27" s="466"/>
      <c r="AO27" s="466"/>
      <c r="AP27" s="266"/>
      <c r="AQ27" s="269"/>
      <c r="AR27" s="481"/>
      <c r="AS27" s="481"/>
      <c r="AT27" s="481"/>
      <c r="AU27" s="481"/>
      <c r="AV27" s="481"/>
      <c r="AW27" s="481"/>
      <c r="AX27" s="481"/>
      <c r="AY27" s="481"/>
      <c r="AZ27" s="481"/>
      <c r="BA27" s="481"/>
      <c r="BB27" s="481"/>
      <c r="BC27" s="481"/>
      <c r="BD27" s="481"/>
      <c r="BE27" s="481"/>
      <c r="BF27" s="481"/>
      <c r="BG27" s="481"/>
      <c r="BH27" s="481"/>
      <c r="BI27" s="481"/>
      <c r="BJ27" s="481"/>
      <c r="BK27" s="270"/>
    </row>
    <row r="28" spans="1:63" ht="15.75" customHeight="1" thickBot="1">
      <c r="A28" s="953"/>
      <c r="B28" s="954"/>
      <c r="C28" s="271"/>
      <c r="D28" s="98"/>
      <c r="E28" s="96"/>
      <c r="F28" s="96"/>
      <c r="G28" s="96"/>
      <c r="H28" s="96"/>
      <c r="I28" s="96"/>
      <c r="J28" s="97"/>
      <c r="K28" s="98"/>
      <c r="L28" s="96"/>
      <c r="M28" s="96"/>
      <c r="N28" s="96"/>
      <c r="O28" s="96"/>
      <c r="P28" s="96"/>
      <c r="Q28" s="96"/>
      <c r="R28" s="96"/>
      <c r="S28" s="96"/>
      <c r="T28" s="96"/>
      <c r="U28" s="97"/>
      <c r="V28" s="272"/>
      <c r="W28" s="98"/>
      <c r="X28" s="96"/>
      <c r="Y28" s="96"/>
      <c r="Z28" s="96"/>
      <c r="AA28" s="96"/>
      <c r="AB28" s="96"/>
      <c r="AC28" s="96"/>
      <c r="AD28" s="96"/>
      <c r="AE28" s="97"/>
      <c r="AF28" s="98"/>
      <c r="AG28" s="96"/>
      <c r="AH28" s="96"/>
      <c r="AI28" s="96"/>
      <c r="AJ28" s="96"/>
      <c r="AK28" s="96"/>
      <c r="AL28" s="96"/>
      <c r="AM28" s="96"/>
      <c r="AN28" s="96"/>
      <c r="AO28" s="96"/>
      <c r="AP28" s="97"/>
      <c r="AQ28" s="273"/>
      <c r="AR28" s="274"/>
      <c r="AS28" s="274"/>
      <c r="AT28" s="274"/>
      <c r="AU28" s="274"/>
      <c r="AV28" s="274"/>
      <c r="AW28" s="274"/>
      <c r="AX28" s="274"/>
      <c r="AY28" s="274"/>
      <c r="AZ28" s="274"/>
      <c r="BA28" s="274"/>
      <c r="BB28" s="274"/>
      <c r="BC28" s="274"/>
      <c r="BD28" s="274"/>
      <c r="BE28" s="274"/>
      <c r="BF28" s="274"/>
      <c r="BG28" s="274"/>
      <c r="BH28" s="274"/>
      <c r="BI28" s="274"/>
      <c r="BJ28" s="274"/>
      <c r="BK28" s="275"/>
    </row>
  </sheetData>
  <mergeCells count="41">
    <mergeCell ref="A11:B11"/>
    <mergeCell ref="A13:B13"/>
    <mergeCell ref="A15:B15"/>
    <mergeCell ref="A27:B27"/>
    <mergeCell ref="A28:B28"/>
    <mergeCell ref="A22:B22"/>
    <mergeCell ref="A23:B23"/>
    <mergeCell ref="A24:B24"/>
    <mergeCell ref="A25:B25"/>
    <mergeCell ref="A26:B26"/>
    <mergeCell ref="A17:B17"/>
    <mergeCell ref="A18:B18"/>
    <mergeCell ref="A19:B19"/>
    <mergeCell ref="A20:B20"/>
    <mergeCell ref="A21:B21"/>
    <mergeCell ref="BF1:BK1"/>
    <mergeCell ref="A12:B12"/>
    <mergeCell ref="A16:B16"/>
    <mergeCell ref="A14:B14"/>
    <mergeCell ref="A10:B10"/>
    <mergeCell ref="BF2:BK3"/>
    <mergeCell ref="K3:T3"/>
    <mergeCell ref="U3:Y3"/>
    <mergeCell ref="Z3:AD3"/>
    <mergeCell ref="AE3:AR3"/>
    <mergeCell ref="A9:B9"/>
    <mergeCell ref="AS2:AY3"/>
    <mergeCell ref="AZ2:BE3"/>
    <mergeCell ref="A1:J3"/>
    <mergeCell ref="K1:T1"/>
    <mergeCell ref="U1:Y1"/>
    <mergeCell ref="Z1:AD1"/>
    <mergeCell ref="K2:T2"/>
    <mergeCell ref="U2:Y2"/>
    <mergeCell ref="Z2:AD2"/>
    <mergeCell ref="AE2:AI2"/>
    <mergeCell ref="AJ2:AR2"/>
    <mergeCell ref="AE1:AI1"/>
    <mergeCell ref="AJ1:AR1"/>
    <mergeCell ref="AS1:AY1"/>
    <mergeCell ref="AZ1:BE1"/>
  </mergeCells>
  <phoneticPr fontId="8"/>
  <dataValidations count="1">
    <dataValidation imeMode="off" allowBlank="1" showInputMessage="1" showErrorMessage="1" sqref="D9:J28 W9:AE28" xr:uid="{53C2F3ED-CDDF-4DDF-87CE-42AA45E4D04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C75F-8B77-4B89-B089-EE4E3D5729AA}">
  <sheetPr codeName="Sheet14">
    <pageSetUpPr fitToPage="1"/>
  </sheetPr>
  <dimension ref="A1:CI37"/>
  <sheetViews>
    <sheetView showGridLines="0" showZeros="0" view="pageBreakPreview" zoomScaleNormal="100" zoomScaleSheetLayoutView="100" workbookViewId="0">
      <selection sqref="A1:J3"/>
    </sheetView>
  </sheetViews>
  <sheetFormatPr defaultColWidth="2.125" defaultRowHeight="15.75" customHeight="1"/>
  <cols>
    <col min="1" max="1" width="2.125" style="223"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44"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87" s="144"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87" s="144"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87" s="144" customFormat="1" ht="6.75" customHeight="1" thickBot="1">
      <c r="B4" s="145"/>
      <c r="C4" s="146"/>
      <c r="D4" s="146"/>
      <c r="E4" s="146"/>
      <c r="F4" s="147"/>
      <c r="G4" s="147"/>
      <c r="H4" s="147"/>
      <c r="I4" s="147"/>
      <c r="J4" s="146"/>
      <c r="K4" s="147"/>
      <c r="L4" s="147"/>
      <c r="M4" s="147"/>
      <c r="N4" s="147"/>
      <c r="O4" s="147"/>
      <c r="P4" s="147"/>
      <c r="Q4" s="148"/>
    </row>
    <row r="5" spans="1:87" ht="15.75" customHeight="1" thickBot="1">
      <c r="A5" s="250" t="s">
        <v>624</v>
      </c>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1"/>
      <c r="BL5" s="251"/>
      <c r="BM5" s="251"/>
      <c r="BN5" s="251"/>
      <c r="BO5" s="251"/>
      <c r="BP5" s="251"/>
      <c r="BQ5" s="251"/>
      <c r="BR5" s="251"/>
      <c r="BS5" s="251"/>
      <c r="BT5" s="251"/>
      <c r="BU5" s="251"/>
      <c r="BV5" s="251"/>
      <c r="BW5" s="251"/>
      <c r="BX5" s="251"/>
      <c r="BY5" s="251"/>
      <c r="BZ5" s="251"/>
      <c r="CA5" s="251"/>
      <c r="CB5" s="251"/>
      <c r="CC5" s="251"/>
      <c r="CD5" s="251"/>
      <c r="CE5" s="251"/>
      <c r="CF5" s="251"/>
      <c r="CG5" s="251"/>
      <c r="CH5" s="252"/>
    </row>
    <row r="6" spans="1:87" ht="15.75" customHeight="1" thickBot="1">
      <c r="A6" s="336" t="s">
        <v>625</v>
      </c>
      <c r="B6" s="337"/>
      <c r="C6" s="338" t="s">
        <v>626</v>
      </c>
      <c r="D6" s="339"/>
      <c r="E6" s="339" t="s">
        <v>627</v>
      </c>
      <c r="F6" s="339"/>
      <c r="G6" s="339"/>
      <c r="H6" s="339"/>
      <c r="I6" s="339"/>
      <c r="J6" s="339"/>
      <c r="K6" s="339"/>
      <c r="L6" s="339"/>
      <c r="M6" s="339"/>
      <c r="N6" s="339"/>
      <c r="O6" s="339"/>
      <c r="P6" s="339"/>
      <c r="Q6" s="339"/>
      <c r="R6" s="339"/>
      <c r="S6" s="339"/>
      <c r="T6" s="339"/>
      <c r="U6" s="339"/>
      <c r="V6" s="339"/>
      <c r="W6" s="339"/>
      <c r="X6" s="339"/>
      <c r="Y6" s="339"/>
      <c r="Z6" s="339"/>
      <c r="AA6" s="339"/>
      <c r="AB6" s="339"/>
      <c r="AC6" s="339"/>
      <c r="AD6" s="339"/>
      <c r="AE6" s="339"/>
      <c r="AF6" s="339"/>
      <c r="AG6" s="339"/>
      <c r="AH6" s="339"/>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c r="BI6" s="339"/>
      <c r="BJ6" s="339"/>
      <c r="BK6" s="339"/>
      <c r="BL6" s="339"/>
      <c r="BM6" s="339"/>
      <c r="BN6" s="339"/>
      <c r="BO6" s="339"/>
      <c r="BP6" s="339"/>
      <c r="BQ6" s="339"/>
      <c r="BR6" s="339"/>
      <c r="BS6" s="339"/>
      <c r="BT6" s="339"/>
      <c r="BU6" s="339"/>
      <c r="BV6" s="339"/>
      <c r="BW6" s="339"/>
      <c r="BX6" s="339"/>
      <c r="BY6" s="339"/>
      <c r="BZ6" s="339"/>
      <c r="CA6" s="339"/>
      <c r="CB6" s="339"/>
      <c r="CC6" s="339"/>
      <c r="CD6" s="339"/>
      <c r="CE6" s="339"/>
      <c r="CF6" s="339"/>
      <c r="CG6" s="339"/>
      <c r="CH6" s="340"/>
      <c r="CI6" s="210"/>
    </row>
    <row r="7" spans="1:87" ht="15.75" customHeight="1">
      <c r="A7" s="156"/>
      <c r="K7" s="210"/>
      <c r="CH7" s="100"/>
    </row>
    <row r="8" spans="1:87" ht="15.75" customHeight="1">
      <c r="A8" s="156"/>
      <c r="K8" s="210"/>
      <c r="CH8" s="100"/>
    </row>
    <row r="9" spans="1:87" ht="15.75" customHeight="1">
      <c r="A9" s="156"/>
      <c r="D9" s="210" t="s">
        <v>628</v>
      </c>
      <c r="K9" s="210"/>
      <c r="CH9" s="100"/>
    </row>
    <row r="10" spans="1:87" ht="15.75" customHeight="1">
      <c r="A10" s="156"/>
      <c r="D10" s="1" t="s">
        <v>629</v>
      </c>
      <c r="K10" s="210"/>
      <c r="R10" s="210"/>
      <c r="AI10" s="210" t="s">
        <v>630</v>
      </c>
      <c r="CH10" s="100"/>
    </row>
    <row r="11" spans="1:87" ht="15.75" customHeight="1">
      <c r="A11" s="156"/>
      <c r="K11" s="210"/>
      <c r="AI11" s="1" t="s">
        <v>631</v>
      </c>
      <c r="CH11" s="100"/>
    </row>
    <row r="12" spans="1:87" ht="15.75" customHeight="1">
      <c r="A12" s="156"/>
      <c r="D12" s="210"/>
      <c r="E12" s="210"/>
      <c r="F12" s="210"/>
      <c r="G12" s="210"/>
      <c r="H12" s="210"/>
      <c r="I12" s="210"/>
      <c r="J12" s="210"/>
      <c r="K12" s="210" t="s">
        <v>600</v>
      </c>
      <c r="R12" s="210" t="s">
        <v>128</v>
      </c>
      <c r="T12" s="210"/>
      <c r="U12" s="210"/>
      <c r="V12" s="210"/>
      <c r="W12" s="210"/>
      <c r="Y12" s="210"/>
      <c r="Z12" s="210"/>
      <c r="AA12" s="210"/>
      <c r="AB12" s="210"/>
      <c r="AC12" s="210"/>
      <c r="AE12" s="210"/>
      <c r="AF12" s="210"/>
      <c r="AG12" s="210"/>
      <c r="AH12" s="210"/>
      <c r="AI12" s="210" t="s">
        <v>632</v>
      </c>
      <c r="AJ12" s="210"/>
      <c r="AK12" s="210"/>
      <c r="AL12" s="210"/>
      <c r="AM12" s="210"/>
      <c r="AN12" s="210"/>
      <c r="AO12" s="210"/>
      <c r="AP12" s="210"/>
      <c r="AQ12" s="210"/>
      <c r="AR12" s="210"/>
      <c r="AS12" s="210"/>
      <c r="AT12" s="210"/>
      <c r="AU12" s="210"/>
      <c r="AW12" s="210"/>
      <c r="AX12" s="210"/>
      <c r="AY12" s="210"/>
      <c r="AZ12" s="210"/>
      <c r="BA12" s="210"/>
      <c r="BB12" s="210"/>
      <c r="BC12" s="210"/>
      <c r="BD12" s="210"/>
      <c r="CH12" s="100"/>
    </row>
    <row r="13" spans="1:87" ht="15.75" customHeight="1">
      <c r="A13" s="156"/>
      <c r="D13" s="210"/>
      <c r="E13" s="210"/>
      <c r="F13" s="210"/>
      <c r="G13" s="210"/>
      <c r="H13" s="210"/>
      <c r="I13" s="210"/>
      <c r="J13" s="210"/>
      <c r="K13" s="210"/>
      <c r="R13" s="210"/>
      <c r="S13" s="210"/>
      <c r="T13" s="210"/>
      <c r="U13" s="210"/>
      <c r="V13" s="210"/>
      <c r="W13" s="210"/>
      <c r="X13" s="210" t="s">
        <v>633</v>
      </c>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CH13" s="100"/>
    </row>
    <row r="14" spans="1:87" ht="15.75" customHeight="1">
      <c r="A14" s="156"/>
      <c r="D14" s="210"/>
      <c r="E14" s="210"/>
      <c r="F14" s="210"/>
      <c r="G14" s="210"/>
      <c r="H14" s="210"/>
      <c r="I14" s="210"/>
      <c r="J14" s="210"/>
      <c r="K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CH14" s="100"/>
    </row>
    <row r="15" spans="1:87" ht="15.75" customHeight="1">
      <c r="A15" s="156"/>
      <c r="D15" s="210" t="s">
        <v>634</v>
      </c>
      <c r="K15" s="210" t="s">
        <v>600</v>
      </c>
      <c r="CH15" s="100"/>
    </row>
    <row r="16" spans="1:87" ht="15.75" customHeight="1">
      <c r="A16" s="156"/>
      <c r="D16" s="1" t="s">
        <v>635</v>
      </c>
      <c r="K16" s="210"/>
      <c r="CH16" s="100"/>
    </row>
    <row r="17" spans="1:87" ht="15.75" customHeight="1">
      <c r="A17" s="156"/>
      <c r="K17" s="210"/>
      <c r="CH17" s="100"/>
    </row>
    <row r="18" spans="1:87" ht="15.75" customHeight="1">
      <c r="A18" s="156"/>
      <c r="K18" s="210"/>
      <c r="CH18" s="100"/>
    </row>
    <row r="19" spans="1:87" ht="15.75" customHeight="1">
      <c r="A19" s="156"/>
      <c r="K19" s="210"/>
      <c r="CH19" s="100"/>
    </row>
    <row r="20" spans="1:87" ht="15.75" customHeight="1">
      <c r="A20" s="156"/>
      <c r="CH20" s="100"/>
    </row>
    <row r="21" spans="1:87" ht="15.75" customHeight="1" thickBot="1">
      <c r="A21" s="160"/>
      <c r="B21" s="435"/>
      <c r="C21" s="435"/>
      <c r="D21" s="435"/>
      <c r="E21" s="435"/>
      <c r="F21" s="435"/>
      <c r="G21" s="435"/>
      <c r="H21" s="435"/>
      <c r="I21" s="435"/>
      <c r="J21" s="435"/>
      <c r="K21" s="435"/>
      <c r="L21" s="435"/>
      <c r="M21" s="435"/>
      <c r="N21" s="435"/>
      <c r="O21" s="435"/>
      <c r="P21" s="435"/>
      <c r="Q21" s="435"/>
      <c r="R21" s="435"/>
      <c r="S21" s="435"/>
      <c r="T21" s="435"/>
      <c r="U21" s="435"/>
      <c r="V21" s="435"/>
      <c r="W21" s="435"/>
      <c r="X21" s="435"/>
      <c r="Y21" s="435"/>
      <c r="Z21" s="435"/>
      <c r="AA21" s="435"/>
      <c r="AB21" s="435"/>
      <c r="AC21" s="435"/>
      <c r="AD21" s="435"/>
      <c r="AE21" s="435"/>
      <c r="AF21" s="435"/>
      <c r="AG21" s="435"/>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435"/>
      <c r="BD21" s="435"/>
      <c r="BE21" s="435"/>
      <c r="BF21" s="435"/>
      <c r="BG21" s="435"/>
      <c r="BH21" s="435"/>
      <c r="BI21" s="435"/>
      <c r="BJ21" s="435"/>
      <c r="BK21" s="435"/>
      <c r="BL21" s="435"/>
      <c r="BM21" s="435"/>
      <c r="BN21" s="435"/>
      <c r="BO21" s="435"/>
      <c r="BP21" s="435"/>
      <c r="BQ21" s="435"/>
      <c r="BR21" s="435"/>
      <c r="BS21" s="435"/>
      <c r="BT21" s="435"/>
      <c r="BU21" s="435"/>
      <c r="BV21" s="435"/>
      <c r="BW21" s="435"/>
      <c r="BX21" s="435"/>
      <c r="BY21" s="435"/>
      <c r="BZ21" s="435"/>
      <c r="CA21" s="435"/>
      <c r="CB21" s="435"/>
      <c r="CC21" s="435"/>
      <c r="CD21" s="435"/>
      <c r="CE21" s="435"/>
      <c r="CF21" s="435"/>
      <c r="CG21" s="435"/>
      <c r="CH21" s="341"/>
    </row>
    <row r="22" spans="1:87" ht="15.75" customHeight="1">
      <c r="A22" s="149" t="s">
        <v>636</v>
      </c>
      <c r="B22" s="150"/>
      <c r="C22" s="150"/>
      <c r="D22" s="151" t="s">
        <v>637</v>
      </c>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3"/>
    </row>
    <row r="23" spans="1:87" ht="15.75" customHeight="1">
      <c r="A23" s="154" t="s">
        <v>626</v>
      </c>
      <c r="B23" s="466"/>
      <c r="C23" s="479"/>
      <c r="D23" s="267" t="s">
        <v>638</v>
      </c>
      <c r="E23" s="466"/>
      <c r="F23" s="466"/>
      <c r="G23" s="466"/>
      <c r="H23" s="466"/>
      <c r="I23" s="466"/>
      <c r="J23" s="466"/>
      <c r="K23" s="466"/>
      <c r="L23" s="466"/>
      <c r="M23" s="466"/>
      <c r="N23" s="466"/>
      <c r="O23" s="466"/>
      <c r="P23" s="466"/>
      <c r="Q23" s="466"/>
      <c r="R23" s="466"/>
      <c r="S23" s="466"/>
      <c r="T23" s="466"/>
      <c r="U23" s="466"/>
      <c r="V23" s="466"/>
      <c r="W23" s="466"/>
      <c r="X23" s="466"/>
      <c r="Y23" s="466"/>
      <c r="Z23" s="466"/>
      <c r="AA23" s="466"/>
      <c r="AB23" s="466"/>
      <c r="AC23" s="466"/>
      <c r="AD23" s="466"/>
      <c r="AE23" s="466"/>
      <c r="AF23" s="466"/>
      <c r="AG23" s="466"/>
      <c r="AH23" s="466"/>
      <c r="AI23" s="466"/>
      <c r="AJ23" s="466"/>
      <c r="AK23" s="466"/>
      <c r="AL23" s="466"/>
      <c r="AM23" s="466"/>
      <c r="AN23" s="466"/>
      <c r="AO23" s="466"/>
      <c r="AP23" s="466"/>
      <c r="AQ23" s="466"/>
      <c r="AR23" s="466"/>
      <c r="AS23" s="466"/>
      <c r="AT23" s="466"/>
      <c r="AU23" s="466"/>
      <c r="AV23" s="466"/>
      <c r="AW23" s="466"/>
      <c r="AX23" s="466"/>
      <c r="AY23" s="466"/>
      <c r="AZ23" s="466"/>
      <c r="BA23" s="466"/>
      <c r="BB23" s="466"/>
      <c r="BC23" s="466"/>
      <c r="BD23" s="466"/>
      <c r="BE23" s="466"/>
      <c r="BF23" s="466"/>
      <c r="BG23" s="466"/>
      <c r="BH23" s="466"/>
      <c r="BI23" s="466"/>
      <c r="BJ23" s="466"/>
      <c r="BK23" s="466"/>
      <c r="BL23" s="466"/>
      <c r="BM23" s="466"/>
      <c r="BN23" s="466"/>
      <c r="BO23" s="466"/>
      <c r="BP23" s="466"/>
      <c r="BQ23" s="466"/>
      <c r="BR23" s="466"/>
      <c r="BS23" s="466"/>
      <c r="BT23" s="466"/>
      <c r="BU23" s="466"/>
      <c r="BV23" s="466"/>
      <c r="BW23" s="466"/>
      <c r="BX23" s="466"/>
      <c r="BY23" s="466"/>
      <c r="BZ23" s="466"/>
      <c r="CA23" s="466"/>
      <c r="CB23" s="466"/>
      <c r="CC23" s="466"/>
      <c r="CD23" s="466"/>
      <c r="CE23" s="466"/>
      <c r="CF23" s="466"/>
      <c r="CG23" s="466"/>
      <c r="CH23" s="312"/>
    </row>
    <row r="24" spans="1:87" s="157" customFormat="1" ht="15.75" customHeight="1">
      <c r="A24" s="155"/>
      <c r="B24" s="424"/>
      <c r="C24" s="424"/>
      <c r="D24" s="424"/>
      <c r="E24" s="424"/>
      <c r="F24" s="424"/>
      <c r="G24" s="436"/>
      <c r="H24" s="424"/>
      <c r="I24" s="424"/>
      <c r="J24" s="424"/>
      <c r="K24" s="424"/>
      <c r="L24" s="424"/>
      <c r="M24" s="424"/>
      <c r="N24" s="424"/>
      <c r="O24" s="424"/>
      <c r="P24" s="424"/>
      <c r="Q24" s="437"/>
      <c r="R24" s="424"/>
      <c r="S24" s="424"/>
      <c r="T24" s="424"/>
      <c r="U24" s="424"/>
      <c r="V24" s="424"/>
      <c r="W24" s="424"/>
      <c r="X24" s="424"/>
      <c r="Y24" s="424"/>
      <c r="Z24" s="424"/>
      <c r="AA24" s="424"/>
      <c r="AB24" s="424"/>
      <c r="AC24" s="424"/>
      <c r="AD24" s="424"/>
      <c r="AE24" s="424"/>
      <c r="AF24" s="424"/>
      <c r="AG24" s="424"/>
      <c r="AH24" s="424"/>
      <c r="AI24" s="424"/>
      <c r="AJ24" s="424"/>
      <c r="AK24" s="424"/>
      <c r="AL24" s="424"/>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4"/>
      <c r="BM24" s="1"/>
      <c r="BN24" s="1"/>
      <c r="BO24" s="1"/>
      <c r="BP24" s="1"/>
      <c r="BQ24" s="1"/>
      <c r="BR24" s="1"/>
      <c r="BS24" s="1"/>
      <c r="BT24" s="1"/>
      <c r="BU24" s="1"/>
      <c r="BV24" s="1"/>
      <c r="BW24" s="1"/>
      <c r="BX24" s="1"/>
      <c r="BY24" s="1"/>
      <c r="BZ24" s="1"/>
      <c r="CA24" s="1"/>
      <c r="CB24" s="1"/>
      <c r="CC24" s="1"/>
      <c r="CD24" s="1"/>
      <c r="CE24" s="1"/>
      <c r="CF24" s="1"/>
      <c r="CG24" s="1"/>
      <c r="CH24" s="427"/>
      <c r="CI24" s="1"/>
    </row>
    <row r="25" spans="1:87" s="157" customFormat="1" ht="15.75" customHeight="1">
      <c r="A25" s="342"/>
      <c r="B25" s="343" t="s">
        <v>639</v>
      </c>
      <c r="C25" s="344"/>
      <c r="D25" s="343" t="s">
        <v>640</v>
      </c>
      <c r="E25" s="483"/>
      <c r="F25" s="484"/>
      <c r="G25" s="344"/>
      <c r="H25" s="343" t="s">
        <v>641</v>
      </c>
      <c r="I25" s="483"/>
      <c r="J25" s="483"/>
      <c r="K25" s="483"/>
      <c r="L25" s="483"/>
      <c r="M25" s="483"/>
      <c r="N25" s="483"/>
      <c r="O25" s="485"/>
      <c r="P25" s="344"/>
      <c r="Q25" s="343" t="s">
        <v>642</v>
      </c>
      <c r="R25" s="483"/>
      <c r="S25" s="483"/>
      <c r="T25" s="484"/>
      <c r="U25" s="344"/>
      <c r="V25" s="343" t="s">
        <v>643</v>
      </c>
      <c r="W25" s="483"/>
      <c r="X25" s="483"/>
      <c r="Y25" s="483"/>
      <c r="Z25" s="483"/>
      <c r="AA25" s="483"/>
      <c r="AB25" s="483"/>
      <c r="AC25" s="485"/>
      <c r="AD25" s="344"/>
      <c r="AE25" s="343" t="s">
        <v>644</v>
      </c>
      <c r="AF25" s="483"/>
      <c r="AG25" s="483"/>
      <c r="AH25" s="485"/>
      <c r="AI25" s="344"/>
      <c r="AJ25" s="343" t="s">
        <v>645</v>
      </c>
      <c r="AK25" s="483"/>
      <c r="AL25" s="483"/>
      <c r="AM25" s="483"/>
      <c r="AN25" s="485"/>
      <c r="AO25" s="483"/>
      <c r="AP25" s="483"/>
      <c r="AQ25" s="485"/>
      <c r="AR25" s="344"/>
      <c r="AS25" s="343" t="s">
        <v>646</v>
      </c>
      <c r="AT25" s="483"/>
      <c r="AU25" s="483"/>
      <c r="AV25" s="483"/>
      <c r="AW25" s="483"/>
      <c r="AX25" s="483"/>
      <c r="AY25" s="483"/>
      <c r="AZ25" s="483"/>
      <c r="BA25" s="485"/>
      <c r="BB25" s="344"/>
      <c r="BC25" s="343" t="s">
        <v>647</v>
      </c>
      <c r="BD25" s="483"/>
      <c r="BE25" s="483"/>
      <c r="BF25" s="483"/>
      <c r="BG25" s="483"/>
      <c r="BH25" s="483"/>
      <c r="BI25" s="483"/>
      <c r="BJ25" s="485"/>
      <c r="BK25" s="344"/>
      <c r="BL25" s="343" t="s">
        <v>648</v>
      </c>
      <c r="BM25" s="483"/>
      <c r="BN25" s="483"/>
      <c r="BO25" s="485"/>
      <c r="BP25" s="483"/>
      <c r="BQ25" s="483"/>
      <c r="BR25" s="483"/>
      <c r="BS25" s="483"/>
      <c r="BT25" s="485"/>
      <c r="BU25" s="344"/>
      <c r="BV25" s="343" t="s">
        <v>597</v>
      </c>
      <c r="BW25" s="483"/>
      <c r="BX25" s="483"/>
      <c r="BY25" s="483"/>
      <c r="BZ25" s="483"/>
      <c r="CA25" s="483"/>
      <c r="CB25" s="483"/>
      <c r="CC25" s="483"/>
      <c r="CD25" s="485"/>
      <c r="CE25" s="483"/>
      <c r="CF25" s="485"/>
      <c r="CG25" s="344"/>
      <c r="CH25" s="345"/>
    </row>
    <row r="26" spans="1:87" s="157" customFormat="1" ht="15.75" customHeight="1">
      <c r="A26" s="342"/>
      <c r="B26" s="972">
        <v>1</v>
      </c>
      <c r="C26" s="973"/>
      <c r="D26" s="346" t="s">
        <v>127</v>
      </c>
      <c r="E26" s="486"/>
      <c r="F26" s="487"/>
      <c r="G26" s="347"/>
      <c r="H26" s="346" t="s">
        <v>128</v>
      </c>
      <c r="I26" s="486"/>
      <c r="J26" s="486"/>
      <c r="K26" s="486"/>
      <c r="L26" s="486"/>
      <c r="M26" s="486"/>
      <c r="N26" s="486"/>
      <c r="O26" s="488"/>
      <c r="P26" s="347"/>
      <c r="Q26" s="346" t="s">
        <v>649</v>
      </c>
      <c r="R26" s="486"/>
      <c r="S26" s="486"/>
      <c r="T26" s="487"/>
      <c r="U26" s="347"/>
      <c r="V26" s="346" t="s">
        <v>650</v>
      </c>
      <c r="W26" s="486"/>
      <c r="X26" s="486"/>
      <c r="Y26" s="486"/>
      <c r="Z26" s="486"/>
      <c r="AA26" s="486"/>
      <c r="AB26" s="486"/>
      <c r="AC26" s="488"/>
      <c r="AD26" s="347"/>
      <c r="AE26" s="346" t="s">
        <v>651</v>
      </c>
      <c r="AF26" s="486"/>
      <c r="AG26" s="486"/>
      <c r="AH26" s="488"/>
      <c r="AI26" s="347"/>
      <c r="AJ26" s="346" t="s">
        <v>652</v>
      </c>
      <c r="AK26" s="486"/>
      <c r="AL26" s="486"/>
      <c r="AM26" s="486"/>
      <c r="AN26" s="488"/>
      <c r="AO26" s="486"/>
      <c r="AP26" s="486"/>
      <c r="AQ26" s="488"/>
      <c r="AR26" s="347"/>
      <c r="AS26" s="346" t="s">
        <v>600</v>
      </c>
      <c r="AT26" s="486"/>
      <c r="AU26" s="486"/>
      <c r="AV26" s="486"/>
      <c r="AW26" s="486"/>
      <c r="AX26" s="486"/>
      <c r="AY26" s="486"/>
      <c r="AZ26" s="486"/>
      <c r="BA26" s="488"/>
      <c r="BB26" s="347"/>
      <c r="BC26" s="346"/>
      <c r="BD26" s="486"/>
      <c r="BE26" s="486"/>
      <c r="BF26" s="486"/>
      <c r="BG26" s="486"/>
      <c r="BH26" s="486"/>
      <c r="BI26" s="486"/>
      <c r="BJ26" s="488"/>
      <c r="BK26" s="347"/>
      <c r="BL26" s="346"/>
      <c r="BM26" s="486"/>
      <c r="BN26" s="486"/>
      <c r="BO26" s="488"/>
      <c r="BP26" s="486"/>
      <c r="BQ26" s="486"/>
      <c r="BR26" s="486"/>
      <c r="BS26" s="486"/>
      <c r="BT26" s="488"/>
      <c r="BU26" s="347"/>
      <c r="BV26" s="346" t="s">
        <v>653</v>
      </c>
      <c r="BW26" s="486"/>
      <c r="BX26" s="486"/>
      <c r="BY26" s="486"/>
      <c r="BZ26" s="486"/>
      <c r="CA26" s="486"/>
      <c r="CB26" s="486"/>
      <c r="CC26" s="486"/>
      <c r="CD26" s="488"/>
      <c r="CE26" s="486"/>
      <c r="CF26" s="488"/>
      <c r="CG26" s="347"/>
      <c r="CH26" s="345"/>
    </row>
    <row r="27" spans="1:87" s="157" customFormat="1" ht="15.75" customHeight="1">
      <c r="A27" s="342"/>
      <c r="B27" s="972">
        <v>2</v>
      </c>
      <c r="C27" s="973"/>
      <c r="D27" s="346" t="s">
        <v>127</v>
      </c>
      <c r="E27" s="486"/>
      <c r="F27" s="487"/>
      <c r="G27" s="347"/>
      <c r="H27" s="346" t="s">
        <v>654</v>
      </c>
      <c r="I27" s="486"/>
      <c r="J27" s="486"/>
      <c r="K27" s="486"/>
      <c r="L27" s="486"/>
      <c r="M27" s="486"/>
      <c r="N27" s="486"/>
      <c r="O27" s="488"/>
      <c r="P27" s="347"/>
      <c r="Q27" s="346" t="s">
        <v>655</v>
      </c>
      <c r="R27" s="486"/>
      <c r="S27" s="486"/>
      <c r="T27" s="487"/>
      <c r="U27" s="347"/>
      <c r="V27" s="346" t="s">
        <v>656</v>
      </c>
      <c r="W27" s="486"/>
      <c r="X27" s="486"/>
      <c r="Y27" s="486"/>
      <c r="Z27" s="486"/>
      <c r="AA27" s="486"/>
      <c r="AB27" s="486"/>
      <c r="AC27" s="488"/>
      <c r="AD27" s="347"/>
      <c r="AE27" s="346" t="s">
        <v>657</v>
      </c>
      <c r="AF27" s="486"/>
      <c r="AG27" s="486"/>
      <c r="AH27" s="488"/>
      <c r="AI27" s="347"/>
      <c r="AJ27" s="346" t="s">
        <v>658</v>
      </c>
      <c r="AK27" s="486"/>
      <c r="AL27" s="486"/>
      <c r="AM27" s="486"/>
      <c r="AN27" s="488"/>
      <c r="AO27" s="486"/>
      <c r="AP27" s="486"/>
      <c r="AQ27" s="488"/>
      <c r="AR27" s="347"/>
      <c r="AS27" s="346" t="s">
        <v>659</v>
      </c>
      <c r="AT27" s="486"/>
      <c r="AU27" s="486"/>
      <c r="AV27" s="486"/>
      <c r="AW27" s="486"/>
      <c r="AX27" s="486"/>
      <c r="AY27" s="486"/>
      <c r="AZ27" s="486"/>
      <c r="BA27" s="488"/>
      <c r="BB27" s="347"/>
      <c r="BC27" s="346" t="s">
        <v>660</v>
      </c>
      <c r="BD27" s="486"/>
      <c r="BE27" s="486"/>
      <c r="BF27" s="486"/>
      <c r="BG27" s="486"/>
      <c r="BH27" s="486"/>
      <c r="BI27" s="486"/>
      <c r="BJ27" s="488"/>
      <c r="BK27" s="347"/>
      <c r="BL27" s="346" t="s">
        <v>661</v>
      </c>
      <c r="BM27" s="486"/>
      <c r="BN27" s="486"/>
      <c r="BO27" s="488"/>
      <c r="BP27" s="486"/>
      <c r="BQ27" s="486"/>
      <c r="BR27" s="486"/>
      <c r="BS27" s="486"/>
      <c r="BT27" s="488"/>
      <c r="BU27" s="347"/>
      <c r="BV27" s="346" t="s">
        <v>662</v>
      </c>
      <c r="BW27" s="486"/>
      <c r="BX27" s="486"/>
      <c r="BY27" s="486"/>
      <c r="BZ27" s="486"/>
      <c r="CA27" s="486"/>
      <c r="CB27" s="486"/>
      <c r="CC27" s="486"/>
      <c r="CD27" s="488"/>
      <c r="CE27" s="486"/>
      <c r="CF27" s="488"/>
      <c r="CG27" s="347"/>
      <c r="CH27" s="345"/>
    </row>
    <row r="28" spans="1:87" s="157" customFormat="1" ht="15.75" customHeight="1">
      <c r="A28" s="342"/>
      <c r="B28" s="972">
        <v>3</v>
      </c>
      <c r="C28" s="973"/>
      <c r="D28" s="346" t="s">
        <v>127</v>
      </c>
      <c r="E28" s="486"/>
      <c r="F28" s="487"/>
      <c r="G28" s="347"/>
      <c r="H28" s="346" t="s">
        <v>654</v>
      </c>
      <c r="I28" s="486"/>
      <c r="J28" s="486"/>
      <c r="K28" s="486"/>
      <c r="L28" s="486"/>
      <c r="M28" s="486"/>
      <c r="N28" s="486"/>
      <c r="O28" s="488"/>
      <c r="P28" s="347"/>
      <c r="Q28" s="346" t="s">
        <v>663</v>
      </c>
      <c r="R28" s="486"/>
      <c r="S28" s="486"/>
      <c r="T28" s="487"/>
      <c r="U28" s="347"/>
      <c r="V28" s="346" t="s">
        <v>664</v>
      </c>
      <c r="W28" s="486"/>
      <c r="X28" s="486"/>
      <c r="Y28" s="486"/>
      <c r="Z28" s="486"/>
      <c r="AA28" s="486"/>
      <c r="AB28" s="486"/>
      <c r="AC28" s="488"/>
      <c r="AD28" s="347"/>
      <c r="AE28" s="346" t="s">
        <v>657</v>
      </c>
      <c r="AF28" s="486"/>
      <c r="AG28" s="486"/>
      <c r="AH28" s="488"/>
      <c r="AI28" s="347"/>
      <c r="AJ28" s="346"/>
      <c r="AK28" s="486"/>
      <c r="AL28" s="486"/>
      <c r="AM28" s="486"/>
      <c r="AN28" s="488"/>
      <c r="AO28" s="486"/>
      <c r="AP28" s="486"/>
      <c r="AQ28" s="488"/>
      <c r="AR28" s="347"/>
      <c r="AS28" s="346" t="s">
        <v>659</v>
      </c>
      <c r="AT28" s="486"/>
      <c r="AU28" s="486"/>
      <c r="AV28" s="486"/>
      <c r="AW28" s="486"/>
      <c r="AX28" s="486"/>
      <c r="AY28" s="486"/>
      <c r="AZ28" s="486"/>
      <c r="BA28" s="488"/>
      <c r="BB28" s="347"/>
      <c r="BC28" s="346" t="s">
        <v>665</v>
      </c>
      <c r="BD28" s="486"/>
      <c r="BE28" s="486"/>
      <c r="BF28" s="486"/>
      <c r="BG28" s="486"/>
      <c r="BH28" s="486"/>
      <c r="BI28" s="486"/>
      <c r="BJ28" s="488"/>
      <c r="BK28" s="347"/>
      <c r="BL28" s="346" t="s">
        <v>666</v>
      </c>
      <c r="BM28" s="486"/>
      <c r="BN28" s="486"/>
      <c r="BO28" s="488"/>
      <c r="BP28" s="486"/>
      <c r="BQ28" s="486"/>
      <c r="BR28" s="486"/>
      <c r="BS28" s="486"/>
      <c r="BT28" s="488"/>
      <c r="BU28" s="347"/>
      <c r="BV28" s="346" t="s">
        <v>667</v>
      </c>
      <c r="BW28" s="486"/>
      <c r="BX28" s="486"/>
      <c r="BY28" s="486"/>
      <c r="BZ28" s="486"/>
      <c r="CA28" s="486"/>
      <c r="CB28" s="486"/>
      <c r="CC28" s="486"/>
      <c r="CD28" s="488"/>
      <c r="CE28" s="486"/>
      <c r="CF28" s="488"/>
      <c r="CG28" s="347"/>
      <c r="CH28" s="345"/>
    </row>
    <row r="29" spans="1:87" s="157" customFormat="1" ht="15.75" customHeight="1">
      <c r="A29" s="342"/>
      <c r="B29" s="972">
        <v>4</v>
      </c>
      <c r="C29" s="973"/>
      <c r="D29" s="346"/>
      <c r="E29" s="486"/>
      <c r="F29" s="487"/>
      <c r="G29" s="347"/>
      <c r="H29" s="346"/>
      <c r="I29" s="486"/>
      <c r="J29" s="486"/>
      <c r="K29" s="486"/>
      <c r="L29" s="486"/>
      <c r="M29" s="486"/>
      <c r="N29" s="486"/>
      <c r="O29" s="488"/>
      <c r="P29" s="347"/>
      <c r="Q29" s="346"/>
      <c r="R29" s="486"/>
      <c r="S29" s="486"/>
      <c r="T29" s="487"/>
      <c r="U29" s="347"/>
      <c r="V29" s="346"/>
      <c r="W29" s="486"/>
      <c r="X29" s="486"/>
      <c r="Y29" s="486"/>
      <c r="Z29" s="486"/>
      <c r="AA29" s="486"/>
      <c r="AB29" s="486"/>
      <c r="AC29" s="488"/>
      <c r="AD29" s="347"/>
      <c r="AE29" s="346"/>
      <c r="AF29" s="486"/>
      <c r="AG29" s="486"/>
      <c r="AH29" s="488"/>
      <c r="AI29" s="347"/>
      <c r="AJ29" s="346"/>
      <c r="AK29" s="486"/>
      <c r="AL29" s="486"/>
      <c r="AM29" s="486"/>
      <c r="AN29" s="488"/>
      <c r="AO29" s="486"/>
      <c r="AP29" s="486"/>
      <c r="AQ29" s="488"/>
      <c r="AR29" s="347"/>
      <c r="AS29" s="346"/>
      <c r="AT29" s="486"/>
      <c r="AU29" s="486"/>
      <c r="AV29" s="486"/>
      <c r="AW29" s="486"/>
      <c r="AX29" s="486"/>
      <c r="AY29" s="486"/>
      <c r="AZ29" s="486"/>
      <c r="BA29" s="488"/>
      <c r="BB29" s="347"/>
      <c r="BC29" s="346"/>
      <c r="BD29" s="486"/>
      <c r="BE29" s="486"/>
      <c r="BF29" s="486"/>
      <c r="BG29" s="486"/>
      <c r="BH29" s="486"/>
      <c r="BI29" s="486"/>
      <c r="BJ29" s="488"/>
      <c r="BK29" s="347"/>
      <c r="BL29" s="346"/>
      <c r="BM29" s="486"/>
      <c r="BN29" s="486"/>
      <c r="BO29" s="488"/>
      <c r="BP29" s="486"/>
      <c r="BQ29" s="486"/>
      <c r="BR29" s="486"/>
      <c r="BS29" s="486"/>
      <c r="BT29" s="488"/>
      <c r="BU29" s="347"/>
      <c r="BV29" s="346"/>
      <c r="BW29" s="486"/>
      <c r="BX29" s="486"/>
      <c r="BY29" s="486"/>
      <c r="BZ29" s="486"/>
      <c r="CA29" s="486"/>
      <c r="CB29" s="486"/>
      <c r="CC29" s="486"/>
      <c r="CD29" s="488"/>
      <c r="CE29" s="486"/>
      <c r="CF29" s="488"/>
      <c r="CG29" s="347"/>
      <c r="CH29" s="345"/>
    </row>
    <row r="30" spans="1:87" s="157" customFormat="1" ht="15.75" customHeight="1">
      <c r="A30" s="342"/>
      <c r="B30" s="972">
        <v>5</v>
      </c>
      <c r="C30" s="973"/>
      <c r="D30" s="346"/>
      <c r="E30" s="486"/>
      <c r="F30" s="487"/>
      <c r="G30" s="347"/>
      <c r="H30" s="346"/>
      <c r="I30" s="486"/>
      <c r="J30" s="486"/>
      <c r="K30" s="486"/>
      <c r="L30" s="486"/>
      <c r="M30" s="486"/>
      <c r="N30" s="486"/>
      <c r="O30" s="488"/>
      <c r="P30" s="347"/>
      <c r="Q30" s="346"/>
      <c r="R30" s="486"/>
      <c r="S30" s="486"/>
      <c r="T30" s="487"/>
      <c r="U30" s="347"/>
      <c r="V30" s="346"/>
      <c r="W30" s="486"/>
      <c r="X30" s="486"/>
      <c r="Y30" s="486"/>
      <c r="Z30" s="486"/>
      <c r="AA30" s="486"/>
      <c r="AB30" s="486"/>
      <c r="AC30" s="488"/>
      <c r="AD30" s="347"/>
      <c r="AE30" s="346"/>
      <c r="AF30" s="486"/>
      <c r="AG30" s="486"/>
      <c r="AH30" s="488"/>
      <c r="AI30" s="347"/>
      <c r="AJ30" s="346"/>
      <c r="AK30" s="486"/>
      <c r="AL30" s="486"/>
      <c r="AM30" s="486"/>
      <c r="AN30" s="488"/>
      <c r="AO30" s="486"/>
      <c r="AP30" s="486"/>
      <c r="AQ30" s="488"/>
      <c r="AR30" s="347"/>
      <c r="AS30" s="346"/>
      <c r="AT30" s="486"/>
      <c r="AU30" s="486"/>
      <c r="AV30" s="486"/>
      <c r="AW30" s="486"/>
      <c r="AX30" s="486"/>
      <c r="AY30" s="486"/>
      <c r="AZ30" s="486"/>
      <c r="BA30" s="488"/>
      <c r="BB30" s="347"/>
      <c r="BC30" s="346"/>
      <c r="BD30" s="486"/>
      <c r="BE30" s="486"/>
      <c r="BF30" s="486"/>
      <c r="BG30" s="486"/>
      <c r="BH30" s="486"/>
      <c r="BI30" s="486"/>
      <c r="BJ30" s="488"/>
      <c r="BK30" s="347"/>
      <c r="BL30" s="346"/>
      <c r="BM30" s="486"/>
      <c r="BN30" s="486"/>
      <c r="BO30" s="488"/>
      <c r="BP30" s="486"/>
      <c r="BQ30" s="486"/>
      <c r="BR30" s="486"/>
      <c r="BS30" s="486"/>
      <c r="BT30" s="488"/>
      <c r="BU30" s="347"/>
      <c r="BV30" s="346"/>
      <c r="BW30" s="486"/>
      <c r="BX30" s="486"/>
      <c r="BY30" s="486"/>
      <c r="BZ30" s="486"/>
      <c r="CA30" s="486"/>
      <c r="CB30" s="486"/>
      <c r="CC30" s="486"/>
      <c r="CD30" s="488"/>
      <c r="CE30" s="486"/>
      <c r="CF30" s="488"/>
      <c r="CG30" s="347"/>
      <c r="CH30" s="345"/>
    </row>
    <row r="31" spans="1:87" s="157" customFormat="1" ht="15.75" customHeight="1">
      <c r="A31" s="342"/>
      <c r="B31" s="972">
        <v>6</v>
      </c>
      <c r="C31" s="973"/>
      <c r="D31" s="346"/>
      <c r="E31" s="486"/>
      <c r="F31" s="487"/>
      <c r="G31" s="347"/>
      <c r="H31" s="346"/>
      <c r="I31" s="486"/>
      <c r="J31" s="486"/>
      <c r="K31" s="486"/>
      <c r="L31" s="486"/>
      <c r="M31" s="486"/>
      <c r="N31" s="486"/>
      <c r="O31" s="488"/>
      <c r="P31" s="347"/>
      <c r="Q31" s="346"/>
      <c r="R31" s="486"/>
      <c r="S31" s="486"/>
      <c r="T31" s="487"/>
      <c r="U31" s="347"/>
      <c r="V31" s="346"/>
      <c r="W31" s="486"/>
      <c r="X31" s="486"/>
      <c r="Y31" s="486"/>
      <c r="Z31" s="486"/>
      <c r="AA31" s="486"/>
      <c r="AB31" s="486"/>
      <c r="AC31" s="488"/>
      <c r="AD31" s="347"/>
      <c r="AE31" s="346"/>
      <c r="AF31" s="486"/>
      <c r="AG31" s="486"/>
      <c r="AH31" s="488"/>
      <c r="AI31" s="347"/>
      <c r="AJ31" s="346"/>
      <c r="AK31" s="486"/>
      <c r="AL31" s="486"/>
      <c r="AM31" s="486"/>
      <c r="AN31" s="488"/>
      <c r="AO31" s="486"/>
      <c r="AP31" s="486"/>
      <c r="AQ31" s="488"/>
      <c r="AR31" s="347"/>
      <c r="AS31" s="346"/>
      <c r="AT31" s="486"/>
      <c r="AU31" s="486"/>
      <c r="AV31" s="486"/>
      <c r="AW31" s="486"/>
      <c r="AX31" s="486"/>
      <c r="AY31" s="486"/>
      <c r="AZ31" s="486"/>
      <c r="BA31" s="488"/>
      <c r="BB31" s="347"/>
      <c r="BC31" s="346"/>
      <c r="BD31" s="486"/>
      <c r="BE31" s="486"/>
      <c r="BF31" s="486"/>
      <c r="BG31" s="486"/>
      <c r="BH31" s="486"/>
      <c r="BI31" s="486"/>
      <c r="BJ31" s="488"/>
      <c r="BK31" s="347"/>
      <c r="BL31" s="346"/>
      <c r="BM31" s="486"/>
      <c r="BN31" s="486"/>
      <c r="BO31" s="488"/>
      <c r="BP31" s="486"/>
      <c r="BQ31" s="486"/>
      <c r="BR31" s="486"/>
      <c r="BS31" s="486"/>
      <c r="BT31" s="488"/>
      <c r="BU31" s="347"/>
      <c r="BV31" s="346"/>
      <c r="BW31" s="486"/>
      <c r="BX31" s="486"/>
      <c r="BY31" s="486"/>
      <c r="BZ31" s="486"/>
      <c r="CA31" s="486"/>
      <c r="CB31" s="486"/>
      <c r="CC31" s="486"/>
      <c r="CD31" s="488"/>
      <c r="CE31" s="486"/>
      <c r="CF31" s="488"/>
      <c r="CG31" s="347"/>
      <c r="CH31" s="345"/>
    </row>
    <row r="32" spans="1:87" s="157" customFormat="1" ht="15.75" customHeight="1">
      <c r="A32" s="342"/>
      <c r="B32" s="972">
        <v>7</v>
      </c>
      <c r="C32" s="973"/>
      <c r="D32" s="346"/>
      <c r="E32" s="486"/>
      <c r="F32" s="487"/>
      <c r="G32" s="347"/>
      <c r="H32" s="346"/>
      <c r="I32" s="486"/>
      <c r="J32" s="486"/>
      <c r="K32" s="486"/>
      <c r="L32" s="486"/>
      <c r="M32" s="486"/>
      <c r="N32" s="486"/>
      <c r="O32" s="488"/>
      <c r="P32" s="347"/>
      <c r="Q32" s="346"/>
      <c r="R32" s="486"/>
      <c r="S32" s="486"/>
      <c r="T32" s="487"/>
      <c r="U32" s="347"/>
      <c r="V32" s="346"/>
      <c r="W32" s="486"/>
      <c r="X32" s="486"/>
      <c r="Y32" s="486"/>
      <c r="Z32" s="486"/>
      <c r="AA32" s="486"/>
      <c r="AB32" s="486"/>
      <c r="AC32" s="488"/>
      <c r="AD32" s="347"/>
      <c r="AE32" s="346"/>
      <c r="AF32" s="486"/>
      <c r="AG32" s="486"/>
      <c r="AH32" s="488"/>
      <c r="AI32" s="347"/>
      <c r="AJ32" s="346"/>
      <c r="AK32" s="486"/>
      <c r="AL32" s="486"/>
      <c r="AM32" s="486"/>
      <c r="AN32" s="488"/>
      <c r="AO32" s="486"/>
      <c r="AP32" s="486"/>
      <c r="AQ32" s="488"/>
      <c r="AR32" s="347"/>
      <c r="AS32" s="346"/>
      <c r="AT32" s="486"/>
      <c r="AU32" s="486"/>
      <c r="AV32" s="486"/>
      <c r="AW32" s="486"/>
      <c r="AX32" s="486"/>
      <c r="AY32" s="486"/>
      <c r="AZ32" s="486"/>
      <c r="BA32" s="488"/>
      <c r="BB32" s="347"/>
      <c r="BC32" s="346"/>
      <c r="BD32" s="486"/>
      <c r="BE32" s="486"/>
      <c r="BF32" s="486"/>
      <c r="BG32" s="486"/>
      <c r="BH32" s="486"/>
      <c r="BI32" s="486"/>
      <c r="BJ32" s="488"/>
      <c r="BK32" s="347"/>
      <c r="BL32" s="346"/>
      <c r="BM32" s="486"/>
      <c r="BN32" s="486"/>
      <c r="BO32" s="488"/>
      <c r="BP32" s="486"/>
      <c r="BQ32" s="486"/>
      <c r="BR32" s="486"/>
      <c r="BS32" s="486"/>
      <c r="BT32" s="488"/>
      <c r="BU32" s="347"/>
      <c r="BV32" s="346"/>
      <c r="BW32" s="486"/>
      <c r="BX32" s="486"/>
      <c r="BY32" s="486"/>
      <c r="BZ32" s="486"/>
      <c r="CA32" s="486"/>
      <c r="CB32" s="486"/>
      <c r="CC32" s="486"/>
      <c r="CD32" s="488"/>
      <c r="CE32" s="486"/>
      <c r="CF32" s="488"/>
      <c r="CG32" s="347"/>
      <c r="CH32" s="345"/>
    </row>
    <row r="33" spans="1:87" ht="15.75" customHeight="1">
      <c r="A33" s="342"/>
      <c r="B33" s="972">
        <v>8</v>
      </c>
      <c r="C33" s="973"/>
      <c r="D33" s="346"/>
      <c r="E33" s="486"/>
      <c r="F33" s="487"/>
      <c r="G33" s="347"/>
      <c r="H33" s="346"/>
      <c r="I33" s="486"/>
      <c r="J33" s="486"/>
      <c r="K33" s="486"/>
      <c r="L33" s="486"/>
      <c r="M33" s="486"/>
      <c r="N33" s="486"/>
      <c r="O33" s="488"/>
      <c r="P33" s="347"/>
      <c r="Q33" s="346"/>
      <c r="R33" s="486"/>
      <c r="S33" s="486"/>
      <c r="T33" s="487"/>
      <c r="U33" s="347"/>
      <c r="V33" s="346"/>
      <c r="W33" s="486"/>
      <c r="X33" s="486"/>
      <c r="Y33" s="486"/>
      <c r="Z33" s="486"/>
      <c r="AA33" s="486"/>
      <c r="AB33" s="486"/>
      <c r="AC33" s="488"/>
      <c r="AD33" s="347"/>
      <c r="AE33" s="346"/>
      <c r="AF33" s="486"/>
      <c r="AG33" s="486"/>
      <c r="AH33" s="488"/>
      <c r="AI33" s="347"/>
      <c r="AJ33" s="346"/>
      <c r="AK33" s="486"/>
      <c r="AL33" s="486"/>
      <c r="AM33" s="486"/>
      <c r="AN33" s="488"/>
      <c r="AO33" s="486"/>
      <c r="AP33" s="486"/>
      <c r="AQ33" s="488"/>
      <c r="AR33" s="347"/>
      <c r="AS33" s="346"/>
      <c r="AT33" s="486"/>
      <c r="AU33" s="486"/>
      <c r="AV33" s="486"/>
      <c r="AW33" s="486"/>
      <c r="AX33" s="486"/>
      <c r="AY33" s="486"/>
      <c r="AZ33" s="486"/>
      <c r="BA33" s="488"/>
      <c r="BB33" s="347"/>
      <c r="BC33" s="346"/>
      <c r="BD33" s="486"/>
      <c r="BE33" s="486"/>
      <c r="BF33" s="486"/>
      <c r="BG33" s="486"/>
      <c r="BH33" s="486"/>
      <c r="BI33" s="486"/>
      <c r="BJ33" s="488"/>
      <c r="BK33" s="347"/>
      <c r="BL33" s="346"/>
      <c r="BM33" s="486"/>
      <c r="BN33" s="486"/>
      <c r="BO33" s="488"/>
      <c r="BP33" s="486"/>
      <c r="BQ33" s="486"/>
      <c r="BR33" s="486"/>
      <c r="BS33" s="486"/>
      <c r="BT33" s="488"/>
      <c r="BU33" s="347"/>
      <c r="BV33" s="346"/>
      <c r="BW33" s="486"/>
      <c r="BX33" s="486"/>
      <c r="BY33" s="486"/>
      <c r="BZ33" s="486"/>
      <c r="CA33" s="486"/>
      <c r="CB33" s="486"/>
      <c r="CC33" s="486"/>
      <c r="CD33" s="488"/>
      <c r="CE33" s="486"/>
      <c r="CF33" s="488"/>
      <c r="CG33" s="347"/>
      <c r="CH33" s="345"/>
      <c r="CI33" s="157"/>
    </row>
    <row r="34" spans="1:87" ht="15.75" customHeight="1">
      <c r="A34" s="156"/>
      <c r="G34" s="158"/>
      <c r="Q34" s="159"/>
      <c r="CH34" s="100"/>
    </row>
    <row r="35" spans="1:87" ht="15.75" customHeight="1">
      <c r="A35" s="156"/>
      <c r="G35" s="158"/>
      <c r="Q35" s="159"/>
      <c r="CH35" s="100"/>
    </row>
    <row r="36" spans="1:87" ht="15.75" customHeight="1">
      <c r="A36" s="156"/>
      <c r="G36" s="158"/>
      <c r="Q36" s="159"/>
      <c r="CH36" s="100"/>
    </row>
    <row r="37" spans="1:87" ht="15.75" customHeight="1" thickBot="1">
      <c r="A37" s="160"/>
      <c r="B37" s="435"/>
      <c r="C37" s="438"/>
      <c r="D37" s="435"/>
      <c r="E37" s="439"/>
      <c r="F37" s="435"/>
      <c r="G37" s="435"/>
      <c r="H37" s="435"/>
      <c r="I37" s="435"/>
      <c r="J37" s="439"/>
      <c r="K37" s="435"/>
      <c r="L37" s="435"/>
      <c r="M37" s="435"/>
      <c r="N37" s="435"/>
      <c r="O37" s="435"/>
      <c r="P37" s="435"/>
      <c r="Q37" s="440"/>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5"/>
      <c r="BO37" s="435"/>
      <c r="BP37" s="435"/>
      <c r="BQ37" s="435"/>
      <c r="BR37" s="435"/>
      <c r="BS37" s="435"/>
      <c r="BT37" s="435"/>
      <c r="BU37" s="435"/>
      <c r="BV37" s="435"/>
      <c r="BW37" s="435"/>
      <c r="BX37" s="435"/>
      <c r="BY37" s="435"/>
      <c r="BZ37" s="435"/>
      <c r="CA37" s="435"/>
      <c r="CB37" s="435"/>
      <c r="CC37" s="435"/>
      <c r="CD37" s="435"/>
      <c r="CE37" s="435"/>
      <c r="CF37" s="435"/>
      <c r="CG37" s="435"/>
      <c r="CH37" s="341"/>
    </row>
  </sheetData>
  <mergeCells count="29">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B33:C33"/>
    <mergeCell ref="B27:C27"/>
    <mergeCell ref="B28:C28"/>
    <mergeCell ref="B29:C29"/>
    <mergeCell ref="B30:C30"/>
    <mergeCell ref="B31:C31"/>
    <mergeCell ref="B32:C32"/>
    <mergeCell ref="B26:C26"/>
    <mergeCell ref="A1:J3"/>
  </mergeCells>
  <phoneticPr fontId="8"/>
  <pageMargins left="0.51181102362204722" right="0.74803149606299213" top="0.70866141732283472" bottom="0.43307086614173229" header="0.51181102362204722" footer="0.35433070866141736"/>
  <pageSetup paperSize="9" scale="73"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1021-26E9-4AF5-9555-7BC2941AA089}">
  <sheetPr codeName="Sheet13">
    <pageSetUpPr fitToPage="1"/>
  </sheetPr>
  <dimension ref="A1:BK43"/>
  <sheetViews>
    <sheetView showGridLines="0" showZeros="0" view="pageBreakPreview" zoomScaleNormal="100" zoomScaleSheetLayoutView="100" workbookViewId="0">
      <selection activeCell="AJ22" sqref="AJ22"/>
    </sheetView>
  </sheetViews>
  <sheetFormatPr defaultColWidth="2.125" defaultRowHeight="15.75" customHeight="1"/>
  <cols>
    <col min="1" max="1" width="2.125" style="333" customWidth="1"/>
    <col min="2" max="2" width="2.125" style="321" customWidth="1"/>
    <col min="3" max="3" width="2.375" style="321" customWidth="1"/>
    <col min="4" max="4" width="2.125" style="321" customWidth="1"/>
    <col min="5" max="5" width="3" style="321" customWidth="1"/>
    <col min="6" max="62" width="2.125" style="321" customWidth="1"/>
    <col min="63" max="63" width="2.25" style="321" customWidth="1"/>
    <col min="64" max="16384" width="2.125" style="321"/>
  </cols>
  <sheetData>
    <row r="1" spans="1:63" s="318" customFormat="1" ht="15.75" customHeight="1">
      <c r="A1" s="903" t="str">
        <f>表紙!A54</f>
        <v>Webシステム</v>
      </c>
      <c r="B1" s="904"/>
      <c r="C1" s="904"/>
      <c r="D1" s="904"/>
      <c r="E1" s="904"/>
      <c r="F1" s="904"/>
      <c r="G1" s="904"/>
      <c r="H1" s="904"/>
      <c r="I1" s="904"/>
      <c r="J1" s="905"/>
      <c r="K1" s="936" t="s">
        <v>132</v>
      </c>
      <c r="L1" s="937"/>
      <c r="M1" s="937"/>
      <c r="N1" s="937"/>
      <c r="O1" s="937"/>
      <c r="P1" s="937"/>
      <c r="Q1" s="937"/>
      <c r="R1" s="937"/>
      <c r="S1" s="937"/>
      <c r="T1" s="938"/>
      <c r="U1" s="939" t="s">
        <v>149</v>
      </c>
      <c r="V1" s="940"/>
      <c r="W1" s="940"/>
      <c r="X1" s="940"/>
      <c r="Y1" s="941"/>
      <c r="Z1" s="942" t="str">
        <f>表紙!$AJ$63</f>
        <v>MS</v>
      </c>
      <c r="AA1" s="943"/>
      <c r="AB1" s="943"/>
      <c r="AC1" s="943"/>
      <c r="AD1" s="944"/>
      <c r="AE1" s="945" t="s">
        <v>135</v>
      </c>
      <c r="AF1" s="914"/>
      <c r="AG1" s="914"/>
      <c r="AH1" s="914"/>
      <c r="AI1" s="915"/>
      <c r="AJ1" s="880" t="str">
        <f>表紙!$AX$63</f>
        <v>Webシステム</v>
      </c>
      <c r="AK1" s="881"/>
      <c r="AL1" s="881"/>
      <c r="AM1" s="881"/>
      <c r="AN1" s="881"/>
      <c r="AO1" s="881"/>
      <c r="AP1" s="881"/>
      <c r="AQ1" s="881"/>
      <c r="AR1" s="882"/>
      <c r="AS1" s="912" t="s">
        <v>101</v>
      </c>
      <c r="AT1" s="912"/>
      <c r="AU1" s="912"/>
      <c r="AV1" s="912"/>
      <c r="AW1" s="912"/>
      <c r="AX1" s="912"/>
      <c r="AY1" s="912"/>
      <c r="AZ1" s="913" t="s">
        <v>124</v>
      </c>
      <c r="BA1" s="914"/>
      <c r="BB1" s="914"/>
      <c r="BC1" s="914"/>
      <c r="BD1" s="914"/>
      <c r="BE1" s="915"/>
      <c r="BF1" s="913" t="s">
        <v>150</v>
      </c>
      <c r="BG1" s="914"/>
      <c r="BH1" s="914"/>
      <c r="BI1" s="914"/>
      <c r="BJ1" s="914"/>
      <c r="BK1" s="916"/>
    </row>
    <row r="2" spans="1:63" s="318" customFormat="1" ht="15.75" customHeight="1">
      <c r="A2" s="906"/>
      <c r="B2" s="907"/>
      <c r="C2" s="907"/>
      <c r="D2" s="907"/>
      <c r="E2" s="907"/>
      <c r="F2" s="907"/>
      <c r="G2" s="907"/>
      <c r="H2" s="907"/>
      <c r="I2" s="907"/>
      <c r="J2" s="908"/>
      <c r="K2" s="917" t="str">
        <f>表紙!O64</f>
        <v>アドオン設計書</v>
      </c>
      <c r="L2" s="884"/>
      <c r="M2" s="884"/>
      <c r="N2" s="884"/>
      <c r="O2" s="884"/>
      <c r="P2" s="884"/>
      <c r="Q2" s="884"/>
      <c r="R2" s="884"/>
      <c r="S2" s="884"/>
      <c r="T2" s="918"/>
      <c r="U2" s="919" t="s">
        <v>151</v>
      </c>
      <c r="V2" s="920"/>
      <c r="W2" s="920"/>
      <c r="X2" s="920"/>
      <c r="Y2" s="921"/>
      <c r="Z2" s="922" t="str">
        <f>表紙!$AJ$64</f>
        <v>MSBB</v>
      </c>
      <c r="AA2" s="923"/>
      <c r="AB2" s="923"/>
      <c r="AC2" s="923"/>
      <c r="AD2" s="924"/>
      <c r="AE2" s="925" t="s">
        <v>141</v>
      </c>
      <c r="AF2" s="926"/>
      <c r="AG2" s="926"/>
      <c r="AH2" s="926"/>
      <c r="AI2" s="927"/>
      <c r="AJ2" s="928" t="str">
        <f>表紙!$AX$64</f>
        <v>販売Webシステム</v>
      </c>
      <c r="AK2" s="929"/>
      <c r="AL2" s="929"/>
      <c r="AM2" s="929"/>
      <c r="AN2" s="929"/>
      <c r="AO2" s="929"/>
      <c r="AP2" s="929"/>
      <c r="AQ2" s="929"/>
      <c r="AR2" s="930"/>
      <c r="AS2" s="931" t="str">
        <f>表紙!$BL$64</f>
        <v>M7-US-1140</v>
      </c>
      <c r="AT2" s="932"/>
      <c r="AU2" s="932"/>
      <c r="AV2" s="932"/>
      <c r="AW2" s="932"/>
      <c r="AX2" s="932"/>
      <c r="AY2" s="932"/>
      <c r="AZ2" s="934" t="str">
        <f>表紙!$BU$64</f>
        <v>7.0.2</v>
      </c>
      <c r="BA2" s="884"/>
      <c r="BB2" s="884"/>
      <c r="BC2" s="884"/>
      <c r="BD2" s="884"/>
      <c r="BE2" s="918"/>
      <c r="BF2" s="883">
        <f>表紙!$CB$64</f>
        <v>1</v>
      </c>
      <c r="BG2" s="884"/>
      <c r="BH2" s="884"/>
      <c r="BI2" s="884"/>
      <c r="BJ2" s="884"/>
      <c r="BK2" s="885"/>
    </row>
    <row r="3" spans="1:63" s="318" customFormat="1" ht="15.75" customHeight="1" thickBot="1">
      <c r="A3" s="909"/>
      <c r="B3" s="910"/>
      <c r="C3" s="910"/>
      <c r="D3" s="910"/>
      <c r="E3" s="910"/>
      <c r="F3" s="910"/>
      <c r="G3" s="910"/>
      <c r="H3" s="910"/>
      <c r="I3" s="910"/>
      <c r="J3" s="911"/>
      <c r="K3" s="889" t="e">
        <f ca="1">RIGHT(CELL("filename",$A$1),LEN(CELL("filename",$A$1))-FIND("]",CELL("filename",$A$1)))</f>
        <v>#VALUE!</v>
      </c>
      <c r="L3" s="890"/>
      <c r="M3" s="890"/>
      <c r="N3" s="890"/>
      <c r="O3" s="890"/>
      <c r="P3" s="890"/>
      <c r="Q3" s="890"/>
      <c r="R3" s="890"/>
      <c r="S3" s="890"/>
      <c r="T3" s="891"/>
      <c r="U3" s="892" t="s">
        <v>146</v>
      </c>
      <c r="V3" s="893"/>
      <c r="W3" s="893"/>
      <c r="X3" s="893"/>
      <c r="Y3" s="894"/>
      <c r="Z3" s="895" t="str">
        <f>表紙!$AJ$65</f>
        <v>MSBBPA020</v>
      </c>
      <c r="AA3" s="896"/>
      <c r="AB3" s="896"/>
      <c r="AC3" s="896"/>
      <c r="AD3" s="896"/>
      <c r="AE3" s="897" t="str">
        <f>表紙!$AQ$65</f>
        <v>Web見積計算書一覧照会</v>
      </c>
      <c r="AF3" s="898"/>
      <c r="AG3" s="898"/>
      <c r="AH3" s="898"/>
      <c r="AI3" s="898"/>
      <c r="AJ3" s="898"/>
      <c r="AK3" s="898"/>
      <c r="AL3" s="898"/>
      <c r="AM3" s="898"/>
      <c r="AN3" s="898"/>
      <c r="AO3" s="898"/>
      <c r="AP3" s="898"/>
      <c r="AQ3" s="898"/>
      <c r="AR3" s="899"/>
      <c r="AS3" s="933"/>
      <c r="AT3" s="933"/>
      <c r="AU3" s="933"/>
      <c r="AV3" s="933"/>
      <c r="AW3" s="933"/>
      <c r="AX3" s="933"/>
      <c r="AY3" s="933"/>
      <c r="AZ3" s="886"/>
      <c r="BA3" s="887"/>
      <c r="BB3" s="887"/>
      <c r="BC3" s="887"/>
      <c r="BD3" s="887"/>
      <c r="BE3" s="935"/>
      <c r="BF3" s="886"/>
      <c r="BG3" s="887"/>
      <c r="BH3" s="887"/>
      <c r="BI3" s="887"/>
      <c r="BJ3" s="887"/>
      <c r="BK3" s="888"/>
    </row>
    <row r="4" spans="1:63" ht="15.75" customHeight="1" thickBot="1">
      <c r="A4" s="319"/>
      <c r="B4" s="320"/>
      <c r="C4" s="321" t="s">
        <v>668</v>
      </c>
      <c r="Q4" s="322"/>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c r="BD4" s="319"/>
      <c r="BE4" s="319"/>
      <c r="BF4" s="319"/>
      <c r="BG4" s="319"/>
      <c r="BH4" s="319"/>
      <c r="BI4" s="319"/>
      <c r="BJ4" s="319"/>
      <c r="BK4" s="323"/>
    </row>
    <row r="5" spans="1:63" s="328" customFormat="1" ht="13.5" customHeight="1">
      <c r="A5" s="1007" t="s">
        <v>530</v>
      </c>
      <c r="B5" s="1008"/>
      <c r="C5" s="1009" t="s">
        <v>669</v>
      </c>
      <c r="D5" s="1010"/>
      <c r="E5" s="1009" t="s">
        <v>670</v>
      </c>
      <c r="F5" s="1010"/>
      <c r="G5" s="324" t="s">
        <v>671</v>
      </c>
      <c r="H5" s="325"/>
      <c r="I5" s="325"/>
      <c r="J5" s="325"/>
      <c r="K5" s="325"/>
      <c r="L5" s="325"/>
      <c r="M5" s="325"/>
      <c r="N5" s="325"/>
      <c r="O5" s="325"/>
      <c r="P5" s="325"/>
      <c r="Q5" s="325"/>
      <c r="R5" s="325"/>
      <c r="S5" s="325"/>
      <c r="T5" s="325"/>
      <c r="U5" s="325"/>
      <c r="V5" s="325"/>
      <c r="W5" s="325"/>
      <c r="X5" s="325"/>
      <c r="Y5" s="325"/>
      <c r="Z5" s="325"/>
      <c r="AA5" s="325"/>
      <c r="AB5" s="325"/>
      <c r="AC5" s="325"/>
      <c r="AD5" s="325"/>
      <c r="AE5" s="325"/>
      <c r="AF5" s="325"/>
      <c r="AG5" s="325"/>
      <c r="AH5" s="325"/>
      <c r="AI5" s="325"/>
      <c r="AJ5" s="325"/>
      <c r="AK5" s="325"/>
      <c r="AL5" s="325"/>
      <c r="AM5" s="325"/>
      <c r="AN5" s="325"/>
      <c r="AO5" s="325"/>
      <c r="AP5" s="326"/>
      <c r="AQ5" s="324" t="s">
        <v>672</v>
      </c>
      <c r="AR5" s="325"/>
      <c r="AS5" s="325"/>
      <c r="AT5" s="325"/>
      <c r="AU5" s="325"/>
      <c r="AV5" s="325"/>
      <c r="AW5" s="325"/>
      <c r="AX5" s="325"/>
      <c r="AY5" s="325"/>
      <c r="AZ5" s="325"/>
      <c r="BA5" s="325"/>
      <c r="BB5" s="325"/>
      <c r="BC5" s="325"/>
      <c r="BD5" s="325"/>
      <c r="BE5" s="325"/>
      <c r="BF5" s="326"/>
      <c r="BG5" s="324" t="s">
        <v>673</v>
      </c>
      <c r="BH5" s="325"/>
      <c r="BI5" s="325"/>
      <c r="BJ5" s="325"/>
      <c r="BK5" s="327"/>
    </row>
    <row r="6" spans="1:63" s="330" customFormat="1" ht="12">
      <c r="A6" s="974">
        <v>1</v>
      </c>
      <c r="B6" s="975"/>
      <c r="C6" s="1011" t="s">
        <v>674</v>
      </c>
      <c r="D6" s="1011"/>
      <c r="E6" s="1011" t="s">
        <v>675</v>
      </c>
      <c r="F6" s="1011"/>
      <c r="G6" s="354" t="s">
        <v>676</v>
      </c>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6"/>
      <c r="AQ6" s="354" t="s">
        <v>677</v>
      </c>
      <c r="AR6" s="355"/>
      <c r="AS6" s="355"/>
      <c r="AT6" s="355"/>
      <c r="AU6" s="355"/>
      <c r="AV6" s="355"/>
      <c r="AW6" s="355"/>
      <c r="AX6" s="355"/>
      <c r="AY6" s="355"/>
      <c r="AZ6" s="355"/>
      <c r="BA6" s="355"/>
      <c r="BB6" s="355"/>
      <c r="BC6" s="355"/>
      <c r="BD6" s="355"/>
      <c r="BE6" s="355"/>
      <c r="BF6" s="356"/>
      <c r="BG6" s="354" t="s">
        <v>563</v>
      </c>
      <c r="BH6" s="355"/>
      <c r="BI6" s="355"/>
      <c r="BJ6" s="355"/>
      <c r="BK6" s="357"/>
    </row>
    <row r="7" spans="1:63" s="330" customFormat="1" ht="12">
      <c r="A7" s="978"/>
      <c r="B7" s="979"/>
      <c r="C7" s="1012"/>
      <c r="D7" s="1013"/>
      <c r="E7" s="1012"/>
      <c r="F7" s="1013"/>
      <c r="G7" s="358"/>
      <c r="H7" s="359"/>
      <c r="I7" s="359"/>
      <c r="J7" s="359"/>
      <c r="K7" s="359"/>
      <c r="L7" s="359"/>
      <c r="M7" s="359"/>
      <c r="N7" s="359"/>
      <c r="O7" s="359"/>
      <c r="P7" s="359"/>
      <c r="Q7" s="359"/>
      <c r="R7" s="359"/>
      <c r="S7" s="359"/>
      <c r="T7" s="359"/>
      <c r="U7" s="359"/>
      <c r="V7" s="359"/>
      <c r="W7" s="359"/>
      <c r="X7" s="359"/>
      <c r="Y7" s="359"/>
      <c r="Z7" s="359"/>
      <c r="AA7" s="359"/>
      <c r="AB7" s="359"/>
      <c r="AC7" s="359"/>
      <c r="AD7" s="359"/>
      <c r="AE7" s="359"/>
      <c r="AF7" s="359"/>
      <c r="AG7" s="359"/>
      <c r="AH7" s="359"/>
      <c r="AI7" s="359"/>
      <c r="AJ7" s="359"/>
      <c r="AK7" s="359"/>
      <c r="AL7" s="359"/>
      <c r="AM7" s="359"/>
      <c r="AN7" s="359"/>
      <c r="AO7" s="359"/>
      <c r="AP7" s="360"/>
      <c r="AQ7" s="361"/>
      <c r="AR7" s="362"/>
      <c r="AS7" s="362"/>
      <c r="AT7" s="362"/>
      <c r="AU7" s="362"/>
      <c r="AV7" s="362"/>
      <c r="AW7" s="362"/>
      <c r="AX7" s="362"/>
      <c r="AY7" s="362"/>
      <c r="AZ7" s="362"/>
      <c r="BA7" s="362"/>
      <c r="BB7" s="362"/>
      <c r="BC7" s="362"/>
      <c r="BD7" s="362"/>
      <c r="BE7" s="362"/>
      <c r="BF7" s="363"/>
      <c r="BG7" s="358"/>
      <c r="BH7" s="362"/>
      <c r="BI7" s="362"/>
      <c r="BJ7" s="362"/>
      <c r="BK7" s="370"/>
    </row>
    <row r="8" spans="1:63" s="330" customFormat="1" ht="12">
      <c r="A8" s="980"/>
      <c r="B8" s="981"/>
      <c r="C8" s="1014"/>
      <c r="D8" s="1015"/>
      <c r="E8" s="1014"/>
      <c r="F8" s="1015"/>
      <c r="G8" s="364"/>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6"/>
      <c r="AQ8" s="367"/>
      <c r="AR8" s="368"/>
      <c r="AS8" s="368"/>
      <c r="AT8" s="368"/>
      <c r="AU8" s="368"/>
      <c r="AV8" s="368"/>
      <c r="AW8" s="368"/>
      <c r="AX8" s="368"/>
      <c r="AY8" s="368"/>
      <c r="AZ8" s="368"/>
      <c r="BA8" s="368"/>
      <c r="BB8" s="368"/>
      <c r="BC8" s="368"/>
      <c r="BD8" s="368"/>
      <c r="BE8" s="368"/>
      <c r="BF8" s="369"/>
      <c r="BG8" s="367"/>
      <c r="BH8" s="368"/>
      <c r="BI8" s="368"/>
      <c r="BJ8" s="368"/>
      <c r="BK8" s="371"/>
    </row>
    <row r="9" spans="1:63" s="330" customFormat="1" ht="12">
      <c r="A9" s="976">
        <v>2</v>
      </c>
      <c r="B9" s="977"/>
      <c r="C9" s="1016" t="s">
        <v>674</v>
      </c>
      <c r="D9" s="1016"/>
      <c r="E9" s="1016" t="s">
        <v>675</v>
      </c>
      <c r="F9" s="1016"/>
      <c r="G9" s="350" t="s">
        <v>678</v>
      </c>
      <c r="H9" s="489"/>
      <c r="I9" s="489"/>
      <c r="J9" s="489"/>
      <c r="K9" s="489"/>
      <c r="L9" s="489"/>
      <c r="M9" s="489"/>
      <c r="N9" s="489"/>
      <c r="O9" s="489"/>
      <c r="P9" s="489"/>
      <c r="Q9" s="489"/>
      <c r="R9" s="489"/>
      <c r="S9" s="489"/>
      <c r="T9" s="489"/>
      <c r="U9" s="489"/>
      <c r="V9" s="489"/>
      <c r="W9" s="489"/>
      <c r="X9" s="489"/>
      <c r="Y9" s="489"/>
      <c r="Z9" s="489"/>
      <c r="AA9" s="489"/>
      <c r="AB9" s="489"/>
      <c r="AC9" s="489"/>
      <c r="AD9" s="489"/>
      <c r="AE9" s="489"/>
      <c r="AF9" s="489"/>
      <c r="AG9" s="489"/>
      <c r="AH9" s="489"/>
      <c r="AI9" s="489"/>
      <c r="AJ9" s="489"/>
      <c r="AK9" s="489"/>
      <c r="AL9" s="489"/>
      <c r="AM9" s="489"/>
      <c r="AN9" s="489"/>
      <c r="AO9" s="489"/>
      <c r="AP9" s="351"/>
      <c r="AQ9" s="331" t="s">
        <v>679</v>
      </c>
      <c r="AR9" s="490"/>
      <c r="AS9" s="490"/>
      <c r="AT9" s="490"/>
      <c r="AU9" s="490"/>
      <c r="AV9" s="490"/>
      <c r="AW9" s="490"/>
      <c r="AX9" s="490"/>
      <c r="AY9" s="490"/>
      <c r="AZ9" s="490"/>
      <c r="BA9" s="490"/>
      <c r="BB9" s="490"/>
      <c r="BC9" s="490"/>
      <c r="BD9" s="490"/>
      <c r="BE9" s="490"/>
      <c r="BF9" s="332"/>
      <c r="BG9" s="350" t="s">
        <v>680</v>
      </c>
      <c r="BH9" s="490"/>
      <c r="BI9" s="490"/>
      <c r="BJ9" s="490"/>
      <c r="BK9" s="372"/>
    </row>
    <row r="10" spans="1:63" s="330" customFormat="1" ht="12">
      <c r="A10" s="982">
        <v>3</v>
      </c>
      <c r="B10" s="983"/>
      <c r="C10" s="1016" t="s">
        <v>674</v>
      </c>
      <c r="D10" s="1016"/>
      <c r="E10" s="1016" t="s">
        <v>675</v>
      </c>
      <c r="F10" s="1016"/>
      <c r="G10" s="350" t="s">
        <v>681</v>
      </c>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351"/>
      <c r="AQ10" s="350"/>
      <c r="AR10" s="489"/>
      <c r="AS10" s="489"/>
      <c r="AT10" s="489"/>
      <c r="AU10" s="489"/>
      <c r="AV10" s="489"/>
      <c r="AW10" s="489"/>
      <c r="AX10" s="489"/>
      <c r="AY10" s="489"/>
      <c r="AZ10" s="489"/>
      <c r="BA10" s="489"/>
      <c r="BB10" s="489"/>
      <c r="BC10" s="489"/>
      <c r="BD10" s="489"/>
      <c r="BE10" s="489"/>
      <c r="BF10" s="351"/>
      <c r="BG10" s="350" t="s">
        <v>682</v>
      </c>
      <c r="BH10" s="489"/>
      <c r="BI10" s="489"/>
      <c r="BJ10" s="489"/>
      <c r="BK10" s="329"/>
    </row>
    <row r="11" spans="1:63" s="330" customFormat="1" ht="12">
      <c r="A11" s="984">
        <v>4</v>
      </c>
      <c r="B11" s="985"/>
      <c r="C11" s="1017" t="s">
        <v>674</v>
      </c>
      <c r="D11" s="1018"/>
      <c r="E11" s="1017" t="s">
        <v>675</v>
      </c>
      <c r="F11" s="1018"/>
      <c r="G11" s="350" t="s">
        <v>683</v>
      </c>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351"/>
      <c r="AQ11" s="331"/>
      <c r="AR11" s="490"/>
      <c r="AS11" s="490"/>
      <c r="AT11" s="490"/>
      <c r="AU11" s="490"/>
      <c r="AV11" s="490"/>
      <c r="AW11" s="490"/>
      <c r="AX11" s="490"/>
      <c r="AY11" s="490"/>
      <c r="AZ11" s="490"/>
      <c r="BA11" s="490"/>
      <c r="BB11" s="490"/>
      <c r="BC11" s="490"/>
      <c r="BD11" s="490"/>
      <c r="BE11" s="490"/>
      <c r="BF11" s="332"/>
      <c r="BG11" s="350" t="s">
        <v>684</v>
      </c>
      <c r="BH11" s="490"/>
      <c r="BI11" s="490"/>
      <c r="BJ11" s="490"/>
      <c r="BK11" s="372"/>
    </row>
    <row r="12" spans="1:63" s="330" customFormat="1" ht="12">
      <c r="A12" s="982">
        <v>5</v>
      </c>
      <c r="B12" s="983"/>
      <c r="C12" s="1017" t="s">
        <v>674</v>
      </c>
      <c r="D12" s="1018"/>
      <c r="E12" s="1017" t="s">
        <v>675</v>
      </c>
      <c r="F12" s="1018"/>
      <c r="G12" s="350" t="s">
        <v>685</v>
      </c>
      <c r="H12" s="489"/>
      <c r="I12" s="489"/>
      <c r="J12" s="489"/>
      <c r="K12" s="489"/>
      <c r="L12" s="489"/>
      <c r="M12" s="489"/>
      <c r="N12" s="489"/>
      <c r="O12" s="489"/>
      <c r="P12" s="489"/>
      <c r="Q12" s="489"/>
      <c r="R12" s="489"/>
      <c r="S12" s="489"/>
      <c r="T12" s="489"/>
      <c r="U12" s="489"/>
      <c r="V12" s="489"/>
      <c r="W12" s="489"/>
      <c r="X12" s="489"/>
      <c r="Y12" s="489"/>
      <c r="Z12" s="489"/>
      <c r="AA12" s="489"/>
      <c r="AB12" s="489"/>
      <c r="AC12" s="489"/>
      <c r="AD12" s="489"/>
      <c r="AE12" s="489"/>
      <c r="AF12" s="489"/>
      <c r="AG12" s="489"/>
      <c r="AH12" s="489"/>
      <c r="AI12" s="489"/>
      <c r="AJ12" s="489"/>
      <c r="AK12" s="489"/>
      <c r="AL12" s="489"/>
      <c r="AM12" s="489"/>
      <c r="AN12" s="489"/>
      <c r="AO12" s="489"/>
      <c r="AP12" s="351"/>
      <c r="AQ12" s="331"/>
      <c r="AR12" s="490"/>
      <c r="AS12" s="490"/>
      <c r="AT12" s="490"/>
      <c r="AU12" s="490"/>
      <c r="AV12" s="490"/>
      <c r="AW12" s="490"/>
      <c r="AX12" s="490"/>
      <c r="AY12" s="490"/>
      <c r="AZ12" s="490"/>
      <c r="BA12" s="490"/>
      <c r="BB12" s="490"/>
      <c r="BC12" s="490"/>
      <c r="BD12" s="490"/>
      <c r="BE12" s="490"/>
      <c r="BF12" s="332"/>
      <c r="BG12" s="350" t="s">
        <v>584</v>
      </c>
      <c r="BH12" s="490"/>
      <c r="BI12" s="490"/>
      <c r="BJ12" s="490"/>
      <c r="BK12" s="372"/>
    </row>
    <row r="13" spans="1:63" s="330" customFormat="1" ht="12">
      <c r="A13" s="976"/>
      <c r="B13" s="977"/>
      <c r="C13" s="1016"/>
      <c r="D13" s="1016"/>
      <c r="E13" s="1016"/>
      <c r="F13" s="1016"/>
      <c r="G13" s="350"/>
      <c r="H13" s="489"/>
      <c r="I13" s="489"/>
      <c r="J13" s="489"/>
      <c r="K13" s="489"/>
      <c r="L13" s="489"/>
      <c r="M13" s="489"/>
      <c r="N13" s="489"/>
      <c r="O13" s="489"/>
      <c r="P13" s="489"/>
      <c r="Q13" s="489"/>
      <c r="R13" s="489"/>
      <c r="S13" s="489"/>
      <c r="T13" s="489"/>
      <c r="U13" s="489"/>
      <c r="V13" s="489"/>
      <c r="W13" s="489"/>
      <c r="X13" s="489"/>
      <c r="Y13" s="489"/>
      <c r="Z13" s="489"/>
      <c r="AA13" s="489"/>
      <c r="AB13" s="489"/>
      <c r="AC13" s="489"/>
      <c r="AD13" s="489"/>
      <c r="AE13" s="489"/>
      <c r="AF13" s="489"/>
      <c r="AG13" s="489"/>
      <c r="AH13" s="489"/>
      <c r="AI13" s="489"/>
      <c r="AJ13" s="489"/>
      <c r="AK13" s="489"/>
      <c r="AL13" s="489"/>
      <c r="AM13" s="489"/>
      <c r="AN13" s="489"/>
      <c r="AO13" s="489"/>
      <c r="AP13" s="351"/>
      <c r="AQ13" s="350"/>
      <c r="AR13" s="489"/>
      <c r="AS13" s="489"/>
      <c r="AT13" s="489"/>
      <c r="AU13" s="489"/>
      <c r="AV13" s="489"/>
      <c r="AW13" s="489"/>
      <c r="AX13" s="489"/>
      <c r="AY13" s="489"/>
      <c r="AZ13" s="489"/>
      <c r="BA13" s="489"/>
      <c r="BB13" s="489"/>
      <c r="BC13" s="489"/>
      <c r="BD13" s="489"/>
      <c r="BE13" s="489"/>
      <c r="BF13" s="351"/>
      <c r="BG13" s="331"/>
      <c r="BH13" s="489"/>
      <c r="BI13" s="489"/>
      <c r="BJ13" s="489"/>
      <c r="BK13" s="329"/>
    </row>
    <row r="14" spans="1:63" s="330" customFormat="1" ht="12">
      <c r="A14" s="982"/>
      <c r="B14" s="983"/>
      <c r="C14" s="1016"/>
      <c r="D14" s="1016"/>
      <c r="E14" s="1016"/>
      <c r="F14" s="1016"/>
      <c r="G14" s="350"/>
      <c r="H14" s="489"/>
      <c r="I14" s="489"/>
      <c r="J14" s="489"/>
      <c r="K14" s="489"/>
      <c r="L14" s="489"/>
      <c r="M14" s="489"/>
      <c r="N14" s="489"/>
      <c r="O14" s="489"/>
      <c r="P14" s="489"/>
      <c r="Q14" s="489"/>
      <c r="R14" s="489"/>
      <c r="S14" s="489"/>
      <c r="T14" s="489"/>
      <c r="U14" s="489"/>
      <c r="V14" s="489"/>
      <c r="W14" s="489"/>
      <c r="X14" s="489"/>
      <c r="Y14" s="489"/>
      <c r="Z14" s="489"/>
      <c r="AA14" s="489"/>
      <c r="AB14" s="489"/>
      <c r="AC14" s="489"/>
      <c r="AD14" s="489"/>
      <c r="AE14" s="489"/>
      <c r="AF14" s="489"/>
      <c r="AG14" s="489"/>
      <c r="AH14" s="489"/>
      <c r="AI14" s="489"/>
      <c r="AJ14" s="489"/>
      <c r="AK14" s="489"/>
      <c r="AL14" s="489"/>
      <c r="AM14" s="489"/>
      <c r="AN14" s="489"/>
      <c r="AO14" s="489"/>
      <c r="AP14" s="351"/>
      <c r="AQ14" s="331"/>
      <c r="AR14" s="490"/>
      <c r="AS14" s="490"/>
      <c r="AT14" s="490"/>
      <c r="AU14" s="490"/>
      <c r="AV14" s="490"/>
      <c r="AW14" s="490"/>
      <c r="AX14" s="490"/>
      <c r="AY14" s="490"/>
      <c r="AZ14" s="490"/>
      <c r="BA14" s="490"/>
      <c r="BB14" s="490"/>
      <c r="BC14" s="490"/>
      <c r="BD14" s="490"/>
      <c r="BE14" s="490"/>
      <c r="BF14" s="332"/>
      <c r="BG14" s="350"/>
      <c r="BH14" s="490"/>
      <c r="BI14" s="490"/>
      <c r="BJ14" s="490"/>
      <c r="BK14" s="372"/>
    </row>
    <row r="15" spans="1:63" s="330" customFormat="1" ht="12">
      <c r="A15" s="976"/>
      <c r="B15" s="977"/>
      <c r="C15" s="1016"/>
      <c r="D15" s="1016"/>
      <c r="E15" s="1016"/>
      <c r="F15" s="1016"/>
      <c r="G15" s="350"/>
      <c r="H15" s="489"/>
      <c r="I15" s="489"/>
      <c r="J15" s="489"/>
      <c r="K15" s="489"/>
      <c r="L15" s="489"/>
      <c r="M15" s="489"/>
      <c r="N15" s="489"/>
      <c r="O15" s="489"/>
      <c r="P15" s="489"/>
      <c r="Q15" s="489"/>
      <c r="R15" s="489"/>
      <c r="S15" s="489"/>
      <c r="T15" s="489"/>
      <c r="U15" s="489"/>
      <c r="V15" s="489"/>
      <c r="W15" s="489"/>
      <c r="X15" s="489"/>
      <c r="Y15" s="489"/>
      <c r="Z15" s="489"/>
      <c r="AA15" s="489"/>
      <c r="AB15" s="489"/>
      <c r="AC15" s="489"/>
      <c r="AD15" s="489"/>
      <c r="AE15" s="489"/>
      <c r="AF15" s="489"/>
      <c r="AG15" s="489"/>
      <c r="AH15" s="489"/>
      <c r="AI15" s="489"/>
      <c r="AJ15" s="489"/>
      <c r="AK15" s="489"/>
      <c r="AL15" s="489"/>
      <c r="AM15" s="489"/>
      <c r="AN15" s="489"/>
      <c r="AO15" s="489"/>
      <c r="AP15" s="351"/>
      <c r="AQ15" s="331"/>
      <c r="AR15" s="490"/>
      <c r="AS15" s="490"/>
      <c r="AT15" s="490"/>
      <c r="AU15" s="490"/>
      <c r="AV15" s="490"/>
      <c r="AW15" s="490"/>
      <c r="AX15" s="490"/>
      <c r="AY15" s="490"/>
      <c r="AZ15" s="490"/>
      <c r="BA15" s="490"/>
      <c r="BB15" s="490"/>
      <c r="BC15" s="490"/>
      <c r="BD15" s="490"/>
      <c r="BE15" s="490"/>
      <c r="BF15" s="332"/>
      <c r="BG15" s="331"/>
      <c r="BH15" s="490"/>
      <c r="BI15" s="490"/>
      <c r="BJ15" s="490"/>
      <c r="BK15" s="372"/>
    </row>
    <row r="16" spans="1:63" s="330" customFormat="1" ht="12">
      <c r="A16" s="982"/>
      <c r="B16" s="983"/>
      <c r="C16" s="1016"/>
      <c r="D16" s="1016"/>
      <c r="E16" s="1016"/>
      <c r="F16" s="1016"/>
      <c r="G16" s="350"/>
      <c r="H16" s="489"/>
      <c r="I16" s="489"/>
      <c r="J16" s="489"/>
      <c r="K16" s="489"/>
      <c r="L16" s="489"/>
      <c r="M16" s="489"/>
      <c r="N16" s="489"/>
      <c r="O16" s="489"/>
      <c r="P16" s="489"/>
      <c r="Q16" s="489"/>
      <c r="R16" s="489"/>
      <c r="S16" s="489"/>
      <c r="T16" s="489"/>
      <c r="U16" s="489"/>
      <c r="V16" s="489"/>
      <c r="W16" s="489"/>
      <c r="X16" s="489"/>
      <c r="Y16" s="489"/>
      <c r="Z16" s="489"/>
      <c r="AA16" s="489"/>
      <c r="AB16" s="489"/>
      <c r="AC16" s="489"/>
      <c r="AD16" s="489"/>
      <c r="AE16" s="489"/>
      <c r="AF16" s="489"/>
      <c r="AG16" s="489"/>
      <c r="AH16" s="489"/>
      <c r="AI16" s="489"/>
      <c r="AJ16" s="489"/>
      <c r="AK16" s="489"/>
      <c r="AL16" s="489"/>
      <c r="AM16" s="489"/>
      <c r="AN16" s="489"/>
      <c r="AO16" s="489"/>
      <c r="AP16" s="351"/>
      <c r="AQ16" s="331"/>
      <c r="AR16" s="490"/>
      <c r="AS16" s="490"/>
      <c r="AT16" s="490"/>
      <c r="AU16" s="490"/>
      <c r="AV16" s="490"/>
      <c r="AW16" s="490"/>
      <c r="AX16" s="490"/>
      <c r="AY16" s="490"/>
      <c r="AZ16" s="490"/>
      <c r="BA16" s="490"/>
      <c r="BB16" s="490"/>
      <c r="BC16" s="490"/>
      <c r="BD16" s="490"/>
      <c r="BE16" s="490"/>
      <c r="BF16" s="332"/>
      <c r="BG16" s="350"/>
      <c r="BH16" s="490"/>
      <c r="BI16" s="490"/>
      <c r="BJ16" s="490"/>
      <c r="BK16" s="372"/>
    </row>
    <row r="17" spans="1:63" s="330" customFormat="1" ht="12">
      <c r="A17" s="976"/>
      <c r="B17" s="977"/>
      <c r="C17" s="1016"/>
      <c r="D17" s="1016"/>
      <c r="E17" s="1016"/>
      <c r="F17" s="1016"/>
      <c r="G17" s="350"/>
      <c r="H17" s="489"/>
      <c r="I17" s="489"/>
      <c r="J17" s="489"/>
      <c r="K17" s="489"/>
      <c r="L17" s="489"/>
      <c r="M17" s="489"/>
      <c r="N17" s="489"/>
      <c r="O17" s="489"/>
      <c r="P17" s="489"/>
      <c r="Q17" s="489"/>
      <c r="R17" s="489"/>
      <c r="S17" s="489"/>
      <c r="T17" s="489"/>
      <c r="U17" s="489"/>
      <c r="V17" s="489"/>
      <c r="W17" s="489"/>
      <c r="X17" s="489"/>
      <c r="Y17" s="489"/>
      <c r="Z17" s="489"/>
      <c r="AA17" s="489"/>
      <c r="AB17" s="489"/>
      <c r="AC17" s="489"/>
      <c r="AD17" s="489"/>
      <c r="AE17" s="489"/>
      <c r="AF17" s="489"/>
      <c r="AG17" s="489"/>
      <c r="AH17" s="489"/>
      <c r="AI17" s="489"/>
      <c r="AJ17" s="489"/>
      <c r="AK17" s="489"/>
      <c r="AL17" s="489"/>
      <c r="AM17" s="489"/>
      <c r="AN17" s="489"/>
      <c r="AO17" s="489"/>
      <c r="AP17" s="351"/>
      <c r="AQ17" s="350"/>
      <c r="AR17" s="489"/>
      <c r="AS17" s="489"/>
      <c r="AT17" s="489"/>
      <c r="AU17" s="489"/>
      <c r="AV17" s="489"/>
      <c r="AW17" s="489"/>
      <c r="AX17" s="489"/>
      <c r="AY17" s="489"/>
      <c r="AZ17" s="489"/>
      <c r="BA17" s="489"/>
      <c r="BB17" s="489"/>
      <c r="BC17" s="489"/>
      <c r="BD17" s="489"/>
      <c r="BE17" s="489"/>
      <c r="BF17" s="351"/>
      <c r="BG17" s="331"/>
      <c r="BH17" s="489"/>
      <c r="BI17" s="489"/>
      <c r="BJ17" s="489"/>
      <c r="BK17" s="329"/>
    </row>
    <row r="18" spans="1:63" s="330" customFormat="1" ht="12">
      <c r="A18" s="982"/>
      <c r="B18" s="983"/>
      <c r="C18" s="1016"/>
      <c r="D18" s="1016"/>
      <c r="E18" s="1016"/>
      <c r="F18" s="1016"/>
      <c r="G18" s="350"/>
      <c r="H18" s="489"/>
      <c r="I18" s="489"/>
      <c r="J18" s="489"/>
      <c r="K18" s="489"/>
      <c r="L18" s="489"/>
      <c r="M18" s="489"/>
      <c r="N18" s="489"/>
      <c r="O18" s="489"/>
      <c r="P18" s="489"/>
      <c r="Q18" s="489"/>
      <c r="R18" s="489"/>
      <c r="S18" s="489"/>
      <c r="T18" s="489"/>
      <c r="U18" s="489"/>
      <c r="V18" s="489"/>
      <c r="W18" s="489"/>
      <c r="X18" s="489"/>
      <c r="Y18" s="489"/>
      <c r="Z18" s="489"/>
      <c r="AA18" s="489"/>
      <c r="AB18" s="489"/>
      <c r="AC18" s="489"/>
      <c r="AD18" s="489"/>
      <c r="AE18" s="489"/>
      <c r="AF18" s="489"/>
      <c r="AG18" s="489"/>
      <c r="AH18" s="489"/>
      <c r="AI18" s="489"/>
      <c r="AJ18" s="489"/>
      <c r="AK18" s="489"/>
      <c r="AL18" s="489"/>
      <c r="AM18" s="489"/>
      <c r="AN18" s="489"/>
      <c r="AO18" s="489"/>
      <c r="AP18" s="351"/>
      <c r="AQ18" s="331"/>
      <c r="AR18" s="490"/>
      <c r="AS18" s="490"/>
      <c r="AT18" s="490"/>
      <c r="AU18" s="490"/>
      <c r="AV18" s="490"/>
      <c r="AW18" s="490"/>
      <c r="AX18" s="490"/>
      <c r="AY18" s="490"/>
      <c r="AZ18" s="490"/>
      <c r="BA18" s="490"/>
      <c r="BB18" s="490"/>
      <c r="BC18" s="490"/>
      <c r="BD18" s="490"/>
      <c r="BE18" s="490"/>
      <c r="BF18" s="332"/>
      <c r="BG18" s="350"/>
      <c r="BH18" s="490"/>
      <c r="BI18" s="490"/>
      <c r="BJ18" s="490"/>
      <c r="BK18" s="372"/>
    </row>
    <row r="19" spans="1:63" s="330" customFormat="1" ht="12">
      <c r="A19" s="976"/>
      <c r="B19" s="977"/>
      <c r="C19" s="1016"/>
      <c r="D19" s="1016"/>
      <c r="E19" s="1016"/>
      <c r="F19" s="1016"/>
      <c r="G19" s="350"/>
      <c r="H19" s="489"/>
      <c r="I19" s="489"/>
      <c r="J19" s="489"/>
      <c r="K19" s="489"/>
      <c r="L19" s="489"/>
      <c r="M19" s="489"/>
      <c r="N19" s="489"/>
      <c r="O19" s="489"/>
      <c r="P19" s="489"/>
      <c r="Q19" s="489"/>
      <c r="R19" s="489"/>
      <c r="S19" s="489"/>
      <c r="T19" s="489"/>
      <c r="U19" s="489"/>
      <c r="V19" s="489"/>
      <c r="W19" s="489"/>
      <c r="X19" s="489"/>
      <c r="Y19" s="489"/>
      <c r="Z19" s="489"/>
      <c r="AA19" s="489"/>
      <c r="AB19" s="489"/>
      <c r="AC19" s="489"/>
      <c r="AD19" s="489"/>
      <c r="AE19" s="489"/>
      <c r="AF19" s="489"/>
      <c r="AG19" s="489"/>
      <c r="AH19" s="489"/>
      <c r="AI19" s="489"/>
      <c r="AJ19" s="489"/>
      <c r="AK19" s="489"/>
      <c r="AL19" s="489"/>
      <c r="AM19" s="489"/>
      <c r="AN19" s="489"/>
      <c r="AO19" s="489"/>
      <c r="AP19" s="351"/>
      <c r="AQ19" s="331"/>
      <c r="AR19" s="490"/>
      <c r="AS19" s="490"/>
      <c r="AT19" s="490"/>
      <c r="AU19" s="490"/>
      <c r="AV19" s="490"/>
      <c r="AW19" s="490"/>
      <c r="AX19" s="490"/>
      <c r="AY19" s="490"/>
      <c r="AZ19" s="490"/>
      <c r="BA19" s="490"/>
      <c r="BB19" s="490"/>
      <c r="BC19" s="490"/>
      <c r="BD19" s="490"/>
      <c r="BE19" s="490"/>
      <c r="BF19" s="332"/>
      <c r="BG19" s="331"/>
      <c r="BH19" s="490"/>
      <c r="BI19" s="490"/>
      <c r="BJ19" s="490"/>
      <c r="BK19" s="372"/>
    </row>
    <row r="20" spans="1:63" s="330" customFormat="1" ht="12">
      <c r="A20" s="982"/>
      <c r="B20" s="983"/>
      <c r="C20" s="1016"/>
      <c r="D20" s="1016"/>
      <c r="E20" s="1016"/>
      <c r="F20" s="1016"/>
      <c r="G20" s="350"/>
      <c r="H20" s="489"/>
      <c r="I20" s="489"/>
      <c r="J20" s="489"/>
      <c r="K20" s="489"/>
      <c r="L20" s="489"/>
      <c r="M20" s="489"/>
      <c r="N20" s="489"/>
      <c r="O20" s="489"/>
      <c r="P20" s="489"/>
      <c r="Q20" s="489"/>
      <c r="R20" s="489"/>
      <c r="S20" s="489"/>
      <c r="T20" s="489"/>
      <c r="U20" s="489"/>
      <c r="V20" s="489"/>
      <c r="W20" s="489"/>
      <c r="X20" s="489"/>
      <c r="Y20" s="489"/>
      <c r="Z20" s="489"/>
      <c r="AA20" s="489"/>
      <c r="AB20" s="489"/>
      <c r="AC20" s="489"/>
      <c r="AD20" s="489"/>
      <c r="AE20" s="489"/>
      <c r="AF20" s="489"/>
      <c r="AG20" s="489"/>
      <c r="AH20" s="489"/>
      <c r="AI20" s="489"/>
      <c r="AJ20" s="489"/>
      <c r="AK20" s="489"/>
      <c r="AL20" s="489"/>
      <c r="AM20" s="489"/>
      <c r="AN20" s="489"/>
      <c r="AO20" s="489"/>
      <c r="AP20" s="351"/>
      <c r="AQ20" s="331"/>
      <c r="AR20" s="490"/>
      <c r="AS20" s="490"/>
      <c r="AT20" s="490"/>
      <c r="AU20" s="490"/>
      <c r="AV20" s="490"/>
      <c r="AW20" s="490"/>
      <c r="AX20" s="490"/>
      <c r="AY20" s="490"/>
      <c r="AZ20" s="490"/>
      <c r="BA20" s="490"/>
      <c r="BB20" s="490"/>
      <c r="BC20" s="490"/>
      <c r="BD20" s="490"/>
      <c r="BE20" s="490"/>
      <c r="BF20" s="332"/>
      <c r="BG20" s="350"/>
      <c r="BH20" s="490"/>
      <c r="BI20" s="490"/>
      <c r="BJ20" s="490"/>
      <c r="BK20" s="372"/>
    </row>
    <row r="21" spans="1:63" s="330" customFormat="1" ht="12">
      <c r="A21" s="976"/>
      <c r="B21" s="977"/>
      <c r="C21" s="1016"/>
      <c r="D21" s="1016"/>
      <c r="E21" s="1016"/>
      <c r="F21" s="1016"/>
      <c r="G21" s="350"/>
      <c r="H21" s="489"/>
      <c r="I21" s="489"/>
      <c r="J21" s="489"/>
      <c r="K21" s="489"/>
      <c r="L21" s="489"/>
      <c r="M21" s="489"/>
      <c r="N21" s="489"/>
      <c r="O21" s="489"/>
      <c r="P21" s="489"/>
      <c r="Q21" s="489"/>
      <c r="R21" s="489"/>
      <c r="S21" s="489"/>
      <c r="T21" s="489"/>
      <c r="U21" s="489"/>
      <c r="V21" s="489"/>
      <c r="W21" s="489"/>
      <c r="X21" s="489"/>
      <c r="Y21" s="489"/>
      <c r="Z21" s="489"/>
      <c r="AA21" s="489"/>
      <c r="AB21" s="489"/>
      <c r="AC21" s="489"/>
      <c r="AD21" s="489"/>
      <c r="AE21" s="489"/>
      <c r="AF21" s="489"/>
      <c r="AG21" s="489"/>
      <c r="AH21" s="489"/>
      <c r="AI21" s="489"/>
      <c r="AJ21" s="489"/>
      <c r="AK21" s="489"/>
      <c r="AL21" s="489"/>
      <c r="AM21" s="489"/>
      <c r="AN21" s="489"/>
      <c r="AO21" s="489"/>
      <c r="AP21" s="351"/>
      <c r="AQ21" s="331"/>
      <c r="AR21" s="490"/>
      <c r="AS21" s="490"/>
      <c r="AT21" s="490"/>
      <c r="AU21" s="490"/>
      <c r="AV21" s="490"/>
      <c r="AW21" s="490"/>
      <c r="AX21" s="490"/>
      <c r="AY21" s="490"/>
      <c r="AZ21" s="490"/>
      <c r="BA21" s="490"/>
      <c r="BB21" s="490"/>
      <c r="BC21" s="490"/>
      <c r="BD21" s="490"/>
      <c r="BE21" s="490"/>
      <c r="BF21" s="332"/>
      <c r="BG21" s="331"/>
      <c r="BH21" s="490"/>
      <c r="BI21" s="490"/>
      <c r="BJ21" s="490"/>
      <c r="BK21" s="372"/>
    </row>
    <row r="22" spans="1:63" s="330" customFormat="1" ht="12">
      <c r="A22" s="982"/>
      <c r="B22" s="983"/>
      <c r="C22" s="1016"/>
      <c r="D22" s="1016"/>
      <c r="E22" s="1016"/>
      <c r="F22" s="1016"/>
      <c r="G22" s="350"/>
      <c r="H22" s="489"/>
      <c r="I22" s="489"/>
      <c r="J22" s="489"/>
      <c r="K22" s="489"/>
      <c r="L22" s="489"/>
      <c r="M22" s="489"/>
      <c r="N22" s="489"/>
      <c r="O22" s="489"/>
      <c r="P22" s="489"/>
      <c r="Q22" s="489"/>
      <c r="R22" s="489"/>
      <c r="S22" s="489"/>
      <c r="T22" s="489"/>
      <c r="U22" s="489"/>
      <c r="V22" s="489"/>
      <c r="W22" s="489"/>
      <c r="X22" s="489"/>
      <c r="Y22" s="489"/>
      <c r="Z22" s="489"/>
      <c r="AA22" s="489"/>
      <c r="AB22" s="489"/>
      <c r="AC22" s="489"/>
      <c r="AD22" s="489"/>
      <c r="AE22" s="489"/>
      <c r="AF22" s="489"/>
      <c r="AG22" s="489"/>
      <c r="AH22" s="489"/>
      <c r="AI22" s="489"/>
      <c r="AJ22" s="489"/>
      <c r="AK22" s="489"/>
      <c r="AL22" s="489"/>
      <c r="AM22" s="489"/>
      <c r="AN22" s="489"/>
      <c r="AO22" s="489"/>
      <c r="AP22" s="351"/>
      <c r="AQ22" s="350"/>
      <c r="AR22" s="489"/>
      <c r="AS22" s="489"/>
      <c r="AT22" s="489"/>
      <c r="AU22" s="489"/>
      <c r="AV22" s="489"/>
      <c r="AW22" s="489"/>
      <c r="AX22" s="489"/>
      <c r="AY22" s="489"/>
      <c r="AZ22" s="489"/>
      <c r="BA22" s="489"/>
      <c r="BB22" s="489"/>
      <c r="BC22" s="489"/>
      <c r="BD22" s="489"/>
      <c r="BE22" s="489"/>
      <c r="BF22" s="351"/>
      <c r="BG22" s="350"/>
      <c r="BH22" s="489"/>
      <c r="BI22" s="489"/>
      <c r="BJ22" s="489"/>
      <c r="BK22" s="329"/>
    </row>
    <row r="23" spans="1:63" s="330" customFormat="1" ht="12">
      <c r="A23" s="976"/>
      <c r="B23" s="977"/>
      <c r="C23" s="1016"/>
      <c r="D23" s="1016"/>
      <c r="E23" s="1016"/>
      <c r="F23" s="1016"/>
      <c r="G23" s="350"/>
      <c r="H23" s="489"/>
      <c r="I23" s="489"/>
      <c r="J23" s="489"/>
      <c r="K23" s="489"/>
      <c r="L23" s="489"/>
      <c r="M23" s="489"/>
      <c r="N23" s="489"/>
      <c r="O23" s="489"/>
      <c r="P23" s="489"/>
      <c r="Q23" s="489"/>
      <c r="R23" s="489"/>
      <c r="S23" s="489"/>
      <c r="T23" s="489"/>
      <c r="U23" s="489"/>
      <c r="V23" s="489"/>
      <c r="W23" s="489"/>
      <c r="X23" s="489"/>
      <c r="Y23" s="489"/>
      <c r="Z23" s="489"/>
      <c r="AA23" s="489"/>
      <c r="AB23" s="489"/>
      <c r="AC23" s="489"/>
      <c r="AD23" s="489"/>
      <c r="AE23" s="489"/>
      <c r="AF23" s="489"/>
      <c r="AG23" s="489"/>
      <c r="AH23" s="489"/>
      <c r="AI23" s="489"/>
      <c r="AJ23" s="489"/>
      <c r="AK23" s="489"/>
      <c r="AL23" s="489"/>
      <c r="AM23" s="489"/>
      <c r="AN23" s="489"/>
      <c r="AO23" s="489"/>
      <c r="AP23" s="351"/>
      <c r="AQ23" s="331"/>
      <c r="AR23" s="490"/>
      <c r="AS23" s="490"/>
      <c r="AT23" s="490"/>
      <c r="AU23" s="490"/>
      <c r="AV23" s="490"/>
      <c r="AW23" s="490"/>
      <c r="AX23" s="490"/>
      <c r="AY23" s="490"/>
      <c r="AZ23" s="490"/>
      <c r="BA23" s="490"/>
      <c r="BB23" s="490"/>
      <c r="BC23" s="490"/>
      <c r="BD23" s="490"/>
      <c r="BE23" s="490"/>
      <c r="BF23" s="332"/>
      <c r="BG23" s="331"/>
      <c r="BH23" s="490"/>
      <c r="BI23" s="490"/>
      <c r="BJ23" s="490"/>
      <c r="BK23" s="372"/>
    </row>
    <row r="24" spans="1:63" s="330" customFormat="1" ht="12">
      <c r="A24" s="982"/>
      <c r="B24" s="983"/>
      <c r="C24" s="1016"/>
      <c r="D24" s="1016"/>
      <c r="E24" s="1016"/>
      <c r="F24" s="1016"/>
      <c r="G24" s="350"/>
      <c r="H24" s="489"/>
      <c r="I24" s="489"/>
      <c r="J24" s="489"/>
      <c r="K24" s="489"/>
      <c r="L24" s="489"/>
      <c r="M24" s="489"/>
      <c r="N24" s="489"/>
      <c r="O24" s="489"/>
      <c r="P24" s="489"/>
      <c r="Q24" s="489"/>
      <c r="R24" s="489"/>
      <c r="S24" s="489"/>
      <c r="T24" s="489"/>
      <c r="U24" s="489"/>
      <c r="V24" s="489"/>
      <c r="W24" s="489"/>
      <c r="X24" s="489"/>
      <c r="Y24" s="489"/>
      <c r="Z24" s="489"/>
      <c r="AA24" s="489"/>
      <c r="AB24" s="489"/>
      <c r="AC24" s="489"/>
      <c r="AD24" s="489"/>
      <c r="AE24" s="489"/>
      <c r="AF24" s="489"/>
      <c r="AG24" s="489"/>
      <c r="AH24" s="489"/>
      <c r="AI24" s="489"/>
      <c r="AJ24" s="489"/>
      <c r="AK24" s="489"/>
      <c r="AL24" s="489"/>
      <c r="AM24" s="489"/>
      <c r="AN24" s="489"/>
      <c r="AO24" s="489"/>
      <c r="AP24" s="351"/>
      <c r="AQ24" s="331"/>
      <c r="AR24" s="490"/>
      <c r="AS24" s="490"/>
      <c r="AT24" s="490"/>
      <c r="AU24" s="490"/>
      <c r="AV24" s="490"/>
      <c r="AW24" s="490"/>
      <c r="AX24" s="490"/>
      <c r="AY24" s="490"/>
      <c r="AZ24" s="490"/>
      <c r="BA24" s="490"/>
      <c r="BB24" s="490"/>
      <c r="BC24" s="490"/>
      <c r="BD24" s="490"/>
      <c r="BE24" s="490"/>
      <c r="BF24" s="332"/>
      <c r="BG24" s="350"/>
      <c r="BH24" s="490"/>
      <c r="BI24" s="490"/>
      <c r="BJ24" s="490"/>
      <c r="BK24" s="372"/>
    </row>
    <row r="25" spans="1:63" s="330" customFormat="1" ht="12">
      <c r="A25" s="976"/>
      <c r="B25" s="977"/>
      <c r="C25" s="1017"/>
      <c r="D25" s="1018"/>
      <c r="E25" s="1017"/>
      <c r="F25" s="1018"/>
      <c r="G25" s="350"/>
      <c r="H25" s="489"/>
      <c r="I25" s="489"/>
      <c r="J25" s="489"/>
      <c r="K25" s="489"/>
      <c r="L25" s="489"/>
      <c r="M25" s="489"/>
      <c r="N25" s="489"/>
      <c r="O25" s="489"/>
      <c r="P25" s="489"/>
      <c r="Q25" s="489"/>
      <c r="R25" s="489"/>
      <c r="S25" s="489"/>
      <c r="T25" s="489"/>
      <c r="U25" s="489"/>
      <c r="V25" s="489"/>
      <c r="W25" s="489"/>
      <c r="X25" s="489"/>
      <c r="Y25" s="489"/>
      <c r="Z25" s="489"/>
      <c r="AA25" s="489"/>
      <c r="AB25" s="489"/>
      <c r="AC25" s="489"/>
      <c r="AD25" s="489"/>
      <c r="AE25" s="489"/>
      <c r="AF25" s="489"/>
      <c r="AG25" s="489"/>
      <c r="AH25" s="489"/>
      <c r="AI25" s="489"/>
      <c r="AJ25" s="489"/>
      <c r="AK25" s="489"/>
      <c r="AL25" s="489"/>
      <c r="AM25" s="489"/>
      <c r="AN25" s="489"/>
      <c r="AO25" s="489"/>
      <c r="AP25" s="351"/>
      <c r="AQ25" s="331"/>
      <c r="AR25" s="490"/>
      <c r="AS25" s="490"/>
      <c r="AT25" s="490"/>
      <c r="AU25" s="490"/>
      <c r="AV25" s="490"/>
      <c r="AW25" s="490"/>
      <c r="AX25" s="490"/>
      <c r="AY25" s="490"/>
      <c r="AZ25" s="490"/>
      <c r="BA25" s="490"/>
      <c r="BB25" s="490"/>
      <c r="BC25" s="490"/>
      <c r="BD25" s="490"/>
      <c r="BE25" s="490"/>
      <c r="BF25" s="332"/>
      <c r="BG25" s="350"/>
      <c r="BH25" s="490"/>
      <c r="BI25" s="490"/>
      <c r="BJ25" s="490"/>
      <c r="BK25" s="372"/>
    </row>
    <row r="26" spans="1:63" s="330" customFormat="1" ht="12">
      <c r="A26" s="982"/>
      <c r="B26" s="983"/>
      <c r="C26" s="1016"/>
      <c r="D26" s="1016"/>
      <c r="E26" s="1016"/>
      <c r="F26" s="1016"/>
      <c r="G26" s="350"/>
      <c r="H26" s="489"/>
      <c r="I26" s="489"/>
      <c r="J26" s="489"/>
      <c r="K26" s="489"/>
      <c r="L26" s="489"/>
      <c r="M26" s="489"/>
      <c r="N26" s="489"/>
      <c r="O26" s="489"/>
      <c r="P26" s="489"/>
      <c r="Q26" s="489"/>
      <c r="R26" s="489"/>
      <c r="S26" s="489"/>
      <c r="T26" s="489"/>
      <c r="U26" s="489"/>
      <c r="V26" s="489"/>
      <c r="W26" s="489"/>
      <c r="X26" s="489"/>
      <c r="Y26" s="489"/>
      <c r="Z26" s="489"/>
      <c r="AA26" s="489"/>
      <c r="AB26" s="489"/>
      <c r="AC26" s="489"/>
      <c r="AD26" s="489"/>
      <c r="AE26" s="489"/>
      <c r="AF26" s="489"/>
      <c r="AG26" s="489"/>
      <c r="AH26" s="489"/>
      <c r="AI26" s="489"/>
      <c r="AJ26" s="489"/>
      <c r="AK26" s="489"/>
      <c r="AL26" s="489"/>
      <c r="AM26" s="489"/>
      <c r="AN26" s="489"/>
      <c r="AO26" s="489"/>
      <c r="AP26" s="351"/>
      <c r="AQ26" s="350"/>
      <c r="AR26" s="489"/>
      <c r="AS26" s="489"/>
      <c r="AT26" s="489"/>
      <c r="AU26" s="489"/>
      <c r="AV26" s="489"/>
      <c r="AW26" s="489"/>
      <c r="AX26" s="489"/>
      <c r="AY26" s="489"/>
      <c r="AZ26" s="489"/>
      <c r="BA26" s="489"/>
      <c r="BB26" s="489"/>
      <c r="BC26" s="489"/>
      <c r="BD26" s="489"/>
      <c r="BE26" s="489"/>
      <c r="BF26" s="351"/>
      <c r="BG26" s="350"/>
      <c r="BH26" s="489"/>
      <c r="BI26" s="489"/>
      <c r="BJ26" s="489"/>
      <c r="BK26" s="329"/>
    </row>
    <row r="27" spans="1:63" s="330" customFormat="1" ht="12">
      <c r="A27" s="976"/>
      <c r="B27" s="977"/>
      <c r="C27" s="1016"/>
      <c r="D27" s="1016"/>
      <c r="E27" s="1016"/>
      <c r="F27" s="1016"/>
      <c r="G27" s="350"/>
      <c r="H27" s="489"/>
      <c r="I27" s="489"/>
      <c r="J27" s="489"/>
      <c r="K27" s="489"/>
      <c r="L27" s="489"/>
      <c r="M27" s="489"/>
      <c r="N27" s="489"/>
      <c r="O27" s="489"/>
      <c r="P27" s="489"/>
      <c r="Q27" s="489"/>
      <c r="R27" s="489"/>
      <c r="S27" s="489"/>
      <c r="T27" s="489"/>
      <c r="U27" s="489"/>
      <c r="V27" s="489"/>
      <c r="W27" s="489"/>
      <c r="X27" s="489"/>
      <c r="Y27" s="489"/>
      <c r="Z27" s="489"/>
      <c r="AA27" s="489"/>
      <c r="AB27" s="489"/>
      <c r="AC27" s="489"/>
      <c r="AD27" s="489"/>
      <c r="AE27" s="489"/>
      <c r="AF27" s="489"/>
      <c r="AG27" s="489"/>
      <c r="AH27" s="489"/>
      <c r="AI27" s="489"/>
      <c r="AJ27" s="489"/>
      <c r="AK27" s="489"/>
      <c r="AL27" s="489"/>
      <c r="AM27" s="489"/>
      <c r="AN27" s="489"/>
      <c r="AO27" s="489"/>
      <c r="AP27" s="351"/>
      <c r="AQ27" s="331"/>
      <c r="AR27" s="490"/>
      <c r="AS27" s="490"/>
      <c r="AT27" s="490"/>
      <c r="AU27" s="490"/>
      <c r="AV27" s="490"/>
      <c r="AW27" s="490"/>
      <c r="AX27" s="490"/>
      <c r="AY27" s="490"/>
      <c r="AZ27" s="490"/>
      <c r="BA27" s="490"/>
      <c r="BB27" s="490"/>
      <c r="BC27" s="490"/>
      <c r="BD27" s="490"/>
      <c r="BE27" s="490"/>
      <c r="BF27" s="332"/>
      <c r="BG27" s="331"/>
      <c r="BH27" s="490"/>
      <c r="BI27" s="490"/>
      <c r="BJ27" s="490"/>
      <c r="BK27" s="372"/>
    </row>
    <row r="28" spans="1:63" s="330" customFormat="1" ht="12">
      <c r="A28" s="976"/>
      <c r="B28" s="977"/>
      <c r="C28" s="1016"/>
      <c r="D28" s="1016"/>
      <c r="E28" s="1016"/>
      <c r="F28" s="1016"/>
      <c r="G28" s="350"/>
      <c r="H28" s="489"/>
      <c r="I28" s="489"/>
      <c r="J28" s="489"/>
      <c r="K28" s="489"/>
      <c r="L28" s="489"/>
      <c r="M28" s="489"/>
      <c r="N28" s="489"/>
      <c r="O28" s="489"/>
      <c r="P28" s="489"/>
      <c r="Q28" s="489"/>
      <c r="R28" s="489"/>
      <c r="S28" s="489"/>
      <c r="T28" s="489"/>
      <c r="U28" s="489"/>
      <c r="V28" s="489"/>
      <c r="W28" s="489"/>
      <c r="X28" s="489"/>
      <c r="Y28" s="489"/>
      <c r="Z28" s="489"/>
      <c r="AA28" s="489"/>
      <c r="AB28" s="489"/>
      <c r="AC28" s="489"/>
      <c r="AD28" s="489"/>
      <c r="AE28" s="489"/>
      <c r="AF28" s="489"/>
      <c r="AG28" s="489"/>
      <c r="AH28" s="489"/>
      <c r="AI28" s="489"/>
      <c r="AJ28" s="489"/>
      <c r="AK28" s="489"/>
      <c r="AL28" s="489"/>
      <c r="AM28" s="489"/>
      <c r="AN28" s="489"/>
      <c r="AO28" s="489"/>
      <c r="AP28" s="351"/>
      <c r="AQ28" s="350"/>
      <c r="AR28" s="489"/>
      <c r="AS28" s="489"/>
      <c r="AT28" s="489"/>
      <c r="AU28" s="489"/>
      <c r="AV28" s="489"/>
      <c r="AW28" s="489"/>
      <c r="AX28" s="489"/>
      <c r="AY28" s="489"/>
      <c r="AZ28" s="489"/>
      <c r="BA28" s="489"/>
      <c r="BB28" s="489"/>
      <c r="BC28" s="489"/>
      <c r="BD28" s="489"/>
      <c r="BE28" s="489"/>
      <c r="BF28" s="351"/>
      <c r="BG28" s="350"/>
      <c r="BH28" s="489"/>
      <c r="BI28" s="489"/>
      <c r="BJ28" s="489"/>
      <c r="BK28" s="329"/>
    </row>
    <row r="29" spans="1:63" s="330" customFormat="1" ht="12">
      <c r="A29" s="982"/>
      <c r="B29" s="983"/>
      <c r="C29" s="1016"/>
      <c r="D29" s="1016"/>
      <c r="E29" s="1016"/>
      <c r="F29" s="1016"/>
      <c r="G29" s="350"/>
      <c r="H29" s="489"/>
      <c r="I29" s="489"/>
      <c r="J29" s="489"/>
      <c r="K29" s="489"/>
      <c r="L29" s="489"/>
      <c r="M29" s="489"/>
      <c r="N29" s="489"/>
      <c r="O29" s="489"/>
      <c r="P29" s="489"/>
      <c r="Q29" s="489"/>
      <c r="R29" s="489"/>
      <c r="S29" s="489"/>
      <c r="T29" s="489"/>
      <c r="U29" s="489"/>
      <c r="V29" s="489"/>
      <c r="W29" s="489"/>
      <c r="X29" s="489"/>
      <c r="Y29" s="489"/>
      <c r="Z29" s="489"/>
      <c r="AA29" s="489"/>
      <c r="AB29" s="489"/>
      <c r="AC29" s="489"/>
      <c r="AD29" s="489"/>
      <c r="AE29" s="489"/>
      <c r="AF29" s="489"/>
      <c r="AG29" s="489"/>
      <c r="AH29" s="489"/>
      <c r="AI29" s="489"/>
      <c r="AJ29" s="489"/>
      <c r="AK29" s="489"/>
      <c r="AL29" s="489"/>
      <c r="AM29" s="489"/>
      <c r="AN29" s="489"/>
      <c r="AO29" s="489"/>
      <c r="AP29" s="351"/>
      <c r="AQ29" s="331"/>
      <c r="AR29" s="490"/>
      <c r="AS29" s="490"/>
      <c r="AT29" s="490"/>
      <c r="AU29" s="490"/>
      <c r="AV29" s="490"/>
      <c r="AW29" s="490"/>
      <c r="AX29" s="490"/>
      <c r="AY29" s="490"/>
      <c r="AZ29" s="490"/>
      <c r="BA29" s="490"/>
      <c r="BB29" s="490"/>
      <c r="BC29" s="490"/>
      <c r="BD29" s="490"/>
      <c r="BE29" s="490"/>
      <c r="BF29" s="332"/>
      <c r="BG29" s="331"/>
      <c r="BH29" s="490"/>
      <c r="BI29" s="490"/>
      <c r="BJ29" s="490"/>
      <c r="BK29" s="372"/>
    </row>
    <row r="30" spans="1:63" s="330" customFormat="1" ht="12">
      <c r="A30" s="976"/>
      <c r="B30" s="977"/>
      <c r="C30" s="1016"/>
      <c r="D30" s="1016"/>
      <c r="E30" s="1016"/>
      <c r="F30" s="1016"/>
      <c r="G30" s="350"/>
      <c r="H30" s="489"/>
      <c r="I30" s="489"/>
      <c r="J30" s="489"/>
      <c r="K30" s="489"/>
      <c r="L30" s="489"/>
      <c r="M30" s="489"/>
      <c r="N30" s="489"/>
      <c r="O30" s="489"/>
      <c r="P30" s="489"/>
      <c r="Q30" s="489"/>
      <c r="R30" s="489"/>
      <c r="S30" s="489"/>
      <c r="T30" s="489"/>
      <c r="U30" s="489"/>
      <c r="V30" s="489"/>
      <c r="W30" s="489"/>
      <c r="X30" s="489"/>
      <c r="Y30" s="489"/>
      <c r="Z30" s="489"/>
      <c r="AA30" s="489"/>
      <c r="AB30" s="489"/>
      <c r="AC30" s="489"/>
      <c r="AD30" s="489"/>
      <c r="AE30" s="489"/>
      <c r="AF30" s="489"/>
      <c r="AG30" s="489"/>
      <c r="AH30" s="489"/>
      <c r="AI30" s="489"/>
      <c r="AJ30" s="489"/>
      <c r="AK30" s="489"/>
      <c r="AL30" s="489"/>
      <c r="AM30" s="489"/>
      <c r="AN30" s="489"/>
      <c r="AO30" s="489"/>
      <c r="AP30" s="351"/>
      <c r="AQ30" s="331"/>
      <c r="AR30" s="490"/>
      <c r="AS30" s="490"/>
      <c r="AT30" s="490"/>
      <c r="AU30" s="490"/>
      <c r="AV30" s="490"/>
      <c r="AW30" s="490"/>
      <c r="AX30" s="490"/>
      <c r="AY30" s="490"/>
      <c r="AZ30" s="490"/>
      <c r="BA30" s="490"/>
      <c r="BB30" s="490"/>
      <c r="BC30" s="490"/>
      <c r="BD30" s="490"/>
      <c r="BE30" s="490"/>
      <c r="BF30" s="332"/>
      <c r="BG30" s="350"/>
      <c r="BH30" s="490"/>
      <c r="BI30" s="490"/>
      <c r="BJ30" s="490"/>
      <c r="BK30" s="372"/>
    </row>
    <row r="31" spans="1:63" s="330" customFormat="1" ht="12">
      <c r="A31" s="976"/>
      <c r="B31" s="977"/>
      <c r="C31" s="1016"/>
      <c r="D31" s="1016"/>
      <c r="E31" s="1016"/>
      <c r="F31" s="1016"/>
      <c r="G31" s="350"/>
      <c r="H31" s="489"/>
      <c r="I31" s="489"/>
      <c r="J31" s="489"/>
      <c r="K31" s="489"/>
      <c r="L31" s="489"/>
      <c r="M31" s="489"/>
      <c r="N31" s="489"/>
      <c r="O31" s="489"/>
      <c r="P31" s="489"/>
      <c r="Q31" s="489"/>
      <c r="R31" s="489"/>
      <c r="S31" s="489"/>
      <c r="T31" s="489"/>
      <c r="U31" s="489"/>
      <c r="V31" s="489"/>
      <c r="W31" s="489"/>
      <c r="X31" s="489"/>
      <c r="Y31" s="489"/>
      <c r="Z31" s="489"/>
      <c r="AA31" s="489"/>
      <c r="AB31" s="489"/>
      <c r="AC31" s="489"/>
      <c r="AD31" s="489"/>
      <c r="AE31" s="489"/>
      <c r="AF31" s="489"/>
      <c r="AG31" s="489"/>
      <c r="AH31" s="489"/>
      <c r="AI31" s="489"/>
      <c r="AJ31" s="489"/>
      <c r="AK31" s="489"/>
      <c r="AL31" s="489"/>
      <c r="AM31" s="489"/>
      <c r="AN31" s="489"/>
      <c r="AO31" s="489"/>
      <c r="AP31" s="351"/>
      <c r="AQ31" s="331"/>
      <c r="AR31" s="490"/>
      <c r="AS31" s="490"/>
      <c r="AT31" s="490"/>
      <c r="AU31" s="490"/>
      <c r="AV31" s="490"/>
      <c r="AW31" s="490"/>
      <c r="AX31" s="490"/>
      <c r="AY31" s="490"/>
      <c r="AZ31" s="490"/>
      <c r="BA31" s="490"/>
      <c r="BB31" s="490"/>
      <c r="BC31" s="490"/>
      <c r="BD31" s="490"/>
      <c r="BE31" s="490"/>
      <c r="BF31" s="332"/>
      <c r="BG31" s="331"/>
      <c r="BH31" s="490"/>
      <c r="BI31" s="490"/>
      <c r="BJ31" s="490"/>
      <c r="BK31" s="372"/>
    </row>
    <row r="32" spans="1:63" s="330" customFormat="1" ht="12">
      <c r="A32" s="982"/>
      <c r="B32" s="983"/>
      <c r="C32" s="1016"/>
      <c r="D32" s="1016"/>
      <c r="E32" s="1016"/>
      <c r="F32" s="1016"/>
      <c r="G32" s="350"/>
      <c r="H32" s="489"/>
      <c r="I32" s="489"/>
      <c r="J32" s="489"/>
      <c r="K32" s="489"/>
      <c r="L32" s="489"/>
      <c r="M32" s="489"/>
      <c r="N32" s="489"/>
      <c r="O32" s="489"/>
      <c r="P32" s="489"/>
      <c r="Q32" s="489"/>
      <c r="R32" s="489"/>
      <c r="S32" s="489"/>
      <c r="T32" s="489"/>
      <c r="U32" s="489"/>
      <c r="V32" s="489"/>
      <c r="W32" s="489"/>
      <c r="X32" s="489"/>
      <c r="Y32" s="489"/>
      <c r="Z32" s="489"/>
      <c r="AA32" s="489"/>
      <c r="AB32" s="489"/>
      <c r="AC32" s="489"/>
      <c r="AD32" s="489"/>
      <c r="AE32" s="489"/>
      <c r="AF32" s="489"/>
      <c r="AG32" s="489"/>
      <c r="AH32" s="489"/>
      <c r="AI32" s="489"/>
      <c r="AJ32" s="489"/>
      <c r="AK32" s="489"/>
      <c r="AL32" s="489"/>
      <c r="AM32" s="489"/>
      <c r="AN32" s="489"/>
      <c r="AO32" s="489"/>
      <c r="AP32" s="351"/>
      <c r="AQ32" s="331"/>
      <c r="AR32" s="490"/>
      <c r="AS32" s="490"/>
      <c r="AT32" s="490"/>
      <c r="AU32" s="490"/>
      <c r="AV32" s="490"/>
      <c r="AW32" s="490"/>
      <c r="AX32" s="490"/>
      <c r="AY32" s="490"/>
      <c r="AZ32" s="490"/>
      <c r="BA32" s="490"/>
      <c r="BB32" s="490"/>
      <c r="BC32" s="490"/>
      <c r="BD32" s="490"/>
      <c r="BE32" s="490"/>
      <c r="BF32" s="332"/>
      <c r="BG32" s="350"/>
      <c r="BH32" s="490"/>
      <c r="BI32" s="490"/>
      <c r="BJ32" s="490"/>
      <c r="BK32" s="372"/>
    </row>
    <row r="33" spans="1:63" s="330" customFormat="1" ht="12">
      <c r="A33" s="976"/>
      <c r="B33" s="977"/>
      <c r="C33" s="1016"/>
      <c r="D33" s="1016"/>
      <c r="E33" s="1016"/>
      <c r="F33" s="1016"/>
      <c r="G33" s="350"/>
      <c r="H33" s="489"/>
      <c r="I33" s="489"/>
      <c r="J33" s="489"/>
      <c r="K33" s="489"/>
      <c r="L33" s="489"/>
      <c r="M33" s="489"/>
      <c r="N33" s="489"/>
      <c r="O33" s="489"/>
      <c r="P33" s="489"/>
      <c r="Q33" s="489"/>
      <c r="R33" s="489"/>
      <c r="S33" s="489"/>
      <c r="T33" s="489"/>
      <c r="U33" s="489"/>
      <c r="V33" s="489"/>
      <c r="W33" s="489"/>
      <c r="X33" s="489"/>
      <c r="Y33" s="489"/>
      <c r="Z33" s="489"/>
      <c r="AA33" s="489"/>
      <c r="AB33" s="489"/>
      <c r="AC33" s="489"/>
      <c r="AD33" s="489"/>
      <c r="AE33" s="489"/>
      <c r="AF33" s="489"/>
      <c r="AG33" s="489"/>
      <c r="AH33" s="489"/>
      <c r="AI33" s="489"/>
      <c r="AJ33" s="489"/>
      <c r="AK33" s="489"/>
      <c r="AL33" s="489"/>
      <c r="AM33" s="489"/>
      <c r="AN33" s="489"/>
      <c r="AO33" s="489"/>
      <c r="AP33" s="351"/>
      <c r="AQ33" s="350"/>
      <c r="AR33" s="489"/>
      <c r="AS33" s="489"/>
      <c r="AT33" s="489"/>
      <c r="AU33" s="489"/>
      <c r="AV33" s="489"/>
      <c r="AW33" s="489"/>
      <c r="AX33" s="489"/>
      <c r="AY33" s="489"/>
      <c r="AZ33" s="489"/>
      <c r="BA33" s="489"/>
      <c r="BB33" s="489"/>
      <c r="BC33" s="489"/>
      <c r="BD33" s="489"/>
      <c r="BE33" s="489"/>
      <c r="BF33" s="351"/>
      <c r="BG33" s="350"/>
      <c r="BH33" s="489"/>
      <c r="BI33" s="489"/>
      <c r="BJ33" s="489"/>
      <c r="BK33" s="329"/>
    </row>
    <row r="34" spans="1:63" s="330" customFormat="1" ht="12">
      <c r="A34" s="976"/>
      <c r="B34" s="977"/>
      <c r="C34" s="1017"/>
      <c r="D34" s="1018"/>
      <c r="E34" s="1017"/>
      <c r="F34" s="1018"/>
      <c r="G34" s="350"/>
      <c r="H34" s="489"/>
      <c r="I34" s="489"/>
      <c r="J34" s="489"/>
      <c r="K34" s="489"/>
      <c r="L34" s="489"/>
      <c r="M34" s="489"/>
      <c r="N34" s="489"/>
      <c r="O34" s="489"/>
      <c r="P34" s="489"/>
      <c r="Q34" s="489"/>
      <c r="R34" s="489"/>
      <c r="S34" s="489"/>
      <c r="T34" s="489"/>
      <c r="U34" s="489"/>
      <c r="V34" s="489"/>
      <c r="W34" s="489"/>
      <c r="X34" s="489"/>
      <c r="Y34" s="489"/>
      <c r="Z34" s="489"/>
      <c r="AA34" s="489"/>
      <c r="AB34" s="489"/>
      <c r="AC34" s="489"/>
      <c r="AD34" s="489"/>
      <c r="AE34" s="489"/>
      <c r="AF34" s="489"/>
      <c r="AG34" s="489"/>
      <c r="AH34" s="489"/>
      <c r="AI34" s="489"/>
      <c r="AJ34" s="489"/>
      <c r="AK34" s="489"/>
      <c r="AL34" s="489"/>
      <c r="AM34" s="489"/>
      <c r="AN34" s="489"/>
      <c r="AO34" s="489"/>
      <c r="AP34" s="351"/>
      <c r="AQ34" s="331"/>
      <c r="AR34" s="490"/>
      <c r="AS34" s="490"/>
      <c r="AT34" s="490"/>
      <c r="AU34" s="490"/>
      <c r="AV34" s="490"/>
      <c r="AW34" s="490"/>
      <c r="AX34" s="490"/>
      <c r="AY34" s="490"/>
      <c r="AZ34" s="490"/>
      <c r="BA34" s="490"/>
      <c r="BB34" s="490"/>
      <c r="BC34" s="490"/>
      <c r="BD34" s="490"/>
      <c r="BE34" s="490"/>
      <c r="BF34" s="332"/>
      <c r="BG34" s="331"/>
      <c r="BH34" s="490"/>
      <c r="BI34" s="490"/>
      <c r="BJ34" s="490"/>
      <c r="BK34" s="372"/>
    </row>
    <row r="35" spans="1:63" s="330" customFormat="1" ht="12">
      <c r="A35" s="982"/>
      <c r="B35" s="983"/>
      <c r="C35" s="1016"/>
      <c r="D35" s="1016"/>
      <c r="E35" s="1016"/>
      <c r="F35" s="1016"/>
      <c r="G35" s="350"/>
      <c r="H35" s="489"/>
      <c r="I35" s="489"/>
      <c r="J35" s="489"/>
      <c r="K35" s="489"/>
      <c r="L35" s="489"/>
      <c r="M35" s="489"/>
      <c r="N35" s="489"/>
      <c r="O35" s="489"/>
      <c r="P35" s="489"/>
      <c r="Q35" s="489"/>
      <c r="R35" s="489"/>
      <c r="S35" s="489"/>
      <c r="T35" s="489"/>
      <c r="U35" s="489"/>
      <c r="V35" s="489"/>
      <c r="W35" s="489"/>
      <c r="X35" s="489"/>
      <c r="Y35" s="489"/>
      <c r="Z35" s="489"/>
      <c r="AA35" s="489"/>
      <c r="AB35" s="489"/>
      <c r="AC35" s="489"/>
      <c r="AD35" s="489"/>
      <c r="AE35" s="489"/>
      <c r="AF35" s="489"/>
      <c r="AG35" s="489"/>
      <c r="AH35" s="489"/>
      <c r="AI35" s="489"/>
      <c r="AJ35" s="489"/>
      <c r="AK35" s="489"/>
      <c r="AL35" s="489"/>
      <c r="AM35" s="489"/>
      <c r="AN35" s="489"/>
      <c r="AO35" s="489"/>
      <c r="AP35" s="351"/>
      <c r="AQ35" s="331"/>
      <c r="AR35" s="490"/>
      <c r="AS35" s="490"/>
      <c r="AT35" s="490"/>
      <c r="AU35" s="490"/>
      <c r="AV35" s="490"/>
      <c r="AW35" s="490"/>
      <c r="AX35" s="490"/>
      <c r="AY35" s="490"/>
      <c r="AZ35" s="490"/>
      <c r="BA35" s="490"/>
      <c r="BB35" s="490"/>
      <c r="BC35" s="490"/>
      <c r="BD35" s="490"/>
      <c r="BE35" s="490"/>
      <c r="BF35" s="332"/>
      <c r="BG35" s="331"/>
      <c r="BH35" s="490"/>
      <c r="BI35" s="490"/>
      <c r="BJ35" s="490"/>
      <c r="BK35" s="372"/>
    </row>
    <row r="36" spans="1:63" s="330" customFormat="1" ht="12">
      <c r="A36" s="982"/>
      <c r="B36" s="983"/>
      <c r="C36" s="1016"/>
      <c r="D36" s="1016"/>
      <c r="E36" s="1016"/>
      <c r="F36" s="1016"/>
      <c r="G36" s="350"/>
      <c r="H36" s="489"/>
      <c r="I36" s="489"/>
      <c r="J36" s="489"/>
      <c r="K36" s="489"/>
      <c r="L36" s="489"/>
      <c r="M36" s="489"/>
      <c r="N36" s="489"/>
      <c r="O36" s="489"/>
      <c r="P36" s="489"/>
      <c r="Q36" s="489"/>
      <c r="R36" s="489"/>
      <c r="S36" s="489"/>
      <c r="T36" s="489"/>
      <c r="U36" s="489"/>
      <c r="V36" s="489"/>
      <c r="W36" s="489"/>
      <c r="X36" s="489"/>
      <c r="Y36" s="489"/>
      <c r="Z36" s="489"/>
      <c r="AA36" s="489"/>
      <c r="AB36" s="489"/>
      <c r="AC36" s="489"/>
      <c r="AD36" s="489"/>
      <c r="AE36" s="489"/>
      <c r="AF36" s="489"/>
      <c r="AG36" s="489"/>
      <c r="AH36" s="489"/>
      <c r="AI36" s="489"/>
      <c r="AJ36" s="489"/>
      <c r="AK36" s="489"/>
      <c r="AL36" s="489"/>
      <c r="AM36" s="489"/>
      <c r="AN36" s="489"/>
      <c r="AO36" s="489"/>
      <c r="AP36" s="351"/>
      <c r="AQ36" s="331"/>
      <c r="AR36" s="490"/>
      <c r="AS36" s="490"/>
      <c r="AT36" s="490"/>
      <c r="AU36" s="490"/>
      <c r="AV36" s="490"/>
      <c r="AW36" s="490"/>
      <c r="AX36" s="490"/>
      <c r="AY36" s="490"/>
      <c r="AZ36" s="490"/>
      <c r="BA36" s="490"/>
      <c r="BB36" s="490"/>
      <c r="BC36" s="490"/>
      <c r="BD36" s="490"/>
      <c r="BE36" s="490"/>
      <c r="BF36" s="332"/>
      <c r="BG36" s="489"/>
      <c r="BH36" s="490"/>
      <c r="BI36" s="490"/>
      <c r="BJ36" s="490"/>
      <c r="BK36" s="372"/>
    </row>
    <row r="37" spans="1:63" s="330" customFormat="1" ht="12">
      <c r="A37" s="982"/>
      <c r="B37" s="983"/>
      <c r="C37" s="1016"/>
      <c r="D37" s="1016"/>
      <c r="E37" s="1016"/>
      <c r="F37" s="1016"/>
      <c r="G37" s="350"/>
      <c r="H37" s="489"/>
      <c r="I37" s="489"/>
      <c r="J37" s="489"/>
      <c r="K37" s="489"/>
      <c r="L37" s="489"/>
      <c r="M37" s="489"/>
      <c r="N37" s="489"/>
      <c r="O37" s="489"/>
      <c r="P37" s="489"/>
      <c r="Q37" s="489"/>
      <c r="R37" s="489"/>
      <c r="S37" s="489"/>
      <c r="T37" s="489"/>
      <c r="U37" s="489"/>
      <c r="V37" s="489"/>
      <c r="W37" s="489"/>
      <c r="X37" s="489"/>
      <c r="Y37" s="489"/>
      <c r="Z37" s="489"/>
      <c r="AA37" s="489"/>
      <c r="AB37" s="489"/>
      <c r="AC37" s="489"/>
      <c r="AD37" s="489"/>
      <c r="AE37" s="489"/>
      <c r="AF37" s="489"/>
      <c r="AG37" s="489"/>
      <c r="AH37" s="489"/>
      <c r="AI37" s="489"/>
      <c r="AJ37" s="489"/>
      <c r="AK37" s="489"/>
      <c r="AL37" s="489"/>
      <c r="AM37" s="489"/>
      <c r="AN37" s="489"/>
      <c r="AO37" s="489"/>
      <c r="AP37" s="351"/>
      <c r="AQ37" s="331"/>
      <c r="AR37" s="490"/>
      <c r="AS37" s="490"/>
      <c r="AT37" s="490"/>
      <c r="AU37" s="490"/>
      <c r="AV37" s="490"/>
      <c r="AW37" s="490"/>
      <c r="AX37" s="490"/>
      <c r="AY37" s="490"/>
      <c r="AZ37" s="490"/>
      <c r="BA37" s="490"/>
      <c r="BB37" s="490"/>
      <c r="BC37" s="490"/>
      <c r="BD37" s="490"/>
      <c r="BE37" s="490"/>
      <c r="BF37" s="332"/>
      <c r="BG37" s="489"/>
      <c r="BH37" s="490"/>
      <c r="BI37" s="490"/>
      <c r="BJ37" s="490"/>
      <c r="BK37" s="372"/>
    </row>
    <row r="38" spans="1:63" s="330" customFormat="1" ht="12">
      <c r="A38" s="982"/>
      <c r="B38" s="983"/>
      <c r="C38" s="1016"/>
      <c r="D38" s="1016"/>
      <c r="E38" s="1016"/>
      <c r="F38" s="1016"/>
      <c r="G38" s="350"/>
      <c r="H38" s="489"/>
      <c r="I38" s="489"/>
      <c r="J38" s="489"/>
      <c r="K38" s="489"/>
      <c r="L38" s="489"/>
      <c r="M38" s="489"/>
      <c r="N38" s="489"/>
      <c r="O38" s="489"/>
      <c r="P38" s="489"/>
      <c r="Q38" s="489"/>
      <c r="R38" s="489"/>
      <c r="S38" s="489"/>
      <c r="T38" s="489"/>
      <c r="U38" s="489"/>
      <c r="V38" s="489"/>
      <c r="W38" s="489"/>
      <c r="X38" s="489"/>
      <c r="Y38" s="489"/>
      <c r="Z38" s="489"/>
      <c r="AA38" s="489"/>
      <c r="AB38" s="489"/>
      <c r="AC38" s="489"/>
      <c r="AD38" s="489"/>
      <c r="AE38" s="489"/>
      <c r="AF38" s="489"/>
      <c r="AG38" s="489"/>
      <c r="AH38" s="489"/>
      <c r="AI38" s="489"/>
      <c r="AJ38" s="489"/>
      <c r="AK38" s="489"/>
      <c r="AL38" s="489"/>
      <c r="AM38" s="489"/>
      <c r="AN38" s="489"/>
      <c r="AO38" s="489"/>
      <c r="AP38" s="351"/>
      <c r="AQ38" s="331"/>
      <c r="AR38" s="490"/>
      <c r="AS38" s="490"/>
      <c r="AT38" s="490"/>
      <c r="AU38" s="490"/>
      <c r="AV38" s="490"/>
      <c r="AW38" s="490"/>
      <c r="AX38" s="490"/>
      <c r="AY38" s="490"/>
      <c r="AZ38" s="490"/>
      <c r="BA38" s="490"/>
      <c r="BB38" s="490"/>
      <c r="BC38" s="490"/>
      <c r="BD38" s="490"/>
      <c r="BE38" s="490"/>
      <c r="BF38" s="332"/>
      <c r="BG38" s="489"/>
      <c r="BH38" s="490"/>
      <c r="BI38" s="490"/>
      <c r="BJ38" s="490"/>
      <c r="BK38" s="372"/>
    </row>
    <row r="39" spans="1:63" s="330" customFormat="1" ht="12">
      <c r="A39" s="976"/>
      <c r="B39" s="977"/>
      <c r="C39" s="1016"/>
      <c r="D39" s="1016"/>
      <c r="E39" s="1016"/>
      <c r="F39" s="1016"/>
      <c r="G39" s="350"/>
      <c r="H39" s="489"/>
      <c r="I39" s="489"/>
      <c r="J39" s="489"/>
      <c r="K39" s="489"/>
      <c r="L39" s="489"/>
      <c r="M39" s="489"/>
      <c r="N39" s="489"/>
      <c r="O39" s="489"/>
      <c r="P39" s="489"/>
      <c r="Q39" s="489"/>
      <c r="R39" s="489"/>
      <c r="S39" s="489"/>
      <c r="T39" s="489"/>
      <c r="U39" s="489"/>
      <c r="V39" s="489"/>
      <c r="W39" s="489"/>
      <c r="X39" s="489"/>
      <c r="Y39" s="489"/>
      <c r="Z39" s="489"/>
      <c r="AA39" s="489"/>
      <c r="AB39" s="489"/>
      <c r="AC39" s="489"/>
      <c r="AD39" s="489"/>
      <c r="AE39" s="489"/>
      <c r="AF39" s="489"/>
      <c r="AG39" s="489"/>
      <c r="AH39" s="489"/>
      <c r="AI39" s="489"/>
      <c r="AJ39" s="489"/>
      <c r="AK39" s="489"/>
      <c r="AL39" s="489"/>
      <c r="AM39" s="489"/>
      <c r="AN39" s="489"/>
      <c r="AO39" s="489"/>
      <c r="AP39" s="351"/>
      <c r="AQ39" s="331"/>
      <c r="AR39" s="490"/>
      <c r="AS39" s="490"/>
      <c r="AT39" s="490"/>
      <c r="AU39" s="490"/>
      <c r="AV39" s="490"/>
      <c r="AW39" s="490"/>
      <c r="AX39" s="490"/>
      <c r="AY39" s="490"/>
      <c r="AZ39" s="490"/>
      <c r="BA39" s="490"/>
      <c r="BB39" s="490"/>
      <c r="BC39" s="490"/>
      <c r="BD39" s="490"/>
      <c r="BE39" s="490"/>
      <c r="BF39" s="332"/>
      <c r="BG39" s="331"/>
      <c r="BH39" s="490"/>
      <c r="BI39" s="490"/>
      <c r="BJ39" s="490"/>
      <c r="BK39" s="372"/>
    </row>
    <row r="40" spans="1:63" s="330" customFormat="1" ht="12">
      <c r="A40" s="976"/>
      <c r="B40" s="977"/>
      <c r="C40" s="1016"/>
      <c r="D40" s="1016"/>
      <c r="E40" s="1016"/>
      <c r="F40" s="1016"/>
      <c r="G40" s="350"/>
      <c r="H40" s="489"/>
      <c r="I40" s="489"/>
      <c r="J40" s="489"/>
      <c r="K40" s="489"/>
      <c r="L40" s="489"/>
      <c r="M40" s="489"/>
      <c r="N40" s="489"/>
      <c r="O40" s="489"/>
      <c r="P40" s="489"/>
      <c r="Q40" s="489"/>
      <c r="R40" s="489"/>
      <c r="S40" s="489"/>
      <c r="T40" s="489"/>
      <c r="U40" s="489"/>
      <c r="V40" s="489"/>
      <c r="W40" s="489"/>
      <c r="X40" s="489"/>
      <c r="Y40" s="489"/>
      <c r="Z40" s="489"/>
      <c r="AA40" s="489"/>
      <c r="AB40" s="489"/>
      <c r="AC40" s="489"/>
      <c r="AD40" s="489"/>
      <c r="AE40" s="489"/>
      <c r="AF40" s="489"/>
      <c r="AG40" s="489"/>
      <c r="AH40" s="489"/>
      <c r="AI40" s="489"/>
      <c r="AJ40" s="489"/>
      <c r="AK40" s="489"/>
      <c r="AL40" s="489"/>
      <c r="AM40" s="489"/>
      <c r="AN40" s="489"/>
      <c r="AO40" s="489"/>
      <c r="AP40" s="351"/>
      <c r="AQ40" s="331"/>
      <c r="AR40" s="490"/>
      <c r="AS40" s="490"/>
      <c r="AT40" s="490"/>
      <c r="AU40" s="490"/>
      <c r="AV40" s="490"/>
      <c r="AW40" s="490"/>
      <c r="AX40" s="490"/>
      <c r="AY40" s="490"/>
      <c r="AZ40" s="490"/>
      <c r="BA40" s="490"/>
      <c r="BB40" s="490"/>
      <c r="BC40" s="490"/>
      <c r="BD40" s="490"/>
      <c r="BE40" s="490"/>
      <c r="BF40" s="332"/>
      <c r="BG40" s="331"/>
      <c r="BH40" s="490"/>
      <c r="BI40" s="490"/>
      <c r="BJ40" s="490"/>
      <c r="BK40" s="372"/>
    </row>
    <row r="41" spans="1:63" s="330" customFormat="1" ht="12">
      <c r="A41" s="982"/>
      <c r="B41" s="983"/>
      <c r="C41" s="1016"/>
      <c r="D41" s="1016"/>
      <c r="E41" s="1016"/>
      <c r="F41" s="1016"/>
      <c r="G41" s="350"/>
      <c r="H41" s="489"/>
      <c r="I41" s="489"/>
      <c r="J41" s="489"/>
      <c r="K41" s="489"/>
      <c r="L41" s="489"/>
      <c r="M41" s="489"/>
      <c r="N41" s="489"/>
      <c r="O41" s="489"/>
      <c r="P41" s="489"/>
      <c r="Q41" s="489"/>
      <c r="R41" s="489"/>
      <c r="S41" s="489"/>
      <c r="T41" s="489"/>
      <c r="U41" s="489"/>
      <c r="V41" s="489"/>
      <c r="W41" s="489"/>
      <c r="X41" s="489"/>
      <c r="Y41" s="489"/>
      <c r="Z41" s="489"/>
      <c r="AA41" s="489"/>
      <c r="AB41" s="489"/>
      <c r="AC41" s="489"/>
      <c r="AD41" s="489"/>
      <c r="AE41" s="489"/>
      <c r="AF41" s="489"/>
      <c r="AG41" s="489"/>
      <c r="AH41" s="489"/>
      <c r="AI41" s="489"/>
      <c r="AJ41" s="489"/>
      <c r="AK41" s="489"/>
      <c r="AL41" s="489"/>
      <c r="AM41" s="489"/>
      <c r="AN41" s="489"/>
      <c r="AO41" s="489"/>
      <c r="AP41" s="351"/>
      <c r="AQ41" s="331"/>
      <c r="AR41" s="490"/>
      <c r="AS41" s="490"/>
      <c r="AT41" s="490"/>
      <c r="AU41" s="490"/>
      <c r="AV41" s="490"/>
      <c r="AW41" s="490"/>
      <c r="AX41" s="490"/>
      <c r="AY41" s="490"/>
      <c r="AZ41" s="490"/>
      <c r="BA41" s="490"/>
      <c r="BB41" s="490"/>
      <c r="BC41" s="490"/>
      <c r="BD41" s="490"/>
      <c r="BE41" s="490"/>
      <c r="BF41" s="332"/>
      <c r="BG41" s="331"/>
      <c r="BH41" s="490"/>
      <c r="BI41" s="490"/>
      <c r="BJ41" s="490"/>
      <c r="BK41" s="372"/>
    </row>
    <row r="42" spans="1:63" s="330" customFormat="1" ht="12">
      <c r="A42" s="976"/>
      <c r="B42" s="977"/>
      <c r="C42" s="1016"/>
      <c r="D42" s="1016"/>
      <c r="E42" s="1016"/>
      <c r="F42" s="1016"/>
      <c r="G42" s="350"/>
      <c r="H42" s="489"/>
      <c r="I42" s="489"/>
      <c r="J42" s="489"/>
      <c r="K42" s="489"/>
      <c r="L42" s="489"/>
      <c r="M42" s="489"/>
      <c r="N42" s="489"/>
      <c r="O42" s="489"/>
      <c r="P42" s="489"/>
      <c r="Q42" s="489"/>
      <c r="R42" s="489"/>
      <c r="S42" s="489"/>
      <c r="T42" s="489"/>
      <c r="U42" s="489"/>
      <c r="V42" s="489"/>
      <c r="W42" s="489"/>
      <c r="X42" s="489"/>
      <c r="Y42" s="489"/>
      <c r="Z42" s="489"/>
      <c r="AA42" s="489"/>
      <c r="AB42" s="489"/>
      <c r="AC42" s="489"/>
      <c r="AD42" s="489"/>
      <c r="AE42" s="489"/>
      <c r="AF42" s="489"/>
      <c r="AG42" s="489"/>
      <c r="AH42" s="489"/>
      <c r="AI42" s="489"/>
      <c r="AJ42" s="489"/>
      <c r="AK42" s="489"/>
      <c r="AL42" s="489"/>
      <c r="AM42" s="489"/>
      <c r="AN42" s="489"/>
      <c r="AO42" s="489"/>
      <c r="AP42" s="351"/>
      <c r="AQ42" s="350"/>
      <c r="AR42" s="489"/>
      <c r="AS42" s="489"/>
      <c r="AT42" s="489"/>
      <c r="AU42" s="489"/>
      <c r="AV42" s="489"/>
      <c r="AW42" s="489"/>
      <c r="AX42" s="489"/>
      <c r="AY42" s="489"/>
      <c r="AZ42" s="489"/>
      <c r="BA42" s="489"/>
      <c r="BB42" s="489"/>
      <c r="BC42" s="489"/>
      <c r="BD42" s="489"/>
      <c r="BE42" s="489"/>
      <c r="BF42" s="351"/>
      <c r="BG42" s="350"/>
      <c r="BH42" s="489"/>
      <c r="BI42" s="489"/>
      <c r="BJ42" s="489"/>
      <c r="BK42" s="329"/>
    </row>
    <row r="43" spans="1:63" s="330" customFormat="1" ht="12.75" thickBot="1">
      <c r="A43" s="986"/>
      <c r="B43" s="987"/>
      <c r="C43" s="1019"/>
      <c r="D43" s="1020"/>
      <c r="E43" s="1019"/>
      <c r="F43" s="1020"/>
      <c r="G43" s="373"/>
      <c r="H43" s="374"/>
      <c r="I43" s="374"/>
      <c r="J43" s="374"/>
      <c r="K43" s="374"/>
      <c r="L43" s="374"/>
      <c r="M43" s="374"/>
      <c r="N43" s="374"/>
      <c r="O43" s="374"/>
      <c r="P43" s="374"/>
      <c r="Q43" s="374"/>
      <c r="R43" s="374"/>
      <c r="S43" s="374"/>
      <c r="T43" s="374"/>
      <c r="U43" s="374"/>
      <c r="V43" s="374"/>
      <c r="W43" s="374"/>
      <c r="X43" s="374"/>
      <c r="Y43" s="374"/>
      <c r="Z43" s="374"/>
      <c r="AA43" s="374"/>
      <c r="AB43" s="374"/>
      <c r="AC43" s="374"/>
      <c r="AD43" s="374"/>
      <c r="AE43" s="374"/>
      <c r="AF43" s="374"/>
      <c r="AG43" s="374"/>
      <c r="AH43" s="374"/>
      <c r="AI43" s="374"/>
      <c r="AJ43" s="374"/>
      <c r="AK43" s="374"/>
      <c r="AL43" s="374"/>
      <c r="AM43" s="374"/>
      <c r="AN43" s="374"/>
      <c r="AO43" s="374"/>
      <c r="AP43" s="375"/>
      <c r="AQ43" s="376"/>
      <c r="AR43" s="377"/>
      <c r="AS43" s="377"/>
      <c r="AT43" s="377"/>
      <c r="AU43" s="377"/>
      <c r="AV43" s="377"/>
      <c r="AW43" s="377"/>
      <c r="AX43" s="377"/>
      <c r="AY43" s="377"/>
      <c r="AZ43" s="377"/>
      <c r="BA43" s="377"/>
      <c r="BB43" s="377"/>
      <c r="BC43" s="377"/>
      <c r="BD43" s="377"/>
      <c r="BE43" s="377"/>
      <c r="BF43" s="378"/>
      <c r="BG43" s="376"/>
      <c r="BH43" s="377"/>
      <c r="BI43" s="377"/>
      <c r="BJ43" s="377"/>
      <c r="BK43" s="379"/>
    </row>
  </sheetData>
  <mergeCells count="138">
    <mergeCell ref="A42:B42"/>
    <mergeCell ref="C42:D42"/>
    <mergeCell ref="E42:F42"/>
    <mergeCell ref="A43:B43"/>
    <mergeCell ref="C43:D43"/>
    <mergeCell ref="E43:F43"/>
    <mergeCell ref="A40:B40"/>
    <mergeCell ref="C40:D40"/>
    <mergeCell ref="E40:F40"/>
    <mergeCell ref="A41:B41"/>
    <mergeCell ref="C41:D41"/>
    <mergeCell ref="E41:F41"/>
    <mergeCell ref="A38:B38"/>
    <mergeCell ref="C38:D38"/>
    <mergeCell ref="E38:F38"/>
    <mergeCell ref="A39:B39"/>
    <mergeCell ref="C39:D39"/>
    <mergeCell ref="E39:F39"/>
    <mergeCell ref="A36:B36"/>
    <mergeCell ref="C36:D36"/>
    <mergeCell ref="E36:F36"/>
    <mergeCell ref="A37:B37"/>
    <mergeCell ref="C37:D37"/>
    <mergeCell ref="E37:F37"/>
    <mergeCell ref="A34:B34"/>
    <mergeCell ref="C34:D34"/>
    <mergeCell ref="E34:F34"/>
    <mergeCell ref="A35:B35"/>
    <mergeCell ref="C35:D35"/>
    <mergeCell ref="E35:F35"/>
    <mergeCell ref="A32:B32"/>
    <mergeCell ref="C32:D32"/>
    <mergeCell ref="E32:F32"/>
    <mergeCell ref="A33:B33"/>
    <mergeCell ref="C33:D33"/>
    <mergeCell ref="E33:F33"/>
    <mergeCell ref="A30:B30"/>
    <mergeCell ref="C30:D30"/>
    <mergeCell ref="E30:F30"/>
    <mergeCell ref="A31:B31"/>
    <mergeCell ref="C31:D31"/>
    <mergeCell ref="E31:F31"/>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A20:B20"/>
    <mergeCell ref="C20:D20"/>
    <mergeCell ref="E20:F20"/>
    <mergeCell ref="A21:B21"/>
    <mergeCell ref="C21:D21"/>
    <mergeCell ref="E21:F21"/>
    <mergeCell ref="A18:B18"/>
    <mergeCell ref="C18:D18"/>
    <mergeCell ref="E18:F18"/>
    <mergeCell ref="A19:B19"/>
    <mergeCell ref="C19:D19"/>
    <mergeCell ref="E19:F19"/>
    <mergeCell ref="A16:B16"/>
    <mergeCell ref="C16:D16"/>
    <mergeCell ref="E16:F16"/>
    <mergeCell ref="A17:B17"/>
    <mergeCell ref="C17:D17"/>
    <mergeCell ref="E17:F17"/>
    <mergeCell ref="A15:B15"/>
    <mergeCell ref="C15:D15"/>
    <mergeCell ref="E15:F15"/>
    <mergeCell ref="A12:B12"/>
    <mergeCell ref="C12:D12"/>
    <mergeCell ref="E12:F12"/>
    <mergeCell ref="A13:B13"/>
    <mergeCell ref="C13:D13"/>
    <mergeCell ref="E13:F13"/>
    <mergeCell ref="A10:B10"/>
    <mergeCell ref="C10:D10"/>
    <mergeCell ref="E10:F10"/>
    <mergeCell ref="A11:B11"/>
    <mergeCell ref="C11:D11"/>
    <mergeCell ref="E11:F11"/>
    <mergeCell ref="A14:B14"/>
    <mergeCell ref="C14:D14"/>
    <mergeCell ref="E14:F14"/>
    <mergeCell ref="BF2:BK3"/>
    <mergeCell ref="K3:T3"/>
    <mergeCell ref="U3:Y3"/>
    <mergeCell ref="Z3:AD3"/>
    <mergeCell ref="AE3:AR3"/>
    <mergeCell ref="A5:B5"/>
    <mergeCell ref="C5:D5"/>
    <mergeCell ref="E5:F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6:B6"/>
    <mergeCell ref="C6:D6"/>
    <mergeCell ref="E6:F6"/>
    <mergeCell ref="A9:B9"/>
    <mergeCell ref="C9:D9"/>
    <mergeCell ref="E9:F9"/>
    <mergeCell ref="A7:B7"/>
    <mergeCell ref="C7:D7"/>
    <mergeCell ref="E7:F7"/>
    <mergeCell ref="A8:B8"/>
    <mergeCell ref="C8:D8"/>
    <mergeCell ref="E8:F8"/>
  </mergeCells>
  <phoneticPr fontId="8"/>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2">
    <pageSetUpPr fitToPage="1"/>
  </sheetPr>
  <dimension ref="A1:CH5"/>
  <sheetViews>
    <sheetView showGridLines="0" showZeros="0" zoomScale="85" zoomScaleNormal="85" zoomScaleSheetLayoutView="100" workbookViewId="0">
      <pane ySplit="4" topLeftCell="A5" activePane="bottomLeft" state="frozen"/>
      <selection pane="bottomLeft" activeCell="AV33" sqref="AV33"/>
      <selection sqref="A1:N3"/>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4" customFormat="1" ht="15.75" customHeight="1">
      <c r="A1" s="527" t="str">
        <f>表紙!A54</f>
        <v>Webシステム</v>
      </c>
      <c r="B1" s="819"/>
      <c r="C1" s="819"/>
      <c r="D1" s="819"/>
      <c r="E1" s="819"/>
      <c r="F1" s="819"/>
      <c r="G1" s="819"/>
      <c r="H1" s="819"/>
      <c r="I1" s="819"/>
      <c r="J1" s="819"/>
      <c r="K1" s="819"/>
      <c r="L1" s="819"/>
      <c r="M1" s="819"/>
      <c r="N1" s="820"/>
      <c r="O1" s="1001" t="s">
        <v>132</v>
      </c>
      <c r="P1" s="1002"/>
      <c r="Q1" s="1002"/>
      <c r="R1" s="1002"/>
      <c r="S1" s="1002"/>
      <c r="T1" s="1002"/>
      <c r="U1" s="1002"/>
      <c r="V1" s="1002"/>
      <c r="W1" s="1002"/>
      <c r="X1" s="1002"/>
      <c r="Y1" s="1002"/>
      <c r="Z1" s="1002"/>
      <c r="AA1" s="1002"/>
      <c r="AB1" s="1003"/>
      <c r="AC1" s="988" t="s">
        <v>149</v>
      </c>
      <c r="AD1" s="989"/>
      <c r="AE1" s="989"/>
      <c r="AF1" s="989"/>
      <c r="AG1" s="989"/>
      <c r="AH1" s="989"/>
      <c r="AI1" s="990"/>
      <c r="AJ1" s="513" t="str">
        <f>表紙!AJ64</f>
        <v>MSBB</v>
      </c>
      <c r="AK1" s="838"/>
      <c r="AL1" s="838"/>
      <c r="AM1" s="838"/>
      <c r="AN1" s="838"/>
      <c r="AO1" s="838"/>
      <c r="AP1" s="839"/>
      <c r="AQ1" s="988" t="s">
        <v>135</v>
      </c>
      <c r="AR1" s="989"/>
      <c r="AS1" s="989"/>
      <c r="AT1" s="989"/>
      <c r="AU1" s="989"/>
      <c r="AV1" s="989"/>
      <c r="AW1" s="990"/>
      <c r="AX1" s="513" t="str">
        <f>表紙!AX64</f>
        <v>販売Webシステム</v>
      </c>
      <c r="AY1" s="838"/>
      <c r="AZ1" s="838"/>
      <c r="BA1" s="838"/>
      <c r="BB1" s="838"/>
      <c r="BC1" s="838"/>
      <c r="BD1" s="838"/>
      <c r="BE1" s="838"/>
      <c r="BF1" s="838"/>
      <c r="BG1" s="838"/>
      <c r="BH1" s="838"/>
      <c r="BI1" s="838"/>
      <c r="BJ1" s="838"/>
      <c r="BK1" s="839"/>
      <c r="BL1" s="991" t="s">
        <v>101</v>
      </c>
      <c r="BM1" s="992"/>
      <c r="BN1" s="992"/>
      <c r="BO1" s="992"/>
      <c r="BP1" s="992"/>
      <c r="BQ1" s="992"/>
      <c r="BR1" s="992"/>
      <c r="BS1" s="992"/>
      <c r="BT1" s="993"/>
      <c r="BU1" s="994" t="s">
        <v>124</v>
      </c>
      <c r="BV1" s="995"/>
      <c r="BW1" s="995"/>
      <c r="BX1" s="995"/>
      <c r="BY1" s="995"/>
      <c r="BZ1" s="995"/>
      <c r="CA1" s="996"/>
      <c r="CB1" s="994" t="s">
        <v>150</v>
      </c>
      <c r="CC1" s="995"/>
      <c r="CD1" s="995"/>
      <c r="CE1" s="995"/>
      <c r="CF1" s="995"/>
      <c r="CG1" s="995"/>
      <c r="CH1" s="997"/>
    </row>
    <row r="2" spans="1:86" s="4" customFormat="1" ht="15.75" customHeight="1">
      <c r="A2" s="821"/>
      <c r="B2" s="822"/>
      <c r="C2" s="822"/>
      <c r="D2" s="822"/>
      <c r="E2" s="822"/>
      <c r="F2" s="822"/>
      <c r="G2" s="822"/>
      <c r="H2" s="822"/>
      <c r="I2" s="822"/>
      <c r="J2" s="822"/>
      <c r="K2" s="822"/>
      <c r="L2" s="822"/>
      <c r="M2" s="822"/>
      <c r="N2" s="823"/>
      <c r="O2" s="498" t="e">
        <f ca="1">表紙!O65</f>
        <v>#VALUE!</v>
      </c>
      <c r="P2" s="833"/>
      <c r="Q2" s="833"/>
      <c r="R2" s="833"/>
      <c r="S2" s="833"/>
      <c r="T2" s="833"/>
      <c r="U2" s="833"/>
      <c r="V2" s="833"/>
      <c r="W2" s="833"/>
      <c r="X2" s="833"/>
      <c r="Y2" s="833"/>
      <c r="Z2" s="833"/>
      <c r="AA2" s="833"/>
      <c r="AB2" s="834"/>
      <c r="AC2" s="998" t="s">
        <v>153</v>
      </c>
      <c r="AD2" s="999"/>
      <c r="AE2" s="999"/>
      <c r="AF2" s="999"/>
      <c r="AG2" s="999"/>
      <c r="AH2" s="999"/>
      <c r="AI2" s="1000"/>
      <c r="AJ2" s="503" t="str">
        <f>表紙!AJ65</f>
        <v>MSBBPA020</v>
      </c>
      <c r="AK2" s="504"/>
      <c r="AL2" s="504"/>
      <c r="AM2" s="504"/>
      <c r="AN2" s="504"/>
      <c r="AO2" s="504"/>
      <c r="AP2" s="505"/>
      <c r="AQ2" s="998" t="s">
        <v>154</v>
      </c>
      <c r="AR2" s="999"/>
      <c r="AS2" s="999"/>
      <c r="AT2" s="999"/>
      <c r="AU2" s="999"/>
      <c r="AV2" s="999"/>
      <c r="AW2" s="1000"/>
      <c r="AX2" s="506">
        <f>表紙!AX65</f>
        <v>0</v>
      </c>
      <c r="AY2" s="547"/>
      <c r="AZ2" s="547"/>
      <c r="BA2" s="547"/>
      <c r="BB2" s="547"/>
      <c r="BC2" s="547"/>
      <c r="BD2" s="547"/>
      <c r="BE2" s="547"/>
      <c r="BF2" s="547"/>
      <c r="BG2" s="547"/>
      <c r="BH2" s="547"/>
      <c r="BI2" s="547"/>
      <c r="BJ2" s="547"/>
      <c r="BK2" s="548"/>
      <c r="BL2" s="512">
        <f>表紙!BL65</f>
        <v>0</v>
      </c>
      <c r="BM2" s="499"/>
      <c r="BN2" s="499"/>
      <c r="BO2" s="499"/>
      <c r="BP2" s="499"/>
      <c r="BQ2" s="499"/>
      <c r="BR2" s="499"/>
      <c r="BS2" s="499"/>
      <c r="BT2" s="508"/>
      <c r="BU2" s="512">
        <f>表紙!BU65</f>
        <v>0</v>
      </c>
      <c r="BV2" s="499"/>
      <c r="BW2" s="499"/>
      <c r="BX2" s="499"/>
      <c r="BY2" s="499"/>
      <c r="BZ2" s="499"/>
      <c r="CA2" s="508"/>
      <c r="CB2" s="514">
        <f>表紙!CB65</f>
        <v>0</v>
      </c>
      <c r="CC2" s="499"/>
      <c r="CD2" s="499"/>
      <c r="CE2" s="499"/>
      <c r="CF2" s="499"/>
      <c r="CG2" s="499"/>
      <c r="CH2" s="515"/>
    </row>
    <row r="3" spans="1:86" s="4" customFormat="1" ht="15.75" customHeight="1" thickBot="1">
      <c r="A3" s="824"/>
      <c r="B3" s="825"/>
      <c r="C3" s="825"/>
      <c r="D3" s="825"/>
      <c r="E3" s="825"/>
      <c r="F3" s="825"/>
      <c r="G3" s="825"/>
      <c r="H3" s="825"/>
      <c r="I3" s="825"/>
      <c r="J3" s="825"/>
      <c r="K3" s="825"/>
      <c r="L3" s="825"/>
      <c r="M3" s="825"/>
      <c r="N3" s="826"/>
      <c r="O3" s="517" t="e">
        <f ca="1">RIGHT(CELL("filename",$A$1),LEN(CELL("filename",$A$1))-FIND("]",CELL("filename",$A$1)))</f>
        <v>#VALUE!</v>
      </c>
      <c r="P3" s="847"/>
      <c r="Q3" s="847"/>
      <c r="R3" s="847"/>
      <c r="S3" s="847"/>
      <c r="T3" s="847"/>
      <c r="U3" s="847"/>
      <c r="V3" s="847"/>
      <c r="W3" s="847"/>
      <c r="X3" s="847"/>
      <c r="Y3" s="847"/>
      <c r="Z3" s="847"/>
      <c r="AA3" s="847"/>
      <c r="AB3" s="848"/>
      <c r="AC3" s="1004" t="s">
        <v>146</v>
      </c>
      <c r="AD3" s="1005"/>
      <c r="AE3" s="1005"/>
      <c r="AF3" s="1005"/>
      <c r="AG3" s="1005"/>
      <c r="AH3" s="1005"/>
      <c r="AI3" s="1006"/>
      <c r="AJ3" s="522">
        <f>表紙!AJ66</f>
        <v>0</v>
      </c>
      <c r="AK3" s="523"/>
      <c r="AL3" s="523"/>
      <c r="AM3" s="523"/>
      <c r="AN3" s="523"/>
      <c r="AO3" s="523"/>
      <c r="AP3" s="523"/>
      <c r="AQ3" s="524">
        <f>表紙!AQ66</f>
        <v>0</v>
      </c>
      <c r="AR3" s="524"/>
      <c r="AS3" s="524"/>
      <c r="AT3" s="524"/>
      <c r="AU3" s="524"/>
      <c r="AV3" s="524"/>
      <c r="AW3" s="524"/>
      <c r="AX3" s="524"/>
      <c r="AY3" s="524"/>
      <c r="AZ3" s="524"/>
      <c r="BA3" s="524"/>
      <c r="BB3" s="524"/>
      <c r="BC3" s="524"/>
      <c r="BD3" s="524"/>
      <c r="BE3" s="524"/>
      <c r="BF3" s="524"/>
      <c r="BG3" s="524"/>
      <c r="BH3" s="524"/>
      <c r="BI3" s="524"/>
      <c r="BJ3" s="524"/>
      <c r="BK3" s="852"/>
      <c r="BL3" s="509"/>
      <c r="BM3" s="510"/>
      <c r="BN3" s="510"/>
      <c r="BO3" s="510"/>
      <c r="BP3" s="510"/>
      <c r="BQ3" s="510"/>
      <c r="BR3" s="510"/>
      <c r="BS3" s="510"/>
      <c r="BT3" s="511"/>
      <c r="BU3" s="509"/>
      <c r="BV3" s="510"/>
      <c r="BW3" s="510"/>
      <c r="BX3" s="510"/>
      <c r="BY3" s="510"/>
      <c r="BZ3" s="510"/>
      <c r="CA3" s="511"/>
      <c r="CB3" s="509"/>
      <c r="CC3" s="510"/>
      <c r="CD3" s="510"/>
      <c r="CE3" s="510"/>
      <c r="CF3" s="510"/>
      <c r="CG3" s="510"/>
      <c r="CH3" s="516"/>
    </row>
    <row r="4" spans="1:86" s="4" customFormat="1" ht="6.75" customHeight="1" thickBot="1">
      <c r="B4" s="5"/>
      <c r="C4" s="6"/>
      <c r="D4" s="6"/>
      <c r="E4" s="6"/>
      <c r="F4" s="7"/>
      <c r="G4" s="7"/>
      <c r="H4" s="7"/>
      <c r="I4" s="7"/>
      <c r="J4" s="6"/>
      <c r="K4" s="7"/>
      <c r="L4" s="7"/>
      <c r="M4" s="7"/>
      <c r="N4" s="7"/>
      <c r="O4" s="7"/>
      <c r="P4" s="7"/>
      <c r="Q4" s="8"/>
    </row>
    <row r="5" spans="1:86" s="87" customFormat="1">
      <c r="A5" s="84"/>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t="s">
        <v>686</v>
      </c>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6"/>
    </row>
  </sheetData>
  <mergeCells count="21">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A1:N3"/>
    <mergeCell ref="AQ3:BK3"/>
  </mergeCells>
  <phoneticPr fontId="8"/>
  <pageMargins left="0.51181102362204722" right="0.74803149606299213" top="0.70866141732283472" bottom="0.43307086614173229" header="0.51181102362204722" footer="0.19685039370078741"/>
  <pageSetup paperSize="9" scale="69"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EVCTUWYQZQYC-538864054-22808</_dlc_DocId>
    <_dlc_DocIdUrl xmlns="276bdb53-d102-4a67-8437-273e78fbb7dc">
      <Url>https://mitsubishielectricgroup.sharepoint.com/sites/009989/_layouts/15/DocIdRedir.aspx?ID=EVCTUWYQZQYC-538864054-22808</Url>
      <Description>EVCTUWYQZQYC-538864054-22808</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B2EC9DB-4E26-4A27-A79E-4D00C0BEDD4B}"/>
</file>

<file path=customXml/itemProps2.xml><?xml version="1.0" encoding="utf-8"?>
<ds:datastoreItem xmlns:ds="http://schemas.openxmlformats.org/officeDocument/2006/customXml" ds:itemID="{8DDC3BD9-A590-4706-B91D-586C03A3DFFC}"/>
</file>

<file path=customXml/itemProps3.xml><?xml version="1.0" encoding="utf-8"?>
<ds:datastoreItem xmlns:ds="http://schemas.openxmlformats.org/officeDocument/2006/customXml" ds:itemID="{3D8D3276-2B08-41E6-9F54-5DEEA79C3F65}"/>
</file>

<file path=customXml/itemProps4.xml><?xml version="1.0" encoding="utf-8"?>
<ds:datastoreItem xmlns:ds="http://schemas.openxmlformats.org/officeDocument/2006/customXml" ds:itemID="{D09F5E06-2BCF-4D2F-9042-E9718168EC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本社 本多 由樹</cp:lastModifiedBy>
  <cp:revision/>
  <dcterms:created xsi:type="dcterms:W3CDTF">1997-07-09T00:24:33Z</dcterms:created>
  <dcterms:modified xsi:type="dcterms:W3CDTF">2022-11-04T05:59:27Z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2b788622-9501-4405-8e34-a92d0ffb7433</vt:lpwstr>
  </property>
  <property fmtid="{D5CDD505-2E9C-101B-9397-08002B2CF9AE}" pid="4" name="MediaServiceImageTags">
    <vt:lpwstr/>
  </property>
</Properties>
</file>