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67AF04F4-7735-4D32-B0A9-2EC3B5F35797}" xr6:coauthVersionLast="47" xr6:coauthVersionMax="47" xr10:uidLastSave="{00000000-0000-0000-0000-000000000000}"/>
  <bookViews>
    <workbookView xWindow="975" yWindow="555" windowWidth="17970" windowHeight="14355" tabRatio="590" firstSheet="9" activeTab="9" xr2:uid="{00000000-000D-0000-FFFF-FFFF00000000}"/>
  </bookViews>
  <sheets>
    <sheet name="目次" sheetId="124" state="hidden" r:id="rId1"/>
    <sheet name="表紙" sheetId="106" r:id="rId2"/>
    <sheet name="改訂" sheetId="107" r:id="rId3"/>
    <sheet name="概要" sheetId="98" r:id="rId4"/>
    <sheet name="画面イメージ" sheetId="102" r:id="rId5"/>
    <sheet name="項目説明" sheetId="100" r:id="rId6"/>
    <sheet name="引数説明" sheetId="114" state="hidden" r:id="rId7"/>
    <sheet name="処理概要" sheetId="125" r:id="rId8"/>
    <sheet name="処理・サービス関連図" sheetId="117" r:id="rId9"/>
    <sheet name="処理詳細" sheetId="126" r:id="rId10"/>
    <sheet name="画面項目制御" sheetId="130" r:id="rId11"/>
    <sheet name="検索入出力仕様" sheetId="120" r:id="rId12"/>
    <sheet name="更新入出力仕様" sheetId="119" state="hidden" r:id="rId13"/>
    <sheet name="ファイル入出力仕様" sheetId="123" r:id="rId14"/>
    <sheet name="画面遷移" sheetId="129" r:id="rId15"/>
    <sheet name="メッセージ一覧" sheetId="127" r:id="rId16"/>
    <sheet name="補足説明資料" sheetId="112" state="hidden" r:id="rId17"/>
  </sheets>
  <definedNames>
    <definedName name="_xlnm._FilterDatabase" localSheetId="6">引数説明!$A$5:$BK$34</definedName>
    <definedName name="_xlnm._FilterDatabase" localSheetId="5">項目説明!$A$6:$BK$46</definedName>
    <definedName name="_xlnm.Print_Area" localSheetId="13">ファイル入出力仕様!$A$1:$BK$40</definedName>
    <definedName name="_xlnm.Print_Area" localSheetId="15">メッセージ一覧!$A$1:$BK$30</definedName>
    <definedName name="_xlnm.Print_Area" localSheetId="6">引数説明!$A$1:$BK$35</definedName>
    <definedName name="_xlnm.Print_Area" localSheetId="4">画面イメージ!$A$1:$DB$86</definedName>
    <definedName name="_xlnm.Print_Area" localSheetId="14">画面遷移!$A$1:$CH$43</definedName>
    <definedName name="_xlnm.Print_Area" localSheetId="3">概要!$A$1:$CH$34</definedName>
    <definedName name="_xlnm.Print_Area" localSheetId="11">検索入出力仕様!$A$1:$BK$41</definedName>
    <definedName name="_xlnm.Print_Area" localSheetId="12">更新入出力仕様!$A$1:$BK$4</definedName>
    <definedName name="_xlnm.Print_Area" localSheetId="8">処理・サービス関連図!$A$1:$BK$30</definedName>
    <definedName name="_xlnm.Print_Area" localSheetId="7">処理概要!$A$1:$BK$54</definedName>
    <definedName name="_xlnm.Print_Area" localSheetId="9">処理詳細!$A$1:$BK$316</definedName>
    <definedName name="_xlnm.Print_Area" localSheetId="1">表紙!$A$1:$AV$45</definedName>
    <definedName name="_xlnm.Print_Area" localSheetId="16">補足説明資料!$A$1:$CH$5</definedName>
    <definedName name="_xlnm.Print_Titles" localSheetId="13">ファイル入出力仕様!$1:$4</definedName>
    <definedName name="_xlnm.Print_Titles" localSheetId="15">メッセージ一覧!$1:$3</definedName>
    <definedName name="_xlnm.Print_Titles" localSheetId="6">引数説明!$1:$4</definedName>
    <definedName name="_xlnm.Print_Titles" localSheetId="4">画面イメージ!$1:$4</definedName>
    <definedName name="_xlnm.Print_Titles" localSheetId="14">画面遷移!$1:$4</definedName>
    <definedName name="_xlnm.Print_Titles" localSheetId="3">概要!$1:$4</definedName>
    <definedName name="_xlnm.Print_Titles" localSheetId="11">検索入出力仕様!$1:$4</definedName>
    <definedName name="_xlnm.Print_Titles" localSheetId="12">更新入出力仕様!$1:$4</definedName>
    <definedName name="_xlnm.Print_Titles" localSheetId="5">項目説明!$1:$4</definedName>
    <definedName name="_xlnm.Print_Titles" localSheetId="8">処理・サービス関連図!$1:$4</definedName>
    <definedName name="_xlnm.Print_Titles" localSheetId="7">処理概要!$1:$4</definedName>
    <definedName name="_xlnm.Print_Titles" localSheetId="9">処理詳細!$1:$4</definedName>
    <definedName name="_xlnm.Print_Titles" localSheetId="16">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2" i="107" l="1"/>
  <c r="AZ2" i="107"/>
  <c r="AE3" i="129" l="1"/>
  <c r="Z3" i="129"/>
  <c r="K3" i="129"/>
  <c r="AZ2" i="129"/>
  <c r="AS2" i="129"/>
  <c r="AJ2" i="129"/>
  <c r="Z2" i="129"/>
  <c r="AJ1" i="129"/>
  <c r="Z1" i="129"/>
  <c r="A1" i="129"/>
  <c r="AE3" i="127" l="1"/>
  <c r="Z3" i="127"/>
  <c r="K3" i="127"/>
  <c r="AZ2" i="127"/>
  <c r="AS2" i="127"/>
  <c r="AJ2" i="127"/>
  <c r="Z2" i="127"/>
  <c r="AJ1" i="127"/>
  <c r="Z1" i="127"/>
  <c r="A1" i="127"/>
  <c r="AZ2" i="126" l="1"/>
  <c r="AS2" i="126"/>
  <c r="Z2" i="126"/>
  <c r="Z1" i="126"/>
  <c r="A1" i="126"/>
  <c r="AZ2" i="125"/>
  <c r="AS2" i="125"/>
  <c r="Z2" i="125"/>
  <c r="Z1" i="125"/>
  <c r="A1" i="125"/>
  <c r="K3" i="126"/>
  <c r="K3" i="125"/>
  <c r="A1" i="112"/>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K2" i="129" s="1"/>
  <c r="AJ58" i="106"/>
  <c r="AX63" i="106" s="1"/>
  <c r="Z58" i="106"/>
  <c r="AJ63" i="106" s="1"/>
  <c r="A58" i="106"/>
  <c r="A63" i="106" s="1"/>
  <c r="U32" i="106"/>
  <c r="U30" i="106"/>
  <c r="U22" i="106" a="1"/>
  <c r="U22" i="106" s="1"/>
  <c r="BF2" i="129" l="1"/>
  <c r="BF2" i="127"/>
  <c r="BF2" i="126"/>
  <c r="BF2" i="125"/>
  <c r="K2" i="127"/>
  <c r="Z3" i="126"/>
  <c r="Z3" i="125"/>
  <c r="AJ1" i="125"/>
  <c r="AJ1" i="126"/>
  <c r="AJ2" i="126"/>
  <c r="AJ2" i="125"/>
  <c r="AE3" i="126"/>
  <c r="AE3" i="125"/>
  <c r="K2" i="125"/>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BE90258F-6029-47A1-B377-48EAE2961E61}">
      <text>
        <r>
          <rPr>
            <b/>
            <sz val="9"/>
            <color indexed="81"/>
            <rFont val="MS P ゴシック"/>
            <family val="3"/>
            <charset val="128"/>
          </rPr>
          <t>大分類見出し：緑
項目見出し：グレー</t>
        </r>
      </text>
    </comment>
    <comment ref="AP11" authorId="0" shapeId="0" xr:uid="{B133A575-D4FC-471B-8200-96B4071D621E}">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<sst xmlns="http://schemas.openxmlformats.org/spreadsheetml/2006/main" count="3343" uniqueCount="1198">
  <si>
    <t>アドオン設計書作成ガイド</t>
    <rPh sb="4" eb="7">
      <t>セッケイショ</t>
    </rPh>
    <rPh sb="7" eb="9">
      <t>サクセイ</t>
    </rPh>
    <phoneticPr fontId="73"/>
  </si>
  <si>
    <t>■アドオン設計と成果物について</t>
    <rPh sb="5" eb="7">
      <t>セッケイ</t>
    </rPh>
    <rPh sb="8" eb="11">
      <t>セイカブツ</t>
    </rPh>
    <phoneticPr fontId="73"/>
  </si>
  <si>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3"/>
  </si>
  <si>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3"/>
  </si>
  <si>
    <t>■各設計フェーズ毎のアドオン設計書作成範囲</t>
    <rPh sb="1" eb="2">
      <t>カク</t>
    </rPh>
    <rPh sb="2" eb="4">
      <t>セッケイ</t>
    </rPh>
    <rPh sb="8" eb="9">
      <t>ゴト</t>
    </rPh>
    <rPh sb="14" eb="17">
      <t>セッケイショ</t>
    </rPh>
    <rPh sb="17" eb="19">
      <t>サクセイ</t>
    </rPh>
    <rPh sb="19" eb="21">
      <t>ハンイ</t>
    </rPh>
    <phoneticPr fontId="73"/>
  </si>
  <si>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3"/>
  </si>
  <si>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3"/>
  </si>
  <si>
    <t>◎</t>
  </si>
  <si>
    <t>…</t>
  </si>
  <si>
    <t>システム設計フェーズで作成</t>
    <rPh sb="4" eb="6">
      <t>セッケイ</t>
    </rPh>
    <rPh sb="11" eb="13">
      <t>サクセイ</t>
    </rPh>
    <phoneticPr fontId="9"/>
  </si>
  <si>
    <t>○</t>
    <phoneticPr fontId="73"/>
  </si>
  <si>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9"/>
  </si>
  <si>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</si>
  <si>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9"/>
  </si>
  <si>
    <t>‐</t>
  </si>
  <si>
    <t>不要</t>
  </si>
  <si>
    <t>ソフトウェア設計フェーズで作成</t>
    <rPh sb="6" eb="8">
      <t>セッケイ</t>
    </rPh>
    <rPh sb="13" eb="15">
      <t>サクセイ</t>
    </rPh>
    <phoneticPr fontId="9"/>
  </si>
  <si>
    <t>各設計書と作成対象シートのマトリックス</t>
    <rPh sb="0" eb="1">
      <t>カク</t>
    </rPh>
    <rPh sb="1" eb="4">
      <t>セッケイショ</t>
    </rPh>
    <rPh sb="5" eb="7">
      <t>サクセイ</t>
    </rPh>
    <rPh sb="7" eb="9">
      <t>タイショウ</t>
    </rPh>
    <phoneticPr fontId="73"/>
  </si>
  <si>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3"/>
  </si>
  <si>
    <t>EXCELシート</t>
    <phoneticPr fontId="73"/>
  </si>
  <si>
    <t>画面設計書</t>
    <rPh sb="0" eb="2">
      <t>ガメン</t>
    </rPh>
    <rPh sb="2" eb="5">
      <t>セッケイショ</t>
    </rPh>
    <phoneticPr fontId="9"/>
  </si>
  <si>
    <t>バッチ設計書</t>
    <rPh sb="3" eb="6">
      <t>セッケイショ</t>
    </rPh>
    <phoneticPr fontId="9"/>
  </si>
  <si>
    <t>帳票設計書</t>
    <rPh sb="0" eb="2">
      <t>チョウヒョウ</t>
    </rPh>
    <rPh sb="2" eb="5">
      <t>セッケイショ</t>
    </rPh>
    <phoneticPr fontId="9"/>
  </si>
  <si>
    <t>ＢＩ設計書</t>
    <rPh sb="2" eb="5">
      <t>セッケイショ</t>
    </rPh>
    <phoneticPr fontId="9"/>
  </si>
  <si>
    <t>.Net設計書</t>
    <rPh sb="4" eb="7">
      <t>セッケイショ</t>
    </rPh>
    <phoneticPr fontId="9"/>
  </si>
  <si>
    <t>WebDB設計書</t>
    <rPh sb="5" eb="8">
      <t>セッケイショ</t>
    </rPh>
    <phoneticPr fontId="9"/>
  </si>
  <si>
    <t>帳票設計書</t>
    <rPh sb="0" eb="2">
      <t>チョウヒョウ</t>
    </rPh>
    <rPh sb="2" eb="5">
      <t>セッケイショ</t>
    </rPh>
    <phoneticPr fontId="73"/>
  </si>
  <si>
    <t>汎用申請設計書</t>
    <rPh sb="4" eb="7">
      <t>セッケイショ</t>
    </rPh>
    <phoneticPr fontId="9"/>
  </si>
  <si>
    <t>カスタマイズ</t>
    <phoneticPr fontId="9"/>
  </si>
  <si>
    <t>アドオン</t>
    <phoneticPr fontId="9"/>
  </si>
  <si>
    <t>アドオン</t>
    <phoneticPr fontId="73"/>
  </si>
  <si>
    <t>概要</t>
    <rPh sb="0" eb="2">
      <t>ガイヨウ</t>
    </rPh>
    <phoneticPr fontId="9"/>
  </si>
  <si>
    <t>◎</t>
    <phoneticPr fontId="9"/>
  </si>
  <si>
    <t>※1</t>
    <phoneticPr fontId="73"/>
  </si>
  <si>
    <t>機能概要</t>
  </si>
  <si>
    <t>◎</t>
    <phoneticPr fontId="73"/>
  </si>
  <si>
    <t>レイアウト</t>
    <phoneticPr fontId="9"/>
  </si>
  <si>
    <t>※2</t>
    <phoneticPr fontId="73"/>
  </si>
  <si>
    <t>‐</t>
    <phoneticPr fontId="9"/>
  </si>
  <si>
    <t>アプリケーションフロー</t>
  </si>
  <si>
    <t>ー</t>
    <phoneticPr fontId="73"/>
  </si>
  <si>
    <t>項目説明</t>
    <rPh sb="0" eb="2">
      <t>コウモク</t>
    </rPh>
    <rPh sb="2" eb="4">
      <t>セツメイ</t>
    </rPh>
    <phoneticPr fontId="9"/>
  </si>
  <si>
    <t>△</t>
    <phoneticPr fontId="9"/>
  </si>
  <si>
    <t>○</t>
    <phoneticPr fontId="9"/>
  </si>
  <si>
    <t>データベース設定</t>
  </si>
  <si>
    <t>引数説明</t>
    <rPh sb="0" eb="2">
      <t>ヒキスウ</t>
    </rPh>
    <rPh sb="2" eb="4">
      <t>セツメイ</t>
    </rPh>
    <phoneticPr fontId="9"/>
  </si>
  <si>
    <t>フィールド設定</t>
  </si>
  <si>
    <t>処理概要</t>
    <rPh sb="0" eb="2">
      <t>ショリ</t>
    </rPh>
    <rPh sb="2" eb="4">
      <t>ガイヨウ</t>
    </rPh>
    <phoneticPr fontId="73"/>
  </si>
  <si>
    <t>一覧表示画面設定</t>
  </si>
  <si>
    <t>処理詳細</t>
    <rPh sb="0" eb="2">
      <t>ショリ</t>
    </rPh>
    <rPh sb="2" eb="4">
      <t>ショウサイ</t>
    </rPh>
    <phoneticPr fontId="9"/>
  </si>
  <si>
    <t>表示編集画面設定</t>
  </si>
  <si>
    <t>処理・サービス関連図</t>
    <rPh sb="0" eb="2">
      <t>ショリ</t>
    </rPh>
    <rPh sb="7" eb="9">
      <t>カンレン</t>
    </rPh>
    <rPh sb="9" eb="10">
      <t>ズ</t>
    </rPh>
    <phoneticPr fontId="9"/>
  </si>
  <si>
    <t>明細画面設定</t>
  </si>
  <si>
    <t>△</t>
    <phoneticPr fontId="73"/>
  </si>
  <si>
    <t>※3</t>
    <phoneticPr fontId="73"/>
  </si>
  <si>
    <t>検索入出力仕様</t>
    <rPh sb="0" eb="2">
      <t>ケンサク</t>
    </rPh>
    <rPh sb="2" eb="5">
      <t>ニュウシュツリョク</t>
    </rPh>
    <rPh sb="5" eb="7">
      <t>シヨウ</t>
    </rPh>
    <phoneticPr fontId="9"/>
  </si>
  <si>
    <t>集計表示設定</t>
    <phoneticPr fontId="73"/>
  </si>
  <si>
    <t>※4</t>
    <phoneticPr fontId="73"/>
  </si>
  <si>
    <t>更新入出力仕様</t>
    <rPh sb="0" eb="2">
      <t>コウシン</t>
    </rPh>
    <rPh sb="2" eb="5">
      <t>ニュウシュツリョク</t>
    </rPh>
    <rPh sb="5" eb="7">
      <t>シヨウ</t>
    </rPh>
    <phoneticPr fontId="9"/>
  </si>
  <si>
    <t>絞り込み条件設定</t>
  </si>
  <si>
    <t>※5</t>
    <phoneticPr fontId="73"/>
  </si>
  <si>
    <t>ファイル入出力仕様</t>
    <rPh sb="4" eb="7">
      <t>ニュウシュツリョク</t>
    </rPh>
    <rPh sb="7" eb="9">
      <t>シヨウ</t>
    </rPh>
    <phoneticPr fontId="9"/>
  </si>
  <si>
    <t>その他設定</t>
  </si>
  <si>
    <t>画面遷移</t>
    <rPh sb="0" eb="2">
      <t>ガメン</t>
    </rPh>
    <rPh sb="2" eb="4">
      <t>センイ</t>
    </rPh>
    <phoneticPr fontId="9"/>
  </si>
  <si>
    <t>帳票イメージ</t>
    <rPh sb="0" eb="2">
      <t>チョウヒョウ</t>
    </rPh>
    <phoneticPr fontId="73"/>
  </si>
  <si>
    <t>メッセージ一覧</t>
    <rPh sb="5" eb="7">
      <t>イチラン</t>
    </rPh>
    <phoneticPr fontId="9"/>
  </si>
  <si>
    <t>項目設計</t>
    <rPh sb="0" eb="2">
      <t>コウモク</t>
    </rPh>
    <rPh sb="2" eb="4">
      <t>セッケイ</t>
    </rPh>
    <phoneticPr fontId="73"/>
  </si>
  <si>
    <t>補足説明</t>
    <rPh sb="0" eb="4">
      <t>ホソクセツメイ</t>
    </rPh>
    <phoneticPr fontId="9"/>
  </si>
  <si>
    <t>補足説明</t>
    <phoneticPr fontId="73"/>
  </si>
  <si>
    <t>サービス呼出編集仕様</t>
    <rPh sb="4" eb="6">
      <t>ヨビダシ</t>
    </rPh>
    <rPh sb="6" eb="8">
      <t>ヘンシュウ</t>
    </rPh>
    <rPh sb="8" eb="10">
      <t>シヨウ</t>
    </rPh>
    <phoneticPr fontId="9"/>
  </si>
  <si>
    <t>-</t>
    <phoneticPr fontId="9"/>
  </si>
  <si>
    <t>-</t>
    <phoneticPr fontId="73"/>
  </si>
  <si>
    <t>補足説明(詳細)</t>
    <rPh sb="5" eb="7">
      <t>ショウサイ</t>
    </rPh>
    <phoneticPr fontId="73"/>
  </si>
  <si>
    <t>別シートでカスタマイズ内容を記載する</t>
    <rPh sb="0" eb="1">
      <t>ベツ</t>
    </rPh>
    <rPh sb="11" eb="13">
      <t>ナイヨウ</t>
    </rPh>
    <rPh sb="14" eb="16">
      <t>キサイ</t>
    </rPh>
    <phoneticPr fontId="73"/>
  </si>
  <si>
    <t>単票画面は記載しない</t>
    <rPh sb="0" eb="2">
      <t>タンピョウ</t>
    </rPh>
    <rPh sb="2" eb="4">
      <t>ガメン</t>
    </rPh>
    <rPh sb="5" eb="7">
      <t>キサイ</t>
    </rPh>
    <phoneticPr fontId="73"/>
  </si>
  <si>
    <t>吹き出しでカスタマイズ内容を記載する</t>
    <rPh sb="0" eb="1">
      <t>フ</t>
    </rPh>
    <rPh sb="2" eb="3">
      <t>ダ</t>
    </rPh>
    <rPh sb="11" eb="13">
      <t>ナイヨウ</t>
    </rPh>
    <rPh sb="14" eb="16">
      <t>キサイ</t>
    </rPh>
    <phoneticPr fontId="73"/>
  </si>
  <si>
    <t>集計・グラフ機能を使用する場合に記載する</t>
    <rPh sb="0" eb="2">
      <t>シュウケイ</t>
    </rPh>
    <rPh sb="6" eb="8">
      <t>キノウ</t>
    </rPh>
    <rPh sb="9" eb="11">
      <t>シヨウ</t>
    </rPh>
    <rPh sb="13" eb="15">
      <t>バアイ</t>
    </rPh>
    <rPh sb="16" eb="18">
      <t>キサイ</t>
    </rPh>
    <phoneticPr fontId="73"/>
  </si>
  <si>
    <t>共通設定のみ記載する(個別設定は、記載しない)</t>
    <rPh sb="0" eb="2">
      <t>キョウツウ</t>
    </rPh>
    <rPh sb="2" eb="4">
      <t>セッテイ</t>
    </rPh>
    <rPh sb="6" eb="8">
      <t>キサイ</t>
    </rPh>
    <rPh sb="11" eb="13">
      <t>コベツ</t>
    </rPh>
    <rPh sb="13" eb="15">
      <t>セッテイ</t>
    </rPh>
    <rPh sb="17" eb="19">
      <t>キサイ</t>
    </rPh>
    <phoneticPr fontId="73"/>
  </si>
  <si>
    <t>サブモジュール</t>
    <phoneticPr fontId="9"/>
  </si>
  <si>
    <t>MA_マスタ管理</t>
  </si>
  <si>
    <t>MB_業務共通</t>
  </si>
  <si>
    <t>MG_原価管理</t>
  </si>
  <si>
    <t>MSBA_需給管理</t>
  </si>
  <si>
    <t>基本設計</t>
    <rPh sb="0" eb="2">
      <t>キホン</t>
    </rPh>
    <rPh sb="2" eb="4">
      <t>セッケイ</t>
    </rPh>
    <phoneticPr fontId="9"/>
  </si>
  <si>
    <t>MSBB_販売管理</t>
  </si>
  <si>
    <t>MSBC_生産管理</t>
  </si>
  <si>
    <t>MSBD_購買管理</t>
  </si>
  <si>
    <t>アドオン設計書</t>
    <phoneticPr fontId="9"/>
  </si>
  <si>
    <t>MSBE_在庫物流管理</t>
  </si>
  <si>
    <t>MSBF_品質管理</t>
  </si>
  <si>
    <t>MSBG_債権管理</t>
  </si>
  <si>
    <t>MSBH_債務管理</t>
  </si>
  <si>
    <t>MSBI_締処理</t>
  </si>
  <si>
    <t>MSUA_リスト・入力補助</t>
  </si>
  <si>
    <t>顧客</t>
    <rPh sb="0" eb="2">
      <t>コキャク</t>
    </rPh>
    <phoneticPr fontId="9"/>
  </si>
  <si>
    <t>株式会社クラウン・パッケージ</t>
    <rPh sb="0" eb="4">
      <t>カブシキガイシャ</t>
    </rPh>
    <phoneticPr fontId="9"/>
  </si>
  <si>
    <t>PF_ESBアダプタ</t>
  </si>
  <si>
    <t>プロジェクト名</t>
    <rPh sb="6" eb="7">
      <t>メイ</t>
    </rPh>
    <phoneticPr fontId="9"/>
  </si>
  <si>
    <t>基幹システム刷新PJ</t>
    <rPh sb="0" eb="2">
      <t>キカン</t>
    </rPh>
    <rPh sb="6" eb="8">
      <t>サッシン</t>
    </rPh>
    <phoneticPr fontId="9"/>
  </si>
  <si>
    <t>機能区分</t>
    <rPh sb="0" eb="2">
      <t>キノウ</t>
    </rPh>
    <rPh sb="2" eb="4">
      <t>クブン</t>
    </rPh>
    <phoneticPr fontId="9"/>
  </si>
  <si>
    <t>画面</t>
    <rPh sb="0" eb="2">
      <t>ガメン</t>
    </rPh>
    <phoneticPr fontId="9"/>
  </si>
  <si>
    <t>文書番号</t>
    <rPh sb="0" eb="2">
      <t>ブンショ</t>
    </rPh>
    <rPh sb="2" eb="4">
      <t>バンゴウ</t>
    </rPh>
    <phoneticPr fontId="9"/>
  </si>
  <si>
    <t>帳票</t>
    <rPh sb="0" eb="2">
      <t>チョウヒョウ</t>
    </rPh>
    <phoneticPr fontId="9"/>
  </si>
  <si>
    <t>バッチ</t>
    <phoneticPr fontId="9"/>
  </si>
  <si>
    <t>Ｒｅｖ．</t>
    <phoneticPr fontId="9"/>
  </si>
  <si>
    <t>マスタ</t>
    <phoneticPr fontId="9"/>
  </si>
  <si>
    <t>機密性区分</t>
    <rPh sb="0" eb="2">
      <t>キミツ</t>
    </rPh>
    <rPh sb="2" eb="3">
      <t>セイ</t>
    </rPh>
    <rPh sb="3" eb="5">
      <t>クブン</t>
    </rPh>
    <phoneticPr fontId="9"/>
  </si>
  <si>
    <t>取扱注意（Ｃ）</t>
    <rPh sb="0" eb="2">
      <t>トリアツカ</t>
    </rPh>
    <rPh sb="2" eb="4">
      <t>チュウイ</t>
    </rPh>
    <phoneticPr fontId="9"/>
  </si>
  <si>
    <t>開発区分</t>
    <rPh sb="0" eb="2">
      <t>カイハツ</t>
    </rPh>
    <rPh sb="2" eb="4">
      <t>クブン</t>
    </rPh>
    <phoneticPr fontId="9"/>
  </si>
  <si>
    <t>システム名</t>
    <rPh sb="4" eb="5">
      <t>メイ</t>
    </rPh>
    <phoneticPr fontId="9"/>
  </si>
  <si>
    <t>Webシステム</t>
    <phoneticPr fontId="9"/>
  </si>
  <si>
    <t>Ver.</t>
    <phoneticPr fontId="9"/>
  </si>
  <si>
    <t>7.0.2</t>
    <phoneticPr fontId="9"/>
  </si>
  <si>
    <t>－</t>
    <phoneticPr fontId="9"/>
  </si>
  <si>
    <t>MSBB_販売管理</t>
    <phoneticPr fontId="9"/>
  </si>
  <si>
    <t>機能名</t>
    <rPh sb="0" eb="2">
      <t>キノウ</t>
    </rPh>
    <rPh sb="2" eb="3">
      <t>メイ</t>
    </rPh>
    <phoneticPr fontId="9"/>
  </si>
  <si>
    <t>機能ID</t>
    <rPh sb="0" eb="2">
      <t>キノウ</t>
    </rPh>
    <phoneticPr fontId="9"/>
  </si>
  <si>
    <t>アドオン</t>
  </si>
  <si>
    <t>作成</t>
    <rPh sb="0" eb="2">
      <t>サクセイ</t>
    </rPh>
    <phoneticPr fontId="9"/>
  </si>
  <si>
    <t>最終更新</t>
    <rPh sb="0" eb="2">
      <t>サイシュウ</t>
    </rPh>
    <rPh sb="2" eb="4">
      <t>コウシン</t>
    </rPh>
    <phoneticPr fontId="9"/>
  </si>
  <si>
    <t>ご確認</t>
    <rPh sb="1" eb="3">
      <t>カクニン</t>
    </rPh>
    <phoneticPr fontId="9"/>
  </si>
  <si>
    <t>MDSOL</t>
  </si>
  <si>
    <t>画面ID</t>
    <rPh sb="0" eb="2">
      <t>ガメン</t>
    </rPh>
    <phoneticPr fontId="9"/>
  </si>
  <si>
    <t>画面名</t>
    <rPh sb="0" eb="2">
      <t>ガメン</t>
    </rPh>
    <rPh sb="2" eb="3">
      <t>メイ</t>
    </rPh>
    <phoneticPr fontId="9"/>
  </si>
  <si>
    <t>Version</t>
    <phoneticPr fontId="9"/>
  </si>
  <si>
    <t>Revision</t>
    <phoneticPr fontId="9"/>
  </si>
  <si>
    <t>M7-US-1140</t>
    <phoneticPr fontId="9"/>
  </si>
  <si>
    <t>MSBBPA080</t>
    <phoneticPr fontId="9"/>
  </si>
  <si>
    <t>Web受注一覧照会</t>
  </si>
  <si>
    <t>1.0.0</t>
    <phoneticPr fontId="9"/>
  </si>
  <si>
    <t>r01.00</t>
    <phoneticPr fontId="9"/>
  </si>
  <si>
    <t>共通（元データ）</t>
    <rPh sb="0" eb="2">
      <t>キョウツウ</t>
    </rPh>
    <rPh sb="3" eb="4">
      <t>モト</t>
    </rPh>
    <phoneticPr fontId="9"/>
  </si>
  <si>
    <t>文書名</t>
    <rPh sb="0" eb="2">
      <t>ブンショ</t>
    </rPh>
    <rPh sb="2" eb="3">
      <t>メイ</t>
    </rPh>
    <phoneticPr fontId="9"/>
  </si>
  <si>
    <t>モジュールID</t>
  </si>
  <si>
    <t>MS</t>
    <phoneticPr fontId="9"/>
  </si>
  <si>
    <t>モジュール名</t>
    <rPh sb="5" eb="6">
      <t>メイ</t>
    </rPh>
    <phoneticPr fontId="9"/>
  </si>
  <si>
    <t>Version</t>
  </si>
  <si>
    <t>Rev.</t>
  </si>
  <si>
    <t>画面説明書</t>
  </si>
  <si>
    <t>ｻﾌﾞﾓｼﾞｭｰﾙID</t>
  </si>
  <si>
    <t>MSBB</t>
    <phoneticPr fontId="9"/>
  </si>
  <si>
    <t>ｻﾌﾞﾓｼﾞｭｰﾙ名</t>
    <rPh sb="9" eb="10">
      <t>メイ</t>
    </rPh>
    <phoneticPr fontId="9"/>
  </si>
  <si>
    <t>販売Webシステム</t>
    <rPh sb="0" eb="2">
      <t>ハンバイ</t>
    </rPh>
    <phoneticPr fontId="9"/>
  </si>
  <si>
    <t>M7-US-1140</t>
  </si>
  <si>
    <t>r00.00</t>
    <phoneticPr fontId="9"/>
  </si>
  <si>
    <t>表紙</t>
  </si>
  <si>
    <t>表題</t>
    <rPh sb="0" eb="2">
      <t>ヒョウダイ</t>
    </rPh>
    <phoneticPr fontId="9"/>
  </si>
  <si>
    <t>共通（リンク用）</t>
    <rPh sb="0" eb="2">
      <t>キョウツウ</t>
    </rPh>
    <rPh sb="6" eb="7">
      <t>ヨウ</t>
    </rPh>
    <phoneticPr fontId="9"/>
  </si>
  <si>
    <t>モジュールID</t>
    <phoneticPr fontId="9"/>
  </si>
  <si>
    <t>Rev.</t>
    <phoneticPr fontId="9"/>
  </si>
  <si>
    <t>ｻﾌﾞﾓｼﾞｭｰﾙID</t>
    <phoneticPr fontId="9"/>
  </si>
  <si>
    <t>概要シート用</t>
    <rPh sb="0" eb="2">
      <t>ガイヨウ</t>
    </rPh>
    <rPh sb="5" eb="6">
      <t>ヨウ</t>
    </rPh>
    <phoneticPr fontId="9"/>
  </si>
  <si>
    <t>サブモジュールID</t>
    <phoneticPr fontId="9"/>
  </si>
  <si>
    <t>サブモジュール名</t>
    <rPh sb="7" eb="8">
      <t>メイ</t>
    </rPh>
    <phoneticPr fontId="9"/>
  </si>
  <si>
    <t>7.0.2</t>
  </si>
  <si>
    <t>第7章</t>
    <rPh sb="2" eb="3">
      <t>ショウ</t>
    </rPh>
    <phoneticPr fontId="9"/>
  </si>
  <si>
    <t>改訂</t>
    <phoneticPr fontId="9"/>
  </si>
  <si>
    <t>作成者</t>
    <rPh sb="0" eb="3">
      <t>サクセイシャ</t>
    </rPh>
    <phoneticPr fontId="87"/>
  </si>
  <si>
    <t>MDSOL</t>
    <phoneticPr fontId="9"/>
  </si>
  <si>
    <t>作成日</t>
    <phoneticPr fontId="9"/>
  </si>
  <si>
    <t>修正者</t>
    <rPh sb="0" eb="2">
      <t>シュウセイ</t>
    </rPh>
    <rPh sb="2" eb="3">
      <t>シャ</t>
    </rPh>
    <phoneticPr fontId="9"/>
  </si>
  <si>
    <t>改訂日</t>
    <rPh sb="0" eb="2">
      <t>カイテイ</t>
    </rPh>
    <phoneticPr fontId="9"/>
  </si>
  <si>
    <t>改定内容</t>
    <phoneticPr fontId="9"/>
  </si>
  <si>
    <t>頁</t>
    <rPh sb="0" eb="1">
      <t>ページ</t>
    </rPh>
    <phoneticPr fontId="9"/>
  </si>
  <si>
    <t>変更日
変更者</t>
    <rPh sb="0" eb="3">
      <t>ヘンコウビ</t>
    </rPh>
    <rPh sb="4" eb="6">
      <t>ヘンコウ</t>
    </rPh>
    <rPh sb="6" eb="7">
      <t>シャ</t>
    </rPh>
    <phoneticPr fontId="9"/>
  </si>
  <si>
    <t>確認日
確認者</t>
    <rPh sb="0" eb="2">
      <t>カクニン</t>
    </rPh>
    <rPh sb="2" eb="3">
      <t>ヒ</t>
    </rPh>
    <rPh sb="4" eb="6">
      <t>カクニン</t>
    </rPh>
    <rPh sb="6" eb="7">
      <t>シャ</t>
    </rPh>
    <phoneticPr fontId="9"/>
  </si>
  <si>
    <t>新規作成</t>
    <rPh sb="0" eb="2">
      <t>シンキ</t>
    </rPh>
    <rPh sb="2" eb="4">
      <t>サクセイ</t>
    </rPh>
    <phoneticPr fontId="9"/>
  </si>
  <si>
    <t>【説明】</t>
    <rPh sb="1" eb="3">
      <t>セツメイ</t>
    </rPh>
    <phoneticPr fontId="9"/>
  </si>
  <si>
    <t>受注の一覧照会画面</t>
    <rPh sb="3" eb="5">
      <t>イチラン</t>
    </rPh>
    <rPh sb="5" eb="7">
      <t>ショウカイ</t>
    </rPh>
    <rPh sb="7" eb="9">
      <t>ガメン</t>
    </rPh>
    <phoneticPr fontId="9"/>
  </si>
  <si>
    <t>【目的】</t>
    <rPh sb="1" eb="3">
      <t>モクテキ</t>
    </rPh>
    <phoneticPr fontId="9"/>
  </si>
  <si>
    <t>受注を一覧照会する。受注画面へ遷移する。(参照・訂正)</t>
    <rPh sb="3" eb="5">
      <t>イチラン</t>
    </rPh>
    <rPh sb="5" eb="7">
      <t>ショウカイ</t>
    </rPh>
    <rPh sb="12" eb="14">
      <t>ガメン</t>
    </rPh>
    <rPh sb="15" eb="17">
      <t>センイ</t>
    </rPh>
    <rPh sb="21" eb="23">
      <t>サンショウ</t>
    </rPh>
    <rPh sb="24" eb="26">
      <t>テイセイ</t>
    </rPh>
    <phoneticPr fontId="9"/>
  </si>
  <si>
    <t>受注伝票を一括発行する</t>
    <rPh sb="0" eb="4">
      <t>ジュチュウデンピョウ</t>
    </rPh>
    <rPh sb="5" eb="7">
      <t>イッカツハッコウ</t>
    </rPh>
    <phoneticPr fontId="9"/>
  </si>
  <si>
    <t>【処理関連図/サービス関連図】</t>
    <phoneticPr fontId="9"/>
  </si>
  <si>
    <t>※処理・サービス関連図シートに詳細記載</t>
    <rPh sb="15" eb="17">
      <t>ショウサイ</t>
    </rPh>
    <rPh sb="17" eb="19">
      <t>キサイ</t>
    </rPh>
    <phoneticPr fontId="9"/>
  </si>
  <si>
    <t>【オペレーション一覧】</t>
    <rPh sb="8" eb="10">
      <t>イチラン</t>
    </rPh>
    <phoneticPr fontId="9"/>
  </si>
  <si>
    <t>受注の検索・照会処理を行う</t>
    <rPh sb="0" eb="2">
      <t>ジュチュウ</t>
    </rPh>
    <rPh sb="6" eb="8">
      <t>ショウカイ</t>
    </rPh>
    <phoneticPr fontId="9"/>
  </si>
  <si>
    <t>受注伝票の帳票発行を行う</t>
    <rPh sb="5" eb="7">
      <t>チョウヒョウ</t>
    </rPh>
    <rPh sb="7" eb="9">
      <t>ハッコウ</t>
    </rPh>
    <rPh sb="10" eb="11">
      <t>オコナ</t>
    </rPh>
    <phoneticPr fontId="9"/>
  </si>
  <si>
    <t>受注のCSV出力を行う</t>
    <rPh sb="6" eb="8">
      <t>シュツリョク</t>
    </rPh>
    <rPh sb="9" eb="10">
      <t>オコナ</t>
    </rPh>
    <phoneticPr fontId="9"/>
  </si>
  <si>
    <t>【SQLID一覧】</t>
    <rPh sb="6" eb="8">
      <t>イチラン</t>
    </rPh>
    <phoneticPr fontId="9"/>
  </si>
  <si>
    <t>なし</t>
    <phoneticPr fontId="9"/>
  </si>
  <si>
    <t>【ソート順】</t>
    <rPh sb="4" eb="5">
      <t>ジュン</t>
    </rPh>
    <phoneticPr fontId="9"/>
  </si>
  <si>
    <t>担当、得意先、手配NO(1～3)</t>
    <rPh sb="7" eb="9">
      <t>テハイ</t>
    </rPh>
    <phoneticPr fontId="9"/>
  </si>
  <si>
    <t>【データアクセスコントロール】</t>
    <phoneticPr fontId="9"/>
  </si>
  <si>
    <t>拠点による制御</t>
    <rPh sb="0" eb="2">
      <t>キョテン</t>
    </rPh>
    <rPh sb="5" eb="7">
      <t>セイギョ</t>
    </rPh>
    <phoneticPr fontId="9"/>
  </si>
  <si>
    <t>※詳細は、【MSBBPA000】_共通設計書_アドオン(Webシステム共通仕様)にて定義</t>
    <rPh sb="1" eb="3">
      <t>ショウサイ</t>
    </rPh>
    <rPh sb="42" eb="44">
      <t>テイギ</t>
    </rPh>
    <phoneticPr fontId="9"/>
  </si>
  <si>
    <t>【自由記述】</t>
    <rPh sb="1" eb="3">
      <t>ジユウ</t>
    </rPh>
    <rPh sb="3" eb="5">
      <t>キジュツ</t>
    </rPh>
    <phoneticPr fontId="9"/>
  </si>
  <si>
    <t>画面イメージ</t>
    <rPh sb="0" eb="2">
      <t>ガメン</t>
    </rPh>
    <phoneticPr fontId="9"/>
  </si>
  <si>
    <t>≫凡例</t>
    <rPh sb="1" eb="3">
      <t>ハンレイ</t>
    </rPh>
    <phoneticPr fontId="9"/>
  </si>
  <si>
    <t>・・・</t>
    <phoneticPr fontId="9"/>
  </si>
  <si>
    <t>ボタン</t>
    <phoneticPr fontId="9"/>
  </si>
  <si>
    <t>見積計算書NO</t>
  </si>
  <si>
    <t>検索項目(検索画面表示選択)</t>
    <rPh sb="0" eb="2">
      <t>ケンサク</t>
    </rPh>
    <rPh sb="2" eb="4">
      <t>コウモク</t>
    </rPh>
    <rPh sb="5" eb="7">
      <t>ケンサク</t>
    </rPh>
    <rPh sb="7" eb="9">
      <t>ガメン</t>
    </rPh>
    <rPh sb="9" eb="11">
      <t>ヒョウジ</t>
    </rPh>
    <rPh sb="11" eb="13">
      <t>センタク</t>
    </rPh>
    <phoneticPr fontId="9"/>
  </si>
  <si>
    <t>参照情報</t>
    <rPh sb="0" eb="4">
      <t>サンショウジョウホウ</t>
    </rPh>
    <phoneticPr fontId="9"/>
  </si>
  <si>
    <t>品名</t>
    <rPh sb="0" eb="2">
      <t>ヒンメイ</t>
    </rPh>
    <phoneticPr fontId="9"/>
  </si>
  <si>
    <t>入力項目</t>
    <rPh sb="0" eb="2">
      <t>ニュウリョク</t>
    </rPh>
    <rPh sb="2" eb="4">
      <t>コウモク</t>
    </rPh>
    <phoneticPr fontId="9"/>
  </si>
  <si>
    <t>得意先</t>
    <rPh sb="0" eb="3">
      <t>トクイサキ</t>
    </rPh>
    <phoneticPr fontId="9"/>
  </si>
  <si>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9"/>
  </si>
  <si>
    <t>担当者</t>
    <rPh sb="0" eb="3">
      <t>タントウシャ</t>
    </rPh>
    <phoneticPr fontId="9"/>
  </si>
  <si>
    <t>操作種別</t>
    <rPh sb="0" eb="2">
      <t>ソウサ</t>
    </rPh>
    <rPh sb="2" eb="4">
      <t>シュベツ</t>
    </rPh>
    <phoneticPr fontId="9"/>
  </si>
  <si>
    <t>●登録</t>
    <rPh sb="1" eb="3">
      <t>トウロク</t>
    </rPh>
    <phoneticPr fontId="9"/>
  </si>
  <si>
    <t>○訂正</t>
    <rPh sb="1" eb="3">
      <t>テイセイ</t>
    </rPh>
    <phoneticPr fontId="9"/>
  </si>
  <si>
    <t>選択項目(一つのみ選択可能)</t>
    <rPh sb="0" eb="2">
      <t>センタク</t>
    </rPh>
    <rPh sb="2" eb="4">
      <t>コウモク</t>
    </rPh>
    <rPh sb="5" eb="6">
      <t>ヒト</t>
    </rPh>
    <rPh sb="9" eb="11">
      <t>センタク</t>
    </rPh>
    <rPh sb="11" eb="13">
      <t>カノウ</t>
    </rPh>
    <phoneticPr fontId="9"/>
  </si>
  <si>
    <t>受注区分</t>
    <rPh sb="0" eb="2">
      <t>ジュチュウ</t>
    </rPh>
    <rPh sb="2" eb="4">
      <t>クブン</t>
    </rPh>
    <phoneticPr fontId="9"/>
  </si>
  <si>
    <t>作業順</t>
    <rPh sb="0" eb="2">
      <t>サギョウ</t>
    </rPh>
    <rPh sb="2" eb="3">
      <t>ジュン</t>
    </rPh>
    <phoneticPr fontId="9"/>
  </si>
  <si>
    <t>☑AAA</t>
    <phoneticPr fontId="9"/>
  </si>
  <si>
    <t>☑BBB</t>
    <phoneticPr fontId="9"/>
  </si>
  <si>
    <t>選択項目(複数選択可能)</t>
    <rPh sb="0" eb="2">
      <t>センタク</t>
    </rPh>
    <rPh sb="2" eb="4">
      <t>コウモク</t>
    </rPh>
    <rPh sb="5" eb="7">
      <t>フクスウ</t>
    </rPh>
    <rPh sb="7" eb="9">
      <t>センタク</t>
    </rPh>
    <rPh sb="9" eb="11">
      <t>カノウ</t>
    </rPh>
    <phoneticPr fontId="9"/>
  </si>
  <si>
    <t xml:space="preserve">MDSOL 野村　2022/10/25 </t>
    <rPh sb="6" eb="8">
      <t>ノムラ</t>
    </rPh>
    <phoneticPr fontId="9"/>
  </si>
  <si>
    <r>
      <t xml:space="preserve">指摘ＣＰ　2022/10/18 玉置　　抽出条件の確認
現行のシステムでは、製品の納入場所や品質の関係で、
以下の各部門（拠点：ＷＧ）に分かれています。
</t>
    </r>
    <r>
      <rPr>
        <b/>
        <sz val="8"/>
        <color rgb="FFFF0000"/>
        <rFont val="Meiryo UI"/>
        <family val="3"/>
        <charset val="128"/>
      </rPr>
      <t xml:space="preserve">得意先の担当の部門（受注部門）と、
品物を製造・手配・出荷する部門（製造部門）と
工程の内、シ－ト製造だけを担当する部門（シ－ト製造部門）と
</t>
    </r>
    <r>
      <rPr>
        <sz val="8"/>
        <color rgb="FFFF0000"/>
        <rFont val="Meiryo UI"/>
        <family val="3"/>
        <charset val="128"/>
      </rPr>
      <t>の３種で、
現行の受注照会の一部では、抽出条件にもなっているのですが、
対応はいかがでしょうか？</t>
    </r>
    <phoneticPr fontId="9"/>
  </si>
  <si>
    <t>シ設計時に受注には製造部門を持たないことで決定しました</t>
    <rPh sb="1" eb="3">
      <t>セッケイ</t>
    </rPh>
    <rPh sb="3" eb="4">
      <t>ジ</t>
    </rPh>
    <rPh sb="5" eb="7">
      <t>ジュチュウ</t>
    </rPh>
    <rPh sb="14" eb="15">
      <t>モ</t>
    </rPh>
    <rPh sb="21" eb="23">
      <t>ケッテイ</t>
    </rPh>
    <phoneticPr fontId="9"/>
  </si>
  <si>
    <t>2022/10/27　玉置　問題なし</t>
  </si>
  <si>
    <t>見積作成日</t>
    <rPh sb="0" eb="2">
      <t>ミツモリ</t>
    </rPh>
    <rPh sb="2" eb="4">
      <t>サクセイ</t>
    </rPh>
    <rPh sb="4" eb="5">
      <t>ビ</t>
    </rPh>
    <phoneticPr fontId="9"/>
  </si>
  <si>
    <t>カレンダー形式</t>
    <rPh sb="5" eb="7">
      <t>ケイシキ</t>
    </rPh>
    <phoneticPr fontId="9"/>
  </si>
  <si>
    <t>指摘ＣＰ　2022/10/18 玉置　　誤字　カレンダー←カンレンダー</t>
  </si>
  <si>
    <t>MDSOL 野村　2022/10/25 修正しました(横展開対応も実施します)</t>
    <rPh sb="6" eb="8">
      <t>ノムラ</t>
    </rPh>
    <rPh sb="20" eb="22">
      <t>シュウセイ</t>
    </rPh>
    <rPh sb="27" eb="32">
      <t>ヨコテンカイタイオウ</t>
    </rPh>
    <rPh sb="33" eb="35">
      <t>ジッシ</t>
    </rPh>
    <phoneticPr fontId="9"/>
  </si>
  <si>
    <t>工程毎にWG(拠点)は持っています</t>
    <rPh sb="0" eb="3">
      <t>コウテイマイ</t>
    </rPh>
    <rPh sb="11" eb="12">
      <t>モ</t>
    </rPh>
    <phoneticPr fontId="9"/>
  </si>
  <si>
    <t>拠点</t>
    <rPh sb="0" eb="2">
      <t>キョテン</t>
    </rPh>
    <phoneticPr fontId="9"/>
  </si>
  <si>
    <t>*</t>
    <phoneticPr fontId="9"/>
  </si>
  <si>
    <t>あいまい検索可能</t>
    <rPh sb="4" eb="6">
      <t>ケンサク</t>
    </rPh>
    <rPh sb="6" eb="8">
      <t>カノウ</t>
    </rPh>
    <phoneticPr fontId="9"/>
  </si>
  <si>
    <t>(得意先名:オートフィルタ)</t>
    <rPh sb="1" eb="5">
      <t>トクイサキメイ</t>
    </rPh>
    <phoneticPr fontId="9"/>
  </si>
  <si>
    <t>売上担当者</t>
  </si>
  <si>
    <t>顧客品名</t>
    <rPh sb="0" eb="2">
      <t>コキャク</t>
    </rPh>
    <rPh sb="2" eb="4">
      <t>ヒンメイ</t>
    </rPh>
    <phoneticPr fontId="9"/>
  </si>
  <si>
    <t>受注日</t>
    <rPh sb="0" eb="3">
      <t>ジュチュウビ</t>
    </rPh>
    <phoneticPr fontId="9"/>
  </si>
  <si>
    <t>~</t>
    <phoneticPr fontId="9"/>
  </si>
  <si>
    <t>客先納期</t>
    <rPh sb="0" eb="4">
      <t>キャクサキノウキ</t>
    </rPh>
    <phoneticPr fontId="9"/>
  </si>
  <si>
    <t>事前指摘(MDSOL記載)</t>
    <rPh sb="0" eb="4">
      <t>ジゼンシテキ</t>
    </rPh>
    <rPh sb="10" eb="12">
      <t>キサイ</t>
    </rPh>
    <phoneticPr fontId="9"/>
  </si>
  <si>
    <t>手配NO</t>
    <rPh sb="0" eb="2">
      <t>テハイ</t>
    </rPh>
    <phoneticPr fontId="9"/>
  </si>
  <si>
    <t>受注区分</t>
    <rPh sb="0" eb="4">
      <t>ジュチュウクブン</t>
    </rPh>
    <phoneticPr fontId="9"/>
  </si>
  <si>
    <t>製品</t>
    <rPh sb="0" eb="2">
      <t>セイヒン</t>
    </rPh>
    <phoneticPr fontId="9"/>
  </si>
  <si>
    <t>製品区分</t>
  </si>
  <si>
    <t>大</t>
  </si>
  <si>
    <t>中</t>
    <rPh sb="0" eb="1">
      <t>チュウ</t>
    </rPh>
    <phoneticPr fontId="9"/>
  </si>
  <si>
    <t>小</t>
    <rPh sb="0" eb="1">
      <t>ショウ</t>
    </rPh>
    <phoneticPr fontId="9"/>
  </si>
  <si>
    <t>CP指摘　2022/10/02　落合　受注入力から受注一覧照会を開いたときに、受注区分・得意先CD・受注日（当日から6か月の範囲）で自動検索し結果を表示する</t>
    <phoneticPr fontId="9"/>
  </si>
  <si>
    <t>MDSOL 野村　2022/10/25 初期条件に追加します</t>
    <rPh sb="6" eb="8">
      <t>ノムラ</t>
    </rPh>
    <rPh sb="20" eb="24">
      <t>ショキジョウケン</t>
    </rPh>
    <rPh sb="25" eb="27">
      <t>ツイカ</t>
    </rPh>
    <phoneticPr fontId="9"/>
  </si>
  <si>
    <t>2022/11/01 落合　問題なし</t>
    <rPh sb="11" eb="13">
      <t>オチアイ</t>
    </rPh>
    <rPh sb="14" eb="16">
      <t>モンダイ</t>
    </rPh>
    <phoneticPr fontId="9"/>
  </si>
  <si>
    <t>製品CD</t>
    <rPh sb="0" eb="2">
      <t>セイヒン</t>
    </rPh>
    <phoneticPr fontId="9"/>
  </si>
  <si>
    <t>セット製品CD</t>
    <rPh sb="3" eb="5">
      <t>セイヒン</t>
    </rPh>
    <phoneticPr fontId="9"/>
  </si>
  <si>
    <t>CP指摘　2022/10/02　落合　受注№はMCFの受注№？</t>
  </si>
  <si>
    <t>原紙</t>
    <rPh sb="0" eb="2">
      <t>ゲンシ</t>
    </rPh>
    <phoneticPr fontId="9"/>
  </si>
  <si>
    <t>印刷</t>
    <rPh sb="0" eb="2">
      <t>インサツ</t>
    </rPh>
    <phoneticPr fontId="9"/>
  </si>
  <si>
    <t>エンボス</t>
    <phoneticPr fontId="9"/>
  </si>
  <si>
    <t>メーカ</t>
    <phoneticPr fontId="9"/>
  </si>
  <si>
    <t>MDSOL 野村　2022/10/25 WEB受注NO・受注明細NOとなります</t>
    <rPh sb="6" eb="8">
      <t>ノムラ</t>
    </rPh>
    <rPh sb="23" eb="25">
      <t>ジュチュウ</t>
    </rPh>
    <rPh sb="28" eb="30">
      <t>ジュチュウ</t>
    </rPh>
    <rPh sb="30" eb="32">
      <t>メイサイ</t>
    </rPh>
    <phoneticPr fontId="9"/>
  </si>
  <si>
    <t>2022/11/01 落合　条件に受注NOがありますが、どちらを入れるのですか？</t>
    <rPh sb="11" eb="13">
      <t>オチアイ</t>
    </rPh>
    <rPh sb="14" eb="16">
      <t>ジョウケン</t>
    </rPh>
    <rPh sb="17" eb="19">
      <t>ジュチュウ</t>
    </rPh>
    <rPh sb="32" eb="33">
      <t>イ</t>
    </rPh>
    <phoneticPr fontId="9"/>
  </si>
  <si>
    <t>MDSOL 野村　2022/11/02 WEB受注NOとなります。</t>
    <rPh sb="6" eb="8">
      <t>ノムラ</t>
    </rPh>
    <phoneticPr fontId="9"/>
  </si>
  <si>
    <t>段</t>
  </si>
  <si>
    <t>E</t>
  </si>
  <si>
    <t>表構成</t>
  </si>
  <si>
    <t>(メーカ名:ｵｰﾄﾌｨﾙﾀ)</t>
    <phoneticPr fontId="9"/>
  </si>
  <si>
    <t>　申し訳ございません。WEB受注NO・WEB受注明細NOと明記統一します。</t>
    <rPh sb="14" eb="16">
      <t>ジュチュウ</t>
    </rPh>
    <rPh sb="24" eb="26">
      <t>メイサイ</t>
    </rPh>
    <rPh sb="29" eb="31">
      <t>メイキ</t>
    </rPh>
    <rPh sb="31" eb="33">
      <t>トウイツ</t>
    </rPh>
    <phoneticPr fontId="9"/>
  </si>
  <si>
    <t>2022/11/04 落合　手配№とweb受注№の関係性を教えてください。　ユーザーは何を見てweb受注№を入力するのでしょうか？</t>
    <rPh sb="14" eb="16">
      <t>テハイ</t>
    </rPh>
    <rPh sb="21" eb="23">
      <t>ジュチュウ</t>
    </rPh>
    <rPh sb="25" eb="28">
      <t>カンケイセイ</t>
    </rPh>
    <rPh sb="29" eb="30">
      <t>オシ</t>
    </rPh>
    <rPh sb="43" eb="44">
      <t>ナニ</t>
    </rPh>
    <rPh sb="45" eb="46">
      <t>ミ</t>
    </rPh>
    <rPh sb="50" eb="52">
      <t>ジュチュウ</t>
    </rPh>
    <rPh sb="54" eb="56">
      <t>ニュウリョク</t>
    </rPh>
    <phoneticPr fontId="9"/>
  </si>
  <si>
    <t>シート寸法</t>
    <rPh sb="3" eb="5">
      <t>スンポウ</t>
    </rPh>
    <phoneticPr fontId="9"/>
  </si>
  <si>
    <t>巾</t>
    <rPh sb="0" eb="1">
      <t>ハバ</t>
    </rPh>
    <phoneticPr fontId="9"/>
  </si>
  <si>
    <t>流れ</t>
    <rPh sb="0" eb="1">
      <t>ナガ</t>
    </rPh>
    <phoneticPr fontId="9"/>
  </si>
  <si>
    <t>刃渡り（mm)</t>
    <rPh sb="0" eb="2">
      <t>ハワタ</t>
    </rPh>
    <phoneticPr fontId="9"/>
  </si>
  <si>
    <t>CP指摘  2022/09/30 三宅  条件の部分だけでかなり画面占有しているので折り畳み可能に ・あるいは初期状態ではく使う条件のみ表示</t>
  </si>
  <si>
    <t>してめったに使わない細かい絞込み用は非表示（配置も検討）</t>
  </si>
  <si>
    <t>詳細検索</t>
    <phoneticPr fontId="9"/>
  </si>
  <si>
    <t>ー</t>
  </si>
  <si>
    <t>備考の「40byte」は40文字ではなくてバイト？検索ワードが長くなりすぎないように日本語で十数文字程度に(UTF-8)抑えたいという意図？</t>
  </si>
  <si>
    <t>中構成</t>
  </si>
  <si>
    <t>CP指摘　2022/10/02　落合　検索条件が多すぎる為、レイアウトを右記のようにする→</t>
  </si>
  <si>
    <t>裏構成</t>
  </si>
  <si>
    <t>詳細検索は折りたたんだ状態で表示し、必要時のみ入力する</t>
  </si>
  <si>
    <t>見積検索も合わせてください</t>
  </si>
  <si>
    <t>売価区分</t>
    <rPh sb="0" eb="2">
      <t>バイカ</t>
    </rPh>
    <rPh sb="2" eb="4">
      <t>クブン</t>
    </rPh>
    <phoneticPr fontId="9"/>
  </si>
  <si>
    <t>WEB受注NO</t>
    <rPh sb="3" eb="5">
      <t>ジュチュウ</t>
    </rPh>
    <phoneticPr fontId="9"/>
  </si>
  <si>
    <t>MDSOL 野村　2022/10/25 レイアウト修正→見積を合わせて修正します</t>
    <rPh sb="6" eb="8">
      <t>ノムラ</t>
    </rPh>
    <rPh sb="25" eb="27">
      <t>シュウセイ</t>
    </rPh>
    <rPh sb="35" eb="37">
      <t>シュウセイ</t>
    </rPh>
    <phoneticPr fontId="9"/>
  </si>
  <si>
    <t>2022/11/01 落合　初期表示は折りたたんだ状態にして下さい</t>
    <rPh sb="11" eb="13">
      <t>オチアイ</t>
    </rPh>
    <rPh sb="14" eb="16">
      <t>ショキ</t>
    </rPh>
    <rPh sb="16" eb="18">
      <t>ヒョウジ</t>
    </rPh>
    <rPh sb="19" eb="20">
      <t>オ</t>
    </rPh>
    <rPh sb="25" eb="27">
      <t>ジョウタイ</t>
    </rPh>
    <rPh sb="30" eb="31">
      <t>クダ</t>
    </rPh>
    <phoneticPr fontId="9"/>
  </si>
  <si>
    <t>MDSOL 野村　2022/11/02 承知しました。(見積も合わせます)</t>
    <rPh sb="6" eb="8">
      <t>ノムラ</t>
    </rPh>
    <rPh sb="20" eb="22">
      <t>ショウチ</t>
    </rPh>
    <rPh sb="28" eb="30">
      <t>ミツモリ</t>
    </rPh>
    <rPh sb="31" eb="32">
      <t>ア</t>
    </rPh>
    <phoneticPr fontId="9"/>
  </si>
  <si>
    <t>2022/11/04 落合　問題なし</t>
  </si>
  <si>
    <t>注文書No</t>
    <rPh sb="0" eb="3">
      <t>チュウモンショ</t>
    </rPh>
    <phoneticPr fontId="9"/>
  </si>
  <si>
    <t>先方担当</t>
    <phoneticPr fontId="9"/>
  </si>
  <si>
    <t>製品形状</t>
    <rPh sb="0" eb="2">
      <t>セイヒン</t>
    </rPh>
    <rPh sb="2" eb="4">
      <t>ケイジョウ</t>
    </rPh>
    <phoneticPr fontId="9"/>
  </si>
  <si>
    <t>物流区分</t>
    <rPh sb="0" eb="2">
      <t>ブツリュウ</t>
    </rPh>
    <rPh sb="2" eb="4">
      <t>クブン</t>
    </rPh>
    <phoneticPr fontId="9"/>
  </si>
  <si>
    <t>運送会社</t>
    <phoneticPr fontId="9"/>
  </si>
  <si>
    <t>CP指摘　2022/09/30　木﨑　巾[From] ~ [To] 流れ[From] ~ [To]  にした方がよいかと思います。[From][From]~[To][To]　では違和感があります。</t>
    <phoneticPr fontId="9"/>
  </si>
  <si>
    <t>MDSOL 野村　2022/10/25 レイアウト修正により、巾[From] ~ [To] 流れ[From] ~ [To] は無しとなりました</t>
    <rPh sb="6" eb="8">
      <t>ノムラ</t>
    </rPh>
    <rPh sb="25" eb="27">
      <t>シュウセイ</t>
    </rPh>
    <rPh sb="63" eb="64">
      <t>ナ</t>
    </rPh>
    <phoneticPr fontId="9"/>
  </si>
  <si>
    <t>印刷備考</t>
    <rPh sb="0" eb="2">
      <t>インサツ</t>
    </rPh>
    <rPh sb="2" eb="4">
      <t>ビコウ</t>
    </rPh>
    <phoneticPr fontId="9"/>
  </si>
  <si>
    <t>40byte</t>
    <phoneticPr fontId="9"/>
  </si>
  <si>
    <t>製造備考</t>
    <rPh sb="0" eb="4">
      <t>セイゾウビコウ</t>
    </rPh>
    <phoneticPr fontId="9"/>
  </si>
  <si>
    <t>伝票備考</t>
    <rPh sb="0" eb="2">
      <t>デンピョウ</t>
    </rPh>
    <rPh sb="2" eb="4">
      <t>ビコウ</t>
    </rPh>
    <phoneticPr fontId="9"/>
  </si>
  <si>
    <t>納入備考</t>
    <rPh sb="0" eb="2">
      <t>ノウニュウ</t>
    </rPh>
    <rPh sb="2" eb="4">
      <t>ビコウ</t>
    </rPh>
    <phoneticPr fontId="9"/>
  </si>
  <si>
    <t>CP指摘　2022/10/02　落合　範囲で指定する場合、toが未入力の場合はfromをtoへ自動セットする</t>
  </si>
  <si>
    <t>出荷備考１</t>
    <rPh sb="0" eb="2">
      <t>シュッカ</t>
    </rPh>
    <rPh sb="2" eb="4">
      <t>ビコウ</t>
    </rPh>
    <phoneticPr fontId="9"/>
  </si>
  <si>
    <t>出荷備考２</t>
    <rPh sb="0" eb="2">
      <t>シュッカ</t>
    </rPh>
    <rPh sb="2" eb="4">
      <t>ビコウ</t>
    </rPh>
    <phoneticPr fontId="9"/>
  </si>
  <si>
    <t>MDSOL 野村　2022/10/25 共通仕様に明記します</t>
    <rPh sb="6" eb="8">
      <t>ノムラ</t>
    </rPh>
    <rPh sb="20" eb="24">
      <t>キョウツウシヨウ</t>
    </rPh>
    <rPh sb="25" eb="27">
      <t>メイキ</t>
    </rPh>
    <phoneticPr fontId="9"/>
  </si>
  <si>
    <t>再製造備考</t>
    <rPh sb="0" eb="1">
      <t>サイ</t>
    </rPh>
    <rPh sb="1" eb="5">
      <t>セイゾウビコウ</t>
    </rPh>
    <phoneticPr fontId="9"/>
  </si>
  <si>
    <t>CP指摘 2022/10/02 落合　表示項目が多く横スクロールが発生すると思われるので、以下のように2段表示に変更願います。　csv出力は1行出力</t>
  </si>
  <si>
    <t>MDSOL 野村　2022/10/25 レイアウト修正しました</t>
    <rPh sb="6" eb="8">
      <t>ノムラ</t>
    </rPh>
    <rPh sb="25" eb="27">
      <t>シュウセイ</t>
    </rPh>
    <phoneticPr fontId="9"/>
  </si>
  <si>
    <t>№</t>
    <phoneticPr fontId="9"/>
  </si>
  <si>
    <t>得意先</t>
    <rPh sb="0" eb="3">
      <t>トクイサキ</t>
    </rPh>
    <phoneticPr fontId="1"/>
  </si>
  <si>
    <t>得意先名</t>
    <rPh sb="3" eb="4">
      <t>メイ</t>
    </rPh>
    <phoneticPr fontId="1"/>
  </si>
  <si>
    <t>手配NO1</t>
    <phoneticPr fontId="9"/>
  </si>
  <si>
    <t>不適合手配NO</t>
    <phoneticPr fontId="9"/>
  </si>
  <si>
    <t>製品CD/品目CD</t>
    <rPh sb="0" eb="2">
      <t>セイヒン</t>
    </rPh>
    <rPh sb="5" eb="7">
      <t>ヒンモク</t>
    </rPh>
    <phoneticPr fontId="9"/>
  </si>
  <si>
    <t>CP品名／構成</t>
    <phoneticPr fontId="9"/>
  </si>
  <si>
    <t>段</t>
    <phoneticPr fontId="9"/>
  </si>
  <si>
    <t>構成CD</t>
  </si>
  <si>
    <t>全判寸法</t>
  </si>
  <si>
    <t>数量</t>
    <rPh sb="0" eb="2">
      <t>スウリョウ</t>
    </rPh>
    <phoneticPr fontId="9"/>
  </si>
  <si>
    <t>数量</t>
  </si>
  <si>
    <t>個別単価</t>
    <rPh sb="0" eb="2">
      <t>コベツ</t>
    </rPh>
    <rPh sb="2" eb="4">
      <t>タンカ</t>
    </rPh>
    <phoneticPr fontId="9"/>
  </si>
  <si>
    <t>単価</t>
  </si>
  <si>
    <t>受注金額</t>
  </si>
  <si>
    <t>伝票備考</t>
  </si>
  <si>
    <t>WEB受注NO</t>
    <phoneticPr fontId="9"/>
  </si>
  <si>
    <t>担当CD</t>
  </si>
  <si>
    <t>売上担当名</t>
  </si>
  <si>
    <t>注文№</t>
    <phoneticPr fontId="9"/>
  </si>
  <si>
    <t>客先納期</t>
  </si>
  <si>
    <t>製品区分（大）</t>
    <phoneticPr fontId="9"/>
  </si>
  <si>
    <t>表</t>
    <rPh sb="0" eb="1">
      <t>オモテ</t>
    </rPh>
    <phoneticPr fontId="9"/>
  </si>
  <si>
    <t>中</t>
    <rPh sb="0" eb="1">
      <t>ナカ</t>
    </rPh>
    <phoneticPr fontId="9"/>
  </si>
  <si>
    <t>裏</t>
    <rPh sb="0" eb="1">
      <t>ウラ</t>
    </rPh>
    <phoneticPr fontId="9"/>
  </si>
  <si>
    <t>スリッター寸法</t>
  </si>
  <si>
    <t>単位</t>
  </si>
  <si>
    <t>セット単価</t>
  </si>
  <si>
    <t>納入備考</t>
  </si>
  <si>
    <t>WEB受注明細NO</t>
    <phoneticPr fontId="9"/>
  </si>
  <si>
    <t>1</t>
    <phoneticPr fontId="9"/>
  </si>
  <si>
    <t>12345</t>
    <phoneticPr fontId="1"/>
  </si>
  <si>
    <t>XXXXXXX8</t>
    <phoneticPr fontId="1"/>
  </si>
  <si>
    <t>123456789</t>
  </si>
  <si>
    <t>2022/7/1</t>
    <phoneticPr fontId="9"/>
  </si>
  <si>
    <t>A9999999-01</t>
    <phoneticPr fontId="9"/>
  </si>
  <si>
    <t>XXXXXXXXX1XXXXX6</t>
    <phoneticPr fontId="9"/>
  </si>
  <si>
    <t>XXXX</t>
    <phoneticPr fontId="9"/>
  </si>
  <si>
    <t>700 X 490</t>
  </si>
  <si>
    <t>XXX</t>
    <phoneticPr fontId="9"/>
  </si>
  <si>
    <t>☑</t>
    <phoneticPr fontId="9"/>
  </si>
  <si>
    <t>1234</t>
    <phoneticPr fontId="1"/>
  </si>
  <si>
    <t>XXXXX6</t>
    <phoneticPr fontId="1"/>
  </si>
  <si>
    <t>328-133-01-1</t>
    <phoneticPr fontId="9"/>
  </si>
  <si>
    <t>2022/7/31</t>
    <phoneticPr fontId="9"/>
  </si>
  <si>
    <t>加工</t>
  </si>
  <si>
    <t>690 X 490</t>
  </si>
  <si>
    <t>指摘ＣＰ  2022/10/18 　玉置　項目の確認  構成情報はコードか名称か？</t>
  </si>
  <si>
    <t>項目長が問題ですが、コードと名称の併記がベストと考えます。</t>
  </si>
  <si>
    <t>プリフル</t>
  </si>
  <si>
    <t>MDSOL 野村　2022/10/25 コード+原紙構成名を想定しています</t>
    <rPh sb="6" eb="8">
      <t>ノムラ</t>
    </rPh>
    <rPh sb="24" eb="26">
      <t>ゲンシ</t>
    </rPh>
    <rPh sb="26" eb="27">
      <t>カマエ</t>
    </rPh>
    <rPh sb="27" eb="28">
      <t>ナ</t>
    </rPh>
    <rPh sb="28" eb="29">
      <t>メイ</t>
    </rPh>
    <rPh sb="30" eb="32">
      <t>ソウテイ</t>
    </rPh>
    <phoneticPr fontId="9"/>
  </si>
  <si>
    <t>※原紙名(構成名)は原紙CD+印刷CD+ｴﾝﾎﾞｽCDで品目マスタを参照した品名を表示</t>
    <rPh sb="38" eb="40">
      <t>ヒンメイ</t>
    </rPh>
    <phoneticPr fontId="9"/>
  </si>
  <si>
    <t>シート</t>
  </si>
  <si>
    <t>◁</t>
    <phoneticPr fontId="9"/>
  </si>
  <si>
    <t>▷</t>
    <phoneticPr fontId="9"/>
  </si>
  <si>
    <t>※品名/構成はシートの時、構成名</t>
    <phoneticPr fontId="9"/>
  </si>
  <si>
    <t>　シート以外品名を表示</t>
  </si>
  <si>
    <t>　折り返し表示</t>
  </si>
  <si>
    <t>NO</t>
  </si>
  <si>
    <t>担当</t>
    <rPh sb="0" eb="2">
      <t>タントウ</t>
    </rPh>
    <phoneticPr fontId="9"/>
  </si>
  <si>
    <t>担当者名</t>
    <rPh sb="0" eb="3">
      <t>タントウシャ</t>
    </rPh>
    <rPh sb="3" eb="4">
      <t>メイ</t>
    </rPh>
    <phoneticPr fontId="9"/>
  </si>
  <si>
    <t>得意先名</t>
    <rPh sb="3" eb="4">
      <t>メイ</t>
    </rPh>
    <phoneticPr fontId="9"/>
  </si>
  <si>
    <t>注文書NO</t>
  </si>
  <si>
    <t>手配NO1</t>
  </si>
  <si>
    <t>NO2</t>
  </si>
  <si>
    <t>NO3</t>
  </si>
  <si>
    <t>CP品名</t>
    <phoneticPr fontId="9"/>
  </si>
  <si>
    <t>客先納期</t>
    <rPh sb="0" eb="2">
      <t>キャクサキ</t>
    </rPh>
    <rPh sb="2" eb="4">
      <t>ノウキ</t>
    </rPh>
    <phoneticPr fontId="9"/>
  </si>
  <si>
    <t>単位</t>
    <rPh sb="0" eb="2">
      <t>タンイ</t>
    </rPh>
    <phoneticPr fontId="9"/>
  </si>
  <si>
    <t>セット単価</t>
    <rPh sb="3" eb="5">
      <t>タンカ</t>
    </rPh>
    <phoneticPr fontId="9"/>
  </si>
  <si>
    <t>金額</t>
    <rPh sb="0" eb="2">
      <t>キンガク</t>
    </rPh>
    <phoneticPr fontId="9"/>
  </si>
  <si>
    <t>構成情報</t>
    <rPh sb="0" eb="4">
      <t>コウセイジョウホウ</t>
    </rPh>
    <phoneticPr fontId="9"/>
  </si>
  <si>
    <t>WEB受注NO/WEB受注明細NO</t>
    <rPh sb="3" eb="5">
      <t>ジュチュウ</t>
    </rPh>
    <rPh sb="11" eb="13">
      <t>ジュチュウ</t>
    </rPh>
    <rPh sb="13" eb="15">
      <t>メイサイ</t>
    </rPh>
    <phoneticPr fontId="9"/>
  </si>
  <si>
    <t>発行</t>
    <rPh sb="0" eb="2">
      <t>ハッコウ</t>
    </rPh>
    <phoneticPr fontId="9"/>
  </si>
  <si>
    <t>品名1</t>
    <phoneticPr fontId="9"/>
  </si>
  <si>
    <t>品名2</t>
    <phoneticPr fontId="9"/>
  </si>
  <si>
    <t>段</t>
    <rPh sb="0" eb="1">
      <t>ダン</t>
    </rPh>
    <phoneticPr fontId="9"/>
  </si>
  <si>
    <t>1234</t>
    <phoneticPr fontId="9"/>
  </si>
  <si>
    <t>XXXXX6</t>
    <phoneticPr fontId="9"/>
  </si>
  <si>
    <t>12345</t>
    <phoneticPr fontId="9"/>
  </si>
  <si>
    <t>XXXXXXX8</t>
    <phoneticPr fontId="9"/>
  </si>
  <si>
    <t>123456</t>
    <phoneticPr fontId="9"/>
  </si>
  <si>
    <t>XX</t>
    <phoneticPr fontId="9"/>
  </si>
  <si>
    <t>2</t>
  </si>
  <si>
    <t>123457</t>
  </si>
  <si>
    <t>A9999999-02</t>
  </si>
  <si>
    <t>3</t>
  </si>
  <si>
    <t>XXXXX6</t>
  </si>
  <si>
    <t>328-133-01-1</t>
  </si>
  <si>
    <t>123458</t>
  </si>
  <si>
    <t>A9999999-03</t>
  </si>
  <si>
    <t>2022/7/31</t>
  </si>
  <si>
    <t>4</t>
  </si>
  <si>
    <t>1234</t>
  </si>
  <si>
    <t>12345</t>
  </si>
  <si>
    <t>123459</t>
  </si>
  <si>
    <t>A9999999-04</t>
  </si>
  <si>
    <t>5</t>
  </si>
  <si>
    <t>123460</t>
  </si>
  <si>
    <t>A9999999-05</t>
  </si>
  <si>
    <t>6</t>
  </si>
  <si>
    <t>123461</t>
  </si>
  <si>
    <t>A9999999-06</t>
  </si>
  <si>
    <t>YYYYYYYYY1XXXXX6</t>
    <phoneticPr fontId="9"/>
  </si>
  <si>
    <t>XXXXXX01</t>
    <phoneticPr fontId="9"/>
  </si>
  <si>
    <t>7</t>
  </si>
  <si>
    <t>123462</t>
  </si>
  <si>
    <t>A9999999-07</t>
  </si>
  <si>
    <t>YYYYYYYYY1XXXXX6</t>
  </si>
  <si>
    <t>XXXXXX02</t>
  </si>
  <si>
    <t>□</t>
    <phoneticPr fontId="9"/>
  </si>
  <si>
    <t>8</t>
  </si>
  <si>
    <t>123463</t>
  </si>
  <si>
    <t>A9999999-08</t>
  </si>
  <si>
    <t>XXXXXX03</t>
  </si>
  <si>
    <t>9</t>
  </si>
  <si>
    <t>123464</t>
  </si>
  <si>
    <t>A9999999-09</t>
  </si>
  <si>
    <t>XXXXXX04</t>
  </si>
  <si>
    <t>10</t>
  </si>
  <si>
    <t>123465</t>
  </si>
  <si>
    <t>A9999999-10</t>
  </si>
  <si>
    <t>XXXXXX05</t>
  </si>
  <si>
    <t>MDSOL 野村　2022/10/25 全画面共通としての修正で問題ないでしょうか。</t>
    <rPh sb="6" eb="8">
      <t>ノムラ</t>
    </rPh>
    <rPh sb="20" eb="23">
      <t>ゼンガメン</t>
    </rPh>
    <rPh sb="23" eb="25">
      <t>キョウツウ</t>
    </rPh>
    <rPh sb="29" eb="31">
      <t>シュウセイ</t>
    </rPh>
    <rPh sb="32" eb="34">
      <t>モンダイ</t>
    </rPh>
    <phoneticPr fontId="9"/>
  </si>
  <si>
    <t>全画面同じ位置と表記でしたらこのままで結構です。　行№と認識できます。</t>
  </si>
  <si>
    <t>…</t>
    <phoneticPr fontId="9"/>
  </si>
  <si>
    <t>抽出条件を閉じる</t>
    <rPh sb="5" eb="6">
      <t>ト</t>
    </rPh>
    <phoneticPr fontId="9"/>
  </si>
  <si>
    <t>+</t>
    <phoneticPr fontId="9"/>
  </si>
  <si>
    <t>抽出条件を開く</t>
    <phoneticPr fontId="9"/>
  </si>
  <si>
    <t>案件NO</t>
    <rPh sb="0" eb="2">
      <t>アンケン</t>
    </rPh>
    <phoneticPr fontId="9"/>
  </si>
  <si>
    <t>案件名</t>
    <rPh sb="0" eb="3">
      <t>アンケンメイ</t>
    </rPh>
    <phoneticPr fontId="9"/>
  </si>
  <si>
    <t>見積計算書NO</t>
    <rPh sb="0" eb="5">
      <t>ミツモリケイサンショ</t>
    </rPh>
    <phoneticPr fontId="9"/>
  </si>
  <si>
    <t>見積作成日</t>
    <phoneticPr fontId="9"/>
  </si>
  <si>
    <t>顧客品名</t>
    <phoneticPr fontId="9"/>
  </si>
  <si>
    <t>見積数</t>
    <rPh sb="0" eb="3">
      <t>ミツモリスウ</t>
    </rPh>
    <phoneticPr fontId="9"/>
  </si>
  <si>
    <t>決定予想</t>
    <rPh sb="0" eb="2">
      <t>ケッテイ</t>
    </rPh>
    <rPh sb="2" eb="4">
      <t>ヨソウ</t>
    </rPh>
    <phoneticPr fontId="9"/>
  </si>
  <si>
    <t>見積平米</t>
    <rPh sb="0" eb="2">
      <t>ミツモリ</t>
    </rPh>
    <rPh sb="2" eb="4">
      <t>ヘイベイ</t>
    </rPh>
    <phoneticPr fontId="9"/>
  </si>
  <si>
    <t>㎡単価</t>
    <rPh sb="1" eb="3">
      <t>タンカ</t>
    </rPh>
    <phoneticPr fontId="9"/>
  </si>
  <si>
    <t>見積区分</t>
    <rPh sb="0" eb="2">
      <t>ミツモリ</t>
    </rPh>
    <rPh sb="2" eb="4">
      <t>クブン</t>
    </rPh>
    <phoneticPr fontId="9"/>
  </si>
  <si>
    <t>承認ステータス</t>
    <rPh sb="0" eb="2">
      <t>ショウニン</t>
    </rPh>
    <phoneticPr fontId="9"/>
  </si>
  <si>
    <t>計算書</t>
    <rPh sb="0" eb="2">
      <t>ケイサン</t>
    </rPh>
    <rPh sb="2" eb="3">
      <t>ショ</t>
    </rPh>
    <phoneticPr fontId="9"/>
  </si>
  <si>
    <t>製品コード</t>
    <rPh sb="0" eb="2">
      <t>セイヒン</t>
    </rPh>
    <phoneticPr fontId="9"/>
  </si>
  <si>
    <t>1234567-001</t>
    <phoneticPr fontId="9"/>
  </si>
  <si>
    <t>12345678-01</t>
    <phoneticPr fontId="9"/>
  </si>
  <si>
    <t>通常</t>
    <rPh sb="0" eb="2">
      <t>ツウジョウ</t>
    </rPh>
    <phoneticPr fontId="9"/>
  </si>
  <si>
    <t>承認済</t>
    <rPh sb="0" eb="3">
      <t>ショウニンズ</t>
    </rPh>
    <phoneticPr fontId="9"/>
  </si>
  <si>
    <t>12345678-02</t>
    <phoneticPr fontId="9"/>
  </si>
  <si>
    <t>通常</t>
    <phoneticPr fontId="9"/>
  </si>
  <si>
    <t>1234567-001</t>
  </si>
  <si>
    <t>XXXXXXX8</t>
  </si>
  <si>
    <t>12345678-03</t>
    <phoneticPr fontId="9"/>
  </si>
  <si>
    <t>●</t>
    <phoneticPr fontId="9"/>
  </si>
  <si>
    <t>12345678-04</t>
    <phoneticPr fontId="9"/>
  </si>
  <si>
    <t>12345678-05</t>
    <phoneticPr fontId="9"/>
  </si>
  <si>
    <t>12345680-01</t>
    <phoneticPr fontId="9"/>
  </si>
  <si>
    <t>決定</t>
    <rPh sb="0" eb="2">
      <t>ケッテイ</t>
    </rPh>
    <phoneticPr fontId="9"/>
  </si>
  <si>
    <t>未承認</t>
    <phoneticPr fontId="9"/>
  </si>
  <si>
    <t>12345681-01</t>
    <phoneticPr fontId="9"/>
  </si>
  <si>
    <t>決定</t>
    <phoneticPr fontId="9"/>
  </si>
  <si>
    <t>12345682-01</t>
    <phoneticPr fontId="9"/>
  </si>
  <si>
    <t>12345683-01</t>
    <phoneticPr fontId="9"/>
  </si>
  <si>
    <t>12345683-02</t>
    <phoneticPr fontId="9"/>
  </si>
  <si>
    <t>A9999999-01</t>
  </si>
  <si>
    <t>受注一覧照会</t>
  </si>
  <si>
    <t>抽出条件</t>
    <rPh sb="0" eb="4">
      <t>チュウシュツジョウケン</t>
    </rPh>
    <phoneticPr fontId="9"/>
  </si>
  <si>
    <t>説明</t>
  </si>
  <si>
    <t>Ｗ</t>
    <phoneticPr fontId="9"/>
  </si>
  <si>
    <t>型</t>
  </si>
  <si>
    <t>参</t>
  </si>
  <si>
    <t>必</t>
    <rPh sb="0" eb="1">
      <t>ヒツ</t>
    </rPh>
    <phoneticPr fontId="9"/>
  </si>
  <si>
    <t>入</t>
  </si>
  <si>
    <t>非</t>
  </si>
  <si>
    <t>検</t>
    <phoneticPr fontId="9"/>
  </si>
  <si>
    <t>〇</t>
  </si>
  <si>
    <t>【MSBBPACOM】_共通設計書_アドオン(共通ロジック)にて定義</t>
    <phoneticPr fontId="9"/>
  </si>
  <si>
    <t>C</t>
    <phoneticPr fontId="9"/>
  </si>
  <si>
    <t>S</t>
    <phoneticPr fontId="9"/>
  </si>
  <si>
    <t>得意先</t>
  </si>
  <si>
    <t>A</t>
    <phoneticPr fontId="9"/>
  </si>
  <si>
    <t>検</t>
    <rPh sb="0" eb="1">
      <t>ケン</t>
    </rPh>
    <phoneticPr fontId="9"/>
  </si>
  <si>
    <t>売上担当者</t>
    <rPh sb="0" eb="2">
      <t>ウリアゲ</t>
    </rPh>
    <phoneticPr fontId="9"/>
  </si>
  <si>
    <t>顧客品名1</t>
    <phoneticPr fontId="9"/>
  </si>
  <si>
    <t>抽出条件として、顧客品名1を入力する</t>
  </si>
  <si>
    <t>あいまい検索可</t>
    <rPh sb="4" eb="6">
      <t>ケンサク</t>
    </rPh>
    <rPh sb="6" eb="7">
      <t>カ</t>
    </rPh>
    <phoneticPr fontId="9"/>
  </si>
  <si>
    <t>T</t>
    <phoneticPr fontId="9"/>
  </si>
  <si>
    <t>顧客品名2</t>
    <phoneticPr fontId="9"/>
  </si>
  <si>
    <t>抽出条件として、顧客品名2を入力する</t>
  </si>
  <si>
    <t>受注日(From)</t>
    <phoneticPr fontId="9"/>
  </si>
  <si>
    <t>抽出条件として、受注日(From)を入力する</t>
  </si>
  <si>
    <t>カ</t>
    <phoneticPr fontId="9"/>
  </si>
  <si>
    <t>D</t>
    <phoneticPr fontId="9"/>
  </si>
  <si>
    <t>受注日(To)</t>
    <phoneticPr fontId="9"/>
  </si>
  <si>
    <t>抽出条件として、受注日(To)を入力する</t>
  </si>
  <si>
    <t>客先納期(From)</t>
    <phoneticPr fontId="9"/>
  </si>
  <si>
    <t>抽出条件として、客先納期(From)を入力する</t>
  </si>
  <si>
    <t>客先納期(To)</t>
    <phoneticPr fontId="9"/>
  </si>
  <si>
    <t>抽出条件として、客先納期(To)を入力する</t>
  </si>
  <si>
    <t>手配NO(From)</t>
  </si>
  <si>
    <t>抽出条件として、手配NO(From)を入力する</t>
  </si>
  <si>
    <t>手配NO(To)</t>
  </si>
  <si>
    <t>抽出条件として、手配NO(To)を入力する</t>
  </si>
  <si>
    <t>事前指摘</t>
    <rPh sb="0" eb="4">
      <t>ジゼンシテキ</t>
    </rPh>
    <phoneticPr fontId="9"/>
  </si>
  <si>
    <t>受注区分</t>
    <phoneticPr fontId="10"/>
  </si>
  <si>
    <t>【MSBBPACOM】_共通設計書_アドオン(共通ロジック)にて定義</t>
  </si>
  <si>
    <t>CP指摘　2022/09/28　木﨑　受注区分等のリストは未選択も可能ですか？　(念のためです)</t>
  </si>
  <si>
    <t>製品区分_大</t>
    <rPh sb="5" eb="6">
      <t>ダイ</t>
    </rPh>
    <phoneticPr fontId="9"/>
  </si>
  <si>
    <t>C</t>
  </si>
  <si>
    <t>S</t>
  </si>
  <si>
    <t>MDSOL 野村　2022/10/25 可能です。</t>
    <rPh sb="6" eb="8">
      <t>ノムラ</t>
    </rPh>
    <rPh sb="20" eb="22">
      <t>カノウ</t>
    </rPh>
    <phoneticPr fontId="9"/>
  </si>
  <si>
    <t>製品区分_中</t>
    <rPh sb="5" eb="6">
      <t>チュウ</t>
    </rPh>
    <phoneticPr fontId="9"/>
  </si>
  <si>
    <t>指摘CP 2022/10/18   玉置　項目の定義
現行のシステムでは「大」と「小」で区分していますので、「中」を使用するならば内訳を、使用しないならば使用しないことを明確にお願いします。</t>
  </si>
  <si>
    <t>MDSOL 野村　2022/10/25 項目定義シートで定義している内容となります。内容は、汎用マスタとなります。設定値は、以下ファイルを確認ください</t>
    <rPh sb="6" eb="8">
      <t>ノムラ</t>
    </rPh>
    <rPh sb="20" eb="24">
      <t>コウモクテイギ</t>
    </rPh>
    <rPh sb="28" eb="30">
      <t>テイギ</t>
    </rPh>
    <rPh sb="34" eb="36">
      <t>ナイヨウ</t>
    </rPh>
    <rPh sb="42" eb="44">
      <t>ナイヨウ</t>
    </rPh>
    <rPh sb="46" eb="48">
      <t>ハンヨウ</t>
    </rPh>
    <rPh sb="57" eb="60">
      <t>セッテイチ</t>
    </rPh>
    <rPh sb="62" eb="64">
      <t>イカ</t>
    </rPh>
    <rPh sb="69" eb="71">
      <t>カクニン</t>
    </rPh>
    <phoneticPr fontId="9"/>
  </si>
  <si>
    <t>製品区分_小</t>
    <rPh sb="5" eb="6">
      <t>ショウ</t>
    </rPh>
    <phoneticPr fontId="9"/>
  </si>
  <si>
    <t>https://crown-grp.backlog.com/alias/file/27383942</t>
  </si>
  <si>
    <t>セット製品CD</t>
  </si>
  <si>
    <t>シート段</t>
    <rPh sb="3" eb="4">
      <t>ダン</t>
    </rPh>
    <phoneticPr fontId="10"/>
  </si>
  <si>
    <t>原紙コード(表)</t>
  </si>
  <si>
    <t>印刷コード(表)</t>
  </si>
  <si>
    <t>エンボスコード(表)</t>
  </si>
  <si>
    <t>メーカコード(表)</t>
    <phoneticPr fontId="9"/>
  </si>
  <si>
    <t>刃渡り_巾</t>
  </si>
  <si>
    <t>抽出条件として、刃渡り_巾を入力する</t>
  </si>
  <si>
    <t>N</t>
    <phoneticPr fontId="9"/>
  </si>
  <si>
    <t>刃渡り_流れ</t>
  </si>
  <si>
    <t>抽出条件として、刃渡り_流れを入力する</t>
  </si>
  <si>
    <t>指摘CP 2022/10/18   玉置
シ－ト寸法は全判になりますか？
スリッタ後の寸法になりますか？
　明記すべきと考えます。</t>
    <phoneticPr fontId="9"/>
  </si>
  <si>
    <t>シート寸法_巾</t>
  </si>
  <si>
    <t>抽出条件として、シート寸法_巾を入力する</t>
  </si>
  <si>
    <t>受注入力で指定したシート寸法となります</t>
    <rPh sb="0" eb="4">
      <t>ジュチュウニュウリョク</t>
    </rPh>
    <rPh sb="5" eb="7">
      <t>シテイ</t>
    </rPh>
    <rPh sb="12" eb="14">
      <t>スンポウ</t>
    </rPh>
    <phoneticPr fontId="9"/>
  </si>
  <si>
    <t>シート寸法_流れ</t>
  </si>
  <si>
    <t>抽出条件として、シート寸法_流れを入力する</t>
  </si>
  <si>
    <t>※刃渡りに咥えを足したシート寸法が該当します</t>
    <rPh sb="17" eb="19">
      <t>ガイトウ</t>
    </rPh>
    <phoneticPr fontId="9"/>
  </si>
  <si>
    <t>抽出条件 - 詳細検索</t>
    <phoneticPr fontId="9"/>
  </si>
  <si>
    <t>詳細検索(+/-)</t>
    <phoneticPr fontId="9"/>
  </si>
  <si>
    <t>詳細検索領域を+時…開く、-時…閉じる</t>
    <rPh sb="4" eb="6">
      <t>リョウイキ</t>
    </rPh>
    <rPh sb="8" eb="9">
      <t>ジ</t>
    </rPh>
    <rPh sb="10" eb="11">
      <t>ヒラ</t>
    </rPh>
    <rPh sb="16" eb="17">
      <t>ト</t>
    </rPh>
    <phoneticPr fontId="9"/>
  </si>
  <si>
    <t>※初期は閉じた状態(折り畳み)とする</t>
    <rPh sb="1" eb="3">
      <t>ショキ</t>
    </rPh>
    <rPh sb="4" eb="5">
      <t>ト</t>
    </rPh>
    <rPh sb="7" eb="9">
      <t>ジョウタイ</t>
    </rPh>
    <rPh sb="10" eb="11">
      <t>オ</t>
    </rPh>
    <rPh sb="12" eb="13">
      <t>タタ</t>
    </rPh>
    <phoneticPr fontId="9"/>
  </si>
  <si>
    <t>原紙コード(中)</t>
  </si>
  <si>
    <t>印刷コード(中)</t>
  </si>
  <si>
    <t>エンボスコード(中)</t>
    <phoneticPr fontId="9"/>
  </si>
  <si>
    <t>メーカコード(中)</t>
    <phoneticPr fontId="9"/>
  </si>
  <si>
    <t>原紙コード(裏)</t>
  </si>
  <si>
    <t>印刷コード(裏)</t>
  </si>
  <si>
    <t>エンボスコード(裏)</t>
    <phoneticPr fontId="9"/>
  </si>
  <si>
    <t>メーカコード(裏)</t>
    <phoneticPr fontId="9"/>
  </si>
  <si>
    <t>WEB受注NO(From)</t>
  </si>
  <si>
    <t>抽出条件として、WEB受注NO(From)を入力する</t>
  </si>
  <si>
    <t>WEB受注NO(To)</t>
  </si>
  <si>
    <t>抽出条件として、WEB受注NO(To)を入力する</t>
  </si>
  <si>
    <t>抽出条件として、注文書NOを入力する</t>
  </si>
  <si>
    <t>先方担当</t>
  </si>
  <si>
    <t>抽出条件として、先方担当を入力する</t>
  </si>
  <si>
    <t>指摘ＣＰ　2022/10/18 玉置　項目の確認
区分としての扱いかと思われるのですが、
「共通設計書_アドオン(共通ロジック)」を読んでも、
言及している箇所が見つかりません。（荷姿と同一でしょうか？）</t>
  </si>
  <si>
    <t>MDSOL 野村　2022/10/25 項目定義シートで定義している内容となります。→汎用マスタで管理します、現行の製品形状マスタに分類を追加したデータの想定です</t>
    <rPh sb="6" eb="8">
      <t>ノムラ</t>
    </rPh>
    <rPh sb="20" eb="24">
      <t>コウモクテイギ</t>
    </rPh>
    <rPh sb="28" eb="30">
      <t>テイギ</t>
    </rPh>
    <rPh sb="34" eb="36">
      <t>ナイヨウ</t>
    </rPh>
    <rPh sb="43" eb="45">
      <t>ハンヨウ</t>
    </rPh>
    <rPh sb="49" eb="51">
      <t>カンリ</t>
    </rPh>
    <rPh sb="55" eb="57">
      <t>ゲンコウ</t>
    </rPh>
    <rPh sb="58" eb="62">
      <t>セイヒンケイジョウ</t>
    </rPh>
    <rPh sb="66" eb="68">
      <t>ブンルイ</t>
    </rPh>
    <rPh sb="69" eb="71">
      <t>ツイカ</t>
    </rPh>
    <rPh sb="77" eb="79">
      <t>ソウテイ</t>
    </rPh>
    <phoneticPr fontId="9"/>
  </si>
  <si>
    <t>指摘ＣＰ　2022/10/18 玉置　項目の確認
「共通設計書_アドオン(共通ロジック)」を読んだのですが、
言及している箇所が見つかりません。（製品形状と言う言葉は有りますが、ブランクスについての記述でした）</t>
  </si>
  <si>
    <t>MDSOL 野村　2022/10/25 項目定義シートで定義している内容となります。内容は、定数一覧を確認ください。(4:物流箱を選択値として、表示する想定)</t>
    <rPh sb="6" eb="8">
      <t>ノムラ</t>
    </rPh>
    <rPh sb="20" eb="24">
      <t>コウモクテイギ</t>
    </rPh>
    <rPh sb="28" eb="30">
      <t>テイギ</t>
    </rPh>
    <rPh sb="34" eb="36">
      <t>ナイヨウ</t>
    </rPh>
    <rPh sb="42" eb="44">
      <t>ナイヨウ</t>
    </rPh>
    <rPh sb="46" eb="50">
      <t>テイスウイチラン</t>
    </rPh>
    <rPh sb="51" eb="53">
      <t>カクニン</t>
    </rPh>
    <rPh sb="61" eb="63">
      <t>ブツリュウ</t>
    </rPh>
    <rPh sb="63" eb="64">
      <t>ハコ</t>
    </rPh>
    <rPh sb="65" eb="68">
      <t>センタクチ</t>
    </rPh>
    <rPh sb="72" eb="74">
      <t>ヒョウジ</t>
    </rPh>
    <rPh sb="76" eb="78">
      <t>ソウテイ</t>
    </rPh>
    <phoneticPr fontId="9"/>
  </si>
  <si>
    <t>印刷備考</t>
  </si>
  <si>
    <t>抽出条件として、印刷備考を入力する</t>
  </si>
  <si>
    <t>製造備考</t>
  </si>
  <si>
    <t>抽出条件として、製造備考を入力する</t>
  </si>
  <si>
    <t>抽出条件として、伝票備考を入力する</t>
  </si>
  <si>
    <t>抽出条件として、納入備考を入力する</t>
  </si>
  <si>
    <t>出荷備考１</t>
  </si>
  <si>
    <t>抽出条件として、出荷備考１を入力する</t>
  </si>
  <si>
    <t>出荷備考２</t>
  </si>
  <si>
    <t>抽出条件として、出荷備考２を入力する</t>
  </si>
  <si>
    <t>再製造備考</t>
  </si>
  <si>
    <t>抽出条件として、再製造備考を入力する</t>
  </si>
  <si>
    <t>受注一覧</t>
  </si>
  <si>
    <t>行番を表示</t>
    <phoneticPr fontId="9"/>
  </si>
  <si>
    <t xml:space="preserve">指摘ＣＰ  2022/10/18 玉置　項目の確認  
行番←（「画面イメージ」を参照として下さい。見ないと判りません。）
NOでは無く、行ＮＯとするのは難しいでしょうか？
</t>
  </si>
  <si>
    <t>MDSOL 野村　2022/10/25 ラベルの変更なので軽微ですが、全画面共通となります。修正実施てても問題ないでしょうか。</t>
    <rPh sb="6" eb="8">
      <t>ノムラ</t>
    </rPh>
    <rPh sb="24" eb="26">
      <t>ヘンコウ</t>
    </rPh>
    <rPh sb="29" eb="31">
      <t>ケイビ</t>
    </rPh>
    <rPh sb="35" eb="38">
      <t>ゼンガメン</t>
    </rPh>
    <rPh sb="38" eb="40">
      <t>キョウツウ</t>
    </rPh>
    <rPh sb="46" eb="50">
      <t>シュウセイジッシ</t>
    </rPh>
    <rPh sb="53" eb="55">
      <t>モンダイ</t>
    </rPh>
    <phoneticPr fontId="9"/>
  </si>
  <si>
    <t>得意先CDを表示</t>
    <phoneticPr fontId="9"/>
  </si>
  <si>
    <t>担当</t>
  </si>
  <si>
    <t>担当CDを表示</t>
    <phoneticPr fontId="9"/>
  </si>
  <si>
    <t>得意先名</t>
  </si>
  <si>
    <t>得意先名を表示</t>
  </si>
  <si>
    <t>担当者名</t>
  </si>
  <si>
    <t>担当者名を表示</t>
  </si>
  <si>
    <t>CP指摘　2022/09/28　木﨑　初期のソートについては詳細設計で書かれると思いますが、受注日、客先納期、金額でのソート機能はあると便利かと思います。</t>
    <phoneticPr fontId="9"/>
  </si>
  <si>
    <t>注文書NOを表示</t>
  </si>
  <si>
    <t>MDSOL 野村　2022/10/25 上記、承知しました。基本は全項目ソート可能としたいですが、開発時、レスポンスなどを加味したうえで相談させてください。</t>
    <rPh sb="6" eb="8">
      <t>ノムラ</t>
    </rPh>
    <rPh sb="20" eb="22">
      <t>ジョウキ</t>
    </rPh>
    <rPh sb="23" eb="25">
      <t>ショウチ</t>
    </rPh>
    <rPh sb="30" eb="32">
      <t>キホン</t>
    </rPh>
    <rPh sb="49" eb="52">
      <t>カイハツジ</t>
    </rPh>
    <rPh sb="61" eb="63">
      <t>カミ</t>
    </rPh>
    <rPh sb="68" eb="70">
      <t>ソウダン</t>
    </rPh>
    <phoneticPr fontId="9"/>
  </si>
  <si>
    <t>手配NO1を表示</t>
  </si>
  <si>
    <t>2022/11/01 落合　問題なし。Multirowで作成であれば出来る認識です。</t>
    <rPh sb="11" eb="13">
      <t>オチアイ</t>
    </rPh>
    <rPh sb="14" eb="16">
      <t>モンダイ</t>
    </rPh>
    <rPh sb="28" eb="30">
      <t>サクセイ</t>
    </rPh>
    <rPh sb="34" eb="36">
      <t>デキ</t>
    </rPh>
    <rPh sb="37" eb="39">
      <t>ニンシキ</t>
    </rPh>
    <phoneticPr fontId="9"/>
  </si>
  <si>
    <t>不適合手配NO1</t>
    <phoneticPr fontId="9"/>
  </si>
  <si>
    <t>不適合手配NO1を表示</t>
    <phoneticPr fontId="9"/>
  </si>
  <si>
    <t>注文№を表示</t>
    <phoneticPr fontId="9"/>
  </si>
  <si>
    <t>受注日</t>
  </si>
  <si>
    <t>受注日を表示</t>
  </si>
  <si>
    <t>客先納期を表示</t>
  </si>
  <si>
    <t>製品CD/品目CD</t>
  </si>
  <si>
    <t>製品CD/品目CDを表示</t>
  </si>
  <si>
    <t>製品区分（大）名称を表示</t>
    <rPh sb="7" eb="9">
      <t>メイショウ</t>
    </rPh>
    <phoneticPr fontId="9"/>
  </si>
  <si>
    <t>受注区分=シート受注</t>
    <rPh sb="2" eb="4">
      <t>クブン</t>
    </rPh>
    <rPh sb="8" eb="10">
      <t>ジュチュウ</t>
    </rPh>
    <phoneticPr fontId="9"/>
  </si>
  <si>
    <t>：</t>
    <phoneticPr fontId="9"/>
  </si>
  <si>
    <t>構成名を表示</t>
    <rPh sb="0" eb="3">
      <t>コウセイメイ</t>
    </rPh>
    <rPh sb="4" eb="6">
      <t>ヒョウジ</t>
    </rPh>
    <phoneticPr fontId="9"/>
  </si>
  <si>
    <t>受注区分=シート受注以外</t>
    <rPh sb="10" eb="12">
      <t>イガイ</t>
    </rPh>
    <phoneticPr fontId="9"/>
  </si>
  <si>
    <t>品名を表示</t>
    <rPh sb="3" eb="5">
      <t>ヒョウジ</t>
    </rPh>
    <phoneticPr fontId="9"/>
  </si>
  <si>
    <t>段を表示</t>
  </si>
  <si>
    <t>表</t>
  </si>
  <si>
    <t>表(原紙コード+印刷コード+エンボスコード)を表示</t>
    <phoneticPr fontId="9"/>
  </si>
  <si>
    <t>指摘ＣＰ  2022/10/18 玉置　項目の確認  「表」←（「表」構成名：原紙名と印刷名とエンボス名の組み合わせ）で宜しい？　ただ「表」と表現することは現行していません。</t>
    <phoneticPr fontId="9"/>
  </si>
  <si>
    <t>MDSOL 野村　2022/10/25 原紙コード+印刷コード+エンボスコード、原紙構成名を表示します</t>
    <rPh sb="6" eb="8">
      <t>ノムラ</t>
    </rPh>
    <rPh sb="40" eb="45">
      <t>ゲンシコウセイメイ</t>
    </rPh>
    <rPh sb="46" eb="48">
      <t>ヒョウジ</t>
    </rPh>
    <phoneticPr fontId="9"/>
  </si>
  <si>
    <t>中</t>
  </si>
  <si>
    <t>中(原紙コード+印刷コード+エンボスコード)を表示</t>
    <phoneticPr fontId="9"/>
  </si>
  <si>
    <t>指摘ＣＰ  2022/10/18 玉置　項目の確認  「中」←（「中」構成名：原紙名と印刷名とエンボス名の組み合わせ）で宜しい？　ただ「中」と表現することは現行していません。</t>
  </si>
  <si>
    <t>裏</t>
  </si>
  <si>
    <t>裏(原紙コード+印刷コード+エンボスコード)を表示</t>
    <phoneticPr fontId="9"/>
  </si>
  <si>
    <t>指摘ＣＰ  2022/10/18 玉置　項目の確認  「裏」←（「裏」構成名）：原紙名と印刷名とエンボス名の組み合わせ）で宜しい？　ただ「裏」と表現することは現行していません。</t>
  </si>
  <si>
    <t>(構成名)</t>
    <rPh sb="1" eb="4">
      <t>コウセイメイ</t>
    </rPh>
    <phoneticPr fontId="9"/>
  </si>
  <si>
    <t>構成名を表示</t>
    <phoneticPr fontId="9"/>
  </si>
  <si>
    <t>※原紙名(構成名)は原紙CD+印刷CD+ｴﾝﾎﾞｽCDで品目マスタを参照した品名を表示</t>
    <phoneticPr fontId="9"/>
  </si>
  <si>
    <t>全判寸法（巾・流れ）</t>
    <phoneticPr fontId="9"/>
  </si>
  <si>
    <t>全判寸法（巾・流れ）を表示</t>
    <phoneticPr fontId="9"/>
  </si>
  <si>
    <t>ｽﾘｯﾀｰ寸法（巾・流れ）</t>
    <phoneticPr fontId="9"/>
  </si>
  <si>
    <t>ｽﾘｯﾀｰ寸法（巾・流れ）を表示</t>
    <phoneticPr fontId="9"/>
  </si>
  <si>
    <t>数量単位</t>
    <rPh sb="0" eb="2">
      <t>スウリョウ</t>
    </rPh>
    <phoneticPr fontId="9"/>
  </si>
  <si>
    <t>数量単位を表示</t>
    <rPh sb="0" eb="2">
      <t>スウリョウ</t>
    </rPh>
    <phoneticPr fontId="9"/>
  </si>
  <si>
    <t>指摘ＣＰ  2022/10/18 玉置　項目の確認  
現行システムでは、数量の単位と単価（金額計算）の単位が違う場合があり、（主にシート受注）
数量単位と単価単位を別に持っていますが、
（例えば数量は「枚」ですが、単価は「平米」の場合。平米は製品の寸法と数量で算出します。）
対応は宜しいでしょうか？</t>
  </si>
  <si>
    <t>MDSOL 野村　2022/10/25 数量単位・単価単位両方表示に変更しました</t>
    <rPh sb="6" eb="8">
      <t>ノムラ</t>
    </rPh>
    <rPh sb="20" eb="24">
      <t>スウリョウタンイ</t>
    </rPh>
    <rPh sb="25" eb="29">
      <t>タンカタンイ</t>
    </rPh>
    <rPh sb="29" eb="31">
      <t>リョウホウ</t>
    </rPh>
    <rPh sb="31" eb="33">
      <t>ヒョウジ</t>
    </rPh>
    <rPh sb="34" eb="36">
      <t>ヘンコウ</t>
    </rPh>
    <phoneticPr fontId="9"/>
  </si>
  <si>
    <t>数量を表示</t>
  </si>
  <si>
    <t>個別単価</t>
  </si>
  <si>
    <t>個別単価を表示</t>
  </si>
  <si>
    <t>セット単価を表示</t>
  </si>
  <si>
    <t>単価単位</t>
    <rPh sb="0" eb="2">
      <t>タンカ</t>
    </rPh>
    <rPh sb="2" eb="4">
      <t>タンイ</t>
    </rPh>
    <phoneticPr fontId="9"/>
  </si>
  <si>
    <t>単価単位を表示</t>
    <rPh sb="0" eb="2">
      <t>タンカ</t>
    </rPh>
    <rPh sb="2" eb="4">
      <t>タンイ</t>
    </rPh>
    <phoneticPr fontId="9"/>
  </si>
  <si>
    <t>受注金額</t>
    <rPh sb="0" eb="2">
      <t>ジュチュウ</t>
    </rPh>
    <phoneticPr fontId="9"/>
  </si>
  <si>
    <t>受注金額を表示</t>
    <phoneticPr fontId="9"/>
  </si>
  <si>
    <t>WEB受注NO/WEB受注明細NO</t>
  </si>
  <si>
    <t>WEB受注NO/WEB受注明細NOを表示</t>
  </si>
  <si>
    <t>受注伝票を出力する場合にチェックする</t>
    <rPh sb="0" eb="4">
      <t>ジュチュウデンピョウ</t>
    </rPh>
    <phoneticPr fontId="9"/>
  </si>
  <si>
    <t>チ</t>
    <phoneticPr fontId="9"/>
  </si>
  <si>
    <t>F</t>
    <phoneticPr fontId="9"/>
  </si>
  <si>
    <t>共通項目</t>
    <phoneticPr fontId="9"/>
  </si>
  <si>
    <t>全選択</t>
  </si>
  <si>
    <t>受注一覧の発行チェックを全てチェック=ONとする</t>
    <rPh sb="0" eb="2">
      <t>ジュチュウ</t>
    </rPh>
    <rPh sb="2" eb="4">
      <t>イチラン</t>
    </rPh>
    <rPh sb="5" eb="7">
      <t>ハッコウ</t>
    </rPh>
    <rPh sb="12" eb="13">
      <t>スベ</t>
    </rPh>
    <phoneticPr fontId="9"/>
  </si>
  <si>
    <t>全解除</t>
  </si>
  <si>
    <t>受注一覧の発行チェックを全てチェック=OFFとする</t>
    <phoneticPr fontId="9"/>
  </si>
  <si>
    <t>フッター</t>
    <phoneticPr fontId="9"/>
  </si>
  <si>
    <t>クリア</t>
    <phoneticPr fontId="9"/>
  </si>
  <si>
    <t>画面を初期化する</t>
    <rPh sb="0" eb="2">
      <t>ガメン</t>
    </rPh>
    <rPh sb="3" eb="6">
      <t>ショキカ</t>
    </rPh>
    <phoneticPr fontId="9"/>
  </si>
  <si>
    <t>B</t>
    <phoneticPr fontId="9"/>
  </si>
  <si>
    <t>表示</t>
    <rPh sb="0" eb="2">
      <t>ヒョウジ</t>
    </rPh>
    <phoneticPr fontId="9"/>
  </si>
  <si>
    <t>抽出条件をもとに受注一覧に結果を表示する</t>
    <rPh sb="0" eb="4">
      <t>チュウシュツジョウケン</t>
    </rPh>
    <rPh sb="10" eb="12">
      <t>イチラン</t>
    </rPh>
    <rPh sb="13" eb="15">
      <t>ケッカ</t>
    </rPh>
    <rPh sb="16" eb="18">
      <t>ヒョウジ</t>
    </rPh>
    <phoneticPr fontId="9"/>
  </si>
  <si>
    <t>受注詳細</t>
    <rPh sb="2" eb="4">
      <t>ショウサイ</t>
    </rPh>
    <phoneticPr fontId="9"/>
  </si>
  <si>
    <t>受注入力画面に遷移する(参照モードで遷移する)</t>
    <rPh sb="4" eb="6">
      <t>ガメン</t>
    </rPh>
    <rPh sb="7" eb="9">
      <t>センイ</t>
    </rPh>
    <phoneticPr fontId="9"/>
  </si>
  <si>
    <t>受注伝票</t>
    <rPh sb="0" eb="4">
      <t>ジュチュウデンピョウ</t>
    </rPh>
    <phoneticPr fontId="9"/>
  </si>
  <si>
    <t>受注一覧の発行にチェックされたデータを帳票「受注伝票」として出力する</t>
    <rPh sb="0" eb="2">
      <t>ジュチュウ</t>
    </rPh>
    <rPh sb="5" eb="7">
      <t>ハッコウ</t>
    </rPh>
    <rPh sb="19" eb="21">
      <t>チョウヒョウ</t>
    </rPh>
    <rPh sb="30" eb="32">
      <t>シュツリョク</t>
    </rPh>
    <phoneticPr fontId="9"/>
  </si>
  <si>
    <t>CSV出力</t>
    <phoneticPr fontId="9"/>
  </si>
  <si>
    <t>受注一覧のデータをCSV出力する</t>
    <rPh sb="12" eb="14">
      <t>シュツリョク</t>
    </rPh>
    <phoneticPr fontId="9"/>
  </si>
  <si>
    <t>選択</t>
    <phoneticPr fontId="9"/>
  </si>
  <si>
    <t>検索モードで開いた場合に選択結果を遷移元画面に返す(Web受注)</t>
    <rPh sb="0" eb="2">
      <t>ケンサク</t>
    </rPh>
    <rPh sb="6" eb="7">
      <t>ヒラ</t>
    </rPh>
    <rPh sb="9" eb="11">
      <t>バアイ</t>
    </rPh>
    <rPh sb="12" eb="14">
      <t>センタク</t>
    </rPh>
    <rPh sb="14" eb="16">
      <t>ケッカ</t>
    </rPh>
    <rPh sb="17" eb="22">
      <t>センイモトガメン</t>
    </rPh>
    <rPh sb="23" eb="24">
      <t>カエ</t>
    </rPh>
    <phoneticPr fontId="9"/>
  </si>
  <si>
    <t>オペレーションＩＤ/名称：SloRecvIfImp_Upd01/取込</t>
    <rPh sb="10" eb="12">
      <t>メイショウ</t>
    </rPh>
    <rPh sb="32" eb="34">
      <t>トリコミ</t>
    </rPh>
    <phoneticPr fontId="9"/>
  </si>
  <si>
    <t>項目名</t>
    <rPh sb="0" eb="2">
      <t>コウモク</t>
    </rPh>
    <rPh sb="2" eb="3">
      <t>メイ</t>
    </rPh>
    <phoneticPr fontId="9"/>
  </si>
  <si>
    <t>説明</t>
    <rPh sb="0" eb="2">
      <t>セツメイ</t>
    </rPh>
    <phoneticPr fontId="9"/>
  </si>
  <si>
    <t>未設定時の振る舞い</t>
    <rPh sb="0" eb="3">
      <t>ミセッテイ</t>
    </rPh>
    <rPh sb="3" eb="4">
      <t>ジ</t>
    </rPh>
    <rPh sb="5" eb="6">
      <t>フ</t>
    </rPh>
    <rPh sb="7" eb="8">
      <t>マ</t>
    </rPh>
    <phoneticPr fontId="9"/>
  </si>
  <si>
    <t>No</t>
    <phoneticPr fontId="9"/>
  </si>
  <si>
    <t>入力</t>
    <rPh sb="0" eb="2">
      <t>ニュウリョク</t>
    </rPh>
    <phoneticPr fontId="9"/>
  </si>
  <si>
    <t>処理</t>
    <rPh sb="0" eb="2">
      <t>ショリ</t>
    </rPh>
    <phoneticPr fontId="9"/>
  </si>
  <si>
    <t>出力</t>
    <rPh sb="0" eb="2">
      <t>シュツリョク</t>
    </rPh>
    <phoneticPr fontId="9"/>
  </si>
  <si>
    <t>初期表示</t>
    <phoneticPr fontId="9"/>
  </si>
  <si>
    <t>2</t>
    <phoneticPr fontId="9"/>
  </si>
  <si>
    <t>画面操作</t>
    <rPh sb="0" eb="2">
      <t>ガメン</t>
    </rPh>
    <rPh sb="2" eb="4">
      <t>ソウサ</t>
    </rPh>
    <phoneticPr fontId="9"/>
  </si>
  <si>
    <t>3</t>
    <phoneticPr fontId="9"/>
  </si>
  <si>
    <t>1.処理概要</t>
    <rPh sb="2" eb="6">
      <t>ショリガイヨウ</t>
    </rPh>
    <phoneticPr fontId="9"/>
  </si>
  <si>
    <t>ログインに紐づく拠点CDを表示する</t>
    <rPh sb="5" eb="6">
      <t>ヒモ</t>
    </rPh>
    <rPh sb="8" eb="10">
      <t>キョテン</t>
    </rPh>
    <rPh sb="13" eb="15">
      <t>ヒョウジ</t>
    </rPh>
    <phoneticPr fontId="9"/>
  </si>
  <si>
    <t>ログイン.管理者区分 = 0(一般ユーザー時)、変更不可とする</t>
    <rPh sb="15" eb="17">
      <t>イッパン</t>
    </rPh>
    <rPh sb="21" eb="22">
      <t>ジ</t>
    </rPh>
    <rPh sb="24" eb="28">
      <t>ヘンコウフカ</t>
    </rPh>
    <phoneticPr fontId="9"/>
  </si>
  <si>
    <t>担当者</t>
    <phoneticPr fontId="9"/>
  </si>
  <si>
    <t>ログイン担当者CDを表示する</t>
    <rPh sb="4" eb="7">
      <t>タントウシャ</t>
    </rPh>
    <rPh sb="10" eb="12">
      <t>ヒョウジ</t>
    </rPh>
    <phoneticPr fontId="9"/>
  </si>
  <si>
    <t>受注日</t>
    <phoneticPr fontId="9"/>
  </si>
  <si>
    <t>受注日Fromに当日 - ログインマスタ.初期表示をセット、Toに当日をセットする</t>
    <phoneticPr fontId="9"/>
  </si>
  <si>
    <t>表示処理</t>
    <rPh sb="2" eb="4">
      <t>ショリ</t>
    </rPh>
    <phoneticPr fontId="9"/>
  </si>
  <si>
    <t>抽出条件をもとに受注一覧に結果を表示する</t>
    <phoneticPr fontId="9"/>
  </si>
  <si>
    <t>検索入出力仕様.NO1</t>
  </si>
  <si>
    <t>フッターボタン表示・非表示切替</t>
    <rPh sb="7" eb="9">
      <t>ヒョウジ</t>
    </rPh>
    <rPh sb="10" eb="13">
      <t>ヒヒョウジ</t>
    </rPh>
    <rPh sb="13" eb="15">
      <t>キリカエ</t>
    </rPh>
    <phoneticPr fontId="9"/>
  </si>
  <si>
    <t>メニューから呼び出された場合(照会画面モード)</t>
    <rPh sb="6" eb="7">
      <t>ヨ</t>
    </rPh>
    <rPh sb="8" eb="9">
      <t>ダ</t>
    </rPh>
    <rPh sb="12" eb="14">
      <t>バアイ</t>
    </rPh>
    <rPh sb="15" eb="17">
      <t>ショウカイ</t>
    </rPh>
    <rPh sb="17" eb="19">
      <t>ガメン</t>
    </rPh>
    <phoneticPr fontId="9"/>
  </si>
  <si>
    <t>受注詳細ボタンを表示、選択ボタンを非表示とする</t>
    <rPh sb="17" eb="20">
      <t>ヒヒョウジ</t>
    </rPh>
    <phoneticPr fontId="9"/>
  </si>
  <si>
    <t>検索画面として呼び出された場合(検索画面モード)</t>
    <rPh sb="7" eb="8">
      <t>ヨ</t>
    </rPh>
    <rPh sb="9" eb="10">
      <t>ダ</t>
    </rPh>
    <rPh sb="13" eb="15">
      <t>バアイ</t>
    </rPh>
    <rPh sb="16" eb="18">
      <t>ケンサク</t>
    </rPh>
    <phoneticPr fontId="9"/>
  </si>
  <si>
    <t>受注詳細ボタンを非表示、選択ボタンを表示とする</t>
    <rPh sb="8" eb="9">
      <t>ヒ</t>
    </rPh>
    <rPh sb="18" eb="20">
      <t>ヒョウジ</t>
    </rPh>
    <phoneticPr fontId="9"/>
  </si>
  <si>
    <t>例)検索画面モード:Web受注入力から検索画面として呼び出され、選択行を呼出元に返す</t>
    <rPh sb="0" eb="1">
      <t>レイ</t>
    </rPh>
    <rPh sb="13" eb="15">
      <t>ジュチュウ</t>
    </rPh>
    <rPh sb="19" eb="23">
      <t>ケンサクガメン</t>
    </rPh>
    <rPh sb="26" eb="27">
      <t>ヨ</t>
    </rPh>
    <rPh sb="28" eb="29">
      <t>ダ</t>
    </rPh>
    <rPh sb="32" eb="35">
      <t>センタクギョウ</t>
    </rPh>
    <rPh sb="36" eb="39">
      <t>ヨビダシモト</t>
    </rPh>
    <rPh sb="40" eb="41">
      <t>カエ</t>
    </rPh>
    <phoneticPr fontId="9"/>
  </si>
  <si>
    <t>受注入力から受注一覧照会を開いたときに、受注区分・得意先CD・受注日（当日から6か月の範囲）で検索し結果を表示する</t>
    <phoneticPr fontId="9"/>
  </si>
  <si>
    <t>※受注区分・得意先CDの入力値がある場合、初期抽出条件とする</t>
    <rPh sb="12" eb="14">
      <t>ニュウリョク</t>
    </rPh>
    <rPh sb="14" eb="15">
      <t>チ</t>
    </rPh>
    <rPh sb="18" eb="20">
      <t>バアイ</t>
    </rPh>
    <rPh sb="21" eb="23">
      <t>ショキ</t>
    </rPh>
    <rPh sb="23" eb="25">
      <t>チュウシュツ</t>
    </rPh>
    <rPh sb="25" eb="27">
      <t>ジョウケン</t>
    </rPh>
    <phoneticPr fontId="9"/>
  </si>
  <si>
    <t>MDSOL 野村　2022/10/31 初期条件に追加します</t>
    <rPh sb="6" eb="8">
      <t>ノムラ</t>
    </rPh>
    <rPh sb="20" eb="24">
      <t>ショキジョウケン</t>
    </rPh>
    <rPh sb="25" eb="27">
      <t>ツイカ</t>
    </rPh>
    <phoneticPr fontId="9"/>
  </si>
  <si>
    <t>1.処理概要</t>
    <phoneticPr fontId="9"/>
  </si>
  <si>
    <t>ボタン処理</t>
    <rPh sb="3" eb="5">
      <t>ショリ</t>
    </rPh>
    <phoneticPr fontId="9"/>
  </si>
  <si>
    <t>クリアボタン押下</t>
    <rPh sb="6" eb="8">
      <t>オウカ</t>
    </rPh>
    <phoneticPr fontId="9"/>
  </si>
  <si>
    <t>：</t>
  </si>
  <si>
    <t>画面を初期化する(起動時の状態とする)</t>
    <rPh sb="0" eb="2">
      <t>ガメン</t>
    </rPh>
    <rPh sb="3" eb="6">
      <t>ショキカ</t>
    </rPh>
    <rPh sb="9" eb="12">
      <t>キドウジ</t>
    </rPh>
    <rPh sb="13" eb="15">
      <t>ジョウタイ</t>
    </rPh>
    <phoneticPr fontId="9"/>
  </si>
  <si>
    <t>表示ボタン押下</t>
    <rPh sb="0" eb="2">
      <t>ヒョウジ</t>
    </rPh>
    <rPh sb="5" eb="7">
      <t>オウカ</t>
    </rPh>
    <phoneticPr fontId="9"/>
  </si>
  <si>
    <t>チェック処理にてエラーとなった場合、後続処理をキャンセルする</t>
    <rPh sb="4" eb="6">
      <t>ショリ</t>
    </rPh>
    <rPh sb="15" eb="17">
      <t>バアイ</t>
    </rPh>
    <rPh sb="18" eb="22">
      <t>コウゾクショリ</t>
    </rPh>
    <phoneticPr fontId="9"/>
  </si>
  <si>
    <t>(チェック処理)</t>
    <phoneticPr fontId="9"/>
  </si>
  <si>
    <t>FROM～TOの整合性チェック</t>
    <rPh sb="8" eb="11">
      <t>セイゴウセイ</t>
    </rPh>
    <phoneticPr fontId="9"/>
  </si>
  <si>
    <t>エラーメッセージ：FROM≦TOの関係で指定してください。</t>
    <rPh sb="17" eb="19">
      <t>カンケイ</t>
    </rPh>
    <rPh sb="20" eb="22">
      <t>シテイ</t>
    </rPh>
    <phoneticPr fontId="9"/>
  </si>
  <si>
    <t>メッセージID.001</t>
    <phoneticPr fontId="9"/>
  </si>
  <si>
    <t>抽出条件をもとに受注計算書一覧に結果を表示する</t>
    <rPh sb="0" eb="4">
      <t>チュウシュツジョウケン</t>
    </rPh>
    <rPh sb="10" eb="13">
      <t>ケイサンショ</t>
    </rPh>
    <rPh sb="13" eb="15">
      <t>イチラン</t>
    </rPh>
    <rPh sb="16" eb="18">
      <t>ケッカ</t>
    </rPh>
    <rPh sb="19" eb="21">
      <t>ヒョウジ</t>
    </rPh>
    <phoneticPr fontId="9"/>
  </si>
  <si>
    <t>データ取得できなかった場合、下記メッセージを表示</t>
    <rPh sb="3" eb="5">
      <t>シュトク</t>
    </rPh>
    <rPh sb="11" eb="13">
      <t>バアイ</t>
    </rPh>
    <rPh sb="14" eb="16">
      <t>カキ</t>
    </rPh>
    <rPh sb="22" eb="24">
      <t>ヒョウジ</t>
    </rPh>
    <phoneticPr fontId="9"/>
  </si>
  <si>
    <t>エラーメッセージ：検索結果がありません。</t>
    <rPh sb="9" eb="13">
      <t>ケンサクケッカ</t>
    </rPh>
    <phoneticPr fontId="9"/>
  </si>
  <si>
    <t>メッセージID.002</t>
    <phoneticPr fontId="9"/>
  </si>
  <si>
    <t>受注伝票ボタン押下</t>
    <rPh sb="0" eb="2">
      <t>ジュチュウ</t>
    </rPh>
    <rPh sb="2" eb="4">
      <t>デンピョウ</t>
    </rPh>
    <rPh sb="7" eb="9">
      <t>オウカ</t>
    </rPh>
    <phoneticPr fontId="9"/>
  </si>
  <si>
    <t>発行☑が1行もチェックされていない場合、下記メッセージを表示</t>
    <rPh sb="0" eb="2">
      <t>ハッコウ</t>
    </rPh>
    <rPh sb="5" eb="6">
      <t>ギョウ</t>
    </rPh>
    <rPh sb="17" eb="19">
      <t>バアイ</t>
    </rPh>
    <phoneticPr fontId="9"/>
  </si>
  <si>
    <t>エラーメッセージ：発行対象がありません。</t>
    <phoneticPr fontId="9"/>
  </si>
  <si>
    <t>メッセージID.003</t>
    <phoneticPr fontId="9"/>
  </si>
  <si>
    <t>※帳票出力は、【MSBBRA050】_帳票設計書_アドオン(受注伝票)を参照</t>
    <rPh sb="1" eb="3">
      <t>チョウヒョウ</t>
    </rPh>
    <rPh sb="3" eb="5">
      <t>シュツリョク</t>
    </rPh>
    <rPh sb="36" eb="38">
      <t>サンショウ</t>
    </rPh>
    <phoneticPr fontId="9"/>
  </si>
  <si>
    <t>ファイル入出力仕様.NO1</t>
  </si>
  <si>
    <t>※1 CSV出力定義とファイル名は、【MSBBPACOM】_共通設計書_アドオン(共通ロジック)にて定義</t>
    <rPh sb="6" eb="10">
      <t>シュツリョクテイギ</t>
    </rPh>
    <rPh sb="15" eb="16">
      <t>メイ</t>
    </rPh>
    <phoneticPr fontId="9"/>
  </si>
  <si>
    <t>※2 画面に表示されたデータがCSVとして出力される</t>
    <rPh sb="3" eb="5">
      <t>ガメン</t>
    </rPh>
    <rPh sb="6" eb="8">
      <t>ヒョウジ</t>
    </rPh>
    <rPh sb="21" eb="23">
      <t>シュツリョク</t>
    </rPh>
    <phoneticPr fontId="9"/>
  </si>
  <si>
    <t>CP指摘 2022/09/28　木﨑　選択した受注の詳細画面へ遷移なら一覧にチェックボックス等の選択用項目が必要かと思います。(何を選択中か分からない。選択した行はハイライト表示ですか？)また[選択]→[詳細表示]ですと２ステップの操作になるので、各行の先頭に受注詳細ボタを設けた方が操作性は良いかと思います。</t>
  </si>
  <si>
    <t>受注詳細ボタン押下</t>
    <rPh sb="7" eb="9">
      <t>オウカ</t>
    </rPh>
    <phoneticPr fontId="9"/>
  </si>
  <si>
    <t>受注入力画面に遷移する(操作種別:参照で遷移する)</t>
    <phoneticPr fontId="9"/>
  </si>
  <si>
    <t>MDSOL 野村　2022/10/25 選択行となります。初期想定は、一覧にて選択ボタンを設けておりましたが、打合せによりフッターにボタンを集約することになりました。</t>
    <rPh sb="6" eb="8">
      <t>ノムラ</t>
    </rPh>
    <rPh sb="20" eb="22">
      <t>センタク</t>
    </rPh>
    <rPh sb="22" eb="23">
      <t>ギョウ</t>
    </rPh>
    <rPh sb="29" eb="31">
      <t>ショキ</t>
    </rPh>
    <rPh sb="31" eb="33">
      <t>ソウテイ</t>
    </rPh>
    <rPh sb="35" eb="37">
      <t>イチラン</t>
    </rPh>
    <rPh sb="39" eb="41">
      <t>センタク</t>
    </rPh>
    <rPh sb="45" eb="46">
      <t>モウ</t>
    </rPh>
    <rPh sb="55" eb="57">
      <t>ウチアワ</t>
    </rPh>
    <rPh sb="70" eb="72">
      <t>シュウヤク</t>
    </rPh>
    <phoneticPr fontId="9"/>
  </si>
  <si>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9"/>
  </si>
  <si>
    <t>エラーメッセージ：選択行がありません。</t>
    <rPh sb="9" eb="12">
      <t>センタクギョウ</t>
    </rPh>
    <phoneticPr fontId="9"/>
  </si>
  <si>
    <t>メッセージID.004</t>
    <phoneticPr fontId="9"/>
  </si>
  <si>
    <t>CP指摘 2022/09/28　木﨑　受注詳細ボタンと同様になります。選択ボタンは各行の先頭に設けた方が操作性は良くなると思います。</t>
  </si>
  <si>
    <t>　→  選択行のWEB受注NO/WEB受注明細NOをキーに受注データを参照する</t>
    <rPh sb="4" eb="7">
      <t>センタクギョウ</t>
    </rPh>
    <rPh sb="35" eb="37">
      <t>サンショウ</t>
    </rPh>
    <phoneticPr fontId="9"/>
  </si>
  <si>
    <t>画面遷移.S01.NO1</t>
    <phoneticPr fontId="9"/>
  </si>
  <si>
    <t>選択</t>
    <rPh sb="0" eb="2">
      <t>センタク</t>
    </rPh>
    <phoneticPr fontId="9"/>
  </si>
  <si>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9"/>
  </si>
  <si>
    <t>MDSOL 野村　2022/10/25 打合せにより、フッターにボタンを集めることになりました。</t>
    <rPh sb="6" eb="8">
      <t>ノムラ</t>
    </rPh>
    <rPh sb="20" eb="21">
      <t>ウ</t>
    </rPh>
    <rPh sb="21" eb="22">
      <t>ア</t>
    </rPh>
    <rPh sb="36" eb="37">
      <t>アツ</t>
    </rPh>
    <phoneticPr fontId="9"/>
  </si>
  <si>
    <t>※1 選択された受注明細の1レコードを呼出元に返す</t>
    <rPh sb="3" eb="5">
      <t>センタク</t>
    </rPh>
    <rPh sb="8" eb="12">
      <t>ジュチュウメイサイ</t>
    </rPh>
    <rPh sb="19" eb="22">
      <t>ヨビダシモト</t>
    </rPh>
    <rPh sb="23" eb="24">
      <t>カエ</t>
    </rPh>
    <phoneticPr fontId="9"/>
  </si>
  <si>
    <t>※2 複数選択は許可しない</t>
    <rPh sb="3" eb="5">
      <t>フクスウ</t>
    </rPh>
    <rPh sb="5" eb="7">
      <t>センタク</t>
    </rPh>
    <rPh sb="8" eb="10">
      <t>キョカ</t>
    </rPh>
    <phoneticPr fontId="9"/>
  </si>
  <si>
    <t>検索処理</t>
    <rPh sb="0" eb="2">
      <t>ケンサク</t>
    </rPh>
    <rPh sb="2" eb="4">
      <t>ショリ</t>
    </rPh>
    <phoneticPr fontId="9"/>
  </si>
  <si>
    <t>備考</t>
    <rPh sb="0" eb="2">
      <t>ビコウ</t>
    </rPh>
    <phoneticPr fontId="9"/>
  </si>
  <si>
    <t>表示ボタンクリック時処理</t>
    <rPh sb="0" eb="2">
      <t>ヒョウジ</t>
    </rPh>
    <rPh sb="9" eb="10">
      <t>ジ</t>
    </rPh>
    <rPh sb="10" eb="12">
      <t>ショリ</t>
    </rPh>
    <phoneticPr fontId="9"/>
  </si>
  <si>
    <t>処理分類</t>
    <rPh sb="0" eb="2">
      <t>ショリ</t>
    </rPh>
    <rPh sb="2" eb="4">
      <t>ブンルイ</t>
    </rPh>
    <phoneticPr fontId="9"/>
  </si>
  <si>
    <t>検索</t>
    <rPh sb="0" eb="2">
      <t>ケンサク</t>
    </rPh>
    <phoneticPr fontId="9"/>
  </si>
  <si>
    <t>ソート順</t>
    <rPh sb="3" eb="4">
      <t>ジュン</t>
    </rPh>
    <phoneticPr fontId="9"/>
  </si>
  <si>
    <t>転送先</t>
    <rPh sb="0" eb="2">
      <t>テンソウ</t>
    </rPh>
    <rPh sb="2" eb="3">
      <t>サキ</t>
    </rPh>
    <phoneticPr fontId="9"/>
  </si>
  <si>
    <t>転送元</t>
    <rPh sb="0" eb="2">
      <t>テンソウ</t>
    </rPh>
    <rPh sb="2" eb="3">
      <t>モト</t>
    </rPh>
    <phoneticPr fontId="9"/>
  </si>
  <si>
    <t>種</t>
    <rPh sb="0" eb="1">
      <t>タネ</t>
    </rPh>
    <phoneticPr fontId="9"/>
  </si>
  <si>
    <t>オブジェクト</t>
    <phoneticPr fontId="9"/>
  </si>
  <si>
    <t>画</t>
    <rPh sb="0" eb="1">
      <t>ガ</t>
    </rPh>
    <phoneticPr fontId="9"/>
  </si>
  <si>
    <t>行番</t>
    <rPh sb="0" eb="2">
      <t>ギョウバン</t>
    </rPh>
    <phoneticPr fontId="9"/>
  </si>
  <si>
    <t>画</t>
    <phoneticPr fontId="9"/>
  </si>
  <si>
    <t>Web受注明細</t>
  </si>
  <si>
    <t>得意先担当</t>
    <phoneticPr fontId="9"/>
  </si>
  <si>
    <t>受注時点の得意先担当</t>
    <rPh sb="0" eb="4">
      <t>ジュチュウジテン</t>
    </rPh>
    <rPh sb="5" eb="10">
      <t>トクイサキタントウ</t>
    </rPh>
    <phoneticPr fontId="9"/>
  </si>
  <si>
    <t>得意先</t>
    <phoneticPr fontId="9"/>
  </si>
  <si>
    <t>不適合手配NO1</t>
  </si>
  <si>
    <t>注文№</t>
  </si>
  <si>
    <t>製品区分（大）</t>
  </si>
  <si>
    <t>CP品名／構成</t>
  </si>
  <si>
    <t>受注区分=シート受注:構成名を表示、受注区分=シート受注以外:品名を表示</t>
    <phoneticPr fontId="9"/>
  </si>
  <si>
    <t>原紙コード(表)+印刷コード(表)+エンボスコード(表)</t>
    <phoneticPr fontId="9"/>
  </si>
  <si>
    <t>原紙コード(中)+印刷コード(中)+エンボスコード(中)</t>
    <phoneticPr fontId="9"/>
  </si>
  <si>
    <t>原紙コード(裏)+印刷コード(裏)+エンボスコード(裏)</t>
    <phoneticPr fontId="9"/>
  </si>
  <si>
    <t>(構成名)</t>
  </si>
  <si>
    <t>原紙名(構成名)は原紙CD+印刷CD+ｴﾝﾎﾞｽCDで品目マスタを参照した品名を表示</t>
    <phoneticPr fontId="9"/>
  </si>
  <si>
    <t>全判寸法（巾・流れ）</t>
  </si>
  <si>
    <t>ｽﾘｯﾀｰ寸法（巾・流れ）</t>
  </si>
  <si>
    <t>数量単位</t>
  </si>
  <si>
    <t>単価単位</t>
  </si>
  <si>
    <t>ロジック名称</t>
    <rPh sb="4" eb="6">
      <t>メイショウ</t>
    </rPh>
    <phoneticPr fontId="9"/>
  </si>
  <si>
    <t>更新</t>
    <rPh sb="0" eb="2">
      <t>コウシン</t>
    </rPh>
    <phoneticPr fontId="9"/>
  </si>
  <si>
    <t>ファイル出力</t>
    <phoneticPr fontId="9"/>
  </si>
  <si>
    <t>ファイル出力</t>
    <rPh sb="4" eb="6">
      <t>シュツリョク</t>
    </rPh>
    <phoneticPr fontId="9"/>
  </si>
  <si>
    <t>フ</t>
    <phoneticPr fontId="9"/>
  </si>
  <si>
    <t>受注一覧</t>
    <rPh sb="0" eb="2">
      <t>ジュチュウ</t>
    </rPh>
    <rPh sb="2" eb="4">
      <t>イチラン</t>
    </rPh>
    <phoneticPr fontId="9"/>
  </si>
  <si>
    <t>画</t>
  </si>
  <si>
    <t>指摘ＣＰ  2022/10/18 玉置　項目の確認  
項目長が問題ですがコードと構成名の
併記がベストと考えます。</t>
  </si>
  <si>
    <t>MDSOL 野村　2022/10/25 原紙コード+印刷コード+エンボスコード、原紙構成名を出力します</t>
    <rPh sb="6" eb="8">
      <t>ノムラ</t>
    </rPh>
    <rPh sb="40" eb="45">
      <t>ゲンシコウセイメイ</t>
    </rPh>
    <rPh sb="46" eb="48">
      <t>シュツリョク</t>
    </rPh>
    <phoneticPr fontId="9"/>
  </si>
  <si>
    <t>※レイアウト変更しております</t>
    <rPh sb="6" eb="8">
      <t>ヘンコウ</t>
    </rPh>
    <phoneticPr fontId="9"/>
  </si>
  <si>
    <t>画面遷移フロー図</t>
    <rPh sb="0" eb="4">
      <t>ガメンセンイ</t>
    </rPh>
    <rPh sb="7" eb="8">
      <t>ズ</t>
    </rPh>
    <phoneticPr fontId="9"/>
  </si>
  <si>
    <t>ＩＤ</t>
    <phoneticPr fontId="9"/>
  </si>
  <si>
    <t>S01</t>
    <phoneticPr fontId="9"/>
  </si>
  <si>
    <t>Web受注一覧照会から他画面の画面遷移</t>
    <rPh sb="11" eb="12">
      <t>ホカ</t>
    </rPh>
    <rPh sb="12" eb="14">
      <t>ガメン</t>
    </rPh>
    <rPh sb="15" eb="17">
      <t>ガメン</t>
    </rPh>
    <rPh sb="17" eb="19">
      <t>センイ</t>
    </rPh>
    <phoneticPr fontId="9"/>
  </si>
  <si>
    <t>NO2</t>
    <phoneticPr fontId="9"/>
  </si>
  <si>
    <t>Web製品マスタ一覧照会</t>
  </si>
  <si>
    <t>NO1</t>
    <phoneticPr fontId="9"/>
  </si>
  <si>
    <t>Web受注入力</t>
    <rPh sb="3" eb="5">
      <t>ジュチュウ</t>
    </rPh>
    <phoneticPr fontId="9"/>
  </si>
  <si>
    <t>1ページ目</t>
    <phoneticPr fontId="9"/>
  </si>
  <si>
    <t>受注詳細ボタン押下</t>
    <rPh sb="0" eb="2">
      <t>ジュチュウ</t>
    </rPh>
    <phoneticPr fontId="9"/>
  </si>
  <si>
    <t>NO3</t>
    <phoneticPr fontId="9"/>
  </si>
  <si>
    <t>Web取引先一覧照会</t>
    <rPh sb="3" eb="5">
      <t>トリヒキ</t>
    </rPh>
    <rPh sb="5" eb="6">
      <t>サキ</t>
    </rPh>
    <rPh sb="6" eb="8">
      <t>イチラン</t>
    </rPh>
    <rPh sb="8" eb="10">
      <t>ショウカイ</t>
    </rPh>
    <phoneticPr fontId="9"/>
  </si>
  <si>
    <t>NO4</t>
    <phoneticPr fontId="9"/>
  </si>
  <si>
    <t>Web汎用検索(共通検索)</t>
    <rPh sb="3" eb="5">
      <t>ハンヨウ</t>
    </rPh>
    <rPh sb="5" eb="7">
      <t>ケンサク</t>
    </rPh>
    <rPh sb="8" eb="10">
      <t>キョウツウ</t>
    </rPh>
    <rPh sb="10" eb="12">
      <t>ケンサク</t>
    </rPh>
    <phoneticPr fontId="9"/>
  </si>
  <si>
    <t>ID</t>
    <phoneticPr fontId="9"/>
  </si>
  <si>
    <t>処理名</t>
    <rPh sb="0" eb="2">
      <t>ショリ</t>
    </rPh>
    <rPh sb="2" eb="3">
      <t>メイ</t>
    </rPh>
    <phoneticPr fontId="9"/>
  </si>
  <si>
    <t>Web受注一覧照会から他画面の画面遷移</t>
  </si>
  <si>
    <t>NO</t>
    <phoneticPr fontId="9"/>
  </si>
  <si>
    <t>遷移元ＩＤ</t>
    <phoneticPr fontId="9"/>
  </si>
  <si>
    <t>遷移元画面名</t>
    <rPh sb="3" eb="5">
      <t>ガメン</t>
    </rPh>
    <rPh sb="5" eb="6">
      <t>メイ</t>
    </rPh>
    <phoneticPr fontId="9"/>
  </si>
  <si>
    <t>遷移先ＩＤ</t>
    <rPh sb="2" eb="3">
      <t>サキ</t>
    </rPh>
    <phoneticPr fontId="9"/>
  </si>
  <si>
    <t>遷移先画面名</t>
    <rPh sb="3" eb="5">
      <t>ガメン</t>
    </rPh>
    <rPh sb="5" eb="6">
      <t>メイ</t>
    </rPh>
    <phoneticPr fontId="9"/>
  </si>
  <si>
    <t>目的</t>
    <rPh sb="0" eb="2">
      <t>モクテキ</t>
    </rPh>
    <phoneticPr fontId="9"/>
  </si>
  <si>
    <t>引継項目</t>
    <phoneticPr fontId="9"/>
  </si>
  <si>
    <t>遷移後のアクション(遷移先)</t>
    <rPh sb="12" eb="13">
      <t>サキ</t>
    </rPh>
    <phoneticPr fontId="9"/>
  </si>
  <si>
    <t>戻り値</t>
    <rPh sb="0" eb="1">
      <t>モド</t>
    </rPh>
    <rPh sb="2" eb="3">
      <t>チ</t>
    </rPh>
    <phoneticPr fontId="9"/>
  </si>
  <si>
    <t>戻り値取得後のアクション(遷移元)</t>
    <rPh sb="0" eb="1">
      <t>モド</t>
    </rPh>
    <rPh sb="2" eb="3">
      <t>チ</t>
    </rPh>
    <rPh sb="3" eb="6">
      <t>シュトクゴ</t>
    </rPh>
    <rPh sb="13" eb="16">
      <t>センイモト</t>
    </rPh>
    <phoneticPr fontId="9"/>
  </si>
  <si>
    <t>MSBBPA070</t>
    <phoneticPr fontId="9"/>
  </si>
  <si>
    <t>Web受注入力</t>
    <phoneticPr fontId="9"/>
  </si>
  <si>
    <t>参照</t>
    <rPh sb="0" eb="2">
      <t>サンショウ</t>
    </rPh>
    <phoneticPr fontId="9"/>
  </si>
  <si>
    <t>操作種別:参照、データ参照</t>
    <rPh sb="0" eb="4">
      <t>ソウサシュベツ</t>
    </rPh>
    <rPh sb="5" eb="7">
      <t>サンショウ</t>
    </rPh>
    <rPh sb="11" eb="13">
      <t>サンショウ</t>
    </rPh>
    <phoneticPr fontId="9"/>
  </si>
  <si>
    <t>MSBBPA060</t>
    <phoneticPr fontId="9"/>
  </si>
  <si>
    <t>Web製品マスタ一覧照会</t>
    <rPh sb="3" eb="5">
      <t>セイヒン</t>
    </rPh>
    <phoneticPr fontId="9"/>
  </si>
  <si>
    <t>検索結果取得</t>
    <rPh sb="0" eb="2">
      <t>ケンサク</t>
    </rPh>
    <rPh sb="2" eb="4">
      <t>ケッカ</t>
    </rPh>
    <rPh sb="4" eb="6">
      <t>シュトク</t>
    </rPh>
    <phoneticPr fontId="9"/>
  </si>
  <si>
    <t>検索</t>
    <phoneticPr fontId="9"/>
  </si>
  <si>
    <t>製品マスタ選択データ(1行)</t>
    <rPh sb="0" eb="2">
      <t>セイヒン</t>
    </rPh>
    <rPh sb="5" eb="7">
      <t>センタク</t>
    </rPh>
    <phoneticPr fontId="9"/>
  </si>
  <si>
    <t>対象データに値セット</t>
    <rPh sb="0" eb="2">
      <t>タイショウ</t>
    </rPh>
    <rPh sb="6" eb="7">
      <t>アタイ</t>
    </rPh>
    <phoneticPr fontId="9"/>
  </si>
  <si>
    <t>セット製品CD、セット品名に値セット</t>
    <rPh sb="3" eb="5">
      <t>セイヒン</t>
    </rPh>
    <rPh sb="11" eb="13">
      <t>ヒンメイ</t>
    </rPh>
    <rPh sb="14" eb="15">
      <t>アタイ</t>
    </rPh>
    <phoneticPr fontId="9"/>
  </si>
  <si>
    <t>2'</t>
    <phoneticPr fontId="9"/>
  </si>
  <si>
    <t>製品CD、製品名(CP品名1+2)に値セット</t>
    <rPh sb="0" eb="2">
      <t>セイヒン</t>
    </rPh>
    <rPh sb="5" eb="7">
      <t>セイヒン</t>
    </rPh>
    <rPh sb="7" eb="8">
      <t>メイ</t>
    </rPh>
    <rPh sb="11" eb="13">
      <t>ヒンメイ</t>
    </rPh>
    <rPh sb="18" eb="19">
      <t>アタイ</t>
    </rPh>
    <phoneticPr fontId="9"/>
  </si>
  <si>
    <t>MSBBPA120</t>
    <phoneticPr fontId="9"/>
  </si>
  <si>
    <t>Web取引先一覧照会</t>
    <phoneticPr fontId="9"/>
  </si>
  <si>
    <t>得意先ＦＬＧ=1</t>
    <phoneticPr fontId="9"/>
  </si>
  <si>
    <t>取引先選択データ(1行)</t>
    <rPh sb="0" eb="3">
      <t>トリヒキサキ</t>
    </rPh>
    <phoneticPr fontId="9"/>
  </si>
  <si>
    <t>得意先CD、得意先名に値セット</t>
    <rPh sb="0" eb="3">
      <t>トクイサキ</t>
    </rPh>
    <rPh sb="6" eb="10">
      <t>トクイサキメイ</t>
    </rPh>
    <rPh sb="11" eb="12">
      <t>アタイ</t>
    </rPh>
    <phoneticPr fontId="9"/>
  </si>
  <si>
    <t>MSBBPA900</t>
  </si>
  <si>
    <t>Web汎用検索(共通検索)</t>
    <phoneticPr fontId="9"/>
  </si>
  <si>
    <t>各種検索画面の選択データ(1行)</t>
    <rPh sb="0" eb="6">
      <t>カクシュケンサクガメン</t>
    </rPh>
    <phoneticPr fontId="11"/>
  </si>
  <si>
    <t>対象データに値セット</t>
    <rPh sb="0" eb="2">
      <t>タイショウ</t>
    </rPh>
    <rPh sb="6" eb="7">
      <t>アタイ</t>
    </rPh>
    <phoneticPr fontId="11"/>
  </si>
  <si>
    <t>CD、名称に値セット</t>
  </si>
  <si>
    <t>↓アドオン画面のため、基本全て[新]</t>
    <rPh sb="5" eb="7">
      <t>ガメン</t>
    </rPh>
    <rPh sb="11" eb="13">
      <t>キホン</t>
    </rPh>
    <rPh sb="13" eb="14">
      <t>スベ</t>
    </rPh>
    <rPh sb="16" eb="17">
      <t>シン</t>
    </rPh>
    <phoneticPr fontId="9"/>
  </si>
  <si>
    <t>新/変</t>
    <rPh sb="0" eb="1">
      <t>シン</t>
    </rPh>
    <rPh sb="2" eb="3">
      <t>ヘン</t>
    </rPh>
    <phoneticPr fontId="9"/>
  </si>
  <si>
    <t>種別</t>
    <rPh sb="0" eb="2">
      <t>シュベツ</t>
    </rPh>
    <phoneticPr fontId="9"/>
  </si>
  <si>
    <t>メッセージ内容</t>
    <rPh sb="5" eb="7">
      <t>ナイヨウ</t>
    </rPh>
    <phoneticPr fontId="9"/>
  </si>
  <si>
    <t>備考（パラメータ等）</t>
    <rPh sb="0" eb="2">
      <t>ビコウ</t>
    </rPh>
    <rPh sb="8" eb="9">
      <t>トウ</t>
    </rPh>
    <phoneticPr fontId="9"/>
  </si>
  <si>
    <t>メッセージID</t>
    <phoneticPr fontId="9"/>
  </si>
  <si>
    <t>新</t>
    <rPh sb="0" eb="1">
      <t>シン</t>
    </rPh>
    <phoneticPr fontId="9"/>
  </si>
  <si>
    <t>W</t>
    <phoneticPr fontId="9"/>
  </si>
  <si>
    <t>「FROM≦TOの関係で指定してください。」</t>
    <phoneticPr fontId="9"/>
  </si>
  <si>
    <t>受注日、客先納期、手配NO、WEB受注NO</t>
  </si>
  <si>
    <t>数量、金額</t>
    <rPh sb="0" eb="2">
      <t>スウリョウ</t>
    </rPh>
    <rPh sb="3" eb="5">
      <t>キンガク</t>
    </rPh>
    <phoneticPr fontId="9"/>
  </si>
  <si>
    <t>「検索結果がありません。」</t>
  </si>
  <si>
    <t>「発行対象がありません。」</t>
  </si>
  <si>
    <t>「選択行がありません。」</t>
    <phoneticPr fontId="9"/>
  </si>
  <si>
    <t>補足説明</t>
    <rPh sb="0" eb="2">
      <t>ホソク</t>
    </rPh>
    <rPh sb="2" eb="4">
      <t>セツメイ</t>
    </rPh>
    <phoneticPr fontId="9"/>
  </si>
  <si>
    <t>MDSOL 野村　2022/11/07 web受注・明細№は、DB上の一意となるキーになります。システム管理者用の項目として、条件+一覧に追加しておりました。不要であれば削除します。</t>
    <rPh sb="6" eb="8">
      <t>ノムラ</t>
    </rPh>
    <rPh sb="26" eb="28">
      <t>メイサイ</t>
    </rPh>
    <rPh sb="33" eb="34">
      <t>ジョウ</t>
    </rPh>
    <rPh sb="35" eb="37">
      <t>イチイ</t>
    </rPh>
    <rPh sb="52" eb="55">
      <t>カンリシャ</t>
    </rPh>
    <rPh sb="55" eb="56">
      <t>ヨウ</t>
    </rPh>
    <rPh sb="57" eb="59">
      <t>コウモク</t>
    </rPh>
    <rPh sb="63" eb="65">
      <t>ジョウケン</t>
    </rPh>
    <rPh sb="66" eb="68">
      <t>イチラン</t>
    </rPh>
    <rPh sb="69" eb="71">
      <t>ツイカ</t>
    </rPh>
    <rPh sb="79" eb="81">
      <t>フヨウ</t>
    </rPh>
    <rPh sb="85" eb="87">
      <t>サクジョ</t>
    </rPh>
    <phoneticPr fontId="9"/>
  </si>
  <si>
    <t>※受注後、明細をコピーして一部を預り売上にした場合に同じ手配NOとなり、左記一覧では判断付かないため、預り売上の項目を追加しております。</t>
    <rPh sb="36" eb="38">
      <t>サキ</t>
    </rPh>
    <rPh sb="38" eb="40">
      <t>イチラン</t>
    </rPh>
    <rPh sb="42" eb="44">
      <t>ハンダン</t>
    </rPh>
    <rPh sb="44" eb="45">
      <t>ツ</t>
    </rPh>
    <rPh sb="51" eb="55">
      <t>アズカリウリアゲ</t>
    </rPh>
    <rPh sb="56" eb="58">
      <t>コウモク</t>
    </rPh>
    <rPh sb="59" eb="61">
      <t>ツイカ</t>
    </rPh>
    <phoneticPr fontId="9"/>
  </si>
  <si>
    <t>預</t>
    <rPh sb="0" eb="1">
      <t>アズカ</t>
    </rPh>
    <phoneticPr fontId="9"/>
  </si>
  <si>
    <t>売</t>
    <rPh sb="0" eb="1">
      <t>ウリ</t>
    </rPh>
    <phoneticPr fontId="9"/>
  </si>
  <si>
    <t>預り売上</t>
  </si>
  <si>
    <t>チ</t>
  </si>
  <si>
    <t>預り売上</t>
    <rPh sb="0" eb="4">
      <t>アズカリウリアゲ</t>
    </rPh>
    <phoneticPr fontId="9"/>
  </si>
  <si>
    <t>預り売上</t>
    <phoneticPr fontId="9"/>
  </si>
  <si>
    <t>預り売上（在庫がクラウンにある状態で売上する）を表示</t>
    <rPh sb="0" eb="1">
      <t>アズ</t>
    </rPh>
    <rPh sb="2" eb="4">
      <t>ウリアゲ</t>
    </rPh>
    <rPh sb="5" eb="7">
      <t>ザイコ</t>
    </rPh>
    <rPh sb="15" eb="17">
      <t>ジョウタイ</t>
    </rPh>
    <rPh sb="18" eb="20">
      <t>ウリアゲ</t>
    </rPh>
    <phoneticPr fontId="9"/>
  </si>
  <si>
    <t>伝票備考</t>
    <phoneticPr fontId="9"/>
  </si>
  <si>
    <t>納入備考</t>
    <phoneticPr fontId="9"/>
  </si>
  <si>
    <t>伝票備考を表示</t>
    <phoneticPr fontId="9"/>
  </si>
  <si>
    <t>納入備考を表示</t>
    <phoneticPr fontId="9"/>
  </si>
  <si>
    <t>2022/11/07 落合　問題なし</t>
    <rPh sb="11" eb="13">
      <t>オチアイ</t>
    </rPh>
    <rPh sb="14" eb="16">
      <t>モンダイ</t>
    </rPh>
    <phoneticPr fontId="9"/>
  </si>
  <si>
    <t>1.1</t>
  </si>
  <si>
    <t>処理概要参照</t>
  </si>
  <si>
    <t>2.1</t>
  </si>
  <si>
    <t>3.1</t>
  </si>
  <si>
    <t>コンボボックスの初期化</t>
  </si>
  <si>
    <t>※</t>
  </si>
  <si>
    <t>【MSBBPACOM】_共通設計書_アドオン(Web共通ロジック)の「処理詳細(共通検索)」シート」を参照する。</t>
  </si>
  <si>
    <t>拠点</t>
    <phoneticPr fontId="9"/>
  </si>
  <si>
    <t>拠点コンボボックスの初期化</t>
    <phoneticPr fontId="9"/>
  </si>
  <si>
    <t>拠点検索_SQLリソースの検索仕様</t>
    <phoneticPr fontId="9"/>
  </si>
  <si>
    <t>売上担当者コンボボックスの初期化</t>
    <phoneticPr fontId="9"/>
  </si>
  <si>
    <t>売上担当者検索_SQLリソースの検索仕様</t>
    <phoneticPr fontId="9"/>
  </si>
  <si>
    <t>受注区分コンボボックスの初期化</t>
    <phoneticPr fontId="9"/>
  </si>
  <si>
    <t>受注区分検索_SQLリソースの検索仕様</t>
    <phoneticPr fontId="9"/>
  </si>
  <si>
    <t>製品区分_大コンボボックスの初期化</t>
    <phoneticPr fontId="9"/>
  </si>
  <si>
    <t>製品区分_大検索_SQLリソースの検索仕様</t>
    <phoneticPr fontId="9"/>
  </si>
  <si>
    <t>製品区分_中コンボボックスの初期化</t>
    <phoneticPr fontId="9"/>
  </si>
  <si>
    <t>製品区分_中検索_SQLリソースの検索仕様</t>
    <phoneticPr fontId="9"/>
  </si>
  <si>
    <t>製品区分_小コンボボックスの初期化</t>
    <phoneticPr fontId="9"/>
  </si>
  <si>
    <t>製品区分_小検索_SQLリソースの検索仕様</t>
    <phoneticPr fontId="9"/>
  </si>
  <si>
    <t>シート段コンボボックスの初期化</t>
    <phoneticPr fontId="9"/>
  </si>
  <si>
    <t>シート段検索_SQLリソースの検索仕様</t>
    <phoneticPr fontId="9"/>
  </si>
  <si>
    <t>売価区分</t>
    <phoneticPr fontId="9"/>
  </si>
  <si>
    <t>売価区分コンボボックスの初期化</t>
    <phoneticPr fontId="9"/>
  </si>
  <si>
    <t>売価区分検索_SQLリソースの検索仕様</t>
    <phoneticPr fontId="9"/>
  </si>
  <si>
    <t>製品形状</t>
    <phoneticPr fontId="9"/>
  </si>
  <si>
    <t>製品形状コンボボックスの初期化</t>
    <phoneticPr fontId="9"/>
  </si>
  <si>
    <t>製品形状検索_SQLリソースの検索仕様</t>
    <phoneticPr fontId="9"/>
  </si>
  <si>
    <t>物流区分</t>
    <phoneticPr fontId="9"/>
  </si>
  <si>
    <t>物流区分コンボボックスの初期化</t>
    <phoneticPr fontId="9"/>
  </si>
  <si>
    <t>物流区分検索_SQLリソースの検索仕様</t>
    <phoneticPr fontId="9"/>
  </si>
  <si>
    <t>運送会社コンボボックスの初期化</t>
    <phoneticPr fontId="9"/>
  </si>
  <si>
    <t>運送会社検索_SQLリソースの検索仕様</t>
    <phoneticPr fontId="9"/>
  </si>
  <si>
    <t>3.2</t>
    <phoneticPr fontId="9"/>
  </si>
  <si>
    <t>得意先の検索ボタン処理</t>
    <phoneticPr fontId="9"/>
  </si>
  <si>
    <t>得意先検索のポップアップ画面へを遷移して、抽出条件をもとに結果を表示したところ、結果を表示したところ、</t>
    <phoneticPr fontId="9"/>
  </si>
  <si>
    <t>選択結果(1行)を遷移元画面（本画面の得意先NO、得意先名を設定）に返す</t>
    <phoneticPr fontId="9"/>
  </si>
  <si>
    <t>得意先検索_SQLリソースの検索仕様</t>
    <phoneticPr fontId="9"/>
  </si>
  <si>
    <t>3.3</t>
    <phoneticPr fontId="9"/>
  </si>
  <si>
    <t>3.4</t>
    <phoneticPr fontId="9"/>
  </si>
  <si>
    <t>製品CD</t>
    <phoneticPr fontId="9"/>
  </si>
  <si>
    <t>製品CDの検索ボタン処理</t>
    <phoneticPr fontId="9"/>
  </si>
  <si>
    <t>製品CD検索のポップアップ画面へを遷移して、抽出条件をもとに結果を表示したところ、結果を表示したところ、</t>
    <phoneticPr fontId="9"/>
  </si>
  <si>
    <t>選択結果(1行)を遷移元画面（本画面の製品CD、製品名を設定）に返す</t>
    <phoneticPr fontId="9"/>
  </si>
  <si>
    <t>製品CD検索_SQLリソースの検索仕様</t>
    <phoneticPr fontId="9"/>
  </si>
  <si>
    <t>セット製品CDの検索ボタン処理</t>
    <phoneticPr fontId="9"/>
  </si>
  <si>
    <t>セット製品CD検索のポップアップ画面へを遷移して、抽出条件をもとに結果を表示したところ、結果を表示したところ、</t>
    <phoneticPr fontId="9"/>
  </si>
  <si>
    <t>選択結果(1行)を遷移元画面（本画面のセット製品CD、セット製品名を設定）に返す</t>
    <phoneticPr fontId="9"/>
  </si>
  <si>
    <t>セット製品CD検索_SQLリソースの検索仕様</t>
    <phoneticPr fontId="9"/>
  </si>
  <si>
    <t>原紙コード(表)の検索ボタン処理</t>
    <phoneticPr fontId="9"/>
  </si>
  <si>
    <t>原紙コード(表)検索のポップアップ画面へを遷移して、抽出条件をもとに結果を表示したところ、結果を表示したところ、</t>
    <phoneticPr fontId="9"/>
  </si>
  <si>
    <t>選択結果(1行)を遷移元画面（本画面の原紙コード(表)、原紙名(表)を設定）に返す</t>
    <phoneticPr fontId="9"/>
  </si>
  <si>
    <t>原紙コード(表)検索_SQLリソースの検索仕様</t>
    <phoneticPr fontId="9"/>
  </si>
  <si>
    <t>3.5</t>
    <phoneticPr fontId="9"/>
  </si>
  <si>
    <t>原紙コード(中)の検索ボタン処理</t>
    <phoneticPr fontId="9"/>
  </si>
  <si>
    <t>原紙コード(中)検索のポップアップ画面へを遷移して、抽出条件をもとに結果を表示したところ、結果を表示したところ、</t>
    <phoneticPr fontId="9"/>
  </si>
  <si>
    <t>選択結果(1行)を遷移元画面（本画面の原紙コード(中)、原紙名(中)を設定）に返す</t>
    <phoneticPr fontId="9"/>
  </si>
  <si>
    <t>原紙コード(中)検索_SQLリソースの検索仕様</t>
    <phoneticPr fontId="9"/>
  </si>
  <si>
    <t>3.6</t>
    <phoneticPr fontId="9"/>
  </si>
  <si>
    <t>原紙コード(裏)の検索ボタン処理</t>
    <phoneticPr fontId="9"/>
  </si>
  <si>
    <t>原紙コード(裏)検索のポップアップ画面へを遷移して、抽出条件をもとに結果を表示したところ、結果を表示したところ、</t>
    <phoneticPr fontId="9"/>
  </si>
  <si>
    <t>選択結果(1行)を遷移元画面（本画面の原紙コード(裏)、原紙名(裏)を設定）に返す</t>
    <phoneticPr fontId="9"/>
  </si>
  <si>
    <t>原紙コード(裏)検索_SQLリソースの検索仕様</t>
    <phoneticPr fontId="9"/>
  </si>
  <si>
    <t>3.7</t>
    <phoneticPr fontId="9"/>
  </si>
  <si>
    <t>印刷コード(表)の検索ボタン処理</t>
    <phoneticPr fontId="9"/>
  </si>
  <si>
    <t>印刷コード(表)検索のポップアップ画面へを遷移して、抽出条件をもとに結果を表示したところ、結果を表示したところ、</t>
    <phoneticPr fontId="9"/>
  </si>
  <si>
    <t>選択結果(1行)を遷移元画面（本画面の印刷コード(表)、印刷名(表)を設定）に返す</t>
    <phoneticPr fontId="9"/>
  </si>
  <si>
    <t>印刷コード(表)検索_SQLリソースの検索仕様</t>
    <phoneticPr fontId="9"/>
  </si>
  <si>
    <t>3.8</t>
    <phoneticPr fontId="9"/>
  </si>
  <si>
    <t>印刷コード(中)の検索ボタン処理</t>
    <phoneticPr fontId="9"/>
  </si>
  <si>
    <t>印刷コード(中)検索のポップアップ画面へを遷移して、抽出条件をもとに結果を表示したところ、結果を表示したところ、</t>
    <phoneticPr fontId="9"/>
  </si>
  <si>
    <t>選択結果(1行)を遷移元画面（本画面の印刷コード(中)、印刷名(中)を設定）に返す</t>
    <phoneticPr fontId="9"/>
  </si>
  <si>
    <t>印刷コード(中)検索_SQLリソースの検索仕様</t>
    <phoneticPr fontId="9"/>
  </si>
  <si>
    <t>3.9</t>
    <phoneticPr fontId="9"/>
  </si>
  <si>
    <t>印刷コード(裏)の検索ボタン処理</t>
    <phoneticPr fontId="9"/>
  </si>
  <si>
    <t>印刷コード(裏)検索のポップアップ画面へを遷移して、抽出条件をもとに結果を表示したところ、結果を表示したところ、</t>
    <phoneticPr fontId="9"/>
  </si>
  <si>
    <t>選択結果(1行)を遷移元画面（本画面の印刷コード(裏)、印刷名(裏)を設定）に返す</t>
    <phoneticPr fontId="9"/>
  </si>
  <si>
    <t>印刷コード(裏)検索_SQLリソースの検索仕様</t>
    <phoneticPr fontId="9"/>
  </si>
  <si>
    <t>3.10</t>
    <phoneticPr fontId="9"/>
  </si>
  <si>
    <t>エンボスコード(表)の検索ボタン処理</t>
    <phoneticPr fontId="9"/>
  </si>
  <si>
    <t>エンボスコード(表)検索のポップアップ画面へを遷移して、抽出条件をもとに結果を表示したところ、結果を表示したところ、</t>
    <phoneticPr fontId="9"/>
  </si>
  <si>
    <t>選択結果(1行)を遷移元画面（本画面のエンボスコード(表)、エンボス名(表)を設定）に返す</t>
    <phoneticPr fontId="9"/>
  </si>
  <si>
    <t>エンボスコード(表)検索_SQLリソースの検索仕様</t>
    <phoneticPr fontId="9"/>
  </si>
  <si>
    <t>3.11</t>
    <phoneticPr fontId="9"/>
  </si>
  <si>
    <t>エンボスコード(中)の検索ボタン処理</t>
    <phoneticPr fontId="9"/>
  </si>
  <si>
    <t>エンボスコード(中)検索のポップアップ画面へを遷移して、抽出条件をもとに結果を表示したところ、結果を表示したところ、</t>
    <phoneticPr fontId="9"/>
  </si>
  <si>
    <t>選択結果(1行)を遷移元画面（本画面のエンボスコード(中)、エンボス名(中)を設定）に返す</t>
    <phoneticPr fontId="9"/>
  </si>
  <si>
    <t>エンボスコード(中)検索_SQLリソースの検索仕様</t>
    <phoneticPr fontId="9"/>
  </si>
  <si>
    <t>3.12</t>
    <phoneticPr fontId="9"/>
  </si>
  <si>
    <t>エンボスコード(裏)の検索ボタン処理</t>
    <phoneticPr fontId="9"/>
  </si>
  <si>
    <t>エンボスコード(裏)検索のポップアップ画面へを遷移して、抽出条件をもとに結果を表示したところ、結果を表示したところ、</t>
    <phoneticPr fontId="9"/>
  </si>
  <si>
    <t>選択結果(1行)を遷移元画面（本画面のエンボスコード(裏)、エンボス名(裏)を設定）に返す</t>
    <phoneticPr fontId="9"/>
  </si>
  <si>
    <t>エンボスコード(裏)検索_SQLリソースの検索仕様</t>
    <phoneticPr fontId="9"/>
  </si>
  <si>
    <t>3.13</t>
    <phoneticPr fontId="9"/>
  </si>
  <si>
    <t>メーカコード(表)の検索ボタン処理</t>
    <phoneticPr fontId="9"/>
  </si>
  <si>
    <t>メーカコード(表)検索のポップアップ画面へを遷移して、抽出条件をもとに結果を表示したところ、結果を表示したところ、</t>
    <phoneticPr fontId="9"/>
  </si>
  <si>
    <t>選択結果(1行)を遷移元画面（本画面のメーカコード(表)、メーカ名(表)を設定）に返す</t>
    <phoneticPr fontId="9"/>
  </si>
  <si>
    <t>メーカコード(表)検索_SQLリソースの検索仕様</t>
    <phoneticPr fontId="9"/>
  </si>
  <si>
    <t>3.14</t>
    <phoneticPr fontId="9"/>
  </si>
  <si>
    <t>メーカコード(中)の検索ボタン処理</t>
    <phoneticPr fontId="9"/>
  </si>
  <si>
    <t>メーカコード(中)検索のポップアップ画面へを遷移して、抽出条件をもとに結果を表示したところ、結果を表示したところ、</t>
    <phoneticPr fontId="9"/>
  </si>
  <si>
    <t>選択結果(1行)を遷移元画面（本画面のメーカコード(中)、メーカ名(中)を設定）に返す</t>
    <phoneticPr fontId="9"/>
  </si>
  <si>
    <t>メーカコード(中)検索_SQLリソースの検索仕様</t>
    <phoneticPr fontId="9"/>
  </si>
  <si>
    <t>3.15</t>
    <phoneticPr fontId="9"/>
  </si>
  <si>
    <t>メーカコード(裏)の検索ボタン処理</t>
    <phoneticPr fontId="9"/>
  </si>
  <si>
    <t>メーカコード(裏)検索のポップアップ画面へを遷移して、抽出条件をもとに結果を表示したところ、結果を表示したところ、</t>
    <phoneticPr fontId="9"/>
  </si>
  <si>
    <t>選択結果(1行)を遷移元画面（本画面のメーカコード(裏)、メーカ名(裏)を設定）に返す</t>
    <phoneticPr fontId="9"/>
  </si>
  <si>
    <t>メーカコード(裏)検索_SQLリソースの検索仕様</t>
    <phoneticPr fontId="9"/>
  </si>
  <si>
    <t>3.16</t>
    <phoneticPr fontId="9"/>
  </si>
  <si>
    <t>表示ボタンの検索処理</t>
    <phoneticPr fontId="9"/>
  </si>
  <si>
    <t>FROM～TOの整合性チェック</t>
  </si>
  <si>
    <t>チェックエラーの場合　   メッセージを表示する</t>
  </si>
  <si>
    <t>検索結果が0件の場合、メッセージを表示する</t>
  </si>
  <si>
    <t>3.17</t>
    <phoneticPr fontId="9"/>
  </si>
  <si>
    <t>3.17.1</t>
    <phoneticPr fontId="9"/>
  </si>
  <si>
    <t>3.17.2</t>
    <phoneticPr fontId="9"/>
  </si>
  <si>
    <t>2.2</t>
    <phoneticPr fontId="9"/>
  </si>
  <si>
    <t>[抽出条件 - 詳細検索].詳細検索(+/-)押す</t>
    <rPh sb="23" eb="24">
      <t>オ</t>
    </rPh>
    <phoneticPr fontId="9"/>
  </si>
  <si>
    <t>2.2.1</t>
    <phoneticPr fontId="9"/>
  </si>
  <si>
    <t>初期は閉じた状態(折り畳み)とする</t>
    <phoneticPr fontId="9"/>
  </si>
  <si>
    <t>2.2.2</t>
    <phoneticPr fontId="9"/>
  </si>
  <si>
    <t>詳細検索領域を+時…開く、-時…閉じる</t>
    <phoneticPr fontId="9"/>
  </si>
  <si>
    <t>受注一覧</t>
    <phoneticPr fontId="9"/>
  </si>
  <si>
    <t>検索結果が0件の以外の場合、受注一覧に結果を表示する。</t>
    <phoneticPr fontId="9"/>
  </si>
  <si>
    <t>【対象テーブル】</t>
  </si>
  <si>
    <t>・</t>
  </si>
  <si>
    <t>M01</t>
    <phoneticPr fontId="9"/>
  </si>
  <si>
    <t>【MC担当者マスタ】</t>
    <rPh sb="3" eb="6">
      <t>タントウシャ</t>
    </rPh>
    <phoneticPr fontId="9"/>
  </si>
  <si>
    <t>M02</t>
  </si>
  <si>
    <t>M03</t>
  </si>
  <si>
    <t>【結合条件】</t>
  </si>
  <si>
    <t>受注一覧照会検索_SQLリソースの検索仕様</t>
    <phoneticPr fontId="9"/>
  </si>
  <si>
    <t>担当</t>
    <phoneticPr fontId="9"/>
  </si>
  <si>
    <t>Web受注明細</t>
    <phoneticPr fontId="9"/>
  </si>
  <si>
    <t>(手配NO2)</t>
    <phoneticPr fontId="9"/>
  </si>
  <si>
    <t>MC品目マスタ</t>
  </si>
  <si>
    <t>品目名</t>
    <phoneticPr fontId="9"/>
  </si>
  <si>
    <t>製品CDから品目名取る。</t>
  </si>
  <si>
    <t>数量単位</t>
    <phoneticPr fontId="9"/>
  </si>
  <si>
    <r>
      <rPr>
        <strike/>
        <sz val="9"/>
        <color rgb="FFFF0000"/>
        <rFont val="Meiryo UI"/>
        <family val="3"/>
        <charset val="128"/>
      </rPr>
      <t>受注</t>
    </r>
    <r>
      <rPr>
        <sz val="9"/>
        <rFont val="Meiryo UI"/>
        <family val="3"/>
        <charset val="128"/>
      </rPr>
      <t>金額</t>
    </r>
    <phoneticPr fontId="9"/>
  </si>
  <si>
    <t>【Web受注明細】</t>
    <phoneticPr fontId="9"/>
  </si>
  <si>
    <t>【Web受注】</t>
    <phoneticPr fontId="9"/>
  </si>
  <si>
    <t>【MC得意先担当マスタ】</t>
    <phoneticPr fontId="9"/>
  </si>
  <si>
    <t>AND Web受注.得意先コード = MC得意先担当マスタ.得意先コード(+)</t>
    <phoneticPr fontId="9"/>
  </si>
  <si>
    <t>【Web取引先マスタ】</t>
    <rPh sb="4" eb="5">
      <t>ト</t>
    </rPh>
    <rPh sb="6" eb="7">
      <t>サキ</t>
    </rPh>
    <phoneticPr fontId="9"/>
  </si>
  <si>
    <t>M04</t>
    <phoneticPr fontId="9"/>
  </si>
  <si>
    <t>AND ( Web受注.得意先コード = Web取引先マスタ.取引先コード</t>
    <rPh sb="31" eb="33">
      <t>トイン</t>
    </rPh>
    <rPh sb="33" eb="34">
      <t>サキ</t>
    </rPh>
    <phoneticPr fontId="9"/>
  </si>
  <si>
    <t>AND Web取引先マスタ.得意先FLG  =  '1' )(+)</t>
    <phoneticPr fontId="9"/>
  </si>
  <si>
    <t>Web取引先マスタ</t>
    <rPh sb="3" eb="5">
      <t>トイン</t>
    </rPh>
    <rPh sb="5" eb="6">
      <t>サキ</t>
    </rPh>
    <phoneticPr fontId="9"/>
  </si>
  <si>
    <t>取引先名</t>
    <rPh sb="0" eb="3">
      <t>トリヒキサキ</t>
    </rPh>
    <rPh sb="3" eb="4">
      <t>メイ</t>
    </rPh>
    <phoneticPr fontId="9"/>
  </si>
  <si>
    <t>M05</t>
  </si>
  <si>
    <t>AND MC担当者マスタ.MC担当者マスタ　＝　MC得意先担当マスタ.担当者コード(+)</t>
    <rPh sb="35" eb="38">
      <t>タントウシャ</t>
    </rPh>
    <phoneticPr fontId="9"/>
  </si>
  <si>
    <t>【MC品目マスタ】</t>
    <rPh sb="3" eb="5">
      <t>ヒンモク</t>
    </rPh>
    <phoneticPr fontId="9"/>
  </si>
  <si>
    <t>M06</t>
  </si>
  <si>
    <t>AND Web受注明細.製品コード　＝　MC品目マスタ.製品コード(+)</t>
    <rPh sb="12" eb="14">
      <t>セイヒン</t>
    </rPh>
    <rPh sb="22" eb="24">
      <t>ヒンモク</t>
    </rPh>
    <phoneticPr fontId="9"/>
  </si>
  <si>
    <t>【抽出条件】</t>
  </si>
  <si>
    <t>AND Web受注明細.Web受注NO = Web受注.Web受注NO (+)</t>
    <phoneticPr fontId="9"/>
  </si>
  <si>
    <t>[AND Web受注明細．拠点</t>
  </si>
  <si>
    <t>[AND Web受注明細．売上担当者</t>
  </si>
  <si>
    <t>[AND Web受注明細．顧客品名1</t>
  </si>
  <si>
    <t>[AND Web受注明細．顧客品名2</t>
  </si>
  <si>
    <t>[AND Web受注明細．受注区分</t>
  </si>
  <si>
    <t>[AND Web受注明細．製品区分_大</t>
  </si>
  <si>
    <t>[AND Web受注明細．製品区分_中</t>
  </si>
  <si>
    <t>[AND Web受注明細．製品区分_小</t>
  </si>
  <si>
    <t>[AND Web受注明細．セット製品CD</t>
  </si>
  <si>
    <t>[AND Web受注明細．製品CD</t>
  </si>
  <si>
    <t>[AND Web受注明細．シート段</t>
  </si>
  <si>
    <t>[AND Web受注明細．原紙コード(表)</t>
  </si>
  <si>
    <t>[AND Web受注明細．印刷コード(表)</t>
  </si>
  <si>
    <t>[AND Web受注明細．エンボスコード(表)</t>
  </si>
  <si>
    <t>[AND Web受注明細．メーカコード(表)</t>
  </si>
  <si>
    <t>[AND Web受注明細．刃渡り_巾</t>
  </si>
  <si>
    <t>[AND Web受注明細．刃渡り_流れ</t>
  </si>
  <si>
    <t>[AND Web受注明細．シート寸法_巾</t>
  </si>
  <si>
    <t>[AND Web受注明細．シート寸法_流れ</t>
  </si>
  <si>
    <t>[AND Web受注明細．原紙コード(中)</t>
  </si>
  <si>
    <t>[AND Web受注明細．印刷コード(中)</t>
  </si>
  <si>
    <t>[AND Web受注明細．エンボスコード(中)</t>
  </si>
  <si>
    <t>[AND Web受注明細．メーカコード(中)</t>
  </si>
  <si>
    <t>[AND Web受注明細．原紙コード(裏)</t>
  </si>
  <si>
    <t>[AND Web受注明細．印刷コード(裏)</t>
  </si>
  <si>
    <t>[AND Web受注明細．エンボスコード(裏)</t>
  </si>
  <si>
    <t>[AND Web受注明細．メーカコード(裏)</t>
  </si>
  <si>
    <t>[AND Web受注明細．売価区分</t>
  </si>
  <si>
    <t>[AND Web受注明細．製品形状</t>
  </si>
  <si>
    <t>[AND Web受注明細．物流区分</t>
  </si>
  <si>
    <t>[AND Web受注明細．印刷備考</t>
  </si>
  <si>
    <t>[AND Web受注明細．製造備考</t>
  </si>
  <si>
    <t>[AND Web受注明細．伝票備考</t>
  </si>
  <si>
    <t>[AND Web受注明細．納入備考</t>
  </si>
  <si>
    <t>[AND Web受注明細．出荷備考１</t>
  </si>
  <si>
    <t>[AND Web受注明細．出荷備考２</t>
  </si>
  <si>
    <t>[AND Web受注．注文書NO</t>
  </si>
  <si>
    <t>[AND Web受注．先方担当</t>
  </si>
  <si>
    <t>＝</t>
    <phoneticPr fontId="9"/>
  </si>
  <si>
    <t>画面．拠点］</t>
  </si>
  <si>
    <t>画面．得意先］</t>
  </si>
  <si>
    <t>画面．売上担当者］</t>
  </si>
  <si>
    <t>画面．顧客品名1］</t>
  </si>
  <si>
    <t>画面．顧客品名2］</t>
  </si>
  <si>
    <t>画面．手配NO(From)］</t>
  </si>
  <si>
    <t>画面．手配NO(To)］</t>
  </si>
  <si>
    <t>画面．受注区分］</t>
  </si>
  <si>
    <t>画面．製品区分_大］</t>
  </si>
  <si>
    <t>画面．製品区分_中］</t>
  </si>
  <si>
    <t>画面．製品区分_小］</t>
  </si>
  <si>
    <t>画面．セット製品CD］</t>
  </si>
  <si>
    <t>画面．製品CD］</t>
  </si>
  <si>
    <t>画面．シート段］</t>
  </si>
  <si>
    <t>画面．原紙コード(表)］</t>
  </si>
  <si>
    <t>画面．印刷コード(表)］</t>
  </si>
  <si>
    <t>画面．エンボスコード(表)］</t>
  </si>
  <si>
    <t>画面．メーカコード(表)］</t>
  </si>
  <si>
    <t>画面．刃渡り_巾］</t>
  </si>
  <si>
    <t>画面．刃渡り_流れ］</t>
  </si>
  <si>
    <t>画面．シート寸法_巾］</t>
  </si>
  <si>
    <t>画面．シート寸法_流れ］</t>
  </si>
  <si>
    <t>画面．原紙コード(中)］</t>
  </si>
  <si>
    <t>画面．印刷コード(中)］</t>
  </si>
  <si>
    <t>画面．エンボスコード(中)］</t>
  </si>
  <si>
    <t>画面．メーカコード(中)］</t>
  </si>
  <si>
    <t>画面．原紙コード(裏)］</t>
  </si>
  <si>
    <t>画面．印刷コード(裏)］</t>
  </si>
  <si>
    <t>画面．エンボスコード(裏)］</t>
  </si>
  <si>
    <t>画面．メーカコード(裏)］</t>
  </si>
  <si>
    <t>画面．売価区分］</t>
  </si>
  <si>
    <t>画面．WEB受注NO(From)］</t>
  </si>
  <si>
    <t>画面．WEB受注NO(To)］</t>
  </si>
  <si>
    <t>画面．製品形状］</t>
  </si>
  <si>
    <t>画面．物流区分］</t>
  </si>
  <si>
    <t>画面．印刷備考］</t>
  </si>
  <si>
    <t>画面．製造備考］</t>
  </si>
  <si>
    <t>画面．伝票備考］</t>
  </si>
  <si>
    <t>画面．納入備考］</t>
  </si>
  <si>
    <t>画面．出荷備考１］</t>
  </si>
  <si>
    <t>画面．出荷備考２］</t>
  </si>
  <si>
    <t>画面．再製造備考］</t>
  </si>
  <si>
    <t>画面．受注日(From)］</t>
  </si>
  <si>
    <t>画面．受注日(To)］</t>
  </si>
  <si>
    <t>画面．客先納期(From)］</t>
  </si>
  <si>
    <t>画面．客先納期(To)］</t>
  </si>
  <si>
    <t>画面．注文書NO］</t>
  </si>
  <si>
    <t>画面．先方担当］</t>
  </si>
  <si>
    <t>画面．運送会社］</t>
  </si>
  <si>
    <t>[AND Web受注．客先納期</t>
    <phoneticPr fontId="9"/>
  </si>
  <si>
    <t>[AND Web受注．受注日</t>
    <phoneticPr fontId="9"/>
  </si>
  <si>
    <t>[AND Web受注明細．WEB受注NO</t>
    <phoneticPr fontId="9"/>
  </si>
  <si>
    <t>[AND Web受注明細．手配NO</t>
    <phoneticPr fontId="9"/>
  </si>
  <si>
    <t>&gt;=</t>
    <phoneticPr fontId="9"/>
  </si>
  <si>
    <t>&lt;=</t>
    <phoneticPr fontId="9"/>
  </si>
  <si>
    <t>【ソート条件】</t>
  </si>
  <si>
    <t>[AND Web受注．運送会社</t>
    <phoneticPr fontId="9"/>
  </si>
  <si>
    <t>[AND Web受注．得意先</t>
    <phoneticPr fontId="9"/>
  </si>
  <si>
    <t>担当、得意先、手配NO1、手配NO2、手配NO3</t>
    <phoneticPr fontId="9"/>
  </si>
  <si>
    <t>[AND Web受注明細．再製造備考</t>
    <phoneticPr fontId="9"/>
  </si>
  <si>
    <t>Web受注明細．手配NO1、</t>
    <phoneticPr fontId="9"/>
  </si>
  <si>
    <t>Web受注明細．手配NO2、</t>
  </si>
  <si>
    <t>Web受注明細．手配NO3</t>
    <phoneticPr fontId="9"/>
  </si>
  <si>
    <t>Web受注．得意先、</t>
    <phoneticPr fontId="9"/>
  </si>
  <si>
    <t>MC得意先担当マスタ.担当者コード、</t>
    <phoneticPr fontId="9"/>
  </si>
  <si>
    <t>クリア</t>
  </si>
  <si>
    <t>画面初期状態を行う</t>
  </si>
  <si>
    <t>4.1</t>
  </si>
  <si>
    <t>初期表示に戻す</t>
  </si>
  <si>
    <t>処理概要に画面初期を参照すること。</t>
  </si>
  <si>
    <t>表示ボタン</t>
    <phoneticPr fontId="9"/>
  </si>
  <si>
    <t>表示処理を行う</t>
    <rPh sb="2" eb="4">
      <t>ショリ</t>
    </rPh>
    <phoneticPr fontId="9"/>
  </si>
  <si>
    <t>5.1</t>
    <phoneticPr fontId="9"/>
  </si>
  <si>
    <t>検索処理を実行する。</t>
    <rPh sb="5" eb="7">
      <t>ジッコウ</t>
    </rPh>
    <phoneticPr fontId="9"/>
  </si>
  <si>
    <t>CSV出力</t>
  </si>
  <si>
    <t>CSV出力処理を行う。</t>
  </si>
  <si>
    <t>6.1</t>
  </si>
  <si>
    <t>6.2</t>
  </si>
  <si>
    <t>共通機能のCSV出力を行う。</t>
    <phoneticPr fontId="9"/>
  </si>
  <si>
    <t>【MSBBPACOM】_共通設計書_アドオン(Web共通ロジック)の「処理詳細(各機能共通処理)」シート」を参照する</t>
    <phoneticPr fontId="9"/>
  </si>
  <si>
    <t>①　CSV出力画面IDを設定</t>
    <phoneticPr fontId="9"/>
  </si>
  <si>
    <t>受注伝票ボタン</t>
    <phoneticPr fontId="9"/>
  </si>
  <si>
    <t>受注伝票発行処理を行う。</t>
    <rPh sb="4" eb="6">
      <t>ハッコウ</t>
    </rPh>
    <phoneticPr fontId="9"/>
  </si>
  <si>
    <t>受注一覧の発行にチェックされたデータを帳票「受注伝票」として出力する</t>
    <phoneticPr fontId="9"/>
  </si>
  <si>
    <t>発行チェックする。</t>
    <rPh sb="0" eb="2">
      <t>ハッコウ</t>
    </rPh>
    <phoneticPr fontId="9"/>
  </si>
  <si>
    <t>発行☑が1行もチェックされていない場合、メッセージを表示する。</t>
    <phoneticPr fontId="9"/>
  </si>
  <si>
    <t>3.17の処理を参照する。</t>
    <rPh sb="5" eb="7">
      <t>ショリ</t>
    </rPh>
    <rPh sb="8" eb="10">
      <t>サンショウ</t>
    </rPh>
    <phoneticPr fontId="9"/>
  </si>
  <si>
    <t>※帳票出力は、【MSBBRA050】_帳票設計書_アドオン(受注伝票)を参照</t>
  </si>
  <si>
    <t>7.1</t>
    <phoneticPr fontId="9"/>
  </si>
  <si>
    <t>7.2</t>
    <phoneticPr fontId="9"/>
  </si>
  <si>
    <t>受注一覧のデータをCSV出力する</t>
    <phoneticPr fontId="9"/>
  </si>
  <si>
    <t>PageId : 　MSBBPA080</t>
    <phoneticPr fontId="9"/>
  </si>
  <si>
    <t>受注詳細ボタン押</t>
    <phoneticPr fontId="9"/>
  </si>
  <si>
    <t>MSBBPA070_Web受注入力を遷移する。</t>
    <phoneticPr fontId="9"/>
  </si>
  <si>
    <t>8.1</t>
    <phoneticPr fontId="9"/>
  </si>
  <si>
    <t>メッセージID.004</t>
  </si>
  <si>
    <t>※1 複数選択は許可しない</t>
    <phoneticPr fontId="9"/>
  </si>
  <si>
    <t>選択処理を行う。</t>
    <phoneticPr fontId="9"/>
  </si>
  <si>
    <t>9.1</t>
    <phoneticPr fontId="9"/>
  </si>
  <si>
    <t>検索モードで開いた場合に選択結果(1行)を遷移元画面に返す</t>
    <phoneticPr fontId="9"/>
  </si>
  <si>
    <t>検索入出力仕様.No1を参照、選択された全てのデータ（1行）遷移元画面をの画面同じな項目に設定する。</t>
    <phoneticPr fontId="9"/>
  </si>
  <si>
    <t>一覧にデータが無いもしくは対象行が選択されてない場合、下記メッセージを表示</t>
  </si>
  <si>
    <t>エラーメッセージ：選択行がありません。</t>
  </si>
  <si>
    <t>検索入出力仕様.No1を参照、選択行のWEB受注NO/WEB受注明細NOをキーに受注データを参照する</t>
    <phoneticPr fontId="9"/>
  </si>
  <si>
    <t>処理詳細の追加</t>
    <rPh sb="5" eb="7">
      <t>ツイカ</t>
    </rPh>
    <phoneticPr fontId="9"/>
  </si>
  <si>
    <t>処理詳細</t>
    <phoneticPr fontId="9"/>
  </si>
  <si>
    <t>TBK徐</t>
    <phoneticPr fontId="9"/>
  </si>
  <si>
    <r>
      <t>Web受注</t>
    </r>
    <r>
      <rPr>
        <strike/>
        <sz val="9"/>
        <color rgb="FFFF0000"/>
        <rFont val="Meiryo UI"/>
        <family val="3"/>
        <charset val="128"/>
      </rPr>
      <t>明細</t>
    </r>
    <phoneticPr fontId="9"/>
  </si>
  <si>
    <t>E10036</t>
    <phoneticPr fontId="9"/>
  </si>
  <si>
    <t>E10008</t>
    <phoneticPr fontId="9"/>
  </si>
  <si>
    <t>E10010</t>
    <phoneticPr fontId="9"/>
  </si>
  <si>
    <t>E10009</t>
    <phoneticPr fontId="9"/>
  </si>
  <si>
    <t>LIKE</t>
    <phoneticPr fontId="9"/>
  </si>
  <si>
    <t>操作種別</t>
  </si>
  <si>
    <t>R</t>
  </si>
  <si>
    <t>有効(必須)</t>
  </si>
  <si>
    <t>画面項目</t>
    <rPh sb="0" eb="2">
      <t>ガメン</t>
    </rPh>
    <rPh sb="2" eb="4">
      <t>コウモク</t>
    </rPh>
    <phoneticPr fontId="9"/>
  </si>
  <si>
    <t>有効</t>
  </si>
  <si>
    <t>拠点</t>
  </si>
  <si>
    <t>E</t>
    <phoneticPr fontId="9"/>
  </si>
  <si>
    <t>RO</t>
    <phoneticPr fontId="9"/>
  </si>
  <si>
    <t>読取のみ</t>
  </si>
  <si>
    <t>D</t>
  </si>
  <si>
    <t>無効</t>
  </si>
  <si>
    <t>I</t>
  </si>
  <si>
    <t>非表示</t>
  </si>
  <si>
    <t>選択</t>
  </si>
  <si>
    <t>抽出条件</t>
    <phoneticPr fontId="9"/>
  </si>
  <si>
    <t>顧客品名1</t>
  </si>
  <si>
    <t>顧客品名2</t>
  </si>
  <si>
    <t>受注日(From)</t>
  </si>
  <si>
    <t>受注日(To)</t>
  </si>
  <si>
    <t>客先納期(From)</t>
  </si>
  <si>
    <t>客先納期(To)</t>
  </si>
  <si>
    <t>受注区分</t>
  </si>
  <si>
    <t>製品CD</t>
  </si>
  <si>
    <t>メーカコード(表)</t>
  </si>
  <si>
    <t>抽出条件 - 詳細検索</t>
  </si>
  <si>
    <t>詳細検索(+/-)</t>
  </si>
  <si>
    <t>エンボスコード(中)</t>
  </si>
  <si>
    <t>メーカコード(中)</t>
  </si>
  <si>
    <t>エンボスコード(裏)</t>
  </si>
  <si>
    <t>メーカコード(裏)</t>
  </si>
  <si>
    <t>売価区分</t>
  </si>
  <si>
    <t>製品形状</t>
  </si>
  <si>
    <t>物流区分</t>
  </si>
  <si>
    <t>運送会社</t>
  </si>
  <si>
    <r>
      <t>RO</t>
    </r>
    <r>
      <rPr>
        <sz val="8"/>
        <rFont val="游ゴシック"/>
        <family val="3"/>
        <charset val="128"/>
      </rPr>
      <t>/R</t>
    </r>
    <phoneticPr fontId="9"/>
  </si>
  <si>
    <t>画面項目制御</t>
    <phoneticPr fontId="9"/>
  </si>
  <si>
    <t>画面項目制御追加</t>
    <rPh sb="6" eb="8">
      <t>ツイカ</t>
    </rPh>
    <phoneticPr fontId="9"/>
  </si>
  <si>
    <t>AND （Web受注明細．品目CD = MC品目マスタ.品目CD</t>
    <rPh sb="13" eb="15">
      <t>ヒンモク</t>
    </rPh>
    <rPh sb="22" eb="24">
      <t>ヒンモク</t>
    </rPh>
    <rPh sb="28" eb="30">
      <t>ヒンモク</t>
    </rPh>
    <phoneticPr fontId="9"/>
  </si>
  <si>
    <t>AND Web受注明細．枝番１ = MC品目マスタ.枝番１</t>
    <rPh sb="12" eb="14">
      <t>エダバン</t>
    </rPh>
    <rPh sb="20" eb="22">
      <t>ヒンモク</t>
    </rPh>
    <rPh sb="26" eb="28">
      <t>エダバン</t>
    </rPh>
    <phoneticPr fontId="9"/>
  </si>
  <si>
    <t>AND Web受注明細．枝番２ = MC品目マスタ.枝番２</t>
    <rPh sb="12" eb="14">
      <t>エダバン</t>
    </rPh>
    <rPh sb="20" eb="22">
      <t>ヒンモク</t>
    </rPh>
    <rPh sb="26" eb="28">
      <t>エダバン</t>
    </rPh>
    <phoneticPr fontId="9"/>
  </si>
  <si>
    <t>AND Web受注明細．枝番３ = MC品目マスタ.枝番３</t>
    <rPh sb="12" eb="14">
      <t>エダバン</t>
    </rPh>
    <rPh sb="20" eb="22">
      <t>ヒンモク</t>
    </rPh>
    <rPh sb="26" eb="28">
      <t>エダバン</t>
    </rPh>
    <phoneticPr fontId="9"/>
  </si>
  <si>
    <t>AND Web受注明細．製品コード = MC品目マスタ.製品コード）(+)</t>
    <rPh sb="12" eb="14">
      <t>セイヒン</t>
    </rPh>
    <rPh sb="22" eb="24">
      <t>ヒンモク</t>
    </rPh>
    <rPh sb="28" eb="30">
      <t>セイヒン</t>
    </rPh>
    <phoneticPr fontId="9"/>
  </si>
  <si>
    <t>「検索件数の上限値を超えました。(設定値) \n 抽出条件を設定し、再度検索・照会を実施ください。」</t>
    <phoneticPr fontId="9"/>
  </si>
  <si>
    <t>E10013</t>
    <phoneticPr fontId="9"/>
  </si>
  <si>
    <t>I</t>
    <phoneticPr fontId="9"/>
  </si>
  <si>
    <t>「検索件数の上限値を超えました。(設定値) \n 処理を続ける場合は、[はい]を選択してください。」</t>
    <phoneticPr fontId="9"/>
  </si>
  <si>
    <t>C00006</t>
    <phoneticPr fontId="9"/>
  </si>
  <si>
    <t>①</t>
    <phoneticPr fontId="9"/>
  </si>
  <si>
    <t>一覧表示の上限値(一般ユーザー)</t>
    <phoneticPr fontId="9"/>
  </si>
  <si>
    <t>照会・検索画面の一覧表示の上限値を設定できるようにする。</t>
    <phoneticPr fontId="9"/>
  </si>
  <si>
    <t>Web管理マスタ(web.config等)に上限値を設定し、上限値を超える場合はエラーメッセージを表示する</t>
    <phoneticPr fontId="9"/>
  </si>
  <si>
    <t>メッセージID.006</t>
    <phoneticPr fontId="9"/>
  </si>
  <si>
    <t>②</t>
    <phoneticPr fontId="9"/>
  </si>
  <si>
    <t>一覧表示の上限値(管理者ユーザー)</t>
    <phoneticPr fontId="9"/>
  </si>
  <si>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</si>
  <si>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</si>
  <si>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</si>
  <si>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メッセージID.005</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</si>
</sst>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s>
  <fonts count="12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7.5"/>
      <name val="Meiryo UI"/>
      <family val="3"/>
      <charset val="128"/>
    </font>
    <font>
      <b/>
      <sz val="7.5"/>
      <name val="Meiryo UI"/>
      <family val="3"/>
      <charset val="128"/>
    </font>
    <font>
      <sz val="9"/>
      <name val="Segoe UI Symbol"/>
      <family val="3"/>
    </font>
    <font>
      <b/>
      <sz val="8"/>
      <color rgb="FF0000FF"/>
      <name val="メイリオ"/>
      <family val="3"/>
      <charset val="128"/>
    </font>
    <font>
      <sz val="8"/>
      <name val="メイリオ"/>
      <family val="3"/>
      <charset val="128"/>
    </font>
    <font>
      <sz val="8"/>
      <color rgb="FFFF0000"/>
      <name val="メイリオ"/>
      <family val="3"/>
      <charset val="128"/>
    </font>
    <font>
      <b/>
      <sz val="8"/>
      <name val="メイリオ"/>
      <family val="3"/>
      <charset val="128"/>
    </font>
    <font>
      <sz val="8"/>
      <color rgb="FFFF0000"/>
      <name val="Meiryo UI"/>
      <family val="3"/>
      <charset val="128"/>
    </font>
    <font>
      <b/>
      <sz val="8"/>
      <color rgb="FFFF0000"/>
      <name val="Meiryo UI"/>
      <family val="3"/>
      <charset val="128"/>
    </font>
    <font>
      <sz val="9"/>
      <color rgb="FF0000FF"/>
      <name val="Meiryo UI"/>
      <family val="3"/>
      <charset val="128"/>
    </font>
    <font>
      <sz val="9"/>
      <color rgb="FFFFFFFF"/>
      <name val="Meiryo UI"/>
      <family val="3"/>
      <charset val="128"/>
    </font>
    <font>
      <sz val="11"/>
      <color rgb="FFFF0000"/>
      <name val="Meiryo UI"/>
      <family val="3"/>
      <charset val="128"/>
    </font>
    <font>
      <b/>
      <sz val="8"/>
      <color rgb="FF0000FF"/>
      <name val="Meiryo UI"/>
      <family val="3"/>
      <charset val="128"/>
    </font>
    <font>
      <b/>
      <sz val="9"/>
      <color rgb="FF0000FF"/>
      <name val="Meiryo UI"/>
      <family val="3"/>
      <charset val="128"/>
    </font>
    <font>
      <strike/>
      <sz val="8"/>
      <color rgb="FFFF0000"/>
      <name val="Meiryo UI"/>
      <family val="3"/>
      <charset val="128"/>
    </font>
    <font>
      <sz val="11"/>
      <name val="Meiryo UI"/>
      <family val="2"/>
      <charset val="128"/>
    </font>
    <font>
      <sz val="8"/>
      <name val="Microsoft YaHei"/>
      <family val="3"/>
      <charset val="134"/>
    </font>
    <font>
      <sz val="8"/>
      <name val="游ゴシック"/>
      <family val="3"/>
      <charset val="128"/>
    </font>
    <font>
      <b/>
      <sz val="9"/>
      <color rgb="FFFF0000"/>
      <name val="Meiryo UI"/>
      <family val="3"/>
      <charset val="128"/>
    </font>
  </fonts>
  <fills count="67">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rgb="FF339966"/>
        <bgColor indexed="64"/>
      </patternFill>
    </fill>
    <fill>
      <patternFill patternType="solid">
        <fgColor theme="0" tint="-4.9989318521683403E-2"/>
        <bgColor theme="0"/>
      </patternFill>
    </fill>
    <fill>
      <patternFill patternType="solid">
        <fgColor theme="7" tint="0.79998168889431442"/>
        <bgColor indexed="64"/>
      </patternFill>
    </fill>
    <fill>
      <patternFill patternType="solid">
        <fgColor rgb="FFD9D9D9"/>
        <bgColor indexed="64"/>
      </patternFill>
    </fill>
    <fill>
      <patternFill patternType="solid">
        <fgColor rgb="FFE2EFDA"/>
        <bgColor indexed="64"/>
      </patternFill>
    </fill>
    <fill>
      <patternFill patternType="solid">
        <fgColor rgb="FFE2EFDA"/>
        <bgColor theme="0"/>
      </patternFill>
    </fill>
    <fill>
      <patternFill patternType="solid">
        <fgColor indexed="65"/>
        <bgColor rgb="FFFFFFFF"/>
      </patternFill>
    </fill>
    <fill>
      <patternFill patternType="solid">
        <fgColor rgb="FFFFC000"/>
        <bgColor indexed="64"/>
      </patternFill>
    </fill>
    <fill>
      <patternFill patternType="solid">
        <fgColor theme="0" tint="-0.14999847407452621"/>
        <bgColor indexed="64"/>
      </patternFill>
    </fill>
  </fills>
  <borders count="18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style="medium">
        <color indexed="64"/>
      </right>
      <top/>
      <bottom style="medium">
        <color auto="1"/>
      </bottom>
      <diagonal/>
    </border>
    <border>
      <left/>
      <right/>
      <top/>
      <bottom style="double">
        <color auto="1"/>
      </bottom>
      <diagonal/>
    </border>
    <border>
      <left/>
      <right style="thin">
        <color indexed="64"/>
      </right>
      <top/>
      <bottom style="medium">
        <color indexed="64"/>
      </bottom>
      <diagonal/>
    </border>
    <border>
      <left/>
      <right style="dotted">
        <color auto="1"/>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right style="thin">
        <color theme="0" tint="-0.499984740745262"/>
      </right>
      <top/>
      <bottom/>
      <diagonal/>
    </border>
    <border>
      <left/>
      <right style="hair">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dotted">
        <color auto="1"/>
      </left>
      <right/>
      <top style="thin">
        <color auto="1"/>
      </top>
      <bottom style="thin">
        <color auto="1"/>
      </bottom>
      <diagonal/>
    </border>
    <border>
      <left style="medium">
        <color indexed="64"/>
      </left>
      <right/>
      <top style="thin">
        <color indexed="64"/>
      </top>
      <bottom style="thin">
        <color indexed="64"/>
      </bottom>
      <diagonal/>
    </border>
    <border>
      <left style="hair">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auto="1"/>
      </top>
      <bottom/>
      <diagonal/>
    </border>
    <border>
      <left style="thin">
        <color rgb="FF000000"/>
      </left>
      <right/>
      <top style="thin">
        <color auto="1"/>
      </top>
      <bottom/>
      <diagonal/>
    </border>
    <border>
      <left style="thin">
        <color rgb="FF000000"/>
      </left>
      <right/>
      <top style="thin">
        <color auto="1"/>
      </top>
      <bottom style="thin">
        <color auto="1"/>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auto="1"/>
      </right>
      <top style="thin">
        <color rgb="FF000000"/>
      </top>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rgb="FF000000"/>
      </bottom>
      <diagonal/>
    </border>
    <border>
      <left/>
      <right style="thin">
        <color rgb="FF000000"/>
      </right>
      <top style="thin">
        <color rgb="FF000000"/>
      </top>
      <bottom style="thin">
        <color auto="1"/>
      </bottom>
      <diagonal/>
    </border>
    <border>
      <left/>
      <right style="thin">
        <color indexed="64"/>
      </right>
      <top/>
      <bottom style="thin">
        <color rgb="FF000000"/>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style="thin">
        <color rgb="FF000000"/>
      </top>
      <bottom/>
      <diagonal/>
    </border>
    <border>
      <left style="thin">
        <color auto="1"/>
      </left>
      <right/>
      <top/>
      <bottom style="thin">
        <color rgb="FF000000"/>
      </bottom>
      <diagonal/>
    </border>
    <border>
      <left style="hair">
        <color indexed="64"/>
      </left>
      <right/>
      <top/>
      <bottom style="thin">
        <color indexed="64"/>
      </bottom>
      <diagonal/>
    </border>
    <border>
      <left style="medium">
        <color indexed="64"/>
      </left>
      <right style="hair">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auto="1"/>
      </top>
      <bottom style="thin">
        <color rgb="FF000000"/>
      </bottom>
      <diagonal/>
    </border>
    <border>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indexed="64"/>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57495">
    <xf numFmtId="0" fontId="0" fillId="0" borderId="0"/>
    <xf numFmtId="0" fontId="8" fillId="0" borderId="0"/>
    <xf numFmtId="0" fontId="8" fillId="0" borderId="0"/>
    <xf numFmtId="0" fontId="6" fillId="0" borderId="0">
      <alignment vertical="center"/>
    </xf>
    <xf numFmtId="0" fontId="5" fillId="0" borderId="0">
      <alignment vertical="center"/>
    </xf>
    <xf numFmtId="0" fontId="7" fillId="0" borderId="0">
      <alignment vertical="center"/>
    </xf>
    <xf numFmtId="0" fontId="24" fillId="0" borderId="0"/>
    <xf numFmtId="0" fontId="7" fillId="0" borderId="0"/>
    <xf numFmtId="0" fontId="7" fillId="0" borderId="0">
      <alignment vertical="center"/>
    </xf>
    <xf numFmtId="0" fontId="24" fillId="0" borderId="0"/>
    <xf numFmtId="0" fontId="12" fillId="0" borderId="0">
      <alignment vertical="top" wrapText="1"/>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179" fontId="37" fillId="0" borderId="0" applyFill="0" applyBorder="0" applyAlignment="0"/>
    <xf numFmtId="0" fontId="38" fillId="0" borderId="10" applyNumberFormat="0" applyAlignment="0" applyProtection="0">
      <alignment horizontal="left" vertical="center"/>
    </xf>
    <xf numFmtId="0" fontId="38" fillId="0" borderId="2">
      <alignment horizontal="left" vertical="center"/>
    </xf>
    <xf numFmtId="0" fontId="39" fillId="0" borderId="0"/>
    <xf numFmtId="0" fontId="40" fillId="0" borderId="0" applyNumberFormat="0" applyFont="0" applyFill="0" applyBorder="0" applyAlignment="0" applyProtection="0">
      <alignment horizontal="left"/>
    </xf>
    <xf numFmtId="0" fontId="41" fillId="0" borderId="7">
      <alignment horizontal="center"/>
    </xf>
    <xf numFmtId="0" fontId="21" fillId="0" borderId="0">
      <alignment wrapText="1"/>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9" fillId="19" borderId="32" applyNumberFormat="0" applyAlignment="0" applyProtection="0">
      <alignment vertical="center"/>
    </xf>
    <xf numFmtId="0" fontId="29" fillId="19" borderId="32" applyNumberFormat="0" applyAlignment="0" applyProtection="0">
      <alignment vertical="center"/>
    </xf>
    <xf numFmtId="0" fontId="29" fillId="19" borderId="32" applyNumberFormat="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13" fillId="0" borderId="0"/>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44" fillId="20" borderId="35" applyNumberFormat="0" applyAlignment="0" applyProtection="0">
      <alignment vertical="center"/>
    </xf>
    <xf numFmtId="0" fontId="44" fillId="20" borderId="35" applyNumberFormat="0" applyAlignment="0" applyProtection="0">
      <alignment vertical="center"/>
    </xf>
    <xf numFmtId="0" fontId="44" fillId="20" borderId="35"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6" fillId="0" borderId="37" applyNumberFormat="0" applyFill="0" applyAlignment="0" applyProtection="0">
      <alignment vertical="center"/>
    </xf>
    <xf numFmtId="0" fontId="46" fillId="0" borderId="37" applyNumberFormat="0" applyFill="0" applyAlignment="0" applyProtection="0">
      <alignment vertical="center"/>
    </xf>
    <xf numFmtId="0" fontId="46" fillId="0" borderId="37"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33" fillId="20" borderId="40" applyNumberFormat="0" applyAlignment="0" applyProtection="0">
      <alignment vertical="center"/>
    </xf>
    <xf numFmtId="0" fontId="33" fillId="20" borderId="40" applyNumberFormat="0" applyAlignment="0" applyProtection="0">
      <alignment vertical="center"/>
    </xf>
    <xf numFmtId="0" fontId="33" fillId="20" borderId="40"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12" borderId="35" applyNumberFormat="0" applyAlignment="0" applyProtection="0">
      <alignment vertical="center"/>
    </xf>
    <xf numFmtId="0" fontId="35" fillId="12" borderId="35" applyNumberFormat="0" applyAlignment="0" applyProtection="0">
      <alignment vertical="center"/>
    </xf>
    <xf numFmtId="0" fontId="35" fillId="12" borderId="35" applyNumberFormat="0" applyAlignment="0" applyProtection="0">
      <alignment vertical="center"/>
    </xf>
    <xf numFmtId="0" fontId="27" fillId="0" borderId="0">
      <alignment vertical="center"/>
    </xf>
    <xf numFmtId="0" fontId="7" fillId="0" borderId="0"/>
    <xf numFmtId="0" fontId="24" fillId="0" borderId="0"/>
    <xf numFmtId="0" fontId="7" fillId="0" borderId="0"/>
    <xf numFmtId="0" fontId="7" fillId="0" borderId="0"/>
    <xf numFmtId="0" fontId="48" fillId="0" borderId="0"/>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49" fillId="0" borderId="0"/>
    <xf numFmtId="0" fontId="13" fillId="0" borderId="0"/>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33" applyNumberFormat="0" applyFont="0" applyAlignment="0" applyProtection="0">
      <alignment vertical="center"/>
    </xf>
    <xf numFmtId="0" fontId="52" fillId="0" borderId="41" applyNumberFormat="0" applyFill="0" applyAlignment="0" applyProtection="0">
      <alignment vertical="center"/>
    </xf>
    <xf numFmtId="0" fontId="30" fillId="6" borderId="0" applyNumberFormat="0" applyBorder="0" applyAlignment="0" applyProtection="0">
      <alignment vertical="center"/>
    </xf>
    <xf numFmtId="0" fontId="53" fillId="29" borderId="35" applyNumberFormat="0" applyAlignment="0" applyProtection="0">
      <alignment vertical="center"/>
    </xf>
    <xf numFmtId="0" fontId="54" fillId="0" borderId="42" applyNumberFormat="0" applyFill="0" applyAlignment="0" applyProtection="0">
      <alignment vertical="center"/>
    </xf>
    <xf numFmtId="0" fontId="55" fillId="0" borderId="43" applyNumberFormat="0" applyFill="0" applyAlignment="0" applyProtection="0">
      <alignment vertical="center"/>
    </xf>
    <xf numFmtId="0" fontId="56" fillId="0" borderId="44" applyNumberFormat="0" applyFill="0" applyAlignment="0" applyProtection="0">
      <alignment vertical="center"/>
    </xf>
    <xf numFmtId="0" fontId="56" fillId="0" borderId="0" applyNumberFormat="0" applyFill="0" applyBorder="0" applyAlignment="0" applyProtection="0">
      <alignment vertical="center"/>
    </xf>
    <xf numFmtId="0" fontId="32" fillId="0" borderId="45" applyNumberFormat="0" applyFill="0" applyAlignment="0" applyProtection="0">
      <alignment vertical="center"/>
    </xf>
    <xf numFmtId="0" fontId="33" fillId="29" borderId="40" applyNumberFormat="0" applyAlignment="0" applyProtection="0">
      <alignment vertical="center"/>
    </xf>
    <xf numFmtId="0" fontId="35" fillId="10" borderId="35" applyNumberFormat="0" applyAlignment="0" applyProtection="0">
      <alignment vertical="center"/>
    </xf>
    <xf numFmtId="0" fontId="36" fillId="22" borderId="0" applyNumberFormat="0" applyBorder="0" applyAlignment="0" applyProtection="0">
      <alignment vertical="center"/>
    </xf>
    <xf numFmtId="0" fontId="49" fillId="0" borderId="0"/>
    <xf numFmtId="0" fontId="13" fillId="0" borderId="0"/>
    <xf numFmtId="38" fontId="59" fillId="0" borderId="0" applyFont="0" applyFill="0" applyBorder="0" applyAlignment="0" applyProtection="0"/>
    <xf numFmtId="0" fontId="12" fillId="0" borderId="0">
      <alignment vertical="top"/>
    </xf>
    <xf numFmtId="0" fontId="57" fillId="0" borderId="0">
      <alignment vertical="center"/>
    </xf>
    <xf numFmtId="38" fontId="59" fillId="0" borderId="0" applyFont="0" applyFill="0" applyBorder="0" applyAlignment="0" applyProtection="0"/>
    <xf numFmtId="180" fontId="59" fillId="0" borderId="0" applyFont="0" applyFill="0" applyBorder="0" applyAlignment="0" applyProtection="0"/>
    <xf numFmtId="38" fontId="11" fillId="30" borderId="0" applyNumberFormat="0" applyBorder="0" applyAlignment="0" applyProtection="0"/>
    <xf numFmtId="10" fontId="11" fillId="2" borderId="3" applyNumberFormat="0" applyBorder="0" applyAlignment="0" applyProtection="0"/>
    <xf numFmtId="181" fontId="60" fillId="0" borderId="0"/>
    <xf numFmtId="10" fontId="39" fillId="0" borderId="0" applyFont="0" applyFill="0" applyBorder="0" applyAlignment="0" applyProtection="0"/>
    <xf numFmtId="0" fontId="49" fillId="0" borderId="0"/>
    <xf numFmtId="0" fontId="49" fillId="0" borderId="0"/>
    <xf numFmtId="0" fontId="49" fillId="0" borderId="0"/>
    <xf numFmtId="0" fontId="49" fillId="0" borderId="0"/>
    <xf numFmtId="0" fontId="12" fillId="0" borderId="0"/>
    <xf numFmtId="0" fontId="12" fillId="0" borderId="0" applyNumberFormat="0"/>
    <xf numFmtId="0" fontId="58" fillId="0" borderId="0" applyBorder="0" applyAlignment="0"/>
    <xf numFmtId="0" fontId="12" fillId="0" borderId="0">
      <alignment vertical="top" wrapText="1"/>
    </xf>
    <xf numFmtId="0" fontId="26" fillId="0" borderId="0"/>
    <xf numFmtId="0" fontId="12" fillId="0" borderId="0" applyNumberFormat="0"/>
    <xf numFmtId="0" fontId="58" fillId="0" borderId="0">
      <alignment vertical="center"/>
    </xf>
    <xf numFmtId="0" fontId="12" fillId="0" borderId="0" applyNumberFormat="0"/>
    <xf numFmtId="0" fontId="13" fillId="0" borderId="0"/>
    <xf numFmtId="0" fontId="7" fillId="0" borderId="0"/>
    <xf numFmtId="0" fontId="12" fillId="0" borderId="0">
      <alignment vertical="top"/>
    </xf>
    <xf numFmtId="0" fontId="61" fillId="0" borderId="0">
      <alignment vertical="center"/>
    </xf>
    <xf numFmtId="38" fontId="7" fillId="0" borderId="0" applyFont="0" applyFill="0" applyBorder="0" applyAlignment="0" applyProtection="0"/>
    <xf numFmtId="0" fontId="12" fillId="0" borderId="0">
      <alignment vertical="top"/>
    </xf>
    <xf numFmtId="0" fontId="13" fillId="0" borderId="0"/>
    <xf numFmtId="0" fontId="12" fillId="0" borderId="0">
      <alignment vertical="top"/>
    </xf>
    <xf numFmtId="38" fontId="7" fillId="0" borderId="0" applyFont="0" applyFill="0" applyBorder="0" applyAlignment="0" applyProtection="0"/>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7"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applyNumberFormat="0" applyFill="0" applyBorder="0" applyAlignment="0" applyProtection="0">
      <alignment vertical="top"/>
      <protection locked="0"/>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26" fillId="0" borderId="0"/>
    <xf numFmtId="0" fontId="4" fillId="0" borderId="0">
      <alignment vertical="center"/>
    </xf>
    <xf numFmtId="0" fontId="4" fillId="0" borderId="0">
      <alignment vertical="center"/>
    </xf>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33" applyNumberFormat="0" applyFont="0" applyAlignment="0" applyProtection="0">
      <alignment vertical="center"/>
    </xf>
    <xf numFmtId="0" fontId="52" fillId="0" borderId="41" applyNumberFormat="0" applyFill="0" applyAlignment="0" applyProtection="0">
      <alignment vertical="center"/>
    </xf>
    <xf numFmtId="0" fontId="30" fillId="6" borderId="0" applyNumberFormat="0" applyBorder="0" applyAlignment="0" applyProtection="0">
      <alignment vertical="center"/>
    </xf>
    <xf numFmtId="0" fontId="53" fillId="29" borderId="35" applyNumberFormat="0" applyAlignment="0" applyProtection="0">
      <alignment vertical="center"/>
    </xf>
    <xf numFmtId="0" fontId="54" fillId="0" borderId="42" applyNumberFormat="0" applyFill="0" applyAlignment="0" applyProtection="0">
      <alignment vertical="center"/>
    </xf>
    <xf numFmtId="0" fontId="55" fillId="0" borderId="43" applyNumberFormat="0" applyFill="0" applyAlignment="0" applyProtection="0">
      <alignment vertical="center"/>
    </xf>
    <xf numFmtId="0" fontId="56" fillId="0" borderId="44" applyNumberFormat="0" applyFill="0" applyAlignment="0" applyProtection="0">
      <alignment vertical="center"/>
    </xf>
    <xf numFmtId="0" fontId="56" fillId="0" borderId="0" applyNumberFormat="0" applyFill="0" applyBorder="0" applyAlignment="0" applyProtection="0">
      <alignment vertical="center"/>
    </xf>
    <xf numFmtId="0" fontId="32" fillId="0" borderId="45" applyNumberFormat="0" applyFill="0" applyAlignment="0" applyProtection="0">
      <alignment vertical="center"/>
    </xf>
    <xf numFmtId="0" fontId="33" fillId="29" borderId="40" applyNumberFormat="0" applyAlignment="0" applyProtection="0">
      <alignment vertical="center"/>
    </xf>
    <xf numFmtId="0" fontId="35" fillId="10" borderId="35" applyNumberFormat="0" applyAlignment="0" applyProtection="0">
      <alignment vertical="center"/>
    </xf>
    <xf numFmtId="0" fontId="36" fillId="2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13" fillId="0" borderId="0"/>
    <xf numFmtId="0" fontId="49" fillId="0" borderId="0"/>
    <xf numFmtId="0" fontId="4" fillId="0" borderId="0">
      <alignment vertical="center"/>
    </xf>
    <xf numFmtId="0" fontId="12" fillId="0" borderId="0">
      <alignment vertical="top" wrapText="1"/>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8" fillId="15" borderId="0" applyNumberFormat="0" applyBorder="0" applyAlignment="0" applyProtection="0">
      <alignment vertical="center"/>
    </xf>
    <xf numFmtId="0" fontId="29" fillId="19" borderId="32" applyNumberFormat="0" applyAlignment="0" applyProtection="0">
      <alignment vertical="center"/>
    </xf>
    <xf numFmtId="0" fontId="3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61"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9" fillId="0" borderId="0"/>
    <xf numFmtId="0" fontId="26"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3" fillId="0" borderId="0"/>
    <xf numFmtId="0" fontId="13" fillId="0" borderId="0"/>
    <xf numFmtId="0" fontId="49" fillId="0" borderId="0"/>
    <xf numFmtId="0" fontId="49" fillId="0" borderId="0"/>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9" fillId="0" borderId="0"/>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3" fillId="0" borderId="0"/>
    <xf numFmtId="0" fontId="13" fillId="0" borderId="0"/>
    <xf numFmtId="0" fontId="61"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12" fillId="0" borderId="0">
      <alignment vertical="top" wrapText="1"/>
    </xf>
    <xf numFmtId="0" fontId="26"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28" fillId="16"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28" fillId="1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4" fillId="0" borderId="0" applyNumberForma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38" fontId="27" fillId="0" borderId="0" applyFont="0" applyFill="0" applyBorder="0" applyAlignment="0" applyProtection="0">
      <alignment vertical="center"/>
    </xf>
    <xf numFmtId="38" fontId="7" fillId="0" borderId="0" applyFont="0" applyFill="0" applyBorder="0" applyAlignment="0" applyProtection="0"/>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7" fillId="0" borderId="0" applyFont="0" applyFill="0" applyBorder="0" applyAlignment="0" applyProtection="0"/>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65" fillId="0" borderId="0"/>
    <xf numFmtId="0" fontId="57" fillId="0" borderId="0">
      <alignment vertical="center"/>
    </xf>
    <xf numFmtId="0" fontId="65" fillId="0" borderId="0"/>
    <xf numFmtId="0" fontId="65" fillId="0" borderId="0"/>
    <xf numFmtId="0" fontId="12" fillId="0" borderId="0">
      <alignment vertical="top" wrapText="1"/>
    </xf>
    <xf numFmtId="0" fontId="12" fillId="0" borderId="0">
      <alignment vertical="top"/>
    </xf>
    <xf numFmtId="0" fontId="65" fillId="0" borderId="0"/>
    <xf numFmtId="0" fontId="12" fillId="0" borderId="0">
      <alignment vertical="top"/>
    </xf>
    <xf numFmtId="0" fontId="65" fillId="0" borderId="0"/>
    <xf numFmtId="0" fontId="65" fillId="0" borderId="0"/>
    <xf numFmtId="0" fontId="26" fillId="0" borderId="0"/>
    <xf numFmtId="0" fontId="12" fillId="0" borderId="0">
      <alignment vertical="top"/>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7"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xf numFmtId="0" fontId="12" fillId="0" borderId="0">
      <alignment vertical="top"/>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4" fillId="0" borderId="0"/>
    <xf numFmtId="0" fontId="24" fillId="0" borderId="0"/>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xf numFmtId="0" fontId="65" fillId="0" borderId="0"/>
    <xf numFmtId="0" fontId="65" fillId="0" borderId="0"/>
    <xf numFmtId="0" fontId="65" fillId="0" borderId="0"/>
    <xf numFmtId="0" fontId="7" fillId="0" borderId="0"/>
    <xf numFmtId="0" fontId="65" fillId="0" borderId="0"/>
    <xf numFmtId="0" fontId="65" fillId="0" borderId="0"/>
    <xf numFmtId="0" fontId="65" fillId="0" borderId="0"/>
    <xf numFmtId="0" fontId="12" fillId="0" borderId="0">
      <alignment vertical="top"/>
    </xf>
    <xf numFmtId="0" fontId="12" fillId="0" borderId="0">
      <alignment vertical="top" wrapText="1"/>
    </xf>
    <xf numFmtId="0" fontId="7" fillId="0" borderId="0">
      <alignment vertical="center"/>
    </xf>
    <xf numFmtId="0" fontId="12" fillId="0" borderId="0">
      <alignment vertical="top"/>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27" fillId="0" borderId="0" applyFont="0" applyFill="0" applyBorder="0" applyAlignment="0" applyProtection="0">
      <alignment vertical="center"/>
    </xf>
    <xf numFmtId="0" fontId="49" fillId="0" borderId="0"/>
    <xf numFmtId="0" fontId="49" fillId="0" borderId="0"/>
    <xf numFmtId="0" fontId="49" fillId="0" borderId="0"/>
    <xf numFmtId="0" fontId="62" fillId="0" borderId="0" applyNumberFormat="0" applyFill="0" applyBorder="0" applyAlignment="0" applyProtection="0">
      <alignment vertical="top" wrapText="1"/>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6" fillId="0" borderId="0" applyBorder="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xf numFmtId="0" fontId="7" fillId="0" borderId="0"/>
    <xf numFmtId="0" fontId="7" fillId="0" borderId="0"/>
    <xf numFmtId="0" fontId="7"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13"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38" fontId="59" fillId="0" borderId="0" applyFont="0" applyFill="0" applyBorder="0" applyAlignment="0" applyProtection="0"/>
    <xf numFmtId="0" fontId="4" fillId="0" borderId="0">
      <alignment vertical="center"/>
    </xf>
    <xf numFmtId="0" fontId="12" fillId="0" borderId="0">
      <alignment vertical="top" wrapText="1"/>
    </xf>
    <xf numFmtId="0" fontId="13" fillId="0" borderId="0"/>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4" fillId="0" borderId="0">
      <alignment vertical="center"/>
    </xf>
    <xf numFmtId="0" fontId="7" fillId="0" borderId="0">
      <alignment vertical="center"/>
    </xf>
    <xf numFmtId="0" fontId="67" fillId="0" borderId="0">
      <alignment vertical="center"/>
    </xf>
    <xf numFmtId="0" fontId="7"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9" fillId="0" borderId="0">
      <alignment vertical="center"/>
    </xf>
    <xf numFmtId="0" fontId="70" fillId="0" borderId="0"/>
    <xf numFmtId="0" fontId="7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5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12" fillId="0" borderId="0">
      <alignment vertical="top" wrapText="1"/>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7" fillId="0" borderId="0"/>
    <xf numFmtId="0" fontId="24" fillId="0" borderId="0"/>
    <xf numFmtId="0" fontId="70" fillId="0" borderId="0"/>
    <xf numFmtId="0" fontId="84" fillId="0" borderId="0" applyNumberFormat="0" applyFill="0" applyBorder="0" applyAlignment="0" applyProtection="0">
      <alignment vertical="top"/>
      <protection locked="0"/>
    </xf>
    <xf numFmtId="0" fontId="7" fillId="0" borderId="0">
      <alignment vertical="center"/>
    </xf>
    <xf numFmtId="0" fontId="3" fillId="0" borderId="0">
      <alignment vertical="center"/>
    </xf>
    <xf numFmtId="0" fontId="27" fillId="0" borderId="0" applyNumberFormat="0" applyFill="0" applyBorder="0" applyAlignment="0" applyProtection="0">
      <alignment vertical="center"/>
    </xf>
    <xf numFmtId="0" fontId="67" fillId="0" borderId="0">
      <alignment vertical="center"/>
    </xf>
    <xf numFmtId="0" fontId="2" fillId="0" borderId="0">
      <alignment vertical="center"/>
    </xf>
    <xf numFmtId="0" fontId="7" fillId="0" borderId="0">
      <alignment vertical="center"/>
    </xf>
    <xf numFmtId="0" fontId="7" fillId="0" borderId="0"/>
    <xf numFmtId="0" fontId="7" fillId="0" borderId="0">
      <alignment vertical="center"/>
    </xf>
    <xf numFmtId="0" fontId="7" fillId="0" borderId="0">
      <alignment vertical="center"/>
    </xf>
    <xf numFmtId="0" fontId="64" fillId="0" borderId="0" applyNumberFormat="0" applyFill="0" applyBorder="0" applyAlignment="0" applyProtection="0"/>
  </cellStyleXfs>
  <cellXfs count="1343">
    <xf numFmtId="0" fontId="0" fillId="0" borderId="0" xfId="0"/>
    <xf numFmtId="0" fontId="18" fillId="0" borderId="0" xfId="0" applyFont="1" applyAlignment="1">
      <alignment vertical="center"/>
    </xf>
    <xf numFmtId="0" fontId="18" fillId="0" borderId="0" xfId="224" applyFont="1" applyAlignment="1">
      <alignment vertical="center"/>
    </xf>
    <xf numFmtId="0" fontId="18" fillId="0" borderId="24" xfId="0" applyFont="1" applyBorder="1" applyAlignment="1">
      <alignment vertical="center"/>
    </xf>
    <xf numFmtId="0" fontId="15" fillId="31" borderId="0" xfId="224" applyFont="1" applyFill="1"/>
    <xf numFmtId="0" fontId="15" fillId="31" borderId="0" xfId="224" applyFont="1" applyFill="1" applyAlignment="1">
      <alignment vertical="top"/>
    </xf>
    <xf numFmtId="0" fontId="15" fillId="31" borderId="0" xfId="224" applyFont="1" applyFill="1" applyAlignment="1">
      <alignment horizontal="center" vertical="center"/>
    </xf>
    <xf numFmtId="0" fontId="15" fillId="31" borderId="0" xfId="224" applyFont="1" applyFill="1" applyAlignment="1">
      <alignment vertical="center"/>
    </xf>
    <xf numFmtId="0" fontId="15" fillId="31" borderId="0" xfId="224" applyFont="1" applyFill="1" applyAlignment="1">
      <alignment vertical="center" wrapText="1"/>
    </xf>
    <xf numFmtId="0" fontId="16" fillId="35" borderId="11" xfId="7" applyFont="1" applyFill="1" applyBorder="1" applyAlignment="1">
      <alignment vertical="center"/>
    </xf>
    <xf numFmtId="0" fontId="16" fillId="35" borderId="13" xfId="7" applyFont="1" applyFill="1" applyBorder="1" applyAlignment="1">
      <alignment vertical="center"/>
    </xf>
    <xf numFmtId="0" fontId="16" fillId="35" borderId="14" xfId="7" applyFont="1" applyFill="1" applyBorder="1"/>
    <xf numFmtId="0" fontId="15" fillId="0" borderId="0" xfId="7" applyFont="1"/>
    <xf numFmtId="0" fontId="18" fillId="0" borderId="8" xfId="7" applyFont="1" applyBorder="1" applyAlignment="1">
      <alignment vertical="center"/>
    </xf>
    <xf numFmtId="0" fontId="18" fillId="0" borderId="0" xfId="7" applyFont="1" applyAlignment="1">
      <alignment vertical="center"/>
    </xf>
    <xf numFmtId="0" fontId="18" fillId="0" borderId="0" xfId="7" applyFont="1" applyAlignment="1">
      <alignment vertical="center" wrapText="1"/>
    </xf>
    <xf numFmtId="0" fontId="18" fillId="0" borderId="9" xfId="7" applyFont="1" applyBorder="1" applyAlignment="1">
      <alignment vertical="center"/>
    </xf>
    <xf numFmtId="0" fontId="19" fillId="0" borderId="0" xfId="224" applyFont="1" applyAlignment="1">
      <alignment vertical="center"/>
    </xf>
    <xf numFmtId="0" fontId="18" fillId="0" borderId="8" xfId="224" applyFont="1" applyBorder="1" applyAlignment="1">
      <alignment vertical="center"/>
    </xf>
    <xf numFmtId="0" fontId="18" fillId="0" borderId="9" xfId="224" applyFont="1" applyBorder="1" applyAlignment="1">
      <alignment vertical="center"/>
    </xf>
    <xf numFmtId="0" fontId="19" fillId="0" borderId="0" xfId="7" applyFont="1" applyAlignment="1">
      <alignment vertical="center"/>
    </xf>
    <xf numFmtId="0" fontId="20" fillId="0" borderId="0" xfId="224" applyFont="1" applyAlignment="1">
      <alignment vertical="center"/>
    </xf>
    <xf numFmtId="20" fontId="18" fillId="0" borderId="0" xfId="7" applyNumberFormat="1" applyFont="1" applyAlignment="1">
      <alignment vertical="center"/>
    </xf>
    <xf numFmtId="0" fontId="18" fillId="31" borderId="6" xfId="224" applyFont="1" applyFill="1" applyBorder="1" applyAlignment="1">
      <alignment vertical="center"/>
    </xf>
    <xf numFmtId="0" fontId="18" fillId="31" borderId="0" xfId="224" applyFont="1" applyFill="1" applyAlignment="1">
      <alignment vertical="center"/>
    </xf>
    <xf numFmtId="0" fontId="18" fillId="31" borderId="0" xfId="224" applyFont="1" applyFill="1" applyAlignment="1">
      <alignment horizontal="center" vertical="center"/>
    </xf>
    <xf numFmtId="0" fontId="18" fillId="31" borderId="0" xfId="224" applyFont="1" applyFill="1" applyAlignment="1">
      <alignment vertical="center" wrapText="1"/>
    </xf>
    <xf numFmtId="0" fontId="18" fillId="0" borderId="0" xfId="24894" applyFont="1">
      <alignment vertical="center"/>
    </xf>
    <xf numFmtId="0" fontId="18" fillId="0" borderId="0" xfId="24894" applyFont="1" applyAlignment="1">
      <alignment vertical="center" wrapText="1"/>
    </xf>
    <xf numFmtId="0" fontId="18" fillId="36" borderId="0" xfId="0" applyFont="1" applyFill="1" applyAlignment="1">
      <alignment vertical="center"/>
    </xf>
    <xf numFmtId="0" fontId="72" fillId="35" borderId="4" xfId="0" applyFont="1" applyFill="1" applyBorder="1" applyAlignment="1">
      <alignment vertical="center"/>
    </xf>
    <xf numFmtId="49" fontId="72" fillId="35" borderId="52" xfId="0" applyNumberFormat="1" applyFont="1" applyFill="1" applyBorder="1" applyAlignment="1">
      <alignment vertical="center"/>
    </xf>
    <xf numFmtId="0" fontId="72" fillId="35" borderId="5" xfId="0" applyFont="1" applyFill="1" applyBorder="1" applyAlignment="1">
      <alignment vertical="center"/>
    </xf>
    <xf numFmtId="0" fontId="72" fillId="35" borderId="31" xfId="0" applyFont="1" applyFill="1" applyBorder="1" applyAlignment="1">
      <alignment vertical="center"/>
    </xf>
    <xf numFmtId="49" fontId="72" fillId="35" borderId="5" xfId="0" applyNumberFormat="1" applyFont="1" applyFill="1" applyBorder="1" applyAlignment="1">
      <alignment vertical="center"/>
    </xf>
    <xf numFmtId="49" fontId="72" fillId="35" borderId="53" xfId="0" applyNumberFormat="1" applyFont="1" applyFill="1" applyBorder="1" applyAlignment="1">
      <alignment vertical="center"/>
    </xf>
    <xf numFmtId="49" fontId="72" fillId="35" borderId="54" xfId="0" applyNumberFormat="1" applyFont="1" applyFill="1" applyBorder="1" applyAlignment="1">
      <alignment vertical="center"/>
    </xf>
    <xf numFmtId="0" fontId="23" fillId="0" borderId="18" xfId="0" applyFont="1" applyBorder="1" applyAlignment="1">
      <alignment vertical="center"/>
    </xf>
    <xf numFmtId="0" fontId="23" fillId="0" borderId="25" xfId="0" applyFont="1" applyBorder="1" applyAlignment="1">
      <alignment vertical="center"/>
    </xf>
    <xf numFmtId="0" fontId="23" fillId="0" borderId="19" xfId="0" applyFont="1" applyBorder="1" applyAlignment="1">
      <alignment vertical="center"/>
    </xf>
    <xf numFmtId="0" fontId="23" fillId="0" borderId="17" xfId="0" applyFont="1" applyBorder="1" applyAlignment="1">
      <alignment vertical="center"/>
    </xf>
    <xf numFmtId="0" fontId="23" fillId="0" borderId="26" xfId="0" applyFont="1" applyBorder="1" applyAlignment="1">
      <alignment vertical="center"/>
    </xf>
    <xf numFmtId="0" fontId="23" fillId="0" borderId="55" xfId="0" applyFont="1" applyBorder="1" applyAlignment="1">
      <alignment vertical="center"/>
    </xf>
    <xf numFmtId="49" fontId="23" fillId="0" borderId="24" xfId="0" applyNumberFormat="1" applyFont="1" applyBorder="1" applyAlignment="1">
      <alignment vertical="center"/>
    </xf>
    <xf numFmtId="0" fontId="19" fillId="34" borderId="23" xfId="0" applyFont="1" applyFill="1" applyBorder="1" applyAlignment="1">
      <alignment vertical="center"/>
    </xf>
    <xf numFmtId="0" fontId="19" fillId="34" borderId="13" xfId="0" applyFont="1" applyFill="1" applyBorder="1" applyAlignment="1">
      <alignment vertical="center"/>
    </xf>
    <xf numFmtId="0" fontId="19" fillId="34" borderId="14" xfId="0" applyFont="1" applyFill="1" applyBorder="1" applyAlignment="1">
      <alignment vertical="center"/>
    </xf>
    <xf numFmtId="0" fontId="18" fillId="0" borderId="0" xfId="57482" applyFont="1" applyProtection="1">
      <protection locked="0"/>
    </xf>
    <xf numFmtId="0" fontId="14" fillId="0" borderId="0" xfId="57482" applyFont="1" applyProtection="1">
      <protection locked="0"/>
    </xf>
    <xf numFmtId="0" fontId="16" fillId="0" borderId="0" xfId="57482" applyFont="1" applyAlignment="1" applyProtection="1">
      <alignment horizontal="center" vertical="center"/>
      <protection locked="0"/>
    </xf>
    <xf numFmtId="0" fontId="14" fillId="0" borderId="0" xfId="57482" applyFont="1" applyAlignment="1" applyProtection="1">
      <alignment vertical="center"/>
      <protection locked="0"/>
    </xf>
    <xf numFmtId="0" fontId="74" fillId="0" borderId="0" xfId="57482" applyFont="1" applyProtection="1">
      <protection locked="0"/>
    </xf>
    <xf numFmtId="0" fontId="75" fillId="0" borderId="0" xfId="57482" applyFont="1" applyProtection="1">
      <protection locked="0"/>
    </xf>
    <xf numFmtId="177" fontId="17" fillId="0" borderId="0" xfId="57482" applyNumberFormat="1" applyFont="1" applyAlignment="1" applyProtection="1">
      <alignment horizontal="center" vertical="center"/>
      <protection locked="0"/>
    </xf>
    <xf numFmtId="0" fontId="76" fillId="0" borderId="0" xfId="57482" applyFont="1" applyProtection="1">
      <protection locked="0"/>
    </xf>
    <xf numFmtId="0" fontId="77" fillId="0" borderId="1" xfId="57482" applyFont="1" applyBorder="1" applyAlignment="1" applyProtection="1">
      <alignment vertical="center" wrapText="1"/>
      <protection locked="0"/>
    </xf>
    <xf numFmtId="0" fontId="81" fillId="0" borderId="0" xfId="57483" applyFont="1"/>
    <xf numFmtId="182" fontId="82" fillId="0" borderId="0" xfId="57482" applyNumberFormat="1" applyFont="1" applyAlignment="1" applyProtection="1">
      <alignment vertical="center"/>
      <protection locked="0"/>
    </xf>
    <xf numFmtId="182" fontId="19" fillId="0" borderId="0" xfId="57482" applyNumberFormat="1" applyFont="1" applyAlignment="1" applyProtection="1">
      <alignment vertical="center"/>
      <protection locked="0"/>
    </xf>
    <xf numFmtId="182" fontId="80" fillId="0" borderId="29" xfId="57482" applyNumberFormat="1" applyFont="1" applyBorder="1" applyAlignment="1" applyProtection="1">
      <alignment vertical="center"/>
      <protection locked="0"/>
    </xf>
    <xf numFmtId="182" fontId="14" fillId="0" borderId="0" xfId="57482" applyNumberFormat="1" applyFont="1" applyAlignment="1" applyProtection="1">
      <alignment vertical="center"/>
      <protection locked="0"/>
    </xf>
    <xf numFmtId="182" fontId="19" fillId="0" borderId="29" xfId="57482" applyNumberFormat="1" applyFont="1" applyBorder="1" applyAlignment="1" applyProtection="1">
      <alignment vertical="center"/>
      <protection locked="0"/>
    </xf>
    <xf numFmtId="0" fontId="17" fillId="0" borderId="0" xfId="57482" applyFont="1" applyProtection="1">
      <protection locked="0"/>
    </xf>
    <xf numFmtId="0" fontId="83"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0" fontId="18" fillId="0" borderId="0" xfId="57482" applyFont="1" applyAlignment="1" applyProtection="1">
      <alignment horizontal="center"/>
      <protection locked="0"/>
    </xf>
    <xf numFmtId="178" fontId="18" fillId="0" borderId="0" xfId="57482" applyNumberFormat="1" applyFont="1" applyAlignment="1" applyProtection="1">
      <alignment horizontal="center"/>
      <protection locked="0"/>
    </xf>
    <xf numFmtId="0" fontId="17" fillId="0" borderId="0" xfId="6" applyFont="1"/>
    <xf numFmtId="0" fontId="7" fillId="0" borderId="0" xfId="224" applyAlignment="1">
      <alignment horizontal="center" vertical="center" wrapText="1"/>
    </xf>
    <xf numFmtId="0" fontId="16" fillId="0" borderId="0" xfId="8" applyFont="1" applyAlignment="1">
      <alignment horizontal="center" vertical="center"/>
    </xf>
    <xf numFmtId="0" fontId="7" fillId="0" borderId="0" xfId="224" applyAlignment="1">
      <alignment horizontal="center" vertical="center"/>
    </xf>
    <xf numFmtId="0" fontId="7" fillId="0" borderId="0" xfId="224" applyAlignment="1">
      <alignment horizontal="center" shrinkToFit="1"/>
    </xf>
    <xf numFmtId="0" fontId="18" fillId="0" borderId="0" xfId="8" applyFont="1" applyAlignment="1">
      <alignment horizontal="center"/>
    </xf>
    <xf numFmtId="0" fontId="7" fillId="0" borderId="0" xfId="224" applyAlignment="1">
      <alignment horizontal="center"/>
    </xf>
    <xf numFmtId="0" fontId="18" fillId="0" borderId="0" xfId="8" applyFont="1" applyAlignment="1">
      <alignment horizontal="center" shrinkToFit="1"/>
    </xf>
    <xf numFmtId="14" fontId="17" fillId="0" borderId="0" xfId="9" applyNumberFormat="1" applyFont="1" applyAlignment="1">
      <alignment horizontal="center" vertical="center"/>
    </xf>
    <xf numFmtId="0" fontId="17" fillId="0" borderId="0" xfId="57485" applyFont="1">
      <alignment vertical="center"/>
    </xf>
    <xf numFmtId="0" fontId="17" fillId="42" borderId="0" xfId="57485" applyFont="1" applyFill="1">
      <alignment vertical="center"/>
    </xf>
    <xf numFmtId="0" fontId="17" fillId="42" borderId="0" xfId="57485" applyFont="1" applyFill="1" applyAlignment="1">
      <alignment horizontal="center" vertical="center"/>
    </xf>
    <xf numFmtId="0" fontId="79" fillId="42" borderId="0" xfId="57485" applyFont="1" applyFill="1">
      <alignment vertical="center"/>
    </xf>
    <xf numFmtId="0" fontId="16" fillId="45" borderId="11" xfId="224" applyFont="1" applyFill="1" applyBorder="1" applyAlignment="1">
      <alignment vertical="center"/>
    </xf>
    <xf numFmtId="0" fontId="16" fillId="45" borderId="13" xfId="224" applyFont="1" applyFill="1" applyBorder="1" applyAlignment="1">
      <alignment vertical="center"/>
    </xf>
    <xf numFmtId="0" fontId="16" fillId="45" borderId="14" xfId="224" applyFont="1" applyFill="1" applyBorder="1"/>
    <xf numFmtId="0" fontId="15" fillId="0" borderId="0" xfId="224" applyFont="1"/>
    <xf numFmtId="0" fontId="19" fillId="34" borderId="22" xfId="0" applyFont="1" applyFill="1" applyBorder="1" applyAlignment="1">
      <alignment vertical="center" shrinkToFit="1"/>
    </xf>
    <xf numFmtId="0" fontId="19" fillId="34" borderId="24" xfId="0" applyFont="1" applyFill="1" applyBorder="1" applyAlignment="1">
      <alignment vertical="center"/>
    </xf>
    <xf numFmtId="0" fontId="18" fillId="0" borderId="83" xfId="0" applyFont="1" applyBorder="1" applyAlignment="1">
      <alignment vertical="center" shrinkToFit="1"/>
    </xf>
    <xf numFmtId="0" fontId="18" fillId="0" borderId="25" xfId="0" applyFont="1" applyBorder="1" applyAlignment="1">
      <alignment vertical="center"/>
    </xf>
    <xf numFmtId="0" fontId="18" fillId="0" borderId="19" xfId="0" applyFont="1" applyBorder="1" applyAlignment="1">
      <alignment vertical="center"/>
    </xf>
    <xf numFmtId="0" fontId="18" fillId="0" borderId="17" xfId="0" applyFont="1" applyBorder="1" applyAlignment="1">
      <alignment vertical="center"/>
    </xf>
    <xf numFmtId="0" fontId="18" fillId="0" borderId="21" xfId="0" applyFont="1" applyBorder="1" applyAlignment="1">
      <alignment vertical="center"/>
    </xf>
    <xf numFmtId="0" fontId="18" fillId="0" borderId="20" xfId="0" applyFont="1" applyBorder="1" applyAlignment="1">
      <alignment vertical="center"/>
    </xf>
    <xf numFmtId="0" fontId="18" fillId="0" borderId="9" xfId="0" applyFont="1" applyBorder="1" applyAlignment="1">
      <alignment vertical="center"/>
    </xf>
    <xf numFmtId="0" fontId="19" fillId="47" borderId="85" xfId="0" applyFont="1" applyFill="1" applyBorder="1" applyAlignment="1">
      <alignment vertical="center"/>
    </xf>
    <xf numFmtId="0" fontId="19" fillId="47" borderId="86" xfId="0" applyFont="1" applyFill="1" applyBorder="1" applyAlignment="1">
      <alignment vertical="center"/>
    </xf>
    <xf numFmtId="0" fontId="19" fillId="40" borderId="11" xfId="0" applyFont="1" applyFill="1" applyBorder="1" applyAlignment="1">
      <alignment vertical="center"/>
    </xf>
    <xf numFmtId="0" fontId="19" fillId="40" borderId="13" xfId="0" applyFont="1" applyFill="1" applyBorder="1" applyAlignment="1">
      <alignment vertical="center"/>
    </xf>
    <xf numFmtId="0" fontId="19" fillId="42" borderId="16" xfId="0" applyFont="1" applyFill="1" applyBorder="1" applyAlignment="1">
      <alignment vertical="center"/>
    </xf>
    <xf numFmtId="0" fontId="19" fillId="42" borderId="13" xfId="0" applyFont="1" applyFill="1" applyBorder="1" applyAlignment="1">
      <alignment vertical="center"/>
    </xf>
    <xf numFmtId="0" fontId="19" fillId="42" borderId="15" xfId="0" applyFont="1" applyFill="1" applyBorder="1" applyAlignment="1">
      <alignment vertical="center"/>
    </xf>
    <xf numFmtId="0" fontId="19" fillId="0" borderId="16" xfId="0" applyFont="1" applyBorder="1" applyAlignment="1">
      <alignment vertical="center"/>
    </xf>
    <xf numFmtId="0" fontId="19" fillId="0" borderId="13" xfId="0" applyFont="1" applyBorder="1" applyAlignment="1">
      <alignment vertical="center"/>
    </xf>
    <xf numFmtId="0" fontId="19" fillId="0" borderId="15" xfId="0" applyFont="1" applyBorder="1" applyAlignment="1">
      <alignment vertical="center"/>
    </xf>
    <xf numFmtId="0" fontId="19" fillId="40" borderId="12" xfId="0" applyFont="1" applyFill="1" applyBorder="1" applyAlignment="1">
      <alignment horizontal="left" vertical="center"/>
    </xf>
    <xf numFmtId="0" fontId="19" fillId="40" borderId="13" xfId="0" applyFont="1" applyFill="1" applyBorder="1" applyAlignment="1">
      <alignment horizontal="left" vertical="center"/>
    </xf>
    <xf numFmtId="0" fontId="19" fillId="40" borderId="15" xfId="0" applyFont="1" applyFill="1" applyBorder="1" applyAlignment="1">
      <alignment horizontal="left" vertical="center"/>
    </xf>
    <xf numFmtId="0" fontId="19" fillId="0" borderId="13" xfId="0" applyFont="1" applyBorder="1" applyAlignment="1">
      <alignment horizontal="left" vertical="center"/>
    </xf>
    <xf numFmtId="0" fontId="19" fillId="40" borderId="16" xfId="0" applyFont="1" applyFill="1" applyBorder="1" applyAlignment="1">
      <alignment horizontal="left" vertical="center"/>
    </xf>
    <xf numFmtId="0" fontId="19" fillId="0" borderId="14" xfId="0" applyFont="1" applyBorder="1" applyAlignment="1">
      <alignment horizontal="left" vertical="center"/>
    </xf>
    <xf numFmtId="0" fontId="19" fillId="40" borderId="87" xfId="0" applyFont="1" applyFill="1" applyBorder="1" applyAlignment="1">
      <alignment horizontal="left" vertical="center"/>
    </xf>
    <xf numFmtId="0" fontId="19" fillId="40" borderId="1" xfId="0" applyFont="1" applyFill="1" applyBorder="1" applyAlignment="1">
      <alignment horizontal="left" vertical="center"/>
    </xf>
    <xf numFmtId="0" fontId="19" fillId="40" borderId="1" xfId="0" applyFont="1" applyFill="1" applyBorder="1" applyAlignment="1">
      <alignment vertical="center"/>
    </xf>
    <xf numFmtId="0" fontId="19" fillId="42" borderId="28" xfId="0" applyFont="1" applyFill="1" applyBorder="1" applyAlignment="1">
      <alignment vertical="center"/>
    </xf>
    <xf numFmtId="0" fontId="19" fillId="42" borderId="1" xfId="0" applyFont="1" applyFill="1" applyBorder="1" applyAlignment="1">
      <alignment vertical="center"/>
    </xf>
    <xf numFmtId="0" fontId="19" fillId="42" borderId="84" xfId="0" applyFont="1" applyFill="1" applyBorder="1" applyAlignment="1">
      <alignment vertical="center"/>
    </xf>
    <xf numFmtId="0" fontId="19" fillId="47" borderId="8" xfId="0" applyFont="1" applyFill="1" applyBorder="1" applyAlignment="1">
      <alignment vertical="center"/>
    </xf>
    <xf numFmtId="0" fontId="19" fillId="47" borderId="0" xfId="0" applyFont="1" applyFill="1" applyAlignment="1">
      <alignment vertical="center"/>
    </xf>
    <xf numFmtId="0" fontId="19" fillId="47" borderId="1" xfId="0" applyFont="1" applyFill="1" applyBorder="1" applyAlignment="1">
      <alignment vertical="center"/>
    </xf>
    <xf numFmtId="0" fontId="19" fillId="47" borderId="9" xfId="0" applyFont="1" applyFill="1" applyBorder="1" applyAlignment="1">
      <alignment vertical="center"/>
    </xf>
    <xf numFmtId="0" fontId="19" fillId="47" borderId="88" xfId="0" applyFont="1" applyFill="1" applyBorder="1" applyAlignment="1">
      <alignment vertical="center"/>
    </xf>
    <xf numFmtId="0" fontId="19" fillId="47" borderId="62" xfId="0" applyFont="1" applyFill="1" applyBorder="1" applyAlignment="1">
      <alignment horizontal="center" vertical="center"/>
    </xf>
    <xf numFmtId="0" fontId="19" fillId="47" borderId="89" xfId="0" applyFont="1" applyFill="1" applyBorder="1" applyAlignment="1">
      <alignment vertical="center"/>
    </xf>
    <xf numFmtId="0" fontId="19" fillId="47" borderId="62" xfId="0" applyFont="1" applyFill="1" applyBorder="1" applyAlignment="1">
      <alignment vertical="center"/>
    </xf>
    <xf numFmtId="0" fontId="19" fillId="47" borderId="90" xfId="0" applyFont="1" applyFill="1" applyBorder="1" applyAlignment="1">
      <alignment vertical="center"/>
    </xf>
    <xf numFmtId="0" fontId="90" fillId="0" borderId="21" xfId="0" applyFont="1" applyBorder="1" applyAlignment="1">
      <alignment horizontal="center" vertical="center" wrapText="1"/>
    </xf>
    <xf numFmtId="0" fontId="90" fillId="0" borderId="21" xfId="0" applyFont="1" applyBorder="1" applyAlignment="1">
      <alignment vertical="center"/>
    </xf>
    <xf numFmtId="0" fontId="90" fillId="0" borderId="19" xfId="0" applyFont="1" applyBorder="1" applyAlignment="1">
      <alignment vertical="center"/>
    </xf>
    <xf numFmtId="0" fontId="90" fillId="0" borderId="17" xfId="0" applyFont="1" applyBorder="1" applyAlignment="1">
      <alignment vertical="center"/>
    </xf>
    <xf numFmtId="0" fontId="90" fillId="0" borderId="21" xfId="0" applyFont="1" applyBorder="1" applyAlignment="1">
      <alignment horizontal="center" vertical="center"/>
    </xf>
    <xf numFmtId="0" fontId="18" fillId="0" borderId="91" xfId="0" applyFont="1" applyBorder="1" applyAlignment="1">
      <alignment horizontal="center" vertical="center" wrapText="1"/>
    </xf>
    <xf numFmtId="0" fontId="18" fillId="0" borderId="91" xfId="0" applyFont="1" applyBorder="1" applyAlignment="1">
      <alignment vertical="center"/>
    </xf>
    <xf numFmtId="0" fontId="18" fillId="0" borderId="92" xfId="0" applyFont="1" applyBorder="1" applyAlignment="1">
      <alignment vertical="center"/>
    </xf>
    <xf numFmtId="0" fontId="18" fillId="0" borderId="95" xfId="0" applyFont="1" applyBorder="1" applyAlignment="1">
      <alignment vertical="center"/>
    </xf>
    <xf numFmtId="0" fontId="18" fillId="0" borderId="91" xfId="0" applyFont="1" applyBorder="1" applyAlignment="1">
      <alignment horizontal="center" vertical="center"/>
    </xf>
    <xf numFmtId="0" fontId="15" fillId="0" borderId="0" xfId="0" applyFont="1"/>
    <xf numFmtId="0" fontId="15" fillId="0" borderId="0" xfId="0" applyFont="1" applyAlignment="1">
      <alignment vertical="top"/>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vertical="center" wrapText="1"/>
    </xf>
    <xf numFmtId="0" fontId="16" fillId="35" borderId="11" xfId="0" applyFont="1" applyFill="1" applyBorder="1" applyAlignment="1">
      <alignment vertical="center"/>
    </xf>
    <xf numFmtId="0" fontId="16" fillId="35" borderId="13" xfId="0" applyFont="1" applyFill="1" applyBorder="1" applyAlignment="1">
      <alignment vertical="center"/>
    </xf>
    <xf numFmtId="0" fontId="16" fillId="35" borderId="16" xfId="0" applyFont="1" applyFill="1" applyBorder="1" applyAlignment="1">
      <alignment vertical="center"/>
    </xf>
    <xf numFmtId="0" fontId="16" fillId="34" borderId="13" xfId="0" applyFont="1" applyFill="1" applyBorder="1" applyAlignment="1">
      <alignment vertical="center"/>
    </xf>
    <xf numFmtId="0" fontId="16" fillId="34" borderId="14" xfId="0" applyFont="1" applyFill="1" applyBorder="1"/>
    <xf numFmtId="0" fontId="18" fillId="0" borderId="8" xfId="0" applyFont="1" applyBorder="1" applyAlignment="1">
      <alignment vertical="center"/>
    </xf>
    <xf numFmtId="0" fontId="19"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8" fillId="0" borderId="6" xfId="0" applyFont="1" applyBorder="1" applyAlignment="1">
      <alignment vertical="center"/>
    </xf>
    <xf numFmtId="0" fontId="91" fillId="0" borderId="0" xfId="57489" applyFont="1">
      <alignment vertical="center"/>
    </xf>
    <xf numFmtId="0" fontId="92" fillId="0" borderId="0" xfId="57489" applyFont="1">
      <alignment vertical="center"/>
    </xf>
    <xf numFmtId="0" fontId="93" fillId="0" borderId="0" xfId="57489" applyFont="1">
      <alignment vertical="center"/>
    </xf>
    <xf numFmtId="0" fontId="93" fillId="0" borderId="0" xfId="57489" quotePrefix="1" applyFont="1">
      <alignment vertical="center"/>
    </xf>
    <xf numFmtId="0" fontId="93" fillId="0" borderId="29" xfId="57489" applyFont="1" applyBorder="1">
      <alignment vertical="center"/>
    </xf>
    <xf numFmtId="0" fontId="92" fillId="0" borderId="30" xfId="57489" applyFont="1" applyBorder="1">
      <alignment vertical="center"/>
    </xf>
    <xf numFmtId="0" fontId="94" fillId="0" borderId="0" xfId="57489" applyFont="1">
      <alignment vertical="center"/>
    </xf>
    <xf numFmtId="0" fontId="93" fillId="46" borderId="28" xfId="57489" applyFont="1" applyFill="1" applyBorder="1">
      <alignment vertical="center"/>
    </xf>
    <xf numFmtId="0" fontId="93" fillId="46" borderId="1" xfId="57489" applyFont="1" applyFill="1" applyBorder="1">
      <alignment vertical="center"/>
    </xf>
    <xf numFmtId="0" fontId="93" fillId="0" borderId="1" xfId="57489" applyFont="1" applyBorder="1">
      <alignment vertical="center"/>
    </xf>
    <xf numFmtId="0" fontId="92" fillId="0" borderId="1" xfId="57489" applyFont="1" applyBorder="1">
      <alignment vertical="center"/>
    </xf>
    <xf numFmtId="0" fontId="92" fillId="0" borderId="27" xfId="57489" applyFont="1" applyBorder="1">
      <alignment vertical="center"/>
    </xf>
    <xf numFmtId="0" fontId="93" fillId="36" borderId="28" xfId="57489" applyFont="1" applyFill="1" applyBorder="1">
      <alignment vertical="center"/>
    </xf>
    <xf numFmtId="0" fontId="93" fillId="36" borderId="1" xfId="57489" applyFont="1" applyFill="1" applyBorder="1">
      <alignment vertical="center"/>
    </xf>
    <xf numFmtId="0" fontId="93" fillId="36" borderId="27" xfId="57489" applyFont="1" applyFill="1" applyBorder="1">
      <alignment vertical="center"/>
    </xf>
    <xf numFmtId="0" fontId="91" fillId="36" borderId="1" xfId="57489" applyFont="1" applyFill="1" applyBorder="1">
      <alignment vertical="center"/>
    </xf>
    <xf numFmtId="0" fontId="91" fillId="36" borderId="27" xfId="57489" applyFont="1" applyFill="1" applyBorder="1">
      <alignment vertical="center"/>
    </xf>
    <xf numFmtId="0" fontId="18" fillId="0" borderId="0" xfId="57482" quotePrefix="1" applyFont="1" applyProtection="1">
      <protection locked="0"/>
    </xf>
    <xf numFmtId="0" fontId="19" fillId="36" borderId="0" xfId="0" applyFont="1" applyFill="1" applyAlignment="1">
      <alignment vertical="center"/>
    </xf>
    <xf numFmtId="0" fontId="18" fillId="31" borderId="29" xfId="224" applyFont="1" applyFill="1" applyBorder="1" applyAlignment="1">
      <alignment vertical="center"/>
    </xf>
    <xf numFmtId="0" fontId="18" fillId="31" borderId="97" xfId="224" applyFont="1" applyFill="1" applyBorder="1" applyAlignment="1">
      <alignment vertical="center"/>
    </xf>
    <xf numFmtId="0" fontId="18" fillId="31" borderId="98" xfId="224" applyFont="1" applyFill="1" applyBorder="1" applyAlignment="1">
      <alignment vertical="center"/>
    </xf>
    <xf numFmtId="0" fontId="18" fillId="31" borderId="99" xfId="224" applyFont="1" applyFill="1" applyBorder="1" applyAlignment="1">
      <alignment vertical="center"/>
    </xf>
    <xf numFmtId="0" fontId="18" fillId="31" borderId="28" xfId="224" applyFont="1" applyFill="1" applyBorder="1" applyAlignment="1">
      <alignment vertical="center"/>
    </xf>
    <xf numFmtId="0" fontId="18" fillId="31" borderId="1" xfId="224" applyFont="1" applyFill="1" applyBorder="1" applyAlignment="1">
      <alignment vertical="center"/>
    </xf>
    <xf numFmtId="0" fontId="18" fillId="31" borderId="1" xfId="224" applyFont="1" applyFill="1" applyBorder="1" applyAlignment="1">
      <alignment vertical="center" wrapText="1"/>
    </xf>
    <xf numFmtId="0" fontId="18" fillId="48" borderId="97" xfId="224" applyFont="1" applyFill="1" applyBorder="1" applyAlignment="1">
      <alignment vertical="center"/>
    </xf>
    <xf numFmtId="0" fontId="18" fillId="48" borderId="98" xfId="224" applyFont="1" applyFill="1" applyBorder="1" applyAlignment="1">
      <alignment vertical="center"/>
    </xf>
    <xf numFmtId="0" fontId="18" fillId="48" borderId="99" xfId="224" applyFont="1" applyFill="1" applyBorder="1" applyAlignment="1">
      <alignment vertical="center"/>
    </xf>
    <xf numFmtId="0" fontId="18" fillId="31" borderId="96" xfId="224" applyFont="1" applyFill="1" applyBorder="1" applyAlignment="1">
      <alignment vertical="center"/>
    </xf>
    <xf numFmtId="0" fontId="95" fillId="31" borderId="0" xfId="224" applyFont="1" applyFill="1" applyAlignment="1">
      <alignment vertical="center"/>
    </xf>
    <xf numFmtId="49" fontId="82" fillId="40" borderId="107" xfId="0" applyNumberFormat="1" applyFont="1" applyFill="1" applyBorder="1" applyAlignment="1">
      <alignment vertical="center" shrinkToFit="1"/>
    </xf>
    <xf numFmtId="49" fontId="19" fillId="40" borderId="108" xfId="0" applyNumberFormat="1" applyFont="1" applyFill="1" applyBorder="1" applyAlignment="1">
      <alignment vertical="center"/>
    </xf>
    <xf numFmtId="49" fontId="19" fillId="40" borderId="109" xfId="0" applyNumberFormat="1" applyFont="1" applyFill="1" applyBorder="1" applyAlignment="1">
      <alignment vertical="center"/>
    </xf>
    <xf numFmtId="49" fontId="19" fillId="40" borderId="110" xfId="0" applyNumberFormat="1" applyFont="1" applyFill="1" applyBorder="1" applyAlignment="1">
      <alignment vertical="center"/>
    </xf>
    <xf numFmtId="49" fontId="18" fillId="0" borderId="111" xfId="0" applyNumberFormat="1" applyFont="1" applyBorder="1" applyAlignment="1">
      <alignment vertical="center" shrinkToFit="1"/>
    </xf>
    <xf numFmtId="49" fontId="19" fillId="41" borderId="104" xfId="0" applyNumberFormat="1" applyFont="1" applyFill="1" applyBorder="1" applyAlignment="1">
      <alignment vertical="center"/>
    </xf>
    <xf numFmtId="49" fontId="18" fillId="41" borderId="104" xfId="0" applyNumberFormat="1" applyFont="1" applyFill="1" applyBorder="1" applyAlignment="1">
      <alignment vertical="center"/>
    </xf>
    <xf numFmtId="49" fontId="18" fillId="41" borderId="112" xfId="0" applyNumberFormat="1" applyFont="1" applyFill="1" applyBorder="1" applyAlignment="1">
      <alignment vertical="center"/>
    </xf>
    <xf numFmtId="49" fontId="18" fillId="0" borderId="8" xfId="0" applyNumberFormat="1" applyFont="1" applyBorder="1" applyAlignment="1">
      <alignment vertical="center"/>
    </xf>
    <xf numFmtId="49" fontId="18" fillId="0" borderId="0" xfId="0" applyNumberFormat="1" applyFont="1" applyAlignment="1">
      <alignment vertical="center"/>
    </xf>
    <xf numFmtId="49" fontId="18" fillId="0" borderId="113" xfId="0" applyNumberFormat="1" applyFont="1" applyBorder="1" applyAlignment="1">
      <alignment vertical="center" shrinkToFit="1"/>
    </xf>
    <xf numFmtId="49" fontId="18" fillId="0" borderId="29" xfId="0" applyNumberFormat="1" applyFont="1" applyBorder="1" applyAlignment="1">
      <alignment vertical="center"/>
    </xf>
    <xf numFmtId="49" fontId="18" fillId="0" borderId="30" xfId="0" applyNumberFormat="1" applyFont="1" applyBorder="1" applyAlignment="1">
      <alignment vertical="center"/>
    </xf>
    <xf numFmtId="49" fontId="18" fillId="0" borderId="9" xfId="0" applyNumberFormat="1" applyFont="1" applyBorder="1" applyAlignment="1">
      <alignment vertical="center"/>
    </xf>
    <xf numFmtId="49" fontId="18" fillId="0" borderId="87" xfId="0" applyNumberFormat="1" applyFont="1" applyBorder="1" applyAlignment="1">
      <alignment vertical="center" shrinkToFit="1"/>
    </xf>
    <xf numFmtId="49" fontId="18" fillId="0" borderId="28" xfId="0" applyNumberFormat="1" applyFont="1" applyBorder="1" applyAlignment="1">
      <alignment vertical="center"/>
    </xf>
    <xf numFmtId="49" fontId="18" fillId="0" borderId="1" xfId="0" applyNumberFormat="1" applyFont="1" applyBorder="1" applyAlignment="1">
      <alignment vertical="center"/>
    </xf>
    <xf numFmtId="49" fontId="18" fillId="0" borderId="27" xfId="0" applyNumberFormat="1" applyFont="1" applyBorder="1" applyAlignment="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8" fillId="0" borderId="0" xfId="0" applyFont="1" applyAlignment="1">
      <alignment vertical="center" shrinkToFit="1"/>
    </xf>
    <xf numFmtId="0" fontId="18" fillId="0" borderId="29" xfId="0" applyFont="1" applyBorder="1" applyAlignment="1">
      <alignment vertical="center"/>
    </xf>
    <xf numFmtId="0" fontId="18" fillId="0" borderId="30" xfId="0" applyFont="1" applyBorder="1" applyAlignment="1">
      <alignment vertical="center"/>
    </xf>
    <xf numFmtId="0" fontId="100" fillId="49" borderId="0" xfId="224" applyFont="1" applyFill="1" applyAlignment="1">
      <alignment vertical="center"/>
    </xf>
    <xf numFmtId="0" fontId="18" fillId="49" borderId="0" xfId="224" applyFont="1" applyFill="1" applyAlignment="1">
      <alignment vertical="center"/>
    </xf>
    <xf numFmtId="0" fontId="18" fillId="48" borderId="0" xfId="224" applyFont="1" applyFill="1" applyAlignment="1">
      <alignment vertical="center"/>
    </xf>
    <xf numFmtId="0" fontId="18" fillId="50" borderId="97" xfId="224" applyFont="1" applyFill="1" applyBorder="1" applyAlignment="1">
      <alignment vertical="center"/>
    </xf>
    <xf numFmtId="0" fontId="18" fillId="51" borderId="98" xfId="224" applyFont="1" applyFill="1" applyBorder="1" applyAlignment="1">
      <alignment vertical="center"/>
    </xf>
    <xf numFmtId="0" fontId="18" fillId="52" borderId="97" xfId="224" applyFont="1" applyFill="1" applyBorder="1" applyAlignment="1">
      <alignment vertical="center"/>
    </xf>
    <xf numFmtId="0" fontId="18" fillId="52" borderId="98" xfId="224" applyFont="1" applyFill="1" applyBorder="1" applyAlignment="1">
      <alignment vertical="center"/>
    </xf>
    <xf numFmtId="0" fontId="18" fillId="52" borderId="99" xfId="224" applyFont="1" applyFill="1" applyBorder="1" applyAlignment="1">
      <alignment vertical="center"/>
    </xf>
    <xf numFmtId="0" fontId="18" fillId="53" borderId="98" xfId="224" applyFont="1" applyFill="1" applyBorder="1" applyAlignment="1">
      <alignment vertical="center"/>
    </xf>
    <xf numFmtId="0" fontId="18" fillId="0" borderId="99" xfId="224" applyFont="1" applyBorder="1" applyAlignment="1">
      <alignment vertical="center"/>
    </xf>
    <xf numFmtId="0" fontId="18" fillId="0" borderId="98" xfId="224" applyFont="1" applyBorder="1" applyAlignment="1">
      <alignment vertical="center"/>
    </xf>
    <xf numFmtId="0" fontId="18" fillId="51" borderId="97" xfId="224" applyFont="1" applyFill="1" applyBorder="1" applyAlignment="1">
      <alignment vertical="center"/>
    </xf>
    <xf numFmtId="0" fontId="18" fillId="51" borderId="99" xfId="224" applyFont="1" applyFill="1" applyBorder="1" applyAlignment="1">
      <alignment vertical="center"/>
    </xf>
    <xf numFmtId="0" fontId="18" fillId="51" borderId="115" xfId="224" applyFont="1" applyFill="1" applyBorder="1" applyAlignment="1">
      <alignment vertical="center"/>
    </xf>
    <xf numFmtId="0" fontId="18" fillId="51" borderId="116" xfId="224" applyFont="1" applyFill="1" applyBorder="1" applyAlignment="1">
      <alignment vertical="center"/>
    </xf>
    <xf numFmtId="0" fontId="18" fillId="54" borderId="115" xfId="224" applyFont="1" applyFill="1" applyBorder="1" applyAlignment="1">
      <alignment vertical="center"/>
    </xf>
    <xf numFmtId="0" fontId="18" fillId="54" borderId="116" xfId="224" applyFont="1" applyFill="1" applyBorder="1" applyAlignment="1">
      <alignment vertical="center"/>
    </xf>
    <xf numFmtId="0" fontId="18" fillId="54" borderId="99" xfId="224" applyFont="1" applyFill="1" applyBorder="1" applyAlignment="1">
      <alignment vertical="center"/>
    </xf>
    <xf numFmtId="0" fontId="18" fillId="54" borderId="98" xfId="224" applyFont="1" applyFill="1" applyBorder="1" applyAlignment="1">
      <alignment vertical="center"/>
    </xf>
    <xf numFmtId="0" fontId="14" fillId="51" borderId="114" xfId="224" applyFont="1" applyFill="1" applyBorder="1" applyAlignment="1">
      <alignment vertical="center"/>
    </xf>
    <xf numFmtId="0" fontId="18" fillId="31" borderId="30" xfId="224" applyFont="1" applyFill="1" applyBorder="1" applyAlignment="1">
      <alignment vertical="center"/>
    </xf>
    <xf numFmtId="0" fontId="18" fillId="31" borderId="0" xfId="224" quotePrefix="1" applyFont="1" applyFill="1" applyAlignment="1">
      <alignment vertical="center"/>
    </xf>
    <xf numFmtId="0" fontId="18" fillId="48" borderId="0" xfId="224" applyFont="1" applyFill="1" applyAlignment="1">
      <alignment vertical="center" wrapText="1"/>
    </xf>
    <xf numFmtId="0" fontId="18" fillId="31" borderId="101" xfId="224" applyFont="1" applyFill="1" applyBorder="1" applyAlignment="1">
      <alignment vertical="center"/>
    </xf>
    <xf numFmtId="0" fontId="18" fillId="31" borderId="101" xfId="224" applyFont="1" applyFill="1" applyBorder="1" applyAlignment="1">
      <alignment vertical="center" wrapText="1"/>
    </xf>
    <xf numFmtId="0" fontId="96" fillId="49" borderId="103" xfId="224" applyFont="1" applyFill="1" applyBorder="1" applyAlignment="1">
      <alignment vertical="center"/>
    </xf>
    <xf numFmtId="0" fontId="96" fillId="49" borderId="105" xfId="224" applyFont="1" applyFill="1" applyBorder="1" applyAlignment="1">
      <alignment vertical="center"/>
    </xf>
    <xf numFmtId="0" fontId="96" fillId="49" borderId="104" xfId="224" applyFont="1" applyFill="1" applyBorder="1" applyAlignment="1">
      <alignment vertical="center"/>
    </xf>
    <xf numFmtId="0" fontId="14" fillId="31" borderId="103" xfId="224" quotePrefix="1" applyFont="1" applyFill="1" applyBorder="1" applyAlignment="1">
      <alignment vertical="center"/>
    </xf>
    <xf numFmtId="0" fontId="14" fillId="31" borderId="104" xfId="224" applyFont="1" applyFill="1" applyBorder="1" applyAlignment="1">
      <alignment vertical="center"/>
    </xf>
    <xf numFmtId="0" fontId="14" fillId="31" borderId="103" xfId="224" applyFont="1" applyFill="1" applyBorder="1" applyAlignment="1">
      <alignment vertical="center"/>
    </xf>
    <xf numFmtId="0" fontId="14" fillId="31" borderId="105" xfId="224" applyFont="1" applyFill="1" applyBorder="1" applyAlignment="1">
      <alignment vertical="center"/>
    </xf>
    <xf numFmtId="0" fontId="101" fillId="55" borderId="119" xfId="0" applyFont="1" applyFill="1" applyBorder="1" applyAlignment="1">
      <alignment vertical="center"/>
    </xf>
    <xf numFmtId="0" fontId="72" fillId="55" borderId="10" xfId="0" applyFont="1" applyFill="1" applyBorder="1" applyAlignment="1">
      <alignment vertical="center"/>
    </xf>
    <xf numFmtId="0" fontId="72" fillId="55" borderId="120" xfId="0" applyFont="1" applyFill="1" applyBorder="1" applyAlignment="1">
      <alignment vertical="center"/>
    </xf>
    <xf numFmtId="0" fontId="72" fillId="35" borderId="11" xfId="0" applyFont="1" applyFill="1" applyBorder="1" applyAlignment="1">
      <alignment vertical="center"/>
    </xf>
    <xf numFmtId="49" fontId="72" fillId="35" borderId="23" xfId="0" applyNumberFormat="1" applyFont="1" applyFill="1" applyBorder="1" applyAlignment="1">
      <alignment vertical="center"/>
    </xf>
    <xf numFmtId="0" fontId="72" fillId="35" borderId="13" xfId="0" applyFont="1" applyFill="1" applyBorder="1" applyAlignment="1">
      <alignment vertical="center"/>
    </xf>
    <xf numFmtId="0" fontId="72" fillId="35" borderId="15" xfId="0" applyFont="1" applyFill="1" applyBorder="1" applyAlignment="1">
      <alignment vertical="center"/>
    </xf>
    <xf numFmtId="49" fontId="72" fillId="35" borderId="13" xfId="0" applyNumberFormat="1" applyFont="1" applyFill="1" applyBorder="1" applyAlignment="1">
      <alignment vertical="center"/>
    </xf>
    <xf numFmtId="0" fontId="23" fillId="0" borderId="104" xfId="0" applyFont="1" applyBorder="1" applyAlignment="1">
      <alignment vertical="center"/>
    </xf>
    <xf numFmtId="0" fontId="23" fillId="0" borderId="105" xfId="0" applyFont="1" applyBorder="1" applyAlignment="1">
      <alignment vertical="center"/>
    </xf>
    <xf numFmtId="0" fontId="23" fillId="0" borderId="101" xfId="0" applyFont="1" applyBorder="1" applyAlignment="1">
      <alignment vertical="center"/>
    </xf>
    <xf numFmtId="0" fontId="23" fillId="0" borderId="102" xfId="0" applyFont="1" applyBorder="1" applyAlignment="1">
      <alignment vertical="center"/>
    </xf>
    <xf numFmtId="0" fontId="18" fillId="0" borderId="104" xfId="0" applyFont="1" applyBorder="1" applyAlignment="1">
      <alignment vertical="center"/>
    </xf>
    <xf numFmtId="0" fontId="23" fillId="0" borderId="103" xfId="0" applyFont="1" applyBorder="1" applyAlignment="1">
      <alignment vertical="center"/>
    </xf>
    <xf numFmtId="0" fontId="18" fillId="0" borderId="59" xfId="0" applyFont="1" applyBorder="1" applyAlignment="1">
      <alignment vertical="center"/>
    </xf>
    <xf numFmtId="0" fontId="18" fillId="0" borderId="122" xfId="0" applyFont="1" applyBorder="1" applyAlignment="1">
      <alignment vertical="center"/>
    </xf>
    <xf numFmtId="0" fontId="19" fillId="40" borderId="104" xfId="0" applyFont="1" applyFill="1" applyBorder="1" applyAlignment="1">
      <alignment horizontal="left" vertical="center"/>
    </xf>
    <xf numFmtId="0" fontId="19" fillId="40" borderId="104" xfId="0" applyFont="1" applyFill="1" applyBorder="1" applyAlignment="1">
      <alignment vertical="center"/>
    </xf>
    <xf numFmtId="0" fontId="19" fillId="42" borderId="103" xfId="0" applyFont="1" applyFill="1" applyBorder="1" applyAlignment="1">
      <alignment vertical="center"/>
    </xf>
    <xf numFmtId="0" fontId="19" fillId="42" borderId="104" xfId="0" applyFont="1" applyFill="1" applyBorder="1" applyAlignment="1">
      <alignment vertical="center"/>
    </xf>
    <xf numFmtId="0" fontId="19" fillId="0" borderId="104" xfId="0" applyFont="1" applyBorder="1" applyAlignment="1">
      <alignment horizontal="left" vertical="center"/>
    </xf>
    <xf numFmtId="0" fontId="19" fillId="0" borderId="104" xfId="0" applyFont="1" applyBorder="1" applyAlignment="1">
      <alignment vertical="center"/>
    </xf>
    <xf numFmtId="0" fontId="19" fillId="40" borderId="105" xfId="0" applyFont="1" applyFill="1" applyBorder="1" applyAlignment="1">
      <alignment horizontal="left" vertical="center"/>
    </xf>
    <xf numFmtId="0" fontId="19" fillId="42" borderId="112" xfId="0" applyFont="1" applyFill="1" applyBorder="1" applyAlignment="1">
      <alignment vertical="center"/>
    </xf>
    <xf numFmtId="0" fontId="19" fillId="47" borderId="103" xfId="0" applyFont="1" applyFill="1" applyBorder="1" applyAlignment="1">
      <alignment vertical="center"/>
    </xf>
    <xf numFmtId="0" fontId="19" fillId="47" borderId="104" xfId="0" applyFont="1" applyFill="1" applyBorder="1" applyAlignment="1">
      <alignment vertical="center"/>
    </xf>
    <xf numFmtId="0" fontId="19" fillId="47" borderId="123" xfId="0" applyFont="1" applyFill="1" applyBorder="1" applyAlignment="1">
      <alignment vertical="center"/>
    </xf>
    <xf numFmtId="0" fontId="18" fillId="0" borderId="103" xfId="0" applyFont="1" applyBorder="1" applyAlignment="1">
      <alignment horizontal="center" vertical="center" wrapText="1"/>
    </xf>
    <xf numFmtId="0" fontId="18" fillId="0" borderId="105" xfId="0" applyFont="1" applyBorder="1" applyAlignment="1">
      <alignment vertical="center"/>
    </xf>
    <xf numFmtId="0" fontId="18" fillId="0" borderId="103" xfId="0" applyFont="1" applyBorder="1" applyAlignment="1">
      <alignment vertical="center"/>
    </xf>
    <xf numFmtId="0" fontId="18" fillId="0" borderId="103" xfId="0" applyFont="1" applyBorder="1" applyAlignment="1">
      <alignment horizontal="center" vertical="center"/>
    </xf>
    <xf numFmtId="0" fontId="18" fillId="0" borderId="103" xfId="0" applyFont="1" applyBorder="1" applyAlignment="1">
      <alignment vertical="top"/>
    </xf>
    <xf numFmtId="0" fontId="18" fillId="0" borderId="104" xfId="0" applyFont="1" applyBorder="1" applyAlignment="1">
      <alignment vertical="top"/>
    </xf>
    <xf numFmtId="0" fontId="18" fillId="0" borderId="112" xfId="0" applyFont="1" applyBorder="1" applyAlignment="1">
      <alignment vertical="top"/>
    </xf>
    <xf numFmtId="0" fontId="18" fillId="0" borderId="21" xfId="0" applyFont="1" applyBorder="1" applyAlignment="1">
      <alignment horizontal="center" vertical="center" wrapText="1"/>
    </xf>
    <xf numFmtId="0" fontId="18" fillId="0" borderId="21" xfId="0" applyFont="1" applyBorder="1" applyAlignment="1">
      <alignment horizontal="center" vertical="center"/>
    </xf>
    <xf numFmtId="0" fontId="18" fillId="0" borderId="21" xfId="0" applyFont="1" applyBorder="1" applyAlignment="1">
      <alignment vertical="top"/>
    </xf>
    <xf numFmtId="0" fontId="18" fillId="0" borderId="19" xfId="0" applyFont="1" applyBorder="1" applyAlignment="1">
      <alignment vertical="top"/>
    </xf>
    <xf numFmtId="0" fontId="18" fillId="0" borderId="20" xfId="0" applyFont="1" applyBorder="1" applyAlignment="1">
      <alignment vertical="top"/>
    </xf>
    <xf numFmtId="0" fontId="18" fillId="0" borderId="93" xfId="0" applyFont="1" applyBorder="1" applyAlignment="1">
      <alignment vertical="center"/>
    </xf>
    <xf numFmtId="0" fontId="18" fillId="0" borderId="101" xfId="0" applyFont="1" applyBorder="1" applyAlignment="1">
      <alignment vertical="center"/>
    </xf>
    <xf numFmtId="0" fontId="18" fillId="0" borderId="102" xfId="0" applyFont="1" applyBorder="1" applyAlignment="1">
      <alignment vertical="center"/>
    </xf>
    <xf numFmtId="0" fontId="18" fillId="0" borderId="101" xfId="0" applyFont="1" applyBorder="1" applyAlignment="1">
      <alignment vertical="top"/>
    </xf>
    <xf numFmtId="0" fontId="18" fillId="0" borderId="106" xfId="0" applyFont="1" applyBorder="1" applyAlignment="1">
      <alignment vertical="top"/>
    </xf>
    <xf numFmtId="0" fontId="14" fillId="31" borderId="125" xfId="224" applyFont="1" applyFill="1" applyBorder="1" applyAlignment="1">
      <alignment vertical="center"/>
    </xf>
    <xf numFmtId="0" fontId="95" fillId="31" borderId="0" xfId="224" applyFont="1" applyFill="1" applyAlignment="1">
      <alignment horizontal="center" vertical="center"/>
    </xf>
    <xf numFmtId="0" fontId="100" fillId="56" borderId="96" xfId="224" applyFont="1" applyFill="1" applyBorder="1" applyAlignment="1">
      <alignment horizontal="center" vertical="center"/>
    </xf>
    <xf numFmtId="0" fontId="100" fillId="56" borderId="126" xfId="224" applyFont="1" applyFill="1" applyBorder="1" applyAlignment="1">
      <alignment horizontal="center" vertical="center"/>
    </xf>
    <xf numFmtId="0" fontId="18" fillId="57" borderId="101" xfId="224" applyFont="1" applyFill="1" applyBorder="1" applyAlignment="1">
      <alignment vertical="center"/>
    </xf>
    <xf numFmtId="0" fontId="18" fillId="54" borderId="97" xfId="224" applyFont="1" applyFill="1" applyBorder="1" applyAlignment="1">
      <alignment vertical="center"/>
    </xf>
    <xf numFmtId="0" fontId="14" fillId="31" borderId="104" xfId="224" quotePrefix="1" applyFont="1" applyFill="1" applyBorder="1" applyAlignment="1">
      <alignment vertical="center"/>
    </xf>
    <xf numFmtId="0" fontId="14" fillId="31" borderId="24" xfId="224" quotePrefix="1" applyFont="1" applyFill="1" applyBorder="1" applyAlignment="1">
      <alignment vertical="center"/>
    </xf>
    <xf numFmtId="0" fontId="14" fillId="31" borderId="128" xfId="224" applyFont="1" applyFill="1" applyBorder="1" applyAlignment="1">
      <alignment vertical="center"/>
    </xf>
    <xf numFmtId="183" fontId="14" fillId="31" borderId="103" xfId="224" applyNumberFormat="1" applyFont="1" applyFill="1" applyBorder="1" applyAlignment="1">
      <alignment vertical="center"/>
    </xf>
    <xf numFmtId="183" fontId="14" fillId="31" borderId="104" xfId="224" applyNumberFormat="1" applyFont="1" applyFill="1" applyBorder="1" applyAlignment="1">
      <alignment vertical="center"/>
    </xf>
    <xf numFmtId="183" fontId="14" fillId="31" borderId="105" xfId="224" applyNumberFormat="1" applyFont="1" applyFill="1" applyBorder="1" applyAlignment="1">
      <alignment vertical="center"/>
    </xf>
    <xf numFmtId="0" fontId="96" fillId="49" borderId="101" xfId="224" applyFont="1" applyFill="1" applyBorder="1" applyAlignment="1">
      <alignment vertical="center"/>
    </xf>
    <xf numFmtId="0" fontId="96" fillId="49" borderId="102" xfId="224" applyFont="1" applyFill="1" applyBorder="1" applyAlignment="1">
      <alignment vertical="center"/>
    </xf>
    <xf numFmtId="0" fontId="96" fillId="49" borderId="28" xfId="224" applyFont="1" applyFill="1" applyBorder="1" applyAlignment="1">
      <alignment vertical="center"/>
    </xf>
    <xf numFmtId="0" fontId="96" fillId="49" borderId="1" xfId="224" applyFont="1" applyFill="1" applyBorder="1" applyAlignment="1">
      <alignment vertical="center"/>
    </xf>
    <xf numFmtId="0" fontId="96" fillId="49" borderId="27" xfId="224" applyFont="1" applyFill="1" applyBorder="1" applyAlignment="1">
      <alignment vertical="center"/>
    </xf>
    <xf numFmtId="0" fontId="0" fillId="58" borderId="102" xfId="0" applyFill="1" applyBorder="1" applyAlignment="1">
      <alignment vertical="center"/>
    </xf>
    <xf numFmtId="0" fontId="0" fillId="58" borderId="27" xfId="0" applyFill="1" applyBorder="1" applyAlignment="1">
      <alignment vertical="center"/>
    </xf>
    <xf numFmtId="0" fontId="19" fillId="0" borderId="112" xfId="0" applyFont="1" applyBorder="1" applyAlignment="1">
      <alignment vertical="center"/>
    </xf>
    <xf numFmtId="0" fontId="15" fillId="0" borderId="0" xfId="57481" applyFont="1"/>
    <xf numFmtId="0" fontId="14" fillId="0" borderId="0" xfId="57481" applyFont="1"/>
    <xf numFmtId="0" fontId="14" fillId="0" borderId="0" xfId="57481" applyFont="1" applyAlignment="1">
      <alignment vertical="top"/>
    </xf>
    <xf numFmtId="0" fontId="14" fillId="0" borderId="0" xfId="57481" applyFont="1" applyAlignment="1">
      <alignment vertical="center"/>
    </xf>
    <xf numFmtId="0" fontId="14" fillId="0" borderId="0" xfId="57481" applyFont="1" applyAlignment="1">
      <alignment vertical="center" wrapText="1"/>
    </xf>
    <xf numFmtId="0" fontId="14"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2" fillId="0" borderId="0" xfId="57492" applyFont="1" applyAlignment="1"/>
    <xf numFmtId="0" fontId="14" fillId="0" borderId="104" xfId="57493" applyFont="1" applyBorder="1">
      <alignment vertical="center"/>
    </xf>
    <xf numFmtId="0" fontId="14" fillId="0" borderId="112" xfId="57493" applyFont="1" applyBorder="1">
      <alignment vertical="center"/>
    </xf>
    <xf numFmtId="0" fontId="14" fillId="0" borderId="0" xfId="57492" applyFont="1" applyAlignment="1">
      <alignment horizontal="right" vertical="center"/>
    </xf>
    <xf numFmtId="0" fontId="14" fillId="0" borderId="103" xfId="57492" applyFont="1" applyBorder="1">
      <alignment vertical="center"/>
    </xf>
    <xf numFmtId="0" fontId="14" fillId="0" borderId="104" xfId="57492" applyFont="1" applyBorder="1">
      <alignment vertical="center"/>
    </xf>
    <xf numFmtId="0" fontId="14" fillId="0" borderId="105" xfId="57492" applyFont="1" applyBorder="1">
      <alignment vertical="center"/>
    </xf>
    <xf numFmtId="0" fontId="14" fillId="0" borderId="0" xfId="57481" applyFont="1" applyAlignment="1">
      <alignment vertical="center" shrinkToFit="1"/>
    </xf>
    <xf numFmtId="0" fontId="18" fillId="59" borderId="0" xfId="224" applyFont="1" applyFill="1" applyAlignment="1">
      <alignment horizontal="center" vertical="center"/>
    </xf>
    <xf numFmtId="0" fontId="104" fillId="59" borderId="0" xfId="224" applyFont="1" applyFill="1" applyAlignment="1">
      <alignment horizontal="center" vertical="center"/>
    </xf>
    <xf numFmtId="0" fontId="14" fillId="0" borderId="104" xfId="0" applyFont="1" applyBorder="1" applyAlignment="1">
      <alignment vertical="center"/>
    </xf>
    <xf numFmtId="49" fontId="19" fillId="60" borderId="119" xfId="0" applyNumberFormat="1" applyFont="1" applyFill="1" applyBorder="1" applyAlignment="1">
      <alignment vertical="center"/>
    </xf>
    <xf numFmtId="0" fontId="18" fillId="60" borderId="10" xfId="0" applyFont="1" applyFill="1" applyBorder="1" applyAlignment="1">
      <alignment vertical="center"/>
    </xf>
    <xf numFmtId="49" fontId="19" fillId="60" borderId="10" xfId="0" applyNumberFormat="1" applyFont="1" applyFill="1" applyBorder="1" applyAlignment="1">
      <alignment vertical="center"/>
    </xf>
    <xf numFmtId="49" fontId="18" fillId="60" borderId="10" xfId="0" applyNumberFormat="1" applyFont="1" applyFill="1" applyBorder="1" applyAlignment="1">
      <alignment vertical="center"/>
    </xf>
    <xf numFmtId="49" fontId="18" fillId="60" borderId="120" xfId="0" applyNumberFormat="1" applyFont="1" applyFill="1" applyBorder="1" applyAlignment="1">
      <alignment vertical="center"/>
    </xf>
    <xf numFmtId="0" fontId="18" fillId="0" borderId="112" xfId="0" applyFont="1" applyBorder="1" applyAlignment="1">
      <alignment vertical="center"/>
    </xf>
    <xf numFmtId="0" fontId="18" fillId="0" borderId="101" xfId="0" applyFont="1" applyBorder="1" applyAlignment="1">
      <alignment horizontal="center" vertical="center"/>
    </xf>
    <xf numFmtId="0" fontId="18" fillId="0" borderId="101" xfId="0" applyFont="1" applyBorder="1" applyAlignment="1">
      <alignment vertical="center" wrapText="1"/>
    </xf>
    <xf numFmtId="0" fontId="18" fillId="0" borderId="106" xfId="0" applyFont="1" applyBorder="1" applyAlignment="1">
      <alignment vertical="center"/>
    </xf>
    <xf numFmtId="0" fontId="19" fillId="0" borderId="8" xfId="0" applyFont="1" applyBorder="1" applyAlignment="1">
      <alignment vertical="center"/>
    </xf>
    <xf numFmtId="0" fontId="103" fillId="33" borderId="103" xfId="0" applyFont="1" applyFill="1" applyBorder="1" applyAlignment="1">
      <alignment vertical="center"/>
    </xf>
    <xf numFmtId="0" fontId="103" fillId="33" borderId="105" xfId="0" applyFont="1" applyFill="1" applyBorder="1" applyAlignment="1">
      <alignment vertical="center"/>
    </xf>
    <xf numFmtId="0" fontId="103" fillId="33" borderId="104" xfId="0" applyFont="1" applyFill="1" applyBorder="1" applyAlignment="1">
      <alignment vertical="center"/>
    </xf>
    <xf numFmtId="0" fontId="103" fillId="33" borderId="104" xfId="0" applyFont="1" applyFill="1" applyBorder="1" applyAlignment="1">
      <alignment horizontal="left" vertical="center"/>
    </xf>
    <xf numFmtId="0" fontId="103" fillId="33" borderId="104" xfId="0" applyFont="1" applyFill="1" applyBorder="1" applyAlignment="1">
      <alignment horizontal="center" vertical="center"/>
    </xf>
    <xf numFmtId="0" fontId="19" fillId="0" borderId="9" xfId="0" applyFont="1" applyBorder="1" applyAlignment="1">
      <alignment vertical="center"/>
    </xf>
    <xf numFmtId="0" fontId="103" fillId="0" borderId="104" xfId="0" applyFont="1" applyBorder="1" applyAlignment="1">
      <alignment vertical="center"/>
    </xf>
    <xf numFmtId="0" fontId="103" fillId="0" borderId="104" xfId="0" applyFont="1" applyBorder="1" applyAlignment="1">
      <alignment horizontal="left" vertical="center"/>
    </xf>
    <xf numFmtId="0" fontId="103" fillId="0" borderId="104" xfId="0" applyFont="1" applyBorder="1" applyAlignment="1">
      <alignment horizontal="center" vertical="center"/>
    </xf>
    <xf numFmtId="0" fontId="19" fillId="0" borderId="59" xfId="0" applyFont="1" applyBorder="1" applyAlignment="1">
      <alignment vertical="center"/>
    </xf>
    <xf numFmtId="0" fontId="18" fillId="0" borderId="59" xfId="0" applyFont="1" applyBorder="1" applyAlignment="1">
      <alignment horizontal="center" vertical="center"/>
    </xf>
    <xf numFmtId="0" fontId="18" fillId="0" borderId="59" xfId="0" applyFont="1" applyBorder="1" applyAlignment="1">
      <alignment vertical="center" wrapText="1"/>
    </xf>
    <xf numFmtId="0" fontId="103" fillId="0" borderId="103" xfId="0" applyFont="1" applyBorder="1" applyAlignment="1">
      <alignment vertical="center"/>
    </xf>
    <xf numFmtId="0" fontId="103" fillId="0" borderId="105" xfId="0" applyFont="1" applyBorder="1" applyAlignment="1">
      <alignment vertical="center"/>
    </xf>
    <xf numFmtId="0" fontId="14" fillId="0" borderId="103" xfId="57493" applyFont="1" applyBorder="1">
      <alignment vertical="center"/>
    </xf>
    <xf numFmtId="0" fontId="14" fillId="0" borderId="105" xfId="57493" applyFont="1" applyBorder="1">
      <alignment vertical="center"/>
    </xf>
    <xf numFmtId="49" fontId="105" fillId="0" borderId="0" xfId="57490" applyNumberFormat="1" applyFont="1">
      <alignment vertical="center"/>
    </xf>
    <xf numFmtId="49" fontId="106" fillId="0" borderId="0" xfId="57490" applyNumberFormat="1" applyFont="1">
      <alignment vertical="center"/>
    </xf>
    <xf numFmtId="49" fontId="106" fillId="0" borderId="0" xfId="0" applyNumberFormat="1" applyFont="1" applyAlignment="1">
      <alignment vertical="center"/>
    </xf>
    <xf numFmtId="49" fontId="107" fillId="0" borderId="0" xfId="57490" applyNumberFormat="1" applyFont="1">
      <alignment vertical="center"/>
    </xf>
    <xf numFmtId="0" fontId="14" fillId="0" borderId="101" xfId="57493" applyFont="1" applyBorder="1">
      <alignment vertical="center"/>
    </xf>
    <xf numFmtId="0" fontId="14" fillId="0" borderId="102" xfId="57493" applyFont="1" applyBorder="1">
      <alignment vertical="center"/>
    </xf>
    <xf numFmtId="0" fontId="14" fillId="0" borderId="106" xfId="57493" applyFont="1" applyBorder="1">
      <alignment vertical="center"/>
    </xf>
    <xf numFmtId="0" fontId="14" fillId="0" borderId="29" xfId="57493" applyFont="1" applyBorder="1">
      <alignment vertical="center"/>
    </xf>
    <xf numFmtId="0" fontId="14" fillId="0" borderId="0" xfId="57493" applyFont="1">
      <alignment vertical="center"/>
    </xf>
    <xf numFmtId="0" fontId="14" fillId="0" borderId="30" xfId="57493" applyFont="1" applyBorder="1">
      <alignment vertical="center"/>
    </xf>
    <xf numFmtId="0" fontId="14" fillId="0" borderId="29" xfId="57492" applyFont="1" applyBorder="1">
      <alignment vertical="center"/>
    </xf>
    <xf numFmtId="0" fontId="14" fillId="0" borderId="0" xfId="57492" applyFont="1">
      <alignment vertical="center"/>
    </xf>
    <xf numFmtId="0" fontId="14" fillId="0" borderId="30" xfId="57492" applyFont="1" applyBorder="1">
      <alignment vertical="center"/>
    </xf>
    <xf numFmtId="0" fontId="14" fillId="0" borderId="9" xfId="57492" applyFont="1" applyBorder="1">
      <alignment vertical="center"/>
    </xf>
    <xf numFmtId="0" fontId="14" fillId="0" borderId="28" xfId="57493" applyFont="1" applyBorder="1">
      <alignment vertical="center"/>
    </xf>
    <xf numFmtId="0" fontId="14" fillId="0" borderId="1" xfId="57493" applyFont="1" applyBorder="1">
      <alignment vertical="center"/>
    </xf>
    <xf numFmtId="0" fontId="14" fillId="0" borderId="27" xfId="57493" applyFont="1" applyBorder="1">
      <alignment vertical="center"/>
    </xf>
    <xf numFmtId="0" fontId="14" fillId="0" borderId="28" xfId="57492" applyFont="1" applyBorder="1">
      <alignment vertical="center"/>
    </xf>
    <xf numFmtId="0" fontId="14" fillId="0" borderId="1" xfId="57492" applyFont="1" applyBorder="1">
      <alignment vertical="center"/>
    </xf>
    <xf numFmtId="0" fontId="14" fillId="0" borderId="27" xfId="57492" applyFont="1" applyBorder="1">
      <alignment vertical="center"/>
    </xf>
    <xf numFmtId="0" fontId="14" fillId="0" borderId="84" xfId="57492" applyFont="1" applyBorder="1">
      <alignment vertical="center"/>
    </xf>
    <xf numFmtId="0" fontId="14" fillId="0" borderId="112" xfId="57492" applyFont="1" applyBorder="1">
      <alignment vertical="center"/>
    </xf>
    <xf numFmtId="0" fontId="14" fillId="0" borderId="21" xfId="57493" applyFont="1" applyBorder="1">
      <alignment vertical="center"/>
    </xf>
    <xf numFmtId="0" fontId="14" fillId="0" borderId="19" xfId="57493" applyFont="1" applyBorder="1">
      <alignment vertical="center"/>
    </xf>
    <xf numFmtId="0" fontId="14" fillId="0" borderId="17" xfId="57493" applyFont="1" applyBorder="1">
      <alignment vertical="center"/>
    </xf>
    <xf numFmtId="0" fontId="14" fillId="0" borderId="21" xfId="57492" applyFont="1" applyBorder="1">
      <alignment vertical="center"/>
    </xf>
    <xf numFmtId="0" fontId="14" fillId="0" borderId="19" xfId="57492" applyFont="1" applyBorder="1">
      <alignment vertical="center"/>
    </xf>
    <xf numFmtId="0" fontId="14" fillId="0" borderId="17" xfId="57492" applyFont="1" applyBorder="1">
      <alignment vertical="center"/>
    </xf>
    <xf numFmtId="0" fontId="14" fillId="0" borderId="20" xfId="57492" applyFont="1" applyBorder="1">
      <alignment vertical="center"/>
    </xf>
    <xf numFmtId="49" fontId="108" fillId="40" borderId="107" xfId="0" applyNumberFormat="1" applyFont="1" applyFill="1" applyBorder="1" applyAlignment="1">
      <alignment vertical="center" shrinkToFit="1"/>
    </xf>
    <xf numFmtId="49" fontId="108" fillId="40" borderId="108" xfId="0" applyNumberFormat="1" applyFont="1" applyFill="1" applyBorder="1" applyAlignment="1">
      <alignment vertical="center"/>
    </xf>
    <xf numFmtId="49" fontId="108" fillId="40" borderId="109" xfId="0" applyNumberFormat="1" applyFont="1" applyFill="1" applyBorder="1" applyAlignment="1">
      <alignment vertical="center"/>
    </xf>
    <xf numFmtId="49" fontId="108" fillId="40" borderId="110" xfId="0" applyNumberFormat="1" applyFont="1" applyFill="1" applyBorder="1" applyAlignment="1">
      <alignment vertical="center"/>
    </xf>
    <xf numFmtId="49" fontId="106" fillId="0" borderId="111" xfId="0" applyNumberFormat="1" applyFont="1" applyBorder="1" applyAlignment="1">
      <alignment vertical="center" shrinkToFit="1"/>
    </xf>
    <xf numFmtId="49" fontId="108" fillId="41" borderId="104" xfId="0" applyNumberFormat="1" applyFont="1" applyFill="1" applyBorder="1" applyAlignment="1">
      <alignment vertical="center"/>
    </xf>
    <xf numFmtId="49" fontId="106" fillId="41" borderId="104" xfId="0" applyNumberFormat="1" applyFont="1" applyFill="1" applyBorder="1" applyAlignment="1">
      <alignment vertical="center"/>
    </xf>
    <xf numFmtId="49" fontId="106" fillId="41" borderId="112" xfId="0" applyNumberFormat="1" applyFont="1" applyFill="1" applyBorder="1" applyAlignment="1">
      <alignment vertical="center"/>
    </xf>
    <xf numFmtId="49" fontId="106" fillId="0" borderId="113" xfId="0" applyNumberFormat="1" applyFont="1" applyBorder="1" applyAlignment="1">
      <alignment vertical="center" shrinkToFit="1"/>
    </xf>
    <xf numFmtId="49" fontId="106" fillId="0" borderId="29" xfId="0" applyNumberFormat="1" applyFont="1" applyBorder="1" applyAlignment="1">
      <alignment vertical="center"/>
    </xf>
    <xf numFmtId="49" fontId="106" fillId="0" borderId="30" xfId="0" applyNumberFormat="1" applyFont="1" applyBorder="1" applyAlignment="1">
      <alignment vertical="center"/>
    </xf>
    <xf numFmtId="0" fontId="106" fillId="0" borderId="0" xfId="57491" applyFont="1" applyAlignment="1">
      <alignment vertical="center"/>
    </xf>
    <xf numFmtId="49" fontId="106" fillId="0" borderId="9" xfId="0" applyNumberFormat="1" applyFont="1" applyBorder="1" applyAlignment="1">
      <alignment vertical="center"/>
    </xf>
    <xf numFmtId="49" fontId="106" fillId="0" borderId="0" xfId="0" applyNumberFormat="1" applyFont="1" applyAlignment="1">
      <alignment horizontal="left" vertical="center"/>
    </xf>
    <xf numFmtId="49" fontId="105" fillId="0" borderId="0" xfId="0" applyNumberFormat="1" applyFont="1" applyAlignment="1">
      <alignment vertical="center"/>
    </xf>
    <xf numFmtId="49" fontId="106" fillId="0" borderId="87" xfId="0" applyNumberFormat="1" applyFont="1" applyBorder="1" applyAlignment="1">
      <alignment vertical="center" shrinkToFit="1"/>
    </xf>
    <xf numFmtId="49" fontId="106" fillId="0" borderId="28" xfId="0" applyNumberFormat="1" applyFont="1" applyBorder="1" applyAlignment="1">
      <alignment vertical="center"/>
    </xf>
    <xf numFmtId="49" fontId="106" fillId="0" borderId="1" xfId="0" applyNumberFormat="1" applyFont="1" applyBorder="1" applyAlignment="1">
      <alignment vertical="center"/>
    </xf>
    <xf numFmtId="49" fontId="106" fillId="0" borderId="27" xfId="0" applyNumberFormat="1" applyFont="1" applyBorder="1" applyAlignment="1">
      <alignment vertical="center"/>
    </xf>
    <xf numFmtId="49" fontId="106" fillId="0" borderId="29" xfId="57490" applyNumberFormat="1" applyFont="1" applyBorder="1">
      <alignment vertical="center"/>
    </xf>
    <xf numFmtId="0" fontId="106" fillId="0" borderId="0" xfId="0" applyFont="1" applyAlignment="1">
      <alignment vertical="center"/>
    </xf>
    <xf numFmtId="0" fontId="107" fillId="0" borderId="0" xfId="0" applyFont="1" applyAlignment="1">
      <alignment vertical="center"/>
    </xf>
    <xf numFmtId="0" fontId="106" fillId="0" borderId="6" xfId="0" applyFont="1" applyBorder="1" applyAlignment="1">
      <alignment vertical="center" shrinkToFit="1"/>
    </xf>
    <xf numFmtId="0" fontId="106" fillId="0" borderId="121" xfId="0" applyFont="1" applyBorder="1" applyAlignment="1">
      <alignment vertical="center"/>
    </xf>
    <xf numFmtId="0" fontId="106" fillId="0" borderId="59" xfId="0" applyFont="1" applyBorder="1" applyAlignment="1">
      <alignment vertical="center"/>
    </xf>
    <xf numFmtId="0" fontId="106" fillId="0" borderId="124" xfId="0" applyFont="1" applyBorder="1" applyAlignment="1">
      <alignment vertical="center"/>
    </xf>
    <xf numFmtId="0" fontId="106" fillId="0" borderId="122" xfId="0" applyFont="1" applyBorder="1" applyAlignment="1">
      <alignment vertical="center"/>
    </xf>
    <xf numFmtId="0" fontId="23" fillId="0" borderId="131" xfId="0" applyFont="1" applyBorder="1" applyAlignment="1">
      <alignment vertical="center"/>
    </xf>
    <xf numFmtId="49" fontId="23" fillId="0" borderId="131" xfId="0" applyNumberFormat="1" applyFont="1" applyBorder="1" applyAlignment="1">
      <alignment vertical="center"/>
    </xf>
    <xf numFmtId="0" fontId="23" fillId="0" borderId="104" xfId="0" applyFont="1" applyBorder="1" applyAlignment="1">
      <alignment vertical="center" wrapText="1"/>
    </xf>
    <xf numFmtId="0" fontId="23" fillId="0" borderId="105" xfId="0" applyFont="1" applyBorder="1" applyAlignment="1">
      <alignment vertical="center" wrapText="1"/>
    </xf>
    <xf numFmtId="0" fontId="23" fillId="0" borderId="133" xfId="0" applyFont="1" applyBorder="1" applyAlignment="1">
      <alignment vertical="center"/>
    </xf>
    <xf numFmtId="0" fontId="109" fillId="31" borderId="0" xfId="224" applyFont="1" applyFill="1" applyAlignment="1">
      <alignment horizontal="left" vertical="center"/>
    </xf>
    <xf numFmtId="0" fontId="92" fillId="0" borderId="101" xfId="57489" applyFont="1" applyBorder="1">
      <alignment vertical="center"/>
    </xf>
    <xf numFmtId="0" fontId="93" fillId="0" borderId="101" xfId="57489" applyFont="1" applyBorder="1">
      <alignment vertical="center"/>
    </xf>
    <xf numFmtId="0" fontId="92" fillId="0" borderId="102" xfId="57489" applyFont="1" applyBorder="1">
      <alignment vertical="center"/>
    </xf>
    <xf numFmtId="0" fontId="93" fillId="36" borderId="101" xfId="57489" applyFont="1" applyFill="1" applyBorder="1">
      <alignment vertical="center"/>
    </xf>
    <xf numFmtId="0" fontId="93" fillId="36" borderId="102" xfId="57489" applyFont="1" applyFill="1" applyBorder="1">
      <alignment vertical="center"/>
    </xf>
    <xf numFmtId="0" fontId="93" fillId="36" borderId="103" xfId="57489" applyFont="1" applyFill="1" applyBorder="1">
      <alignment vertical="center"/>
    </xf>
    <xf numFmtId="0" fontId="93" fillId="36" borderId="104" xfId="57489" applyFont="1" applyFill="1" applyBorder="1">
      <alignment vertical="center"/>
    </xf>
    <xf numFmtId="0" fontId="93" fillId="36" borderId="105" xfId="57489" applyFont="1" applyFill="1" applyBorder="1">
      <alignment vertical="center"/>
    </xf>
    <xf numFmtId="0" fontId="91" fillId="36" borderId="104" xfId="57489" applyFont="1" applyFill="1" applyBorder="1">
      <alignment vertical="center"/>
    </xf>
    <xf numFmtId="0" fontId="91" fillId="36" borderId="105" xfId="57489" applyFont="1" applyFill="1" applyBorder="1">
      <alignment vertical="center"/>
    </xf>
    <xf numFmtId="0" fontId="93" fillId="0" borderId="103" xfId="57489" applyFont="1" applyBorder="1">
      <alignment vertical="center"/>
    </xf>
    <xf numFmtId="0" fontId="93" fillId="0" borderId="104" xfId="57489" applyFont="1" applyBorder="1">
      <alignment vertical="center"/>
    </xf>
    <xf numFmtId="0" fontId="93" fillId="0" borderId="105" xfId="57489" applyFont="1" applyBorder="1">
      <alignment vertical="center"/>
    </xf>
    <xf numFmtId="0" fontId="91" fillId="0" borderId="104" xfId="57489" applyFont="1" applyBorder="1">
      <alignment vertical="center"/>
    </xf>
    <xf numFmtId="0" fontId="91" fillId="0" borderId="105" xfId="57489" applyFont="1" applyBorder="1">
      <alignment vertical="center"/>
    </xf>
    <xf numFmtId="0" fontId="93" fillId="46" borderId="103" xfId="57489" applyFont="1" applyFill="1" applyBorder="1">
      <alignment vertical="center"/>
    </xf>
    <xf numFmtId="0" fontId="93" fillId="46" borderId="104" xfId="57489" applyFont="1" applyFill="1" applyBorder="1">
      <alignment vertical="center"/>
    </xf>
    <xf numFmtId="0" fontId="93" fillId="46" borderId="105" xfId="57489" applyFont="1" applyFill="1" applyBorder="1">
      <alignment vertical="center"/>
    </xf>
    <xf numFmtId="0" fontId="91" fillId="46" borderId="104" xfId="57489" applyFont="1" applyFill="1" applyBorder="1">
      <alignment vertical="center"/>
    </xf>
    <xf numFmtId="0" fontId="91" fillId="46" borderId="105" xfId="57489" applyFont="1" applyFill="1" applyBorder="1">
      <alignment vertical="center"/>
    </xf>
    <xf numFmtId="0" fontId="18" fillId="31" borderId="59" xfId="224" applyFont="1" applyFill="1" applyBorder="1" applyAlignment="1">
      <alignment vertical="center"/>
    </xf>
    <xf numFmtId="0" fontId="18" fillId="31" borderId="59" xfId="224" applyFont="1" applyFill="1" applyBorder="1" applyAlignment="1">
      <alignment horizontal="center" vertical="center"/>
    </xf>
    <xf numFmtId="0" fontId="18" fillId="31" borderId="59" xfId="224" applyFont="1" applyFill="1" applyBorder="1" applyAlignment="1">
      <alignment vertical="center" wrapText="1"/>
    </xf>
    <xf numFmtId="0" fontId="18" fillId="31" borderId="122" xfId="224" applyFont="1" applyFill="1" applyBorder="1" applyAlignment="1">
      <alignment vertical="center"/>
    </xf>
    <xf numFmtId="0" fontId="18" fillId="57" borderId="101" xfId="224" applyFont="1" applyFill="1" applyBorder="1" applyAlignment="1">
      <alignment vertical="center" wrapText="1"/>
    </xf>
    <xf numFmtId="0" fontId="18" fillId="34" borderId="104" xfId="0" applyFont="1" applyFill="1" applyBorder="1" applyAlignment="1">
      <alignment vertical="center"/>
    </xf>
    <xf numFmtId="0" fontId="18" fillId="34" borderId="105" xfId="0" applyFont="1" applyFill="1" applyBorder="1" applyAlignment="1">
      <alignment vertical="center"/>
    </xf>
    <xf numFmtId="0" fontId="19" fillId="34" borderId="104" xfId="0" applyFont="1" applyFill="1" applyBorder="1" applyAlignment="1">
      <alignment vertical="center"/>
    </xf>
    <xf numFmtId="0" fontId="19" fillId="34" borderId="103" xfId="0" applyFont="1" applyFill="1" applyBorder="1" applyAlignment="1">
      <alignment vertical="center"/>
    </xf>
    <xf numFmtId="0" fontId="18" fillId="34" borderId="112" xfId="0" applyFont="1" applyFill="1" applyBorder="1" applyAlignment="1">
      <alignment vertical="center"/>
    </xf>
    <xf numFmtId="0" fontId="90" fillId="0" borderId="103" xfId="0" applyFont="1" applyBorder="1" applyAlignment="1">
      <alignment horizontal="center" vertical="center" wrapText="1"/>
    </xf>
    <xf numFmtId="0" fontId="90" fillId="0" borderId="103" xfId="0" applyFont="1" applyBorder="1" applyAlignment="1">
      <alignment vertical="center"/>
    </xf>
    <xf numFmtId="0" fontId="90" fillId="0" borderId="104" xfId="0" applyFont="1" applyBorder="1" applyAlignment="1">
      <alignment vertical="center"/>
    </xf>
    <xf numFmtId="0" fontId="90" fillId="0" borderId="105" xfId="0" applyFont="1" applyBorder="1" applyAlignment="1">
      <alignment vertical="center"/>
    </xf>
    <xf numFmtId="0" fontId="90" fillId="0" borderId="103" xfId="0" applyFont="1" applyBorder="1" applyAlignment="1">
      <alignment horizontal="center" vertical="center"/>
    </xf>
    <xf numFmtId="0" fontId="20" fillId="31" borderId="0" xfId="224" applyFont="1" applyFill="1" applyAlignment="1">
      <alignment vertical="center"/>
    </xf>
    <xf numFmtId="0" fontId="93" fillId="0" borderId="134" xfId="57489" applyFont="1" applyBorder="1">
      <alignment vertical="center"/>
    </xf>
    <xf numFmtId="0" fontId="93" fillId="36" borderId="134" xfId="57489" applyFont="1" applyFill="1" applyBorder="1">
      <alignment vertical="center"/>
    </xf>
    <xf numFmtId="0" fontId="18" fillId="57" borderId="134" xfId="224" applyFont="1" applyFill="1" applyBorder="1" applyAlignment="1">
      <alignment vertical="center"/>
    </xf>
    <xf numFmtId="0" fontId="96" fillId="49" borderId="134" xfId="224" applyFont="1" applyFill="1" applyBorder="1" applyAlignment="1">
      <alignment vertical="center"/>
    </xf>
    <xf numFmtId="0" fontId="14" fillId="31" borderId="137" xfId="224" applyFont="1" applyFill="1" applyBorder="1" applyAlignment="1">
      <alignment vertical="center"/>
    </xf>
    <xf numFmtId="0" fontId="18" fillId="31" borderId="134" xfId="224" applyFont="1" applyFill="1" applyBorder="1" applyAlignment="1">
      <alignment vertical="center"/>
    </xf>
    <xf numFmtId="49" fontId="23" fillId="0" borderId="138" xfId="0" applyNumberFormat="1" applyFont="1" applyBorder="1" applyAlignment="1">
      <alignment vertical="center"/>
    </xf>
    <xf numFmtId="49" fontId="23" fillId="0" borderId="139" xfId="0" applyNumberFormat="1" applyFont="1" applyBorder="1" applyAlignment="1">
      <alignment vertical="center"/>
    </xf>
    <xf numFmtId="49" fontId="23" fillId="0" borderId="135" xfId="0" applyNumberFormat="1" applyFont="1" applyBorder="1" applyAlignment="1">
      <alignment vertical="center"/>
    </xf>
    <xf numFmtId="0" fontId="23" fillId="0" borderId="135" xfId="0" applyFont="1" applyBorder="1" applyAlignment="1">
      <alignment vertical="center"/>
    </xf>
    <xf numFmtId="0" fontId="23" fillId="0" borderId="140" xfId="0" applyFont="1" applyBorder="1" applyAlignment="1">
      <alignment vertical="center"/>
    </xf>
    <xf numFmtId="0" fontId="23" fillId="0" borderId="139" xfId="0" applyFont="1" applyBorder="1" applyAlignment="1">
      <alignment vertical="center"/>
    </xf>
    <xf numFmtId="0" fontId="23" fillId="0" borderId="138" xfId="0" applyFont="1" applyBorder="1" applyAlignment="1">
      <alignment vertical="center"/>
    </xf>
    <xf numFmtId="0" fontId="23" fillId="0" borderId="136" xfId="0" applyFont="1" applyBorder="1" applyAlignment="1">
      <alignment vertical="center"/>
    </xf>
    <xf numFmtId="0" fontId="19" fillId="34" borderId="141" xfId="0" applyFont="1" applyFill="1" applyBorder="1" applyAlignment="1">
      <alignment vertical="center" shrinkToFit="1"/>
    </xf>
    <xf numFmtId="0" fontId="18" fillId="0" borderId="142" xfId="0" applyFont="1" applyBorder="1" applyAlignment="1">
      <alignment vertical="center" shrinkToFit="1"/>
    </xf>
    <xf numFmtId="0" fontId="18" fillId="0" borderId="139" xfId="0" applyFont="1" applyBorder="1" applyAlignment="1">
      <alignment vertical="center"/>
    </xf>
    <xf numFmtId="0" fontId="18" fillId="0" borderId="134" xfId="0" applyFont="1" applyBorder="1" applyAlignment="1">
      <alignment vertical="center"/>
    </xf>
    <xf numFmtId="0" fontId="18" fillId="0" borderId="141" xfId="0" applyFont="1" applyBorder="1" applyAlignment="1">
      <alignment vertical="center" shrinkToFit="1"/>
    </xf>
    <xf numFmtId="0" fontId="19" fillId="40" borderId="143" xfId="0" applyFont="1" applyFill="1" applyBorder="1" applyAlignment="1">
      <alignment horizontal="left" vertical="center"/>
    </xf>
    <xf numFmtId="0" fontId="19" fillId="40" borderId="135" xfId="0" applyFont="1" applyFill="1" applyBorder="1" applyAlignment="1">
      <alignment horizontal="left" vertical="center"/>
    </xf>
    <xf numFmtId="0" fontId="19" fillId="47" borderId="134" xfId="0" applyFont="1" applyFill="1" applyBorder="1" applyAlignment="1">
      <alignment vertical="center"/>
    </xf>
    <xf numFmtId="0" fontId="18" fillId="0" borderId="134" xfId="0" applyFont="1" applyBorder="1" applyAlignment="1">
      <alignment horizontal="center" vertical="center" wrapText="1"/>
    </xf>
    <xf numFmtId="0" fontId="18" fillId="0" borderId="134" xfId="0" applyFont="1" applyBorder="1" applyAlignment="1">
      <alignment horizontal="center" vertical="center"/>
    </xf>
    <xf numFmtId="0" fontId="18" fillId="0" borderId="134" xfId="0" applyFont="1" applyBorder="1" applyAlignment="1">
      <alignment vertical="top"/>
    </xf>
    <xf numFmtId="0" fontId="18" fillId="0" borderId="138" xfId="0" applyFont="1" applyBorder="1" applyAlignment="1">
      <alignment vertical="center"/>
    </xf>
    <xf numFmtId="0" fontId="18" fillId="0" borderId="136" xfId="0" applyFont="1" applyBorder="1" applyAlignment="1">
      <alignment vertical="center"/>
    </xf>
    <xf numFmtId="0" fontId="14" fillId="0" borderId="134" xfId="57493" applyFont="1" applyBorder="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18" fillId="31" borderId="100" xfId="224" applyFont="1" applyFill="1" applyBorder="1" applyAlignment="1">
      <alignment horizontal="center" vertical="center"/>
    </xf>
    <xf numFmtId="0" fontId="18" fillId="31" borderId="127" xfId="224" applyFont="1" applyFill="1" applyBorder="1" applyAlignment="1">
      <alignment horizontal="center" vertical="center"/>
    </xf>
    <xf numFmtId="0" fontId="18" fillId="51" borderId="117" xfId="224" applyFont="1" applyFill="1" applyBorder="1" applyAlignment="1">
      <alignment horizontal="center" vertical="center"/>
    </xf>
    <xf numFmtId="0" fontId="18" fillId="51" borderId="118" xfId="224" applyFont="1" applyFill="1" applyBorder="1" applyAlignment="1">
      <alignment horizontal="center" vertical="center"/>
    </xf>
    <xf numFmtId="0" fontId="18" fillId="51" borderId="97" xfId="224" applyFont="1" applyFill="1" applyBorder="1" applyAlignment="1">
      <alignment horizontal="center" vertical="center" shrinkToFit="1"/>
    </xf>
    <xf numFmtId="0" fontId="18" fillId="51" borderId="98" xfId="224" applyFont="1" applyFill="1" applyBorder="1" applyAlignment="1">
      <alignment horizontal="center" vertical="center" shrinkToFit="1"/>
    </xf>
    <xf numFmtId="0" fontId="18" fillId="51" borderId="99" xfId="224" applyFont="1" applyFill="1" applyBorder="1" applyAlignment="1">
      <alignment horizontal="center" vertical="center" shrinkToFit="1"/>
    </xf>
    <xf numFmtId="0" fontId="109" fillId="31" borderId="0" xfId="224" applyFont="1" applyFill="1" applyAlignment="1">
      <alignment horizontal="left" vertical="center" wrapText="1"/>
    </xf>
    <xf numFmtId="0" fontId="20" fillId="31" borderId="0" xfId="224" applyFont="1" applyFill="1" applyAlignment="1">
      <alignment vertical="center" wrapText="1"/>
    </xf>
    <xf numFmtId="0" fontId="111" fillId="31" borderId="0" xfId="224" applyFont="1" applyFill="1" applyAlignment="1">
      <alignment vertical="center"/>
    </xf>
    <xf numFmtId="0" fontId="18" fillId="61" borderId="0" xfId="224" applyFont="1" applyFill="1" applyAlignment="1">
      <alignment vertical="center"/>
    </xf>
    <xf numFmtId="0" fontId="18" fillId="48" borderId="127" xfId="224" applyFont="1" applyFill="1" applyBorder="1" applyAlignment="1">
      <alignment vertical="center"/>
    </xf>
    <xf numFmtId="0" fontId="100" fillId="49" borderId="0" xfId="224" applyFont="1" applyFill="1" applyAlignment="1">
      <alignment horizontal="left" vertical="center"/>
    </xf>
    <xf numFmtId="0" fontId="100" fillId="49" borderId="0" xfId="224" applyFont="1" applyFill="1" applyAlignment="1">
      <alignment horizontal="center" vertical="center"/>
    </xf>
    <xf numFmtId="0" fontId="96" fillId="49" borderId="29" xfId="224" applyFont="1" applyFill="1" applyBorder="1" applyAlignment="1">
      <alignment vertical="center"/>
    </xf>
    <xf numFmtId="0" fontId="96" fillId="49" borderId="30" xfId="224" applyFont="1" applyFill="1" applyBorder="1" applyAlignment="1">
      <alignment vertical="center"/>
    </xf>
    <xf numFmtId="0" fontId="18" fillId="31" borderId="158" xfId="224" applyFont="1" applyFill="1" applyBorder="1" applyAlignment="1">
      <alignment horizontal="center" vertical="center"/>
    </xf>
    <xf numFmtId="0" fontId="18" fillId="31" borderId="156" xfId="224" applyFont="1" applyFill="1" applyBorder="1" applyAlignment="1">
      <alignment vertical="center"/>
    </xf>
    <xf numFmtId="0" fontId="18" fillId="62" borderId="149" xfId="224" applyFont="1" applyFill="1" applyBorder="1" applyAlignment="1">
      <alignment horizontal="center" vertical="center"/>
    </xf>
    <xf numFmtId="183" fontId="14" fillId="62" borderId="104" xfId="224" applyNumberFormat="1" applyFont="1" applyFill="1" applyBorder="1" applyAlignment="1">
      <alignment vertical="center"/>
    </xf>
    <xf numFmtId="183" fontId="14" fillId="62" borderId="105" xfId="224" applyNumberFormat="1" applyFont="1" applyFill="1" applyBorder="1" applyAlignment="1">
      <alignment vertical="center"/>
    </xf>
    <xf numFmtId="183" fontId="14" fillId="62" borderId="103" xfId="224" applyNumberFormat="1" applyFont="1" applyFill="1" applyBorder="1" applyAlignment="1">
      <alignment vertical="center"/>
    </xf>
    <xf numFmtId="0" fontId="14" fillId="62" borderId="104" xfId="224" applyFont="1" applyFill="1" applyBorder="1" applyAlignment="1">
      <alignment vertical="center"/>
    </xf>
    <xf numFmtId="0" fontId="14" fillId="62" borderId="105" xfId="224" applyFont="1" applyFill="1" applyBorder="1" applyAlignment="1">
      <alignment vertical="center"/>
    </xf>
    <xf numFmtId="0" fontId="18" fillId="62" borderId="156" xfId="224" applyFont="1" applyFill="1" applyBorder="1" applyAlignment="1">
      <alignment vertical="center"/>
    </xf>
    <xf numFmtId="0" fontId="18" fillId="31" borderId="149" xfId="224" applyFont="1" applyFill="1" applyBorder="1" applyAlignment="1">
      <alignment horizontal="center" vertical="center"/>
    </xf>
    <xf numFmtId="0" fontId="18" fillId="62" borderId="158" xfId="224" applyFont="1" applyFill="1" applyBorder="1" applyAlignment="1">
      <alignment vertical="center"/>
    </xf>
    <xf numFmtId="0" fontId="18" fillId="62" borderId="159" xfId="224" applyFont="1" applyFill="1" applyBorder="1" applyAlignment="1">
      <alignment vertical="center"/>
    </xf>
    <xf numFmtId="0" fontId="96" fillId="49" borderId="0" xfId="224" applyFont="1" applyFill="1" applyAlignment="1">
      <alignment vertical="center"/>
    </xf>
    <xf numFmtId="0" fontId="18" fillId="62" borderId="0" xfId="224" applyFont="1" applyFill="1" applyAlignment="1">
      <alignment vertical="center"/>
    </xf>
    <xf numFmtId="0" fontId="18" fillId="62" borderId="30" xfId="224" applyFont="1" applyFill="1" applyBorder="1" applyAlignment="1">
      <alignment vertical="center"/>
    </xf>
    <xf numFmtId="0" fontId="18" fillId="31" borderId="169" xfId="224" applyFont="1" applyFill="1" applyBorder="1" applyAlignment="1">
      <alignment vertical="center"/>
    </xf>
    <xf numFmtId="0" fontId="18" fillId="31" borderId="27" xfId="224" applyFont="1" applyFill="1" applyBorder="1" applyAlignment="1">
      <alignment vertical="center"/>
    </xf>
    <xf numFmtId="0" fontId="111" fillId="0" borderId="0" xfId="224" applyFont="1" applyAlignment="1">
      <alignment vertical="center"/>
    </xf>
    <xf numFmtId="49" fontId="23" fillId="0" borderId="177" xfId="0" applyNumberFormat="1" applyFont="1" applyBorder="1" applyAlignment="1">
      <alignment vertical="center"/>
    </xf>
    <xf numFmtId="0" fontId="23" fillId="0" borderId="1" xfId="0" applyFont="1" applyBorder="1" applyAlignment="1">
      <alignment vertical="center"/>
    </xf>
    <xf numFmtId="0" fontId="23" fillId="0" borderId="27" xfId="0" applyFont="1" applyBorder="1" applyAlignment="1">
      <alignment vertical="center"/>
    </xf>
    <xf numFmtId="0" fontId="18" fillId="0" borderId="1" xfId="0" applyFont="1" applyBorder="1" applyAlignment="1">
      <alignment vertical="center"/>
    </xf>
    <xf numFmtId="0" fontId="18" fillId="0" borderId="27" xfId="0" applyFont="1" applyBorder="1" applyAlignment="1">
      <alignment vertical="center"/>
    </xf>
    <xf numFmtId="49" fontId="23" fillId="0" borderId="142" xfId="0" applyNumberFormat="1" applyFont="1" applyBorder="1" applyAlignment="1">
      <alignment vertical="center"/>
    </xf>
    <xf numFmtId="49" fontId="23" fillId="0" borderId="178" xfId="0" applyNumberFormat="1" applyFont="1" applyBorder="1" applyAlignment="1">
      <alignment vertical="center"/>
    </xf>
    <xf numFmtId="49" fontId="23" fillId="0" borderId="179" xfId="0" applyNumberFormat="1" applyFont="1" applyBorder="1" applyAlignment="1">
      <alignment vertical="center"/>
    </xf>
    <xf numFmtId="0" fontId="23" fillId="0" borderId="179" xfId="0" applyFont="1" applyBorder="1" applyAlignment="1">
      <alignment vertical="center"/>
    </xf>
    <xf numFmtId="0" fontId="23" fillId="0" borderId="180" xfId="0" applyFont="1" applyBorder="1" applyAlignment="1">
      <alignment vertical="center"/>
    </xf>
    <xf numFmtId="49" fontId="111" fillId="0" borderId="0" xfId="0" applyNumberFormat="1" applyFont="1" applyAlignment="1">
      <alignment vertical="center"/>
    </xf>
    <xf numFmtId="49" fontId="20" fillId="0" borderId="0" xfId="0" applyNumberFormat="1" applyFont="1" applyAlignment="1">
      <alignment vertical="center"/>
    </xf>
    <xf numFmtId="0" fontId="14" fillId="0" borderId="103" xfId="0" applyFont="1" applyBorder="1" applyAlignment="1">
      <alignment vertical="top"/>
    </xf>
    <xf numFmtId="0" fontId="14" fillId="0" borderId="104" xfId="0" applyFont="1" applyBorder="1" applyAlignment="1">
      <alignment vertical="top"/>
    </xf>
    <xf numFmtId="0" fontId="64" fillId="31" borderId="0" xfId="57494" quotePrefix="1" applyFill="1" applyAlignment="1">
      <alignment vertical="center"/>
    </xf>
    <xf numFmtId="0" fontId="113" fillId="0" borderId="0" xfId="0" applyFont="1"/>
    <xf numFmtId="0" fontId="113" fillId="0" borderId="0" xfId="0" applyFont="1" applyAlignment="1">
      <alignment horizontal="left" vertical="center"/>
    </xf>
    <xf numFmtId="0" fontId="114" fillId="0" borderId="104" xfId="0" applyFont="1" applyBorder="1" applyAlignment="1">
      <alignment vertical="center"/>
    </xf>
    <xf numFmtId="0" fontId="96" fillId="49" borderId="183" xfId="224" applyFont="1" applyFill="1" applyBorder="1" applyAlignment="1">
      <alignment vertical="center"/>
    </xf>
    <xf numFmtId="0" fontId="96" fillId="49" borderId="184" xfId="224" applyFont="1" applyFill="1" applyBorder="1" applyAlignment="1">
      <alignment vertical="center"/>
    </xf>
    <xf numFmtId="0" fontId="0" fillId="0" borderId="104" xfId="0" applyBorder="1" applyAlignment="1">
      <alignment vertical="center"/>
    </xf>
    <xf numFmtId="49" fontId="14" fillId="0" borderId="0" xfId="57490" applyNumberFormat="1" applyFont="1">
      <alignment vertical="center"/>
    </xf>
    <xf numFmtId="49" fontId="14" fillId="0" borderId="0" xfId="0" applyNumberFormat="1" applyFont="1" applyAlignment="1">
      <alignment vertical="center"/>
    </xf>
    <xf numFmtId="0" fontId="14" fillId="0" borderId="0" xfId="0" applyFont="1" applyAlignment="1">
      <alignment vertical="center"/>
    </xf>
    <xf numFmtId="0" fontId="109" fillId="0" borderId="0" xfId="0" applyFont="1" applyAlignment="1">
      <alignment vertical="center"/>
    </xf>
    <xf numFmtId="49" fontId="109" fillId="0" borderId="0" xfId="57490" applyNumberFormat="1" applyFont="1">
      <alignment vertical="center"/>
    </xf>
    <xf numFmtId="49" fontId="114" fillId="0" borderId="0" xfId="57490" applyNumberFormat="1" applyFont="1">
      <alignment vertical="center"/>
    </xf>
    <xf numFmtId="49" fontId="18" fillId="0" borderId="0" xfId="57490" applyNumberFormat="1" applyFont="1">
      <alignment vertical="center"/>
    </xf>
    <xf numFmtId="0" fontId="18" fillId="0" borderId="0" xfId="0" applyFont="1"/>
    <xf numFmtId="0" fontId="20" fillId="0" borderId="0" xfId="0" applyFont="1" applyAlignment="1">
      <alignment vertical="center"/>
    </xf>
    <xf numFmtId="49" fontId="115" fillId="0" borderId="0" xfId="57490" applyNumberFormat="1" applyFont="1">
      <alignment vertical="center"/>
    </xf>
    <xf numFmtId="0" fontId="20" fillId="0" borderId="104" xfId="0" applyFont="1" applyBorder="1" applyAlignment="1">
      <alignment vertical="center"/>
    </xf>
    <xf numFmtId="0" fontId="18" fillId="46" borderId="134" xfId="0" applyFont="1" applyFill="1" applyBorder="1" applyAlignment="1">
      <alignment vertical="center"/>
    </xf>
    <xf numFmtId="0" fontId="18" fillId="46" borderId="104" xfId="0" applyFont="1" applyFill="1" applyBorder="1" applyAlignment="1">
      <alignment vertical="center"/>
    </xf>
    <xf numFmtId="0" fontId="18" fillId="46" borderId="105" xfId="0" applyFont="1" applyFill="1" applyBorder="1" applyAlignment="1">
      <alignment vertical="center"/>
    </xf>
    <xf numFmtId="0" fontId="14" fillId="46" borderId="104" xfId="0" applyFont="1" applyFill="1" applyBorder="1" applyAlignment="1">
      <alignment vertical="top"/>
    </xf>
    <xf numFmtId="0" fontId="18" fillId="46" borderId="104" xfId="0" applyFont="1" applyFill="1" applyBorder="1" applyAlignment="1">
      <alignment vertical="top"/>
    </xf>
    <xf numFmtId="0" fontId="18" fillId="46" borderId="112" xfId="0" applyFont="1" applyFill="1" applyBorder="1" applyAlignment="1">
      <alignment vertical="top"/>
    </xf>
    <xf numFmtId="0" fontId="90" fillId="46" borderId="134" xfId="0" applyFont="1" applyFill="1" applyBorder="1" applyAlignment="1">
      <alignment vertical="center"/>
    </xf>
    <xf numFmtId="0" fontId="116" fillId="46" borderId="103" xfId="0" applyFont="1" applyFill="1" applyBorder="1" applyAlignment="1">
      <alignment vertical="top"/>
    </xf>
    <xf numFmtId="0" fontId="20" fillId="46" borderId="104" xfId="0" applyFont="1" applyFill="1" applyBorder="1" applyAlignment="1">
      <alignment vertical="center"/>
    </xf>
    <xf numFmtId="0" fontId="90" fillId="0" borderId="134" xfId="0" applyFont="1" applyBorder="1" applyAlignment="1">
      <alignment vertical="center"/>
    </xf>
    <xf numFmtId="0" fontId="18" fillId="46" borderId="0" xfId="0" applyFont="1" applyFill="1" applyAlignment="1">
      <alignment vertical="center"/>
    </xf>
    <xf numFmtId="0" fontId="18" fillId="0" borderId="130" xfId="0" applyFont="1" applyBorder="1" applyAlignment="1">
      <alignment vertical="center" shrinkToFit="1"/>
    </xf>
    <xf numFmtId="0" fontId="18" fillId="64" borderId="0" xfId="0" applyFont="1" applyFill="1"/>
    <xf numFmtId="0" fontId="20" fillId="64" borderId="0" xfId="0" applyFont="1" applyFill="1"/>
    <xf numFmtId="0" fontId="18" fillId="0" borderId="113" xfId="0" applyFont="1" applyBorder="1" applyAlignment="1">
      <alignment vertical="center" shrinkToFit="1"/>
    </xf>
    <xf numFmtId="49" fontId="18" fillId="0" borderId="0" xfId="0" applyNumberFormat="1" applyFont="1" applyAlignment="1">
      <alignment horizontal="left" vertical="center"/>
    </xf>
    <xf numFmtId="0" fontId="18" fillId="0" borderId="0" xfId="0" quotePrefix="1" applyFont="1"/>
    <xf numFmtId="0" fontId="20" fillId="0" borderId="0" xfId="0" applyFont="1"/>
    <xf numFmtId="49" fontId="18" fillId="0" borderId="0" xfId="0" applyNumberFormat="1" applyFont="1" applyAlignment="1">
      <alignment vertical="center" shrinkToFit="1"/>
    </xf>
    <xf numFmtId="0" fontId="18" fillId="65" borderId="134" xfId="0" applyFont="1" applyFill="1" applyBorder="1" applyAlignment="1">
      <alignment vertical="center"/>
    </xf>
    <xf numFmtId="0" fontId="18" fillId="65" borderId="104" xfId="0" applyFont="1" applyFill="1" applyBorder="1" applyAlignment="1">
      <alignment vertical="center"/>
    </xf>
    <xf numFmtId="0" fontId="18" fillId="65" borderId="105" xfId="0" applyFont="1" applyFill="1" applyBorder="1" applyAlignment="1">
      <alignment vertical="center"/>
    </xf>
    <xf numFmtId="0" fontId="18" fillId="65" borderId="103" xfId="0" applyFont="1" applyFill="1" applyBorder="1" applyAlignment="1">
      <alignment vertical="center"/>
    </xf>
    <xf numFmtId="49" fontId="14" fillId="66" borderId="134" xfId="0" applyNumberFormat="1" applyFont="1" applyFill="1" applyBorder="1" applyAlignment="1">
      <alignment vertical="center"/>
    </xf>
    <xf numFmtId="49" fontId="18" fillId="66" borderId="101" xfId="0" applyNumberFormat="1" applyFont="1" applyFill="1" applyBorder="1" applyAlignment="1">
      <alignment vertical="center"/>
    </xf>
    <xf numFmtId="49" fontId="14" fillId="66" borderId="101" xfId="0" applyNumberFormat="1" applyFont="1" applyFill="1" applyBorder="1" applyAlignment="1">
      <alignment vertical="center"/>
    </xf>
    <xf numFmtId="49" fontId="14" fillId="66" borderId="134" xfId="0" applyNumberFormat="1" applyFont="1" applyFill="1" applyBorder="1" applyAlignment="1">
      <alignment horizontal="center" vertical="center"/>
    </xf>
    <xf numFmtId="49" fontId="14" fillId="66" borderId="101" xfId="0" applyNumberFormat="1" applyFont="1" applyFill="1" applyBorder="1" applyAlignment="1">
      <alignment horizontal="center" vertical="center"/>
    </xf>
    <xf numFmtId="49" fontId="14" fillId="66" borderId="102" xfId="0" applyNumberFormat="1" applyFont="1" applyFill="1" applyBorder="1" applyAlignment="1">
      <alignment horizontal="center" vertical="center"/>
    </xf>
    <xf numFmtId="49" fontId="14" fillId="66" borderId="28" xfId="0" applyNumberFormat="1" applyFont="1" applyFill="1" applyBorder="1" applyAlignment="1">
      <alignment vertical="center"/>
    </xf>
    <xf numFmtId="49" fontId="18" fillId="66" borderId="1" xfId="0" applyNumberFormat="1" applyFont="1" applyFill="1" applyBorder="1" applyAlignment="1">
      <alignment vertical="center"/>
    </xf>
    <xf numFmtId="49" fontId="14" fillId="66" borderId="1" xfId="0" applyNumberFormat="1" applyFont="1" applyFill="1" applyBorder="1" applyAlignment="1">
      <alignment vertical="center"/>
    </xf>
    <xf numFmtId="49" fontId="14" fillId="66" borderId="28" xfId="0" applyNumberFormat="1" applyFont="1" applyFill="1" applyBorder="1" applyAlignment="1">
      <alignment horizontal="center" vertical="center"/>
    </xf>
    <xf numFmtId="49" fontId="14" fillId="66" borderId="1" xfId="0" applyNumberFormat="1" applyFont="1" applyFill="1" applyBorder="1" applyAlignment="1">
      <alignment horizontal="center" vertical="center"/>
    </xf>
    <xf numFmtId="49" fontId="14" fillId="66" borderId="27" xfId="0" applyNumberFormat="1" applyFont="1" applyFill="1" applyBorder="1" applyAlignment="1">
      <alignment horizontal="center" vertical="center"/>
    </xf>
    <xf numFmtId="49" fontId="14" fillId="0" borderId="134" xfId="0" applyNumberFormat="1" applyFont="1" applyBorder="1" applyAlignment="1">
      <alignment vertical="center"/>
    </xf>
    <xf numFmtId="49" fontId="18" fillId="0" borderId="101" xfId="0" applyNumberFormat="1" applyFont="1" applyBorder="1" applyAlignment="1">
      <alignment vertical="center"/>
    </xf>
    <xf numFmtId="49" fontId="14" fillId="0" borderId="101" xfId="0" applyNumberFormat="1" applyFont="1" applyBorder="1" applyAlignment="1">
      <alignment vertical="center"/>
    </xf>
    <xf numFmtId="49" fontId="18" fillId="0" borderId="102" xfId="0" applyNumberFormat="1" applyFont="1" applyBorder="1" applyAlignment="1">
      <alignment vertical="center"/>
    </xf>
    <xf numFmtId="49" fontId="14" fillId="0" borderId="103" xfId="0" applyNumberFormat="1" applyFont="1" applyBorder="1" applyAlignment="1">
      <alignment vertical="center"/>
    </xf>
    <xf numFmtId="49" fontId="18" fillId="0" borderId="104" xfId="0" applyNumberFormat="1" applyFont="1" applyBorder="1" applyAlignment="1">
      <alignment vertical="center"/>
    </xf>
    <xf numFmtId="49" fontId="14" fillId="0" borderId="104" xfId="0" applyNumberFormat="1" applyFont="1" applyBorder="1" applyAlignment="1">
      <alignment vertical="center"/>
    </xf>
    <xf numFmtId="49" fontId="14" fillId="0" borderId="103" xfId="0" applyNumberFormat="1" applyFont="1" applyBorder="1" applyAlignment="1">
      <alignment horizontal="center" vertical="center"/>
    </xf>
    <xf numFmtId="49" fontId="14" fillId="0" borderId="105" xfId="0" applyNumberFormat="1" applyFont="1" applyBorder="1" applyAlignment="1">
      <alignment horizontal="center" vertical="center"/>
    </xf>
    <xf numFmtId="0" fontId="7" fillId="0" borderId="0" xfId="0" applyFont="1"/>
    <xf numFmtId="49" fontId="14" fillId="0" borderId="29" xfId="0" applyNumberFormat="1" applyFont="1" applyBorder="1" applyAlignment="1">
      <alignment vertical="center"/>
    </xf>
    <xf numFmtId="49" fontId="18" fillId="0" borderId="103" xfId="0" applyNumberFormat="1" applyFont="1" applyBorder="1" applyAlignment="1">
      <alignment vertical="center"/>
    </xf>
    <xf numFmtId="49" fontId="14" fillId="0" borderId="28" xfId="0" applyNumberFormat="1" applyFont="1" applyBorder="1" applyAlignment="1">
      <alignment vertical="center"/>
    </xf>
    <xf numFmtId="49" fontId="118" fillId="0" borderId="104" xfId="0" applyNumberFormat="1" applyFont="1" applyBorder="1" applyAlignment="1">
      <alignment horizontal="center" vertical="center"/>
    </xf>
    <xf numFmtId="0" fontId="90" fillId="0" borderId="0" xfId="0" applyFont="1" applyAlignment="1">
      <alignment vertical="center"/>
    </xf>
    <xf numFmtId="49" fontId="90" fillId="0" borderId="0" xfId="57490" applyNumberFormat="1" applyFont="1">
      <alignment vertical="center"/>
    </xf>
    <xf numFmtId="49" fontId="20" fillId="0" borderId="0" xfId="57490" applyNumberFormat="1" applyFont="1">
      <alignment vertical="center"/>
    </xf>
    <xf numFmtId="0" fontId="109" fillId="0" borderId="103" xfId="57493" applyFont="1" applyBorder="1">
      <alignment vertical="center"/>
    </xf>
    <xf numFmtId="0" fontId="109" fillId="0" borderId="105" xfId="57493" applyFont="1" applyBorder="1">
      <alignment vertical="center"/>
    </xf>
    <xf numFmtId="0" fontId="109" fillId="0" borderId="104" xfId="57493" applyFont="1" applyBorder="1">
      <alignment vertical="center"/>
    </xf>
    <xf numFmtId="0" fontId="109" fillId="0" borderId="103" xfId="57492" applyFont="1" applyBorder="1">
      <alignment vertical="center"/>
    </xf>
    <xf numFmtId="0" fontId="109" fillId="0" borderId="112" xfId="57493" applyFont="1" applyBorder="1">
      <alignment vertical="center"/>
    </xf>
    <xf numFmtId="0" fontId="109" fillId="0" borderId="104" xfId="57492" applyFont="1" applyBorder="1">
      <alignment vertical="center"/>
    </xf>
    <xf numFmtId="0" fontId="109" fillId="0" borderId="105" xfId="57492" applyFont="1" applyBorder="1">
      <alignment vertical="center"/>
    </xf>
    <xf numFmtId="0" fontId="109" fillId="0" borderId="112" xfId="57492" applyFont="1" applyBorder="1">
      <alignment vertical="center"/>
    </xf>
    <xf numFmtId="49" fontId="120" fillId="0" borderId="0" xfId="57490" applyNumberFormat="1" applyFont="1">
      <alignment vertical="center"/>
    </xf>
    <xf numFmtId="49" fontId="20" fillId="0" borderId="29" xfId="0" applyNumberFormat="1" applyFont="1" applyBorder="1" applyAlignment="1">
      <alignment vertical="center"/>
    </xf>
    <xf numFmtId="0" fontId="20" fillId="0" borderId="29" xfId="0" applyFont="1" applyBorder="1" applyAlignment="1">
      <alignment vertical="center"/>
    </xf>
    <xf numFmtId="0" fontId="16" fillId="34" borderId="16" xfId="9" applyFont="1" applyFill="1" applyBorder="1" applyAlignment="1">
      <alignment horizontal="center" wrapText="1"/>
    </xf>
    <xf numFmtId="0" fontId="7" fillId="0" borderId="13" xfId="224" applyBorder="1" applyAlignment="1">
      <alignment horizontal="center" wrapText="1"/>
    </xf>
    <xf numFmtId="0" fontId="7" fillId="0" borderId="15" xfId="224" applyBorder="1" applyAlignment="1">
      <alignment horizontal="center" wrapText="1"/>
    </xf>
    <xf numFmtId="0" fontId="16" fillId="34" borderId="16" xfId="9" applyFont="1" applyFill="1" applyBorder="1" applyAlignment="1">
      <alignment horizontal="center"/>
    </xf>
    <xf numFmtId="0" fontId="7" fillId="0" borderId="13" xfId="224" applyBorder="1" applyAlignment="1">
      <alignment horizontal="center"/>
    </xf>
    <xf numFmtId="0" fontId="7" fillId="0" borderId="15" xfId="224" applyBorder="1" applyAlignment="1">
      <alignment horizontal="center"/>
    </xf>
    <xf numFmtId="0" fontId="7" fillId="0" borderId="14" xfId="224" applyBorder="1" applyAlignment="1">
      <alignment horizontal="center"/>
    </xf>
    <xf numFmtId="0" fontId="16" fillId="0" borderId="134" xfId="8" applyFont="1" applyBorder="1" applyAlignment="1">
      <alignment horizontal="center" vertical="center" wrapText="1"/>
    </xf>
    <xf numFmtId="0" fontId="7" fillId="0" borderId="101" xfId="224" applyBorder="1" applyAlignment="1">
      <alignment horizontal="center" vertical="center" wrapText="1"/>
    </xf>
    <xf numFmtId="0" fontId="16" fillId="34" borderId="103" xfId="8" applyFont="1" applyFill="1" applyBorder="1" applyAlignment="1">
      <alignment horizontal="center" wrapText="1"/>
    </xf>
    <xf numFmtId="0" fontId="7" fillId="0" borderId="104" xfId="224" applyBorder="1" applyAlignment="1">
      <alignment horizontal="center" wrapText="1"/>
    </xf>
    <xf numFmtId="0" fontId="7" fillId="0" borderId="105" xfId="224" applyBorder="1" applyAlignment="1">
      <alignment horizontal="center" wrapText="1"/>
    </xf>
    <xf numFmtId="0" fontId="17" fillId="0" borderId="103" xfId="8" applyFont="1" applyBorder="1" applyAlignment="1">
      <alignment horizontal="center" wrapText="1"/>
    </xf>
    <xf numFmtId="0" fontId="17" fillId="0" borderId="104" xfId="8" applyFont="1" applyBorder="1" applyAlignment="1">
      <alignment horizontal="center" wrapText="1"/>
    </xf>
    <xf numFmtId="0" fontId="17" fillId="0" borderId="105" xfId="8" applyFont="1" applyBorder="1" applyAlignment="1">
      <alignment horizontal="center" wrapText="1"/>
    </xf>
    <xf numFmtId="0" fontId="17" fillId="0" borderId="103" xfId="224" applyFont="1" applyBorder="1" applyAlignment="1">
      <alignment horizontal="center" wrapText="1"/>
    </xf>
    <xf numFmtId="14" fontId="17" fillId="0" borderId="134" xfId="9" applyNumberFormat="1" applyFont="1" applyBorder="1" applyAlignment="1">
      <alignment horizontal="center" vertical="center" wrapText="1"/>
    </xf>
    <xf numFmtId="0" fontId="7" fillId="0" borderId="102" xfId="224" applyBorder="1" applyAlignment="1">
      <alignment horizontal="center" vertical="center" wrapText="1"/>
    </xf>
    <xf numFmtId="0" fontId="7" fillId="0" borderId="121" xfId="224" applyBorder="1" applyAlignment="1">
      <alignment horizontal="center" vertical="center" wrapText="1"/>
    </xf>
    <xf numFmtId="0" fontId="7" fillId="0" borderId="59" xfId="224" applyBorder="1" applyAlignment="1">
      <alignment horizontal="center" vertical="center" wrapText="1"/>
    </xf>
    <xf numFmtId="0" fontId="7" fillId="0" borderId="124" xfId="224" applyBorder="1" applyAlignment="1">
      <alignment horizontal="center" vertical="center" wrapText="1"/>
    </xf>
    <xf numFmtId="0" fontId="17" fillId="0" borderId="134" xfId="9" applyFont="1" applyBorder="1" applyAlignment="1">
      <alignment horizontal="center" vertical="center" wrapText="1"/>
    </xf>
    <xf numFmtId="0" fontId="17" fillId="0" borderId="16" xfId="8" applyFont="1" applyBorder="1" applyAlignment="1">
      <alignment horizontal="center" wrapText="1"/>
    </xf>
    <xf numFmtId="176" fontId="17" fillId="0" borderId="134" xfId="9" applyNumberFormat="1" applyFont="1" applyBorder="1" applyAlignment="1">
      <alignment horizontal="center" vertical="center" wrapText="1"/>
    </xf>
    <xf numFmtId="0" fontId="7" fillId="0" borderId="106" xfId="224" applyBorder="1" applyAlignment="1">
      <alignment horizontal="center" vertical="center" wrapText="1"/>
    </xf>
    <xf numFmtId="0" fontId="7" fillId="0" borderId="122" xfId="224" applyBorder="1" applyAlignment="1">
      <alignment horizontal="center" vertical="center" wrapText="1"/>
    </xf>
    <xf numFmtId="0" fontId="19" fillId="0" borderId="121" xfId="8" applyFont="1" applyBorder="1" applyAlignment="1">
      <alignment horizontal="center" vertical="center" shrinkToFit="1"/>
    </xf>
    <xf numFmtId="0" fontId="24" fillId="0" borderId="59" xfId="224" applyFont="1" applyBorder="1" applyAlignment="1">
      <alignment horizontal="center" vertical="center" shrinkToFit="1"/>
    </xf>
    <xf numFmtId="0" fontId="16" fillId="34" borderId="21" xfId="8" applyFont="1" applyFill="1" applyBorder="1" applyAlignment="1">
      <alignment horizontal="center" wrapText="1"/>
    </xf>
    <xf numFmtId="0" fontId="7" fillId="0" borderId="19" xfId="224" applyBorder="1" applyAlignment="1">
      <alignment horizontal="center" wrapText="1"/>
    </xf>
    <xf numFmtId="0" fontId="7" fillId="0" borderId="17" xfId="224" applyBorder="1" applyAlignment="1">
      <alignment horizontal="center" wrapText="1"/>
    </xf>
    <xf numFmtId="0" fontId="18" fillId="0" borderId="21" xfId="6" applyFont="1" applyBorder="1" applyAlignment="1">
      <alignment horizontal="center" wrapText="1"/>
    </xf>
    <xf numFmtId="0" fontId="18" fillId="0" borderId="19" xfId="6" applyFont="1" applyBorder="1" applyAlignment="1">
      <alignment horizontal="center" wrapText="1"/>
    </xf>
    <xf numFmtId="0" fontId="18" fillId="0" borderId="19" xfId="6" quotePrefix="1" applyFont="1" applyBorder="1" applyAlignment="1">
      <alignment wrapText="1"/>
    </xf>
    <xf numFmtId="0" fontId="24" fillId="0" borderId="19" xfId="224" applyFont="1" applyBorder="1" applyAlignment="1">
      <alignment wrapText="1"/>
    </xf>
    <xf numFmtId="0" fontId="24" fillId="0" borderId="17" xfId="224" applyFont="1" applyBorder="1" applyAlignment="1">
      <alignment wrapText="1"/>
    </xf>
    <xf numFmtId="0" fontId="25" fillId="0" borderId="4" xfId="8" applyFont="1" applyBorder="1" applyAlignment="1">
      <alignment horizontal="center" vertical="center" wrapText="1"/>
    </xf>
    <xf numFmtId="0" fontId="22" fillId="0" borderId="5" xfId="224" applyFont="1" applyBorder="1" applyAlignment="1">
      <alignment horizontal="center" vertical="center" wrapText="1"/>
    </xf>
    <xf numFmtId="0" fontId="22" fillId="0" borderId="31" xfId="224" applyFont="1" applyBorder="1" applyAlignment="1">
      <alignment horizontal="center" vertical="center" wrapText="1"/>
    </xf>
    <xf numFmtId="0" fontId="22" fillId="0" borderId="8" xfId="224" applyFont="1" applyBorder="1" applyAlignment="1">
      <alignment horizontal="center" vertical="center" wrapText="1"/>
    </xf>
    <xf numFmtId="0" fontId="22" fillId="0" borderId="0" xfId="224" applyFont="1" applyAlignment="1">
      <alignment horizontal="center" vertical="center" wrapText="1"/>
    </xf>
    <xf numFmtId="0" fontId="22" fillId="0" borderId="30" xfId="224" applyFont="1" applyBorder="1" applyAlignment="1">
      <alignment horizontal="center" vertical="center" wrapText="1"/>
    </xf>
    <xf numFmtId="0" fontId="22" fillId="0" borderId="6" xfId="224" applyFont="1" applyBorder="1" applyAlignment="1">
      <alignment horizontal="center" vertical="center" wrapText="1"/>
    </xf>
    <xf numFmtId="0" fontId="22" fillId="0" borderId="59" xfId="224" applyFont="1" applyBorder="1" applyAlignment="1">
      <alignment horizontal="center" vertical="center" wrapText="1"/>
    </xf>
    <xf numFmtId="0" fontId="22" fillId="0" borderId="124" xfId="224" applyFont="1" applyBorder="1" applyAlignment="1">
      <alignment horizontal="center" vertical="center" wrapText="1"/>
    </xf>
    <xf numFmtId="0" fontId="16" fillId="34" borderId="16" xfId="8" applyFont="1" applyFill="1" applyBorder="1" applyAlignment="1">
      <alignment horizontal="center" vertical="center" wrapText="1"/>
    </xf>
    <xf numFmtId="0" fontId="7" fillId="0" borderId="13" xfId="224" applyBorder="1" applyAlignment="1">
      <alignment horizontal="center" vertical="center" wrapText="1"/>
    </xf>
    <xf numFmtId="0" fontId="16" fillId="34" borderId="16" xfId="8" applyFont="1" applyFill="1" applyBorder="1" applyAlignment="1">
      <alignment horizontal="center" wrapText="1"/>
    </xf>
    <xf numFmtId="0" fontId="17" fillId="0" borderId="16" xfId="8" applyFont="1" applyBorder="1" applyAlignment="1">
      <alignment horizontal="center" shrinkToFit="1"/>
    </xf>
    <xf numFmtId="0" fontId="7" fillId="0" borderId="13" xfId="224" applyBorder="1" applyAlignment="1">
      <alignment horizontal="center" shrinkToFit="1"/>
    </xf>
    <xf numFmtId="0" fontId="7" fillId="0" borderId="15" xfId="224" applyBorder="1" applyAlignment="1">
      <alignment horizontal="center" shrinkToFit="1"/>
    </xf>
    <xf numFmtId="0" fontId="16" fillId="34" borderId="12" xfId="9" applyFont="1" applyFill="1" applyBorder="1" applyAlignment="1">
      <alignment horizontal="center"/>
    </xf>
    <xf numFmtId="0" fontId="7" fillId="0" borderId="14" xfId="224" applyBorder="1" applyAlignment="1">
      <alignment horizontal="center" wrapText="1"/>
    </xf>
    <xf numFmtId="0" fontId="16" fillId="34" borderId="103" xfId="8" applyFont="1" applyFill="1" applyBorder="1" applyAlignment="1">
      <alignment horizontal="center" shrinkToFit="1"/>
    </xf>
    <xf numFmtId="0" fontId="7" fillId="0" borderId="104" xfId="224" applyBorder="1" applyAlignment="1">
      <alignment horizontal="center" shrinkToFit="1"/>
    </xf>
    <xf numFmtId="0" fontId="7" fillId="0" borderId="105" xfId="224" applyBorder="1" applyAlignment="1">
      <alignment horizontal="center" shrinkToFit="1"/>
    </xf>
    <xf numFmtId="0" fontId="17" fillId="0" borderId="104" xfId="224" applyFont="1" applyBorder="1" applyAlignment="1">
      <alignment horizontal="center" wrapText="1"/>
    </xf>
    <xf numFmtId="0" fontId="17" fillId="0" borderId="105" xfId="224" applyFont="1" applyBorder="1" applyAlignment="1">
      <alignment horizontal="center" wrapText="1"/>
    </xf>
    <xf numFmtId="14" fontId="17" fillId="0" borderId="135" xfId="9" applyNumberFormat="1" applyFont="1" applyBorder="1" applyAlignment="1">
      <alignment horizontal="center" vertical="center"/>
    </xf>
    <xf numFmtId="0" fontId="17" fillId="0" borderId="135" xfId="9" applyFont="1" applyBorder="1" applyAlignment="1">
      <alignment horizontal="center" vertical="center"/>
    </xf>
    <xf numFmtId="0" fontId="17" fillId="0" borderId="26" xfId="9" applyFont="1" applyBorder="1" applyAlignment="1">
      <alignment horizontal="center" vertical="center"/>
    </xf>
    <xf numFmtId="0" fontId="24" fillId="0" borderId="124" xfId="224" applyFont="1" applyBorder="1" applyAlignment="1">
      <alignment horizontal="center" vertical="center" shrinkToFit="1"/>
    </xf>
    <xf numFmtId="0" fontId="16" fillId="34" borderId="21" xfId="8" applyFont="1" applyFill="1" applyBorder="1" applyAlignment="1">
      <alignment horizontal="center" shrinkToFit="1"/>
    </xf>
    <xf numFmtId="0" fontId="7" fillId="0" borderId="19" xfId="224" applyBorder="1" applyAlignment="1">
      <alignment horizontal="center" shrinkToFit="1"/>
    </xf>
    <xf numFmtId="0" fontId="7" fillId="0" borderId="17" xfId="224" applyBorder="1" applyAlignment="1">
      <alignment horizontal="center" shrinkToFit="1"/>
    </xf>
    <xf numFmtId="0" fontId="18" fillId="0" borderId="21" xfId="8" applyFont="1" applyBorder="1" applyAlignment="1">
      <alignment horizontal="center" wrapText="1"/>
    </xf>
    <xf numFmtId="0" fontId="18" fillId="0" borderId="19" xfId="8" applyFont="1" applyBorder="1" applyAlignment="1">
      <alignment horizontal="center" wrapText="1"/>
    </xf>
    <xf numFmtId="0" fontId="18" fillId="0" borderId="19" xfId="8" quotePrefix="1" applyFont="1" applyBorder="1" applyAlignment="1">
      <alignment horizontal="left" wrapText="1"/>
    </xf>
    <xf numFmtId="0" fontId="24" fillId="0" borderId="19" xfId="224" applyFont="1" applyBorder="1" applyAlignment="1">
      <alignment horizontal="left" wrapText="1"/>
    </xf>
    <xf numFmtId="0" fontId="24" fillId="0" borderId="17" xfId="224" applyFont="1" applyBorder="1" applyAlignment="1">
      <alignment horizontal="left" wrapText="1"/>
    </xf>
    <xf numFmtId="14" fontId="17" fillId="31" borderId="134" xfId="6" applyNumberFormat="1" applyFont="1" applyFill="1" applyBorder="1" applyAlignment="1">
      <alignment horizontal="center" vertical="center" wrapText="1"/>
    </xf>
    <xf numFmtId="14" fontId="17" fillId="31" borderId="101" xfId="6" applyNumberFormat="1" applyFont="1" applyFill="1" applyBorder="1" applyAlignment="1">
      <alignment horizontal="center" vertical="center" wrapText="1"/>
    </xf>
    <xf numFmtId="14" fontId="17" fillId="31" borderId="102" xfId="6" applyNumberFormat="1" applyFont="1" applyFill="1" applyBorder="1" applyAlignment="1">
      <alignment horizontal="center" vertical="center" wrapText="1"/>
    </xf>
    <xf numFmtId="14" fontId="17" fillId="31" borderId="28" xfId="6" applyNumberFormat="1" applyFont="1" applyFill="1" applyBorder="1" applyAlignment="1">
      <alignment horizontal="center" vertical="center" wrapText="1"/>
    </xf>
    <xf numFmtId="14" fontId="17" fillId="31" borderId="1" xfId="6" applyNumberFormat="1" applyFont="1" applyFill="1" applyBorder="1" applyAlignment="1">
      <alignment horizontal="center" vertical="center" wrapText="1"/>
    </xf>
    <xf numFmtId="14" fontId="17" fillId="31" borderId="27" xfId="6" applyNumberFormat="1" applyFont="1" applyFill="1" applyBorder="1" applyAlignment="1">
      <alignment horizontal="center" vertical="center" wrapText="1"/>
    </xf>
    <xf numFmtId="14" fontId="18" fillId="31" borderId="134" xfId="6" quotePrefix="1" applyNumberFormat="1" applyFont="1" applyFill="1" applyBorder="1" applyAlignment="1">
      <alignment horizontal="center" vertical="center" wrapText="1" shrinkToFit="1"/>
    </xf>
    <xf numFmtId="0" fontId="7" fillId="31" borderId="101" xfId="7" applyFill="1" applyBorder="1" applyAlignment="1">
      <alignment horizontal="center" vertical="center" wrapText="1" shrinkToFit="1"/>
    </xf>
    <xf numFmtId="0" fontId="7" fillId="31" borderId="102" xfId="7" applyFill="1" applyBorder="1" applyAlignment="1">
      <alignment horizontal="center" vertical="center" wrapText="1" shrinkToFit="1"/>
    </xf>
    <xf numFmtId="0" fontId="7" fillId="31" borderId="28" xfId="7" applyFill="1" applyBorder="1" applyAlignment="1">
      <alignment horizontal="center" vertical="center" wrapText="1" shrinkToFit="1"/>
    </xf>
    <xf numFmtId="0" fontId="7" fillId="31" borderId="1" xfId="7" applyFill="1" applyBorder="1" applyAlignment="1">
      <alignment horizontal="center" vertical="center" wrapText="1" shrinkToFit="1"/>
    </xf>
    <xf numFmtId="0" fontId="7" fillId="31" borderId="27" xfId="7" applyFill="1" applyBorder="1" applyAlignment="1">
      <alignment horizontal="center" vertical="center" wrapText="1" shrinkToFit="1"/>
    </xf>
    <xf numFmtId="0" fontId="17" fillId="31" borderId="134" xfId="6" applyFont="1" applyFill="1" applyBorder="1" applyAlignment="1">
      <alignment horizontal="center" vertical="center"/>
    </xf>
    <xf numFmtId="0" fontId="17" fillId="31" borderId="101" xfId="6" applyFont="1" applyFill="1" applyBorder="1" applyAlignment="1">
      <alignment horizontal="center" vertical="center"/>
    </xf>
    <xf numFmtId="0" fontId="17" fillId="31" borderId="102" xfId="6" applyFont="1" applyFill="1" applyBorder="1" applyAlignment="1">
      <alignment horizontal="center" vertical="center"/>
    </xf>
    <xf numFmtId="0" fontId="17" fillId="31" borderId="28" xfId="6" applyFont="1" applyFill="1" applyBorder="1" applyAlignment="1">
      <alignment horizontal="center" vertical="center"/>
    </xf>
    <xf numFmtId="0" fontId="17" fillId="31" borderId="1" xfId="6" applyFont="1" applyFill="1" applyBorder="1" applyAlignment="1">
      <alignment horizontal="center" vertical="center"/>
    </xf>
    <xf numFmtId="0" fontId="17" fillId="31" borderId="27" xfId="6" applyFont="1" applyFill="1" applyBorder="1" applyAlignment="1">
      <alignment horizontal="center" vertical="center"/>
    </xf>
    <xf numFmtId="177" fontId="17" fillId="31" borderId="134" xfId="6" quotePrefix="1" applyNumberFormat="1" applyFont="1" applyFill="1" applyBorder="1" applyAlignment="1">
      <alignment horizontal="center" vertical="center"/>
    </xf>
    <xf numFmtId="177" fontId="17" fillId="31" borderId="101" xfId="6" quotePrefix="1" applyNumberFormat="1" applyFont="1" applyFill="1" applyBorder="1" applyAlignment="1">
      <alignment horizontal="center" vertical="center"/>
    </xf>
    <xf numFmtId="177" fontId="17" fillId="31" borderId="102" xfId="6" quotePrefix="1" applyNumberFormat="1" applyFont="1" applyFill="1" applyBorder="1" applyAlignment="1">
      <alignment horizontal="center" vertical="center"/>
    </xf>
    <xf numFmtId="177" fontId="17" fillId="31" borderId="28" xfId="6" quotePrefix="1" applyNumberFormat="1" applyFont="1" applyFill="1" applyBorder="1" applyAlignment="1">
      <alignment horizontal="center" vertical="center"/>
    </xf>
    <xf numFmtId="177" fontId="17" fillId="31" borderId="1" xfId="6" quotePrefix="1" applyNumberFormat="1" applyFont="1" applyFill="1" applyBorder="1" applyAlignment="1">
      <alignment horizontal="center" vertical="center"/>
    </xf>
    <xf numFmtId="177" fontId="17" fillId="31" borderId="27" xfId="6" quotePrefix="1" applyNumberFormat="1" applyFont="1" applyFill="1" applyBorder="1" applyAlignment="1">
      <alignment horizontal="center" vertical="center"/>
    </xf>
    <xf numFmtId="0" fontId="7" fillId="0" borderId="15" xfId="224" applyBorder="1" applyAlignment="1">
      <alignment horizontal="center" vertical="center" wrapText="1"/>
    </xf>
    <xf numFmtId="0" fontId="16" fillId="34" borderId="16" xfId="8" applyFont="1" applyFill="1" applyBorder="1" applyAlignment="1">
      <alignment horizontal="center" shrinkToFit="1"/>
    </xf>
    <xf numFmtId="178" fontId="14" fillId="0" borderId="46" xfId="57482" applyNumberFormat="1" applyFont="1" applyBorder="1" applyAlignment="1">
      <alignment horizontal="center" vertical="center"/>
    </xf>
    <xf numFmtId="178" fontId="14" fillId="0" borderId="47" xfId="57482" applyNumberFormat="1" applyFont="1" applyBorder="1" applyAlignment="1">
      <alignment horizontal="center" vertical="center"/>
    </xf>
    <xf numFmtId="178" fontId="14" fillId="0" borderId="48" xfId="57482" applyNumberFormat="1" applyFont="1" applyBorder="1" applyAlignment="1">
      <alignment horizontal="center" vertical="center"/>
    </xf>
    <xf numFmtId="178" fontId="14" fillId="0" borderId="49" xfId="57482" applyNumberFormat="1" applyFont="1" applyBorder="1" applyAlignment="1">
      <alignment horizontal="center" vertical="center"/>
    </xf>
    <xf numFmtId="178" fontId="14" fillId="0" borderId="50" xfId="57482" applyNumberFormat="1" applyFont="1" applyBorder="1" applyAlignment="1">
      <alignment horizontal="center" vertical="center"/>
    </xf>
    <xf numFmtId="178" fontId="14" fillId="0" borderId="51" xfId="57482" applyNumberFormat="1" applyFont="1" applyBorder="1" applyAlignment="1">
      <alignment horizontal="center" vertical="center"/>
    </xf>
    <xf numFmtId="178" fontId="18" fillId="0" borderId="46" xfId="57482" applyNumberFormat="1" applyFont="1" applyBorder="1" applyAlignment="1">
      <alignment horizontal="center" vertical="center"/>
    </xf>
    <xf numFmtId="178" fontId="18" fillId="0" borderId="47" xfId="57482" applyNumberFormat="1" applyFont="1" applyBorder="1" applyAlignment="1">
      <alignment horizontal="center" vertical="center"/>
    </xf>
    <xf numFmtId="178" fontId="18" fillId="0" borderId="48" xfId="57482" applyNumberFormat="1" applyFont="1" applyBorder="1" applyAlignment="1">
      <alignment horizontal="center" vertical="center"/>
    </xf>
    <xf numFmtId="178" fontId="18" fillId="0" borderId="49" xfId="57482" applyNumberFormat="1" applyFont="1" applyBorder="1" applyAlignment="1">
      <alignment horizontal="center" vertical="center"/>
    </xf>
    <xf numFmtId="178" fontId="18" fillId="0" borderId="50" xfId="57482" applyNumberFormat="1" applyFont="1" applyBorder="1" applyAlignment="1">
      <alignment horizontal="center" vertical="center"/>
    </xf>
    <xf numFmtId="178" fontId="18" fillId="0" borderId="51" xfId="57482" applyNumberFormat="1" applyFont="1" applyBorder="1" applyAlignment="1">
      <alignment horizontal="center" vertical="center"/>
    </xf>
    <xf numFmtId="178" fontId="18" fillId="2" borderId="46" xfId="57482" applyNumberFormat="1" applyFont="1" applyFill="1" applyBorder="1" applyAlignment="1" applyProtection="1">
      <alignment horizontal="center" vertical="center"/>
      <protection locked="0"/>
    </xf>
    <xf numFmtId="178" fontId="18" fillId="2" borderId="47" xfId="57482" applyNumberFormat="1" applyFont="1" applyFill="1" applyBorder="1" applyAlignment="1" applyProtection="1">
      <alignment horizontal="center" vertical="center"/>
      <protection locked="0"/>
    </xf>
    <xf numFmtId="178" fontId="18" fillId="2" borderId="48" xfId="57482" applyNumberFormat="1" applyFont="1" applyFill="1" applyBorder="1" applyAlignment="1" applyProtection="1">
      <alignment horizontal="center" vertical="center"/>
      <protection locked="0"/>
    </xf>
    <xf numFmtId="178" fontId="18" fillId="2" borderId="49" xfId="57482" applyNumberFormat="1" applyFont="1" applyFill="1" applyBorder="1" applyAlignment="1" applyProtection="1">
      <alignment horizontal="center" vertical="center"/>
      <protection locked="0"/>
    </xf>
    <xf numFmtId="178" fontId="18" fillId="2" borderId="50" xfId="57482" applyNumberFormat="1" applyFont="1" applyFill="1" applyBorder="1" applyAlignment="1" applyProtection="1">
      <alignment horizontal="center" vertical="center"/>
      <protection locked="0"/>
    </xf>
    <xf numFmtId="178" fontId="18" fillId="2" borderId="51" xfId="57482" applyNumberFormat="1" applyFont="1" applyFill="1" applyBorder="1" applyAlignment="1" applyProtection="1">
      <alignment horizontal="center" vertical="center"/>
      <protection locked="0"/>
    </xf>
    <xf numFmtId="0" fontId="16" fillId="0" borderId="0" xfId="57482" applyFont="1" applyAlignment="1" applyProtection="1">
      <alignment horizontal="center" vertical="center"/>
      <protection locked="0"/>
    </xf>
    <xf numFmtId="14" fontId="17" fillId="0" borderId="0" xfId="57482" applyNumberFormat="1" applyFont="1" applyAlignment="1" applyProtection="1">
      <alignment horizontal="center" vertical="center"/>
      <protection locked="0"/>
    </xf>
    <xf numFmtId="0" fontId="16" fillId="34" borderId="134" xfId="6" applyFont="1" applyFill="1" applyBorder="1" applyAlignment="1">
      <alignment horizontal="center" vertical="center" wrapText="1"/>
    </xf>
    <xf numFmtId="0" fontId="16" fillId="34" borderId="101" xfId="6" applyFont="1" applyFill="1" applyBorder="1" applyAlignment="1">
      <alignment horizontal="center" vertical="center" wrapText="1"/>
    </xf>
    <xf numFmtId="0" fontId="16" fillId="34" borderId="102" xfId="6" applyFont="1" applyFill="1" applyBorder="1" applyAlignment="1">
      <alignment horizontal="center" vertical="center" wrapText="1"/>
    </xf>
    <xf numFmtId="0" fontId="16" fillId="34" borderId="28" xfId="6" applyFont="1" applyFill="1" applyBorder="1" applyAlignment="1">
      <alignment horizontal="center" vertical="center" wrapText="1"/>
    </xf>
    <xf numFmtId="0" fontId="16" fillId="34" borderId="1" xfId="6" applyFont="1" applyFill="1" applyBorder="1" applyAlignment="1">
      <alignment horizontal="center" vertical="center" wrapText="1"/>
    </xf>
    <xf numFmtId="0" fontId="16" fillId="34" borderId="27" xfId="6" applyFont="1" applyFill="1" applyBorder="1" applyAlignment="1">
      <alignment horizontal="center" vertical="center" wrapText="1"/>
    </xf>
    <xf numFmtId="0" fontId="7" fillId="0" borderId="101" xfId="5" applyBorder="1" applyAlignment="1">
      <alignment horizontal="center" vertical="center" wrapText="1"/>
    </xf>
    <xf numFmtId="0" fontId="7" fillId="0" borderId="102" xfId="5" applyBorder="1" applyAlignment="1">
      <alignment horizontal="center" vertical="center" wrapText="1"/>
    </xf>
    <xf numFmtId="0" fontId="7" fillId="0" borderId="28" xfId="5" applyBorder="1" applyAlignment="1">
      <alignment horizontal="center" vertical="center" wrapText="1"/>
    </xf>
    <xf numFmtId="0" fontId="7" fillId="0" borderId="1" xfId="5" applyBorder="1" applyAlignment="1">
      <alignment horizontal="center" vertical="center" wrapText="1"/>
    </xf>
    <xf numFmtId="0" fontId="7" fillId="0" borderId="27" xfId="5" applyBorder="1" applyAlignment="1">
      <alignment horizontal="center" vertical="center" wrapText="1"/>
    </xf>
    <xf numFmtId="0" fontId="16" fillId="34" borderId="134" xfId="6" applyFont="1" applyFill="1" applyBorder="1" applyAlignment="1">
      <alignment horizontal="center" vertical="center"/>
    </xf>
    <xf numFmtId="0" fontId="16" fillId="34" borderId="101" xfId="6" applyFont="1" applyFill="1" applyBorder="1" applyAlignment="1">
      <alignment horizontal="center" vertical="center"/>
    </xf>
    <xf numFmtId="0" fontId="16" fillId="34" borderId="102" xfId="6" applyFont="1" applyFill="1" applyBorder="1" applyAlignment="1">
      <alignment horizontal="center" vertical="center"/>
    </xf>
    <xf numFmtId="0" fontId="16" fillId="34" borderId="28" xfId="6" applyFont="1" applyFill="1" applyBorder="1" applyAlignment="1">
      <alignment horizontal="center" vertical="center"/>
    </xf>
    <xf numFmtId="0" fontId="16" fillId="34" borderId="1" xfId="6" applyFont="1" applyFill="1" applyBorder="1" applyAlignment="1">
      <alignment horizontal="center" vertical="center"/>
    </xf>
    <xf numFmtId="0" fontId="16" fillId="34" borderId="27" xfId="6" applyFont="1" applyFill="1" applyBorder="1" applyAlignment="1">
      <alignment horizontal="center" vertical="center"/>
    </xf>
    <xf numFmtId="0" fontId="18" fillId="0" borderId="56" xfId="57482" applyFont="1" applyBorder="1" applyAlignment="1">
      <alignment horizontal="center" vertical="center"/>
    </xf>
    <xf numFmtId="0" fontId="18" fillId="0" borderId="57" xfId="57482" applyFont="1" applyBorder="1" applyAlignment="1">
      <alignment horizontal="center" vertical="center"/>
    </xf>
    <xf numFmtId="0" fontId="18" fillId="0" borderId="58" xfId="57482" applyFont="1" applyBorder="1" applyAlignment="1">
      <alignment horizontal="center" vertical="center"/>
    </xf>
    <xf numFmtId="0" fontId="18" fillId="0" borderId="46" xfId="57482" applyFont="1" applyBorder="1" applyAlignment="1">
      <alignment horizontal="center" vertical="center"/>
    </xf>
    <xf numFmtId="0" fontId="18" fillId="0" borderId="47" xfId="57482" applyFont="1" applyBorder="1" applyAlignment="1">
      <alignment horizontal="center" vertical="center"/>
    </xf>
    <xf numFmtId="0" fontId="18" fillId="0" borderId="48" xfId="57482" applyFont="1" applyBorder="1" applyAlignment="1">
      <alignment horizontal="center" vertical="center"/>
    </xf>
    <xf numFmtId="0" fontId="18" fillId="2" borderId="56" xfId="57482" applyFont="1" applyFill="1" applyBorder="1" applyAlignment="1" applyProtection="1">
      <alignment horizontal="center" vertical="center"/>
      <protection locked="0"/>
    </xf>
    <xf numFmtId="0" fontId="18" fillId="2" borderId="57" xfId="57482" applyFont="1" applyFill="1" applyBorder="1" applyAlignment="1" applyProtection="1">
      <alignment horizontal="center" vertical="center"/>
      <protection locked="0"/>
    </xf>
    <xf numFmtId="0" fontId="18" fillId="2" borderId="58" xfId="57482" applyFont="1" applyFill="1" applyBorder="1" applyAlignment="1" applyProtection="1">
      <alignment horizontal="center" vertical="center"/>
      <protection locked="0"/>
    </xf>
    <xf numFmtId="0" fontId="18" fillId="2" borderId="46" xfId="57482" applyFont="1" applyFill="1" applyBorder="1" applyAlignment="1" applyProtection="1">
      <alignment horizontal="center" vertical="center"/>
      <protection locked="0"/>
    </xf>
    <xf numFmtId="0" fontId="18" fillId="2" borderId="47" xfId="57482" applyFont="1" applyFill="1" applyBorder="1" applyAlignment="1" applyProtection="1">
      <alignment horizontal="center" vertical="center"/>
      <protection locked="0"/>
    </xf>
    <xf numFmtId="0" fontId="18" fillId="2" borderId="48" xfId="57482" applyFont="1" applyFill="1" applyBorder="1" applyAlignment="1" applyProtection="1">
      <alignment horizontal="center" vertical="center"/>
      <protection locked="0"/>
    </xf>
    <xf numFmtId="0" fontId="79" fillId="39" borderId="134" xfId="57482" applyFont="1" applyFill="1" applyBorder="1" applyAlignment="1" applyProtection="1">
      <alignment horizontal="left" vertical="center" indent="1"/>
      <protection locked="0"/>
    </xf>
    <xf numFmtId="0" fontId="79" fillId="39" borderId="101" xfId="57482" applyFont="1" applyFill="1" applyBorder="1" applyAlignment="1" applyProtection="1">
      <alignment horizontal="left" vertical="center" indent="1"/>
      <protection locked="0"/>
    </xf>
    <xf numFmtId="0" fontId="79" fillId="39" borderId="102" xfId="57482" applyFont="1" applyFill="1" applyBorder="1" applyAlignment="1" applyProtection="1">
      <alignment horizontal="left" vertical="center" indent="1"/>
      <protection locked="0"/>
    </xf>
    <xf numFmtId="0" fontId="79" fillId="39" borderId="28" xfId="57482" applyFont="1" applyFill="1" applyBorder="1" applyAlignment="1" applyProtection="1">
      <alignment horizontal="left" vertical="center" indent="1"/>
      <protection locked="0"/>
    </xf>
    <xf numFmtId="0" fontId="79" fillId="39" borderId="1" xfId="57482" applyFont="1" applyFill="1" applyBorder="1" applyAlignment="1" applyProtection="1">
      <alignment horizontal="left" vertical="center" indent="1"/>
      <protection locked="0"/>
    </xf>
    <xf numFmtId="0" fontId="79" fillId="39" borderId="27" xfId="57482" applyFont="1" applyFill="1" applyBorder="1" applyAlignment="1" applyProtection="1">
      <alignment horizontal="left" vertical="center" indent="1"/>
      <protection locked="0"/>
    </xf>
    <xf numFmtId="14" fontId="80" fillId="2" borderId="134" xfId="57482" applyNumberFormat="1" applyFont="1" applyFill="1" applyBorder="1" applyAlignment="1" applyProtection="1">
      <alignment horizontal="left" vertical="center" indent="1"/>
      <protection locked="0"/>
    </xf>
    <xf numFmtId="0" fontId="19" fillId="2" borderId="101" xfId="57482" applyFont="1" applyFill="1" applyBorder="1" applyAlignment="1" applyProtection="1">
      <alignment horizontal="left" vertical="center" indent="1"/>
      <protection locked="0"/>
    </xf>
    <xf numFmtId="0" fontId="19" fillId="2" borderId="102" xfId="57482" applyFont="1" applyFill="1" applyBorder="1" applyAlignment="1" applyProtection="1">
      <alignment horizontal="left" vertical="center" indent="1"/>
      <protection locked="0"/>
    </xf>
    <xf numFmtId="0" fontId="19" fillId="2" borderId="28" xfId="57482" applyFont="1" applyFill="1" applyBorder="1" applyAlignment="1" applyProtection="1">
      <alignment horizontal="left" vertical="center" indent="1"/>
      <protection locked="0"/>
    </xf>
    <xf numFmtId="0" fontId="19" fillId="2" borderId="1" xfId="57482" applyFont="1" applyFill="1" applyBorder="1" applyAlignment="1" applyProtection="1">
      <alignment horizontal="left" vertical="center" indent="1"/>
      <protection locked="0"/>
    </xf>
    <xf numFmtId="0" fontId="19" fillId="2" borderId="27" xfId="57482" applyFont="1" applyFill="1" applyBorder="1" applyAlignment="1" applyProtection="1">
      <alignment horizontal="left" vertical="center" indent="1"/>
      <protection locked="0"/>
    </xf>
    <xf numFmtId="182" fontId="80" fillId="2" borderId="134" xfId="57482" applyNumberFormat="1" applyFont="1" applyFill="1" applyBorder="1" applyAlignment="1" applyProtection="1">
      <alignment horizontal="left" vertical="center" indent="1"/>
      <protection locked="0"/>
    </xf>
    <xf numFmtId="182" fontId="19" fillId="2" borderId="101" xfId="57482" applyNumberFormat="1" applyFont="1" applyFill="1" applyBorder="1" applyAlignment="1" applyProtection="1">
      <alignment horizontal="left" vertical="center" indent="1"/>
      <protection locked="0"/>
    </xf>
    <xf numFmtId="182" fontId="19" fillId="2" borderId="102" xfId="57482" applyNumberFormat="1" applyFont="1" applyFill="1" applyBorder="1" applyAlignment="1" applyProtection="1">
      <alignment horizontal="left" vertical="center" indent="1"/>
      <protection locked="0"/>
    </xf>
    <xf numFmtId="182" fontId="19" fillId="2" borderId="28" xfId="57482" applyNumberFormat="1" applyFont="1" applyFill="1" applyBorder="1" applyAlignment="1" applyProtection="1">
      <alignment horizontal="left" vertical="center" indent="1"/>
      <protection locked="0"/>
    </xf>
    <xf numFmtId="182" fontId="19" fillId="2" borderId="1" xfId="57482" applyNumberFormat="1" applyFont="1" applyFill="1" applyBorder="1" applyAlignment="1" applyProtection="1">
      <alignment horizontal="left" vertical="center" indent="1"/>
      <protection locked="0"/>
    </xf>
    <xf numFmtId="182" fontId="19" fillId="2" borderId="27" xfId="57482" applyNumberFormat="1" applyFont="1" applyFill="1" applyBorder="1" applyAlignment="1" applyProtection="1">
      <alignment horizontal="left" vertical="center" indent="1"/>
      <protection locked="0"/>
    </xf>
    <xf numFmtId="0" fontId="18" fillId="38" borderId="103" xfId="57482" applyFont="1" applyFill="1" applyBorder="1" applyAlignment="1" applyProtection="1">
      <alignment horizontal="center" vertical="center"/>
      <protection locked="0"/>
    </xf>
    <xf numFmtId="0" fontId="18" fillId="38" borderId="104" xfId="57482" applyFont="1" applyFill="1" applyBorder="1" applyAlignment="1" applyProtection="1">
      <alignment horizontal="center" vertical="center"/>
      <protection locked="0"/>
    </xf>
    <xf numFmtId="0" fontId="18" fillId="38" borderId="105" xfId="57482" applyFont="1" applyFill="1" applyBorder="1" applyAlignment="1" applyProtection="1">
      <alignment horizontal="center" vertical="center"/>
      <protection locked="0"/>
    </xf>
    <xf numFmtId="182" fontId="80" fillId="0" borderId="134" xfId="57482" applyNumberFormat="1" applyFont="1" applyBorder="1" applyAlignment="1" applyProtection="1">
      <alignment horizontal="left" vertical="center" indent="1"/>
      <protection locked="0"/>
    </xf>
    <xf numFmtId="182" fontId="80" fillId="0" borderId="101" xfId="57482" applyNumberFormat="1" applyFont="1" applyBorder="1" applyAlignment="1" applyProtection="1">
      <alignment horizontal="left" vertical="center" indent="1"/>
      <protection locked="0"/>
    </xf>
    <xf numFmtId="182" fontId="80" fillId="0" borderId="102" xfId="57482" applyNumberFormat="1" applyFont="1" applyBorder="1" applyAlignment="1" applyProtection="1">
      <alignment horizontal="left" vertical="center" indent="1"/>
      <protection locked="0"/>
    </xf>
    <xf numFmtId="182" fontId="80" fillId="0" borderId="28" xfId="57482" applyNumberFormat="1" applyFont="1" applyBorder="1" applyAlignment="1" applyProtection="1">
      <alignment horizontal="left" vertical="center" indent="1"/>
      <protection locked="0"/>
    </xf>
    <xf numFmtId="182" fontId="80" fillId="0" borderId="1" xfId="57482" applyNumberFormat="1" applyFont="1" applyBorder="1" applyAlignment="1" applyProtection="1">
      <alignment horizontal="left" vertical="center" indent="1"/>
      <protection locked="0"/>
    </xf>
    <xf numFmtId="182" fontId="80" fillId="0" borderId="27" xfId="57482" applyNumberFormat="1" applyFont="1" applyBorder="1" applyAlignment="1" applyProtection="1">
      <alignment horizontal="left" vertical="center" indent="1"/>
      <protection locked="0"/>
    </xf>
    <xf numFmtId="182" fontId="79" fillId="38" borderId="134" xfId="57482" applyNumberFormat="1" applyFont="1" applyFill="1" applyBorder="1" applyAlignment="1" applyProtection="1">
      <alignment horizontal="center" vertical="center"/>
      <protection locked="0"/>
    </xf>
    <xf numFmtId="182" fontId="79" fillId="38" borderId="102" xfId="57482" applyNumberFormat="1" applyFont="1" applyFill="1" applyBorder="1" applyAlignment="1" applyProtection="1">
      <alignment horizontal="center" vertical="center"/>
      <protection locked="0"/>
    </xf>
    <xf numFmtId="182" fontId="79" fillId="38" borderId="28" xfId="57482" applyNumberFormat="1" applyFont="1" applyFill="1" applyBorder="1" applyAlignment="1" applyProtection="1">
      <alignment horizontal="center" vertical="center"/>
      <protection locked="0"/>
    </xf>
    <xf numFmtId="182" fontId="79" fillId="38" borderId="27" xfId="57482" applyNumberFormat="1" applyFont="1" applyFill="1" applyBorder="1" applyAlignment="1" applyProtection="1">
      <alignment horizontal="center" vertical="center"/>
      <protection locked="0"/>
    </xf>
    <xf numFmtId="0" fontId="80" fillId="2" borderId="134" xfId="57482" applyFont="1" applyFill="1" applyBorder="1" applyAlignment="1" applyProtection="1">
      <alignment horizontal="left" vertical="center" indent="1"/>
      <protection locked="0"/>
    </xf>
    <xf numFmtId="0" fontId="80" fillId="0" borderId="134" xfId="57482" applyFont="1" applyBorder="1" applyAlignment="1" applyProtection="1">
      <alignment horizontal="left" vertical="center" indent="1"/>
      <protection locked="0"/>
    </xf>
    <xf numFmtId="0" fontId="80" fillId="0" borderId="101" xfId="57482" applyFont="1" applyBorder="1" applyAlignment="1" applyProtection="1">
      <alignment horizontal="left" vertical="center" indent="1"/>
      <protection locked="0"/>
    </xf>
    <xf numFmtId="0" fontId="80" fillId="0" borderId="102" xfId="57482" applyFont="1" applyBorder="1" applyAlignment="1" applyProtection="1">
      <alignment horizontal="left" vertical="center" indent="1"/>
      <protection locked="0"/>
    </xf>
    <xf numFmtId="0" fontId="80" fillId="0" borderId="28" xfId="57482" applyFont="1" applyBorder="1" applyAlignment="1" applyProtection="1">
      <alignment horizontal="left" vertical="center" indent="1"/>
      <protection locked="0"/>
    </xf>
    <xf numFmtId="0" fontId="80" fillId="0" borderId="1" xfId="57482" applyFont="1" applyBorder="1" applyAlignment="1" applyProtection="1">
      <alignment horizontal="left" vertical="center" indent="1"/>
      <protection locked="0"/>
    </xf>
    <xf numFmtId="0" fontId="80" fillId="0" borderId="27" xfId="57482" applyFont="1" applyBorder="1" applyAlignment="1" applyProtection="1">
      <alignment horizontal="left" vertical="center" indent="1"/>
      <protection locked="0"/>
    </xf>
    <xf numFmtId="2" fontId="80" fillId="0" borderId="134" xfId="57482" applyNumberFormat="1" applyFont="1" applyBorder="1" applyAlignment="1">
      <alignment horizontal="left" vertical="center" indent="1"/>
    </xf>
    <xf numFmtId="2" fontId="19" fillId="0" borderId="101" xfId="57482" applyNumberFormat="1" applyFont="1" applyBorder="1" applyAlignment="1">
      <alignment horizontal="left" vertical="center" indent="1"/>
    </xf>
    <xf numFmtId="2" fontId="19" fillId="0" borderId="102" xfId="57482" applyNumberFormat="1" applyFont="1" applyBorder="1" applyAlignment="1">
      <alignment horizontal="left" vertical="center" indent="1"/>
    </xf>
    <xf numFmtId="2" fontId="19" fillId="0" borderId="28" xfId="57482" applyNumberFormat="1" applyFont="1" applyBorder="1" applyAlignment="1">
      <alignment horizontal="left" vertical="center" indent="1"/>
    </xf>
    <xf numFmtId="2" fontId="19" fillId="0" borderId="1" xfId="57482" applyNumberFormat="1" applyFont="1" applyBorder="1" applyAlignment="1">
      <alignment horizontal="left" vertical="center" indent="1"/>
    </xf>
    <xf numFmtId="2" fontId="19" fillId="0" borderId="27" xfId="57482" applyNumberFormat="1" applyFont="1" applyBorder="1" applyAlignment="1">
      <alignment horizontal="left" vertical="center" indent="1"/>
    </xf>
    <xf numFmtId="182" fontId="19" fillId="0" borderId="101" xfId="57482" applyNumberFormat="1" applyFont="1" applyBorder="1" applyAlignment="1" applyProtection="1">
      <alignment horizontal="left" vertical="center" indent="1"/>
      <protection locked="0"/>
    </xf>
    <xf numFmtId="182" fontId="19" fillId="0" borderId="102" xfId="57482" applyNumberFormat="1" applyFont="1" applyBorder="1" applyAlignment="1" applyProtection="1">
      <alignment horizontal="left" vertical="center" indent="1"/>
      <protection locked="0"/>
    </xf>
    <xf numFmtId="182" fontId="19" fillId="0" borderId="28" xfId="57482" applyNumberFormat="1" applyFont="1" applyBorder="1" applyAlignment="1" applyProtection="1">
      <alignment horizontal="left" vertical="center" indent="1"/>
      <protection locked="0"/>
    </xf>
    <xf numFmtId="182" fontId="19" fillId="0" borderId="1" xfId="57482" applyNumberFormat="1" applyFont="1" applyBorder="1" applyAlignment="1" applyProtection="1">
      <alignment horizontal="left" vertical="center" indent="1"/>
      <protection locked="0"/>
    </xf>
    <xf numFmtId="182" fontId="19" fillId="0" borderId="27" xfId="57482" applyNumberFormat="1" applyFont="1" applyBorder="1" applyAlignment="1" applyProtection="1">
      <alignment horizontal="left" vertical="center" indent="1"/>
      <protection locked="0"/>
    </xf>
    <xf numFmtId="0" fontId="77" fillId="0" borderId="29" xfId="57482" applyFont="1" applyBorder="1" applyAlignment="1" applyProtection="1">
      <alignment horizontal="center" vertical="center" wrapText="1"/>
      <protection locked="0"/>
    </xf>
    <xf numFmtId="0" fontId="77" fillId="0" borderId="0" xfId="57482" applyFont="1" applyAlignment="1" applyProtection="1">
      <alignment horizontal="center" vertical="center" wrapText="1"/>
      <protection locked="0"/>
    </xf>
    <xf numFmtId="0" fontId="77" fillId="0" borderId="30" xfId="57482" applyFont="1" applyBorder="1" applyAlignment="1" applyProtection="1">
      <alignment horizontal="center" vertical="center" wrapText="1"/>
      <protection locked="0"/>
    </xf>
    <xf numFmtId="0" fontId="78" fillId="0" borderId="29" xfId="57482" applyFont="1" applyBorder="1" applyAlignment="1" applyProtection="1">
      <alignment horizontal="center" vertical="center"/>
      <protection locked="0"/>
    </xf>
    <xf numFmtId="0" fontId="78" fillId="0" borderId="0" xfId="57482" applyFont="1" applyAlignment="1" applyProtection="1">
      <alignment horizontal="center" vertical="center"/>
      <protection locked="0"/>
    </xf>
    <xf numFmtId="0" fontId="78" fillId="0" borderId="30" xfId="57482" applyFont="1" applyBorder="1" applyAlignment="1" applyProtection="1">
      <alignment horizontal="center" vertical="center"/>
      <protection locked="0"/>
    </xf>
    <xf numFmtId="0" fontId="78" fillId="0" borderId="28" xfId="57482" applyFont="1" applyBorder="1" applyAlignment="1" applyProtection="1">
      <alignment horizontal="center" vertical="center"/>
      <protection locked="0"/>
    </xf>
    <xf numFmtId="0" fontId="78" fillId="0" borderId="1" xfId="57482" applyFont="1" applyBorder="1" applyAlignment="1" applyProtection="1">
      <alignment horizontal="center" vertical="center"/>
      <protection locked="0"/>
    </xf>
    <xf numFmtId="0" fontId="78" fillId="0" borderId="27" xfId="57482" applyFont="1" applyBorder="1" applyAlignment="1" applyProtection="1">
      <alignment horizontal="center" vertical="center"/>
      <protection locked="0"/>
    </xf>
    <xf numFmtId="0" fontId="19" fillId="0" borderId="101" xfId="57482" applyFont="1" applyBorder="1" applyAlignment="1" applyProtection="1">
      <alignment horizontal="left" vertical="center" indent="1"/>
      <protection locked="0"/>
    </xf>
    <xf numFmtId="0" fontId="19" fillId="0" borderId="102" xfId="57482" applyFont="1" applyBorder="1" applyAlignment="1" applyProtection="1">
      <alignment horizontal="left" vertical="center" indent="1"/>
      <protection locked="0"/>
    </xf>
    <xf numFmtId="0" fontId="19" fillId="0" borderId="28" xfId="57482" applyFont="1" applyBorder="1" applyAlignment="1" applyProtection="1">
      <alignment horizontal="left" vertical="center" indent="1"/>
      <protection locked="0"/>
    </xf>
    <xf numFmtId="0" fontId="19" fillId="0" borderId="1" xfId="57482" applyFont="1" applyBorder="1" applyAlignment="1" applyProtection="1">
      <alignment horizontal="left" vertical="center" indent="1"/>
      <protection locked="0"/>
    </xf>
    <xf numFmtId="0" fontId="19" fillId="0" borderId="27" xfId="57482" applyFont="1" applyBorder="1" applyAlignment="1" applyProtection="1">
      <alignment horizontal="left" vertical="center" indent="1"/>
      <protection locked="0"/>
    </xf>
    <xf numFmtId="0" fontId="16"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protection locked="0"/>
    </xf>
    <xf numFmtId="177" fontId="17" fillId="0" borderId="0" xfId="57482" applyNumberFormat="1" applyFont="1" applyAlignment="1" applyProtection="1">
      <alignment horizontal="center" vertical="center"/>
      <protection locked="0"/>
    </xf>
    <xf numFmtId="0" fontId="17" fillId="0" borderId="136" xfId="57485" applyFont="1" applyBorder="1" applyAlignment="1">
      <alignment horizontal="center" vertical="center"/>
    </xf>
    <xf numFmtId="0" fontId="17" fillId="0" borderId="101" xfId="57485" applyFont="1" applyBorder="1" applyAlignment="1">
      <alignment horizontal="center" vertical="center"/>
    </xf>
    <xf numFmtId="0" fontId="17" fillId="0" borderId="102" xfId="57485" applyFont="1" applyBorder="1" applyAlignment="1">
      <alignment horizontal="center" vertical="center"/>
    </xf>
    <xf numFmtId="0" fontId="17" fillId="0" borderId="6" xfId="57485" applyFont="1" applyBorder="1" applyAlignment="1">
      <alignment horizontal="center" vertical="center"/>
    </xf>
    <xf numFmtId="0" fontId="17" fillId="0" borderId="59" xfId="57485" applyFont="1" applyBorder="1" applyAlignment="1">
      <alignment horizontal="center" vertical="center"/>
    </xf>
    <xf numFmtId="0" fontId="17" fillId="0" borderId="124" xfId="57485" applyFont="1" applyBorder="1" applyAlignment="1">
      <alignment horizontal="center" vertical="center"/>
    </xf>
    <xf numFmtId="0" fontId="17" fillId="0" borderId="134" xfId="57485" applyFont="1" applyBorder="1" applyAlignment="1">
      <alignment horizontal="center" vertical="center"/>
    </xf>
    <xf numFmtId="0" fontId="17" fillId="0" borderId="121" xfId="57485" applyFont="1" applyBorder="1" applyAlignment="1">
      <alignment horizontal="center" vertical="center"/>
    </xf>
    <xf numFmtId="0" fontId="17" fillId="0" borderId="56" xfId="57485" applyFont="1" applyBorder="1" applyAlignment="1">
      <alignment horizontal="center" vertical="center"/>
    </xf>
    <xf numFmtId="0" fontId="17" fillId="0" borderId="57" xfId="57485" applyFont="1" applyBorder="1" applyAlignment="1">
      <alignment horizontal="center" vertical="center"/>
    </xf>
    <xf numFmtId="0" fontId="17" fillId="0" borderId="58" xfId="57485" applyFont="1" applyBorder="1" applyAlignment="1">
      <alignment horizontal="center" vertical="center"/>
    </xf>
    <xf numFmtId="0" fontId="17" fillId="0" borderId="76" xfId="57485" applyFont="1" applyBorder="1" applyAlignment="1">
      <alignment horizontal="center" vertical="center"/>
    </xf>
    <xf numFmtId="0" fontId="17" fillId="0" borderId="79" xfId="57485" applyFont="1" applyBorder="1" applyAlignment="1">
      <alignment horizontal="center" vertical="center"/>
    </xf>
    <xf numFmtId="0" fontId="17" fillId="0" borderId="80" xfId="57485" applyFont="1" applyBorder="1" applyAlignment="1">
      <alignment horizontal="center" vertical="center"/>
    </xf>
    <xf numFmtId="0" fontId="17" fillId="0" borderId="81" xfId="57485" applyFont="1" applyBorder="1" applyAlignment="1">
      <alignment horizontal="center" vertical="center"/>
    </xf>
    <xf numFmtId="0" fontId="17" fillId="0" borderId="82" xfId="57485" applyFont="1" applyBorder="1" applyAlignment="1">
      <alignment horizontal="center" vertical="center"/>
    </xf>
    <xf numFmtId="0" fontId="17" fillId="0" borderId="8" xfId="57485" applyFont="1" applyBorder="1" applyAlignment="1">
      <alignment horizontal="center" vertical="center"/>
    </xf>
    <xf numFmtId="0" fontId="17" fillId="0" borderId="0" xfId="57485" applyFont="1" applyAlignment="1">
      <alignment horizontal="center" vertical="center"/>
    </xf>
    <xf numFmtId="0" fontId="17" fillId="0" borderId="30" xfId="57485" applyFont="1" applyBorder="1" applyAlignment="1">
      <alignment horizontal="center" vertical="center"/>
    </xf>
    <xf numFmtId="0" fontId="17" fillId="0" borderId="29" xfId="57485" applyFont="1" applyBorder="1" applyAlignment="1">
      <alignment horizontal="center" vertical="center"/>
    </xf>
    <xf numFmtId="0" fontId="17" fillId="0" borderId="72" xfId="57485" applyFont="1" applyBorder="1" applyAlignment="1">
      <alignment horizontal="center" vertical="center"/>
    </xf>
    <xf numFmtId="0" fontId="17" fillId="0" borderId="73" xfId="57485" applyFont="1" applyBorder="1" applyAlignment="1">
      <alignment horizontal="center" vertical="center"/>
    </xf>
    <xf numFmtId="0" fontId="17" fillId="0" borderId="74" xfId="57485" applyFont="1" applyBorder="1" applyAlignment="1">
      <alignment horizontal="center" vertical="center"/>
    </xf>
    <xf numFmtId="0" fontId="17" fillId="0" borderId="75" xfId="57485" applyFont="1" applyBorder="1" applyAlignment="1">
      <alignment horizontal="center" vertical="center"/>
    </xf>
    <xf numFmtId="0" fontId="17" fillId="0" borderId="77" xfId="57485" applyFont="1" applyBorder="1" applyAlignment="1">
      <alignment horizontal="center" vertical="center"/>
    </xf>
    <xf numFmtId="0" fontId="17" fillId="0" borderId="1" xfId="57485" applyFont="1" applyBorder="1" applyAlignment="1">
      <alignment horizontal="center" vertical="center"/>
    </xf>
    <xf numFmtId="0" fontId="17" fillId="0" borderId="27" xfId="57485" applyFont="1" applyBorder="1" applyAlignment="1">
      <alignment horizontal="center" vertical="center"/>
    </xf>
    <xf numFmtId="0" fontId="17" fillId="0" borderId="28" xfId="57485" applyFont="1" applyBorder="1" applyAlignment="1">
      <alignment horizontal="center" vertical="center"/>
    </xf>
    <xf numFmtId="0" fontId="17" fillId="0" borderId="49" xfId="57485" applyFont="1" applyBorder="1" applyAlignment="1">
      <alignment horizontal="center" vertical="center"/>
    </xf>
    <xf numFmtId="0" fontId="17" fillId="0" borderId="50" xfId="57485" applyFont="1" applyBorder="1" applyAlignment="1">
      <alignment horizontal="center" vertical="center"/>
    </xf>
    <xf numFmtId="0" fontId="17" fillId="0" borderId="51" xfId="57485" applyFont="1" applyBorder="1" applyAlignment="1">
      <alignment horizontal="center" vertical="center"/>
    </xf>
    <xf numFmtId="0" fontId="17" fillId="0" borderId="78" xfId="57485" applyFont="1" applyBorder="1" applyAlignment="1">
      <alignment horizontal="center" vertical="center"/>
    </xf>
    <xf numFmtId="176" fontId="117" fillId="0" borderId="136" xfId="57485" applyNumberFormat="1" applyFont="1" applyBorder="1" applyAlignment="1">
      <alignment horizontal="center" vertical="center"/>
    </xf>
    <xf numFmtId="176" fontId="117" fillId="0" borderId="101" xfId="57485" applyNumberFormat="1" applyFont="1" applyBorder="1" applyAlignment="1">
      <alignment horizontal="center" vertical="center"/>
    </xf>
    <xf numFmtId="176" fontId="117" fillId="0" borderId="102" xfId="57485" applyNumberFormat="1" applyFont="1" applyBorder="1" applyAlignment="1">
      <alignment horizontal="center" vertical="center"/>
    </xf>
    <xf numFmtId="176" fontId="117" fillId="0" borderId="77" xfId="57485" applyNumberFormat="1" applyFont="1" applyBorder="1" applyAlignment="1">
      <alignment horizontal="center" vertical="center"/>
    </xf>
    <xf numFmtId="176" fontId="117" fillId="0" borderId="1" xfId="57485" applyNumberFormat="1" applyFont="1" applyBorder="1" applyAlignment="1">
      <alignment horizontal="center" vertical="center"/>
    </xf>
    <xf numFmtId="176" fontId="117" fillId="0" borderId="27" xfId="57485" applyNumberFormat="1" applyFont="1" applyBorder="1" applyAlignment="1">
      <alignment horizontal="center" vertical="center"/>
    </xf>
    <xf numFmtId="0" fontId="17" fillId="0" borderId="134" xfId="57485" applyFont="1" applyBorder="1" applyAlignment="1">
      <alignment horizontal="left" vertical="center"/>
    </xf>
    <xf numFmtId="0" fontId="17" fillId="0" borderId="101" xfId="57485" applyFont="1" applyBorder="1" applyAlignment="1">
      <alignment horizontal="left" vertical="center"/>
    </xf>
    <xf numFmtId="0" fontId="17" fillId="0" borderId="102" xfId="57485" applyFont="1" applyBorder="1" applyAlignment="1">
      <alignment horizontal="left" vertical="center"/>
    </xf>
    <xf numFmtId="0" fontId="17" fillId="0" borderId="28" xfId="57485" applyFont="1" applyBorder="1" applyAlignment="1">
      <alignment horizontal="left" vertical="center"/>
    </xf>
    <xf numFmtId="0" fontId="17" fillId="0" borderId="1" xfId="57485" applyFont="1" applyBorder="1" applyAlignment="1">
      <alignment horizontal="left" vertical="center"/>
    </xf>
    <xf numFmtId="0" fontId="17" fillId="0" borderId="27" xfId="57485" applyFont="1" applyBorder="1" applyAlignment="1">
      <alignment horizontal="left" vertical="center"/>
    </xf>
    <xf numFmtId="0" fontId="17" fillId="0" borderId="134" xfId="57485" applyFont="1" applyBorder="1">
      <alignment vertical="center"/>
    </xf>
    <xf numFmtId="0" fontId="17" fillId="0" borderId="101" xfId="57485" applyFont="1" applyBorder="1">
      <alignment vertical="center"/>
    </xf>
    <xf numFmtId="0" fontId="17" fillId="0" borderId="102" xfId="57485" applyFont="1" applyBorder="1">
      <alignment vertical="center"/>
    </xf>
    <xf numFmtId="0" fontId="17" fillId="0" borderId="28" xfId="57485" applyFont="1" applyBorder="1">
      <alignment vertical="center"/>
    </xf>
    <xf numFmtId="0" fontId="17" fillId="0" borderId="1" xfId="57485" applyFont="1" applyBorder="1">
      <alignment vertical="center"/>
    </xf>
    <xf numFmtId="0" fontId="17" fillId="0" borderId="27" xfId="57485" applyFont="1" applyBorder="1">
      <alignment vertical="center"/>
    </xf>
    <xf numFmtId="14" fontId="117" fillId="0" borderId="56" xfId="57485" quotePrefix="1" applyNumberFormat="1" applyFont="1" applyBorder="1" applyAlignment="1">
      <alignment horizontal="center" vertical="center" shrinkToFit="1"/>
    </xf>
    <xf numFmtId="0" fontId="117" fillId="0" borderId="57" xfId="57485" applyFont="1" applyBorder="1" applyAlignment="1">
      <alignment horizontal="center" vertical="center" shrinkToFit="1"/>
    </xf>
    <xf numFmtId="0" fontId="117" fillId="0" borderId="58" xfId="57485" applyFont="1" applyBorder="1" applyAlignment="1">
      <alignment horizontal="center" vertical="center" shrinkToFit="1"/>
    </xf>
    <xf numFmtId="0" fontId="117" fillId="0" borderId="49" xfId="57485" applyFont="1" applyBorder="1" applyAlignment="1">
      <alignment horizontal="center" vertical="center"/>
    </xf>
    <xf numFmtId="0" fontId="117" fillId="0" borderId="50" xfId="57485" applyFont="1" applyBorder="1" applyAlignment="1">
      <alignment horizontal="center" vertical="center"/>
    </xf>
    <xf numFmtId="0" fontId="117" fillId="0" borderId="51" xfId="57485" applyFont="1" applyBorder="1" applyAlignment="1">
      <alignment horizontal="center" vertical="center"/>
    </xf>
    <xf numFmtId="0" fontId="117" fillId="0" borderId="134" xfId="57485" applyFont="1" applyBorder="1" applyAlignment="1">
      <alignment horizontal="left" vertical="center"/>
    </xf>
    <xf numFmtId="0" fontId="117" fillId="0" borderId="101" xfId="57485" applyFont="1" applyBorder="1" applyAlignment="1">
      <alignment horizontal="left" vertical="center"/>
    </xf>
    <xf numFmtId="0" fontId="117" fillId="0" borderId="102" xfId="57485" applyFont="1" applyBorder="1" applyAlignment="1">
      <alignment horizontal="left" vertical="center"/>
    </xf>
    <xf numFmtId="0" fontId="117" fillId="0" borderId="29" xfId="57485" applyFont="1" applyBorder="1" applyAlignment="1">
      <alignment horizontal="left" vertical="center"/>
    </xf>
    <xf numFmtId="0" fontId="117" fillId="0" borderId="0" xfId="57485" applyFont="1" applyAlignment="1">
      <alignment horizontal="left" vertical="center"/>
    </xf>
    <xf numFmtId="0" fontId="117" fillId="0" borderId="30" xfId="57485" applyFont="1" applyBorder="1" applyAlignment="1">
      <alignment horizontal="left" vertical="center"/>
    </xf>
    <xf numFmtId="56" fontId="17" fillId="0" borderId="56" xfId="57485" applyNumberFormat="1" applyFont="1" applyBorder="1" applyAlignment="1">
      <alignment horizontal="center" vertical="center"/>
    </xf>
    <xf numFmtId="0" fontId="17" fillId="43" borderId="4" xfId="57482" applyFont="1" applyFill="1" applyBorder="1" applyAlignment="1">
      <alignment horizontal="center" vertical="center"/>
    </xf>
    <xf numFmtId="0" fontId="17" fillId="43" borderId="5" xfId="57482" applyFont="1" applyFill="1" applyBorder="1" applyAlignment="1">
      <alignment horizontal="center" vertical="center"/>
    </xf>
    <xf numFmtId="0" fontId="17" fillId="43" borderId="31" xfId="57482" applyFont="1" applyFill="1" applyBorder="1" applyAlignment="1">
      <alignment horizontal="center" vertical="center"/>
    </xf>
    <xf numFmtId="0" fontId="17" fillId="43" borderId="8" xfId="57482" applyFont="1" applyFill="1" applyBorder="1" applyAlignment="1">
      <alignment horizontal="center" vertical="center"/>
    </xf>
    <xf numFmtId="0" fontId="17" fillId="43" borderId="0" xfId="57482" applyFont="1" applyFill="1" applyAlignment="1">
      <alignment horizontal="center" vertical="center"/>
    </xf>
    <xf numFmtId="0" fontId="17" fillId="43" borderId="30" xfId="57482" applyFont="1" applyFill="1" applyBorder="1" applyAlignment="1">
      <alignment horizontal="center" vertical="center"/>
    </xf>
    <xf numFmtId="0" fontId="17" fillId="43" borderId="60" xfId="57485" applyFont="1" applyFill="1" applyBorder="1" applyAlignment="1">
      <alignment horizontal="center" vertical="center"/>
    </xf>
    <xf numFmtId="0" fontId="17" fillId="43" borderId="5" xfId="57485" applyFont="1" applyFill="1" applyBorder="1" applyAlignment="1">
      <alignment horizontal="center" vertical="center"/>
    </xf>
    <xf numFmtId="0" fontId="17" fillId="43" borderId="31" xfId="57485" applyFont="1" applyFill="1" applyBorder="1" applyAlignment="1">
      <alignment horizontal="center" vertical="center"/>
    </xf>
    <xf numFmtId="0" fontId="17" fillId="43" borderId="62" xfId="57485" applyFont="1" applyFill="1" applyBorder="1" applyAlignment="1">
      <alignment horizontal="center" vertical="center"/>
    </xf>
    <xf numFmtId="0" fontId="17" fillId="43" borderId="123" xfId="57485" applyFont="1" applyFill="1" applyBorder="1" applyAlignment="1">
      <alignment horizontal="center" vertical="center"/>
    </xf>
    <xf numFmtId="0" fontId="17" fillId="43" borderId="63" xfId="57485" applyFont="1" applyFill="1" applyBorder="1" applyAlignment="1">
      <alignment horizontal="center" vertical="center"/>
    </xf>
    <xf numFmtId="0" fontId="17" fillId="43" borderId="60" xfId="57482" applyFont="1" applyFill="1" applyBorder="1" applyAlignment="1">
      <alignment horizontal="center" vertical="center"/>
    </xf>
    <xf numFmtId="0" fontId="17" fillId="43" borderId="62" xfId="57482" applyFont="1" applyFill="1" applyBorder="1" applyAlignment="1">
      <alignment horizontal="center" vertical="center"/>
    </xf>
    <xf numFmtId="0" fontId="17" fillId="43" borderId="123" xfId="57482" applyFont="1" applyFill="1" applyBorder="1" applyAlignment="1">
      <alignment horizontal="center" vertical="center"/>
    </xf>
    <xf numFmtId="0" fontId="17" fillId="43" borderId="63" xfId="57482" applyFont="1" applyFill="1" applyBorder="1" applyAlignment="1">
      <alignment horizontal="center" vertical="center"/>
    </xf>
    <xf numFmtId="0" fontId="17" fillId="43" borderId="60" xfId="57482" applyFont="1" applyFill="1" applyBorder="1" applyAlignment="1">
      <alignment horizontal="center" vertical="center" wrapText="1"/>
    </xf>
    <xf numFmtId="0" fontId="17" fillId="43" borderId="29" xfId="57482" applyFont="1" applyFill="1" applyBorder="1" applyAlignment="1">
      <alignment horizontal="center" vertical="center"/>
    </xf>
    <xf numFmtId="0" fontId="17" fillId="43" borderId="61" xfId="57482" applyFont="1" applyFill="1" applyBorder="1" applyAlignment="1">
      <alignment horizontal="center" vertical="center"/>
    </xf>
    <xf numFmtId="0" fontId="17" fillId="43" borderId="9" xfId="57482" applyFont="1" applyFill="1" applyBorder="1" applyAlignment="1">
      <alignment horizontal="center" vertical="center"/>
    </xf>
    <xf numFmtId="176" fontId="17" fillId="0" borderId="64" xfId="57485" applyNumberFormat="1" applyFont="1" applyBorder="1" applyAlignment="1">
      <alignment horizontal="center" vertical="center"/>
    </xf>
    <xf numFmtId="176" fontId="17" fillId="0" borderId="65" xfId="57485" applyNumberFormat="1" applyFont="1" applyBorder="1" applyAlignment="1">
      <alignment horizontal="center" vertical="center"/>
    </xf>
    <xf numFmtId="176" fontId="17" fillId="0" borderId="66" xfId="57485" applyNumberFormat="1" applyFont="1" applyBorder="1" applyAlignment="1">
      <alignment horizontal="center" vertical="center"/>
    </xf>
    <xf numFmtId="176" fontId="17" fillId="0" borderId="8" xfId="57485" applyNumberFormat="1" applyFont="1" applyBorder="1" applyAlignment="1">
      <alignment horizontal="center" vertical="center"/>
    </xf>
    <xf numFmtId="176" fontId="17" fillId="0" borderId="0" xfId="57485" applyNumberFormat="1" applyFont="1" applyAlignment="1">
      <alignment horizontal="center" vertical="center"/>
    </xf>
    <xf numFmtId="176" fontId="17" fillId="0" borderId="30" xfId="57485" applyNumberFormat="1" applyFont="1" applyBorder="1" applyAlignment="1">
      <alignment horizontal="center" vertical="center"/>
    </xf>
    <xf numFmtId="0" fontId="17" fillId="0" borderId="67" xfId="57485" applyFont="1" applyBorder="1" applyAlignment="1">
      <alignment horizontal="left" vertical="center"/>
    </xf>
    <xf numFmtId="0" fontId="17" fillId="0" borderId="65" xfId="57485" applyFont="1" applyBorder="1" applyAlignment="1">
      <alignment horizontal="left" vertical="center"/>
    </xf>
    <xf numFmtId="0" fontId="17" fillId="0" borderId="66" xfId="57485" applyFont="1" applyBorder="1" applyAlignment="1">
      <alignment horizontal="left" vertical="center"/>
    </xf>
    <xf numFmtId="0" fontId="17" fillId="0" borderId="29" xfId="57485" applyFont="1" applyBorder="1" applyAlignment="1">
      <alignment horizontal="left" vertical="center"/>
    </xf>
    <xf numFmtId="0" fontId="17" fillId="0" borderId="0" xfId="57485" applyFont="1" applyAlignment="1">
      <alignment horizontal="left" vertical="center"/>
    </xf>
    <xf numFmtId="0" fontId="17" fillId="0" borderId="30" xfId="57485" applyFont="1" applyBorder="1" applyAlignment="1">
      <alignment horizontal="left" vertical="center"/>
    </xf>
    <xf numFmtId="0" fontId="17" fillId="0" borderId="67" xfId="57485" applyFont="1" applyBorder="1" applyAlignment="1">
      <alignment horizontal="center" vertical="center"/>
    </xf>
    <xf numFmtId="0" fontId="17" fillId="0" borderId="65" xfId="57485" applyFont="1" applyBorder="1" applyAlignment="1">
      <alignment horizontal="center" vertical="center"/>
    </xf>
    <xf numFmtId="0" fontId="17" fillId="0" borderId="66" xfId="57485" applyFont="1" applyBorder="1" applyAlignment="1">
      <alignment horizontal="center" vertical="center"/>
    </xf>
    <xf numFmtId="56" fontId="17" fillId="0" borderId="68" xfId="57485" quotePrefix="1" applyNumberFormat="1" applyFont="1" applyBorder="1" applyAlignment="1">
      <alignment horizontal="center" vertical="center"/>
    </xf>
    <xf numFmtId="0" fontId="17" fillId="0" borderId="69" xfId="57485" applyFont="1" applyBorder="1" applyAlignment="1">
      <alignment horizontal="center" vertical="center"/>
    </xf>
    <xf numFmtId="0" fontId="17" fillId="0" borderId="70" xfId="57485" applyFont="1" applyBorder="1" applyAlignment="1">
      <alignment horizontal="center" vertical="center"/>
    </xf>
    <xf numFmtId="56" fontId="17" fillId="0" borderId="68" xfId="57485" applyNumberFormat="1" applyFont="1" applyBorder="1" applyAlignment="1">
      <alignment horizontal="center" vertical="center"/>
    </xf>
    <xf numFmtId="0" fontId="17" fillId="0" borderId="71" xfId="57485" applyFont="1" applyBorder="1" applyAlignment="1">
      <alignment horizontal="center" vertical="center"/>
    </xf>
    <xf numFmtId="0" fontId="80" fillId="41" borderId="16" xfId="57485" applyFont="1" applyFill="1" applyBorder="1" applyAlignment="1">
      <alignment horizontal="center" vertical="center"/>
    </xf>
    <xf numFmtId="0" fontId="80" fillId="41" borderId="13" xfId="57485" applyFont="1" applyFill="1" applyBorder="1" applyAlignment="1">
      <alignment horizontal="center" vertical="center"/>
    </xf>
    <xf numFmtId="0" fontId="80" fillId="41" borderId="14" xfId="57485" applyFont="1" applyFill="1" applyBorder="1" applyAlignment="1">
      <alignment horizontal="center" vertical="center"/>
    </xf>
    <xf numFmtId="0" fontId="80" fillId="41" borderId="21" xfId="57485" applyFont="1" applyFill="1" applyBorder="1" applyAlignment="1">
      <alignment horizontal="center" vertical="center"/>
    </xf>
    <xf numFmtId="0" fontId="80" fillId="41" borderId="19" xfId="57485" applyFont="1" applyFill="1" applyBorder="1" applyAlignment="1">
      <alignment horizontal="center" vertical="center"/>
    </xf>
    <xf numFmtId="0" fontId="80" fillId="41" borderId="17" xfId="57485" applyFont="1" applyFill="1" applyBorder="1" applyAlignment="1">
      <alignment horizontal="center" vertical="center"/>
    </xf>
    <xf numFmtId="14" fontId="79" fillId="0" borderId="21" xfId="57485" applyNumberFormat="1" applyFont="1" applyBorder="1" applyAlignment="1">
      <alignment horizontal="center" vertical="center"/>
    </xf>
    <xf numFmtId="0" fontId="79" fillId="0" borderId="19" xfId="57485" applyFont="1" applyBorder="1" applyAlignment="1">
      <alignment horizontal="center" vertical="center"/>
    </xf>
    <xf numFmtId="0" fontId="79" fillId="0" borderId="17" xfId="57485" applyFont="1" applyBorder="1" applyAlignment="1">
      <alignment horizontal="center" vertical="center"/>
    </xf>
    <xf numFmtId="14" fontId="80" fillId="41" borderId="21" xfId="57485" applyNumberFormat="1" applyFont="1" applyFill="1" applyBorder="1" applyAlignment="1">
      <alignment horizontal="center" vertical="center"/>
    </xf>
    <xf numFmtId="14" fontId="80" fillId="41" borderId="19" xfId="57485" applyNumberFormat="1" applyFont="1" applyFill="1" applyBorder="1" applyAlignment="1">
      <alignment horizontal="center" vertical="center"/>
    </xf>
    <xf numFmtId="14" fontId="80" fillId="41" borderId="17" xfId="57485" applyNumberFormat="1" applyFont="1" applyFill="1" applyBorder="1" applyAlignment="1">
      <alignment horizontal="center" vertical="center"/>
    </xf>
    <xf numFmtId="14" fontId="79" fillId="0" borderId="19" xfId="57485" applyNumberFormat="1" applyFont="1" applyBorder="1" applyAlignment="1">
      <alignment horizontal="center" vertical="center"/>
    </xf>
    <xf numFmtId="14" fontId="79" fillId="0" borderId="17" xfId="57485" applyNumberFormat="1" applyFont="1" applyBorder="1" applyAlignment="1">
      <alignment horizontal="center" vertical="center"/>
    </xf>
    <xf numFmtId="0" fontId="79" fillId="0" borderId="21" xfId="57485" quotePrefix="1" applyFont="1" applyBorder="1" applyAlignment="1">
      <alignment horizontal="center" vertical="center"/>
    </xf>
    <xf numFmtId="0" fontId="79" fillId="0" borderId="20" xfId="57485" applyFont="1" applyBorder="1" applyAlignment="1">
      <alignment horizontal="center" vertical="center"/>
    </xf>
    <xf numFmtId="0" fontId="85" fillId="40" borderId="4" xfId="57484" applyFont="1" applyFill="1" applyBorder="1" applyAlignment="1" applyProtection="1">
      <alignment horizontal="center" vertical="center"/>
    </xf>
    <xf numFmtId="0" fontId="85" fillId="40" borderId="5" xfId="57484" applyFont="1" applyFill="1" applyBorder="1" applyAlignment="1" applyProtection="1">
      <alignment horizontal="center" vertical="center"/>
    </xf>
    <xf numFmtId="0" fontId="85" fillId="40" borderId="31" xfId="57484" applyFont="1" applyFill="1" applyBorder="1" applyAlignment="1" applyProtection="1">
      <alignment horizontal="center" vertical="center"/>
    </xf>
    <xf numFmtId="0" fontId="85" fillId="40" borderId="6" xfId="57484" applyFont="1" applyFill="1" applyBorder="1" applyAlignment="1" applyProtection="1">
      <alignment horizontal="center" vertical="center"/>
    </xf>
    <xf numFmtId="0" fontId="85" fillId="40" borderId="59" xfId="57484" applyFont="1" applyFill="1" applyBorder="1" applyAlignment="1" applyProtection="1">
      <alignment horizontal="center" vertical="center"/>
    </xf>
    <xf numFmtId="0" fontId="85" fillId="40" borderId="124" xfId="57484" applyFont="1" applyFill="1" applyBorder="1" applyAlignment="1" applyProtection="1">
      <alignment horizontal="center" vertical="center"/>
    </xf>
    <xf numFmtId="0" fontId="86" fillId="0" borderId="60" xfId="57485" applyFont="1" applyBorder="1" applyAlignment="1">
      <alignment horizontal="center" vertical="center" shrinkToFit="1"/>
    </xf>
    <xf numFmtId="0" fontId="86" fillId="0" borderId="5" xfId="57485" applyFont="1" applyBorder="1" applyAlignment="1">
      <alignment horizontal="center" vertical="center" shrinkToFit="1"/>
    </xf>
    <xf numFmtId="0" fontId="86" fillId="0" borderId="31" xfId="57485" applyFont="1" applyBorder="1" applyAlignment="1">
      <alignment horizontal="center" vertical="center" shrinkToFit="1"/>
    </xf>
    <xf numFmtId="0" fontId="86" fillId="0" borderId="121" xfId="57485" applyFont="1" applyBorder="1" applyAlignment="1">
      <alignment horizontal="center" vertical="center" shrinkToFit="1"/>
    </xf>
    <xf numFmtId="0" fontId="86" fillId="0" borderId="59" xfId="57485" applyFont="1" applyBorder="1" applyAlignment="1">
      <alignment horizontal="center" vertical="center" shrinkToFit="1"/>
    </xf>
    <xf numFmtId="0" fontId="86" fillId="0" borderId="124" xfId="57485" applyFont="1" applyBorder="1" applyAlignment="1">
      <alignment horizontal="center" vertical="center" shrinkToFit="1"/>
    </xf>
    <xf numFmtId="0" fontId="80" fillId="41" borderId="15" xfId="57485" applyFont="1" applyFill="1" applyBorder="1" applyAlignment="1">
      <alignment horizontal="center" vertical="center"/>
    </xf>
    <xf numFmtId="0" fontId="79" fillId="0" borderId="16" xfId="57485" applyFont="1" applyBorder="1" applyAlignment="1">
      <alignment horizontal="center" vertical="center" shrinkToFit="1"/>
    </xf>
    <xf numFmtId="0" fontId="79" fillId="0" borderId="13" xfId="57485" applyFont="1" applyBorder="1" applyAlignment="1">
      <alignment horizontal="center" vertical="center" shrinkToFit="1"/>
    </xf>
    <xf numFmtId="0" fontId="79" fillId="0" borderId="15" xfId="57485" applyFont="1" applyBorder="1" applyAlignment="1">
      <alignment horizontal="center" vertical="center" shrinkToFit="1"/>
    </xf>
    <xf numFmtId="14" fontId="79" fillId="0" borderId="16" xfId="57485" applyNumberFormat="1" applyFont="1" applyBorder="1" applyAlignment="1">
      <alignment horizontal="center" vertical="center"/>
    </xf>
    <xf numFmtId="14" fontId="79" fillId="0" borderId="13" xfId="57485" applyNumberFormat="1" applyFont="1" applyBorder="1" applyAlignment="1">
      <alignment horizontal="center" vertical="center"/>
    </xf>
    <xf numFmtId="14" fontId="79" fillId="0" borderId="15" xfId="57485" applyNumberFormat="1" applyFont="1" applyBorder="1" applyAlignment="1">
      <alignment horizontal="center" vertical="center"/>
    </xf>
    <xf numFmtId="0" fontId="25" fillId="0" borderId="5" xfId="8" applyFont="1" applyBorder="1" applyAlignment="1">
      <alignment horizontal="center" vertical="center" wrapText="1"/>
    </xf>
    <xf numFmtId="0" fontId="25" fillId="0" borderId="31" xfId="8" applyFont="1" applyBorder="1" applyAlignment="1">
      <alignment horizontal="center" vertical="center" wrapText="1"/>
    </xf>
    <xf numFmtId="0" fontId="25" fillId="0" borderId="8" xfId="8" applyFont="1" applyBorder="1" applyAlignment="1">
      <alignment horizontal="center" vertical="center" wrapText="1"/>
    </xf>
    <xf numFmtId="0" fontId="25" fillId="0" borderId="0" xfId="8" applyFont="1" applyAlignment="1">
      <alignment horizontal="center" vertical="center" wrapText="1"/>
    </xf>
    <xf numFmtId="0" fontId="25" fillId="0" borderId="30" xfId="8" applyFont="1" applyBorder="1" applyAlignment="1">
      <alignment horizontal="center" vertical="center" wrapText="1"/>
    </xf>
    <xf numFmtId="0" fontId="25" fillId="0" borderId="6" xfId="8" applyFont="1" applyBorder="1" applyAlignment="1">
      <alignment horizontal="center" vertical="center" wrapText="1"/>
    </xf>
    <xf numFmtId="0" fontId="25" fillId="0" borderId="59" xfId="8" applyFont="1" applyBorder="1" applyAlignment="1">
      <alignment horizontal="center" vertical="center" wrapText="1"/>
    </xf>
    <xf numFmtId="0" fontId="25" fillId="0" borderId="124" xfId="8" applyFont="1" applyBorder="1" applyAlignment="1">
      <alignment horizontal="center" vertical="center" wrapText="1"/>
    </xf>
    <xf numFmtId="0" fontId="16" fillId="44" borderId="16" xfId="8" applyFont="1" applyFill="1" applyBorder="1" applyAlignment="1">
      <alignment horizontal="center" vertical="center" wrapText="1"/>
    </xf>
    <xf numFmtId="0" fontId="16" fillId="44" borderId="13" xfId="8" applyFont="1" applyFill="1" applyBorder="1" applyAlignment="1">
      <alignment horizontal="center" vertical="center" wrapText="1"/>
    </xf>
    <xf numFmtId="0" fontId="16" fillId="44" borderId="15" xfId="8" applyFont="1" applyFill="1" applyBorder="1" applyAlignment="1">
      <alignment horizontal="center" vertical="center" wrapText="1"/>
    </xf>
    <xf numFmtId="0" fontId="16" fillId="44" borderId="16" xfId="8" applyFont="1" applyFill="1" applyBorder="1" applyAlignment="1">
      <alignment horizontal="center" wrapText="1"/>
    </xf>
    <xf numFmtId="0" fontId="16" fillId="44" borderId="13" xfId="8" applyFont="1" applyFill="1" applyBorder="1" applyAlignment="1">
      <alignment horizontal="center" wrapText="1"/>
    </xf>
    <xf numFmtId="0" fontId="16" fillId="44" borderId="15" xfId="8" applyFont="1" applyFill="1" applyBorder="1" applyAlignment="1">
      <alignment horizontal="center" wrapText="1"/>
    </xf>
    <xf numFmtId="0" fontId="16" fillId="0" borderId="101" xfId="8" applyFont="1" applyBorder="1" applyAlignment="1">
      <alignment horizontal="center" vertical="center" wrapText="1"/>
    </xf>
    <xf numFmtId="0" fontId="16" fillId="0" borderId="102" xfId="8" applyFont="1" applyBorder="1" applyAlignment="1">
      <alignment horizontal="center" vertical="center" wrapText="1"/>
    </xf>
    <xf numFmtId="0" fontId="16" fillId="44" borderId="103" xfId="8" applyFont="1" applyFill="1" applyBorder="1" applyAlignment="1">
      <alignment horizontal="center" wrapText="1"/>
    </xf>
    <xf numFmtId="0" fontId="16" fillId="44" borderId="104" xfId="8" applyFont="1" applyFill="1" applyBorder="1" applyAlignment="1">
      <alignment horizontal="center" wrapText="1"/>
    </xf>
    <xf numFmtId="0" fontId="16" fillId="44" borderId="105" xfId="8" applyFont="1" applyFill="1" applyBorder="1" applyAlignment="1">
      <alignment horizontal="center" wrapText="1"/>
    </xf>
    <xf numFmtId="0" fontId="17" fillId="0" borderId="13" xfId="8" applyFont="1" applyBorder="1" applyAlignment="1">
      <alignment horizontal="center" wrapText="1"/>
    </xf>
    <xf numFmtId="0" fontId="17" fillId="0" borderId="15" xfId="8" applyFont="1" applyBorder="1" applyAlignment="1">
      <alignment horizontal="center" wrapText="1"/>
    </xf>
    <xf numFmtId="0" fontId="16" fillId="44" borderId="16" xfId="9" applyFont="1" applyFill="1" applyBorder="1" applyAlignment="1">
      <alignment horizontal="center" wrapText="1"/>
    </xf>
    <xf numFmtId="0" fontId="7" fillId="44" borderId="13" xfId="224" applyFill="1" applyBorder="1" applyAlignment="1">
      <alignment horizontal="center" wrapText="1"/>
    </xf>
    <xf numFmtId="0" fontId="7" fillId="44" borderId="15" xfId="224" applyFill="1" applyBorder="1" applyAlignment="1">
      <alignment horizontal="center" wrapText="1"/>
    </xf>
    <xf numFmtId="0" fontId="16" fillId="44" borderId="16" xfId="9" applyFont="1" applyFill="1" applyBorder="1" applyAlignment="1">
      <alignment horizontal="center"/>
    </xf>
    <xf numFmtId="0" fontId="7" fillId="44" borderId="13" xfId="224" applyFill="1" applyBorder="1" applyAlignment="1">
      <alignment horizontal="center"/>
    </xf>
    <xf numFmtId="0" fontId="7" fillId="44" borderId="15" xfId="224" applyFill="1" applyBorder="1" applyAlignment="1">
      <alignment horizontal="center"/>
    </xf>
    <xf numFmtId="0" fontId="7" fillId="44" borderId="14" xfId="224" applyFill="1" applyBorder="1" applyAlignment="1">
      <alignment horizontal="center"/>
    </xf>
    <xf numFmtId="0" fontId="19" fillId="0" borderId="59" xfId="8" applyFont="1" applyBorder="1" applyAlignment="1">
      <alignment horizontal="center" vertical="center" shrinkToFit="1"/>
    </xf>
    <xf numFmtId="0" fontId="19" fillId="0" borderId="124" xfId="8" applyFont="1" applyBorder="1" applyAlignment="1">
      <alignment horizontal="center" vertical="center" shrinkToFit="1"/>
    </xf>
    <xf numFmtId="0" fontId="16" fillId="44" borderId="21" xfId="8" applyFont="1" applyFill="1" applyBorder="1" applyAlignment="1">
      <alignment horizontal="center" wrapText="1"/>
    </xf>
    <xf numFmtId="0" fontId="16" fillId="44" borderId="19" xfId="8" applyFont="1" applyFill="1" applyBorder="1" applyAlignment="1">
      <alignment horizontal="center" wrapText="1"/>
    </xf>
    <xf numFmtId="0" fontId="16" fillId="44" borderId="17" xfId="8" applyFont="1" applyFill="1" applyBorder="1" applyAlignment="1">
      <alignment horizontal="center" wrapText="1"/>
    </xf>
    <xf numFmtId="0" fontId="18" fillId="0" borderId="17" xfId="6" quotePrefix="1" applyFont="1" applyBorder="1" applyAlignment="1">
      <alignment wrapText="1"/>
    </xf>
    <xf numFmtId="0" fontId="96" fillId="49" borderId="171" xfId="224" applyFont="1" applyFill="1" applyBorder="1" applyAlignment="1">
      <alignment horizontal="center" vertical="center"/>
    </xf>
    <xf numFmtId="0" fontId="96" fillId="49" borderId="163" xfId="224" applyFont="1" applyFill="1" applyBorder="1" applyAlignment="1">
      <alignment horizontal="center" vertical="center"/>
    </xf>
    <xf numFmtId="0" fontId="96" fillId="49" borderId="182" xfId="224" applyFont="1" applyFill="1" applyBorder="1" applyAlignment="1">
      <alignment horizontal="center" vertical="center"/>
    </xf>
    <xf numFmtId="0" fontId="14" fillId="31" borderId="103" xfId="224" applyFont="1" applyFill="1" applyBorder="1" applyAlignment="1">
      <alignment horizontal="center" vertical="center"/>
    </xf>
    <xf numFmtId="0" fontId="14" fillId="31" borderId="105" xfId="224" applyFont="1" applyFill="1" applyBorder="1" applyAlignment="1">
      <alignment horizontal="center" vertical="center"/>
    </xf>
    <xf numFmtId="183" fontId="14" fillId="31" borderId="103" xfId="224" applyNumberFormat="1" applyFont="1" applyFill="1" applyBorder="1" applyAlignment="1">
      <alignment vertical="center"/>
    </xf>
    <xf numFmtId="183" fontId="14" fillId="31" borderId="104" xfId="224" applyNumberFormat="1" applyFont="1" applyFill="1" applyBorder="1" applyAlignment="1">
      <alignment vertical="center"/>
    </xf>
    <xf numFmtId="183" fontId="14" fillId="31" borderId="105" xfId="224" applyNumberFormat="1" applyFont="1" applyFill="1" applyBorder="1" applyAlignment="1">
      <alignment vertical="center"/>
    </xf>
    <xf numFmtId="0" fontId="14" fillId="31" borderId="29" xfId="224" quotePrefix="1" applyFont="1" applyFill="1" applyBorder="1" applyAlignment="1">
      <alignment horizontal="center" vertical="center"/>
    </xf>
    <xf numFmtId="0" fontId="14" fillId="31" borderId="30" xfId="224" quotePrefix="1" applyFont="1" applyFill="1" applyBorder="1" applyAlignment="1">
      <alignment horizontal="center" vertical="center"/>
    </xf>
    <xf numFmtId="0" fontId="14" fillId="31" borderId="176" xfId="224" quotePrefix="1" applyFont="1" applyFill="1" applyBorder="1" applyAlignment="1">
      <alignment horizontal="center" vertical="center"/>
    </xf>
    <xf numFmtId="0" fontId="14" fillId="31" borderId="166" xfId="224" quotePrefix="1" applyFont="1" applyFill="1" applyBorder="1" applyAlignment="1">
      <alignment horizontal="center" vertical="center"/>
    </xf>
    <xf numFmtId="0" fontId="14" fillId="62" borderId="175" xfId="224" quotePrefix="1" applyFont="1" applyFill="1" applyBorder="1" applyAlignment="1">
      <alignment horizontal="center" vertical="center"/>
    </xf>
    <xf numFmtId="0" fontId="14" fillId="62" borderId="161" xfId="224" quotePrefix="1" applyFont="1" applyFill="1" applyBorder="1" applyAlignment="1">
      <alignment horizontal="center" vertical="center"/>
    </xf>
    <xf numFmtId="0" fontId="14" fillId="62" borderId="176" xfId="224" quotePrefix="1" applyFont="1" applyFill="1" applyBorder="1" applyAlignment="1">
      <alignment horizontal="center" vertical="center"/>
    </xf>
    <xf numFmtId="0" fontId="14" fillId="62" borderId="166" xfId="224" quotePrefix="1" applyFont="1" applyFill="1" applyBorder="1" applyAlignment="1">
      <alignment horizontal="center" vertical="center"/>
    </xf>
    <xf numFmtId="0" fontId="14" fillId="31" borderId="175" xfId="224" quotePrefix="1" applyFont="1" applyFill="1" applyBorder="1" applyAlignment="1">
      <alignment horizontal="center" vertical="center"/>
    </xf>
    <xf numFmtId="0" fontId="14" fillId="31" borderId="161" xfId="224" quotePrefix="1" applyFont="1" applyFill="1" applyBorder="1" applyAlignment="1">
      <alignment horizontal="center" vertical="center"/>
    </xf>
    <xf numFmtId="0" fontId="14" fillId="31" borderId="28" xfId="224" quotePrefix="1" applyFont="1" applyFill="1" applyBorder="1" applyAlignment="1">
      <alignment horizontal="center" vertical="center"/>
    </xf>
    <xf numFmtId="0" fontId="14" fillId="31" borderId="27" xfId="224" quotePrefix="1" applyFont="1" applyFill="1" applyBorder="1" applyAlignment="1">
      <alignment horizontal="center" vertical="center"/>
    </xf>
    <xf numFmtId="183" fontId="14" fillId="31" borderId="171" xfId="224" applyNumberFormat="1" applyFont="1" applyFill="1" applyBorder="1" applyAlignment="1">
      <alignment horizontal="center" vertical="center"/>
    </xf>
    <xf numFmtId="183" fontId="14" fillId="31" borderId="163" xfId="224" applyNumberFormat="1" applyFont="1" applyFill="1" applyBorder="1" applyAlignment="1">
      <alignment horizontal="center" vertical="center"/>
    </xf>
    <xf numFmtId="183" fontId="14" fillId="31" borderId="165" xfId="224" applyNumberFormat="1" applyFont="1" applyFill="1" applyBorder="1" applyAlignment="1">
      <alignment horizontal="center" vertical="center"/>
    </xf>
    <xf numFmtId="0" fontId="14" fillId="31" borderId="151" xfId="224" applyFont="1" applyFill="1" applyBorder="1" applyAlignment="1">
      <alignment horizontal="center" vertical="center"/>
    </xf>
    <xf numFmtId="0" fontId="14" fillId="31" borderId="152" xfId="224" applyFont="1" applyFill="1" applyBorder="1" applyAlignment="1">
      <alignment horizontal="center" vertical="center"/>
    </xf>
    <xf numFmtId="0" fontId="14" fillId="31" borderId="1" xfId="224" applyFont="1" applyFill="1" applyBorder="1" applyAlignment="1">
      <alignment horizontal="center" vertical="center"/>
    </xf>
    <xf numFmtId="0" fontId="14" fillId="31" borderId="169" xfId="224" applyFont="1" applyFill="1" applyBorder="1" applyAlignment="1">
      <alignment horizontal="center" vertical="center"/>
    </xf>
    <xf numFmtId="183" fontId="14" fillId="31" borderId="151" xfId="224" applyNumberFormat="1" applyFont="1" applyFill="1" applyBorder="1" applyAlignment="1">
      <alignment horizontal="right" vertical="center"/>
    </xf>
    <xf numFmtId="183" fontId="14" fillId="31" borderId="152" xfId="224" applyNumberFormat="1" applyFont="1" applyFill="1" applyBorder="1" applyAlignment="1">
      <alignment horizontal="right" vertical="center"/>
    </xf>
    <xf numFmtId="183" fontId="14" fillId="31" borderId="170" xfId="224" applyNumberFormat="1" applyFont="1" applyFill="1" applyBorder="1" applyAlignment="1">
      <alignment horizontal="right" vertical="center"/>
    </xf>
    <xf numFmtId="183" fontId="14" fillId="31" borderId="1" xfId="224" applyNumberFormat="1" applyFont="1" applyFill="1" applyBorder="1" applyAlignment="1">
      <alignment horizontal="right" vertical="center"/>
    </xf>
    <xf numFmtId="183" fontId="14" fillId="31" borderId="169" xfId="224" applyNumberFormat="1" applyFont="1" applyFill="1" applyBorder="1" applyAlignment="1">
      <alignment horizontal="right" vertical="center"/>
    </xf>
    <xf numFmtId="183" fontId="14" fillId="31" borderId="148" xfId="224" applyNumberFormat="1" applyFont="1" applyFill="1" applyBorder="1" applyAlignment="1">
      <alignment horizontal="center" vertical="center"/>
    </xf>
    <xf numFmtId="183" fontId="14" fillId="31" borderId="147" xfId="224" applyNumberFormat="1" applyFont="1" applyFill="1" applyBorder="1" applyAlignment="1">
      <alignment horizontal="center" vertical="center"/>
    </xf>
    <xf numFmtId="183" fontId="14" fillId="31" borderId="149" xfId="224" applyNumberFormat="1" applyFont="1" applyFill="1" applyBorder="1" applyAlignment="1">
      <alignment horizontal="center" vertical="center"/>
    </xf>
    <xf numFmtId="183" fontId="14" fillId="62" borderId="171" xfId="224" applyNumberFormat="1" applyFont="1" applyFill="1" applyBorder="1" applyAlignment="1">
      <alignment horizontal="center" vertical="center"/>
    </xf>
    <xf numFmtId="183" fontId="14" fillId="62" borderId="163" xfId="224" applyNumberFormat="1" applyFont="1" applyFill="1" applyBorder="1" applyAlignment="1">
      <alignment horizontal="center" vertical="center"/>
    </xf>
    <xf numFmtId="183" fontId="14" fillId="62" borderId="165" xfId="224" applyNumberFormat="1" applyFont="1" applyFill="1" applyBorder="1" applyAlignment="1">
      <alignment horizontal="center" vertical="center"/>
    </xf>
    <xf numFmtId="0" fontId="14" fillId="62" borderId="151" xfId="224" applyFont="1" applyFill="1" applyBorder="1" applyAlignment="1">
      <alignment horizontal="center" vertical="center"/>
    </xf>
    <xf numFmtId="0" fontId="14" fillId="62" borderId="152" xfId="224" applyFont="1" applyFill="1" applyBorder="1" applyAlignment="1">
      <alignment horizontal="center" vertical="center"/>
    </xf>
    <xf numFmtId="0" fontId="14" fillId="62" borderId="158" xfId="224" applyFont="1" applyFill="1" applyBorder="1" applyAlignment="1">
      <alignment horizontal="center" vertical="center"/>
    </xf>
    <xf numFmtId="0" fontId="14" fillId="62" borderId="159" xfId="224" applyFont="1" applyFill="1" applyBorder="1" applyAlignment="1">
      <alignment horizontal="center" vertical="center"/>
    </xf>
    <xf numFmtId="183" fontId="14" fillId="62" borderId="151" xfId="224" applyNumberFormat="1" applyFont="1" applyFill="1" applyBorder="1" applyAlignment="1">
      <alignment vertical="center"/>
    </xf>
    <xf numFmtId="183" fontId="14" fillId="62" borderId="152" xfId="224" applyNumberFormat="1" applyFont="1" applyFill="1" applyBorder="1" applyAlignment="1">
      <alignment vertical="center"/>
    </xf>
    <xf numFmtId="183" fontId="14" fillId="62" borderId="0" xfId="224" applyNumberFormat="1" applyFont="1" applyFill="1" applyAlignment="1">
      <alignment vertical="center"/>
    </xf>
    <xf numFmtId="183" fontId="14" fillId="62" borderId="156" xfId="224" applyNumberFormat="1" applyFont="1" applyFill="1" applyBorder="1" applyAlignment="1">
      <alignment vertical="center"/>
    </xf>
    <xf numFmtId="183" fontId="14" fillId="62" borderId="148" xfId="224" applyNumberFormat="1" applyFont="1" applyFill="1" applyBorder="1" applyAlignment="1">
      <alignment horizontal="center" vertical="center"/>
    </xf>
    <xf numFmtId="183" fontId="14" fillId="62" borderId="147" xfId="224" applyNumberFormat="1" applyFont="1" applyFill="1" applyBorder="1" applyAlignment="1">
      <alignment horizontal="center" vertical="center"/>
    </xf>
    <xf numFmtId="183" fontId="14" fillId="62" borderId="149" xfId="224" applyNumberFormat="1" applyFont="1" applyFill="1" applyBorder="1" applyAlignment="1">
      <alignment horizontal="center" vertical="center"/>
    </xf>
    <xf numFmtId="0" fontId="14" fillId="31" borderId="158" xfId="224" applyFont="1" applyFill="1" applyBorder="1" applyAlignment="1">
      <alignment horizontal="center" vertical="center"/>
    </xf>
    <xf numFmtId="0" fontId="14" fillId="31" borderId="159" xfId="224" applyFont="1" applyFill="1" applyBorder="1" applyAlignment="1">
      <alignment horizontal="center" vertical="center"/>
    </xf>
    <xf numFmtId="183" fontId="14" fillId="31" borderId="0" xfId="224" applyNumberFormat="1" applyFont="1" applyFill="1" applyAlignment="1">
      <alignment horizontal="right" vertical="center"/>
    </xf>
    <xf numFmtId="183" fontId="14" fillId="31" borderId="156" xfId="224" applyNumberFormat="1" applyFont="1" applyFill="1" applyBorder="1" applyAlignment="1">
      <alignment horizontal="right" vertical="center"/>
    </xf>
    <xf numFmtId="183" fontId="14" fillId="62" borderId="155" xfId="224" applyNumberFormat="1" applyFont="1" applyFill="1" applyBorder="1" applyAlignment="1">
      <alignment horizontal="center" vertical="center"/>
    </xf>
    <xf numFmtId="183" fontId="14" fillId="62" borderId="104" xfId="224" applyNumberFormat="1" applyFont="1" applyFill="1" applyBorder="1" applyAlignment="1">
      <alignment horizontal="center" vertical="center"/>
    </xf>
    <xf numFmtId="183" fontId="14" fillId="62" borderId="172" xfId="224" applyNumberFormat="1" applyFont="1" applyFill="1" applyBorder="1" applyAlignment="1">
      <alignment horizontal="center" vertical="center"/>
    </xf>
    <xf numFmtId="183" fontId="14" fillId="62" borderId="157" xfId="224" applyNumberFormat="1" applyFont="1" applyFill="1" applyBorder="1" applyAlignment="1">
      <alignment horizontal="center" vertical="center"/>
    </xf>
    <xf numFmtId="183" fontId="14" fillId="62" borderId="158" xfId="224" applyNumberFormat="1" applyFont="1" applyFill="1" applyBorder="1" applyAlignment="1">
      <alignment horizontal="center" vertical="center"/>
    </xf>
    <xf numFmtId="183" fontId="14" fillId="62" borderId="159" xfId="224" applyNumberFormat="1" applyFont="1" applyFill="1" applyBorder="1" applyAlignment="1">
      <alignment horizontal="center" vertical="center"/>
    </xf>
    <xf numFmtId="183" fontId="14" fillId="62" borderId="151" xfId="224" applyNumberFormat="1" applyFont="1" applyFill="1" applyBorder="1" applyAlignment="1">
      <alignment horizontal="center" vertical="center"/>
    </xf>
    <xf numFmtId="183" fontId="14" fillId="62" borderId="152" xfId="224" applyNumberFormat="1" applyFont="1" applyFill="1" applyBorder="1" applyAlignment="1">
      <alignment horizontal="center" vertical="center"/>
    </xf>
    <xf numFmtId="0" fontId="14" fillId="62" borderId="0" xfId="224" applyFont="1" applyFill="1" applyAlignment="1">
      <alignment horizontal="center" vertical="center"/>
    </xf>
    <xf numFmtId="0" fontId="14" fillId="31" borderId="162" xfId="224" quotePrefix="1" applyFont="1" applyFill="1" applyBorder="1" applyAlignment="1">
      <alignment horizontal="right" vertical="center"/>
    </xf>
    <xf numFmtId="0" fontId="14" fillId="31" borderId="163" xfId="224" quotePrefix="1" applyFont="1" applyFill="1" applyBorder="1" applyAlignment="1">
      <alignment horizontal="right" vertical="center"/>
    </xf>
    <xf numFmtId="0" fontId="14" fillId="31" borderId="148" xfId="224" applyFont="1" applyFill="1" applyBorder="1" applyAlignment="1">
      <alignment horizontal="center" vertical="center"/>
    </xf>
    <xf numFmtId="0" fontId="14" fillId="31" borderId="147" xfId="224" applyFont="1" applyFill="1" applyBorder="1" applyAlignment="1">
      <alignment horizontal="center" vertical="center"/>
    </xf>
    <xf numFmtId="0" fontId="14" fillId="31" borderId="148" xfId="224" quotePrefix="1" applyFont="1" applyFill="1" applyBorder="1" applyAlignment="1">
      <alignment horizontal="center" vertical="center"/>
    </xf>
    <xf numFmtId="0" fontId="14" fillId="31" borderId="147" xfId="224" quotePrefix="1" applyFont="1" applyFill="1" applyBorder="1" applyAlignment="1">
      <alignment horizontal="center" vertical="center"/>
    </xf>
    <xf numFmtId="0" fontId="14" fillId="31" borderId="149" xfId="224" quotePrefix="1" applyFont="1" applyFill="1" applyBorder="1" applyAlignment="1">
      <alignment horizontal="center" vertical="center"/>
    </xf>
    <xf numFmtId="0" fontId="14" fillId="31" borderId="164" xfId="224" quotePrefix="1" applyFont="1" applyFill="1" applyBorder="1" applyAlignment="1">
      <alignment horizontal="center" vertical="center"/>
    </xf>
    <xf numFmtId="0" fontId="14" fillId="31" borderId="103" xfId="224" quotePrefix="1" applyFont="1" applyFill="1" applyBorder="1" applyAlignment="1">
      <alignment horizontal="center" vertical="center"/>
    </xf>
    <xf numFmtId="0" fontId="14" fillId="31" borderId="104" xfId="224" quotePrefix="1" applyFont="1" applyFill="1" applyBorder="1" applyAlignment="1">
      <alignment horizontal="center" vertical="center"/>
    </xf>
    <xf numFmtId="0" fontId="14" fillId="31" borderId="155" xfId="224" applyFont="1" applyFill="1" applyBorder="1" applyAlignment="1">
      <alignment horizontal="center" vertical="center"/>
    </xf>
    <xf numFmtId="0" fontId="14" fillId="31" borderId="104" xfId="224" applyFont="1" applyFill="1" applyBorder="1" applyAlignment="1">
      <alignment horizontal="center" vertical="center"/>
    </xf>
    <xf numFmtId="0" fontId="14" fillId="31" borderId="172" xfId="224" applyFont="1" applyFill="1" applyBorder="1" applyAlignment="1">
      <alignment horizontal="center" vertical="center"/>
    </xf>
    <xf numFmtId="0" fontId="14" fillId="31" borderId="101" xfId="224" applyFont="1" applyFill="1" applyBorder="1" applyAlignment="1">
      <alignment horizontal="left" vertical="center"/>
    </xf>
    <xf numFmtId="0" fontId="14" fillId="31" borderId="153" xfId="224" applyFont="1" applyFill="1" applyBorder="1" applyAlignment="1">
      <alignment horizontal="left" vertical="center"/>
    </xf>
    <xf numFmtId="0" fontId="14" fillId="31" borderId="1" xfId="224" applyFont="1" applyFill="1" applyBorder="1" applyAlignment="1">
      <alignment horizontal="left" vertical="center"/>
    </xf>
    <xf numFmtId="0" fontId="14" fillId="31" borderId="169" xfId="224" applyFont="1" applyFill="1" applyBorder="1" applyAlignment="1">
      <alignment horizontal="left" vertical="center"/>
    </xf>
    <xf numFmtId="0" fontId="18" fillId="31" borderId="150" xfId="224" applyFont="1" applyFill="1" applyBorder="1" applyAlignment="1">
      <alignment horizontal="center" vertical="center"/>
    </xf>
    <xf numFmtId="0" fontId="18" fillId="31" borderId="151" xfId="224" applyFont="1" applyFill="1" applyBorder="1" applyAlignment="1">
      <alignment horizontal="center" vertical="center"/>
    </xf>
    <xf numFmtId="0" fontId="18" fillId="31" borderId="152" xfId="224" applyFont="1" applyFill="1" applyBorder="1" applyAlignment="1">
      <alignment horizontal="center" vertical="center"/>
    </xf>
    <xf numFmtId="0" fontId="14" fillId="31" borderId="103" xfId="224" quotePrefix="1" applyFont="1" applyFill="1" applyBorder="1" applyAlignment="1">
      <alignment horizontal="right" vertical="center"/>
    </xf>
    <xf numFmtId="0" fontId="14" fillId="31" borderId="104" xfId="224" quotePrefix="1" applyFont="1" applyFill="1" applyBorder="1" applyAlignment="1">
      <alignment horizontal="right" vertical="center"/>
    </xf>
    <xf numFmtId="0" fontId="14" fillId="31" borderId="171" xfId="224" applyFont="1" applyFill="1" applyBorder="1" applyAlignment="1">
      <alignment horizontal="center" vertical="center"/>
    </xf>
    <xf numFmtId="0" fontId="14" fillId="31" borderId="163" xfId="224" applyFont="1" applyFill="1" applyBorder="1" applyAlignment="1">
      <alignment horizontal="center" vertical="center"/>
    </xf>
    <xf numFmtId="0" fontId="14" fillId="31" borderId="171" xfId="224" quotePrefix="1" applyFont="1" applyFill="1" applyBorder="1" applyAlignment="1">
      <alignment horizontal="center" vertical="center"/>
    </xf>
    <xf numFmtId="0" fontId="14" fillId="31" borderId="163" xfId="224" quotePrefix="1" applyFont="1" applyFill="1" applyBorder="1" applyAlignment="1">
      <alignment horizontal="center" vertical="center"/>
    </xf>
    <xf numFmtId="0" fontId="18" fillId="31" borderId="171" xfId="224" applyFont="1" applyFill="1" applyBorder="1" applyAlignment="1">
      <alignment horizontal="center" vertical="center"/>
    </xf>
    <xf numFmtId="0" fontId="18" fillId="31" borderId="163" xfId="224" applyFont="1" applyFill="1" applyBorder="1" applyAlignment="1">
      <alignment horizontal="center" vertical="center"/>
    </xf>
    <xf numFmtId="0" fontId="18" fillId="31" borderId="165" xfId="224" applyFont="1" applyFill="1" applyBorder="1" applyAlignment="1">
      <alignment horizontal="center" vertical="center"/>
    </xf>
    <xf numFmtId="183" fontId="14" fillId="31" borderId="155" xfId="224" applyNumberFormat="1" applyFont="1" applyFill="1" applyBorder="1" applyAlignment="1">
      <alignment horizontal="center" vertical="center"/>
    </xf>
    <xf numFmtId="183" fontId="14" fillId="31" borderId="104" xfId="224" applyNumberFormat="1" applyFont="1" applyFill="1" applyBorder="1" applyAlignment="1">
      <alignment horizontal="center" vertical="center"/>
    </xf>
    <xf numFmtId="183" fontId="14" fillId="31" borderId="172" xfId="224" applyNumberFormat="1" applyFont="1" applyFill="1" applyBorder="1" applyAlignment="1">
      <alignment horizontal="center" vertical="center"/>
    </xf>
    <xf numFmtId="183" fontId="14" fillId="31" borderId="170" xfId="224" applyNumberFormat="1" applyFont="1" applyFill="1" applyBorder="1" applyAlignment="1">
      <alignment horizontal="center" vertical="center"/>
    </xf>
    <xf numFmtId="183" fontId="14" fillId="31" borderId="1" xfId="224" applyNumberFormat="1" applyFont="1" applyFill="1" applyBorder="1" applyAlignment="1">
      <alignment horizontal="center" vertical="center"/>
    </xf>
    <xf numFmtId="183" fontId="14" fillId="31" borderId="169" xfId="224" applyNumberFormat="1" applyFont="1" applyFill="1" applyBorder="1" applyAlignment="1">
      <alignment horizontal="center" vertical="center"/>
    </xf>
    <xf numFmtId="183" fontId="14" fillId="31" borderId="151" xfId="224" applyNumberFormat="1" applyFont="1" applyFill="1" applyBorder="1" applyAlignment="1">
      <alignment horizontal="center" vertical="center"/>
    </xf>
    <xf numFmtId="183" fontId="14" fillId="31" borderId="152" xfId="224" applyNumberFormat="1" applyFont="1" applyFill="1" applyBorder="1" applyAlignment="1">
      <alignment horizontal="center" vertical="center"/>
    </xf>
    <xf numFmtId="0" fontId="14" fillId="62" borderId="162" xfId="224" quotePrefix="1" applyFont="1" applyFill="1" applyBorder="1" applyAlignment="1">
      <alignment horizontal="right" vertical="center"/>
    </xf>
    <xf numFmtId="0" fontId="14" fillId="62" borderId="163" xfId="224" quotePrefix="1" applyFont="1" applyFill="1" applyBorder="1" applyAlignment="1">
      <alignment horizontal="right" vertical="center"/>
    </xf>
    <xf numFmtId="0" fontId="14" fillId="62" borderId="148" xfId="224" applyFont="1" applyFill="1" applyBorder="1" applyAlignment="1">
      <alignment horizontal="center" vertical="center"/>
    </xf>
    <xf numFmtId="0" fontId="14" fillId="62" borderId="147" xfId="224" applyFont="1" applyFill="1" applyBorder="1" applyAlignment="1">
      <alignment horizontal="center" vertical="center"/>
    </xf>
    <xf numFmtId="0" fontId="14" fillId="62" borderId="148" xfId="224" quotePrefix="1" applyFont="1" applyFill="1" applyBorder="1" applyAlignment="1">
      <alignment horizontal="center" vertical="center"/>
    </xf>
    <xf numFmtId="0" fontId="14" fillId="62" borderId="147" xfId="224" quotePrefix="1" applyFont="1" applyFill="1" applyBorder="1" applyAlignment="1">
      <alignment horizontal="center" vertical="center"/>
    </xf>
    <xf numFmtId="0" fontId="14" fillId="62" borderId="149" xfId="224" quotePrefix="1" applyFont="1" applyFill="1" applyBorder="1" applyAlignment="1">
      <alignment horizontal="center" vertical="center"/>
    </xf>
    <xf numFmtId="0" fontId="14" fillId="62" borderId="164" xfId="224" quotePrefix="1" applyFont="1" applyFill="1" applyBorder="1" applyAlignment="1">
      <alignment horizontal="center" vertical="center"/>
    </xf>
    <xf numFmtId="0" fontId="14" fillId="62" borderId="103" xfId="224" quotePrefix="1" applyFont="1" applyFill="1" applyBorder="1" applyAlignment="1">
      <alignment horizontal="center" vertical="center"/>
    </xf>
    <xf numFmtId="0" fontId="14" fillId="62" borderId="104" xfId="224" quotePrefix="1" applyFont="1" applyFill="1" applyBorder="1" applyAlignment="1">
      <alignment horizontal="center" vertical="center"/>
    </xf>
    <xf numFmtId="0" fontId="14" fillId="62" borderId="155" xfId="224" applyFont="1" applyFill="1" applyBorder="1" applyAlignment="1">
      <alignment horizontal="center" vertical="center"/>
    </xf>
    <xf numFmtId="0" fontId="14" fillId="62" borderId="104" xfId="224" applyFont="1" applyFill="1" applyBorder="1" applyAlignment="1">
      <alignment horizontal="center" vertical="center"/>
    </xf>
    <xf numFmtId="0" fontId="14" fillId="62" borderId="172" xfId="224" applyFont="1" applyFill="1" applyBorder="1" applyAlignment="1">
      <alignment horizontal="center" vertical="center"/>
    </xf>
    <xf numFmtId="0" fontId="14" fillId="62" borderId="101" xfId="224" applyFont="1" applyFill="1" applyBorder="1" applyAlignment="1">
      <alignment horizontal="left" vertical="center"/>
    </xf>
    <xf numFmtId="0" fontId="14" fillId="62" borderId="153" xfId="224" applyFont="1" applyFill="1" applyBorder="1" applyAlignment="1">
      <alignment horizontal="left" vertical="center"/>
    </xf>
    <xf numFmtId="0" fontId="14" fillId="62" borderId="1" xfId="224" applyFont="1" applyFill="1" applyBorder="1" applyAlignment="1">
      <alignment horizontal="left" vertical="center"/>
    </xf>
    <xf numFmtId="0" fontId="14" fillId="62" borderId="169" xfId="224" applyFont="1" applyFill="1" applyBorder="1" applyAlignment="1">
      <alignment horizontal="left" vertical="center"/>
    </xf>
    <xf numFmtId="0" fontId="18" fillId="62" borderId="150" xfId="224" applyFont="1" applyFill="1" applyBorder="1" applyAlignment="1">
      <alignment horizontal="center" vertical="center"/>
    </xf>
    <xf numFmtId="0" fontId="18" fillId="62" borderId="151" xfId="224" applyFont="1" applyFill="1" applyBorder="1" applyAlignment="1">
      <alignment horizontal="center" vertical="center"/>
    </xf>
    <xf numFmtId="0" fontId="18" fillId="62" borderId="152" xfId="224" applyFont="1" applyFill="1" applyBorder="1" applyAlignment="1">
      <alignment horizontal="center" vertical="center"/>
    </xf>
    <xf numFmtId="0" fontId="14" fillId="62" borderId="167" xfId="224" quotePrefix="1" applyFont="1" applyFill="1" applyBorder="1" applyAlignment="1">
      <alignment horizontal="right" vertical="center"/>
    </xf>
    <xf numFmtId="0" fontId="14" fillId="62" borderId="168" xfId="224" quotePrefix="1" applyFont="1" applyFill="1" applyBorder="1" applyAlignment="1">
      <alignment horizontal="right" vertical="center"/>
    </xf>
    <xf numFmtId="0" fontId="18" fillId="62" borderId="148" xfId="224" applyFont="1" applyFill="1" applyBorder="1" applyAlignment="1">
      <alignment horizontal="center" vertical="center"/>
    </xf>
    <xf numFmtId="0" fontId="18" fillId="62" borderId="147" xfId="224" applyFont="1" applyFill="1" applyBorder="1" applyAlignment="1">
      <alignment horizontal="center" vertical="center"/>
    </xf>
    <xf numFmtId="0" fontId="18" fillId="62" borderId="149" xfId="224" applyFont="1" applyFill="1" applyBorder="1" applyAlignment="1">
      <alignment horizontal="center" vertical="center"/>
    </xf>
    <xf numFmtId="0" fontId="14" fillId="31" borderId="167" xfId="224" quotePrefix="1" applyFont="1" applyFill="1" applyBorder="1" applyAlignment="1">
      <alignment horizontal="right" vertical="center"/>
    </xf>
    <xf numFmtId="0" fontId="14" fillId="31" borderId="168" xfId="224" quotePrefix="1" applyFont="1" applyFill="1" applyBorder="1" applyAlignment="1">
      <alignment horizontal="right" vertical="center"/>
    </xf>
    <xf numFmtId="0" fontId="18" fillId="31" borderId="148" xfId="224" applyFont="1" applyFill="1" applyBorder="1" applyAlignment="1">
      <alignment horizontal="center" vertical="center"/>
    </xf>
    <xf numFmtId="0" fontId="18" fillId="31" borderId="147" xfId="224" applyFont="1" applyFill="1" applyBorder="1" applyAlignment="1">
      <alignment horizontal="center" vertical="center"/>
    </xf>
    <xf numFmtId="0" fontId="18" fillId="31" borderId="149" xfId="224" applyFont="1" applyFill="1" applyBorder="1" applyAlignment="1">
      <alignment horizontal="center" vertical="center"/>
    </xf>
    <xf numFmtId="183" fontId="14" fillId="31" borderId="157" xfId="224" applyNumberFormat="1" applyFont="1" applyFill="1" applyBorder="1" applyAlignment="1">
      <alignment horizontal="center" vertical="center"/>
    </xf>
    <xf numFmtId="183" fontId="14" fillId="31" borderId="158" xfId="224" applyNumberFormat="1" applyFont="1" applyFill="1" applyBorder="1" applyAlignment="1">
      <alignment horizontal="center" vertical="center"/>
    </xf>
    <xf numFmtId="183" fontId="14" fillId="31" borderId="159" xfId="224" applyNumberFormat="1" applyFont="1" applyFill="1" applyBorder="1" applyAlignment="1">
      <alignment horizontal="center" vertical="center"/>
    </xf>
    <xf numFmtId="0" fontId="18" fillId="31" borderId="185" xfId="224" applyFont="1" applyFill="1" applyBorder="1" applyAlignment="1">
      <alignment horizontal="center" vertical="center"/>
    </xf>
    <xf numFmtId="0" fontId="18" fillId="31" borderId="179" xfId="224" applyFont="1" applyFill="1" applyBorder="1" applyAlignment="1">
      <alignment horizontal="center" vertical="center"/>
    </xf>
    <xf numFmtId="183" fontId="14" fillId="62" borderId="154" xfId="224" applyNumberFormat="1" applyFont="1" applyFill="1" applyBorder="1" applyAlignment="1">
      <alignment horizontal="center" vertical="center"/>
    </xf>
    <xf numFmtId="183" fontId="14" fillId="62" borderId="101" xfId="224" applyNumberFormat="1" applyFont="1" applyFill="1" applyBorder="1" applyAlignment="1">
      <alignment horizontal="center" vertical="center"/>
    </xf>
    <xf numFmtId="183" fontId="14" fillId="62" borderId="153" xfId="224" applyNumberFormat="1" applyFont="1" applyFill="1" applyBorder="1" applyAlignment="1">
      <alignment horizontal="center" vertical="center"/>
    </xf>
    <xf numFmtId="0" fontId="18" fillId="63" borderId="186" xfId="224" applyFont="1" applyFill="1" applyBorder="1" applyAlignment="1">
      <alignment horizontal="center" vertical="center"/>
    </xf>
    <xf numFmtId="0" fontId="18" fillId="63" borderId="187" xfId="224" applyFont="1" applyFill="1" applyBorder="1" applyAlignment="1">
      <alignment horizontal="center" vertical="center"/>
    </xf>
    <xf numFmtId="0" fontId="14" fillId="62" borderId="170" xfId="224" applyFont="1" applyFill="1" applyBorder="1" applyAlignment="1">
      <alignment horizontal="center" vertical="center"/>
    </xf>
    <xf numFmtId="0" fontId="14" fillId="62" borderId="1" xfId="224" applyFont="1" applyFill="1" applyBorder="1" applyAlignment="1">
      <alignment horizontal="center" vertical="center"/>
    </xf>
    <xf numFmtId="0" fontId="14" fillId="62" borderId="169" xfId="224" applyFont="1" applyFill="1" applyBorder="1" applyAlignment="1">
      <alignment horizontal="center" vertical="center"/>
    </xf>
    <xf numFmtId="183" fontId="14" fillId="31" borderId="101" xfId="224" applyNumberFormat="1" applyFont="1" applyFill="1" applyBorder="1" applyAlignment="1">
      <alignment horizontal="center" vertical="center"/>
    </xf>
    <xf numFmtId="183" fontId="14" fillId="31" borderId="153" xfId="224" applyNumberFormat="1" applyFont="1" applyFill="1" applyBorder="1" applyAlignment="1">
      <alignment horizontal="center" vertical="center"/>
    </xf>
    <xf numFmtId="0" fontId="96" fillId="49" borderId="154" xfId="224" applyFont="1" applyFill="1" applyBorder="1" applyAlignment="1">
      <alignment horizontal="center" vertical="center"/>
    </xf>
    <xf numFmtId="0" fontId="96" fillId="49" borderId="102" xfId="224" applyFont="1" applyFill="1" applyBorder="1" applyAlignment="1">
      <alignment horizontal="center" vertical="center"/>
    </xf>
    <xf numFmtId="0" fontId="96" fillId="49" borderId="134" xfId="224" applyFont="1" applyFill="1" applyBorder="1" applyAlignment="1">
      <alignment horizontal="center" vertical="center"/>
    </xf>
    <xf numFmtId="0" fontId="96" fillId="49" borderId="101" xfId="224" applyFont="1" applyFill="1" applyBorder="1" applyAlignment="1">
      <alignment horizontal="center" vertical="center"/>
    </xf>
    <xf numFmtId="0" fontId="14" fillId="31" borderId="1" xfId="224" quotePrefix="1" applyFont="1" applyFill="1" applyBorder="1" applyAlignment="1">
      <alignment horizontal="center" vertical="center"/>
    </xf>
    <xf numFmtId="0" fontId="14" fillId="31" borderId="160" xfId="224" applyFont="1" applyFill="1" applyBorder="1" applyAlignment="1">
      <alignment horizontal="center" vertical="center"/>
    </xf>
    <xf numFmtId="0" fontId="14" fillId="31" borderId="0" xfId="224" applyFont="1" applyFill="1" applyAlignment="1">
      <alignment horizontal="center" vertical="center"/>
    </xf>
    <xf numFmtId="0" fontId="14" fillId="31" borderId="156" xfId="224" applyFont="1" applyFill="1" applyBorder="1" applyAlignment="1">
      <alignment horizontal="center" vertical="center"/>
    </xf>
    <xf numFmtId="0" fontId="14" fillId="31" borderId="151" xfId="224" applyFont="1" applyFill="1" applyBorder="1" applyAlignment="1">
      <alignment horizontal="left" vertical="center"/>
    </xf>
    <xf numFmtId="0" fontId="14" fillId="31" borderId="152" xfId="224" applyFont="1" applyFill="1" applyBorder="1" applyAlignment="1">
      <alignment horizontal="left" vertical="center"/>
    </xf>
    <xf numFmtId="183" fontId="14" fillId="31" borderId="0" xfId="224" applyNumberFormat="1" applyFont="1" applyFill="1" applyAlignment="1">
      <alignment horizontal="center" vertical="center"/>
    </xf>
    <xf numFmtId="183" fontId="14" fillId="31" borderId="156" xfId="224" applyNumberFormat="1" applyFont="1" applyFill="1" applyBorder="1" applyAlignment="1">
      <alignment horizontal="center" vertical="center"/>
    </xf>
    <xf numFmtId="0" fontId="18" fillId="31" borderId="100" xfId="224" applyFont="1" applyFill="1" applyBorder="1" applyAlignment="1">
      <alignment horizontal="center" vertical="center"/>
    </xf>
    <xf numFmtId="0" fontId="18" fillId="31" borderId="0" xfId="224" applyFont="1" applyFill="1" applyAlignment="1">
      <alignment horizontal="center" vertical="center"/>
    </xf>
    <xf numFmtId="0" fontId="18" fillId="51" borderId="144" xfId="224" applyFont="1" applyFill="1" applyBorder="1" applyAlignment="1">
      <alignment horizontal="center" vertical="center"/>
    </xf>
    <xf numFmtId="0" fontId="18" fillId="51" borderId="145" xfId="224" applyFont="1" applyFill="1" applyBorder="1" applyAlignment="1">
      <alignment horizontal="center" vertical="center"/>
    </xf>
    <xf numFmtId="0" fontId="18" fillId="51" borderId="146" xfId="224" applyFont="1" applyFill="1" applyBorder="1" applyAlignment="1">
      <alignment horizontal="center" vertical="center"/>
    </xf>
    <xf numFmtId="0" fontId="18" fillId="51" borderId="97" xfId="224" applyFont="1" applyFill="1" applyBorder="1" applyAlignment="1">
      <alignment horizontal="center" vertical="center" shrinkToFit="1"/>
    </xf>
    <xf numFmtId="0" fontId="18" fillId="51" borderId="98" xfId="224" applyFont="1" applyFill="1" applyBorder="1" applyAlignment="1">
      <alignment horizontal="center" vertical="center" shrinkToFit="1"/>
    </xf>
    <xf numFmtId="0" fontId="18" fillId="51" borderId="99" xfId="224" applyFont="1" applyFill="1" applyBorder="1" applyAlignment="1">
      <alignment horizontal="center" vertical="center" shrinkToFit="1"/>
    </xf>
    <xf numFmtId="0" fontId="18" fillId="48" borderId="0" xfId="224" applyFont="1" applyFill="1" applyAlignment="1">
      <alignment horizontal="left" vertical="center"/>
    </xf>
    <xf numFmtId="0" fontId="18" fillId="48" borderId="127" xfId="224" applyFont="1" applyFill="1" applyBorder="1" applyAlignment="1">
      <alignment horizontal="left" vertical="center"/>
    </xf>
    <xf numFmtId="0" fontId="20" fillId="31" borderId="0" xfId="224" applyFont="1" applyFill="1" applyAlignment="1">
      <alignment horizontal="left" vertical="center"/>
    </xf>
    <xf numFmtId="0" fontId="96" fillId="49" borderId="0" xfId="224" applyFont="1" applyFill="1" applyAlignment="1">
      <alignment horizontal="center" vertical="center"/>
    </xf>
    <xf numFmtId="0" fontId="96" fillId="49" borderId="148" xfId="224" applyFont="1" applyFill="1" applyBorder="1" applyAlignment="1">
      <alignment horizontal="center" vertical="center"/>
    </xf>
    <xf numFmtId="0" fontId="96" fillId="49" borderId="147" xfId="224" applyFont="1" applyFill="1" applyBorder="1" applyAlignment="1">
      <alignment horizontal="center" vertical="center"/>
    </xf>
    <xf numFmtId="0" fontId="96" fillId="49" borderId="149" xfId="224" applyFont="1" applyFill="1" applyBorder="1" applyAlignment="1">
      <alignment horizontal="center" vertical="center"/>
    </xf>
    <xf numFmtId="0" fontId="112" fillId="58" borderId="157" xfId="224" applyFont="1" applyFill="1" applyBorder="1" applyAlignment="1">
      <alignment horizontal="center" vertical="center"/>
    </xf>
    <xf numFmtId="0" fontId="112" fillId="58" borderId="158" xfId="224" applyFont="1" applyFill="1" applyBorder="1" applyAlignment="1">
      <alignment horizontal="center" vertical="center"/>
    </xf>
    <xf numFmtId="0" fontId="112" fillId="58" borderId="159" xfId="224" applyFont="1" applyFill="1" applyBorder="1" applyAlignment="1">
      <alignment horizontal="center" vertical="center"/>
    </xf>
    <xf numFmtId="0" fontId="96" fillId="49" borderId="168" xfId="224" applyFont="1" applyFill="1" applyBorder="1" applyAlignment="1">
      <alignment horizontal="center" vertical="center"/>
    </xf>
    <xf numFmtId="0" fontId="96" fillId="49" borderId="173" xfId="224" applyFont="1" applyFill="1" applyBorder="1" applyAlignment="1">
      <alignment horizontal="center" vertical="center"/>
    </xf>
    <xf numFmtId="0" fontId="96" fillId="49" borderId="174" xfId="224" applyFont="1" applyFill="1" applyBorder="1" applyAlignment="1">
      <alignment horizontal="center" vertical="center"/>
    </xf>
    <xf numFmtId="0" fontId="96" fillId="49" borderId="153" xfId="224" applyFont="1" applyFill="1" applyBorder="1" applyAlignment="1">
      <alignment horizontal="center" vertical="center"/>
    </xf>
    <xf numFmtId="0" fontId="96" fillId="49" borderId="156" xfId="224" applyFont="1" applyFill="1" applyBorder="1" applyAlignment="1">
      <alignment horizontal="center" vertical="center"/>
    </xf>
    <xf numFmtId="0" fontId="96" fillId="49" borderId="131" xfId="224" applyFont="1" applyFill="1" applyBorder="1" applyAlignment="1">
      <alignment horizontal="center" vertical="center"/>
    </xf>
    <xf numFmtId="0" fontId="96" fillId="49" borderId="27" xfId="224" applyFont="1" applyFill="1" applyBorder="1" applyAlignment="1">
      <alignment horizontal="center" vertical="center"/>
    </xf>
    <xf numFmtId="0" fontId="96" fillId="49" borderId="103" xfId="224" applyFont="1" applyFill="1" applyBorder="1" applyAlignment="1">
      <alignment horizontal="center" vertical="center"/>
    </xf>
    <xf numFmtId="0" fontId="96" fillId="49" borderId="104" xfId="224" applyFont="1" applyFill="1" applyBorder="1" applyAlignment="1">
      <alignment horizontal="center" vertical="center"/>
    </xf>
    <xf numFmtId="0" fontId="112" fillId="58" borderId="173" xfId="224" applyFont="1" applyFill="1" applyBorder="1" applyAlignment="1">
      <alignment horizontal="center" vertical="center"/>
    </xf>
    <xf numFmtId="0" fontId="112" fillId="58" borderId="168" xfId="224" applyFont="1" applyFill="1" applyBorder="1" applyAlignment="1">
      <alignment horizontal="center" vertical="center"/>
    </xf>
    <xf numFmtId="0" fontId="112" fillId="58" borderId="174" xfId="224" applyFont="1" applyFill="1" applyBorder="1" applyAlignment="1">
      <alignment horizontal="center" vertical="center"/>
    </xf>
    <xf numFmtId="0" fontId="96" fillId="49" borderId="158" xfId="224" applyFont="1" applyFill="1" applyBorder="1" applyAlignment="1">
      <alignment horizontal="center" vertical="center"/>
    </xf>
    <xf numFmtId="0" fontId="96" fillId="49" borderId="159" xfId="224" applyFont="1" applyFill="1" applyBorder="1" applyAlignment="1">
      <alignment horizontal="center" vertical="center"/>
    </xf>
    <xf numFmtId="14" fontId="20" fillId="31" borderId="0" xfId="224" applyNumberFormat="1" applyFont="1" applyFill="1" applyAlignment="1">
      <alignment horizontal="left" vertical="center"/>
    </xf>
    <xf numFmtId="0" fontId="14" fillId="31" borderId="105" xfId="224" quotePrefix="1" applyFont="1" applyFill="1" applyBorder="1" applyAlignment="1">
      <alignment horizontal="center" vertical="center"/>
    </xf>
    <xf numFmtId="0" fontId="96" fillId="49" borderId="181" xfId="224" applyFont="1" applyFill="1" applyBorder="1" applyAlignment="1">
      <alignment horizontal="center" vertical="center"/>
    </xf>
    <xf numFmtId="0" fontId="96" fillId="49" borderId="151" xfId="224" applyFont="1" applyFill="1" applyBorder="1" applyAlignment="1">
      <alignment horizontal="center" vertical="center"/>
    </xf>
    <xf numFmtId="0" fontId="96" fillId="49" borderId="152" xfId="224" applyFont="1" applyFill="1" applyBorder="1" applyAlignment="1">
      <alignment horizontal="center" vertical="center"/>
    </xf>
    <xf numFmtId="0" fontId="96" fillId="49" borderId="160" xfId="224" applyFont="1" applyFill="1" applyBorder="1" applyAlignment="1">
      <alignment horizontal="center" vertical="center"/>
    </xf>
    <xf numFmtId="0" fontId="96" fillId="49" borderId="30" xfId="224" applyFont="1" applyFill="1" applyBorder="1" applyAlignment="1">
      <alignment horizontal="center" vertical="center"/>
    </xf>
    <xf numFmtId="0" fontId="18" fillId="48" borderId="0" xfId="224" applyFont="1" applyFill="1" applyAlignment="1">
      <alignment vertical="center"/>
    </xf>
    <xf numFmtId="0" fontId="18" fillId="48" borderId="127" xfId="224" applyFont="1" applyFill="1" applyBorder="1" applyAlignment="1">
      <alignment vertical="center"/>
    </xf>
    <xf numFmtId="184" fontId="14" fillId="31" borderId="103" xfId="224" quotePrefix="1" applyNumberFormat="1" applyFont="1" applyFill="1" applyBorder="1" applyAlignment="1">
      <alignment horizontal="right" vertical="center"/>
    </xf>
    <xf numFmtId="184" fontId="14" fillId="31" borderId="105" xfId="224" quotePrefix="1" applyNumberFormat="1" applyFont="1" applyFill="1" applyBorder="1" applyAlignment="1">
      <alignment horizontal="right" vertical="center"/>
    </xf>
    <xf numFmtId="0" fontId="96" fillId="49" borderId="103" xfId="224" applyFont="1" applyFill="1" applyBorder="1" applyAlignment="1">
      <alignment vertical="center" shrinkToFit="1"/>
    </xf>
    <xf numFmtId="0" fontId="0" fillId="0" borderId="105" xfId="0" applyBorder="1" applyAlignment="1">
      <alignment vertical="center" shrinkToFit="1"/>
    </xf>
    <xf numFmtId="0" fontId="96" fillId="49" borderId="103" xfId="224" applyFont="1" applyFill="1" applyBorder="1" applyAlignment="1">
      <alignment horizontal="center" vertical="center" shrinkToFit="1"/>
    </xf>
    <xf numFmtId="0" fontId="96" fillId="49" borderId="105" xfId="224" applyFont="1" applyFill="1" applyBorder="1" applyAlignment="1">
      <alignment horizontal="center" vertical="center" shrinkToFit="1"/>
    </xf>
    <xf numFmtId="0" fontId="0" fillId="0" borderId="104" xfId="0" applyBorder="1" applyAlignment="1">
      <alignment vertical="center" shrinkToFit="1"/>
    </xf>
    <xf numFmtId="0" fontId="17" fillId="31" borderId="16" xfId="8" applyFont="1" applyFill="1" applyBorder="1" applyAlignment="1">
      <alignment horizontal="center" shrinkToFit="1"/>
    </xf>
    <xf numFmtId="0" fontId="7" fillId="31" borderId="13" xfId="224" applyFill="1" applyBorder="1" applyAlignment="1">
      <alignment horizontal="center" shrinkToFit="1"/>
    </xf>
    <xf numFmtId="0" fontId="7" fillId="31" borderId="15" xfId="224" applyFill="1" applyBorder="1" applyAlignment="1">
      <alignment horizontal="center" shrinkToFit="1"/>
    </xf>
    <xf numFmtId="176" fontId="17" fillId="31" borderId="134" xfId="9" applyNumberFormat="1" applyFont="1" applyFill="1" applyBorder="1" applyAlignment="1">
      <alignment horizontal="center" vertical="center" wrapText="1"/>
    </xf>
    <xf numFmtId="0" fontId="7" fillId="31" borderId="101" xfId="224" applyFill="1" applyBorder="1" applyAlignment="1">
      <alignment horizontal="center" vertical="center" wrapText="1"/>
    </xf>
    <xf numFmtId="0" fontId="7" fillId="31" borderId="106" xfId="224" applyFill="1" applyBorder="1" applyAlignment="1">
      <alignment horizontal="center" vertical="center" wrapText="1"/>
    </xf>
    <xf numFmtId="0" fontId="7" fillId="31" borderId="121" xfId="224" applyFill="1" applyBorder="1" applyAlignment="1">
      <alignment horizontal="center" vertical="center" wrapText="1"/>
    </xf>
    <xf numFmtId="0" fontId="7" fillId="31" borderId="59" xfId="224" applyFill="1" applyBorder="1" applyAlignment="1">
      <alignment horizontal="center" vertical="center" wrapText="1"/>
    </xf>
    <xf numFmtId="0" fontId="7" fillId="31" borderId="122" xfId="224" applyFill="1" applyBorder="1" applyAlignment="1">
      <alignment horizontal="center" vertical="center" wrapText="1"/>
    </xf>
    <xf numFmtId="0" fontId="19" fillId="31" borderId="121" xfId="8" applyFont="1" applyFill="1" applyBorder="1" applyAlignment="1">
      <alignment horizontal="center" vertical="center" shrinkToFit="1"/>
    </xf>
    <xf numFmtId="0" fontId="24" fillId="31" borderId="59" xfId="224" applyFont="1" applyFill="1" applyBorder="1" applyAlignment="1">
      <alignment horizontal="center" vertical="center" shrinkToFit="1"/>
    </xf>
    <xf numFmtId="0" fontId="24" fillId="31" borderId="124" xfId="224" applyFont="1" applyFill="1" applyBorder="1" applyAlignment="1">
      <alignment horizontal="center" vertical="center" shrinkToFit="1"/>
    </xf>
    <xf numFmtId="0" fontId="16" fillId="37" borderId="21" xfId="8" applyFont="1" applyFill="1" applyBorder="1" applyAlignment="1">
      <alignment horizontal="center" shrinkToFit="1"/>
    </xf>
    <xf numFmtId="0" fontId="7" fillId="37" borderId="19" xfId="224" applyFill="1" applyBorder="1" applyAlignment="1">
      <alignment horizontal="center" shrinkToFit="1"/>
    </xf>
    <xf numFmtId="0" fontId="7" fillId="37" borderId="17" xfId="224" applyFill="1" applyBorder="1" applyAlignment="1">
      <alignment horizontal="center" shrinkToFit="1"/>
    </xf>
    <xf numFmtId="0" fontId="18" fillId="31" borderId="21" xfId="8" applyFont="1" applyFill="1" applyBorder="1" applyAlignment="1">
      <alignment horizontal="center" wrapText="1"/>
    </xf>
    <xf numFmtId="0" fontId="7" fillId="31" borderId="19" xfId="224" applyFill="1" applyBorder="1" applyAlignment="1">
      <alignment horizontal="center" wrapText="1"/>
    </xf>
    <xf numFmtId="0" fontId="18" fillId="31" borderId="19" xfId="8" quotePrefix="1" applyFont="1" applyFill="1" applyBorder="1" applyAlignment="1">
      <alignment horizontal="left" wrapText="1"/>
    </xf>
    <xf numFmtId="0" fontId="24" fillId="31" borderId="19" xfId="224" applyFont="1" applyFill="1" applyBorder="1" applyAlignment="1">
      <alignment horizontal="left" wrapText="1"/>
    </xf>
    <xf numFmtId="0" fontId="24" fillId="31" borderId="17" xfId="224" applyFont="1" applyFill="1" applyBorder="1" applyAlignment="1">
      <alignment horizontal="left" wrapText="1"/>
    </xf>
    <xf numFmtId="0" fontId="16" fillId="32" borderId="11" xfId="224" applyFont="1" applyFill="1" applyBorder="1" applyAlignment="1">
      <alignment horizontal="center" vertical="center"/>
    </xf>
    <xf numFmtId="0" fontId="16" fillId="32" borderId="13" xfId="224" applyFont="1" applyFill="1" applyBorder="1" applyAlignment="1">
      <alignment horizontal="center" vertical="center"/>
    </xf>
    <xf numFmtId="0" fontId="16" fillId="32" borderId="14" xfId="224" applyFont="1" applyFill="1" applyBorder="1" applyAlignment="1">
      <alignment horizontal="center" vertical="center"/>
    </xf>
    <xf numFmtId="0" fontId="25" fillId="31" borderId="4" xfId="8" applyFont="1" applyFill="1" applyBorder="1" applyAlignment="1">
      <alignment horizontal="center" vertical="center" wrapText="1"/>
    </xf>
    <xf numFmtId="0" fontId="22" fillId="31" borderId="5" xfId="224" applyFont="1" applyFill="1" applyBorder="1" applyAlignment="1">
      <alignment horizontal="center" vertical="center" wrapText="1"/>
    </xf>
    <xf numFmtId="0" fontId="22" fillId="31" borderId="31" xfId="224" applyFont="1" applyFill="1" applyBorder="1" applyAlignment="1">
      <alignment horizontal="center" vertical="center" wrapText="1"/>
    </xf>
    <xf numFmtId="0" fontId="22" fillId="31" borderId="8" xfId="224" applyFont="1" applyFill="1" applyBorder="1" applyAlignment="1">
      <alignment horizontal="center" vertical="center" wrapText="1"/>
    </xf>
    <xf numFmtId="0" fontId="22" fillId="31" borderId="0" xfId="224" applyFont="1" applyFill="1" applyAlignment="1">
      <alignment horizontal="center" vertical="center" wrapText="1"/>
    </xf>
    <xf numFmtId="0" fontId="22" fillId="31" borderId="30" xfId="224" applyFont="1" applyFill="1" applyBorder="1" applyAlignment="1">
      <alignment horizontal="center" vertical="center" wrapText="1"/>
    </xf>
    <xf numFmtId="0" fontId="22" fillId="31" borderId="6" xfId="224" applyFont="1" applyFill="1" applyBorder="1" applyAlignment="1">
      <alignment horizontal="center" vertical="center" wrapText="1"/>
    </xf>
    <xf numFmtId="0" fontId="22" fillId="31" borderId="59" xfId="224" applyFont="1" applyFill="1" applyBorder="1" applyAlignment="1">
      <alignment horizontal="center" vertical="center" wrapText="1"/>
    </xf>
    <xf numFmtId="0" fontId="22" fillId="31" borderId="124" xfId="224" applyFont="1" applyFill="1" applyBorder="1" applyAlignment="1">
      <alignment horizontal="center" vertical="center" wrapText="1"/>
    </xf>
    <xf numFmtId="0" fontId="16" fillId="37" borderId="12" xfId="9" applyFont="1" applyFill="1" applyBorder="1" applyAlignment="1">
      <alignment horizontal="center"/>
    </xf>
    <xf numFmtId="0" fontId="16" fillId="37" borderId="16" xfId="9" applyFont="1" applyFill="1" applyBorder="1" applyAlignment="1">
      <alignment horizontal="center" wrapText="1"/>
    </xf>
    <xf numFmtId="0" fontId="7" fillId="37" borderId="13" xfId="224" applyFill="1" applyBorder="1" applyAlignment="1">
      <alignment horizontal="center" wrapText="1"/>
    </xf>
    <xf numFmtId="0" fontId="7" fillId="37" borderId="15" xfId="224" applyFill="1" applyBorder="1" applyAlignment="1">
      <alignment horizontal="center" wrapText="1"/>
    </xf>
    <xf numFmtId="0" fontId="7" fillId="37" borderId="14" xfId="224" applyFill="1" applyBorder="1" applyAlignment="1">
      <alignment horizontal="center" wrapText="1"/>
    </xf>
    <xf numFmtId="0" fontId="16" fillId="31" borderId="134" xfId="8" applyFont="1" applyFill="1" applyBorder="1" applyAlignment="1">
      <alignment horizontal="center" vertical="center" wrapText="1"/>
    </xf>
    <xf numFmtId="0" fontId="7" fillId="31" borderId="102" xfId="224" applyFill="1" applyBorder="1" applyAlignment="1">
      <alignment horizontal="center" vertical="center" wrapText="1"/>
    </xf>
    <xf numFmtId="0" fontId="16" fillId="37" borderId="103" xfId="8" applyFont="1" applyFill="1" applyBorder="1" applyAlignment="1">
      <alignment horizontal="center" shrinkToFit="1"/>
    </xf>
    <xf numFmtId="0" fontId="7" fillId="37" borderId="104" xfId="224" applyFill="1" applyBorder="1" applyAlignment="1">
      <alignment horizontal="center" shrinkToFit="1"/>
    </xf>
    <xf numFmtId="0" fontId="7" fillId="37" borderId="105" xfId="224" applyFill="1" applyBorder="1" applyAlignment="1">
      <alignment horizontal="center" shrinkToFit="1"/>
    </xf>
    <xf numFmtId="0" fontId="17" fillId="31" borderId="103" xfId="8" applyFont="1" applyFill="1" applyBorder="1" applyAlignment="1">
      <alignment horizontal="center" wrapText="1"/>
    </xf>
    <xf numFmtId="0" fontId="7" fillId="31" borderId="104" xfId="224" applyFill="1" applyBorder="1" applyAlignment="1">
      <alignment horizontal="center" wrapText="1"/>
    </xf>
    <xf numFmtId="0" fontId="7" fillId="31" borderId="105" xfId="224" applyFill="1" applyBorder="1" applyAlignment="1">
      <alignment horizontal="center" wrapText="1"/>
    </xf>
    <xf numFmtId="0" fontId="16" fillId="37" borderId="103" xfId="8" applyFont="1" applyFill="1" applyBorder="1" applyAlignment="1">
      <alignment horizontal="center" wrapText="1"/>
    </xf>
    <xf numFmtId="0" fontId="7" fillId="37" borderId="104" xfId="224" applyFill="1" applyBorder="1" applyAlignment="1">
      <alignment horizontal="center" wrapText="1"/>
    </xf>
    <xf numFmtId="0" fontId="7" fillId="37" borderId="105" xfId="224" applyFill="1" applyBorder="1" applyAlignment="1">
      <alignment horizontal="center" wrapText="1"/>
    </xf>
    <xf numFmtId="0" fontId="17" fillId="31" borderId="103" xfId="224" applyFont="1" applyFill="1" applyBorder="1" applyAlignment="1">
      <alignment horizontal="center" wrapText="1"/>
    </xf>
    <xf numFmtId="0" fontId="17" fillId="31" borderId="104" xfId="224" applyFont="1" applyFill="1" applyBorder="1" applyAlignment="1">
      <alignment horizontal="center" wrapText="1"/>
    </xf>
    <xf numFmtId="0" fontId="17" fillId="31" borderId="105" xfId="224" applyFont="1" applyFill="1" applyBorder="1" applyAlignment="1">
      <alignment horizontal="center" wrapText="1"/>
    </xf>
    <xf numFmtId="14" fontId="17" fillId="31" borderId="135" xfId="9" applyNumberFormat="1" applyFont="1" applyFill="1" applyBorder="1" applyAlignment="1">
      <alignment horizontal="center" vertical="center"/>
    </xf>
    <xf numFmtId="0" fontId="17" fillId="31" borderId="135" xfId="9" applyFont="1" applyFill="1" applyBorder="1" applyAlignment="1">
      <alignment horizontal="center" vertical="center"/>
    </xf>
    <xf numFmtId="0" fontId="17" fillId="31" borderId="26" xfId="9" applyFont="1" applyFill="1" applyBorder="1" applyAlignment="1">
      <alignment horizontal="center" vertical="center"/>
    </xf>
    <xf numFmtId="0" fontId="17" fillId="31" borderId="134" xfId="9" applyFont="1" applyFill="1" applyBorder="1" applyAlignment="1">
      <alignment horizontal="center" vertical="center" wrapText="1"/>
    </xf>
    <xf numFmtId="0" fontId="7" fillId="31" borderId="124" xfId="224" applyFill="1" applyBorder="1" applyAlignment="1">
      <alignment horizontal="center" vertical="center" wrapText="1"/>
    </xf>
    <xf numFmtId="0" fontId="16" fillId="37" borderId="16" xfId="8" applyFont="1" applyFill="1" applyBorder="1" applyAlignment="1">
      <alignment horizontal="center" vertical="center" wrapText="1"/>
    </xf>
    <xf numFmtId="0" fontId="7" fillId="37" borderId="13" xfId="224" applyFill="1" applyBorder="1" applyAlignment="1">
      <alignment horizontal="center" vertical="center" wrapText="1"/>
    </xf>
    <xf numFmtId="0" fontId="7" fillId="37" borderId="15" xfId="224" applyFill="1" applyBorder="1" applyAlignment="1">
      <alignment horizontal="center" vertical="center" wrapText="1"/>
    </xf>
    <xf numFmtId="0" fontId="16" fillId="37" borderId="16" xfId="8" applyFont="1" applyFill="1" applyBorder="1" applyAlignment="1">
      <alignment horizontal="center" shrinkToFit="1"/>
    </xf>
    <xf numFmtId="0" fontId="7" fillId="37" borderId="13" xfId="224" applyFill="1" applyBorder="1" applyAlignment="1">
      <alignment horizontal="center" shrinkToFit="1"/>
    </xf>
    <xf numFmtId="0" fontId="7" fillId="37" borderId="15" xfId="224" applyFill="1" applyBorder="1" applyAlignment="1">
      <alignment horizontal="center" shrinkToFit="1"/>
    </xf>
    <xf numFmtId="0" fontId="17" fillId="31" borderId="16" xfId="8" applyFont="1" applyFill="1" applyBorder="1" applyAlignment="1">
      <alignment horizontal="center" wrapText="1"/>
    </xf>
    <xf numFmtId="0" fontId="7" fillId="31" borderId="13" xfId="224" applyFill="1" applyBorder="1" applyAlignment="1">
      <alignment horizontal="center" wrapText="1"/>
    </xf>
    <xf numFmtId="0" fontId="7" fillId="31" borderId="15" xfId="224" applyFill="1" applyBorder="1" applyAlignment="1">
      <alignment horizontal="center" wrapText="1"/>
    </xf>
    <xf numFmtId="0" fontId="16" fillId="37" borderId="16" xfId="8" applyFont="1" applyFill="1" applyBorder="1" applyAlignment="1">
      <alignment horizontal="center" wrapText="1"/>
    </xf>
    <xf numFmtId="0" fontId="109" fillId="31" borderId="0" xfId="224" applyFont="1" applyFill="1" applyAlignment="1">
      <alignment horizontal="center" vertical="center"/>
    </xf>
    <xf numFmtId="0" fontId="113" fillId="0" borderId="0" xfId="0" applyFont="1" applyAlignment="1">
      <alignment horizontal="left" vertical="center"/>
    </xf>
    <xf numFmtId="0" fontId="109" fillId="0" borderId="0" xfId="224" applyFont="1" applyAlignment="1">
      <alignment horizontal="left" vertical="center" wrapText="1"/>
    </xf>
    <xf numFmtId="0" fontId="20" fillId="31" borderId="8" xfId="224" applyFont="1" applyFill="1" applyBorder="1" applyAlignment="1">
      <alignment vertical="center" wrapText="1"/>
    </xf>
    <xf numFmtId="0" fontId="20" fillId="31" borderId="0" xfId="224" applyFont="1" applyFill="1" applyAlignment="1">
      <alignment vertical="center"/>
    </xf>
    <xf numFmtId="0" fontId="20" fillId="31" borderId="8" xfId="224" applyFont="1" applyFill="1" applyBorder="1" applyAlignment="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20" fillId="31" borderId="0" xfId="224" applyFont="1" applyFill="1" applyAlignment="1">
      <alignment vertical="center" wrapText="1"/>
    </xf>
    <xf numFmtId="0" fontId="15" fillId="31" borderId="0" xfId="224" applyFont="1" applyFill="1" applyAlignment="1">
      <alignment vertical="center" wrapText="1"/>
    </xf>
    <xf numFmtId="0" fontId="20" fillId="31" borderId="8" xfId="224" applyFont="1" applyFill="1" applyBorder="1" applyAlignment="1">
      <alignment vertical="top" wrapText="1"/>
    </xf>
    <xf numFmtId="0" fontId="20" fillId="31" borderId="0" xfId="224" applyFont="1" applyFill="1" applyAlignment="1">
      <alignment vertical="top" wrapText="1"/>
    </xf>
    <xf numFmtId="0" fontId="18" fillId="0" borderId="138" xfId="0" applyFont="1" applyBorder="1" applyAlignment="1">
      <alignment horizontal="right" vertical="center" wrapText="1"/>
    </xf>
    <xf numFmtId="0" fontId="18" fillId="0" borderId="105" xfId="0" applyFont="1" applyBorder="1" applyAlignment="1">
      <alignment horizontal="right" vertical="center" wrapText="1"/>
    </xf>
    <xf numFmtId="0" fontId="18" fillId="0" borderId="18" xfId="0" applyFont="1" applyBorder="1" applyAlignment="1">
      <alignment horizontal="right" vertical="center" wrapText="1"/>
    </xf>
    <xf numFmtId="0" fontId="18" fillId="0" borderId="17" xfId="0" applyFont="1" applyBorder="1" applyAlignment="1">
      <alignment horizontal="right" vertical="center" wrapText="1"/>
    </xf>
    <xf numFmtId="0" fontId="18" fillId="0" borderId="94" xfId="0" applyFont="1" applyBorder="1" applyAlignment="1">
      <alignment horizontal="right" vertical="center" wrapText="1"/>
    </xf>
    <xf numFmtId="0" fontId="18" fillId="0" borderId="95" xfId="0" applyFont="1" applyBorder="1" applyAlignment="1">
      <alignment horizontal="right" vertical="center" wrapText="1"/>
    </xf>
    <xf numFmtId="0" fontId="18" fillId="0" borderId="91" xfId="0" applyFont="1" applyBorder="1" applyAlignment="1">
      <alignment vertical="center" wrapText="1"/>
    </xf>
    <xf numFmtId="0" fontId="0" fillId="0" borderId="92" xfId="0" applyBorder="1" applyAlignment="1">
      <alignment vertical="center" wrapText="1"/>
    </xf>
    <xf numFmtId="0" fontId="0" fillId="0" borderId="93" xfId="0" applyBorder="1" applyAlignment="1">
      <alignment vertical="center" wrapText="1"/>
    </xf>
    <xf numFmtId="0" fontId="90" fillId="0" borderId="18" xfId="0" applyFont="1" applyBorder="1" applyAlignment="1">
      <alignment horizontal="right" vertical="center" wrapText="1"/>
    </xf>
    <xf numFmtId="0" fontId="90" fillId="0" borderId="17" xfId="0" applyFont="1" applyBorder="1" applyAlignment="1">
      <alignment horizontal="right" vertical="center" wrapText="1"/>
    </xf>
    <xf numFmtId="0" fontId="90" fillId="0" borderId="21" xfId="0" applyFont="1" applyBorder="1" applyAlignment="1">
      <alignment horizontal="left" vertical="top" wrapText="1"/>
    </xf>
    <xf numFmtId="0" fontId="90" fillId="0" borderId="19" xfId="0" applyFont="1" applyBorder="1" applyAlignment="1">
      <alignment horizontal="left" vertical="top"/>
    </xf>
    <xf numFmtId="0" fontId="90" fillId="0" borderId="20" xfId="0" applyFont="1" applyBorder="1" applyAlignment="1">
      <alignment horizontal="left" vertical="top"/>
    </xf>
    <xf numFmtId="0" fontId="90" fillId="0" borderId="138" xfId="0" applyFont="1" applyBorder="1" applyAlignment="1">
      <alignment horizontal="right" vertical="center" wrapText="1"/>
    </xf>
    <xf numFmtId="0" fontId="90" fillId="0" borderId="105" xfId="0" applyFont="1" applyBorder="1" applyAlignment="1">
      <alignment horizontal="right" vertical="center" wrapText="1"/>
    </xf>
    <xf numFmtId="0" fontId="90" fillId="0" borderId="103" xfId="0" applyFont="1" applyBorder="1" applyAlignment="1">
      <alignment horizontal="left" vertical="top" wrapText="1"/>
    </xf>
    <xf numFmtId="0" fontId="90" fillId="0" borderId="104" xfId="0" applyFont="1" applyBorder="1" applyAlignment="1">
      <alignment horizontal="left" vertical="top"/>
    </xf>
    <xf numFmtId="0" fontId="90" fillId="0" borderId="112" xfId="0" applyFont="1" applyBorder="1" applyAlignment="1">
      <alignment horizontal="left" vertical="top"/>
    </xf>
    <xf numFmtId="0" fontId="18" fillId="0" borderId="136" xfId="0" applyFont="1" applyBorder="1" applyAlignment="1">
      <alignment horizontal="right" vertical="center" wrapText="1"/>
    </xf>
    <xf numFmtId="0" fontId="18" fillId="0" borderId="102" xfId="0" applyFont="1" applyBorder="1" applyAlignment="1">
      <alignment horizontal="right" vertical="center" wrapText="1"/>
    </xf>
    <xf numFmtId="0" fontId="103" fillId="0" borderId="103" xfId="0" applyFont="1" applyBorder="1" applyAlignment="1">
      <alignment vertical="center"/>
    </xf>
    <xf numFmtId="0" fontId="103" fillId="0" borderId="105" xfId="0" applyFont="1" applyBorder="1" applyAlignment="1">
      <alignment vertical="center"/>
    </xf>
    <xf numFmtId="0" fontId="103" fillId="0" borderId="103" xfId="0" applyFont="1" applyBorder="1" applyAlignment="1">
      <alignment horizontal="right" vertical="center"/>
    </xf>
    <xf numFmtId="0" fontId="103" fillId="0" borderId="105" xfId="0" applyFont="1" applyBorder="1" applyAlignment="1">
      <alignment horizontal="right" vertical="center"/>
    </xf>
    <xf numFmtId="184" fontId="14" fillId="0" borderId="132" xfId="57492" applyNumberFormat="1" applyFont="1" applyBorder="1" applyAlignment="1">
      <alignment horizontal="right" vertical="center"/>
    </xf>
    <xf numFmtId="184" fontId="14" fillId="0" borderId="26" xfId="57492" applyNumberFormat="1" applyFont="1" applyBorder="1" applyAlignment="1">
      <alignment horizontal="right" vertical="center"/>
    </xf>
    <xf numFmtId="0" fontId="14" fillId="0" borderId="21" xfId="57493" applyFont="1" applyBorder="1">
      <alignment vertical="center"/>
    </xf>
    <xf numFmtId="0" fontId="14" fillId="0" borderId="17" xfId="57493" applyFont="1" applyBorder="1">
      <alignment vertical="center"/>
    </xf>
    <xf numFmtId="184" fontId="14" fillId="0" borderId="143" xfId="57492" applyNumberFormat="1" applyFont="1" applyBorder="1" applyAlignment="1">
      <alignment horizontal="right" vertical="center"/>
    </xf>
    <xf numFmtId="184" fontId="14" fillId="0" borderId="135" xfId="57492" applyNumberFormat="1" applyFont="1" applyBorder="1" applyAlignment="1">
      <alignment horizontal="right" vertical="center"/>
    </xf>
    <xf numFmtId="0" fontId="14" fillId="0" borderId="135" xfId="57493" applyFont="1" applyBorder="1">
      <alignment vertical="center"/>
    </xf>
    <xf numFmtId="184" fontId="14" fillId="0" borderId="143" xfId="57493" applyNumberFormat="1" applyFont="1" applyBorder="1" applyAlignment="1">
      <alignment horizontal="right" vertical="center"/>
    </xf>
    <xf numFmtId="184" fontId="14" fillId="0" borderId="135" xfId="57493" applyNumberFormat="1" applyFont="1" applyBorder="1" applyAlignment="1">
      <alignment horizontal="right" vertical="center"/>
    </xf>
    <xf numFmtId="0" fontId="14" fillId="0" borderId="103" xfId="57493" applyFont="1" applyBorder="1">
      <alignment vertical="center"/>
    </xf>
    <xf numFmtId="0" fontId="14" fillId="0" borderId="105" xfId="57493" applyFont="1" applyBorder="1">
      <alignment vertical="center"/>
    </xf>
    <xf numFmtId="184" fontId="109" fillId="0" borderId="143" xfId="57493" applyNumberFormat="1" applyFont="1" applyBorder="1" applyAlignment="1">
      <alignment horizontal="right" vertical="center"/>
    </xf>
    <xf numFmtId="184" fontId="109" fillId="0" borderId="135" xfId="57493" applyNumberFormat="1" applyFont="1" applyBorder="1" applyAlignment="1">
      <alignment horizontal="right" vertical="center"/>
    </xf>
    <xf numFmtId="0" fontId="109" fillId="0" borderId="103" xfId="57493" applyFont="1" applyBorder="1">
      <alignment vertical="center"/>
    </xf>
    <xf numFmtId="0" fontId="109" fillId="0" borderId="105" xfId="57493" applyFont="1" applyBorder="1">
      <alignment vertical="center"/>
    </xf>
    <xf numFmtId="184" fontId="14" fillId="0" borderId="77" xfId="57492" applyNumberFormat="1" applyFont="1" applyBorder="1" applyAlignment="1">
      <alignment horizontal="right" vertical="center"/>
    </xf>
    <xf numFmtId="184" fontId="14" fillId="0" borderId="27" xfId="57492" applyNumberFormat="1" applyFont="1" applyBorder="1" applyAlignment="1">
      <alignment horizontal="right" vertical="center"/>
    </xf>
    <xf numFmtId="0" fontId="14" fillId="0" borderId="28" xfId="57493" applyFont="1" applyBorder="1">
      <alignment vertical="center"/>
    </xf>
    <xf numFmtId="0" fontId="14" fillId="0" borderId="27" xfId="57493" applyFont="1" applyBorder="1">
      <alignment vertical="center"/>
    </xf>
    <xf numFmtId="0" fontId="103" fillId="40" borderId="129" xfId="57492" applyFont="1" applyFill="1" applyBorder="1">
      <alignment vertical="center"/>
    </xf>
    <xf numFmtId="0" fontId="102" fillId="0" borderId="16" xfId="57492" applyFont="1" applyBorder="1">
      <alignment vertical="center"/>
    </xf>
    <xf numFmtId="0" fontId="103" fillId="40" borderId="12" xfId="57492" applyFont="1" applyFill="1" applyBorder="1">
      <alignment vertical="center"/>
    </xf>
    <xf numFmtId="0" fontId="102" fillId="0" borderId="12" xfId="57492" applyFont="1" applyBorder="1">
      <alignment vertical="center"/>
    </xf>
    <xf numFmtId="184" fontId="14" fillId="0" borderId="130" xfId="57493" applyNumberFormat="1" applyFont="1" applyBorder="1" applyAlignment="1">
      <alignment horizontal="right" vertical="center"/>
    </xf>
    <xf numFmtId="184" fontId="14" fillId="0" borderId="131" xfId="57493" applyNumberFormat="1" applyFont="1" applyBorder="1" applyAlignment="1">
      <alignment horizontal="right" vertical="center"/>
    </xf>
    <xf numFmtId="0" fontId="14" fillId="0" borderId="131" xfId="57493" applyFont="1" applyBorder="1">
      <alignment vertical="center"/>
    </xf>
    <xf numFmtId="184" fontId="14" fillId="0" borderId="8" xfId="57493" applyNumberFormat="1" applyFont="1" applyBorder="1" applyAlignment="1">
      <alignment horizontal="right" vertical="center"/>
    </xf>
    <xf numFmtId="184" fontId="14" fillId="0" borderId="30" xfId="57493" applyNumberFormat="1" applyFont="1" applyBorder="1" applyAlignment="1">
      <alignment horizontal="right" vertical="center"/>
    </xf>
    <xf numFmtId="0" fontId="14" fillId="0" borderId="29" xfId="57493" applyFont="1" applyBorder="1">
      <alignment vertical="center"/>
    </xf>
    <xf numFmtId="0" fontId="14" fillId="0" borderId="30" xfId="57493" applyFont="1" applyBorder="1">
      <alignment vertical="center"/>
    </xf>
    <xf numFmtId="0" fontId="16" fillId="45" borderId="16" xfId="8" applyFont="1" applyFill="1" applyBorder="1" applyAlignment="1">
      <alignment horizontal="center" wrapText="1"/>
    </xf>
    <xf numFmtId="0" fontId="16" fillId="45" borderId="13" xfId="8" applyFont="1" applyFill="1" applyBorder="1" applyAlignment="1">
      <alignment horizontal="center" wrapText="1"/>
    </xf>
    <xf numFmtId="0" fontId="16" fillId="45" borderId="15" xfId="8" applyFont="1" applyFill="1" applyBorder="1" applyAlignment="1">
      <alignment horizontal="center" wrapText="1"/>
    </xf>
    <xf numFmtId="0" fontId="16" fillId="45" borderId="16" xfId="9" applyFont="1" applyFill="1" applyBorder="1" applyAlignment="1">
      <alignment horizontal="center" wrapText="1"/>
    </xf>
    <xf numFmtId="0" fontId="7" fillId="45" borderId="13" xfId="224" applyFill="1" applyBorder="1" applyAlignment="1">
      <alignment horizontal="center" wrapText="1"/>
    </xf>
    <xf numFmtId="0" fontId="7" fillId="45" borderId="15" xfId="224" applyFill="1" applyBorder="1" applyAlignment="1">
      <alignment horizontal="center" wrapText="1"/>
    </xf>
    <xf numFmtId="0" fontId="16" fillId="45" borderId="16" xfId="9" applyFont="1" applyFill="1" applyBorder="1" applyAlignment="1">
      <alignment horizontal="center"/>
    </xf>
    <xf numFmtId="0" fontId="7" fillId="45" borderId="13" xfId="224" applyFill="1" applyBorder="1" applyAlignment="1">
      <alignment horizontal="center"/>
    </xf>
    <xf numFmtId="0" fontId="7" fillId="45" borderId="15" xfId="224" applyFill="1" applyBorder="1" applyAlignment="1">
      <alignment horizontal="center"/>
    </xf>
    <xf numFmtId="0" fontId="7" fillId="45" borderId="14" xfId="224" applyFill="1" applyBorder="1" applyAlignment="1">
      <alignment horizontal="center"/>
    </xf>
    <xf numFmtId="0" fontId="16" fillId="45" borderId="103" xfId="8" applyFont="1" applyFill="1" applyBorder="1" applyAlignment="1">
      <alignment horizontal="center" wrapText="1"/>
    </xf>
    <xf numFmtId="0" fontId="16" fillId="45" borderId="104" xfId="8" applyFont="1" applyFill="1" applyBorder="1" applyAlignment="1">
      <alignment horizontal="center" wrapText="1"/>
    </xf>
    <xf numFmtId="0" fontId="16" fillId="45" borderId="105" xfId="8" applyFont="1" applyFill="1" applyBorder="1" applyAlignment="1">
      <alignment horizontal="center" wrapText="1"/>
    </xf>
    <xf numFmtId="0" fontId="16" fillId="45" borderId="16" xfId="8" applyFont="1" applyFill="1" applyBorder="1" applyAlignment="1">
      <alignment horizontal="center" vertical="center" wrapText="1"/>
    </xf>
    <xf numFmtId="0" fontId="16" fillId="45" borderId="13" xfId="8" applyFont="1" applyFill="1" applyBorder="1" applyAlignment="1">
      <alignment horizontal="center" vertical="center" wrapText="1"/>
    </xf>
    <xf numFmtId="0" fontId="16" fillId="45" borderId="15" xfId="8" applyFont="1" applyFill="1" applyBorder="1" applyAlignment="1">
      <alignment horizontal="center" vertical="center" wrapText="1"/>
    </xf>
    <xf numFmtId="0" fontId="16" fillId="45" borderId="21" xfId="8" applyFont="1" applyFill="1" applyBorder="1" applyAlignment="1">
      <alignment horizontal="center" wrapText="1"/>
    </xf>
    <xf numFmtId="0" fontId="16" fillId="45" borderId="19" xfId="8" applyFont="1" applyFill="1" applyBorder="1" applyAlignment="1">
      <alignment horizontal="center" wrapText="1"/>
    </xf>
    <xf numFmtId="0" fontId="16" fillId="45" borderId="17" xfId="8" applyFont="1" applyFill="1" applyBorder="1" applyAlignment="1">
      <alignment horizontal="center" wrapText="1"/>
    </xf>
  </cellXfs>
  <cellStyles count="57495">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yperlink" xfId="57494" xr:uid="{00000000-000B-0000-0000-000008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B19ACCBA-CA78-4C17-B317-906E1F2FE7F6}"/>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7153E232-5CAA-4EF5-8AF4-110A0B24B243}"/>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3399"/>
      <color rgb="FF339966"/>
      <color rgb="FFFF6600"/>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29</xdr:col>
      <xdr:colOff>168853</xdr:colOff>
      <xdr:row>17</xdr:row>
      <xdr:rowOff>123825</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48</xdr:row>
      <xdr:rowOff>123825</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2354658" y="3648075"/>
          <a:ext cx="448407" cy="46767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94</xdr:col>
      <xdr:colOff>48358</xdr:colOff>
      <xdr:row>49</xdr:row>
      <xdr:rowOff>21982</xdr:rowOff>
    </xdr:from>
    <xdr:to>
      <xdr:col>96</xdr:col>
      <xdr:colOff>153865</xdr:colOff>
      <xdr:row>82</xdr:row>
      <xdr:rowOff>19050</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6374208" y="7613407"/>
          <a:ext cx="448407" cy="48738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80</xdr:col>
      <xdr:colOff>0</xdr:colOff>
      <xdr:row>26</xdr:row>
      <xdr:rowOff>104776</xdr:rowOff>
    </xdr:from>
    <xdr:ext cx="648000"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3925550" y="4191001"/>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95</xdr:col>
      <xdr:colOff>161925</xdr:colOff>
      <xdr:row>48</xdr:row>
      <xdr:rowOff>27108</xdr:rowOff>
    </xdr:from>
    <xdr:ext cx="1638300" cy="391992"/>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6659225" y="7466133"/>
          <a:ext cx="1638300" cy="391992"/>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no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55</xdr:col>
      <xdr:colOff>70816</xdr:colOff>
      <xdr:row>7</xdr:row>
      <xdr:rowOff>147430</xdr:rowOff>
    </xdr:from>
    <xdr:ext cx="4182718" cy="930951"/>
    <xdr:sp macro="" textlink="">
      <xdr:nvSpPr>
        <xdr:cNvPr id="100" name="テキスト ボックス 99">
          <a:extLst>
            <a:ext uri="{FF2B5EF4-FFF2-40B4-BE49-F238E27FC236}">
              <a16:creationId xmlns:a16="http://schemas.microsoft.com/office/drawing/2014/main" id="{7ACEA0F8-53C0-46BE-B73B-966CCFD1F0AA}"/>
            </a:ext>
          </a:extLst>
        </xdr:cNvPr>
        <xdr:cNvSpPr txBox="1"/>
      </xdr:nvSpPr>
      <xdr:spPr>
        <a:xfrm>
          <a:off x="8995741" y="1338055"/>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②受注日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oneCellAnchor>
    <xdr:from>
      <xdr:col>46</xdr:col>
      <xdr:colOff>24849</xdr:colOff>
      <xdr:row>10</xdr:row>
      <xdr:rowOff>0</xdr:rowOff>
    </xdr:from>
    <xdr:ext cx="121422" cy="146538"/>
    <xdr:pic>
      <xdr:nvPicPr>
        <xdr:cNvPr id="95" name="図 94">
          <a:extLst>
            <a:ext uri="{FF2B5EF4-FFF2-40B4-BE49-F238E27FC236}">
              <a16:creationId xmlns:a16="http://schemas.microsoft.com/office/drawing/2014/main" id="{D18C226D-8974-4C7A-976E-2874CCF85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82</xdr:row>
      <xdr:rowOff>38100</xdr:rowOff>
    </xdr:from>
    <xdr:to>
      <xdr:col>7</xdr:col>
      <xdr:colOff>65432</xdr:colOff>
      <xdr:row>83</xdr:row>
      <xdr:rowOff>119940</xdr:rowOff>
    </xdr:to>
    <xdr:sp macro="" textlink="">
      <xdr:nvSpPr>
        <xdr:cNvPr id="149" name="フローチャート: 代替処理 148">
          <a:extLst>
            <a:ext uri="{FF2B5EF4-FFF2-40B4-BE49-F238E27FC236}">
              <a16:creationId xmlns:a16="http://schemas.microsoft.com/office/drawing/2014/main" id="{205FE3D6-23D8-4048-882A-6EB43DF31018}"/>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59</xdr:col>
      <xdr:colOff>139701</xdr:colOff>
      <xdr:row>82</xdr:row>
      <xdr:rowOff>38100</xdr:rowOff>
    </xdr:from>
    <xdr:to>
      <xdr:col>64</xdr:col>
      <xdr:colOff>6350</xdr:colOff>
      <xdr:row>83</xdr:row>
      <xdr:rowOff>119940</xdr:rowOff>
    </xdr:to>
    <xdr:sp macro="" textlink="">
      <xdr:nvSpPr>
        <xdr:cNvPr id="150" name="フローチャート: 代替処理 149">
          <a:extLst>
            <a:ext uri="{FF2B5EF4-FFF2-40B4-BE49-F238E27FC236}">
              <a16:creationId xmlns:a16="http://schemas.microsoft.com/office/drawing/2014/main" id="{AEF82021-D89E-4190-806C-6F6EEE40A75C}"/>
            </a:ext>
          </a:extLst>
        </xdr:cNvPr>
        <xdr:cNvSpPr/>
      </xdr:nvSpPr>
      <xdr:spPr bwMode="auto">
        <a:xfrm>
          <a:off x="9712326" y="10372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43</xdr:col>
      <xdr:colOff>47625</xdr:colOff>
      <xdr:row>82</xdr:row>
      <xdr:rowOff>38100</xdr:rowOff>
    </xdr:from>
    <xdr:to>
      <xdr:col>48</xdr:col>
      <xdr:colOff>76200</xdr:colOff>
      <xdr:row>83</xdr:row>
      <xdr:rowOff>119940</xdr:rowOff>
    </xdr:to>
    <xdr:sp macro="" textlink="">
      <xdr:nvSpPr>
        <xdr:cNvPr id="157" name="フローチャート: 代替処理 156">
          <a:extLst>
            <a:ext uri="{FF2B5EF4-FFF2-40B4-BE49-F238E27FC236}">
              <a16:creationId xmlns:a16="http://schemas.microsoft.com/office/drawing/2014/main" id="{7C2AF66A-0159-42C2-B8D5-D8A01CBCF277}"/>
            </a:ext>
          </a:extLst>
        </xdr:cNvPr>
        <xdr:cNvSpPr/>
      </xdr:nvSpPr>
      <xdr:spPr bwMode="auto">
        <a:xfrm>
          <a:off x="7029450" y="10372725"/>
          <a:ext cx="8382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受注詳細</a:t>
          </a:r>
        </a:p>
      </xdr:txBody>
    </xdr:sp>
    <xdr:clientData/>
  </xdr:twoCellAnchor>
  <xdr:twoCellAnchor>
    <xdr:from>
      <xdr:col>65</xdr:col>
      <xdr:colOff>104775</xdr:colOff>
      <xdr:row>82</xdr:row>
      <xdr:rowOff>38100</xdr:rowOff>
    </xdr:from>
    <xdr:to>
      <xdr:col>69</xdr:col>
      <xdr:colOff>161924</xdr:colOff>
      <xdr:row>83</xdr:row>
      <xdr:rowOff>119940</xdr:rowOff>
    </xdr:to>
    <xdr:sp macro="" textlink="">
      <xdr:nvSpPr>
        <xdr:cNvPr id="158" name="フローチャート: 代替処理 157">
          <a:extLst>
            <a:ext uri="{FF2B5EF4-FFF2-40B4-BE49-F238E27FC236}">
              <a16:creationId xmlns:a16="http://schemas.microsoft.com/office/drawing/2014/main" id="{EEE2C7F6-485F-4A22-A13E-E47BAF1EA89F}"/>
            </a:ext>
          </a:extLst>
        </xdr:cNvPr>
        <xdr:cNvSpPr/>
      </xdr:nvSpPr>
      <xdr:spPr bwMode="auto">
        <a:xfrm>
          <a:off x="10677525" y="103727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82</xdr:row>
      <xdr:rowOff>38100</xdr:rowOff>
    </xdr:from>
    <xdr:to>
      <xdr:col>12</xdr:col>
      <xdr:colOff>132107</xdr:colOff>
      <xdr:row>83</xdr:row>
      <xdr:rowOff>119940</xdr:rowOff>
    </xdr:to>
    <xdr:sp macro="" textlink="">
      <xdr:nvSpPr>
        <xdr:cNvPr id="172" name="フローチャート: 代替処理 171">
          <a:extLst>
            <a:ext uri="{FF2B5EF4-FFF2-40B4-BE49-F238E27FC236}">
              <a16:creationId xmlns:a16="http://schemas.microsoft.com/office/drawing/2014/main" id="{C8CFE21D-DEE9-4EC2-87B9-DFBB2B4CBEBD}"/>
            </a:ext>
            <a:ext uri="{147F2762-F138-4A5C-976F-8EAC2B608ADB}">
              <a16:predDERef xmlns:a16="http://schemas.microsoft.com/office/drawing/2014/main" pred="{EEE2C7F6-485F-4A22-A13E-E47BAF1EA89F}"/>
            </a:ext>
          </a:extLst>
        </xdr:cNvPr>
        <xdr:cNvSpPr/>
      </xdr:nvSpPr>
      <xdr:spPr bwMode="auto">
        <a:xfrm>
          <a:off x="1398933" y="10372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3</xdr:col>
      <xdr:colOff>17808</xdr:colOff>
      <xdr:row>177</xdr:row>
      <xdr:rowOff>38100</xdr:rowOff>
    </xdr:from>
    <xdr:to>
      <xdr:col>7</xdr:col>
      <xdr:colOff>65432</xdr:colOff>
      <xdr:row>178</xdr:row>
      <xdr:rowOff>119940</xdr:rowOff>
    </xdr:to>
    <xdr:sp macro="" textlink="">
      <xdr:nvSpPr>
        <xdr:cNvPr id="90" name="フローチャート: 代替処理 89">
          <a:extLst>
            <a:ext uri="{FF2B5EF4-FFF2-40B4-BE49-F238E27FC236}">
              <a16:creationId xmlns:a16="http://schemas.microsoft.com/office/drawing/2014/main" id="{8FB941BB-35E2-42FD-A32D-D61021E2B955}"/>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103533</xdr:colOff>
      <xdr:row>177</xdr:row>
      <xdr:rowOff>38100</xdr:rowOff>
    </xdr:from>
    <xdr:to>
      <xdr:col>59</xdr:col>
      <xdr:colOff>151157</xdr:colOff>
      <xdr:row>178</xdr:row>
      <xdr:rowOff>119940</xdr:rowOff>
    </xdr:to>
    <xdr:sp macro="" textlink="">
      <xdr:nvSpPr>
        <xdr:cNvPr id="92" name="フローチャート: 代替処理 91">
          <a:extLst>
            <a:ext uri="{FF2B5EF4-FFF2-40B4-BE49-F238E27FC236}">
              <a16:creationId xmlns:a16="http://schemas.microsoft.com/office/drawing/2014/main" id="{B09F09A8-CC61-443A-978A-2E3C42608EEC}"/>
            </a:ext>
          </a:extLst>
        </xdr:cNvPr>
        <xdr:cNvSpPr/>
      </xdr:nvSpPr>
      <xdr:spPr bwMode="auto">
        <a:xfrm>
          <a:off x="9028458"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41</xdr:col>
      <xdr:colOff>114299</xdr:colOff>
      <xdr:row>177</xdr:row>
      <xdr:rowOff>38100</xdr:rowOff>
    </xdr:from>
    <xdr:to>
      <xdr:col>46</xdr:col>
      <xdr:colOff>152399</xdr:colOff>
      <xdr:row>178</xdr:row>
      <xdr:rowOff>119940</xdr:rowOff>
    </xdr:to>
    <xdr:sp macro="" textlink="">
      <xdr:nvSpPr>
        <xdr:cNvPr id="93" name="フローチャート: 代替処理 92">
          <a:extLst>
            <a:ext uri="{FF2B5EF4-FFF2-40B4-BE49-F238E27FC236}">
              <a16:creationId xmlns:a16="http://schemas.microsoft.com/office/drawing/2014/main" id="{4C1A2E66-4909-4260-BB59-B7E0B399A124}"/>
            </a:ext>
          </a:extLst>
        </xdr:cNvPr>
        <xdr:cNvSpPr/>
      </xdr:nvSpPr>
      <xdr:spPr bwMode="auto">
        <a:xfrm>
          <a:off x="6772274" y="10525125"/>
          <a:ext cx="84772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36</xdr:col>
      <xdr:colOff>66675</xdr:colOff>
      <xdr:row>177</xdr:row>
      <xdr:rowOff>38100</xdr:rowOff>
    </xdr:from>
    <xdr:to>
      <xdr:col>40</xdr:col>
      <xdr:colOff>114299</xdr:colOff>
      <xdr:row>178</xdr:row>
      <xdr:rowOff>119940</xdr:rowOff>
    </xdr:to>
    <xdr:sp macro="" textlink="">
      <xdr:nvSpPr>
        <xdr:cNvPr id="104" name="フローチャート: 代替処理 103">
          <a:extLst>
            <a:ext uri="{FF2B5EF4-FFF2-40B4-BE49-F238E27FC236}">
              <a16:creationId xmlns:a16="http://schemas.microsoft.com/office/drawing/2014/main" id="{3A4CC642-45C8-4473-AD61-FBE28CEDFAC7}"/>
            </a:ext>
          </a:extLst>
        </xdr:cNvPr>
        <xdr:cNvSpPr/>
      </xdr:nvSpPr>
      <xdr:spPr bwMode="auto">
        <a:xfrm>
          <a:off x="5915025"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177</xdr:row>
      <xdr:rowOff>38100</xdr:rowOff>
    </xdr:from>
    <xdr:to>
      <xdr:col>66</xdr:col>
      <xdr:colOff>66674</xdr:colOff>
      <xdr:row>178</xdr:row>
      <xdr:rowOff>119940</xdr:rowOff>
    </xdr:to>
    <xdr:sp macro="" textlink="">
      <xdr:nvSpPr>
        <xdr:cNvPr id="105" name="フローチャート: 代替処理 104">
          <a:extLst>
            <a:ext uri="{FF2B5EF4-FFF2-40B4-BE49-F238E27FC236}">
              <a16:creationId xmlns:a16="http://schemas.microsoft.com/office/drawing/2014/main" id="{30D0EBAE-2A00-4870-BB93-F6CE64C63F92}"/>
            </a:ext>
          </a:extLst>
        </xdr:cNvPr>
        <xdr:cNvSpPr/>
      </xdr:nvSpPr>
      <xdr:spPr bwMode="auto">
        <a:xfrm>
          <a:off x="10067925" y="105251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177</xdr:row>
      <xdr:rowOff>38100</xdr:rowOff>
    </xdr:from>
    <xdr:to>
      <xdr:col>12</xdr:col>
      <xdr:colOff>132107</xdr:colOff>
      <xdr:row>178</xdr:row>
      <xdr:rowOff>119940</xdr:rowOff>
    </xdr:to>
    <xdr:sp macro="" textlink="">
      <xdr:nvSpPr>
        <xdr:cNvPr id="106" name="フローチャート: 代替処理 105">
          <a:extLst>
            <a:ext uri="{FF2B5EF4-FFF2-40B4-BE49-F238E27FC236}">
              <a16:creationId xmlns:a16="http://schemas.microsoft.com/office/drawing/2014/main" id="{D3C84EDC-33E8-4374-857D-8783A2380A14}"/>
            </a:ext>
          </a:extLst>
        </xdr:cNvPr>
        <xdr:cNvSpPr/>
      </xdr:nvSpPr>
      <xdr:spPr bwMode="auto">
        <a:xfrm>
          <a:off x="13989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69</xdr:col>
      <xdr:colOff>19051</xdr:colOff>
      <xdr:row>175</xdr:row>
      <xdr:rowOff>66675</xdr:rowOff>
    </xdr:from>
    <xdr:ext cx="320040" cy="200025"/>
    <xdr:pic>
      <xdr:nvPicPr>
        <xdr:cNvPr id="107" name="図 106">
          <a:extLst>
            <a:ext uri="{FF2B5EF4-FFF2-40B4-BE49-F238E27FC236}">
              <a16:creationId xmlns:a16="http://schemas.microsoft.com/office/drawing/2014/main" id="{E7C23313-57AA-4487-A495-D4B4B3C9AF13}"/>
            </a:ext>
          </a:extLst>
        </xdr:cNvPr>
        <xdr:cNvPicPr>
          <a:picLocks noChangeAspect="1"/>
        </xdr:cNvPicPr>
      </xdr:nvPicPr>
      <xdr:blipFill>
        <a:blip xmlns:r="http://schemas.openxmlformats.org/officeDocument/2006/relationships" r:embed="rId5"/>
        <a:stretch>
          <a:fillRect/>
        </a:stretch>
      </xdr:blipFill>
      <xdr:spPr>
        <a:xfrm>
          <a:off x="11277601" y="10248900"/>
          <a:ext cx="320040" cy="200025"/>
        </a:xfrm>
        <a:prstGeom prst="rect">
          <a:avLst/>
        </a:prstGeom>
      </xdr:spPr>
    </xdr:pic>
    <xdr:clientData/>
  </xdr:oneCellAnchor>
  <xdr:twoCellAnchor>
    <xdr:from>
      <xdr:col>48</xdr:col>
      <xdr:colOff>9524</xdr:colOff>
      <xdr:row>177</xdr:row>
      <xdr:rowOff>38100</xdr:rowOff>
    </xdr:from>
    <xdr:to>
      <xdr:col>53</xdr:col>
      <xdr:colOff>47624</xdr:colOff>
      <xdr:row>178</xdr:row>
      <xdr:rowOff>119940</xdr:rowOff>
    </xdr:to>
    <xdr:sp macro="" textlink="">
      <xdr:nvSpPr>
        <xdr:cNvPr id="108" name="フローチャート: 代替処理 107">
          <a:extLst>
            <a:ext uri="{FF2B5EF4-FFF2-40B4-BE49-F238E27FC236}">
              <a16:creationId xmlns:a16="http://schemas.microsoft.com/office/drawing/2014/main" id="{EF01E640-B177-41B3-9C11-976536A22E85}"/>
            </a:ext>
          </a:extLst>
        </xdr:cNvPr>
        <xdr:cNvSpPr/>
      </xdr:nvSpPr>
      <xdr:spPr bwMode="auto">
        <a:xfrm>
          <a:off x="7800974" y="10525125"/>
          <a:ext cx="84772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客</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114301</xdr:colOff>
      <xdr:row>131</xdr:row>
      <xdr:rowOff>76199</xdr:rowOff>
    </xdr:from>
    <xdr:to>
      <xdr:col>76</xdr:col>
      <xdr:colOff>76201</xdr:colOff>
      <xdr:row>133</xdr:row>
      <xdr:rowOff>66674</xdr:rowOff>
    </xdr:to>
    <xdr:sp macro="" textlink="">
      <xdr:nvSpPr>
        <xdr:cNvPr id="112" name="楕円 111">
          <a:extLst>
            <a:ext uri="{FF2B5EF4-FFF2-40B4-BE49-F238E27FC236}">
              <a16:creationId xmlns:a16="http://schemas.microsoft.com/office/drawing/2014/main" id="{51277061-AF10-4111-90C1-2DC905D4CC3B}"/>
            </a:ext>
          </a:extLst>
        </xdr:cNvPr>
        <xdr:cNvSpPr/>
      </xdr:nvSpPr>
      <xdr:spPr bwMode="auto">
        <a:xfrm>
          <a:off x="1205865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76</xdr:col>
      <xdr:colOff>57150</xdr:colOff>
      <xdr:row>45</xdr:row>
      <xdr:rowOff>76200</xdr:rowOff>
    </xdr:from>
    <xdr:ext cx="2819400" cy="416002"/>
    <xdr:sp macro="" textlink="">
      <xdr:nvSpPr>
        <xdr:cNvPr id="57" name="吹き出し: 四角形 56">
          <a:extLst>
            <a:ext uri="{FF2B5EF4-FFF2-40B4-BE49-F238E27FC236}">
              <a16:creationId xmlns:a16="http://schemas.microsoft.com/office/drawing/2014/main" id="{CA37A934-95C4-4C54-8FD5-9E1598D27DF8}"/>
            </a:ext>
          </a:extLst>
        </xdr:cNvPr>
        <xdr:cNvSpPr/>
      </xdr:nvSpPr>
      <xdr:spPr>
        <a:xfrm>
          <a:off x="13296900" y="7058025"/>
          <a:ext cx="2819400" cy="416002"/>
        </a:xfrm>
        <a:prstGeom prst="wedgeRectCallout">
          <a:avLst>
            <a:gd name="adj1" fmla="val -31691"/>
            <a:gd name="adj2" fmla="val 93343"/>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49</xdr:col>
      <xdr:colOff>47625</xdr:colOff>
      <xdr:row>82</xdr:row>
      <xdr:rowOff>38100</xdr:rowOff>
    </xdr:from>
    <xdr:to>
      <xdr:col>54</xdr:col>
      <xdr:colOff>76200</xdr:colOff>
      <xdr:row>83</xdr:row>
      <xdr:rowOff>119940</xdr:rowOff>
    </xdr:to>
    <xdr:sp macro="" textlink="">
      <xdr:nvSpPr>
        <xdr:cNvPr id="55" name="フローチャート: 代替処理 54">
          <a:extLst>
            <a:ext uri="{FF2B5EF4-FFF2-40B4-BE49-F238E27FC236}">
              <a16:creationId xmlns:a16="http://schemas.microsoft.com/office/drawing/2014/main" id="{B9DE3B8B-C33B-4300-ABFA-80DF1BE09300}"/>
            </a:ext>
          </a:extLst>
        </xdr:cNvPr>
        <xdr:cNvSpPr/>
      </xdr:nvSpPr>
      <xdr:spPr bwMode="auto">
        <a:xfrm>
          <a:off x="8001000" y="10372725"/>
          <a:ext cx="8382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editAs="oneCell">
    <xdr:from>
      <xdr:col>92</xdr:col>
      <xdr:colOff>28575</xdr:colOff>
      <xdr:row>63</xdr:row>
      <xdr:rowOff>76200</xdr:rowOff>
    </xdr:from>
    <xdr:to>
      <xdr:col>94</xdr:col>
      <xdr:colOff>5715</xdr:colOff>
      <xdr:row>64</xdr:row>
      <xdr:rowOff>123825</xdr:rowOff>
    </xdr:to>
    <xdr:pic>
      <xdr:nvPicPr>
        <xdr:cNvPr id="58" name="図 57">
          <a:extLst>
            <a:ext uri="{FF2B5EF4-FFF2-40B4-BE49-F238E27FC236}">
              <a16:creationId xmlns:a16="http://schemas.microsoft.com/office/drawing/2014/main" id="{A74F24A8-C1F3-42E4-9FB9-A14ACE051B36}"/>
            </a:ext>
          </a:extLst>
        </xdr:cNvPr>
        <xdr:cNvPicPr>
          <a:picLocks noChangeAspect="1"/>
        </xdr:cNvPicPr>
      </xdr:nvPicPr>
      <xdr:blipFill>
        <a:blip xmlns:r="http://schemas.openxmlformats.org/officeDocument/2006/relationships" r:embed="rId5"/>
        <a:stretch>
          <a:fillRect/>
        </a:stretch>
      </xdr:blipFill>
      <xdr:spPr>
        <a:xfrm>
          <a:off x="16011525" y="9801225"/>
          <a:ext cx="320040" cy="200025"/>
        </a:xfrm>
        <a:prstGeom prst="rect">
          <a:avLst/>
        </a:prstGeom>
      </xdr:spPr>
    </xdr:pic>
    <xdr:clientData/>
  </xdr:twoCellAnchor>
  <xdr:twoCellAnchor>
    <xdr:from>
      <xdr:col>2</xdr:col>
      <xdr:colOff>76200</xdr:colOff>
      <xdr:row>61</xdr:row>
      <xdr:rowOff>85725</xdr:rowOff>
    </xdr:from>
    <xdr:to>
      <xdr:col>3</xdr:col>
      <xdr:colOff>114300</xdr:colOff>
      <xdr:row>86</xdr:row>
      <xdr:rowOff>123825</xdr:rowOff>
    </xdr:to>
    <xdr:cxnSp macro="">
      <xdr:nvCxnSpPr>
        <xdr:cNvPr id="3" name="直線コネクタ 2">
          <a:extLst>
            <a:ext uri="{FF2B5EF4-FFF2-40B4-BE49-F238E27FC236}">
              <a16:creationId xmlns:a16="http://schemas.microsoft.com/office/drawing/2014/main" id="{E65910AD-D8F2-66C8-75CC-9481B7D1F523}"/>
            </a:ext>
            <a:ext uri="{147F2762-F138-4A5C-976F-8EAC2B608ADB}">
              <a16:predDERef xmlns:a16="http://schemas.microsoft.com/office/drawing/2014/main" pred="{A74F24A8-C1F3-42E4-9FB9-A14ACE051B36}"/>
            </a:ext>
          </a:extLst>
        </xdr:cNvPr>
        <xdr:cNvCxnSpPr>
          <a:cxnSpLocks/>
          <a:extLst>
            <a:ext uri="{5F17804C-33F3-41E3-A699-7DCFA2EF7971}">
              <a16:cxnDERefs xmlns:a16="http://schemas.microsoft.com/office/drawing/2014/main" st="{C8CFE21D-DEE9-4EC2-87B9-DFBB2B4CBEBD}" end="{00000000-0000-0000-0000-000000000000}"/>
            </a:ext>
          </a:extLst>
        </xdr:cNvCxnSpPr>
      </xdr:nvCxnSpPr>
      <xdr:spPr bwMode="auto">
        <a:xfrm flipV="1">
          <a:off x="400050" y="9505950"/>
          <a:ext cx="219075" cy="1714500"/>
        </a:xfrm>
        <a:prstGeom prst="line">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xdr:col>
      <xdr:colOff>57150</xdr:colOff>
      <xdr:row>86</xdr:row>
      <xdr:rowOff>114300</xdr:rowOff>
    </xdr:from>
    <xdr:to>
      <xdr:col>25</xdr:col>
      <xdr:colOff>38100</xdr:colOff>
      <xdr:row>91</xdr:row>
      <xdr:rowOff>76200</xdr:rowOff>
    </xdr:to>
    <xdr:sp macro="" textlink="">
      <xdr:nvSpPr>
        <xdr:cNvPr id="5" name="テキスト ボックス 4">
          <a:extLst>
            <a:ext uri="{FF2B5EF4-FFF2-40B4-BE49-F238E27FC236}">
              <a16:creationId xmlns:a16="http://schemas.microsoft.com/office/drawing/2014/main" id="{92C4E96B-75B7-7C12-76D7-7FD1B4125ED3}"/>
            </a:ext>
            <a:ext uri="{147F2762-F138-4A5C-976F-8EAC2B608ADB}">
              <a16:predDERef xmlns:a16="http://schemas.microsoft.com/office/drawing/2014/main" pred="{E65910AD-D8F2-66C8-75CC-9481B7D1F523}"/>
            </a:ext>
          </a:extLst>
        </xdr:cNvPr>
        <xdr:cNvSpPr txBox="1"/>
      </xdr:nvSpPr>
      <xdr:spPr>
        <a:xfrm>
          <a:off x="219075" y="11058525"/>
          <a:ext cx="3886200" cy="723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a:solidFill>
                <a:srgbClr val="FF0000"/>
              </a:solidFill>
              <a:latin typeface="+mn-lt"/>
              <a:ea typeface="+mn-lt"/>
              <a:cs typeface="+mn-lt"/>
            </a:rPr>
            <a:t>指摘</a:t>
          </a:r>
          <a:r>
            <a:rPr lang="en-US" sz="1100">
              <a:solidFill>
                <a:srgbClr val="FF0000"/>
              </a:solidFill>
              <a:latin typeface="+mn-lt"/>
              <a:ea typeface="+mn-lt"/>
              <a:cs typeface="+mn-lt"/>
            </a:rPr>
            <a:t>ＣＰ　2022/10/18 </a:t>
          </a:r>
          <a:r>
            <a:rPr lang="ja-JP" altLang="en-US" sz="1100">
              <a:solidFill>
                <a:srgbClr val="FF0000"/>
              </a:solidFill>
              <a:latin typeface="+mn-lt"/>
              <a:ea typeface="+mn-lt"/>
              <a:cs typeface="+mn-lt"/>
            </a:rPr>
            <a:t>玉置　</a:t>
          </a:r>
          <a:r>
            <a:rPr lang="en-US" sz="1100">
              <a:solidFill>
                <a:srgbClr val="FF0000"/>
              </a:solidFill>
              <a:latin typeface="+mn-lt"/>
              <a:ea typeface="+mn-lt"/>
              <a:cs typeface="+mn-lt"/>
            </a:rPr>
            <a:t>NO</a:t>
          </a:r>
          <a:r>
            <a:rPr lang="ja-JP" altLang="en-US" sz="1100">
              <a:solidFill>
                <a:srgbClr val="FF0000"/>
              </a:solidFill>
              <a:latin typeface="+mn-lt"/>
              <a:ea typeface="+mn-lt"/>
              <a:cs typeface="+mn-lt"/>
            </a:rPr>
            <a:t>では無く行</a:t>
          </a:r>
          <a:r>
            <a:rPr lang="en-US" sz="1100">
              <a:solidFill>
                <a:srgbClr val="FF0000"/>
              </a:solidFill>
              <a:latin typeface="+mn-lt"/>
              <a:ea typeface="+mn-lt"/>
              <a:cs typeface="+mn-lt"/>
            </a:rPr>
            <a:t>ＮＯ</a:t>
          </a:r>
          <a:r>
            <a:rPr lang="ja-JP" altLang="en-US" sz="1100">
              <a:solidFill>
                <a:srgbClr val="FF0000"/>
              </a:solidFill>
              <a:latin typeface="+mn-lt"/>
              <a:ea typeface="+mn-lt"/>
              <a:cs typeface="+mn-lt"/>
            </a:rPr>
            <a:t>とするのは難しいでしょうか？　（他の</a:t>
          </a:r>
          <a:r>
            <a:rPr lang="en-US" sz="1100">
              <a:solidFill>
                <a:srgbClr val="FF0000"/>
              </a:solidFill>
              <a:latin typeface="+mn-lt"/>
              <a:ea typeface="+mn-lt"/>
              <a:cs typeface="+mn-lt"/>
            </a:rPr>
            <a:t>ＮＯ</a:t>
          </a:r>
          <a:r>
            <a:rPr lang="ja-JP" altLang="en-US" sz="1100">
              <a:solidFill>
                <a:srgbClr val="FF0000"/>
              </a:solidFill>
              <a:latin typeface="+mn-lt"/>
              <a:ea typeface="+mn-lt"/>
              <a:cs typeface="+mn-lt"/>
            </a:rPr>
            <a:t>との区別）</a:t>
          </a:r>
        </a:p>
      </xdr:txBody>
    </xdr:sp>
    <xdr:clientData/>
  </xdr:twoCellAnchor>
  <xdr:oneCellAnchor>
    <xdr:from>
      <xdr:col>14</xdr:col>
      <xdr:colOff>50940</xdr:colOff>
      <xdr:row>22</xdr:row>
      <xdr:rowOff>150900</xdr:rowOff>
    </xdr:from>
    <xdr:ext cx="121422" cy="146538"/>
    <xdr:pic>
      <xdr:nvPicPr>
        <xdr:cNvPr id="59" name="図 95">
          <a:extLst>
            <a:ext uri="{FF2B5EF4-FFF2-40B4-BE49-F238E27FC236}">
              <a16:creationId xmlns:a16="http://schemas.microsoft.com/office/drawing/2014/main" id="{FB45A421-D96D-41D4-B6FE-3279D484EB7D}"/>
            </a:ext>
            <a:ext uri="{147F2762-F138-4A5C-976F-8EAC2B608ADB}">
              <a16:predDERef xmlns:a16="http://schemas.microsoft.com/office/drawing/2014/main" pred="{DE0660F0-322F-47F1-9CAD-34DBCF536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9785" y="359303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28575</xdr:colOff>
      <xdr:row>26</xdr:row>
      <xdr:rowOff>9525</xdr:rowOff>
    </xdr:from>
    <xdr:ext cx="121422" cy="146538"/>
    <xdr:pic>
      <xdr:nvPicPr>
        <xdr:cNvPr id="61" name="図 138">
          <a:extLst>
            <a:ext uri="{FF2B5EF4-FFF2-40B4-BE49-F238E27FC236}">
              <a16:creationId xmlns:a16="http://schemas.microsoft.com/office/drawing/2014/main" id="{486F225C-4865-4D7C-A585-FBFE812B305D}"/>
            </a:ext>
            <a:ext uri="{147F2762-F138-4A5C-976F-8EAC2B608ADB}">
              <a16:predDERef xmlns:a16="http://schemas.microsoft.com/office/drawing/2014/main" pred="{FF182C24-08AF-4E45-9785-0707487D2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147473</xdr:rowOff>
    </xdr:from>
    <xdr:ext cx="121422" cy="146538"/>
    <xdr:pic>
      <xdr:nvPicPr>
        <xdr:cNvPr id="62" name="図 63">
          <a:extLst>
            <a:ext uri="{FF2B5EF4-FFF2-40B4-BE49-F238E27FC236}">
              <a16:creationId xmlns:a16="http://schemas.microsoft.com/office/drawing/2014/main" id="{E4114A6E-E24D-44DF-BC54-53B505C4B1EE}"/>
            </a:ext>
            <a:ext uri="{147F2762-F138-4A5C-976F-8EAC2B608ADB}">
              <a16:predDERef xmlns:a16="http://schemas.microsoft.com/office/drawing/2014/main" pred="{6ABD9476-8562-4856-BF2E-375A25115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0529" y="358961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28</xdr:row>
      <xdr:rowOff>7327</xdr:rowOff>
    </xdr:from>
    <xdr:ext cx="154736" cy="144000"/>
    <xdr:pic>
      <xdr:nvPicPr>
        <xdr:cNvPr id="63" name="図 67">
          <a:extLst>
            <a:ext uri="{FF2B5EF4-FFF2-40B4-BE49-F238E27FC236}">
              <a16:creationId xmlns:a16="http://schemas.microsoft.com/office/drawing/2014/main" id="{D4F7AED8-7258-4BBC-A206-329576A4F9CA}"/>
            </a:ext>
            <a:ext uri="{147F2762-F138-4A5C-976F-8EAC2B608ADB}">
              <a16:predDERef xmlns:a16="http://schemas.microsoft.com/office/drawing/2014/main" pred="{1838CAD1-2EAA-405A-BD7A-E18EFE4EC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965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28</xdr:row>
      <xdr:rowOff>7327</xdr:rowOff>
    </xdr:from>
    <xdr:ext cx="154736" cy="144000"/>
    <xdr:pic>
      <xdr:nvPicPr>
        <xdr:cNvPr id="64" name="図 68">
          <a:extLst>
            <a:ext uri="{FF2B5EF4-FFF2-40B4-BE49-F238E27FC236}">
              <a16:creationId xmlns:a16="http://schemas.microsoft.com/office/drawing/2014/main" id="{9279285F-CC92-472E-AB36-1F770152B639}"/>
            </a:ext>
            <a:ext uri="{147F2762-F138-4A5C-976F-8EAC2B608ADB}">
              <a16:predDERef xmlns:a16="http://schemas.microsoft.com/office/drawing/2014/main" pred="{63230DE9-4034-4443-A40F-9FF6BC44E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28</xdr:row>
      <xdr:rowOff>7327</xdr:rowOff>
    </xdr:from>
    <xdr:ext cx="154736" cy="144000"/>
    <xdr:pic>
      <xdr:nvPicPr>
        <xdr:cNvPr id="65" name="図 74">
          <a:extLst>
            <a:ext uri="{FF2B5EF4-FFF2-40B4-BE49-F238E27FC236}">
              <a16:creationId xmlns:a16="http://schemas.microsoft.com/office/drawing/2014/main" id="{596BF9C3-5F39-45D6-8E91-989AF9DB153D}"/>
            </a:ext>
            <a:ext uri="{147F2762-F138-4A5C-976F-8EAC2B608ADB}">
              <a16:predDERef xmlns:a16="http://schemas.microsoft.com/office/drawing/2014/main" pred="{E4406C21-9F76-4603-8A81-54319A751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xdr:row>
      <xdr:rowOff>7327</xdr:rowOff>
    </xdr:from>
    <xdr:ext cx="154736" cy="144000"/>
    <xdr:pic>
      <xdr:nvPicPr>
        <xdr:cNvPr id="66" name="図 116">
          <a:extLst>
            <a:ext uri="{FF2B5EF4-FFF2-40B4-BE49-F238E27FC236}">
              <a16:creationId xmlns:a16="http://schemas.microsoft.com/office/drawing/2014/main" id="{2484493B-2B96-4F70-88FB-1C15071B79A3}"/>
            </a:ext>
            <a:ext uri="{147F2762-F138-4A5C-976F-8EAC2B608ADB}">
              <a16:predDERef xmlns:a16="http://schemas.microsoft.com/office/drawing/2014/main" pred="{B48690FC-4753-43C5-AF11-F0EB9FE1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31</xdr:row>
      <xdr:rowOff>9525</xdr:rowOff>
    </xdr:from>
    <xdr:ext cx="121422" cy="146538"/>
    <xdr:pic>
      <xdr:nvPicPr>
        <xdr:cNvPr id="67" name="図 139">
          <a:extLst>
            <a:ext uri="{FF2B5EF4-FFF2-40B4-BE49-F238E27FC236}">
              <a16:creationId xmlns:a16="http://schemas.microsoft.com/office/drawing/2014/main" id="{85286BBF-8CB3-43B0-94C8-D65DFAB915D7}"/>
            </a:ext>
            <a:ext uri="{147F2762-F138-4A5C-976F-8EAC2B608ADB}">
              <a16:predDERef xmlns:a16="http://schemas.microsoft.com/office/drawing/2014/main" pred="{ECEF019F-9EF6-4C5A-9B39-D3407B08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6200" y="531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7327</xdr:colOff>
      <xdr:row>31</xdr:row>
      <xdr:rowOff>7327</xdr:rowOff>
    </xdr:from>
    <xdr:ext cx="154736" cy="144000"/>
    <xdr:pic>
      <xdr:nvPicPr>
        <xdr:cNvPr id="70" name="図 128">
          <a:extLst>
            <a:ext uri="{FF2B5EF4-FFF2-40B4-BE49-F238E27FC236}">
              <a16:creationId xmlns:a16="http://schemas.microsoft.com/office/drawing/2014/main" id="{C55C67AB-B1D2-417F-9DBD-28198B4C92EA}"/>
            </a:ext>
            <a:ext uri="{147F2762-F138-4A5C-976F-8EAC2B608ADB}">
              <a16:predDERef xmlns:a16="http://schemas.microsoft.com/office/drawing/2014/main" pred="{67C11AEB-E68A-4530-A2D9-6B9035000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9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31</xdr:row>
      <xdr:rowOff>7327</xdr:rowOff>
    </xdr:from>
    <xdr:ext cx="154736" cy="144000"/>
    <xdr:pic>
      <xdr:nvPicPr>
        <xdr:cNvPr id="71" name="図 130">
          <a:extLst>
            <a:ext uri="{FF2B5EF4-FFF2-40B4-BE49-F238E27FC236}">
              <a16:creationId xmlns:a16="http://schemas.microsoft.com/office/drawing/2014/main" id="{8659DE82-1FFB-4E6E-AFCB-9D7A45C4472C}"/>
            </a:ext>
            <a:ext uri="{147F2762-F138-4A5C-976F-8EAC2B608ADB}">
              <a16:predDERef xmlns:a16="http://schemas.microsoft.com/office/drawing/2014/main" pred="{5B453E9E-6123-4BE5-92C9-BAC8210B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965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7327</xdr:colOff>
      <xdr:row>31</xdr:row>
      <xdr:rowOff>7327</xdr:rowOff>
    </xdr:from>
    <xdr:ext cx="154736" cy="144000"/>
    <xdr:pic>
      <xdr:nvPicPr>
        <xdr:cNvPr id="72" name="図 133">
          <a:extLst>
            <a:ext uri="{FF2B5EF4-FFF2-40B4-BE49-F238E27FC236}">
              <a16:creationId xmlns:a16="http://schemas.microsoft.com/office/drawing/2014/main" id="{D28FB17C-6EA0-4C49-8196-BFBB7B07076C}"/>
            </a:ext>
            <a:ext uri="{147F2762-F138-4A5C-976F-8EAC2B608ADB}">
              <a16:predDERef xmlns:a16="http://schemas.microsoft.com/office/drawing/2014/main" pred="{F14AA88A-3FBC-44AA-A777-136726DE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68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29308</xdr:colOff>
      <xdr:row>26</xdr:row>
      <xdr:rowOff>7327</xdr:rowOff>
    </xdr:from>
    <xdr:ext cx="121422" cy="146538"/>
    <xdr:pic>
      <xdr:nvPicPr>
        <xdr:cNvPr id="76" name="図 154">
          <a:extLst>
            <a:ext uri="{FF2B5EF4-FFF2-40B4-BE49-F238E27FC236}">
              <a16:creationId xmlns:a16="http://schemas.microsoft.com/office/drawing/2014/main" id="{DFD62F48-94A4-4B68-AA29-26DE96D47BEB}"/>
            </a:ext>
            <a:ext uri="{147F2762-F138-4A5C-976F-8EAC2B608ADB}">
              <a16:predDERef xmlns:a16="http://schemas.microsoft.com/office/drawing/2014/main" pred="{6C8BA3F6-5D2F-459A-8CFB-04878AB1C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76058"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66</xdr:col>
      <xdr:colOff>29308</xdr:colOff>
      <xdr:row>26</xdr:row>
      <xdr:rowOff>7327</xdr:rowOff>
    </xdr:from>
    <xdr:ext cx="121422" cy="146538"/>
    <xdr:pic>
      <xdr:nvPicPr>
        <xdr:cNvPr id="77" name="図 155">
          <a:extLst>
            <a:ext uri="{FF2B5EF4-FFF2-40B4-BE49-F238E27FC236}">
              <a16:creationId xmlns:a16="http://schemas.microsoft.com/office/drawing/2014/main" id="{93E46956-E719-4871-8262-61EC657F17D1}"/>
            </a:ext>
            <a:ext uri="{147F2762-F138-4A5C-976F-8EAC2B608ADB}">
              <a16:predDERef xmlns:a16="http://schemas.microsoft.com/office/drawing/2014/main" pred="{FC62408F-B28A-40D4-9096-751D8B637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76208"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52</xdr:col>
      <xdr:colOff>28575</xdr:colOff>
      <xdr:row>25</xdr:row>
      <xdr:rowOff>133350</xdr:rowOff>
    </xdr:from>
    <xdr:to>
      <xdr:col>52</xdr:col>
      <xdr:colOff>149997</xdr:colOff>
      <xdr:row>26</xdr:row>
      <xdr:rowOff>127488</xdr:rowOff>
    </xdr:to>
    <xdr:pic>
      <xdr:nvPicPr>
        <xdr:cNvPr id="78" name="図 77">
          <a:extLst>
            <a:ext uri="{FF2B5EF4-FFF2-40B4-BE49-F238E27FC236}">
              <a16:creationId xmlns:a16="http://schemas.microsoft.com/office/drawing/2014/main" id="{A0C3EE4D-BA22-4FA7-AE9F-E48926B5DFF8}"/>
            </a:ext>
            <a:ext uri="{147F2762-F138-4A5C-976F-8EAC2B608ADB}">
              <a16:predDERef xmlns:a16="http://schemas.microsoft.com/office/drawing/2014/main" pred="{72A6C6B0-FF53-439D-B760-C39506586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75175" y="45243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65</xdr:col>
      <xdr:colOff>7327</xdr:colOff>
      <xdr:row>31</xdr:row>
      <xdr:rowOff>7327</xdr:rowOff>
    </xdr:from>
    <xdr:ext cx="154736" cy="144000"/>
    <xdr:pic>
      <xdr:nvPicPr>
        <xdr:cNvPr id="79" name="図 78">
          <a:extLst>
            <a:ext uri="{FF2B5EF4-FFF2-40B4-BE49-F238E27FC236}">
              <a16:creationId xmlns:a16="http://schemas.microsoft.com/office/drawing/2014/main" id="{93AF7CDB-7F39-41FE-A640-93097776F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61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41</xdr:row>
      <xdr:rowOff>9525</xdr:rowOff>
    </xdr:from>
    <xdr:ext cx="121422" cy="146538"/>
    <xdr:pic>
      <xdr:nvPicPr>
        <xdr:cNvPr id="80" name="図 118">
          <a:extLst>
            <a:ext uri="{FF2B5EF4-FFF2-40B4-BE49-F238E27FC236}">
              <a16:creationId xmlns:a16="http://schemas.microsoft.com/office/drawing/2014/main" id="{B2EFC2AE-8FD4-4898-8A07-2B3FF54BA449}"/>
            </a:ext>
            <a:ext uri="{147F2762-F138-4A5C-976F-8EAC2B608ADB}">
              <a16:predDERef xmlns:a16="http://schemas.microsoft.com/office/drawing/2014/main" pred="{E0C3FE04-D030-4ADB-9624-F4F38FBA2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12950" y="683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39</xdr:row>
      <xdr:rowOff>9525</xdr:rowOff>
    </xdr:from>
    <xdr:ext cx="121422" cy="146538"/>
    <xdr:pic>
      <xdr:nvPicPr>
        <xdr:cNvPr id="81" name="図 119">
          <a:extLst>
            <a:ext uri="{FF2B5EF4-FFF2-40B4-BE49-F238E27FC236}">
              <a16:creationId xmlns:a16="http://schemas.microsoft.com/office/drawing/2014/main" id="{F0F5BF7B-1709-455E-ACDC-7057BB538822}"/>
            </a:ext>
            <a:ext uri="{147F2762-F138-4A5C-976F-8EAC2B608ADB}">
              <a16:predDERef xmlns:a16="http://schemas.microsoft.com/office/drawing/2014/main" pred="{2F5286A9-82DE-4162-8189-7CB8473C6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98150" y="653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82" name="図 128">
          <a:extLst>
            <a:ext uri="{FF2B5EF4-FFF2-40B4-BE49-F238E27FC236}">
              <a16:creationId xmlns:a16="http://schemas.microsoft.com/office/drawing/2014/main" id="{F7E70324-14A8-42C3-8403-A4A0358FAED0}"/>
            </a:ext>
            <a:ext uri="{147F2762-F138-4A5C-976F-8EAC2B608ADB}">
              <a16:predDERef xmlns:a16="http://schemas.microsoft.com/office/drawing/2014/main" pred="{2606BB74-0D93-4852-BEBB-9EA4BE085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6737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36</xdr:row>
      <xdr:rowOff>7327</xdr:rowOff>
    </xdr:from>
    <xdr:ext cx="154736" cy="144000"/>
    <xdr:pic>
      <xdr:nvPicPr>
        <xdr:cNvPr id="83" name="図 129">
          <a:extLst>
            <a:ext uri="{FF2B5EF4-FFF2-40B4-BE49-F238E27FC236}">
              <a16:creationId xmlns:a16="http://schemas.microsoft.com/office/drawing/2014/main" id="{EB96A174-BE58-48BF-8078-E712DE997859}"/>
            </a:ext>
            <a:ext uri="{147F2762-F138-4A5C-976F-8EAC2B608ADB}">
              <a16:predDERef xmlns:a16="http://schemas.microsoft.com/office/drawing/2014/main" pred="{497ADF65-D2C1-43DA-B452-5298794D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6737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84" name="図 130">
          <a:extLst>
            <a:ext uri="{FF2B5EF4-FFF2-40B4-BE49-F238E27FC236}">
              <a16:creationId xmlns:a16="http://schemas.microsoft.com/office/drawing/2014/main" id="{BC2235A0-5B45-414D-93BC-B84DB6F401C0}"/>
            </a:ext>
            <a:ext uri="{147F2762-F138-4A5C-976F-8EAC2B608ADB}">
              <a16:predDERef xmlns:a16="http://schemas.microsoft.com/office/drawing/2014/main" pred="{2B71EC09-92FC-4670-9D87-34890A198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36</xdr:row>
      <xdr:rowOff>7327</xdr:rowOff>
    </xdr:from>
    <xdr:ext cx="154736" cy="144000"/>
    <xdr:pic>
      <xdr:nvPicPr>
        <xdr:cNvPr id="85" name="図 131">
          <a:extLst>
            <a:ext uri="{FF2B5EF4-FFF2-40B4-BE49-F238E27FC236}">
              <a16:creationId xmlns:a16="http://schemas.microsoft.com/office/drawing/2014/main" id="{89FB47A5-107A-468C-8AC4-62EE24EA3F57}"/>
            </a:ext>
            <a:ext uri="{147F2762-F138-4A5C-976F-8EAC2B608ADB}">
              <a16:predDERef xmlns:a16="http://schemas.microsoft.com/office/drawing/2014/main" pred="{ACEF53A2-17C4-470D-883A-4CC187959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86" name="図 132">
          <a:extLst>
            <a:ext uri="{FF2B5EF4-FFF2-40B4-BE49-F238E27FC236}">
              <a16:creationId xmlns:a16="http://schemas.microsoft.com/office/drawing/2014/main" id="{95B17D23-964B-4DC3-A9B6-547ECAACFDCE}"/>
            </a:ext>
            <a:ext uri="{147F2762-F138-4A5C-976F-8EAC2B608ADB}">
              <a16:predDERef xmlns:a16="http://schemas.microsoft.com/office/drawing/2014/main" pred="{ADF093BD-C0C9-4607-9C5F-862449C6E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87" name="図 133">
          <a:extLst>
            <a:ext uri="{FF2B5EF4-FFF2-40B4-BE49-F238E27FC236}">
              <a16:creationId xmlns:a16="http://schemas.microsoft.com/office/drawing/2014/main" id="{F7EF5BB9-792C-4950-9DFC-99401D1C1316}"/>
            </a:ext>
            <a:ext uri="{147F2762-F138-4A5C-976F-8EAC2B608ADB}">
              <a16:predDERef xmlns:a16="http://schemas.microsoft.com/office/drawing/2014/main" pred="{68731F42-59F1-4FA0-90D7-CE0E3679C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36</xdr:row>
      <xdr:rowOff>7327</xdr:rowOff>
    </xdr:from>
    <xdr:ext cx="154736" cy="144000"/>
    <xdr:pic>
      <xdr:nvPicPr>
        <xdr:cNvPr id="94" name="図 134">
          <a:extLst>
            <a:ext uri="{FF2B5EF4-FFF2-40B4-BE49-F238E27FC236}">
              <a16:creationId xmlns:a16="http://schemas.microsoft.com/office/drawing/2014/main" id="{8B9AB4BE-3A54-4770-B309-DE664408B6BF}"/>
            </a:ext>
            <a:ext uri="{147F2762-F138-4A5C-976F-8EAC2B608ADB}">
              <a16:predDERef xmlns:a16="http://schemas.microsoft.com/office/drawing/2014/main" pred="{4890269B-D256-47E5-9B57-58E41015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99" name="図 135">
          <a:extLst>
            <a:ext uri="{FF2B5EF4-FFF2-40B4-BE49-F238E27FC236}">
              <a16:creationId xmlns:a16="http://schemas.microsoft.com/office/drawing/2014/main" id="{A0D1FAE8-9960-43C6-9786-B07F266F46D2}"/>
            </a:ext>
            <a:ext uri="{147F2762-F138-4A5C-976F-8EAC2B608ADB}">
              <a16:predDERef xmlns:a16="http://schemas.microsoft.com/office/drawing/2014/main" pred="{2FE7D3DD-94FA-4885-8CF5-1818F57DB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12105</xdr:colOff>
      <xdr:row>37</xdr:row>
      <xdr:rowOff>5416</xdr:rowOff>
    </xdr:from>
    <xdr:ext cx="154736" cy="144000"/>
    <xdr:pic>
      <xdr:nvPicPr>
        <xdr:cNvPr id="101" name="図 136">
          <a:extLst>
            <a:ext uri="{FF2B5EF4-FFF2-40B4-BE49-F238E27FC236}">
              <a16:creationId xmlns:a16="http://schemas.microsoft.com/office/drawing/2014/main" id="{2D593A79-0525-48B6-A0EA-1315220FDCFC}"/>
            </a:ext>
            <a:ext uri="{147F2762-F138-4A5C-976F-8EAC2B608ADB}">
              <a16:predDERef xmlns:a16="http://schemas.microsoft.com/office/drawing/2014/main" pred="{47C080AF-1459-482F-A34A-A61DC0081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72155" y="622524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41</xdr:row>
      <xdr:rowOff>0</xdr:rowOff>
    </xdr:from>
    <xdr:ext cx="121422" cy="146538"/>
    <xdr:pic>
      <xdr:nvPicPr>
        <xdr:cNvPr id="103" name="図 140">
          <a:extLst>
            <a:ext uri="{FF2B5EF4-FFF2-40B4-BE49-F238E27FC236}">
              <a16:creationId xmlns:a16="http://schemas.microsoft.com/office/drawing/2014/main" id="{DE112B33-A646-4A12-99E1-F4B55A579505}"/>
            </a:ext>
            <a:ext uri="{147F2762-F138-4A5C-976F-8EAC2B608ADB}">
              <a16:predDERef xmlns:a16="http://schemas.microsoft.com/office/drawing/2014/main" pred="{AEFF81C2-3487-4B79-99E5-752B4B49DE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60808" y="682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41</xdr:row>
      <xdr:rowOff>0</xdr:rowOff>
    </xdr:from>
    <xdr:ext cx="121422" cy="146538"/>
    <xdr:pic>
      <xdr:nvPicPr>
        <xdr:cNvPr id="109" name="図 141">
          <a:extLst>
            <a:ext uri="{FF2B5EF4-FFF2-40B4-BE49-F238E27FC236}">
              <a16:creationId xmlns:a16="http://schemas.microsoft.com/office/drawing/2014/main" id="{8C629D0B-459F-4D0D-9C67-621559B62E10}"/>
            </a:ext>
            <a:ext uri="{147F2762-F138-4A5C-976F-8EAC2B608ADB}">
              <a16:predDERef xmlns:a16="http://schemas.microsoft.com/office/drawing/2014/main" pred="{3716D3B6-3B4B-4C71-96D8-772DC2482B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60808" y="682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41</xdr:row>
      <xdr:rowOff>7327</xdr:rowOff>
    </xdr:from>
    <xdr:ext cx="121422" cy="146538"/>
    <xdr:pic>
      <xdr:nvPicPr>
        <xdr:cNvPr id="110" name="図 143">
          <a:extLst>
            <a:ext uri="{FF2B5EF4-FFF2-40B4-BE49-F238E27FC236}">
              <a16:creationId xmlns:a16="http://schemas.microsoft.com/office/drawing/2014/main" id="{23BFDEDF-723D-4BBE-A676-AC8C0B7829B6}"/>
            </a:ext>
            <a:ext uri="{147F2762-F138-4A5C-976F-8EAC2B608ADB}">
              <a16:predDERef xmlns:a16="http://schemas.microsoft.com/office/drawing/2014/main" pred="{58BB86B6-2C72-4EB8-94BB-1BD0E4376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518208" y="6836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9525</xdr:colOff>
      <xdr:row>34</xdr:row>
      <xdr:rowOff>9525</xdr:rowOff>
    </xdr:from>
    <xdr:to>
      <xdr:col>76</xdr:col>
      <xdr:colOff>66674</xdr:colOff>
      <xdr:row>48</xdr:row>
      <xdr:rowOff>19050</xdr:rowOff>
    </xdr:to>
    <xdr:sp macro="" textlink="">
      <xdr:nvSpPr>
        <xdr:cNvPr id="115" name="右中かっこ 114">
          <a:extLst>
            <a:ext uri="{FF2B5EF4-FFF2-40B4-BE49-F238E27FC236}">
              <a16:creationId xmlns:a16="http://schemas.microsoft.com/office/drawing/2014/main" id="{7E2B8A06-E7C6-458A-AC00-840F2A3D9FBF}"/>
            </a:ext>
          </a:extLst>
        </xdr:cNvPr>
        <xdr:cNvSpPr/>
      </xdr:nvSpPr>
      <xdr:spPr bwMode="auto">
        <a:xfrm>
          <a:off x="13077825" y="5314950"/>
          <a:ext cx="228599" cy="2143125"/>
        </a:xfrm>
        <a:prstGeom prst="rightBrace">
          <a:avLst>
            <a:gd name="adj1" fmla="val 83333"/>
            <a:gd name="adj2" fmla="val 23791"/>
          </a:avLst>
        </a:prstGeom>
        <a:ln>
          <a:headEnd type="none" w="med" len="med"/>
          <a:tailEnd type="none" w="med" len="med"/>
        </a:ln>
      </xdr:spPr>
      <xdr:style>
        <a:lnRef idx="1">
          <a:schemeClr val="accent6"/>
        </a:lnRef>
        <a:fillRef idx="0">
          <a:schemeClr val="accent6"/>
        </a:fillRef>
        <a:effectRef idx="0">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57</xdr:col>
      <xdr:colOff>7327</xdr:colOff>
      <xdr:row>36</xdr:row>
      <xdr:rowOff>7327</xdr:rowOff>
    </xdr:from>
    <xdr:ext cx="154736" cy="144000"/>
    <xdr:pic>
      <xdr:nvPicPr>
        <xdr:cNvPr id="68" name="図 67">
          <a:extLst>
            <a:ext uri="{FF2B5EF4-FFF2-40B4-BE49-F238E27FC236}">
              <a16:creationId xmlns:a16="http://schemas.microsoft.com/office/drawing/2014/main" id="{E28959DC-8D63-4642-ADAA-AB83B5F74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11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7327</xdr:colOff>
      <xdr:row>37</xdr:row>
      <xdr:rowOff>7327</xdr:rowOff>
    </xdr:from>
    <xdr:ext cx="154736" cy="144000"/>
    <xdr:pic>
      <xdr:nvPicPr>
        <xdr:cNvPr id="69" name="図 68">
          <a:extLst>
            <a:ext uri="{FF2B5EF4-FFF2-40B4-BE49-F238E27FC236}">
              <a16:creationId xmlns:a16="http://schemas.microsoft.com/office/drawing/2014/main" id="{1B6EF454-DAE9-4A7F-904C-E77439A9B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98</xdr:row>
      <xdr:rowOff>0</xdr:rowOff>
    </xdr:from>
    <xdr:to>
      <xdr:col>1</xdr:col>
      <xdr:colOff>5024</xdr:colOff>
      <xdr:row>98</xdr:row>
      <xdr:rowOff>152381</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98</xdr:row>
      <xdr:rowOff>0</xdr:rowOff>
    </xdr:from>
    <xdr:to>
      <xdr:col>0</xdr:col>
      <xdr:colOff>144762</xdr:colOff>
      <xdr:row>98</xdr:row>
      <xdr:rowOff>160000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twoCellAnchor editAs="oneCell">
    <xdr:from>
      <xdr:col>0</xdr:col>
      <xdr:colOff>9525</xdr:colOff>
      <xdr:row>95</xdr:row>
      <xdr:rowOff>28575</xdr:rowOff>
    </xdr:from>
    <xdr:to>
      <xdr:col>1</xdr:col>
      <xdr:colOff>5024</xdr:colOff>
      <xdr:row>95</xdr:row>
      <xdr:rowOff>180956</xdr:rowOff>
    </xdr:to>
    <xdr:pic>
      <xdr:nvPicPr>
        <xdr:cNvPr id="6" name="図 5">
          <a:extLst>
            <a:ext uri="{FF2B5EF4-FFF2-40B4-BE49-F238E27FC236}">
              <a16:creationId xmlns:a16="http://schemas.microsoft.com/office/drawing/2014/main" id="{3C5DDAEB-1BF1-4046-8CD2-1FE31131889A}"/>
            </a:ext>
          </a:extLst>
        </xdr:cNvPr>
        <xdr:cNvPicPr>
          <a:picLocks noChangeAspect="1"/>
        </xdr:cNvPicPr>
      </xdr:nvPicPr>
      <xdr:blipFill>
        <a:blip xmlns:r="http://schemas.openxmlformats.org/officeDocument/2006/relationships" r:embed="rId1"/>
        <a:stretch>
          <a:fillRect/>
        </a:stretch>
      </xdr:blipFill>
      <xdr:spPr>
        <a:xfrm>
          <a:off x="9525" y="15278100"/>
          <a:ext cx="157424" cy="152381"/>
        </a:xfrm>
        <a:prstGeom prst="rect">
          <a:avLst/>
        </a:prstGeom>
      </xdr:spPr>
    </xdr:pic>
    <xdr:clientData/>
  </xdr:twoCellAnchor>
  <xdr:twoCellAnchor editAs="oneCell">
    <xdr:from>
      <xdr:col>0</xdr:col>
      <xdr:colOff>9525</xdr:colOff>
      <xdr:row>96</xdr:row>
      <xdr:rowOff>39781</xdr:rowOff>
    </xdr:from>
    <xdr:to>
      <xdr:col>0</xdr:col>
      <xdr:colOff>146032</xdr:colOff>
      <xdr:row>97</xdr:row>
      <xdr:rowOff>1660</xdr:rowOff>
    </xdr:to>
    <xdr:pic>
      <xdr:nvPicPr>
        <xdr:cNvPr id="7" name="図 6">
          <a:extLst>
            <a:ext uri="{FF2B5EF4-FFF2-40B4-BE49-F238E27FC236}">
              <a16:creationId xmlns:a16="http://schemas.microsoft.com/office/drawing/2014/main" id="{CE8C5E95-907A-41D6-BB73-A97F4DA2B79E}"/>
            </a:ext>
          </a:extLst>
        </xdr:cNvPr>
        <xdr:cNvPicPr>
          <a:picLocks noChangeAspect="1"/>
        </xdr:cNvPicPr>
      </xdr:nvPicPr>
      <xdr:blipFill>
        <a:blip xmlns:r="http://schemas.openxmlformats.org/officeDocument/2006/relationships" r:embed="rId2"/>
        <a:stretch>
          <a:fillRect/>
        </a:stretch>
      </xdr:blipFill>
      <xdr:spPr>
        <a:xfrm>
          <a:off x="9525" y="15489331"/>
          <a:ext cx="136507" cy="1619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66</xdr:col>
      <xdr:colOff>28575</xdr:colOff>
      <xdr:row>46</xdr:row>
      <xdr:rowOff>76200</xdr:rowOff>
    </xdr:from>
    <xdr:to>
      <xdr:col>109</xdr:col>
      <xdr:colOff>95250</xdr:colOff>
      <xdr:row>48</xdr:row>
      <xdr:rowOff>83240</xdr:rowOff>
    </xdr:to>
    <xdr:sp macro="" textlink="">
      <xdr:nvSpPr>
        <xdr:cNvPr id="2" name="テキスト ボックス 1">
          <a:extLst>
            <a:ext uri="{FF2B5EF4-FFF2-40B4-BE49-F238E27FC236}">
              <a16:creationId xmlns:a16="http://schemas.microsoft.com/office/drawing/2014/main" id="{04F5347B-A860-4414-9F88-EA553FC7BB14}"/>
            </a:ext>
            <a:ext uri="{147F2762-F138-4A5C-976F-8EAC2B608ADB}">
              <a16:predDERef xmlns:a16="http://schemas.microsoft.com/office/drawing/2014/main" pred="{DE0660F0-322F-47F1-9CAD-34DBCF5368B5}"/>
            </a:ext>
          </a:extLst>
        </xdr:cNvPr>
        <xdr:cNvSpPr txBox="1"/>
      </xdr:nvSpPr>
      <xdr:spPr>
        <a:xfrm>
          <a:off x="14763750" y="8562975"/>
          <a:ext cx="7029450" cy="40709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木崎さんの指摘同上 行の右端に詳細画面表示ボタンでいいのでは？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5" name="Text Box 56">
          <a:extLst>
            <a:ext uri="{FF2B5EF4-FFF2-40B4-BE49-F238E27FC236}">
              <a16:creationId xmlns:a16="http://schemas.microsoft.com/office/drawing/2014/main" id="{79459E2E-BD93-4EA3-B918-836A1623E6DD}"/>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D60958A3-0573-476F-84D0-D6AF3BEE0C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3" name="直線矢印コネクタ 2">
          <a:extLst>
            <a:ext uri="{FF2B5EF4-FFF2-40B4-BE49-F238E27FC236}">
              <a16:creationId xmlns:a16="http://schemas.microsoft.com/office/drawing/2014/main" id="{53F5EF18-9108-4BFF-9E81-08F67280B64E}"/>
            </a:ext>
          </a:extLst>
        </xdr:cNvPr>
        <xdr:cNvCxnSpPr>
          <a:cxnSpLocks/>
          <a:stCxn id="2" idx="3"/>
          <a:endCxn id="4" idx="1"/>
        </xdr:cNvCxnSpPr>
      </xdr:nvCxnSpPr>
      <xdr:spPr bwMode="auto">
        <a:xfrm>
          <a:off x="3417862" y="250702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4" name="Picture 20">
          <a:extLst>
            <a:ext uri="{FF2B5EF4-FFF2-40B4-BE49-F238E27FC236}">
              <a16:creationId xmlns:a16="http://schemas.microsoft.com/office/drawing/2014/main" id="{3A92080B-58A6-4C3F-B1AF-AA61F82171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1175" y="22860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8C035C43-2351-4129-ACDD-1668735A0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86C5DF57-D80A-4448-B1F1-9FB9387920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094E30CD-8249-4CAB-8068-0026FEDBB489}"/>
            </a:ext>
          </a:extLst>
        </xdr:cNvPr>
        <xdr:cNvCxnSpPr>
          <a:stCxn id="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679B41DB-DE58-4C53-A91C-069A09833034}"/>
            </a:ext>
          </a:extLst>
        </xdr:cNvPr>
        <xdr:cNvCxnSpPr>
          <a:stCxn id="5"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21</xdr:row>
      <xdr:rowOff>0</xdr:rowOff>
    </xdr:from>
    <xdr:to>
      <xdr:col>6</xdr:col>
      <xdr:colOff>26962</xdr:colOff>
      <xdr:row>23</xdr:row>
      <xdr:rowOff>42007</xdr:rowOff>
    </xdr:to>
    <xdr:pic>
      <xdr:nvPicPr>
        <xdr:cNvPr id="9" name="Picture 20">
          <a:extLst>
            <a:ext uri="{FF2B5EF4-FFF2-40B4-BE49-F238E27FC236}">
              <a16:creationId xmlns:a16="http://schemas.microsoft.com/office/drawing/2014/main" id="{08BA993C-D51C-472B-964F-8DBB14083B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22</xdr:row>
      <xdr:rowOff>21004</xdr:rowOff>
    </xdr:to>
    <xdr:cxnSp macro="">
      <xdr:nvCxnSpPr>
        <xdr:cNvPr id="10" name="直線矢印コネクタ 9">
          <a:extLst>
            <a:ext uri="{FF2B5EF4-FFF2-40B4-BE49-F238E27FC236}">
              <a16:creationId xmlns:a16="http://schemas.microsoft.com/office/drawing/2014/main" id="{FADCC362-7577-4B57-A832-70FE32080A0A}"/>
            </a:ext>
          </a:extLst>
        </xdr:cNvPr>
        <xdr:cNvCxnSpPr>
          <a:cxnSpLocks/>
          <a:stCxn id="9" idx="3"/>
          <a:endCxn id="2" idx="1"/>
        </xdr:cNvCxnSpPr>
      </xdr:nvCxnSpPr>
      <xdr:spPr bwMode="auto">
        <a:xfrm flipV="1">
          <a:off x="1084237" y="2507029"/>
          <a:ext cx="1754213"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s://crown-grp.backlog.com/alias/file/2738394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49"/>
  </cols>
  <sheetData>
    <row r="1" spans="1:48">
      <c r="A1" s="149" t="s">
        <v>0</v>
      </c>
    </row>
    <row r="3" spans="1:48">
      <c r="C3" s="149" t="s">
        <v>1</v>
      </c>
    </row>
    <row r="4" spans="1:48">
      <c r="D4" s="149" t="s">
        <v>2</v>
      </c>
    </row>
    <row r="5" spans="1:48">
      <c r="D5" s="149" t="s">
        <v>3</v>
      </c>
    </row>
    <row r="7" spans="1:48">
      <c r="C7" s="149" t="s">
        <v>4</v>
      </c>
    </row>
    <row r="8" spans="1:48">
      <c r="D8" s="149" t="s">
        <v>5</v>
      </c>
    </row>
    <row r="9" spans="1:48">
      <c r="D9" s="149" t="s">
        <v>6</v>
      </c>
    </row>
    <row r="10" spans="1:48">
      <c r="B10" s="150"/>
      <c r="C10" s="151"/>
      <c r="D10" s="150"/>
      <c r="E10" s="150"/>
      <c r="F10" s="150"/>
      <c r="G10" s="151"/>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0"/>
      <c r="AT10" s="150"/>
      <c r="AU10" s="150"/>
    </row>
    <row r="11" spans="1:48">
      <c r="B11" s="150"/>
      <c r="C11" s="151"/>
      <c r="D11" s="150"/>
      <c r="E11" s="150"/>
      <c r="F11" s="150"/>
      <c r="G11" s="151"/>
      <c r="H11" s="151"/>
      <c r="I11" s="151"/>
      <c r="J11" s="151"/>
      <c r="K11" s="151"/>
      <c r="L11" s="151"/>
      <c r="M11" s="151"/>
      <c r="N11" s="151"/>
      <c r="O11" s="151"/>
      <c r="P11" s="151"/>
      <c r="Q11" s="151"/>
      <c r="R11" s="151"/>
      <c r="S11" s="151"/>
      <c r="T11" s="151"/>
      <c r="U11" s="444" t="s">
        <v>7</v>
      </c>
      <c r="V11" s="408"/>
      <c r="W11" s="409" t="s">
        <v>8</v>
      </c>
      <c r="X11" s="409" t="s">
        <v>9</v>
      </c>
      <c r="Y11" s="409"/>
      <c r="Z11" s="409"/>
      <c r="AA11" s="409"/>
      <c r="AB11" s="409"/>
      <c r="AC11" s="409"/>
      <c r="AD11" s="409"/>
      <c r="AE11" s="409"/>
      <c r="AF11" s="409"/>
      <c r="AG11" s="409"/>
      <c r="AH11" s="409"/>
      <c r="AI11" s="409"/>
      <c r="AJ11" s="409"/>
      <c r="AK11" s="409"/>
      <c r="AL11" s="408"/>
      <c r="AM11" s="408"/>
      <c r="AN11" s="408"/>
      <c r="AO11" s="408"/>
      <c r="AP11" s="408"/>
      <c r="AQ11" s="408"/>
      <c r="AR11" s="408"/>
      <c r="AS11" s="408"/>
      <c r="AT11" s="408"/>
      <c r="AU11" s="408"/>
      <c r="AV11" s="410"/>
    </row>
    <row r="12" spans="1:48">
      <c r="B12" s="150"/>
      <c r="C12" s="152"/>
      <c r="D12" s="150"/>
      <c r="E12" s="150"/>
      <c r="F12" s="150"/>
      <c r="G12" s="151"/>
      <c r="H12" s="151"/>
      <c r="I12" s="151"/>
      <c r="J12" s="151"/>
      <c r="K12" s="151"/>
      <c r="L12" s="151"/>
      <c r="M12" s="151"/>
      <c r="N12" s="151"/>
      <c r="O12" s="151"/>
      <c r="P12" s="151"/>
      <c r="Q12" s="151"/>
      <c r="R12" s="151"/>
      <c r="S12" s="151"/>
      <c r="T12" s="151"/>
      <c r="U12" s="153" t="s">
        <v>10</v>
      </c>
      <c r="V12" s="150"/>
      <c r="W12" s="151" t="s">
        <v>8</v>
      </c>
      <c r="X12" s="151" t="s">
        <v>11</v>
      </c>
      <c r="Y12" s="151"/>
      <c r="Z12" s="151"/>
      <c r="AA12" s="151"/>
      <c r="AB12" s="151"/>
      <c r="AC12" s="151"/>
      <c r="AD12" s="151"/>
      <c r="AE12" s="151"/>
      <c r="AF12" s="151"/>
      <c r="AG12" s="151"/>
      <c r="AH12" s="151"/>
      <c r="AI12" s="151"/>
      <c r="AJ12" s="151"/>
      <c r="AK12" s="151"/>
      <c r="AL12" s="150"/>
      <c r="AM12" s="150"/>
      <c r="AN12" s="150"/>
      <c r="AO12" s="150"/>
      <c r="AP12" s="150"/>
      <c r="AQ12" s="150"/>
      <c r="AR12" s="150"/>
      <c r="AS12" s="150"/>
      <c r="AT12" s="150"/>
      <c r="AU12" s="150"/>
      <c r="AV12" s="154"/>
    </row>
    <row r="13" spans="1:48">
      <c r="B13" s="150"/>
      <c r="C13" s="151"/>
      <c r="D13" s="150"/>
      <c r="E13" s="150"/>
      <c r="F13" s="150"/>
      <c r="G13" s="151"/>
      <c r="H13" s="151"/>
      <c r="I13" s="151"/>
      <c r="J13" s="151"/>
      <c r="K13" s="151"/>
      <c r="L13" s="151"/>
      <c r="M13" s="151"/>
      <c r="N13" s="151"/>
      <c r="O13" s="151"/>
      <c r="P13" s="151"/>
      <c r="Q13" s="151"/>
      <c r="R13" s="151"/>
      <c r="S13" s="151"/>
      <c r="T13" s="151"/>
      <c r="U13" s="153" t="s">
        <v>12</v>
      </c>
      <c r="V13" s="150"/>
      <c r="W13" s="151" t="s">
        <v>8</v>
      </c>
      <c r="X13" s="151" t="s">
        <v>13</v>
      </c>
      <c r="Y13" s="151"/>
      <c r="Z13" s="151"/>
      <c r="AA13" s="151"/>
      <c r="AB13" s="151"/>
      <c r="AC13" s="151"/>
      <c r="AD13" s="151"/>
      <c r="AE13" s="151"/>
      <c r="AF13" s="151"/>
      <c r="AG13" s="151"/>
      <c r="AH13" s="151"/>
      <c r="AI13" s="151"/>
      <c r="AJ13" s="151"/>
      <c r="AK13" s="151"/>
      <c r="AL13" s="150"/>
      <c r="AM13" s="150"/>
      <c r="AN13" s="150"/>
      <c r="AO13" s="150"/>
      <c r="AP13" s="150"/>
      <c r="AQ13" s="150"/>
      <c r="AR13" s="150"/>
      <c r="AS13" s="150"/>
      <c r="AT13" s="150"/>
      <c r="AU13" s="150"/>
      <c r="AV13" s="154"/>
    </row>
    <row r="14" spans="1:48">
      <c r="B14" s="150"/>
      <c r="C14" s="155"/>
      <c r="D14" s="151"/>
      <c r="E14" s="151"/>
      <c r="F14" s="151"/>
      <c r="G14" s="151"/>
      <c r="H14" s="151"/>
      <c r="I14" s="151"/>
      <c r="J14" s="151"/>
      <c r="K14" s="151"/>
      <c r="L14" s="151"/>
      <c r="M14" s="151"/>
      <c r="N14" s="151"/>
      <c r="O14" s="151"/>
      <c r="P14" s="151"/>
      <c r="Q14" s="151"/>
      <c r="R14" s="151"/>
      <c r="S14" s="151"/>
      <c r="T14" s="151"/>
      <c r="U14" s="153" t="s">
        <v>14</v>
      </c>
      <c r="V14" s="150"/>
      <c r="W14" s="151" t="s">
        <v>8</v>
      </c>
      <c r="X14" s="151" t="s">
        <v>15</v>
      </c>
      <c r="Y14" s="151"/>
      <c r="Z14" s="151"/>
      <c r="AA14" s="151"/>
      <c r="AB14" s="151"/>
      <c r="AC14" s="151"/>
      <c r="AD14" s="151"/>
      <c r="AE14" s="151"/>
      <c r="AF14" s="151"/>
      <c r="AG14" s="151"/>
      <c r="AH14" s="151"/>
      <c r="AI14" s="151"/>
      <c r="AJ14" s="151"/>
      <c r="AK14" s="151"/>
      <c r="AL14" s="150"/>
      <c r="AM14" s="150"/>
      <c r="AN14" s="150"/>
      <c r="AO14" s="150"/>
      <c r="AP14" s="150"/>
      <c r="AQ14" s="150"/>
      <c r="AR14" s="150"/>
      <c r="AS14" s="150"/>
      <c r="AT14" s="150"/>
      <c r="AU14" s="150"/>
      <c r="AV14" s="154"/>
    </row>
    <row r="15" spans="1:48">
      <c r="B15" s="150"/>
      <c r="C15" s="152"/>
      <c r="D15" s="151"/>
      <c r="E15" s="151"/>
      <c r="F15" s="151"/>
      <c r="G15" s="151"/>
      <c r="H15" s="151"/>
      <c r="I15" s="151"/>
      <c r="J15" s="151"/>
      <c r="K15" s="151"/>
      <c r="L15" s="151"/>
      <c r="M15" s="151"/>
      <c r="N15" s="151"/>
      <c r="O15" s="151"/>
      <c r="P15" s="151"/>
      <c r="Q15" s="151"/>
      <c r="R15" s="151"/>
      <c r="S15" s="151"/>
      <c r="T15" s="151"/>
      <c r="U15" s="156"/>
      <c r="V15" s="157"/>
      <c r="W15" s="158" t="s">
        <v>8</v>
      </c>
      <c r="X15" s="158" t="s">
        <v>16</v>
      </c>
      <c r="Y15" s="158"/>
      <c r="Z15" s="158"/>
      <c r="AA15" s="158"/>
      <c r="AB15" s="158"/>
      <c r="AC15" s="158"/>
      <c r="AD15" s="158"/>
      <c r="AE15" s="158"/>
      <c r="AF15" s="158"/>
      <c r="AG15" s="158"/>
      <c r="AH15" s="158"/>
      <c r="AI15" s="158"/>
      <c r="AJ15" s="158"/>
      <c r="AK15" s="158"/>
      <c r="AL15" s="159"/>
      <c r="AM15" s="159"/>
      <c r="AN15" s="159"/>
      <c r="AO15" s="159"/>
      <c r="AP15" s="159"/>
      <c r="AQ15" s="159"/>
      <c r="AR15" s="159"/>
      <c r="AS15" s="159"/>
      <c r="AT15" s="159"/>
      <c r="AU15" s="159"/>
      <c r="AV15" s="160"/>
    </row>
    <row r="16" spans="1:48">
      <c r="B16" s="150"/>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0"/>
      <c r="AC16" s="150"/>
      <c r="AD16" s="150"/>
      <c r="AE16" s="150"/>
      <c r="AF16" s="150"/>
      <c r="AG16" s="150"/>
      <c r="AH16" s="150"/>
      <c r="AI16" s="150"/>
      <c r="AJ16" s="150"/>
      <c r="AK16" s="150"/>
      <c r="AL16" s="150"/>
      <c r="AM16" s="150"/>
      <c r="AN16" s="150"/>
      <c r="AO16" s="150"/>
      <c r="AP16" s="150"/>
      <c r="AQ16" s="150"/>
      <c r="AR16" s="150"/>
      <c r="AS16" s="150"/>
      <c r="AT16" s="150"/>
      <c r="AU16" s="150"/>
    </row>
    <row r="17" spans="2:81">
      <c r="B17" s="150"/>
      <c r="C17" s="152"/>
      <c r="D17" s="151" t="s">
        <v>17</v>
      </c>
      <c r="E17" s="151"/>
      <c r="F17" s="151"/>
      <c r="G17" s="151"/>
      <c r="H17" s="151"/>
      <c r="I17" s="151"/>
      <c r="J17" s="151"/>
      <c r="K17" s="151"/>
      <c r="L17" s="151"/>
      <c r="M17" s="151"/>
      <c r="N17" s="151"/>
      <c r="O17" s="151"/>
      <c r="P17" s="151"/>
      <c r="Q17" s="151"/>
      <c r="R17" s="151"/>
      <c r="S17" s="151" t="s">
        <v>18</v>
      </c>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0"/>
      <c r="AT17" s="150"/>
      <c r="AU17" s="150"/>
    </row>
    <row r="18" spans="2:81">
      <c r="B18" s="150"/>
      <c r="C18" s="152"/>
      <c r="D18" s="445" t="s">
        <v>19</v>
      </c>
      <c r="E18" s="411"/>
      <c r="F18" s="411"/>
      <c r="G18" s="411"/>
      <c r="H18" s="411"/>
      <c r="I18" s="411"/>
      <c r="J18" s="411"/>
      <c r="K18" s="411"/>
      <c r="L18" s="411"/>
      <c r="M18" s="412"/>
      <c r="N18" s="413" t="s">
        <v>20</v>
      </c>
      <c r="O18" s="414"/>
      <c r="P18" s="414"/>
      <c r="Q18" s="414"/>
      <c r="R18" s="414"/>
      <c r="S18" s="414"/>
      <c r="T18" s="414"/>
      <c r="U18" s="414"/>
      <c r="V18" s="415"/>
      <c r="W18" s="413" t="s">
        <v>21</v>
      </c>
      <c r="X18" s="414"/>
      <c r="Y18" s="414"/>
      <c r="Z18" s="414"/>
      <c r="AA18" s="414"/>
      <c r="AB18" s="414"/>
      <c r="AC18" s="414"/>
      <c r="AD18" s="414"/>
      <c r="AE18" s="415"/>
      <c r="AF18" s="413" t="s">
        <v>22</v>
      </c>
      <c r="AG18" s="414"/>
      <c r="AH18" s="414"/>
      <c r="AI18" s="414"/>
      <c r="AJ18" s="414"/>
      <c r="AK18" s="414"/>
      <c r="AL18" s="414"/>
      <c r="AM18" s="414"/>
      <c r="AN18" s="415"/>
      <c r="AO18" s="413" t="s">
        <v>23</v>
      </c>
      <c r="AP18" s="414"/>
      <c r="AQ18" s="414"/>
      <c r="AR18" s="414"/>
      <c r="AS18" s="415"/>
      <c r="AT18" s="413" t="s">
        <v>24</v>
      </c>
      <c r="AU18" s="414"/>
      <c r="AV18" s="414"/>
      <c r="AW18" s="414"/>
      <c r="AX18" s="415"/>
      <c r="BB18" s="445" t="s">
        <v>19</v>
      </c>
      <c r="BC18" s="411"/>
      <c r="BD18" s="411"/>
      <c r="BE18" s="411"/>
      <c r="BF18" s="411"/>
      <c r="BG18" s="411"/>
      <c r="BH18" s="411"/>
      <c r="BI18" s="411"/>
      <c r="BJ18" s="411"/>
      <c r="BK18" s="412"/>
      <c r="BL18" s="413" t="s">
        <v>25</v>
      </c>
      <c r="BM18" s="414"/>
      <c r="BN18" s="414"/>
      <c r="BO18" s="414"/>
      <c r="BP18" s="414"/>
      <c r="BQ18" s="414"/>
      <c r="BR18" s="413" t="s">
        <v>26</v>
      </c>
      <c r="BS18" s="414"/>
      <c r="BT18" s="414"/>
      <c r="BU18" s="416"/>
      <c r="BV18" s="416"/>
      <c r="BW18" s="417"/>
      <c r="BX18" s="413" t="s">
        <v>27</v>
      </c>
      <c r="BY18" s="414"/>
      <c r="BZ18" s="414"/>
      <c r="CA18" s="414"/>
      <c r="CB18" s="414"/>
      <c r="CC18" s="415"/>
    </row>
    <row r="19" spans="2:81">
      <c r="B19" s="150"/>
      <c r="C19" s="151"/>
      <c r="D19" s="161"/>
      <c r="E19" s="162"/>
      <c r="F19" s="162"/>
      <c r="G19" s="162"/>
      <c r="H19" s="162"/>
      <c r="I19" s="162"/>
      <c r="J19" s="162"/>
      <c r="K19" s="162"/>
      <c r="L19" s="162"/>
      <c r="M19" s="163"/>
      <c r="N19" s="413" t="s">
        <v>28</v>
      </c>
      <c r="O19" s="414"/>
      <c r="P19" s="414"/>
      <c r="Q19" s="414"/>
      <c r="R19" s="415"/>
      <c r="S19" s="413" t="s">
        <v>29</v>
      </c>
      <c r="T19" s="414"/>
      <c r="U19" s="414"/>
      <c r="V19" s="415"/>
      <c r="W19" s="413" t="s">
        <v>28</v>
      </c>
      <c r="X19" s="414"/>
      <c r="Y19" s="414"/>
      <c r="Z19" s="414"/>
      <c r="AA19" s="415"/>
      <c r="AB19" s="413" t="s">
        <v>29</v>
      </c>
      <c r="AC19" s="414"/>
      <c r="AD19" s="414"/>
      <c r="AE19" s="415"/>
      <c r="AF19" s="413" t="s">
        <v>28</v>
      </c>
      <c r="AG19" s="414"/>
      <c r="AH19" s="414"/>
      <c r="AI19" s="414"/>
      <c r="AJ19" s="415"/>
      <c r="AK19" s="413" t="s">
        <v>29</v>
      </c>
      <c r="AL19" s="414"/>
      <c r="AM19" s="414"/>
      <c r="AN19" s="415"/>
      <c r="AO19" s="413" t="s">
        <v>29</v>
      </c>
      <c r="AP19" s="414"/>
      <c r="AQ19" s="414"/>
      <c r="AR19" s="414"/>
      <c r="AS19" s="415"/>
      <c r="AT19" s="413" t="s">
        <v>29</v>
      </c>
      <c r="AU19" s="414"/>
      <c r="AV19" s="414"/>
      <c r="AW19" s="414"/>
      <c r="AX19" s="415"/>
      <c r="BB19" s="161"/>
      <c r="BC19" s="162"/>
      <c r="BD19" s="162"/>
      <c r="BE19" s="162"/>
      <c r="BF19" s="162"/>
      <c r="BG19" s="162"/>
      <c r="BH19" s="162"/>
      <c r="BI19" s="162"/>
      <c r="BJ19" s="162"/>
      <c r="BK19" s="163"/>
      <c r="BL19" s="161" t="s">
        <v>30</v>
      </c>
      <c r="BM19" s="162"/>
      <c r="BN19" s="162"/>
      <c r="BO19" s="162"/>
      <c r="BP19" s="162"/>
      <c r="BQ19" s="162"/>
      <c r="BR19" s="161" t="s">
        <v>30</v>
      </c>
      <c r="BS19" s="162"/>
      <c r="BT19" s="162"/>
      <c r="BU19" s="164"/>
      <c r="BV19" s="164"/>
      <c r="BW19" s="165"/>
      <c r="BX19" s="161" t="s">
        <v>30</v>
      </c>
      <c r="BY19" s="162"/>
      <c r="BZ19" s="162"/>
      <c r="CA19" s="162"/>
      <c r="CB19" s="162"/>
      <c r="CC19" s="163"/>
    </row>
    <row r="20" spans="2:81">
      <c r="B20" s="150"/>
      <c r="C20" s="151"/>
      <c r="D20" s="413" t="s">
        <v>31</v>
      </c>
      <c r="E20" s="414"/>
      <c r="F20" s="414"/>
      <c r="G20" s="414"/>
      <c r="H20" s="414"/>
      <c r="I20" s="414"/>
      <c r="J20" s="414"/>
      <c r="K20" s="414"/>
      <c r="L20" s="414"/>
      <c r="M20" s="415"/>
      <c r="N20" s="418" t="s">
        <v>32</v>
      </c>
      <c r="O20" s="419" t="s">
        <v>33</v>
      </c>
      <c r="P20" s="419"/>
      <c r="Q20" s="419"/>
      <c r="R20" s="419"/>
      <c r="S20" s="418" t="s">
        <v>32</v>
      </c>
      <c r="T20" s="419"/>
      <c r="U20" s="419"/>
      <c r="V20" s="420"/>
      <c r="W20" s="418" t="s">
        <v>32</v>
      </c>
      <c r="X20" s="419" t="s">
        <v>33</v>
      </c>
      <c r="Y20" s="419"/>
      <c r="Z20" s="419"/>
      <c r="AA20" s="420"/>
      <c r="AB20" s="418" t="s">
        <v>32</v>
      </c>
      <c r="AC20" s="419"/>
      <c r="AD20" s="419"/>
      <c r="AE20" s="420"/>
      <c r="AF20" s="418" t="s">
        <v>32</v>
      </c>
      <c r="AG20" s="419" t="s">
        <v>33</v>
      </c>
      <c r="AH20" s="419"/>
      <c r="AI20" s="419"/>
      <c r="AJ20" s="420"/>
      <c r="AK20" s="418" t="s">
        <v>32</v>
      </c>
      <c r="AL20" s="419"/>
      <c r="AM20" s="419"/>
      <c r="AN20" s="420"/>
      <c r="AO20" s="418" t="s">
        <v>32</v>
      </c>
      <c r="AP20" s="419"/>
      <c r="AQ20" s="419"/>
      <c r="AR20" s="419"/>
      <c r="AS20" s="420"/>
      <c r="AT20" s="418" t="s">
        <v>32</v>
      </c>
      <c r="AU20" s="419"/>
      <c r="AV20" s="419"/>
      <c r="AW20" s="419"/>
      <c r="AX20" s="420"/>
      <c r="BB20" s="413" t="s">
        <v>34</v>
      </c>
      <c r="BC20" s="414"/>
      <c r="BD20" s="414"/>
      <c r="BE20" s="414"/>
      <c r="BF20" s="414"/>
      <c r="BG20" s="414"/>
      <c r="BH20" s="414"/>
      <c r="BI20" s="414"/>
      <c r="BJ20" s="414"/>
      <c r="BK20" s="415"/>
      <c r="BL20" s="418" t="s">
        <v>35</v>
      </c>
      <c r="BM20" s="419"/>
      <c r="BN20" s="419"/>
      <c r="BO20" s="419"/>
      <c r="BP20" s="419"/>
      <c r="BQ20" s="419"/>
      <c r="BR20" s="418" t="s">
        <v>35</v>
      </c>
      <c r="BS20" s="419"/>
      <c r="BT20" s="419"/>
      <c r="BU20" s="421"/>
      <c r="BV20" s="421"/>
      <c r="BW20" s="422"/>
      <c r="BX20" s="418" t="s">
        <v>35</v>
      </c>
      <c r="BY20" s="419"/>
      <c r="BZ20" s="419"/>
      <c r="CA20" s="419"/>
      <c r="CB20" s="419"/>
      <c r="CC20" s="420"/>
    </row>
    <row r="21" spans="2:81">
      <c r="B21" s="150"/>
      <c r="C21" s="151"/>
      <c r="D21" s="413" t="s">
        <v>36</v>
      </c>
      <c r="E21" s="414"/>
      <c r="F21" s="414"/>
      <c r="G21" s="414"/>
      <c r="H21" s="414"/>
      <c r="I21" s="414"/>
      <c r="J21" s="414"/>
      <c r="K21" s="414"/>
      <c r="L21" s="414"/>
      <c r="M21" s="415"/>
      <c r="N21" s="418" t="s">
        <v>32</v>
      </c>
      <c r="O21" s="419" t="s">
        <v>37</v>
      </c>
      <c r="P21" s="419"/>
      <c r="Q21" s="419"/>
      <c r="R21" s="419"/>
      <c r="S21" s="418" t="s">
        <v>32</v>
      </c>
      <c r="T21" s="419"/>
      <c r="U21" s="419"/>
      <c r="V21" s="420"/>
      <c r="W21" s="418" t="s">
        <v>38</v>
      </c>
      <c r="X21" s="419"/>
      <c r="Y21" s="419"/>
      <c r="Z21" s="419"/>
      <c r="AA21" s="420"/>
      <c r="AB21" s="418" t="s">
        <v>38</v>
      </c>
      <c r="AC21" s="419"/>
      <c r="AD21" s="419"/>
      <c r="AE21" s="420"/>
      <c r="AF21" s="418" t="s">
        <v>32</v>
      </c>
      <c r="AG21" s="419" t="s">
        <v>37</v>
      </c>
      <c r="AH21" s="419"/>
      <c r="AI21" s="419"/>
      <c r="AJ21" s="420"/>
      <c r="AK21" s="418" t="s">
        <v>32</v>
      </c>
      <c r="AL21" s="419"/>
      <c r="AM21" s="419"/>
      <c r="AN21" s="420"/>
      <c r="AO21" s="418" t="s">
        <v>32</v>
      </c>
      <c r="AP21" s="419"/>
      <c r="AQ21" s="419"/>
      <c r="AR21" s="419"/>
      <c r="AS21" s="420"/>
      <c r="AT21" s="418" t="s">
        <v>32</v>
      </c>
      <c r="AU21" s="419"/>
      <c r="AV21" s="419"/>
      <c r="AW21" s="419"/>
      <c r="AX21" s="420"/>
      <c r="BB21" s="413" t="s">
        <v>39</v>
      </c>
      <c r="BC21" s="414"/>
      <c r="BD21" s="414"/>
      <c r="BE21" s="414"/>
      <c r="BF21" s="414"/>
      <c r="BG21" s="414"/>
      <c r="BH21" s="414"/>
      <c r="BI21" s="414"/>
      <c r="BJ21" s="414"/>
      <c r="BK21" s="415"/>
      <c r="BL21" s="418" t="s">
        <v>35</v>
      </c>
      <c r="BM21" s="419"/>
      <c r="BN21" s="419"/>
      <c r="BO21" s="419"/>
      <c r="BP21" s="419"/>
      <c r="BQ21" s="419"/>
      <c r="BR21" s="418" t="s">
        <v>40</v>
      </c>
      <c r="BS21" s="419"/>
      <c r="BT21" s="419"/>
      <c r="BU21" s="421"/>
      <c r="BV21" s="421"/>
      <c r="BW21" s="422"/>
      <c r="BX21" s="418" t="s">
        <v>35</v>
      </c>
      <c r="BY21" s="419"/>
      <c r="BZ21" s="419"/>
      <c r="CA21" s="419"/>
      <c r="CB21" s="419"/>
      <c r="CC21" s="420"/>
    </row>
    <row r="22" spans="2:81">
      <c r="B22" s="150"/>
      <c r="C22" s="151"/>
      <c r="D22" s="413" t="s">
        <v>41</v>
      </c>
      <c r="E22" s="414"/>
      <c r="F22" s="414"/>
      <c r="G22" s="414"/>
      <c r="H22" s="414"/>
      <c r="I22" s="414"/>
      <c r="J22" s="414"/>
      <c r="K22" s="414"/>
      <c r="L22" s="414"/>
      <c r="M22" s="415"/>
      <c r="N22" s="418" t="s">
        <v>42</v>
      </c>
      <c r="O22" s="419"/>
      <c r="P22" s="419"/>
      <c r="Q22" s="419"/>
      <c r="R22" s="419"/>
      <c r="S22" s="418" t="s">
        <v>43</v>
      </c>
      <c r="T22" s="419"/>
      <c r="U22" s="419"/>
      <c r="V22" s="420"/>
      <c r="W22" s="418" t="s">
        <v>38</v>
      </c>
      <c r="X22" s="419"/>
      <c r="Y22" s="419"/>
      <c r="Z22" s="419"/>
      <c r="AA22" s="420"/>
      <c r="AB22" s="418" t="s">
        <v>38</v>
      </c>
      <c r="AC22" s="419"/>
      <c r="AD22" s="419"/>
      <c r="AE22" s="420"/>
      <c r="AF22" s="418" t="s">
        <v>42</v>
      </c>
      <c r="AG22" s="419"/>
      <c r="AH22" s="419"/>
      <c r="AI22" s="419"/>
      <c r="AJ22" s="420"/>
      <c r="AK22" s="418" t="s">
        <v>43</v>
      </c>
      <c r="AL22" s="419"/>
      <c r="AM22" s="419"/>
      <c r="AN22" s="420"/>
      <c r="AO22" s="418" t="s">
        <v>43</v>
      </c>
      <c r="AP22" s="419"/>
      <c r="AQ22" s="419"/>
      <c r="AR22" s="419"/>
      <c r="AS22" s="420"/>
      <c r="AT22" s="418" t="s">
        <v>43</v>
      </c>
      <c r="AU22" s="419"/>
      <c r="AV22" s="419"/>
      <c r="AW22" s="419"/>
      <c r="AX22" s="420"/>
      <c r="BB22" s="413" t="s">
        <v>44</v>
      </c>
      <c r="BC22" s="414"/>
      <c r="BD22" s="414"/>
      <c r="BE22" s="414"/>
      <c r="BF22" s="414"/>
      <c r="BG22" s="414"/>
      <c r="BH22" s="414"/>
      <c r="BI22" s="414"/>
      <c r="BJ22" s="414"/>
      <c r="BK22" s="415"/>
      <c r="BL22" s="418" t="s">
        <v>35</v>
      </c>
      <c r="BM22" s="419"/>
      <c r="BN22" s="419"/>
      <c r="BO22" s="419"/>
      <c r="BP22" s="419"/>
      <c r="BQ22" s="419"/>
      <c r="BR22" s="418" t="s">
        <v>40</v>
      </c>
      <c r="BS22" s="419"/>
      <c r="BT22" s="419"/>
      <c r="BU22" s="421"/>
      <c r="BV22" s="421"/>
      <c r="BW22" s="422"/>
      <c r="BX22" s="418" t="s">
        <v>35</v>
      </c>
      <c r="BY22" s="419"/>
      <c r="BZ22" s="419"/>
      <c r="CA22" s="419"/>
      <c r="CB22" s="419"/>
      <c r="CC22" s="420"/>
    </row>
    <row r="23" spans="2:81">
      <c r="B23" s="150"/>
      <c r="C23" s="151"/>
      <c r="D23" s="413" t="s">
        <v>45</v>
      </c>
      <c r="E23" s="414"/>
      <c r="F23" s="414"/>
      <c r="G23" s="414"/>
      <c r="H23" s="414"/>
      <c r="I23" s="414"/>
      <c r="J23" s="414"/>
      <c r="K23" s="414"/>
      <c r="L23" s="414"/>
      <c r="M23" s="415"/>
      <c r="N23" s="418" t="s">
        <v>38</v>
      </c>
      <c r="O23" s="419"/>
      <c r="P23" s="419"/>
      <c r="Q23" s="419"/>
      <c r="R23" s="419"/>
      <c r="S23" s="418" t="s">
        <v>38</v>
      </c>
      <c r="T23" s="419"/>
      <c r="U23" s="419"/>
      <c r="V23" s="420"/>
      <c r="W23" s="418" t="s">
        <v>42</v>
      </c>
      <c r="X23" s="419"/>
      <c r="Y23" s="419"/>
      <c r="Z23" s="419"/>
      <c r="AA23" s="420"/>
      <c r="AB23" s="418" t="s">
        <v>32</v>
      </c>
      <c r="AC23" s="419"/>
      <c r="AD23" s="419"/>
      <c r="AE23" s="420"/>
      <c r="AF23" s="418" t="s">
        <v>38</v>
      </c>
      <c r="AG23" s="419"/>
      <c r="AH23" s="419"/>
      <c r="AI23" s="419"/>
      <c r="AJ23" s="420"/>
      <c r="AK23" s="418" t="s">
        <v>38</v>
      </c>
      <c r="AL23" s="419"/>
      <c r="AM23" s="419"/>
      <c r="AN23" s="420"/>
      <c r="AO23" s="418" t="s">
        <v>38</v>
      </c>
      <c r="AP23" s="419"/>
      <c r="AQ23" s="419"/>
      <c r="AR23" s="419"/>
      <c r="AS23" s="420"/>
      <c r="AT23" s="418" t="s">
        <v>32</v>
      </c>
      <c r="AU23" s="419"/>
      <c r="AV23" s="419"/>
      <c r="AW23" s="419"/>
      <c r="AX23" s="420"/>
      <c r="BB23" s="413" t="s">
        <v>46</v>
      </c>
      <c r="BC23" s="414"/>
      <c r="BD23" s="414"/>
      <c r="BE23" s="414"/>
      <c r="BF23" s="414"/>
      <c r="BG23" s="414"/>
      <c r="BH23" s="414"/>
      <c r="BI23" s="414"/>
      <c r="BJ23" s="414"/>
      <c r="BK23" s="415"/>
      <c r="BL23" s="418" t="s">
        <v>35</v>
      </c>
      <c r="BM23" s="419"/>
      <c r="BN23" s="419"/>
      <c r="BO23" s="419"/>
      <c r="BP23" s="419"/>
      <c r="BQ23" s="419"/>
      <c r="BR23" s="418" t="s">
        <v>40</v>
      </c>
      <c r="BS23" s="419"/>
      <c r="BT23" s="419"/>
      <c r="BU23" s="421"/>
      <c r="BV23" s="421"/>
      <c r="BW23" s="422"/>
      <c r="BX23" s="418" t="s">
        <v>35</v>
      </c>
      <c r="BY23" s="419"/>
      <c r="BZ23" s="419"/>
      <c r="CA23" s="419"/>
      <c r="CB23" s="419"/>
      <c r="CC23" s="420"/>
    </row>
    <row r="24" spans="2:81">
      <c r="B24" s="150"/>
      <c r="C24" s="151"/>
      <c r="D24" s="413" t="s">
        <v>47</v>
      </c>
      <c r="E24" s="414"/>
      <c r="F24" s="414"/>
      <c r="G24" s="414"/>
      <c r="H24" s="414"/>
      <c r="I24" s="414"/>
      <c r="J24" s="414"/>
      <c r="K24" s="414"/>
      <c r="L24" s="414"/>
      <c r="M24" s="415"/>
      <c r="N24" s="418" t="s">
        <v>32</v>
      </c>
      <c r="O24" s="419"/>
      <c r="P24" s="419"/>
      <c r="Q24" s="419"/>
      <c r="R24" s="419"/>
      <c r="S24" s="418" t="s">
        <v>32</v>
      </c>
      <c r="T24" s="419"/>
      <c r="U24" s="419"/>
      <c r="V24" s="420"/>
      <c r="W24" s="418" t="s">
        <v>32</v>
      </c>
      <c r="X24" s="419"/>
      <c r="Y24" s="419"/>
      <c r="Z24" s="419"/>
      <c r="AA24" s="420"/>
      <c r="AB24" s="418" t="s">
        <v>32</v>
      </c>
      <c r="AC24" s="419"/>
      <c r="AD24" s="419"/>
      <c r="AE24" s="420"/>
      <c r="AF24" s="418" t="s">
        <v>32</v>
      </c>
      <c r="AG24" s="419"/>
      <c r="AH24" s="419"/>
      <c r="AI24" s="419"/>
      <c r="AJ24" s="420"/>
      <c r="AK24" s="418" t="s">
        <v>32</v>
      </c>
      <c r="AL24" s="419"/>
      <c r="AM24" s="419"/>
      <c r="AN24" s="420"/>
      <c r="AO24" s="418" t="s">
        <v>32</v>
      </c>
      <c r="AP24" s="419"/>
      <c r="AQ24" s="419"/>
      <c r="AR24" s="419"/>
      <c r="AS24" s="420"/>
      <c r="AT24" s="418" t="s">
        <v>32</v>
      </c>
      <c r="AU24" s="419"/>
      <c r="AV24" s="419"/>
      <c r="AW24" s="419"/>
      <c r="AX24" s="420"/>
      <c r="BB24" s="413" t="s">
        <v>48</v>
      </c>
      <c r="BC24" s="414"/>
      <c r="BD24" s="414"/>
      <c r="BE24" s="414"/>
      <c r="BF24" s="414"/>
      <c r="BG24" s="414"/>
      <c r="BH24" s="414"/>
      <c r="BI24" s="414"/>
      <c r="BJ24" s="414"/>
      <c r="BK24" s="415"/>
      <c r="BL24" s="418" t="s">
        <v>35</v>
      </c>
      <c r="BM24" s="419"/>
      <c r="BN24" s="419"/>
      <c r="BO24" s="419"/>
      <c r="BP24" s="419"/>
      <c r="BQ24" s="419"/>
      <c r="BR24" s="418" t="s">
        <v>40</v>
      </c>
      <c r="BS24" s="419"/>
      <c r="BT24" s="419"/>
      <c r="BU24" s="421"/>
      <c r="BV24" s="421"/>
      <c r="BW24" s="422"/>
      <c r="BX24" s="418" t="s">
        <v>35</v>
      </c>
      <c r="BY24" s="419"/>
      <c r="BZ24" s="419"/>
      <c r="CA24" s="419"/>
      <c r="CB24" s="419"/>
      <c r="CC24" s="420"/>
    </row>
    <row r="25" spans="2:81">
      <c r="B25" s="150"/>
      <c r="C25" s="151"/>
      <c r="D25" s="413" t="s">
        <v>49</v>
      </c>
      <c r="E25" s="414"/>
      <c r="F25" s="414"/>
      <c r="G25" s="414"/>
      <c r="H25" s="414"/>
      <c r="I25" s="414"/>
      <c r="J25" s="414"/>
      <c r="K25" s="414"/>
      <c r="L25" s="414"/>
      <c r="M25" s="415"/>
      <c r="N25" s="423"/>
      <c r="O25" s="424"/>
      <c r="P25" s="424"/>
      <c r="Q25" s="424"/>
      <c r="R25" s="424"/>
      <c r="S25" s="423"/>
      <c r="T25" s="424"/>
      <c r="U25" s="424"/>
      <c r="V25" s="425"/>
      <c r="W25" s="423"/>
      <c r="X25" s="424"/>
      <c r="Y25" s="424"/>
      <c r="Z25" s="424"/>
      <c r="AA25" s="425"/>
      <c r="AB25" s="423"/>
      <c r="AC25" s="424"/>
      <c r="AD25" s="424"/>
      <c r="AE25" s="425"/>
      <c r="AF25" s="423"/>
      <c r="AG25" s="424"/>
      <c r="AH25" s="424"/>
      <c r="AI25" s="424"/>
      <c r="AJ25" s="425"/>
      <c r="AK25" s="423"/>
      <c r="AL25" s="424"/>
      <c r="AM25" s="424"/>
      <c r="AN25" s="425"/>
      <c r="AO25" s="423"/>
      <c r="AP25" s="424"/>
      <c r="AQ25" s="424"/>
      <c r="AR25" s="424"/>
      <c r="AS25" s="425"/>
      <c r="AT25" s="423"/>
      <c r="AU25" s="424"/>
      <c r="AV25" s="424"/>
      <c r="AW25" s="424"/>
      <c r="AX25" s="425"/>
      <c r="BB25" s="413" t="s">
        <v>50</v>
      </c>
      <c r="BC25" s="414"/>
      <c r="BD25" s="414"/>
      <c r="BE25" s="414"/>
      <c r="BF25" s="414"/>
      <c r="BG25" s="414"/>
      <c r="BH25" s="414"/>
      <c r="BI25" s="414"/>
      <c r="BJ25" s="414"/>
      <c r="BK25" s="415"/>
      <c r="BL25" s="418" t="s">
        <v>35</v>
      </c>
      <c r="BM25" s="419"/>
      <c r="BN25" s="419"/>
      <c r="BO25" s="419"/>
      <c r="BP25" s="419"/>
      <c r="BQ25" s="419"/>
      <c r="BR25" s="418" t="s">
        <v>40</v>
      </c>
      <c r="BS25" s="419"/>
      <c r="BT25" s="419"/>
      <c r="BU25" s="421"/>
      <c r="BV25" s="421"/>
      <c r="BW25" s="422"/>
      <c r="BX25" s="418" t="s">
        <v>35</v>
      </c>
      <c r="BY25" s="419"/>
      <c r="BZ25" s="419"/>
      <c r="CA25" s="419"/>
      <c r="CB25" s="419"/>
      <c r="CC25" s="420"/>
    </row>
    <row r="26" spans="2:81">
      <c r="B26" s="150"/>
      <c r="C26" s="151"/>
      <c r="D26" s="413" t="s">
        <v>51</v>
      </c>
      <c r="E26" s="414"/>
      <c r="F26" s="414"/>
      <c r="G26" s="414"/>
      <c r="H26" s="414"/>
      <c r="I26" s="414"/>
      <c r="J26" s="414"/>
      <c r="K26" s="414"/>
      <c r="L26" s="414"/>
      <c r="M26" s="415"/>
      <c r="N26" s="418" t="s">
        <v>42</v>
      </c>
      <c r="O26" s="419"/>
      <c r="P26" s="419"/>
      <c r="Q26" s="419"/>
      <c r="R26" s="419"/>
      <c r="S26" s="418" t="s">
        <v>32</v>
      </c>
      <c r="T26" s="419"/>
      <c r="U26" s="419"/>
      <c r="V26" s="420"/>
      <c r="W26" s="418" t="s">
        <v>42</v>
      </c>
      <c r="X26" s="419"/>
      <c r="Y26" s="419"/>
      <c r="Z26" s="419"/>
      <c r="AA26" s="420"/>
      <c r="AB26" s="418" t="s">
        <v>32</v>
      </c>
      <c r="AC26" s="419"/>
      <c r="AD26" s="419"/>
      <c r="AE26" s="420"/>
      <c r="AF26" s="418" t="s">
        <v>38</v>
      </c>
      <c r="AG26" s="419"/>
      <c r="AH26" s="419"/>
      <c r="AI26" s="419"/>
      <c r="AJ26" s="420"/>
      <c r="AK26" s="418" t="s">
        <v>38</v>
      </c>
      <c r="AL26" s="419"/>
      <c r="AM26" s="419"/>
      <c r="AN26" s="420"/>
      <c r="AO26" s="418" t="s">
        <v>38</v>
      </c>
      <c r="AP26" s="419"/>
      <c r="AQ26" s="419"/>
      <c r="AR26" s="419"/>
      <c r="AS26" s="420"/>
      <c r="AT26" s="418" t="s">
        <v>32</v>
      </c>
      <c r="AU26" s="419"/>
      <c r="AV26" s="419"/>
      <c r="AW26" s="419"/>
      <c r="AX26" s="420"/>
      <c r="BB26" s="413" t="s">
        <v>52</v>
      </c>
      <c r="BC26" s="414"/>
      <c r="BD26" s="414"/>
      <c r="BE26" s="414"/>
      <c r="BF26" s="414"/>
      <c r="BG26" s="414"/>
      <c r="BH26" s="414"/>
      <c r="BI26" s="414"/>
      <c r="BJ26" s="414"/>
      <c r="BK26" s="415"/>
      <c r="BL26" s="418" t="s">
        <v>53</v>
      </c>
      <c r="BM26" s="419"/>
      <c r="BN26" s="419" t="s">
        <v>54</v>
      </c>
      <c r="BO26" s="419"/>
      <c r="BP26" s="419"/>
      <c r="BQ26" s="419"/>
      <c r="BR26" s="418" t="s">
        <v>40</v>
      </c>
      <c r="BS26" s="419"/>
      <c r="BT26" s="419"/>
      <c r="BU26" s="421"/>
      <c r="BV26" s="421"/>
      <c r="BW26" s="422"/>
      <c r="BX26" s="418" t="s">
        <v>53</v>
      </c>
      <c r="BY26" s="419"/>
      <c r="BZ26" s="419" t="s">
        <v>54</v>
      </c>
      <c r="CA26" s="419"/>
      <c r="CB26" s="419"/>
      <c r="CC26" s="420"/>
    </row>
    <row r="27" spans="2:81">
      <c r="B27" s="150"/>
      <c r="C27" s="151"/>
      <c r="D27" s="413" t="s">
        <v>55</v>
      </c>
      <c r="E27" s="414"/>
      <c r="F27" s="414"/>
      <c r="G27" s="414"/>
      <c r="H27" s="414"/>
      <c r="I27" s="414"/>
      <c r="J27" s="414"/>
      <c r="K27" s="414"/>
      <c r="L27" s="414"/>
      <c r="M27" s="415"/>
      <c r="N27" s="418" t="s">
        <v>42</v>
      </c>
      <c r="O27" s="419"/>
      <c r="P27" s="419"/>
      <c r="Q27" s="419"/>
      <c r="R27" s="419"/>
      <c r="S27" s="418" t="s">
        <v>43</v>
      </c>
      <c r="T27" s="419"/>
      <c r="U27" s="419"/>
      <c r="V27" s="420"/>
      <c r="W27" s="418" t="s">
        <v>42</v>
      </c>
      <c r="X27" s="419"/>
      <c r="Y27" s="419"/>
      <c r="Z27" s="419"/>
      <c r="AA27" s="420"/>
      <c r="AB27" s="418" t="s">
        <v>43</v>
      </c>
      <c r="AC27" s="419"/>
      <c r="AD27" s="419"/>
      <c r="AE27" s="420"/>
      <c r="AF27" s="418" t="s">
        <v>38</v>
      </c>
      <c r="AG27" s="419"/>
      <c r="AH27" s="419"/>
      <c r="AI27" s="419"/>
      <c r="AJ27" s="420"/>
      <c r="AK27" s="418" t="s">
        <v>38</v>
      </c>
      <c r="AL27" s="419"/>
      <c r="AM27" s="419"/>
      <c r="AN27" s="420"/>
      <c r="AO27" s="418" t="s">
        <v>38</v>
      </c>
      <c r="AP27" s="419"/>
      <c r="AQ27" s="419"/>
      <c r="AR27" s="419"/>
      <c r="AS27" s="420"/>
      <c r="AT27" s="418" t="s">
        <v>43</v>
      </c>
      <c r="AU27" s="419"/>
      <c r="AV27" s="419"/>
      <c r="AW27" s="419"/>
      <c r="AX27" s="420"/>
      <c r="BB27" s="413" t="s">
        <v>56</v>
      </c>
      <c r="BC27" s="414"/>
      <c r="BD27" s="414"/>
      <c r="BE27" s="414"/>
      <c r="BF27" s="414"/>
      <c r="BG27" s="414"/>
      <c r="BH27" s="414"/>
      <c r="BI27" s="414"/>
      <c r="BJ27" s="414"/>
      <c r="BK27" s="415"/>
      <c r="BL27" s="418" t="s">
        <v>53</v>
      </c>
      <c r="BM27" s="419"/>
      <c r="BN27" s="419" t="s">
        <v>57</v>
      </c>
      <c r="BO27" s="419"/>
      <c r="BP27" s="419"/>
      <c r="BQ27" s="419"/>
      <c r="BR27" s="418" t="s">
        <v>40</v>
      </c>
      <c r="BS27" s="419"/>
      <c r="BT27" s="419"/>
      <c r="BU27" s="421"/>
      <c r="BV27" s="421"/>
      <c r="BW27" s="422"/>
      <c r="BX27" s="418" t="s">
        <v>53</v>
      </c>
      <c r="BY27" s="419"/>
      <c r="BZ27" s="419" t="s">
        <v>57</v>
      </c>
      <c r="CA27" s="419"/>
      <c r="CB27" s="419"/>
      <c r="CC27" s="420"/>
    </row>
    <row r="28" spans="2:81">
      <c r="B28" s="150"/>
      <c r="C28" s="151"/>
      <c r="D28" s="413" t="s">
        <v>58</v>
      </c>
      <c r="E28" s="414"/>
      <c r="F28" s="414"/>
      <c r="G28" s="414"/>
      <c r="H28" s="414"/>
      <c r="I28" s="414"/>
      <c r="J28" s="414"/>
      <c r="K28" s="414"/>
      <c r="L28" s="414"/>
      <c r="M28" s="415"/>
      <c r="N28" s="418" t="s">
        <v>42</v>
      </c>
      <c r="O28" s="419"/>
      <c r="P28" s="419"/>
      <c r="Q28" s="419"/>
      <c r="R28" s="419"/>
      <c r="S28" s="418" t="s">
        <v>43</v>
      </c>
      <c r="T28" s="419"/>
      <c r="U28" s="419"/>
      <c r="V28" s="420"/>
      <c r="W28" s="418" t="s">
        <v>42</v>
      </c>
      <c r="X28" s="419"/>
      <c r="Y28" s="419"/>
      <c r="Z28" s="419"/>
      <c r="AA28" s="420"/>
      <c r="AB28" s="418" t="s">
        <v>43</v>
      </c>
      <c r="AC28" s="419"/>
      <c r="AD28" s="419"/>
      <c r="AE28" s="420"/>
      <c r="AF28" s="418" t="s">
        <v>38</v>
      </c>
      <c r="AG28" s="419"/>
      <c r="AH28" s="419"/>
      <c r="AI28" s="419"/>
      <c r="AJ28" s="420"/>
      <c r="AK28" s="418" t="s">
        <v>38</v>
      </c>
      <c r="AL28" s="419"/>
      <c r="AM28" s="419"/>
      <c r="AN28" s="420"/>
      <c r="AO28" s="418" t="s">
        <v>38</v>
      </c>
      <c r="AP28" s="419"/>
      <c r="AQ28" s="419"/>
      <c r="AR28" s="419"/>
      <c r="AS28" s="420"/>
      <c r="AT28" s="418" t="s">
        <v>43</v>
      </c>
      <c r="AU28" s="419"/>
      <c r="AV28" s="419"/>
      <c r="AW28" s="419"/>
      <c r="AX28" s="420"/>
      <c r="BB28" s="413" t="s">
        <v>59</v>
      </c>
      <c r="BC28" s="414"/>
      <c r="BD28" s="414"/>
      <c r="BE28" s="414"/>
      <c r="BF28" s="414"/>
      <c r="BG28" s="414"/>
      <c r="BH28" s="414"/>
      <c r="BI28" s="414"/>
      <c r="BJ28" s="414"/>
      <c r="BK28" s="415"/>
      <c r="BL28" s="418" t="s">
        <v>53</v>
      </c>
      <c r="BM28" s="419"/>
      <c r="BN28" s="419" t="s">
        <v>60</v>
      </c>
      <c r="BO28" s="419"/>
      <c r="BP28" s="419"/>
      <c r="BQ28" s="419"/>
      <c r="BR28" s="418" t="s">
        <v>40</v>
      </c>
      <c r="BS28" s="419"/>
      <c r="BT28" s="419"/>
      <c r="BU28" s="421"/>
      <c r="BV28" s="421"/>
      <c r="BW28" s="422"/>
      <c r="BX28" s="418" t="s">
        <v>53</v>
      </c>
      <c r="BY28" s="419"/>
      <c r="BZ28" s="419" t="s">
        <v>60</v>
      </c>
      <c r="CA28" s="419"/>
      <c r="CB28" s="419"/>
      <c r="CC28" s="420"/>
    </row>
    <row r="29" spans="2:81">
      <c r="B29" s="150"/>
      <c r="C29" s="151"/>
      <c r="D29" s="413" t="s">
        <v>61</v>
      </c>
      <c r="E29" s="414"/>
      <c r="F29" s="414"/>
      <c r="G29" s="414"/>
      <c r="H29" s="414"/>
      <c r="I29" s="414"/>
      <c r="J29" s="414"/>
      <c r="K29" s="414"/>
      <c r="L29" s="414"/>
      <c r="M29" s="415"/>
      <c r="N29" s="418" t="s">
        <v>42</v>
      </c>
      <c r="O29" s="419"/>
      <c r="P29" s="419"/>
      <c r="Q29" s="419"/>
      <c r="R29" s="419"/>
      <c r="S29" s="418" t="s">
        <v>42</v>
      </c>
      <c r="T29" s="419"/>
      <c r="U29" s="419"/>
      <c r="V29" s="420"/>
      <c r="W29" s="418" t="s">
        <v>38</v>
      </c>
      <c r="X29" s="419"/>
      <c r="Y29" s="419"/>
      <c r="Z29" s="419"/>
      <c r="AA29" s="420"/>
      <c r="AB29" s="418" t="s">
        <v>38</v>
      </c>
      <c r="AC29" s="419"/>
      <c r="AD29" s="419"/>
      <c r="AE29" s="420"/>
      <c r="AF29" s="418" t="s">
        <v>38</v>
      </c>
      <c r="AG29" s="419"/>
      <c r="AH29" s="419"/>
      <c r="AI29" s="419"/>
      <c r="AJ29" s="420"/>
      <c r="AK29" s="418" t="s">
        <v>38</v>
      </c>
      <c r="AL29" s="419"/>
      <c r="AM29" s="419"/>
      <c r="AN29" s="420"/>
      <c r="AO29" s="418" t="s">
        <v>38</v>
      </c>
      <c r="AP29" s="419"/>
      <c r="AQ29" s="419"/>
      <c r="AR29" s="419"/>
      <c r="AS29" s="420"/>
      <c r="AT29" s="418" t="s">
        <v>42</v>
      </c>
      <c r="AU29" s="419"/>
      <c r="AV29" s="419"/>
      <c r="AW29" s="419"/>
      <c r="AX29" s="420"/>
      <c r="BB29" s="413" t="s">
        <v>62</v>
      </c>
      <c r="BC29" s="414"/>
      <c r="BD29" s="414"/>
      <c r="BE29" s="414"/>
      <c r="BF29" s="414"/>
      <c r="BG29" s="414"/>
      <c r="BH29" s="414"/>
      <c r="BI29" s="414"/>
      <c r="BJ29" s="414"/>
      <c r="BK29" s="415"/>
      <c r="BL29" s="423"/>
      <c r="BM29" s="424"/>
      <c r="BN29" s="424"/>
      <c r="BO29" s="424"/>
      <c r="BP29" s="424"/>
      <c r="BQ29" s="424"/>
      <c r="BR29" s="418" t="s">
        <v>40</v>
      </c>
      <c r="BS29" s="419"/>
      <c r="BT29" s="419"/>
      <c r="BU29" s="421"/>
      <c r="BV29" s="421"/>
      <c r="BW29" s="422"/>
      <c r="BX29" s="423"/>
      <c r="BY29" s="424"/>
      <c r="BZ29" s="424"/>
      <c r="CA29" s="424"/>
      <c r="CB29" s="424"/>
      <c r="CC29" s="425"/>
    </row>
    <row r="30" spans="2:81">
      <c r="B30" s="150"/>
      <c r="C30" s="151"/>
      <c r="D30" s="413" t="s">
        <v>63</v>
      </c>
      <c r="E30" s="414"/>
      <c r="F30" s="414"/>
      <c r="G30" s="414"/>
      <c r="H30" s="414"/>
      <c r="I30" s="414"/>
      <c r="J30" s="414"/>
      <c r="K30" s="414"/>
      <c r="L30" s="414"/>
      <c r="M30" s="415"/>
      <c r="N30" s="418" t="s">
        <v>42</v>
      </c>
      <c r="O30" s="419"/>
      <c r="P30" s="419"/>
      <c r="Q30" s="419"/>
      <c r="R30" s="419"/>
      <c r="S30" s="418" t="s">
        <v>32</v>
      </c>
      <c r="T30" s="419"/>
      <c r="U30" s="419"/>
      <c r="V30" s="420"/>
      <c r="W30" s="418" t="s">
        <v>38</v>
      </c>
      <c r="X30" s="419"/>
      <c r="Y30" s="419"/>
      <c r="Z30" s="419"/>
      <c r="AA30" s="420"/>
      <c r="AB30" s="418" t="s">
        <v>38</v>
      </c>
      <c r="AC30" s="419"/>
      <c r="AD30" s="419"/>
      <c r="AE30" s="420"/>
      <c r="AF30" s="418" t="s">
        <v>38</v>
      </c>
      <c r="AG30" s="419"/>
      <c r="AH30" s="419"/>
      <c r="AI30" s="419"/>
      <c r="AJ30" s="420"/>
      <c r="AK30" s="418" t="s">
        <v>38</v>
      </c>
      <c r="AL30" s="419"/>
      <c r="AM30" s="419"/>
      <c r="AN30" s="420"/>
      <c r="AO30" s="418" t="s">
        <v>38</v>
      </c>
      <c r="AP30" s="419"/>
      <c r="AQ30" s="419"/>
      <c r="AR30" s="419"/>
      <c r="AS30" s="420"/>
      <c r="AT30" s="418" t="s">
        <v>32</v>
      </c>
      <c r="AU30" s="419"/>
      <c r="AV30" s="419"/>
      <c r="AW30" s="419"/>
      <c r="AX30" s="420"/>
      <c r="BB30" s="413" t="s">
        <v>64</v>
      </c>
      <c r="BC30" s="414"/>
      <c r="BD30" s="414"/>
      <c r="BE30" s="414"/>
      <c r="BF30" s="414"/>
      <c r="BG30" s="414"/>
      <c r="BH30" s="414"/>
      <c r="BI30" s="414"/>
      <c r="BJ30" s="414"/>
      <c r="BK30" s="415"/>
      <c r="BL30" s="418" t="s">
        <v>40</v>
      </c>
      <c r="BM30" s="419"/>
      <c r="BN30" s="419"/>
      <c r="BO30" s="419"/>
      <c r="BP30" s="419"/>
      <c r="BQ30" s="419"/>
      <c r="BR30" s="418" t="s">
        <v>35</v>
      </c>
      <c r="BS30" s="419"/>
      <c r="BT30" s="419"/>
      <c r="BU30" s="421"/>
      <c r="BV30" s="421"/>
      <c r="BW30" s="422"/>
      <c r="BX30" s="418" t="s">
        <v>40</v>
      </c>
      <c r="BY30" s="419"/>
      <c r="BZ30" s="419"/>
      <c r="CA30" s="419"/>
      <c r="CB30" s="419"/>
      <c r="CC30" s="420"/>
    </row>
    <row r="31" spans="2:81">
      <c r="B31" s="150"/>
      <c r="C31" s="151"/>
      <c r="D31" s="413" t="s">
        <v>65</v>
      </c>
      <c r="E31" s="414"/>
      <c r="F31" s="414"/>
      <c r="G31" s="414"/>
      <c r="H31" s="414"/>
      <c r="I31" s="414"/>
      <c r="J31" s="414"/>
      <c r="K31" s="414"/>
      <c r="L31" s="414"/>
      <c r="M31" s="415"/>
      <c r="N31" s="418" t="s">
        <v>42</v>
      </c>
      <c r="O31" s="419"/>
      <c r="P31" s="419"/>
      <c r="Q31" s="419"/>
      <c r="R31" s="419"/>
      <c r="S31" s="418" t="s">
        <v>42</v>
      </c>
      <c r="T31" s="419"/>
      <c r="U31" s="419"/>
      <c r="V31" s="420"/>
      <c r="W31" s="418" t="s">
        <v>42</v>
      </c>
      <c r="X31" s="419"/>
      <c r="Y31" s="419"/>
      <c r="Z31" s="419"/>
      <c r="AA31" s="420"/>
      <c r="AB31" s="418" t="s">
        <v>42</v>
      </c>
      <c r="AC31" s="419"/>
      <c r="AD31" s="419"/>
      <c r="AE31" s="420"/>
      <c r="AF31" s="418" t="s">
        <v>38</v>
      </c>
      <c r="AG31" s="419"/>
      <c r="AH31" s="419"/>
      <c r="AI31" s="419"/>
      <c r="AJ31" s="420"/>
      <c r="AK31" s="418" t="s">
        <v>38</v>
      </c>
      <c r="AL31" s="419"/>
      <c r="AM31" s="419"/>
      <c r="AN31" s="420"/>
      <c r="AO31" s="418" t="s">
        <v>38</v>
      </c>
      <c r="AP31" s="419"/>
      <c r="AQ31" s="419"/>
      <c r="AR31" s="419"/>
      <c r="AS31" s="420"/>
      <c r="AT31" s="418" t="s">
        <v>42</v>
      </c>
      <c r="AU31" s="419"/>
      <c r="AV31" s="419"/>
      <c r="AW31" s="419"/>
      <c r="AX31" s="420"/>
      <c r="BB31" s="413" t="s">
        <v>66</v>
      </c>
      <c r="BC31" s="414"/>
      <c r="BD31" s="414"/>
      <c r="BE31" s="414"/>
      <c r="BF31" s="414"/>
      <c r="BG31" s="414"/>
      <c r="BH31" s="414"/>
      <c r="BI31" s="414"/>
      <c r="BJ31" s="414"/>
      <c r="BK31" s="415"/>
      <c r="BL31" s="418" t="s">
        <v>40</v>
      </c>
      <c r="BM31" s="419"/>
      <c r="BN31" s="419"/>
      <c r="BO31" s="419"/>
      <c r="BP31" s="419"/>
      <c r="BQ31" s="419"/>
      <c r="BR31" s="418" t="s">
        <v>35</v>
      </c>
      <c r="BS31" s="419"/>
      <c r="BT31" s="419"/>
      <c r="BU31" s="421"/>
      <c r="BV31" s="421"/>
      <c r="BW31" s="422"/>
      <c r="BX31" s="418" t="s">
        <v>40</v>
      </c>
      <c r="BY31" s="419"/>
      <c r="BZ31" s="419"/>
      <c r="CA31" s="419"/>
      <c r="CB31" s="419"/>
      <c r="CC31" s="420"/>
    </row>
    <row r="32" spans="2:81">
      <c r="B32" s="150"/>
      <c r="C32" s="151"/>
      <c r="D32" s="413" t="s">
        <v>67</v>
      </c>
      <c r="E32" s="414"/>
      <c r="F32" s="414"/>
      <c r="G32" s="414"/>
      <c r="H32" s="414"/>
      <c r="I32" s="414"/>
      <c r="J32" s="414"/>
      <c r="K32" s="414"/>
      <c r="L32" s="414"/>
      <c r="M32" s="415"/>
      <c r="N32" s="418" t="s">
        <v>42</v>
      </c>
      <c r="O32" s="419"/>
      <c r="P32" s="419"/>
      <c r="Q32" s="419"/>
      <c r="R32" s="419"/>
      <c r="S32" s="418" t="s">
        <v>42</v>
      </c>
      <c r="T32" s="419"/>
      <c r="U32" s="419"/>
      <c r="V32" s="420"/>
      <c r="W32" s="418" t="s">
        <v>42</v>
      </c>
      <c r="X32" s="419"/>
      <c r="Y32" s="419"/>
      <c r="Z32" s="419"/>
      <c r="AA32" s="420"/>
      <c r="AB32" s="418" t="s">
        <v>42</v>
      </c>
      <c r="AC32" s="419"/>
      <c r="AD32" s="419"/>
      <c r="AE32" s="420"/>
      <c r="AF32" s="418" t="s">
        <v>42</v>
      </c>
      <c r="AG32" s="419"/>
      <c r="AH32" s="419"/>
      <c r="AI32" s="419"/>
      <c r="AJ32" s="420"/>
      <c r="AK32" s="418" t="s">
        <v>42</v>
      </c>
      <c r="AL32" s="419"/>
      <c r="AM32" s="419"/>
      <c r="AN32" s="420"/>
      <c r="AO32" s="418" t="s">
        <v>42</v>
      </c>
      <c r="AP32" s="419"/>
      <c r="AQ32" s="419"/>
      <c r="AR32" s="419"/>
      <c r="AS32" s="420"/>
      <c r="AT32" s="418" t="s">
        <v>42</v>
      </c>
      <c r="AU32" s="419"/>
      <c r="AV32" s="419"/>
      <c r="AW32" s="419"/>
      <c r="AX32" s="420"/>
      <c r="BB32" s="413" t="s">
        <v>68</v>
      </c>
      <c r="BC32" s="414"/>
      <c r="BD32" s="414"/>
      <c r="BE32" s="414"/>
      <c r="BF32" s="414"/>
      <c r="BG32" s="414"/>
      <c r="BH32" s="414"/>
      <c r="BI32" s="414"/>
      <c r="BJ32" s="414"/>
      <c r="BK32" s="415"/>
      <c r="BL32" s="418" t="s">
        <v>42</v>
      </c>
      <c r="BM32" s="419"/>
      <c r="BN32" s="419"/>
      <c r="BO32" s="419"/>
      <c r="BP32" s="419"/>
      <c r="BQ32" s="419"/>
      <c r="BR32" s="418" t="s">
        <v>42</v>
      </c>
      <c r="BS32" s="419"/>
      <c r="BT32" s="419"/>
      <c r="BU32" s="421"/>
      <c r="BV32" s="421"/>
      <c r="BW32" s="422"/>
      <c r="BX32" s="418" t="s">
        <v>42</v>
      </c>
      <c r="BY32" s="419"/>
      <c r="BZ32" s="419"/>
      <c r="CA32" s="419"/>
      <c r="CB32" s="419"/>
      <c r="CC32" s="420"/>
    </row>
    <row r="33" spans="2:81">
      <c r="B33" s="151"/>
      <c r="C33" s="151"/>
      <c r="D33" s="413" t="s">
        <v>69</v>
      </c>
      <c r="E33" s="414"/>
      <c r="F33" s="414"/>
      <c r="G33" s="414"/>
      <c r="H33" s="414"/>
      <c r="I33" s="414"/>
      <c r="J33" s="414"/>
      <c r="K33" s="414"/>
      <c r="L33" s="414"/>
      <c r="M33" s="415"/>
      <c r="N33" s="423" t="s">
        <v>70</v>
      </c>
      <c r="O33" s="424"/>
      <c r="P33" s="424"/>
      <c r="Q33" s="424"/>
      <c r="R33" s="424"/>
      <c r="S33" s="423" t="s">
        <v>70</v>
      </c>
      <c r="T33" s="424"/>
      <c r="U33" s="424"/>
      <c r="V33" s="425"/>
      <c r="W33" s="423" t="s">
        <v>70</v>
      </c>
      <c r="X33" s="424"/>
      <c r="Y33" s="424"/>
      <c r="Z33" s="424"/>
      <c r="AA33" s="425"/>
      <c r="AB33" s="423" t="s">
        <v>70</v>
      </c>
      <c r="AC33" s="424"/>
      <c r="AD33" s="424"/>
      <c r="AE33" s="425"/>
      <c r="AF33" s="423" t="s">
        <v>70</v>
      </c>
      <c r="AG33" s="424"/>
      <c r="AH33" s="424"/>
      <c r="AI33" s="424"/>
      <c r="AJ33" s="425"/>
      <c r="AK33" s="423" t="s">
        <v>70</v>
      </c>
      <c r="AL33" s="424"/>
      <c r="AM33" s="424"/>
      <c r="AN33" s="425"/>
      <c r="AO33" s="423" t="s">
        <v>70</v>
      </c>
      <c r="AP33" s="424"/>
      <c r="AQ33" s="424"/>
      <c r="AR33" s="424"/>
      <c r="AS33" s="425"/>
      <c r="AT33" s="423" t="s">
        <v>71</v>
      </c>
      <c r="AU33" s="424"/>
      <c r="AV33" s="424"/>
      <c r="AW33" s="424"/>
      <c r="AX33" s="425"/>
      <c r="BB33" s="413" t="s">
        <v>72</v>
      </c>
      <c r="BC33" s="414"/>
      <c r="BD33" s="414"/>
      <c r="BE33" s="414"/>
      <c r="BF33" s="414"/>
      <c r="BG33" s="414"/>
      <c r="BH33" s="414"/>
      <c r="BI33" s="414"/>
      <c r="BJ33" s="414"/>
      <c r="BK33" s="415"/>
      <c r="BL33" s="423"/>
      <c r="BM33" s="424"/>
      <c r="BN33" s="424"/>
      <c r="BO33" s="424"/>
      <c r="BP33" s="424"/>
      <c r="BQ33" s="424"/>
      <c r="BR33" s="423"/>
      <c r="BS33" s="424"/>
      <c r="BT33" s="424"/>
      <c r="BU33" s="426"/>
      <c r="BV33" s="426"/>
      <c r="BW33" s="427"/>
      <c r="BX33" s="423"/>
      <c r="BY33" s="424"/>
      <c r="BZ33" s="424"/>
      <c r="CA33" s="424"/>
      <c r="CB33" s="424"/>
      <c r="CC33" s="425"/>
    </row>
    <row r="35" spans="2:81">
      <c r="D35" s="151" t="s">
        <v>33</v>
      </c>
      <c r="G35" s="149" t="s">
        <v>73</v>
      </c>
      <c r="BB35" s="151" t="s">
        <v>54</v>
      </c>
      <c r="BE35" s="149" t="s">
        <v>74</v>
      </c>
    </row>
    <row r="36" spans="2:81">
      <c r="D36" s="151" t="s">
        <v>37</v>
      </c>
      <c r="G36" s="149" t="s">
        <v>75</v>
      </c>
      <c r="BB36" s="151" t="s">
        <v>57</v>
      </c>
      <c r="BE36" s="149" t="s">
        <v>76</v>
      </c>
    </row>
    <row r="37" spans="2:81">
      <c r="BB37" s="151" t="s">
        <v>60</v>
      </c>
      <c r="BE37" s="149" t="s">
        <v>77</v>
      </c>
    </row>
    <row r="39" spans="2:81" ht="17.45" customHeight="1"/>
  </sheetData>
  <phoneticPr fontId="9"/>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47" customWidth="1"/>
    <col min="49" max="49" width="9.625" style="47" hidden="1" customWidth="1"/>
    <col min="50" max="50" width="8.75" style="47" hidden="1" customWidth="1"/>
    <col min="51" max="86" width="2.5" style="47" customWidth="1"/>
    <col min="87" max="256" width="9" style="47"/>
    <col min="257" max="305" width="2.5" style="47" customWidth="1"/>
    <col min="306" max="306" width="0" style="47" hidden="1" customWidth="1"/>
    <col min="307" max="512" width="9" style="47"/>
    <col min="513" max="561" width="2.5" style="47" customWidth="1"/>
    <col min="562" max="562" width="0" style="47" hidden="1" customWidth="1"/>
    <col min="563" max="768" width="9" style="47"/>
    <col min="769" max="817" width="2.5" style="47" customWidth="1"/>
    <col min="818" max="818" width="0" style="47" hidden="1" customWidth="1"/>
    <col min="819" max="1024" width="9" style="47"/>
    <col min="1025" max="1073" width="2.5" style="47" customWidth="1"/>
    <col min="1074" max="1074" width="0" style="47" hidden="1" customWidth="1"/>
    <col min="1075" max="1280" width="9" style="47"/>
    <col min="1281" max="1329" width="2.5" style="47" customWidth="1"/>
    <col min="1330" max="1330" width="0" style="47" hidden="1" customWidth="1"/>
    <col min="1331" max="1536" width="9" style="47"/>
    <col min="1537" max="1585" width="2.5" style="47" customWidth="1"/>
    <col min="1586" max="1586" width="0" style="47" hidden="1" customWidth="1"/>
    <col min="1587" max="1792" width="9" style="47"/>
    <col min="1793" max="1841" width="2.5" style="47" customWidth="1"/>
    <col min="1842" max="1842" width="0" style="47" hidden="1" customWidth="1"/>
    <col min="1843" max="2048" width="9" style="47"/>
    <col min="2049" max="2097" width="2.5" style="47" customWidth="1"/>
    <col min="2098" max="2098" width="0" style="47" hidden="1" customWidth="1"/>
    <col min="2099" max="2304" width="9" style="47"/>
    <col min="2305" max="2353" width="2.5" style="47" customWidth="1"/>
    <col min="2354" max="2354" width="0" style="47" hidden="1" customWidth="1"/>
    <col min="2355" max="2560" width="9" style="47"/>
    <col min="2561" max="2609" width="2.5" style="47" customWidth="1"/>
    <col min="2610" max="2610" width="0" style="47" hidden="1" customWidth="1"/>
    <col min="2611" max="2816" width="9" style="47"/>
    <col min="2817" max="2865" width="2.5" style="47" customWidth="1"/>
    <col min="2866" max="2866" width="0" style="47" hidden="1" customWidth="1"/>
    <col min="2867" max="3072" width="9" style="47"/>
    <col min="3073" max="3121" width="2.5" style="47" customWidth="1"/>
    <col min="3122" max="3122" width="0" style="47" hidden="1" customWidth="1"/>
    <col min="3123" max="3328" width="9" style="47"/>
    <col min="3329" max="3377" width="2.5" style="47" customWidth="1"/>
    <col min="3378" max="3378" width="0" style="47" hidden="1" customWidth="1"/>
    <col min="3379" max="3584" width="9" style="47"/>
    <col min="3585" max="3633" width="2.5" style="47" customWidth="1"/>
    <col min="3634" max="3634" width="0" style="47" hidden="1" customWidth="1"/>
    <col min="3635" max="3840" width="9" style="47"/>
    <col min="3841" max="3889" width="2.5" style="47" customWidth="1"/>
    <col min="3890" max="3890" width="0" style="47" hidden="1" customWidth="1"/>
    <col min="3891" max="4096" width="9" style="47"/>
    <col min="4097" max="4145" width="2.5" style="47" customWidth="1"/>
    <col min="4146" max="4146" width="0" style="47" hidden="1" customWidth="1"/>
    <col min="4147" max="4352" width="9" style="47"/>
    <col min="4353" max="4401" width="2.5" style="47" customWidth="1"/>
    <col min="4402" max="4402" width="0" style="47" hidden="1" customWidth="1"/>
    <col min="4403" max="4608" width="9" style="47"/>
    <col min="4609" max="4657" width="2.5" style="47" customWidth="1"/>
    <col min="4658" max="4658" width="0" style="47" hidden="1" customWidth="1"/>
    <col min="4659" max="4864" width="9" style="47"/>
    <col min="4865" max="4913" width="2.5" style="47" customWidth="1"/>
    <col min="4914" max="4914" width="0" style="47" hidden="1" customWidth="1"/>
    <col min="4915" max="5120" width="9" style="47"/>
    <col min="5121" max="5169" width="2.5" style="47" customWidth="1"/>
    <col min="5170" max="5170" width="0" style="47" hidden="1" customWidth="1"/>
    <col min="5171" max="5376" width="9" style="47"/>
    <col min="5377" max="5425" width="2.5" style="47" customWidth="1"/>
    <col min="5426" max="5426" width="0" style="47" hidden="1" customWidth="1"/>
    <col min="5427" max="5632" width="9" style="47"/>
    <col min="5633" max="5681" width="2.5" style="47" customWidth="1"/>
    <col min="5682" max="5682" width="0" style="47" hidden="1" customWidth="1"/>
    <col min="5683" max="5888" width="9" style="47"/>
    <col min="5889" max="5937" width="2.5" style="47" customWidth="1"/>
    <col min="5938" max="5938" width="0" style="47" hidden="1" customWidth="1"/>
    <col min="5939" max="6144" width="9" style="47"/>
    <col min="6145" max="6193" width="2.5" style="47" customWidth="1"/>
    <col min="6194" max="6194" width="0" style="47" hidden="1" customWidth="1"/>
    <col min="6195" max="6400" width="9" style="47"/>
    <col min="6401" max="6449" width="2.5" style="47" customWidth="1"/>
    <col min="6450" max="6450" width="0" style="47" hidden="1" customWidth="1"/>
    <col min="6451" max="6656" width="9" style="47"/>
    <col min="6657" max="6705" width="2.5" style="47" customWidth="1"/>
    <col min="6706" max="6706" width="0" style="47" hidden="1" customWidth="1"/>
    <col min="6707" max="6912" width="9" style="47"/>
    <col min="6913" max="6961" width="2.5" style="47" customWidth="1"/>
    <col min="6962" max="6962" width="0" style="47" hidden="1" customWidth="1"/>
    <col min="6963" max="7168" width="9" style="47"/>
    <col min="7169" max="7217" width="2.5" style="47" customWidth="1"/>
    <col min="7218" max="7218" width="0" style="47" hidden="1" customWidth="1"/>
    <col min="7219" max="7424" width="9" style="47"/>
    <col min="7425" max="7473" width="2.5" style="47" customWidth="1"/>
    <col min="7474" max="7474" width="0" style="47" hidden="1" customWidth="1"/>
    <col min="7475" max="7680" width="9" style="47"/>
    <col min="7681" max="7729" width="2.5" style="47" customWidth="1"/>
    <col min="7730" max="7730" width="0" style="47" hidden="1" customWidth="1"/>
    <col min="7731" max="7936" width="9" style="47"/>
    <col min="7937" max="7985" width="2.5" style="47" customWidth="1"/>
    <col min="7986" max="7986" width="0" style="47" hidden="1" customWidth="1"/>
    <col min="7987" max="8192" width="9" style="47"/>
    <col min="8193" max="8241" width="2.5" style="47" customWidth="1"/>
    <col min="8242" max="8242" width="0" style="47" hidden="1" customWidth="1"/>
    <col min="8243" max="8448" width="9" style="47"/>
    <col min="8449" max="8497" width="2.5" style="47" customWidth="1"/>
    <col min="8498" max="8498" width="0" style="47" hidden="1" customWidth="1"/>
    <col min="8499" max="8704" width="9" style="47"/>
    <col min="8705" max="8753" width="2.5" style="47" customWidth="1"/>
    <col min="8754" max="8754" width="0" style="47" hidden="1" customWidth="1"/>
    <col min="8755" max="8960" width="9" style="47"/>
    <col min="8961" max="9009" width="2.5" style="47" customWidth="1"/>
    <col min="9010" max="9010" width="0" style="47" hidden="1" customWidth="1"/>
    <col min="9011" max="9216" width="9" style="47"/>
    <col min="9217" max="9265" width="2.5" style="47" customWidth="1"/>
    <col min="9266" max="9266" width="0" style="47" hidden="1" customWidth="1"/>
    <col min="9267" max="9472" width="9" style="47"/>
    <col min="9473" max="9521" width="2.5" style="47" customWidth="1"/>
    <col min="9522" max="9522" width="0" style="47" hidden="1" customWidth="1"/>
    <col min="9523" max="9728" width="9" style="47"/>
    <col min="9729" max="9777" width="2.5" style="47" customWidth="1"/>
    <col min="9778" max="9778" width="0" style="47" hidden="1" customWidth="1"/>
    <col min="9779" max="9984" width="9" style="47"/>
    <col min="9985" max="10033" width="2.5" style="47" customWidth="1"/>
    <col min="10034" max="10034" width="0" style="47" hidden="1" customWidth="1"/>
    <col min="10035" max="10240" width="9" style="47"/>
    <col min="10241" max="10289" width="2.5" style="47" customWidth="1"/>
    <col min="10290" max="10290" width="0" style="47" hidden="1" customWidth="1"/>
    <col min="10291" max="10496" width="9" style="47"/>
    <col min="10497" max="10545" width="2.5" style="47" customWidth="1"/>
    <col min="10546" max="10546" width="0" style="47" hidden="1" customWidth="1"/>
    <col min="10547" max="10752" width="9" style="47"/>
    <col min="10753" max="10801" width="2.5" style="47" customWidth="1"/>
    <col min="10802" max="10802" width="0" style="47" hidden="1" customWidth="1"/>
    <col min="10803" max="11008" width="9" style="47"/>
    <col min="11009" max="11057" width="2.5" style="47" customWidth="1"/>
    <col min="11058" max="11058" width="0" style="47" hidden="1" customWidth="1"/>
    <col min="11059" max="11264" width="9" style="47"/>
    <col min="11265" max="11313" width="2.5" style="47" customWidth="1"/>
    <col min="11314" max="11314" width="0" style="47" hidden="1" customWidth="1"/>
    <col min="11315" max="11520" width="9" style="47"/>
    <col min="11521" max="11569" width="2.5" style="47" customWidth="1"/>
    <col min="11570" max="11570" width="0" style="47" hidden="1" customWidth="1"/>
    <col min="11571" max="11776" width="9" style="47"/>
    <col min="11777" max="11825" width="2.5" style="47" customWidth="1"/>
    <col min="11826" max="11826" width="0" style="47" hidden="1" customWidth="1"/>
    <col min="11827" max="12032" width="9" style="47"/>
    <col min="12033" max="12081" width="2.5" style="47" customWidth="1"/>
    <col min="12082" max="12082" width="0" style="47" hidden="1" customWidth="1"/>
    <col min="12083" max="12288" width="9" style="47"/>
    <col min="12289" max="12337" width="2.5" style="47" customWidth="1"/>
    <col min="12338" max="12338" width="0" style="47" hidden="1" customWidth="1"/>
    <col min="12339" max="12544" width="9" style="47"/>
    <col min="12545" max="12593" width="2.5" style="47" customWidth="1"/>
    <col min="12594" max="12594" width="0" style="47" hidden="1" customWidth="1"/>
    <col min="12595" max="12800" width="9" style="47"/>
    <col min="12801" max="12849" width="2.5" style="47" customWidth="1"/>
    <col min="12850" max="12850" width="0" style="47" hidden="1" customWidth="1"/>
    <col min="12851" max="13056" width="9" style="47"/>
    <col min="13057" max="13105" width="2.5" style="47" customWidth="1"/>
    <col min="13106" max="13106" width="0" style="47" hidden="1" customWidth="1"/>
    <col min="13107" max="13312" width="9" style="47"/>
    <col min="13313" max="13361" width="2.5" style="47" customWidth="1"/>
    <col min="13362" max="13362" width="0" style="47" hidden="1" customWidth="1"/>
    <col min="13363" max="13568" width="9" style="47"/>
    <col min="13569" max="13617" width="2.5" style="47" customWidth="1"/>
    <col min="13618" max="13618" width="0" style="47" hidden="1" customWidth="1"/>
    <col min="13619" max="13824" width="9" style="47"/>
    <col min="13825" max="13873" width="2.5" style="47" customWidth="1"/>
    <col min="13874" max="13874" width="0" style="47" hidden="1" customWidth="1"/>
    <col min="13875" max="14080" width="9" style="47"/>
    <col min="14081" max="14129" width="2.5" style="47" customWidth="1"/>
    <col min="14130" max="14130" width="0" style="47" hidden="1" customWidth="1"/>
    <col min="14131" max="14336" width="9" style="47"/>
    <col min="14337" max="14385" width="2.5" style="47" customWidth="1"/>
    <col min="14386" max="14386" width="0" style="47" hidden="1" customWidth="1"/>
    <col min="14387" max="14592" width="9" style="47"/>
    <col min="14593" max="14641" width="2.5" style="47" customWidth="1"/>
    <col min="14642" max="14642" width="0" style="47" hidden="1" customWidth="1"/>
    <col min="14643" max="14848" width="9" style="47"/>
    <col min="14849" max="14897" width="2.5" style="47" customWidth="1"/>
    <col min="14898" max="14898" width="0" style="47" hidden="1" customWidth="1"/>
    <col min="14899" max="15104" width="9" style="47"/>
    <col min="15105" max="15153" width="2.5" style="47" customWidth="1"/>
    <col min="15154" max="15154" width="0" style="47" hidden="1" customWidth="1"/>
    <col min="15155" max="15360" width="9" style="47"/>
    <col min="15361" max="15409" width="2.5" style="47" customWidth="1"/>
    <col min="15410" max="15410" width="0" style="47" hidden="1" customWidth="1"/>
    <col min="15411" max="15616" width="9" style="47"/>
    <col min="15617" max="15665" width="2.5" style="47" customWidth="1"/>
    <col min="15666" max="15666" width="0" style="47" hidden="1" customWidth="1"/>
    <col min="15667" max="15872" width="9" style="47"/>
    <col min="15873" max="15921" width="2.5" style="47" customWidth="1"/>
    <col min="15922" max="15922" width="0" style="47" hidden="1" customWidth="1"/>
    <col min="15923" max="16128" width="9" style="47"/>
    <col min="16129" max="16177" width="2.5" style="47" customWidth="1"/>
    <col min="16178" max="16178" width="0" style="47" hidden="1" customWidth="1"/>
    <col min="16179" max="16384" width="9" style="47"/>
  </cols>
  <sheetData>
    <row r="2" spans="2:49">
      <c r="AW2" s="48" t="s">
        <v>78</v>
      </c>
    </row>
    <row r="3" spans="2:49" ht="11.25" customHeight="1">
      <c r="AC3" s="811"/>
      <c r="AD3" s="812"/>
      <c r="AE3" s="812"/>
      <c r="AF3" s="812"/>
      <c r="AG3" s="812"/>
      <c r="AH3" s="812"/>
      <c r="AI3" s="811"/>
      <c r="AJ3" s="811"/>
      <c r="AK3" s="811"/>
      <c r="AL3" s="811"/>
      <c r="AM3" s="811"/>
      <c r="AN3" s="717"/>
      <c r="AO3" s="717"/>
      <c r="AP3" s="717"/>
      <c r="AQ3" s="717"/>
      <c r="AR3" s="717"/>
      <c r="AS3" s="717"/>
      <c r="AT3" s="717"/>
      <c r="AU3" s="49"/>
      <c r="AW3" s="50" t="s">
        <v>79</v>
      </c>
    </row>
    <row r="4" spans="2:49" ht="11.1" customHeight="1">
      <c r="B4" s="51"/>
      <c r="C4" s="52"/>
      <c r="D4" s="52"/>
      <c r="E4" s="52"/>
      <c r="F4" s="52"/>
      <c r="G4" s="52"/>
      <c r="H4" s="52"/>
      <c r="I4" s="52"/>
      <c r="J4" s="52"/>
      <c r="AC4" s="812"/>
      <c r="AD4" s="812"/>
      <c r="AE4" s="812"/>
      <c r="AF4" s="812"/>
      <c r="AG4" s="812"/>
      <c r="AH4" s="812"/>
      <c r="AI4" s="811"/>
      <c r="AJ4" s="811"/>
      <c r="AK4" s="811"/>
      <c r="AL4" s="811"/>
      <c r="AM4" s="811"/>
      <c r="AN4" s="717"/>
      <c r="AO4" s="717"/>
      <c r="AP4" s="717"/>
      <c r="AQ4" s="717"/>
      <c r="AR4" s="717"/>
      <c r="AS4" s="717"/>
      <c r="AT4" s="717"/>
      <c r="AU4" s="49"/>
      <c r="AW4" s="50" t="s">
        <v>80</v>
      </c>
    </row>
    <row r="5" spans="2:49" ht="11.25" customHeight="1">
      <c r="AC5" s="812"/>
      <c r="AD5" s="812"/>
      <c r="AE5" s="812"/>
      <c r="AF5" s="812"/>
      <c r="AG5" s="812"/>
      <c r="AH5" s="812"/>
      <c r="AI5" s="813"/>
      <c r="AJ5" s="813"/>
      <c r="AK5" s="813"/>
      <c r="AL5" s="813"/>
      <c r="AM5" s="813"/>
      <c r="AN5" s="814"/>
      <c r="AO5" s="814"/>
      <c r="AP5" s="814"/>
      <c r="AQ5" s="814"/>
      <c r="AR5" s="814"/>
      <c r="AS5" s="814"/>
      <c r="AT5" s="814"/>
      <c r="AU5" s="53"/>
      <c r="AW5" s="50" t="s">
        <v>81</v>
      </c>
    </row>
    <row r="6" spans="2:49" ht="12.75" customHeight="1">
      <c r="B6" s="54"/>
      <c r="M6" s="55"/>
      <c r="N6" s="55"/>
      <c r="O6" s="55"/>
      <c r="P6" s="55"/>
      <c r="Q6" s="55"/>
      <c r="R6" s="55"/>
      <c r="S6" s="55"/>
      <c r="T6" s="55"/>
      <c r="U6" s="55"/>
      <c r="V6" s="55"/>
      <c r="W6" s="55"/>
      <c r="X6" s="55"/>
      <c r="Y6" s="55"/>
      <c r="Z6" s="55"/>
      <c r="AA6" s="55"/>
      <c r="AB6" s="55"/>
      <c r="AC6" s="55"/>
      <c r="AD6" s="55"/>
      <c r="AE6" s="55"/>
      <c r="AF6" s="55"/>
      <c r="AG6" s="55"/>
      <c r="AH6" s="55"/>
      <c r="AI6" s="55"/>
      <c r="AJ6" s="55"/>
      <c r="AW6" s="50" t="s">
        <v>82</v>
      </c>
    </row>
    <row r="7" spans="2:49" ht="11.25" customHeight="1">
      <c r="M7" s="797" t="s">
        <v>83</v>
      </c>
      <c r="N7" s="798"/>
      <c r="O7" s="798"/>
      <c r="P7" s="798"/>
      <c r="Q7" s="798"/>
      <c r="R7" s="798"/>
      <c r="S7" s="798"/>
      <c r="T7" s="798"/>
      <c r="U7" s="798"/>
      <c r="V7" s="798"/>
      <c r="W7" s="798"/>
      <c r="X7" s="798"/>
      <c r="Y7" s="798"/>
      <c r="Z7" s="798"/>
      <c r="AA7" s="798"/>
      <c r="AB7" s="798"/>
      <c r="AC7" s="798"/>
      <c r="AD7" s="798"/>
      <c r="AE7" s="798"/>
      <c r="AF7" s="798"/>
      <c r="AG7" s="798"/>
      <c r="AH7" s="798"/>
      <c r="AI7" s="798"/>
      <c r="AJ7" s="799"/>
      <c r="AW7" s="50" t="s">
        <v>84</v>
      </c>
    </row>
    <row r="8" spans="2:49" ht="11.25" customHeight="1">
      <c r="M8" s="797"/>
      <c r="N8" s="798"/>
      <c r="O8" s="798"/>
      <c r="P8" s="798"/>
      <c r="Q8" s="798"/>
      <c r="R8" s="798"/>
      <c r="S8" s="798"/>
      <c r="T8" s="798"/>
      <c r="U8" s="798"/>
      <c r="V8" s="798"/>
      <c r="W8" s="798"/>
      <c r="X8" s="798"/>
      <c r="Y8" s="798"/>
      <c r="Z8" s="798"/>
      <c r="AA8" s="798"/>
      <c r="AB8" s="798"/>
      <c r="AC8" s="798"/>
      <c r="AD8" s="798"/>
      <c r="AE8" s="798"/>
      <c r="AF8" s="798"/>
      <c r="AG8" s="798"/>
      <c r="AH8" s="798"/>
      <c r="AI8" s="798"/>
      <c r="AJ8" s="799"/>
      <c r="AW8" s="50" t="s">
        <v>85</v>
      </c>
    </row>
    <row r="9" spans="2:49" ht="11.25" customHeight="1">
      <c r="M9" s="797"/>
      <c r="N9" s="798"/>
      <c r="O9" s="798"/>
      <c r="P9" s="798"/>
      <c r="Q9" s="798"/>
      <c r="R9" s="798"/>
      <c r="S9" s="798"/>
      <c r="T9" s="798"/>
      <c r="U9" s="798"/>
      <c r="V9" s="798"/>
      <c r="W9" s="798"/>
      <c r="X9" s="798"/>
      <c r="Y9" s="798"/>
      <c r="Z9" s="798"/>
      <c r="AA9" s="798"/>
      <c r="AB9" s="798"/>
      <c r="AC9" s="798"/>
      <c r="AD9" s="798"/>
      <c r="AE9" s="798"/>
      <c r="AF9" s="798"/>
      <c r="AG9" s="798"/>
      <c r="AH9" s="798"/>
      <c r="AI9" s="798"/>
      <c r="AJ9" s="799"/>
      <c r="AW9" s="50" t="s">
        <v>86</v>
      </c>
    </row>
    <row r="10" spans="2:49" ht="11.25" customHeight="1">
      <c r="M10" s="800" t="s">
        <v>87</v>
      </c>
      <c r="N10" s="801"/>
      <c r="O10" s="801"/>
      <c r="P10" s="801"/>
      <c r="Q10" s="801"/>
      <c r="R10" s="801"/>
      <c r="S10" s="801"/>
      <c r="T10" s="801"/>
      <c r="U10" s="801"/>
      <c r="V10" s="801"/>
      <c r="W10" s="801"/>
      <c r="X10" s="801"/>
      <c r="Y10" s="801"/>
      <c r="Z10" s="801"/>
      <c r="AA10" s="801"/>
      <c r="AB10" s="801"/>
      <c r="AC10" s="801"/>
      <c r="AD10" s="801"/>
      <c r="AE10" s="801"/>
      <c r="AF10" s="801"/>
      <c r="AG10" s="801"/>
      <c r="AH10" s="801"/>
      <c r="AI10" s="801"/>
      <c r="AJ10" s="802"/>
      <c r="AW10" s="50" t="s">
        <v>88</v>
      </c>
    </row>
    <row r="11" spans="2:49" ht="11.25" customHeight="1">
      <c r="M11" s="800"/>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2"/>
      <c r="AW11" s="50" t="s">
        <v>89</v>
      </c>
    </row>
    <row r="12" spans="2:49" ht="11.25" customHeight="1">
      <c r="M12" s="803"/>
      <c r="N12" s="804"/>
      <c r="O12" s="804"/>
      <c r="P12" s="804"/>
      <c r="Q12" s="804"/>
      <c r="R12" s="804"/>
      <c r="S12" s="804"/>
      <c r="T12" s="804"/>
      <c r="U12" s="804"/>
      <c r="V12" s="804"/>
      <c r="W12" s="804"/>
      <c r="X12" s="804"/>
      <c r="Y12" s="804"/>
      <c r="Z12" s="804"/>
      <c r="AA12" s="804"/>
      <c r="AB12" s="804"/>
      <c r="AC12" s="804"/>
      <c r="AD12" s="804"/>
      <c r="AE12" s="804"/>
      <c r="AF12" s="804"/>
      <c r="AG12" s="804"/>
      <c r="AH12" s="804"/>
      <c r="AI12" s="804"/>
      <c r="AJ12" s="805"/>
      <c r="AW12" s="50" t="s">
        <v>90</v>
      </c>
    </row>
    <row r="13" spans="2:49">
      <c r="AW13" s="50" t="s">
        <v>91</v>
      </c>
    </row>
    <row r="14" spans="2:49">
      <c r="AW14" s="50" t="s">
        <v>92</v>
      </c>
    </row>
    <row r="15" spans="2:49">
      <c r="AW15" s="50" t="s">
        <v>93</v>
      </c>
    </row>
    <row r="16" spans="2:49">
      <c r="M16" s="748" t="s">
        <v>94</v>
      </c>
      <c r="N16" s="749"/>
      <c r="O16" s="749"/>
      <c r="P16" s="749"/>
      <c r="Q16" s="749"/>
      <c r="R16" s="749"/>
      <c r="S16" s="749"/>
      <c r="T16" s="750"/>
      <c r="U16" s="780" t="s">
        <v>95</v>
      </c>
      <c r="V16" s="806"/>
      <c r="W16" s="806"/>
      <c r="X16" s="806"/>
      <c r="Y16" s="806"/>
      <c r="Z16" s="806"/>
      <c r="AA16" s="806"/>
      <c r="AB16" s="806"/>
      <c r="AC16" s="806"/>
      <c r="AD16" s="806"/>
      <c r="AE16" s="806"/>
      <c r="AF16" s="806"/>
      <c r="AG16" s="806"/>
      <c r="AH16" s="806"/>
      <c r="AI16" s="806"/>
      <c r="AJ16" s="807"/>
      <c r="AW16" s="50" t="s">
        <v>96</v>
      </c>
    </row>
    <row r="17" spans="13:52">
      <c r="M17" s="751"/>
      <c r="N17" s="752"/>
      <c r="O17" s="752"/>
      <c r="P17" s="752"/>
      <c r="Q17" s="752"/>
      <c r="R17" s="752"/>
      <c r="S17" s="752"/>
      <c r="T17" s="753"/>
      <c r="U17" s="808"/>
      <c r="V17" s="809"/>
      <c r="W17" s="809"/>
      <c r="X17" s="809"/>
      <c r="Y17" s="809"/>
      <c r="Z17" s="809"/>
      <c r="AA17" s="809"/>
      <c r="AB17" s="809"/>
      <c r="AC17" s="809"/>
      <c r="AD17" s="809"/>
      <c r="AE17" s="809"/>
      <c r="AF17" s="809"/>
      <c r="AG17" s="809"/>
      <c r="AH17" s="809"/>
      <c r="AI17" s="809"/>
      <c r="AJ17" s="810"/>
      <c r="AL17" s="56"/>
      <c r="AM17" s="48"/>
      <c r="AN17" s="48"/>
      <c r="AO17" s="48"/>
      <c r="AP17" s="48"/>
      <c r="AQ17" s="48"/>
      <c r="AR17" s="48"/>
      <c r="AW17" s="48"/>
    </row>
    <row r="18" spans="13:52">
      <c r="M18" s="748" t="s">
        <v>97</v>
      </c>
      <c r="N18" s="749"/>
      <c r="O18" s="749"/>
      <c r="P18" s="749"/>
      <c r="Q18" s="749"/>
      <c r="R18" s="749"/>
      <c r="S18" s="749"/>
      <c r="T18" s="750"/>
      <c r="U18" s="780" t="s">
        <v>98</v>
      </c>
      <c r="V18" s="806"/>
      <c r="W18" s="806"/>
      <c r="X18" s="806"/>
      <c r="Y18" s="806"/>
      <c r="Z18" s="806"/>
      <c r="AA18" s="806"/>
      <c r="AB18" s="806"/>
      <c r="AC18" s="806"/>
      <c r="AD18" s="806"/>
      <c r="AE18" s="806"/>
      <c r="AF18" s="806"/>
      <c r="AG18" s="806"/>
      <c r="AH18" s="806"/>
      <c r="AI18" s="806"/>
      <c r="AJ18" s="807"/>
      <c r="AL18" s="56"/>
      <c r="AM18" s="48"/>
      <c r="AN18" s="48"/>
      <c r="AO18" s="48"/>
      <c r="AP18" s="48"/>
      <c r="AQ18" s="48"/>
      <c r="AR18" s="48"/>
      <c r="AW18" s="48" t="s">
        <v>99</v>
      </c>
    </row>
    <row r="19" spans="13:52">
      <c r="M19" s="751"/>
      <c r="N19" s="752"/>
      <c r="O19" s="752"/>
      <c r="P19" s="752"/>
      <c r="Q19" s="752"/>
      <c r="R19" s="752"/>
      <c r="S19" s="752"/>
      <c r="T19" s="753"/>
      <c r="U19" s="808"/>
      <c r="V19" s="809"/>
      <c r="W19" s="809"/>
      <c r="X19" s="809"/>
      <c r="Y19" s="809"/>
      <c r="Z19" s="809"/>
      <c r="AA19" s="809"/>
      <c r="AB19" s="809"/>
      <c r="AC19" s="809"/>
      <c r="AD19" s="809"/>
      <c r="AE19" s="809"/>
      <c r="AF19" s="809"/>
      <c r="AG19" s="809"/>
      <c r="AH19" s="809"/>
      <c r="AI19" s="809"/>
      <c r="AJ19" s="810"/>
      <c r="AL19" s="56"/>
      <c r="AM19" s="48"/>
      <c r="AN19" s="48"/>
      <c r="AO19" s="48"/>
      <c r="AP19" s="48"/>
      <c r="AQ19" s="48"/>
      <c r="AR19" s="48"/>
      <c r="AW19" s="48" t="s">
        <v>100</v>
      </c>
    </row>
    <row r="20" spans="13:52" ht="11.25" customHeight="1">
      <c r="M20" s="748" t="s">
        <v>101</v>
      </c>
      <c r="N20" s="749"/>
      <c r="O20" s="749"/>
      <c r="P20" s="749"/>
      <c r="Q20" s="749"/>
      <c r="R20" s="749"/>
      <c r="S20" s="749"/>
      <c r="T20" s="750"/>
      <c r="U20" s="780"/>
      <c r="V20" s="781"/>
      <c r="W20" s="781"/>
      <c r="X20" s="781"/>
      <c r="Y20" s="781"/>
      <c r="Z20" s="781"/>
      <c r="AA20" s="781"/>
      <c r="AB20" s="781"/>
      <c r="AC20" s="781"/>
      <c r="AD20" s="781"/>
      <c r="AE20" s="781"/>
      <c r="AF20" s="781"/>
      <c r="AG20" s="781"/>
      <c r="AH20" s="781"/>
      <c r="AI20" s="781"/>
      <c r="AJ20" s="782"/>
      <c r="AL20" s="56"/>
      <c r="AM20" s="48"/>
      <c r="AN20" s="48"/>
      <c r="AO20" s="48"/>
      <c r="AP20" s="48"/>
      <c r="AQ20" s="48"/>
      <c r="AR20" s="48"/>
      <c r="AW20" s="48" t="s">
        <v>102</v>
      </c>
    </row>
    <row r="21" spans="13:52" ht="11.25" customHeight="1">
      <c r="M21" s="751"/>
      <c r="N21" s="752"/>
      <c r="O21" s="752"/>
      <c r="P21" s="752"/>
      <c r="Q21" s="752"/>
      <c r="R21" s="752"/>
      <c r="S21" s="752"/>
      <c r="T21" s="753"/>
      <c r="U21" s="783"/>
      <c r="V21" s="784"/>
      <c r="W21" s="784"/>
      <c r="X21" s="784"/>
      <c r="Y21" s="784"/>
      <c r="Z21" s="784"/>
      <c r="AA21" s="784"/>
      <c r="AB21" s="784"/>
      <c r="AC21" s="784"/>
      <c r="AD21" s="784"/>
      <c r="AE21" s="784"/>
      <c r="AF21" s="784"/>
      <c r="AG21" s="784"/>
      <c r="AH21" s="784"/>
      <c r="AI21" s="784"/>
      <c r="AJ21" s="785"/>
      <c r="AL21" s="56"/>
      <c r="AM21" s="48"/>
      <c r="AN21" s="48"/>
      <c r="AO21" s="48"/>
      <c r="AP21" s="48"/>
      <c r="AQ21" s="48"/>
      <c r="AR21" s="48"/>
      <c r="AW21" s="48" t="s">
        <v>103</v>
      </c>
    </row>
    <row r="22" spans="13:52">
      <c r="M22" s="748" t="s">
        <v>104</v>
      </c>
      <c r="N22" s="749"/>
      <c r="O22" s="749"/>
      <c r="P22" s="749"/>
      <c r="Q22" s="749"/>
      <c r="R22" s="749"/>
      <c r="S22" s="749"/>
      <c r="T22" s="750"/>
      <c r="U22" s="786" cm="1">
        <f t="array" ref="U22">MAX(_xlfn.NUMBERVALUE(改訂!A7:E48))</f>
        <v>2</v>
      </c>
      <c r="V22" s="787"/>
      <c r="W22" s="787"/>
      <c r="X22" s="787"/>
      <c r="Y22" s="787"/>
      <c r="Z22" s="787"/>
      <c r="AA22" s="787"/>
      <c r="AB22" s="787"/>
      <c r="AC22" s="787"/>
      <c r="AD22" s="787"/>
      <c r="AE22" s="787"/>
      <c r="AF22" s="787"/>
      <c r="AG22" s="787"/>
      <c r="AH22" s="787"/>
      <c r="AI22" s="787"/>
      <c r="AJ22" s="788"/>
      <c r="AL22" s="56"/>
      <c r="AM22" s="48"/>
      <c r="AN22" s="48"/>
      <c r="AO22" s="48"/>
      <c r="AP22" s="48"/>
      <c r="AQ22" s="48"/>
      <c r="AR22" s="48"/>
      <c r="AW22" s="48" t="s">
        <v>105</v>
      </c>
    </row>
    <row r="23" spans="13:52">
      <c r="M23" s="751"/>
      <c r="N23" s="752"/>
      <c r="O23" s="752"/>
      <c r="P23" s="752"/>
      <c r="Q23" s="752"/>
      <c r="R23" s="752"/>
      <c r="S23" s="752"/>
      <c r="T23" s="753"/>
      <c r="U23" s="789"/>
      <c r="V23" s="790"/>
      <c r="W23" s="790"/>
      <c r="X23" s="790"/>
      <c r="Y23" s="790"/>
      <c r="Z23" s="790"/>
      <c r="AA23" s="790"/>
      <c r="AB23" s="790"/>
      <c r="AC23" s="790"/>
      <c r="AD23" s="790"/>
      <c r="AE23" s="790"/>
      <c r="AF23" s="790"/>
      <c r="AG23" s="790"/>
      <c r="AH23" s="790"/>
      <c r="AI23" s="790"/>
      <c r="AJ23" s="791"/>
      <c r="AL23" s="56"/>
      <c r="AM23" s="48"/>
      <c r="AN23" s="48"/>
      <c r="AO23" s="48"/>
      <c r="AP23" s="48"/>
      <c r="AQ23" s="48"/>
      <c r="AR23" s="48"/>
      <c r="AW23" s="48"/>
    </row>
    <row r="24" spans="13:52">
      <c r="M24" s="748" t="s">
        <v>106</v>
      </c>
      <c r="N24" s="749"/>
      <c r="O24" s="749"/>
      <c r="P24" s="749"/>
      <c r="Q24" s="749"/>
      <c r="R24" s="749"/>
      <c r="S24" s="749"/>
      <c r="T24" s="750"/>
      <c r="U24" s="769" t="s">
        <v>107</v>
      </c>
      <c r="V24" s="792"/>
      <c r="W24" s="792"/>
      <c r="X24" s="792"/>
      <c r="Y24" s="792"/>
      <c r="Z24" s="792"/>
      <c r="AA24" s="792"/>
      <c r="AB24" s="792"/>
      <c r="AC24" s="792"/>
      <c r="AD24" s="792"/>
      <c r="AE24" s="792"/>
      <c r="AF24" s="792"/>
      <c r="AG24" s="792"/>
      <c r="AH24" s="792"/>
      <c r="AI24" s="792"/>
      <c r="AJ24" s="793"/>
      <c r="AL24" s="56"/>
      <c r="AM24" s="48"/>
      <c r="AN24" s="48"/>
      <c r="AO24" s="48"/>
      <c r="AP24" s="48"/>
      <c r="AQ24" s="48"/>
      <c r="AR24" s="48"/>
      <c r="AW24" s="48" t="s">
        <v>108</v>
      </c>
    </row>
    <row r="25" spans="13:52">
      <c r="M25" s="751"/>
      <c r="N25" s="752"/>
      <c r="O25" s="752"/>
      <c r="P25" s="752"/>
      <c r="Q25" s="752"/>
      <c r="R25" s="752"/>
      <c r="S25" s="752"/>
      <c r="T25" s="753"/>
      <c r="U25" s="794"/>
      <c r="V25" s="795"/>
      <c r="W25" s="795"/>
      <c r="X25" s="795"/>
      <c r="Y25" s="795"/>
      <c r="Z25" s="795"/>
      <c r="AA25" s="795"/>
      <c r="AB25" s="795"/>
      <c r="AC25" s="795"/>
      <c r="AD25" s="795"/>
      <c r="AE25" s="795"/>
      <c r="AF25" s="795"/>
      <c r="AG25" s="795"/>
      <c r="AH25" s="795"/>
      <c r="AI25" s="795"/>
      <c r="AJ25" s="796"/>
      <c r="AL25" s="56"/>
      <c r="AM25" s="57"/>
      <c r="AN25" s="57"/>
      <c r="AO25" s="57"/>
      <c r="AP25" s="57"/>
      <c r="AQ25" s="57"/>
      <c r="AR25" s="57"/>
      <c r="AS25" s="58"/>
      <c r="AU25" s="58"/>
      <c r="AW25" s="48" t="s">
        <v>28</v>
      </c>
    </row>
    <row r="26" spans="13:52" ht="11.25" customHeight="1">
      <c r="M26" s="748" t="s">
        <v>109</v>
      </c>
      <c r="N26" s="749"/>
      <c r="O26" s="749"/>
      <c r="P26" s="749"/>
      <c r="Q26" s="749"/>
      <c r="R26" s="749"/>
      <c r="S26" s="749"/>
      <c r="T26" s="750"/>
      <c r="U26" s="769" t="s">
        <v>110</v>
      </c>
      <c r="V26" s="770"/>
      <c r="W26" s="770"/>
      <c r="X26" s="770"/>
      <c r="Y26" s="770"/>
      <c r="Z26" s="770"/>
      <c r="AA26" s="770"/>
      <c r="AB26" s="771"/>
      <c r="AC26" s="775" t="s">
        <v>111</v>
      </c>
      <c r="AD26" s="776"/>
      <c r="AE26" s="769" t="s">
        <v>112</v>
      </c>
      <c r="AF26" s="770"/>
      <c r="AG26" s="770"/>
      <c r="AH26" s="770"/>
      <c r="AI26" s="770"/>
      <c r="AJ26" s="771"/>
      <c r="AK26" s="59"/>
      <c r="AL26" s="56"/>
      <c r="AM26" s="57"/>
      <c r="AN26" s="57"/>
      <c r="AO26" s="57"/>
      <c r="AP26" s="57"/>
      <c r="AQ26" s="57"/>
      <c r="AR26" s="57"/>
      <c r="AS26" s="58"/>
      <c r="AU26" s="58"/>
      <c r="AV26" s="58"/>
      <c r="AW26" s="60" t="s">
        <v>29</v>
      </c>
      <c r="AX26" s="58"/>
      <c r="AY26" s="58"/>
      <c r="AZ26" s="58"/>
    </row>
    <row r="27" spans="13:52" ht="12" customHeight="1">
      <c r="M27" s="751"/>
      <c r="N27" s="752"/>
      <c r="O27" s="752"/>
      <c r="P27" s="752"/>
      <c r="Q27" s="752"/>
      <c r="R27" s="752"/>
      <c r="S27" s="752"/>
      <c r="T27" s="753"/>
      <c r="U27" s="772"/>
      <c r="V27" s="773"/>
      <c r="W27" s="773"/>
      <c r="X27" s="773"/>
      <c r="Y27" s="773"/>
      <c r="Z27" s="773"/>
      <c r="AA27" s="773"/>
      <c r="AB27" s="774"/>
      <c r="AC27" s="777"/>
      <c r="AD27" s="778"/>
      <c r="AE27" s="772"/>
      <c r="AF27" s="773"/>
      <c r="AG27" s="773"/>
      <c r="AH27" s="773"/>
      <c r="AI27" s="773"/>
      <c r="AJ27" s="774"/>
      <c r="AK27" s="61"/>
      <c r="AL27" s="56"/>
      <c r="AM27" s="48"/>
      <c r="AN27" s="48"/>
      <c r="AO27" s="48"/>
      <c r="AP27" s="48"/>
      <c r="AQ27" s="48"/>
      <c r="AR27" s="48"/>
      <c r="AV27" s="58"/>
      <c r="AW27" s="60" t="s">
        <v>113</v>
      </c>
      <c r="AX27" s="58"/>
      <c r="AY27" s="58"/>
      <c r="AZ27" s="58"/>
    </row>
    <row r="28" spans="13:52">
      <c r="M28" s="748" t="s">
        <v>78</v>
      </c>
      <c r="N28" s="749"/>
      <c r="O28" s="749"/>
      <c r="P28" s="749"/>
      <c r="Q28" s="749"/>
      <c r="R28" s="749"/>
      <c r="S28" s="749"/>
      <c r="T28" s="750"/>
      <c r="U28" s="779" t="s">
        <v>114</v>
      </c>
      <c r="V28" s="755"/>
      <c r="W28" s="755"/>
      <c r="X28" s="755"/>
      <c r="Y28" s="755"/>
      <c r="Z28" s="755"/>
      <c r="AA28" s="755"/>
      <c r="AB28" s="755"/>
      <c r="AC28" s="755"/>
      <c r="AD28" s="755"/>
      <c r="AE28" s="755"/>
      <c r="AF28" s="755"/>
      <c r="AG28" s="755"/>
      <c r="AH28" s="755"/>
      <c r="AI28" s="755"/>
      <c r="AJ28" s="756"/>
      <c r="AL28" s="56"/>
      <c r="AM28" s="48"/>
      <c r="AN28" s="48"/>
      <c r="AO28" s="48"/>
      <c r="AP28" s="48"/>
      <c r="AQ28" s="48"/>
      <c r="AR28" s="48"/>
    </row>
    <row r="29" spans="13:52" ht="11.25" customHeight="1">
      <c r="M29" s="751"/>
      <c r="N29" s="752"/>
      <c r="O29" s="752"/>
      <c r="P29" s="752"/>
      <c r="Q29" s="752"/>
      <c r="R29" s="752"/>
      <c r="S29" s="752"/>
      <c r="T29" s="753"/>
      <c r="U29" s="757"/>
      <c r="V29" s="758"/>
      <c r="W29" s="758"/>
      <c r="X29" s="758"/>
      <c r="Y29" s="758"/>
      <c r="Z29" s="758"/>
      <c r="AA29" s="758"/>
      <c r="AB29" s="758"/>
      <c r="AC29" s="758"/>
      <c r="AD29" s="758"/>
      <c r="AE29" s="758"/>
      <c r="AF29" s="758"/>
      <c r="AG29" s="758"/>
      <c r="AH29" s="758"/>
      <c r="AI29" s="758"/>
      <c r="AJ29" s="759"/>
      <c r="AL29" s="56"/>
      <c r="AM29" s="48"/>
      <c r="AN29" s="48"/>
      <c r="AO29" s="48"/>
      <c r="AP29" s="48"/>
      <c r="AQ29" s="48"/>
      <c r="AR29" s="48"/>
      <c r="AX29" s="62"/>
    </row>
    <row r="30" spans="13:52" ht="11.25" customHeight="1">
      <c r="M30" s="748" t="s">
        <v>115</v>
      </c>
      <c r="N30" s="749"/>
      <c r="O30" s="749"/>
      <c r="P30" s="749"/>
      <c r="Q30" s="749"/>
      <c r="R30" s="749"/>
      <c r="S30" s="749"/>
      <c r="T30" s="750"/>
      <c r="U30" s="754" t="str">
        <f>M50</f>
        <v>Web受注一覧照会</v>
      </c>
      <c r="V30" s="755"/>
      <c r="W30" s="755"/>
      <c r="X30" s="755"/>
      <c r="Y30" s="755"/>
      <c r="Z30" s="755"/>
      <c r="AA30" s="755"/>
      <c r="AB30" s="755"/>
      <c r="AC30" s="755"/>
      <c r="AD30" s="755"/>
      <c r="AE30" s="755"/>
      <c r="AF30" s="755"/>
      <c r="AG30" s="755"/>
      <c r="AH30" s="755"/>
      <c r="AI30" s="755"/>
      <c r="AJ30" s="756"/>
      <c r="AL30" s="56"/>
      <c r="AM30" s="48"/>
      <c r="AN30" s="48"/>
      <c r="AO30" s="48"/>
      <c r="AP30" s="48"/>
      <c r="AQ30" s="48"/>
      <c r="AR30" s="48"/>
      <c r="AW30" s="62"/>
      <c r="AX30" s="62"/>
    </row>
    <row r="31" spans="13:52" ht="11.25" customHeight="1">
      <c r="M31" s="751"/>
      <c r="N31" s="752"/>
      <c r="O31" s="752"/>
      <c r="P31" s="752"/>
      <c r="Q31" s="752"/>
      <c r="R31" s="752"/>
      <c r="S31" s="752"/>
      <c r="T31" s="753"/>
      <c r="U31" s="757"/>
      <c r="V31" s="758"/>
      <c r="W31" s="758"/>
      <c r="X31" s="758"/>
      <c r="Y31" s="758"/>
      <c r="Z31" s="758"/>
      <c r="AA31" s="758"/>
      <c r="AB31" s="758"/>
      <c r="AC31" s="758"/>
      <c r="AD31" s="758"/>
      <c r="AE31" s="758"/>
      <c r="AF31" s="758"/>
      <c r="AG31" s="758"/>
      <c r="AH31" s="758"/>
      <c r="AI31" s="758"/>
      <c r="AJ31" s="759"/>
      <c r="AL31" s="56"/>
      <c r="AM31" s="48"/>
      <c r="AN31" s="48"/>
      <c r="AO31" s="48"/>
      <c r="AP31" s="48"/>
      <c r="AQ31" s="48"/>
      <c r="AR31" s="48"/>
      <c r="AW31" s="62"/>
    </row>
    <row r="32" spans="13:52" ht="11.25" customHeight="1">
      <c r="M32" s="748" t="s">
        <v>116</v>
      </c>
      <c r="N32" s="749"/>
      <c r="O32" s="749"/>
      <c r="P32" s="749"/>
      <c r="Q32" s="749"/>
      <c r="R32" s="749"/>
      <c r="S32" s="749"/>
      <c r="T32" s="750"/>
      <c r="U32" s="754" t="str">
        <f>G50</f>
        <v>MSBBPA080</v>
      </c>
      <c r="V32" s="755"/>
      <c r="W32" s="755"/>
      <c r="X32" s="755"/>
      <c r="Y32" s="755"/>
      <c r="Z32" s="755"/>
      <c r="AA32" s="755"/>
      <c r="AB32" s="755"/>
      <c r="AC32" s="755"/>
      <c r="AD32" s="755"/>
      <c r="AE32" s="755"/>
      <c r="AF32" s="755"/>
      <c r="AG32" s="755"/>
      <c r="AH32" s="755"/>
      <c r="AI32" s="755"/>
      <c r="AJ32" s="756"/>
      <c r="AL32" s="56"/>
      <c r="AM32" s="48"/>
      <c r="AN32" s="48"/>
      <c r="AO32" s="48"/>
      <c r="AP32" s="48"/>
      <c r="AQ32" s="48"/>
      <c r="AR32" s="48"/>
    </row>
    <row r="33" spans="1:49" ht="11.25" customHeight="1">
      <c r="M33" s="751"/>
      <c r="N33" s="752"/>
      <c r="O33" s="752"/>
      <c r="P33" s="752"/>
      <c r="Q33" s="752"/>
      <c r="R33" s="752"/>
      <c r="S33" s="752"/>
      <c r="T33" s="753"/>
      <c r="U33" s="757"/>
      <c r="V33" s="758"/>
      <c r="W33" s="758"/>
      <c r="X33" s="758"/>
      <c r="Y33" s="758"/>
      <c r="Z33" s="758"/>
      <c r="AA33" s="758"/>
      <c r="AB33" s="758"/>
      <c r="AC33" s="758"/>
      <c r="AD33" s="758"/>
      <c r="AE33" s="758"/>
      <c r="AF33" s="758"/>
      <c r="AG33" s="758"/>
      <c r="AH33" s="758"/>
      <c r="AI33" s="758"/>
      <c r="AJ33" s="759"/>
      <c r="AL33" s="56"/>
      <c r="AM33" s="48"/>
      <c r="AN33" s="48"/>
      <c r="AO33" s="48"/>
      <c r="AP33" s="48"/>
      <c r="AQ33" s="48"/>
      <c r="AR33" s="48"/>
    </row>
    <row r="34" spans="1:49" ht="13.5" customHeight="1">
      <c r="M34" s="748" t="s">
        <v>99</v>
      </c>
      <c r="N34" s="749"/>
      <c r="O34" s="749"/>
      <c r="P34" s="749"/>
      <c r="Q34" s="749"/>
      <c r="R34" s="749"/>
      <c r="S34" s="749"/>
      <c r="T34" s="750"/>
      <c r="U34" s="760" t="s">
        <v>100</v>
      </c>
      <c r="V34" s="761"/>
      <c r="W34" s="761"/>
      <c r="X34" s="761"/>
      <c r="Y34" s="761"/>
      <c r="Z34" s="761"/>
      <c r="AA34" s="761"/>
      <c r="AB34" s="761"/>
      <c r="AC34" s="761"/>
      <c r="AD34" s="761"/>
      <c r="AE34" s="761"/>
      <c r="AF34" s="761"/>
      <c r="AG34" s="761"/>
      <c r="AH34" s="761"/>
      <c r="AI34" s="761"/>
      <c r="AJ34" s="762"/>
      <c r="AL34" s="56"/>
      <c r="AM34" s="48"/>
      <c r="AN34" s="48"/>
      <c r="AO34" s="48"/>
      <c r="AP34" s="48"/>
      <c r="AQ34" s="48"/>
      <c r="AR34" s="48"/>
      <c r="AW34" s="62"/>
    </row>
    <row r="35" spans="1:49" ht="11.25" customHeight="1">
      <c r="M35" s="751"/>
      <c r="N35" s="752"/>
      <c r="O35" s="752"/>
      <c r="P35" s="752"/>
      <c r="Q35" s="752"/>
      <c r="R35" s="752"/>
      <c r="S35" s="752"/>
      <c r="T35" s="753"/>
      <c r="U35" s="763"/>
      <c r="V35" s="764"/>
      <c r="W35" s="764"/>
      <c r="X35" s="764"/>
      <c r="Y35" s="764"/>
      <c r="Z35" s="764"/>
      <c r="AA35" s="764"/>
      <c r="AB35" s="764"/>
      <c r="AC35" s="764"/>
      <c r="AD35" s="764"/>
      <c r="AE35" s="764"/>
      <c r="AF35" s="764"/>
      <c r="AG35" s="764"/>
      <c r="AH35" s="764"/>
      <c r="AI35" s="764"/>
      <c r="AJ35" s="765"/>
      <c r="AL35" s="56"/>
      <c r="AM35" s="48"/>
      <c r="AN35" s="48"/>
      <c r="AO35" s="48"/>
      <c r="AP35" s="48"/>
      <c r="AQ35" s="48"/>
      <c r="AR35" s="48"/>
      <c r="AW35" s="62"/>
    </row>
    <row r="36" spans="1:49" ht="11.25" customHeight="1">
      <c r="M36" s="748" t="s">
        <v>108</v>
      </c>
      <c r="N36" s="749"/>
      <c r="O36" s="749"/>
      <c r="P36" s="749"/>
      <c r="Q36" s="749"/>
      <c r="R36" s="749"/>
      <c r="S36" s="749"/>
      <c r="T36" s="750"/>
      <c r="U36" s="760" t="s">
        <v>117</v>
      </c>
      <c r="V36" s="761"/>
      <c r="W36" s="761"/>
      <c r="X36" s="761"/>
      <c r="Y36" s="761"/>
      <c r="Z36" s="761"/>
      <c r="AA36" s="761"/>
      <c r="AB36" s="761"/>
      <c r="AC36" s="761"/>
      <c r="AD36" s="761"/>
      <c r="AE36" s="761"/>
      <c r="AF36" s="761"/>
      <c r="AG36" s="761"/>
      <c r="AH36" s="761"/>
      <c r="AI36" s="761"/>
      <c r="AJ36" s="762"/>
      <c r="AL36" s="56"/>
      <c r="AM36" s="48"/>
      <c r="AN36" s="48"/>
      <c r="AO36" s="48"/>
      <c r="AP36" s="48"/>
      <c r="AQ36" s="48"/>
      <c r="AR36" s="48"/>
      <c r="AW36" s="62"/>
    </row>
    <row r="37" spans="1:49" ht="11.25" customHeight="1">
      <c r="B37" s="63"/>
      <c r="C37" s="63"/>
      <c r="D37" s="63"/>
      <c r="M37" s="751"/>
      <c r="N37" s="752"/>
      <c r="O37" s="752"/>
      <c r="P37" s="752"/>
      <c r="Q37" s="752"/>
      <c r="R37" s="752"/>
      <c r="S37" s="752"/>
      <c r="T37" s="753"/>
      <c r="U37" s="763"/>
      <c r="V37" s="764"/>
      <c r="W37" s="764"/>
      <c r="X37" s="764"/>
      <c r="Y37" s="764"/>
      <c r="Z37" s="764"/>
      <c r="AA37" s="764"/>
      <c r="AB37" s="764"/>
      <c r="AC37" s="764"/>
      <c r="AD37" s="764"/>
      <c r="AE37" s="764"/>
      <c r="AF37" s="764"/>
      <c r="AG37" s="764"/>
      <c r="AH37" s="764"/>
      <c r="AI37" s="764"/>
      <c r="AJ37" s="765"/>
      <c r="AL37" s="56"/>
      <c r="AM37" s="48"/>
      <c r="AN37" s="48"/>
      <c r="AO37" s="48"/>
      <c r="AP37" s="48"/>
      <c r="AQ37" s="48"/>
      <c r="AR37" s="48"/>
    </row>
    <row r="38" spans="1:49" ht="13.5" customHeight="1">
      <c r="U38" s="64"/>
      <c r="V38" s="64"/>
      <c r="W38" s="64"/>
      <c r="X38" s="64"/>
      <c r="Y38" s="64"/>
      <c r="Z38" s="64"/>
      <c r="AA38" s="64"/>
      <c r="AB38" s="64"/>
      <c r="AC38" s="64"/>
      <c r="AD38" s="64"/>
      <c r="AE38" s="64"/>
      <c r="AF38" s="64"/>
    </row>
    <row r="39" spans="1:49" ht="13.5" customHeight="1">
      <c r="M39" s="65"/>
      <c r="N39" s="65"/>
      <c r="O39" s="65"/>
      <c r="P39" s="65"/>
      <c r="R39" s="65"/>
      <c r="S39" s="65"/>
      <c r="T39" s="65"/>
      <c r="U39" s="65"/>
      <c r="W39" s="766" t="s">
        <v>118</v>
      </c>
      <c r="X39" s="767"/>
      <c r="Y39" s="767"/>
      <c r="Z39" s="768"/>
      <c r="AB39" s="766" t="s">
        <v>119</v>
      </c>
      <c r="AC39" s="767"/>
      <c r="AD39" s="767"/>
      <c r="AE39" s="768"/>
      <c r="AG39" s="766" t="s">
        <v>120</v>
      </c>
      <c r="AH39" s="767"/>
      <c r="AI39" s="767"/>
      <c r="AJ39" s="768"/>
    </row>
    <row r="40" spans="1:49" ht="11.25" customHeight="1">
      <c r="M40" s="65"/>
      <c r="N40" s="65"/>
      <c r="O40" s="65"/>
      <c r="P40" s="65"/>
      <c r="R40" s="65"/>
      <c r="S40" s="65"/>
      <c r="T40" s="65"/>
      <c r="U40" s="65"/>
      <c r="W40" s="736" t="s">
        <v>121</v>
      </c>
      <c r="X40" s="737"/>
      <c r="Y40" s="737"/>
      <c r="Z40" s="738"/>
      <c r="AB40" s="736"/>
      <c r="AC40" s="737"/>
      <c r="AD40" s="737"/>
      <c r="AE40" s="738"/>
      <c r="AG40" s="742"/>
      <c r="AH40" s="743"/>
      <c r="AI40" s="743"/>
      <c r="AJ40" s="744"/>
    </row>
    <row r="41" spans="1:49">
      <c r="M41" s="65"/>
      <c r="N41" s="65"/>
      <c r="O41" s="65"/>
      <c r="P41" s="65"/>
      <c r="R41" s="65"/>
      <c r="S41" s="65"/>
      <c r="T41" s="65"/>
      <c r="U41" s="65"/>
      <c r="W41" s="739"/>
      <c r="X41" s="740"/>
      <c r="Y41" s="740"/>
      <c r="Z41" s="741"/>
      <c r="AB41" s="739"/>
      <c r="AC41" s="740"/>
      <c r="AD41" s="740"/>
      <c r="AE41" s="741"/>
      <c r="AG41" s="745"/>
      <c r="AH41" s="746"/>
      <c r="AI41" s="746"/>
      <c r="AJ41" s="747"/>
    </row>
    <row r="42" spans="1:49">
      <c r="M42" s="66"/>
      <c r="N42" s="66"/>
      <c r="O42" s="66"/>
      <c r="P42" s="66"/>
      <c r="R42" s="66"/>
      <c r="S42" s="66"/>
      <c r="T42" s="66"/>
      <c r="U42" s="66"/>
      <c r="W42" s="699">
        <v>44805</v>
      </c>
      <c r="X42" s="700"/>
      <c r="Y42" s="700"/>
      <c r="Z42" s="701"/>
      <c r="AB42" s="705"/>
      <c r="AC42" s="706"/>
      <c r="AD42" s="706"/>
      <c r="AE42" s="707"/>
      <c r="AG42" s="711"/>
      <c r="AH42" s="712"/>
      <c r="AI42" s="712"/>
      <c r="AJ42" s="713"/>
    </row>
    <row r="43" spans="1:49">
      <c r="C43" s="717"/>
      <c r="D43" s="717"/>
      <c r="E43" s="717"/>
      <c r="F43" s="717"/>
      <c r="G43" s="717"/>
      <c r="H43" s="717"/>
      <c r="M43" s="66"/>
      <c r="N43" s="66"/>
      <c r="O43" s="66"/>
      <c r="P43" s="66"/>
      <c r="R43" s="66"/>
      <c r="S43" s="66"/>
      <c r="T43" s="66"/>
      <c r="U43" s="66"/>
      <c r="W43" s="702"/>
      <c r="X43" s="703"/>
      <c r="Y43" s="703"/>
      <c r="Z43" s="704"/>
      <c r="AB43" s="708"/>
      <c r="AC43" s="709"/>
      <c r="AD43" s="709"/>
      <c r="AE43" s="710"/>
      <c r="AG43" s="714"/>
      <c r="AH43" s="715"/>
      <c r="AI43" s="715"/>
      <c r="AJ43" s="716"/>
    </row>
    <row r="44" spans="1:49">
      <c r="C44" s="717"/>
      <c r="D44" s="717"/>
      <c r="E44" s="717"/>
      <c r="F44" s="717"/>
      <c r="G44" s="717"/>
      <c r="H44" s="717"/>
    </row>
    <row r="45" spans="1:49" ht="15.75">
      <c r="C45" s="718"/>
      <c r="D45" s="718"/>
      <c r="E45" s="718"/>
      <c r="F45" s="718"/>
      <c r="G45" s="718"/>
      <c r="H45" s="718"/>
    </row>
    <row r="48" spans="1:49" ht="12" customHeight="1">
      <c r="A48" s="719" t="s">
        <v>101</v>
      </c>
      <c r="B48" s="720"/>
      <c r="C48" s="720"/>
      <c r="D48" s="720"/>
      <c r="E48" s="720"/>
      <c r="F48" s="721"/>
      <c r="G48" s="719" t="s">
        <v>122</v>
      </c>
      <c r="H48" s="720"/>
      <c r="I48" s="720"/>
      <c r="J48" s="720"/>
      <c r="K48" s="720"/>
      <c r="L48" s="721"/>
      <c r="M48" s="719" t="s">
        <v>123</v>
      </c>
      <c r="N48" s="725"/>
      <c r="O48" s="725"/>
      <c r="P48" s="725"/>
      <c r="Q48" s="725"/>
      <c r="R48" s="725"/>
      <c r="S48" s="725"/>
      <c r="T48" s="725"/>
      <c r="U48" s="726"/>
      <c r="V48" s="719" t="s">
        <v>124</v>
      </c>
      <c r="W48" s="720"/>
      <c r="X48" s="720"/>
      <c r="Y48" s="720"/>
      <c r="Z48" s="720"/>
      <c r="AA48" s="721"/>
      <c r="AB48" s="730" t="s">
        <v>125</v>
      </c>
      <c r="AC48" s="731"/>
      <c r="AD48" s="731"/>
      <c r="AE48" s="731"/>
      <c r="AF48" s="731"/>
      <c r="AG48" s="732"/>
    </row>
    <row r="49" spans="1:86" ht="12" customHeight="1">
      <c r="A49" s="722"/>
      <c r="B49" s="723"/>
      <c r="C49" s="723"/>
      <c r="D49" s="723"/>
      <c r="E49" s="723"/>
      <c r="F49" s="724"/>
      <c r="G49" s="722"/>
      <c r="H49" s="723"/>
      <c r="I49" s="723"/>
      <c r="J49" s="723"/>
      <c r="K49" s="723"/>
      <c r="L49" s="724"/>
      <c r="M49" s="727"/>
      <c r="N49" s="728"/>
      <c r="O49" s="728"/>
      <c r="P49" s="728"/>
      <c r="Q49" s="728"/>
      <c r="R49" s="728"/>
      <c r="S49" s="728"/>
      <c r="T49" s="728"/>
      <c r="U49" s="729"/>
      <c r="V49" s="722"/>
      <c r="W49" s="723"/>
      <c r="X49" s="723"/>
      <c r="Y49" s="723"/>
      <c r="Z49" s="723"/>
      <c r="AA49" s="724"/>
      <c r="AB49" s="733"/>
      <c r="AC49" s="734"/>
      <c r="AD49" s="734"/>
      <c r="AE49" s="734"/>
      <c r="AF49" s="734"/>
      <c r="AG49" s="735"/>
    </row>
    <row r="50" spans="1:86" ht="12" customHeight="1">
      <c r="A50" s="673" t="s">
        <v>126</v>
      </c>
      <c r="B50" s="674"/>
      <c r="C50" s="674"/>
      <c r="D50" s="674"/>
      <c r="E50" s="674"/>
      <c r="F50" s="675"/>
      <c r="G50" s="673" t="s">
        <v>127</v>
      </c>
      <c r="H50" s="674"/>
      <c r="I50" s="674"/>
      <c r="J50" s="674"/>
      <c r="K50" s="674"/>
      <c r="L50" s="675"/>
      <c r="M50" s="679" t="s">
        <v>128</v>
      </c>
      <c r="N50" s="680"/>
      <c r="O50" s="680"/>
      <c r="P50" s="680"/>
      <c r="Q50" s="680"/>
      <c r="R50" s="680"/>
      <c r="S50" s="680"/>
      <c r="T50" s="680"/>
      <c r="U50" s="681"/>
      <c r="V50" s="685" t="s">
        <v>129</v>
      </c>
      <c r="W50" s="686"/>
      <c r="X50" s="686"/>
      <c r="Y50" s="686"/>
      <c r="Z50" s="686"/>
      <c r="AA50" s="687"/>
      <c r="AB50" s="691" t="s">
        <v>130</v>
      </c>
      <c r="AC50" s="692"/>
      <c r="AD50" s="692"/>
      <c r="AE50" s="692"/>
      <c r="AF50" s="692"/>
      <c r="AG50" s="693"/>
    </row>
    <row r="51" spans="1:86" ht="12" customHeight="1">
      <c r="A51" s="676"/>
      <c r="B51" s="677"/>
      <c r="C51" s="677"/>
      <c r="D51" s="677"/>
      <c r="E51" s="677"/>
      <c r="F51" s="678"/>
      <c r="G51" s="676"/>
      <c r="H51" s="677"/>
      <c r="I51" s="677"/>
      <c r="J51" s="677"/>
      <c r="K51" s="677"/>
      <c r="L51" s="678"/>
      <c r="M51" s="682"/>
      <c r="N51" s="683"/>
      <c r="O51" s="683"/>
      <c r="P51" s="683"/>
      <c r="Q51" s="683"/>
      <c r="R51" s="683"/>
      <c r="S51" s="683"/>
      <c r="T51" s="683"/>
      <c r="U51" s="684"/>
      <c r="V51" s="688"/>
      <c r="W51" s="689"/>
      <c r="X51" s="689"/>
      <c r="Y51" s="689"/>
      <c r="Z51" s="689"/>
      <c r="AA51" s="690"/>
      <c r="AB51" s="694"/>
      <c r="AC51" s="695"/>
      <c r="AD51" s="695"/>
      <c r="AE51" s="695"/>
      <c r="AF51" s="695"/>
      <c r="AG51" s="696"/>
    </row>
    <row r="53" spans="1:86" s="67" customFormat="1" ht="15.75">
      <c r="A53" s="67" t="s">
        <v>131</v>
      </c>
    </row>
    <row r="54" spans="1:86" s="67" customFormat="1" ht="15.75" customHeight="1">
      <c r="A54" s="47" t="s">
        <v>110</v>
      </c>
      <c r="B54" s="47"/>
      <c r="C54" s="47"/>
      <c r="D54" s="47"/>
      <c r="E54" s="47"/>
      <c r="F54" s="47"/>
      <c r="G54" s="47"/>
      <c r="H54" s="47"/>
      <c r="I54" s="47"/>
      <c r="J54" s="47"/>
      <c r="K54" s="47" t="s">
        <v>132</v>
      </c>
      <c r="L54" s="47"/>
      <c r="M54" s="47"/>
      <c r="N54" s="47"/>
      <c r="O54" s="47"/>
      <c r="P54" s="47"/>
      <c r="Q54" s="47"/>
      <c r="R54" s="47"/>
      <c r="S54" s="47"/>
      <c r="T54" s="47"/>
      <c r="U54" s="47" t="s">
        <v>133</v>
      </c>
      <c r="V54" s="47"/>
      <c r="W54" s="47"/>
      <c r="X54" s="47"/>
      <c r="Y54" s="47"/>
      <c r="Z54" s="47" t="s">
        <v>134</v>
      </c>
      <c r="AA54" s="47"/>
      <c r="AB54" s="47"/>
      <c r="AC54" s="47"/>
      <c r="AD54" s="47"/>
      <c r="AE54" s="47" t="s">
        <v>135</v>
      </c>
      <c r="AF54" s="47"/>
      <c r="AG54" s="47"/>
      <c r="AH54" s="47"/>
      <c r="AI54" s="47"/>
      <c r="AJ54" s="47" t="s">
        <v>110</v>
      </c>
      <c r="AK54" s="47"/>
      <c r="AL54" s="47"/>
      <c r="AM54" s="47"/>
      <c r="AN54" s="47"/>
      <c r="AO54" s="47"/>
      <c r="AP54" s="47"/>
      <c r="AQ54" s="47"/>
      <c r="AR54" s="47"/>
      <c r="AS54" s="47" t="s">
        <v>101</v>
      </c>
      <c r="AT54" s="47"/>
      <c r="AU54" s="47"/>
      <c r="AV54" s="47"/>
      <c r="AW54" s="47"/>
      <c r="AX54" s="47"/>
      <c r="AY54" s="47"/>
      <c r="AZ54" s="47" t="s">
        <v>136</v>
      </c>
      <c r="BA54" s="47"/>
      <c r="BB54" s="47"/>
      <c r="BC54" s="47"/>
      <c r="BD54" s="47"/>
      <c r="BE54" s="47"/>
      <c r="BF54" s="47" t="s">
        <v>137</v>
      </c>
      <c r="BG54" s="47"/>
      <c r="BH54" s="47"/>
      <c r="BI54" s="47"/>
      <c r="BJ54" s="47"/>
      <c r="BK54" s="47"/>
    </row>
    <row r="55" spans="1:86" s="67" customFormat="1" ht="15.75" customHeight="1">
      <c r="A55" s="47"/>
      <c r="B55" s="47"/>
      <c r="C55" s="47"/>
      <c r="D55" s="47"/>
      <c r="E55" s="47"/>
      <c r="F55" s="47"/>
      <c r="G55" s="47"/>
      <c r="H55" s="47"/>
      <c r="I55" s="47"/>
      <c r="J55" s="47"/>
      <c r="K55" s="47" t="s">
        <v>138</v>
      </c>
      <c r="L55" s="47"/>
      <c r="M55" s="47"/>
      <c r="N55" s="47"/>
      <c r="O55" s="47"/>
      <c r="P55" s="47"/>
      <c r="Q55" s="47"/>
      <c r="R55" s="47"/>
      <c r="S55" s="47"/>
      <c r="T55" s="47"/>
      <c r="U55" s="47" t="s">
        <v>139</v>
      </c>
      <c r="V55" s="47"/>
      <c r="W55" s="47"/>
      <c r="X55" s="47"/>
      <c r="Y55" s="47"/>
      <c r="Z55" s="47" t="s">
        <v>140</v>
      </c>
      <c r="AA55" s="47"/>
      <c r="AB55" s="47"/>
      <c r="AC55" s="47"/>
      <c r="AD55" s="47"/>
      <c r="AE55" s="47" t="s">
        <v>141</v>
      </c>
      <c r="AF55" s="47"/>
      <c r="AG55" s="47"/>
      <c r="AH55" s="47"/>
      <c r="AI55" s="47"/>
      <c r="AJ55" s="47" t="s">
        <v>142</v>
      </c>
      <c r="AK55" s="47"/>
      <c r="AL55" s="47"/>
      <c r="AM55" s="47"/>
      <c r="AN55" s="47"/>
      <c r="AO55" s="47"/>
      <c r="AP55" s="47"/>
      <c r="AQ55" s="47"/>
      <c r="AR55" s="47"/>
      <c r="AS55" s="47" t="s">
        <v>143</v>
      </c>
      <c r="AT55" s="47"/>
      <c r="AU55" s="47"/>
      <c r="AV55" s="47"/>
      <c r="AW55" s="47"/>
      <c r="AX55" s="47"/>
      <c r="AY55" s="47"/>
      <c r="AZ55" s="47" t="s">
        <v>129</v>
      </c>
      <c r="BA55" s="47"/>
      <c r="BB55" s="47"/>
      <c r="BC55" s="47"/>
      <c r="BD55" s="47"/>
      <c r="BE55" s="47"/>
      <c r="BF55" s="47" t="s">
        <v>144</v>
      </c>
      <c r="BG55" s="47"/>
      <c r="BH55" s="47"/>
      <c r="BI55" s="47"/>
      <c r="BJ55" s="47"/>
      <c r="BK55" s="47"/>
    </row>
    <row r="56" spans="1:86" s="67" customFormat="1" ht="16.5" customHeight="1">
      <c r="A56" s="47"/>
      <c r="B56" s="47"/>
      <c r="C56" s="47"/>
      <c r="D56" s="47"/>
      <c r="E56" s="47"/>
      <c r="F56" s="47"/>
      <c r="G56" s="47"/>
      <c r="H56" s="47"/>
      <c r="I56" s="47"/>
      <c r="J56" s="47"/>
      <c r="K56" s="47" t="s">
        <v>145</v>
      </c>
      <c r="L56" s="47"/>
      <c r="M56" s="47"/>
      <c r="N56" s="47"/>
      <c r="O56" s="47"/>
      <c r="P56" s="47"/>
      <c r="Q56" s="47"/>
      <c r="R56" s="47"/>
      <c r="S56" s="47"/>
      <c r="T56" s="47"/>
      <c r="U56" s="47" t="s">
        <v>146</v>
      </c>
      <c r="V56" s="47"/>
      <c r="W56" s="47"/>
      <c r="X56" s="47"/>
      <c r="Y56" s="47"/>
      <c r="Z56" s="47" t="s">
        <v>127</v>
      </c>
      <c r="AA56" s="47"/>
      <c r="AB56" s="47"/>
      <c r="AC56" s="47"/>
      <c r="AD56" s="47"/>
      <c r="AE56" s="166" t="s">
        <v>128</v>
      </c>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row>
    <row r="57" spans="1:86" s="67" customFormat="1" ht="16.5" thickBot="1">
      <c r="A57" s="67" t="s">
        <v>147</v>
      </c>
      <c r="B57" s="68"/>
      <c r="C57" s="68"/>
      <c r="D57" s="68"/>
      <c r="E57" s="68"/>
      <c r="F57" s="68"/>
      <c r="G57" s="68"/>
      <c r="H57" s="68"/>
      <c r="I57" s="68"/>
      <c r="J57" s="68"/>
      <c r="K57" s="68"/>
      <c r="L57" s="69"/>
      <c r="M57" s="70"/>
      <c r="N57" s="70"/>
      <c r="O57" s="70"/>
      <c r="P57" s="70"/>
      <c r="Q57" s="70"/>
      <c r="R57" s="70"/>
      <c r="S57" s="70"/>
      <c r="T57" s="70"/>
      <c r="U57" s="70"/>
      <c r="V57" s="70"/>
      <c r="W57" s="70"/>
      <c r="X57" s="70"/>
      <c r="Y57" s="70"/>
      <c r="Z57" s="70"/>
      <c r="AA57" s="71"/>
      <c r="AB57" s="72"/>
      <c r="AC57" s="73"/>
      <c r="AD57" s="73"/>
      <c r="AE57" s="73"/>
      <c r="AF57" s="73"/>
      <c r="AG57" s="73"/>
      <c r="AH57" s="74"/>
      <c r="AI57" s="71"/>
      <c r="AJ57" s="71"/>
      <c r="AK57" s="71"/>
      <c r="AL57" s="71"/>
      <c r="AM57" s="71"/>
      <c r="AN57" s="71"/>
      <c r="AO57" s="71"/>
      <c r="AP57" s="71"/>
      <c r="AQ57" s="71"/>
      <c r="AR57" s="71"/>
      <c r="AS57" s="71"/>
      <c r="AT57" s="71"/>
      <c r="AU57" s="75"/>
      <c r="AV57" s="75"/>
      <c r="AW57" s="75"/>
      <c r="AX57" s="75"/>
      <c r="AY57" s="75"/>
      <c r="AZ57" s="75"/>
      <c r="BA57" s="75"/>
      <c r="BB57" s="68"/>
      <c r="BC57" s="68"/>
      <c r="BD57" s="68"/>
      <c r="BE57" s="68"/>
      <c r="BF57" s="68"/>
      <c r="BG57" s="70"/>
      <c r="BH57" s="70"/>
      <c r="BI57" s="70"/>
      <c r="BJ57" s="70"/>
      <c r="BK57" s="70"/>
    </row>
    <row r="58" spans="1:86" s="67" customFormat="1" ht="15.75">
      <c r="A58" s="639" t="str">
        <f>A54</f>
        <v>Webシステム</v>
      </c>
      <c r="B58" s="640"/>
      <c r="C58" s="640"/>
      <c r="D58" s="640"/>
      <c r="E58" s="640"/>
      <c r="F58" s="640"/>
      <c r="G58" s="640"/>
      <c r="H58" s="640"/>
      <c r="I58" s="640"/>
      <c r="J58" s="641"/>
      <c r="K58" s="648" t="s">
        <v>132</v>
      </c>
      <c r="L58" s="649"/>
      <c r="M58" s="649"/>
      <c r="N58" s="649"/>
      <c r="O58" s="649"/>
      <c r="P58" s="649"/>
      <c r="Q58" s="649"/>
      <c r="R58" s="649"/>
      <c r="S58" s="649"/>
      <c r="T58" s="697"/>
      <c r="U58" s="698" t="s">
        <v>148</v>
      </c>
      <c r="V58" s="652"/>
      <c r="W58" s="652"/>
      <c r="X58" s="652"/>
      <c r="Y58" s="653"/>
      <c r="Z58" s="625" t="str">
        <f>Z54</f>
        <v>MS</v>
      </c>
      <c r="AA58" s="604"/>
      <c r="AB58" s="604"/>
      <c r="AC58" s="604"/>
      <c r="AD58" s="605"/>
      <c r="AE58" s="650" t="s">
        <v>135</v>
      </c>
      <c r="AF58" s="604"/>
      <c r="AG58" s="604"/>
      <c r="AH58" s="604"/>
      <c r="AI58" s="605"/>
      <c r="AJ58" s="651" t="str">
        <f>AJ54</f>
        <v>Webシステム</v>
      </c>
      <c r="AK58" s="652"/>
      <c r="AL58" s="652"/>
      <c r="AM58" s="652"/>
      <c r="AN58" s="652"/>
      <c r="AO58" s="652"/>
      <c r="AP58" s="652"/>
      <c r="AQ58" s="652"/>
      <c r="AR58" s="653"/>
      <c r="AS58" s="654" t="s">
        <v>101</v>
      </c>
      <c r="AT58" s="654"/>
      <c r="AU58" s="654"/>
      <c r="AV58" s="654"/>
      <c r="AW58" s="654"/>
      <c r="AX58" s="654"/>
      <c r="AY58" s="654"/>
      <c r="AZ58" s="603" t="s">
        <v>124</v>
      </c>
      <c r="BA58" s="604"/>
      <c r="BB58" s="604"/>
      <c r="BC58" s="604"/>
      <c r="BD58" s="604"/>
      <c r="BE58" s="605"/>
      <c r="BF58" s="603" t="s">
        <v>149</v>
      </c>
      <c r="BG58" s="604"/>
      <c r="BH58" s="604"/>
      <c r="BI58" s="604"/>
      <c r="BJ58" s="604"/>
      <c r="BK58" s="655"/>
    </row>
    <row r="59" spans="1:86" s="67" customFormat="1" ht="15.75" customHeight="1">
      <c r="A59" s="642"/>
      <c r="B59" s="643"/>
      <c r="C59" s="643"/>
      <c r="D59" s="643"/>
      <c r="E59" s="643"/>
      <c r="F59" s="643"/>
      <c r="G59" s="643"/>
      <c r="H59" s="643"/>
      <c r="I59" s="643"/>
      <c r="J59" s="644"/>
      <c r="K59" s="610" t="str">
        <f>文書名</f>
        <v>アドオン設計書</v>
      </c>
      <c r="L59" s="611"/>
      <c r="M59" s="611"/>
      <c r="N59" s="611"/>
      <c r="O59" s="611"/>
      <c r="P59" s="611"/>
      <c r="Q59" s="611"/>
      <c r="R59" s="611"/>
      <c r="S59" s="611"/>
      <c r="T59" s="620"/>
      <c r="U59" s="656" t="s">
        <v>150</v>
      </c>
      <c r="V59" s="657"/>
      <c r="W59" s="657"/>
      <c r="X59" s="657"/>
      <c r="Y59" s="658"/>
      <c r="Z59" s="615" t="str">
        <f>Z55</f>
        <v>MSBB</v>
      </c>
      <c r="AA59" s="616"/>
      <c r="AB59" s="616"/>
      <c r="AC59" s="616"/>
      <c r="AD59" s="617"/>
      <c r="AE59" s="612" t="s">
        <v>141</v>
      </c>
      <c r="AF59" s="613"/>
      <c r="AG59" s="613"/>
      <c r="AH59" s="613"/>
      <c r="AI59" s="614"/>
      <c r="AJ59" s="618" t="str">
        <f>AJ55</f>
        <v>販売Webシステム</v>
      </c>
      <c r="AK59" s="659"/>
      <c r="AL59" s="659"/>
      <c r="AM59" s="659"/>
      <c r="AN59" s="659"/>
      <c r="AO59" s="659"/>
      <c r="AP59" s="659"/>
      <c r="AQ59" s="659"/>
      <c r="AR59" s="660"/>
      <c r="AS59" s="661" t="str">
        <f>AS55</f>
        <v>M7-US-1140</v>
      </c>
      <c r="AT59" s="662"/>
      <c r="AU59" s="662"/>
      <c r="AV59" s="662"/>
      <c r="AW59" s="662"/>
      <c r="AX59" s="662"/>
      <c r="AY59" s="662"/>
      <c r="AZ59" s="624" t="str">
        <f>AZ55</f>
        <v>1.0.0</v>
      </c>
      <c r="BA59" s="611"/>
      <c r="BB59" s="611"/>
      <c r="BC59" s="611"/>
      <c r="BD59" s="611"/>
      <c r="BE59" s="620"/>
      <c r="BF59" s="626" t="str">
        <f>BF55</f>
        <v>r00.00</v>
      </c>
      <c r="BG59" s="611"/>
      <c r="BH59" s="611"/>
      <c r="BI59" s="611"/>
      <c r="BJ59" s="611"/>
      <c r="BK59" s="627"/>
    </row>
    <row r="60" spans="1:86" s="67" customFormat="1" ht="16.5" customHeight="1" thickBot="1">
      <c r="A60" s="645"/>
      <c r="B60" s="646"/>
      <c r="C60" s="646"/>
      <c r="D60" s="646"/>
      <c r="E60" s="646"/>
      <c r="F60" s="646"/>
      <c r="G60" s="646"/>
      <c r="H60" s="646"/>
      <c r="I60" s="646"/>
      <c r="J60" s="647"/>
      <c r="K60" s="629" t="str">
        <f ca="1">RIGHT(CELL("filename",$A$1),LEN(CELL("filename",$A$1))-FIND("]",CELL("filename",$A$1)))</f>
        <v>表紙</v>
      </c>
      <c r="L60" s="630"/>
      <c r="M60" s="630"/>
      <c r="N60" s="630"/>
      <c r="O60" s="630"/>
      <c r="P60" s="630"/>
      <c r="Q60" s="630"/>
      <c r="R60" s="630"/>
      <c r="S60" s="630"/>
      <c r="T60" s="664"/>
      <c r="U60" s="665" t="s">
        <v>146</v>
      </c>
      <c r="V60" s="666"/>
      <c r="W60" s="666"/>
      <c r="X60" s="666"/>
      <c r="Y60" s="667"/>
      <c r="Z60" s="668" t="str">
        <f>Z56</f>
        <v>MSBBPA080</v>
      </c>
      <c r="AA60" s="669"/>
      <c r="AB60" s="669"/>
      <c r="AC60" s="669"/>
      <c r="AD60" s="669"/>
      <c r="AE60" s="670" t="str">
        <f>AE56</f>
        <v>Web受注一覧照会</v>
      </c>
      <c r="AF60" s="671"/>
      <c r="AG60" s="671"/>
      <c r="AH60" s="671"/>
      <c r="AI60" s="671"/>
      <c r="AJ60" s="671"/>
      <c r="AK60" s="671"/>
      <c r="AL60" s="671"/>
      <c r="AM60" s="671"/>
      <c r="AN60" s="671"/>
      <c r="AO60" s="671"/>
      <c r="AP60" s="671"/>
      <c r="AQ60" s="671"/>
      <c r="AR60" s="672"/>
      <c r="AS60" s="663"/>
      <c r="AT60" s="663"/>
      <c r="AU60" s="663"/>
      <c r="AV60" s="663"/>
      <c r="AW60" s="663"/>
      <c r="AX60" s="663"/>
      <c r="AY60" s="663"/>
      <c r="AZ60" s="621"/>
      <c r="BA60" s="622"/>
      <c r="BB60" s="622"/>
      <c r="BC60" s="622"/>
      <c r="BD60" s="622"/>
      <c r="BE60" s="623"/>
      <c r="BF60" s="621"/>
      <c r="BG60" s="622"/>
      <c r="BH60" s="622"/>
      <c r="BI60" s="622"/>
      <c r="BJ60" s="622"/>
      <c r="BK60" s="628"/>
    </row>
    <row r="61" spans="1:86" s="67" customFormat="1" ht="15.75">
      <c r="A61" s="68"/>
      <c r="B61" s="68"/>
      <c r="C61" s="68"/>
      <c r="D61" s="68"/>
      <c r="E61" s="68"/>
      <c r="F61" s="68"/>
      <c r="G61" s="68"/>
      <c r="H61" s="68"/>
      <c r="I61" s="68"/>
      <c r="J61" s="68"/>
      <c r="K61" s="68"/>
      <c r="L61" s="69"/>
      <c r="M61" s="70"/>
      <c r="N61" s="70"/>
      <c r="O61" s="70"/>
      <c r="P61" s="70"/>
      <c r="Q61" s="70"/>
      <c r="R61" s="70"/>
      <c r="S61" s="70"/>
      <c r="T61" s="70"/>
      <c r="U61" s="70"/>
      <c r="V61" s="70"/>
      <c r="W61" s="70"/>
      <c r="X61" s="70"/>
      <c r="Y61" s="70"/>
      <c r="Z61" s="70"/>
      <c r="AA61" s="71"/>
      <c r="AB61" s="72"/>
      <c r="AC61" s="73"/>
      <c r="AD61" s="73"/>
      <c r="AE61" s="73"/>
      <c r="AF61" s="73"/>
      <c r="AG61" s="73"/>
      <c r="AH61" s="74"/>
      <c r="AI61" s="71"/>
      <c r="AJ61" s="71"/>
      <c r="AK61" s="71"/>
      <c r="AL61" s="71"/>
      <c r="AM61" s="71"/>
      <c r="AN61" s="71"/>
      <c r="AO61" s="71"/>
      <c r="AP61" s="71"/>
      <c r="AQ61" s="71"/>
      <c r="AR61" s="71"/>
      <c r="AS61" s="71"/>
      <c r="AT61" s="71"/>
      <c r="AU61" s="75"/>
      <c r="AV61" s="75"/>
      <c r="AW61" s="75"/>
      <c r="AX61" s="75"/>
      <c r="AY61" s="75"/>
      <c r="AZ61" s="75"/>
      <c r="BA61" s="75"/>
      <c r="BB61" s="68"/>
      <c r="BC61" s="68"/>
      <c r="BD61" s="68"/>
      <c r="BE61" s="68"/>
      <c r="BF61" s="68"/>
      <c r="BG61" s="70"/>
      <c r="BH61" s="70"/>
      <c r="BI61" s="70"/>
      <c r="BJ61" s="70"/>
      <c r="BK61" s="70"/>
    </row>
    <row r="62" spans="1:86" s="67" customFormat="1" ht="16.5" thickBot="1">
      <c r="A62" s="67" t="s">
        <v>151</v>
      </c>
    </row>
    <row r="63" spans="1:86" s="67" customFormat="1" ht="15.75" customHeight="1">
      <c r="A63" s="639" t="str">
        <f>A58</f>
        <v>Webシステム</v>
      </c>
      <c r="B63" s="640"/>
      <c r="C63" s="640"/>
      <c r="D63" s="640"/>
      <c r="E63" s="640"/>
      <c r="F63" s="640"/>
      <c r="G63" s="640"/>
      <c r="H63" s="640"/>
      <c r="I63" s="640"/>
      <c r="J63" s="640"/>
      <c r="K63" s="640"/>
      <c r="L63" s="640"/>
      <c r="M63" s="640"/>
      <c r="N63" s="641"/>
      <c r="O63" s="648" t="s">
        <v>132</v>
      </c>
      <c r="P63" s="649"/>
      <c r="Q63" s="649"/>
      <c r="R63" s="649"/>
      <c r="S63" s="649"/>
      <c r="T63" s="649"/>
      <c r="U63" s="649"/>
      <c r="V63" s="649"/>
      <c r="W63" s="649"/>
      <c r="X63" s="649"/>
      <c r="Y63" s="649"/>
      <c r="Z63" s="649"/>
      <c r="AA63" s="649"/>
      <c r="AB63" s="649"/>
      <c r="AC63" s="650" t="s">
        <v>148</v>
      </c>
      <c r="AD63" s="604"/>
      <c r="AE63" s="604"/>
      <c r="AF63" s="604"/>
      <c r="AG63" s="604"/>
      <c r="AH63" s="604"/>
      <c r="AI63" s="605"/>
      <c r="AJ63" s="625" t="str">
        <f>Z58</f>
        <v>MS</v>
      </c>
      <c r="AK63" s="604"/>
      <c r="AL63" s="604"/>
      <c r="AM63" s="604"/>
      <c r="AN63" s="604"/>
      <c r="AO63" s="604"/>
      <c r="AP63" s="605"/>
      <c r="AQ63" s="650" t="s">
        <v>135</v>
      </c>
      <c r="AR63" s="604"/>
      <c r="AS63" s="604"/>
      <c r="AT63" s="604"/>
      <c r="AU63" s="604"/>
      <c r="AV63" s="604"/>
      <c r="AW63" s="605"/>
      <c r="AX63" s="625" t="str">
        <f>AJ58</f>
        <v>Webシステム</v>
      </c>
      <c r="AY63" s="604"/>
      <c r="AZ63" s="604"/>
      <c r="BA63" s="604"/>
      <c r="BB63" s="604"/>
      <c r="BC63" s="604"/>
      <c r="BD63" s="604"/>
      <c r="BE63" s="604"/>
      <c r="BF63" s="604"/>
      <c r="BG63" s="604"/>
      <c r="BH63" s="604"/>
      <c r="BI63" s="604"/>
      <c r="BJ63" s="604"/>
      <c r="BK63" s="605"/>
      <c r="BL63" s="603" t="s">
        <v>101</v>
      </c>
      <c r="BM63" s="604"/>
      <c r="BN63" s="604"/>
      <c r="BO63" s="604"/>
      <c r="BP63" s="604"/>
      <c r="BQ63" s="604"/>
      <c r="BR63" s="604"/>
      <c r="BS63" s="604"/>
      <c r="BT63" s="605"/>
      <c r="BU63" s="606" t="s">
        <v>124</v>
      </c>
      <c r="BV63" s="607"/>
      <c r="BW63" s="607"/>
      <c r="BX63" s="607"/>
      <c r="BY63" s="607"/>
      <c r="BZ63" s="607"/>
      <c r="CA63" s="608"/>
      <c r="CB63" s="606" t="s">
        <v>149</v>
      </c>
      <c r="CC63" s="607"/>
      <c r="CD63" s="607"/>
      <c r="CE63" s="607"/>
      <c r="CF63" s="607"/>
      <c r="CG63" s="607"/>
      <c r="CH63" s="609"/>
    </row>
    <row r="64" spans="1:86" s="67" customFormat="1" ht="15.75" customHeight="1">
      <c r="A64" s="642"/>
      <c r="B64" s="643"/>
      <c r="C64" s="643"/>
      <c r="D64" s="643"/>
      <c r="E64" s="643"/>
      <c r="F64" s="643"/>
      <c r="G64" s="643"/>
      <c r="H64" s="643"/>
      <c r="I64" s="643"/>
      <c r="J64" s="643"/>
      <c r="K64" s="643"/>
      <c r="L64" s="643"/>
      <c r="M64" s="643"/>
      <c r="N64" s="644"/>
      <c r="O64" s="610" t="str">
        <f>K59</f>
        <v>アドオン設計書</v>
      </c>
      <c r="P64" s="611"/>
      <c r="Q64" s="611"/>
      <c r="R64" s="611"/>
      <c r="S64" s="611"/>
      <c r="T64" s="611"/>
      <c r="U64" s="611"/>
      <c r="V64" s="611"/>
      <c r="W64" s="611"/>
      <c r="X64" s="611"/>
      <c r="Y64" s="611"/>
      <c r="Z64" s="611"/>
      <c r="AA64" s="611"/>
      <c r="AB64" s="611"/>
      <c r="AC64" s="612" t="s">
        <v>152</v>
      </c>
      <c r="AD64" s="613"/>
      <c r="AE64" s="613"/>
      <c r="AF64" s="613"/>
      <c r="AG64" s="613"/>
      <c r="AH64" s="613"/>
      <c r="AI64" s="614"/>
      <c r="AJ64" s="615" t="str">
        <f>Z59</f>
        <v>MSBB</v>
      </c>
      <c r="AK64" s="616"/>
      <c r="AL64" s="616"/>
      <c r="AM64" s="616"/>
      <c r="AN64" s="616"/>
      <c r="AO64" s="616"/>
      <c r="AP64" s="617"/>
      <c r="AQ64" s="612" t="s">
        <v>153</v>
      </c>
      <c r="AR64" s="613"/>
      <c r="AS64" s="613"/>
      <c r="AT64" s="613"/>
      <c r="AU64" s="613"/>
      <c r="AV64" s="613"/>
      <c r="AW64" s="614"/>
      <c r="AX64" s="618" t="str">
        <f>AJ59</f>
        <v>販売Webシステム</v>
      </c>
      <c r="AY64" s="613"/>
      <c r="AZ64" s="613"/>
      <c r="BA64" s="613"/>
      <c r="BB64" s="613"/>
      <c r="BC64" s="613"/>
      <c r="BD64" s="613"/>
      <c r="BE64" s="613"/>
      <c r="BF64" s="613"/>
      <c r="BG64" s="613"/>
      <c r="BH64" s="613"/>
      <c r="BI64" s="613"/>
      <c r="BJ64" s="613"/>
      <c r="BK64" s="614"/>
      <c r="BL64" s="619" t="str">
        <f>AS59</f>
        <v>M7-US-1140</v>
      </c>
      <c r="BM64" s="611"/>
      <c r="BN64" s="611"/>
      <c r="BO64" s="611"/>
      <c r="BP64" s="611"/>
      <c r="BQ64" s="611"/>
      <c r="BR64" s="611"/>
      <c r="BS64" s="611"/>
      <c r="BT64" s="620"/>
      <c r="BU64" s="624" t="s">
        <v>154</v>
      </c>
      <c r="BV64" s="611"/>
      <c r="BW64" s="611"/>
      <c r="BX64" s="611"/>
      <c r="BY64" s="611"/>
      <c r="BZ64" s="611"/>
      <c r="CA64" s="620"/>
      <c r="CB64" s="626" cm="1">
        <f t="array" ref="CB64">MAX(_xlfn.NUMBERVALUE(改訂!A7:E48))</f>
        <v>2</v>
      </c>
      <c r="CC64" s="611"/>
      <c r="CD64" s="611"/>
      <c r="CE64" s="611"/>
      <c r="CF64" s="611"/>
      <c r="CG64" s="611"/>
      <c r="CH64" s="627"/>
    </row>
    <row r="65" spans="1:86" s="67" customFormat="1" ht="16.5" customHeight="1" thickBot="1">
      <c r="A65" s="645"/>
      <c r="B65" s="646"/>
      <c r="C65" s="646"/>
      <c r="D65" s="646"/>
      <c r="E65" s="646"/>
      <c r="F65" s="646"/>
      <c r="G65" s="646"/>
      <c r="H65" s="646"/>
      <c r="I65" s="646"/>
      <c r="J65" s="646"/>
      <c r="K65" s="646"/>
      <c r="L65" s="646"/>
      <c r="M65" s="646"/>
      <c r="N65" s="647"/>
      <c r="O65" s="629" t="str">
        <f ca="1">RIGHT(CELL("filename",$A$1),LEN(CELL("filename",$A$1))-FIND("]",CELL("filename",$A$1)))</f>
        <v>表紙</v>
      </c>
      <c r="P65" s="630"/>
      <c r="Q65" s="630"/>
      <c r="R65" s="630"/>
      <c r="S65" s="630"/>
      <c r="T65" s="630"/>
      <c r="U65" s="630"/>
      <c r="V65" s="630"/>
      <c r="W65" s="630"/>
      <c r="X65" s="630"/>
      <c r="Y65" s="630"/>
      <c r="Z65" s="630"/>
      <c r="AA65" s="630"/>
      <c r="AB65" s="630"/>
      <c r="AC65" s="631" t="s">
        <v>146</v>
      </c>
      <c r="AD65" s="632"/>
      <c r="AE65" s="632"/>
      <c r="AF65" s="632"/>
      <c r="AG65" s="632"/>
      <c r="AH65" s="632"/>
      <c r="AI65" s="633"/>
      <c r="AJ65" s="634" t="str">
        <f>Z60</f>
        <v>MSBBPA080</v>
      </c>
      <c r="AK65" s="635"/>
      <c r="AL65" s="635"/>
      <c r="AM65" s="635"/>
      <c r="AN65" s="635"/>
      <c r="AO65" s="635"/>
      <c r="AP65" s="635"/>
      <c r="AQ65" s="636" t="str">
        <f>AE60</f>
        <v>Web受注一覧照会</v>
      </c>
      <c r="AR65" s="637"/>
      <c r="AS65" s="637"/>
      <c r="AT65" s="637"/>
      <c r="AU65" s="637"/>
      <c r="AV65" s="637"/>
      <c r="AW65" s="637"/>
      <c r="AX65" s="637"/>
      <c r="AY65" s="637"/>
      <c r="AZ65" s="637"/>
      <c r="BA65" s="637"/>
      <c r="BB65" s="637"/>
      <c r="BC65" s="637"/>
      <c r="BD65" s="637"/>
      <c r="BE65" s="637"/>
      <c r="BF65" s="637"/>
      <c r="BG65" s="637"/>
      <c r="BH65" s="637"/>
      <c r="BI65" s="637"/>
      <c r="BJ65" s="637"/>
      <c r="BK65" s="638"/>
      <c r="BL65" s="621"/>
      <c r="BM65" s="622"/>
      <c r="BN65" s="622"/>
      <c r="BO65" s="622"/>
      <c r="BP65" s="622"/>
      <c r="BQ65" s="622"/>
      <c r="BR65" s="622"/>
      <c r="BS65" s="622"/>
      <c r="BT65" s="623"/>
      <c r="BU65" s="621"/>
      <c r="BV65" s="622"/>
      <c r="BW65" s="622"/>
      <c r="BX65" s="622"/>
      <c r="BY65" s="622"/>
      <c r="BZ65" s="622"/>
      <c r="CA65" s="623"/>
      <c r="CB65" s="621"/>
      <c r="CC65" s="622"/>
      <c r="CD65" s="622"/>
      <c r="CE65" s="622"/>
      <c r="CF65" s="622"/>
      <c r="CG65" s="622"/>
      <c r="CH65" s="628"/>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9"/>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activeCell="BJ3" sqref="BJ3"/>
    </sheetView>
  </sheetViews>
  <sheetFormatPr defaultColWidth="2.125" defaultRowHeight="15.75"/>
  <cols>
    <col min="1" max="56" width="2.125" style="76" customWidth="1"/>
    <col min="57" max="16384" width="2.125" style="76"/>
  </cols>
  <sheetData>
    <row r="1" spans="1:74" ht="19.5" customHeight="1">
      <c r="A1" s="934" t="s">
        <v>155</v>
      </c>
      <c r="B1" s="935"/>
      <c r="C1" s="935"/>
      <c r="D1" s="935"/>
      <c r="E1" s="935"/>
      <c r="F1" s="935"/>
      <c r="G1" s="935"/>
      <c r="H1" s="935"/>
      <c r="I1" s="935"/>
      <c r="J1" s="936"/>
      <c r="K1" s="940" t="s">
        <v>156</v>
      </c>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c r="AM1" s="941"/>
      <c r="AN1" s="941"/>
      <c r="AO1" s="941"/>
      <c r="AP1" s="941"/>
      <c r="AQ1" s="941"/>
      <c r="AR1" s="941"/>
      <c r="AS1" s="941"/>
      <c r="AT1" s="942"/>
      <c r="AU1" s="918" t="s">
        <v>157</v>
      </c>
      <c r="AV1" s="919"/>
      <c r="AW1" s="919"/>
      <c r="AX1" s="919"/>
      <c r="AY1" s="946"/>
      <c r="AZ1" s="947" t="s">
        <v>158</v>
      </c>
      <c r="BA1" s="948"/>
      <c r="BB1" s="948"/>
      <c r="BC1" s="948"/>
      <c r="BD1" s="949"/>
      <c r="BE1" s="918" t="s">
        <v>159</v>
      </c>
      <c r="BF1" s="919"/>
      <c r="BG1" s="919"/>
      <c r="BH1" s="919"/>
      <c r="BI1" s="946"/>
      <c r="BJ1" s="950">
        <f>表紙!W42</f>
        <v>44805</v>
      </c>
      <c r="BK1" s="951"/>
      <c r="BL1" s="951"/>
      <c r="BM1" s="951"/>
      <c r="BN1" s="951"/>
      <c r="BO1" s="952"/>
      <c r="BP1" s="918" t="s">
        <v>149</v>
      </c>
      <c r="BQ1" s="919"/>
      <c r="BR1" s="919"/>
      <c r="BS1" s="919"/>
      <c r="BT1" s="919"/>
      <c r="BU1" s="919"/>
      <c r="BV1" s="920"/>
    </row>
    <row r="2" spans="1:74" ht="19.5" customHeight="1" thickBot="1">
      <c r="A2" s="937"/>
      <c r="B2" s="938"/>
      <c r="C2" s="938"/>
      <c r="D2" s="938"/>
      <c r="E2" s="938"/>
      <c r="F2" s="938"/>
      <c r="G2" s="938"/>
      <c r="H2" s="938"/>
      <c r="I2" s="938"/>
      <c r="J2" s="939"/>
      <c r="K2" s="943"/>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5"/>
      <c r="AU2" s="921" t="s">
        <v>160</v>
      </c>
      <c r="AV2" s="922"/>
      <c r="AW2" s="922"/>
      <c r="AX2" s="922"/>
      <c r="AY2" s="923"/>
      <c r="AZ2" s="924" t="str">
        <f>BM12</f>
        <v>TBK徐</v>
      </c>
      <c r="BA2" s="925"/>
      <c r="BB2" s="925"/>
      <c r="BC2" s="925"/>
      <c r="BD2" s="926"/>
      <c r="BE2" s="927" t="s">
        <v>161</v>
      </c>
      <c r="BF2" s="928"/>
      <c r="BG2" s="928"/>
      <c r="BH2" s="928"/>
      <c r="BI2" s="929"/>
      <c r="BJ2" s="924">
        <f>BM11</f>
        <v>44966</v>
      </c>
      <c r="BK2" s="930"/>
      <c r="BL2" s="930"/>
      <c r="BM2" s="930"/>
      <c r="BN2" s="930"/>
      <c r="BO2" s="931"/>
      <c r="BP2" s="932">
        <f>表紙!CB64</f>
        <v>2</v>
      </c>
      <c r="BQ2" s="925"/>
      <c r="BR2" s="925"/>
      <c r="BS2" s="925"/>
      <c r="BT2" s="925"/>
      <c r="BU2" s="925"/>
      <c r="BV2" s="933"/>
    </row>
    <row r="3" spans="1:74" ht="6.75" customHeight="1">
      <c r="A3" s="77"/>
      <c r="B3" s="77"/>
      <c r="C3" s="77"/>
      <c r="D3" s="77"/>
      <c r="E3" s="77"/>
      <c r="F3" s="77"/>
      <c r="G3" s="77"/>
      <c r="H3" s="77"/>
      <c r="I3" s="77"/>
      <c r="J3" s="77"/>
      <c r="K3" s="77"/>
      <c r="L3" s="77"/>
      <c r="M3" s="77"/>
      <c r="N3" s="77"/>
      <c r="O3" s="77"/>
      <c r="P3" s="77"/>
      <c r="Q3" s="77"/>
      <c r="R3" s="77"/>
      <c r="S3" s="77"/>
      <c r="T3" s="77"/>
      <c r="U3" s="78"/>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row>
    <row r="4" spans="1:74" ht="17.25" thickBot="1">
      <c r="A4" s="79"/>
      <c r="B4" s="77"/>
      <c r="C4" s="77"/>
      <c r="D4" s="77"/>
      <c r="E4" s="77"/>
      <c r="F4" s="77"/>
      <c r="G4" s="77"/>
      <c r="H4" s="77"/>
      <c r="I4" s="77"/>
      <c r="J4" s="77"/>
      <c r="K4" s="77"/>
      <c r="L4" s="77"/>
      <c r="M4" s="77"/>
      <c r="N4" s="77"/>
      <c r="O4" s="77"/>
      <c r="P4" s="77"/>
      <c r="Q4" s="77"/>
      <c r="R4" s="77"/>
      <c r="S4" s="77"/>
      <c r="T4" s="77"/>
      <c r="U4" s="78"/>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row>
    <row r="5" spans="1:74" ht="13.5" customHeight="1">
      <c r="A5" s="878" t="s">
        <v>149</v>
      </c>
      <c r="B5" s="879"/>
      <c r="C5" s="879"/>
      <c r="D5" s="879"/>
      <c r="E5" s="880"/>
      <c r="F5" s="884" t="s">
        <v>162</v>
      </c>
      <c r="G5" s="885"/>
      <c r="H5" s="885"/>
      <c r="I5" s="885"/>
      <c r="J5" s="885"/>
      <c r="K5" s="885"/>
      <c r="L5" s="885"/>
      <c r="M5" s="885"/>
      <c r="N5" s="885"/>
      <c r="O5" s="885"/>
      <c r="P5" s="885"/>
      <c r="Q5" s="885"/>
      <c r="R5" s="885"/>
      <c r="S5" s="885"/>
      <c r="T5" s="885"/>
      <c r="U5" s="885"/>
      <c r="V5" s="885"/>
      <c r="W5" s="885"/>
      <c r="X5" s="885"/>
      <c r="Y5" s="885"/>
      <c r="Z5" s="885"/>
      <c r="AA5" s="885"/>
      <c r="AB5" s="885"/>
      <c r="AC5" s="885"/>
      <c r="AD5" s="885"/>
      <c r="AE5" s="885"/>
      <c r="AF5" s="885"/>
      <c r="AG5" s="885"/>
      <c r="AH5" s="885"/>
      <c r="AI5" s="885"/>
      <c r="AJ5" s="885"/>
      <c r="AK5" s="885"/>
      <c r="AL5" s="885"/>
      <c r="AM5" s="885"/>
      <c r="AN5" s="885"/>
      <c r="AO5" s="885"/>
      <c r="AP5" s="885"/>
      <c r="AQ5" s="885"/>
      <c r="AR5" s="885"/>
      <c r="AS5" s="885"/>
      <c r="AT5" s="885"/>
      <c r="AU5" s="885"/>
      <c r="AV5" s="885"/>
      <c r="AW5" s="885"/>
      <c r="AX5" s="885"/>
      <c r="AY5" s="885"/>
      <c r="AZ5" s="885"/>
      <c r="BA5" s="885"/>
      <c r="BB5" s="886"/>
      <c r="BC5" s="890" t="s">
        <v>163</v>
      </c>
      <c r="BD5" s="879"/>
      <c r="BE5" s="879"/>
      <c r="BF5" s="879"/>
      <c r="BG5" s="879"/>
      <c r="BH5" s="879"/>
      <c r="BI5" s="879"/>
      <c r="BJ5" s="879"/>
      <c r="BK5" s="879"/>
      <c r="BL5" s="880"/>
      <c r="BM5" s="894" t="s">
        <v>164</v>
      </c>
      <c r="BN5" s="879"/>
      <c r="BO5" s="879"/>
      <c r="BP5" s="879"/>
      <c r="BQ5" s="880"/>
      <c r="BR5" s="894" t="s">
        <v>165</v>
      </c>
      <c r="BS5" s="879"/>
      <c r="BT5" s="879"/>
      <c r="BU5" s="879"/>
      <c r="BV5" s="896"/>
    </row>
    <row r="6" spans="1:74" ht="13.5" customHeight="1" thickBot="1">
      <c r="A6" s="881"/>
      <c r="B6" s="882"/>
      <c r="C6" s="882"/>
      <c r="D6" s="882"/>
      <c r="E6" s="883"/>
      <c r="F6" s="887"/>
      <c r="G6" s="888"/>
      <c r="H6" s="888"/>
      <c r="I6" s="888"/>
      <c r="J6" s="888"/>
      <c r="K6" s="888"/>
      <c r="L6" s="888"/>
      <c r="M6" s="888"/>
      <c r="N6" s="888"/>
      <c r="O6" s="888"/>
      <c r="P6" s="888"/>
      <c r="Q6" s="888"/>
      <c r="R6" s="888"/>
      <c r="S6" s="888"/>
      <c r="T6" s="888"/>
      <c r="U6" s="888"/>
      <c r="V6" s="888"/>
      <c r="W6" s="888"/>
      <c r="X6" s="888"/>
      <c r="Y6" s="888"/>
      <c r="Z6" s="888"/>
      <c r="AA6" s="888"/>
      <c r="AB6" s="888"/>
      <c r="AC6" s="888"/>
      <c r="AD6" s="888"/>
      <c r="AE6" s="888"/>
      <c r="AF6" s="888"/>
      <c r="AG6" s="888"/>
      <c r="AH6" s="888"/>
      <c r="AI6" s="888"/>
      <c r="AJ6" s="888"/>
      <c r="AK6" s="888"/>
      <c r="AL6" s="888"/>
      <c r="AM6" s="888"/>
      <c r="AN6" s="888"/>
      <c r="AO6" s="888"/>
      <c r="AP6" s="888"/>
      <c r="AQ6" s="888"/>
      <c r="AR6" s="888"/>
      <c r="AS6" s="888"/>
      <c r="AT6" s="888"/>
      <c r="AU6" s="888"/>
      <c r="AV6" s="888"/>
      <c r="AW6" s="888"/>
      <c r="AX6" s="888"/>
      <c r="AY6" s="888"/>
      <c r="AZ6" s="888"/>
      <c r="BA6" s="888"/>
      <c r="BB6" s="889"/>
      <c r="BC6" s="891"/>
      <c r="BD6" s="892"/>
      <c r="BE6" s="892"/>
      <c r="BF6" s="892"/>
      <c r="BG6" s="892"/>
      <c r="BH6" s="892"/>
      <c r="BI6" s="892"/>
      <c r="BJ6" s="892"/>
      <c r="BK6" s="892"/>
      <c r="BL6" s="893"/>
      <c r="BM6" s="895"/>
      <c r="BN6" s="882"/>
      <c r="BO6" s="882"/>
      <c r="BP6" s="882"/>
      <c r="BQ6" s="883"/>
      <c r="BR6" s="895"/>
      <c r="BS6" s="882"/>
      <c r="BT6" s="882"/>
      <c r="BU6" s="882"/>
      <c r="BV6" s="897"/>
    </row>
    <row r="7" spans="1:74" ht="13.5" customHeight="1" thickTop="1">
      <c r="A7" s="898">
        <v>1</v>
      </c>
      <c r="B7" s="899"/>
      <c r="C7" s="899"/>
      <c r="D7" s="899"/>
      <c r="E7" s="900"/>
      <c r="F7" s="904" t="s">
        <v>166</v>
      </c>
      <c r="G7" s="905"/>
      <c r="H7" s="905"/>
      <c r="I7" s="905"/>
      <c r="J7" s="905"/>
      <c r="K7" s="905"/>
      <c r="L7" s="905"/>
      <c r="M7" s="905"/>
      <c r="N7" s="905"/>
      <c r="O7" s="905"/>
      <c r="P7" s="905"/>
      <c r="Q7" s="905"/>
      <c r="R7" s="905"/>
      <c r="S7" s="905"/>
      <c r="T7" s="905"/>
      <c r="U7" s="905"/>
      <c r="V7" s="905"/>
      <c r="W7" s="905"/>
      <c r="X7" s="905"/>
      <c r="Y7" s="905"/>
      <c r="Z7" s="905"/>
      <c r="AA7" s="905"/>
      <c r="AB7" s="905"/>
      <c r="AC7" s="905"/>
      <c r="AD7" s="905"/>
      <c r="AE7" s="905"/>
      <c r="AF7" s="905"/>
      <c r="AG7" s="905"/>
      <c r="AH7" s="905"/>
      <c r="AI7" s="905"/>
      <c r="AJ7" s="905"/>
      <c r="AK7" s="905"/>
      <c r="AL7" s="905"/>
      <c r="AM7" s="905"/>
      <c r="AN7" s="905"/>
      <c r="AO7" s="905"/>
      <c r="AP7" s="905"/>
      <c r="AQ7" s="905"/>
      <c r="AR7" s="905"/>
      <c r="AS7" s="905"/>
      <c r="AT7" s="905"/>
      <c r="AU7" s="905"/>
      <c r="AV7" s="905"/>
      <c r="AW7" s="905"/>
      <c r="AX7" s="905"/>
      <c r="AY7" s="905"/>
      <c r="AZ7" s="905"/>
      <c r="BA7" s="905"/>
      <c r="BB7" s="906"/>
      <c r="BC7" s="910"/>
      <c r="BD7" s="911"/>
      <c r="BE7" s="911"/>
      <c r="BF7" s="911"/>
      <c r="BG7" s="911"/>
      <c r="BH7" s="911"/>
      <c r="BI7" s="911"/>
      <c r="BJ7" s="911"/>
      <c r="BK7" s="911"/>
      <c r="BL7" s="912"/>
      <c r="BM7" s="913"/>
      <c r="BN7" s="914"/>
      <c r="BO7" s="914"/>
      <c r="BP7" s="914"/>
      <c r="BQ7" s="915"/>
      <c r="BR7" s="916"/>
      <c r="BS7" s="914"/>
      <c r="BT7" s="914"/>
      <c r="BU7" s="914"/>
      <c r="BV7" s="917"/>
    </row>
    <row r="8" spans="1:74" ht="13.5" customHeight="1">
      <c r="A8" s="901"/>
      <c r="B8" s="902"/>
      <c r="C8" s="902"/>
      <c r="D8" s="902"/>
      <c r="E8" s="903"/>
      <c r="F8" s="907"/>
      <c r="G8" s="908"/>
      <c r="H8" s="908"/>
      <c r="I8" s="908"/>
      <c r="J8" s="908"/>
      <c r="K8" s="908"/>
      <c r="L8" s="908"/>
      <c r="M8" s="908"/>
      <c r="N8" s="908"/>
      <c r="O8" s="908"/>
      <c r="P8" s="908"/>
      <c r="Q8" s="908"/>
      <c r="R8" s="908"/>
      <c r="S8" s="908"/>
      <c r="T8" s="908"/>
      <c r="U8" s="908"/>
      <c r="V8" s="908"/>
      <c r="W8" s="908"/>
      <c r="X8" s="908"/>
      <c r="Y8" s="908"/>
      <c r="Z8" s="908"/>
      <c r="AA8" s="908"/>
      <c r="AB8" s="908"/>
      <c r="AC8" s="908"/>
      <c r="AD8" s="908"/>
      <c r="AE8" s="908"/>
      <c r="AF8" s="908"/>
      <c r="AG8" s="908"/>
      <c r="AH8" s="908"/>
      <c r="AI8" s="908"/>
      <c r="AJ8" s="908"/>
      <c r="AK8" s="908"/>
      <c r="AL8" s="908"/>
      <c r="AM8" s="908"/>
      <c r="AN8" s="908"/>
      <c r="AO8" s="908"/>
      <c r="AP8" s="908"/>
      <c r="AQ8" s="908"/>
      <c r="AR8" s="908"/>
      <c r="AS8" s="908"/>
      <c r="AT8" s="908"/>
      <c r="AU8" s="908"/>
      <c r="AV8" s="908"/>
      <c r="AW8" s="908"/>
      <c r="AX8" s="908"/>
      <c r="AY8" s="908"/>
      <c r="AZ8" s="908"/>
      <c r="BA8" s="908"/>
      <c r="BB8" s="909"/>
      <c r="BC8" s="834"/>
      <c r="BD8" s="832"/>
      <c r="BE8" s="832"/>
      <c r="BF8" s="832"/>
      <c r="BG8" s="832"/>
      <c r="BH8" s="832"/>
      <c r="BI8" s="832"/>
      <c r="BJ8" s="832"/>
      <c r="BK8" s="832"/>
      <c r="BL8" s="833"/>
      <c r="BM8" s="835"/>
      <c r="BN8" s="836"/>
      <c r="BO8" s="836"/>
      <c r="BP8" s="836"/>
      <c r="BQ8" s="837"/>
      <c r="BR8" s="835"/>
      <c r="BS8" s="836"/>
      <c r="BT8" s="836"/>
      <c r="BU8" s="836"/>
      <c r="BV8" s="838"/>
    </row>
    <row r="9" spans="1:74" ht="13.5" customHeight="1">
      <c r="A9" s="847">
        <v>2</v>
      </c>
      <c r="B9" s="848"/>
      <c r="C9" s="848"/>
      <c r="D9" s="848"/>
      <c r="E9" s="849"/>
      <c r="F9" s="871" t="s">
        <v>1131</v>
      </c>
      <c r="G9" s="872"/>
      <c r="H9" s="872"/>
      <c r="I9" s="872"/>
      <c r="J9" s="872"/>
      <c r="K9" s="872"/>
      <c r="L9" s="872"/>
      <c r="M9" s="872"/>
      <c r="N9" s="872"/>
      <c r="O9" s="872"/>
      <c r="P9" s="872"/>
      <c r="Q9" s="872"/>
      <c r="R9" s="872"/>
      <c r="S9" s="872"/>
      <c r="T9" s="872"/>
      <c r="U9" s="872"/>
      <c r="V9" s="872"/>
      <c r="W9" s="872"/>
      <c r="X9" s="872"/>
      <c r="Y9" s="872"/>
      <c r="Z9" s="872"/>
      <c r="AA9" s="872"/>
      <c r="AB9" s="872"/>
      <c r="AC9" s="872"/>
      <c r="AD9" s="872"/>
      <c r="AE9" s="872"/>
      <c r="AF9" s="872"/>
      <c r="AG9" s="872"/>
      <c r="AH9" s="872"/>
      <c r="AI9" s="872"/>
      <c r="AJ9" s="872"/>
      <c r="AK9" s="872"/>
      <c r="AL9" s="872"/>
      <c r="AM9" s="872"/>
      <c r="AN9" s="872"/>
      <c r="AO9" s="872"/>
      <c r="AP9" s="872"/>
      <c r="AQ9" s="872"/>
      <c r="AR9" s="872"/>
      <c r="AS9" s="872"/>
      <c r="AT9" s="872"/>
      <c r="AU9" s="872"/>
      <c r="AV9" s="872"/>
      <c r="AW9" s="872"/>
      <c r="AX9" s="872"/>
      <c r="AY9" s="872"/>
      <c r="AZ9" s="872"/>
      <c r="BA9" s="872"/>
      <c r="BB9" s="873"/>
      <c r="BC9" s="871" t="s">
        <v>1132</v>
      </c>
      <c r="BD9" s="872"/>
      <c r="BE9" s="872"/>
      <c r="BF9" s="872"/>
      <c r="BG9" s="872"/>
      <c r="BH9" s="872"/>
      <c r="BI9" s="872"/>
      <c r="BJ9" s="872"/>
      <c r="BK9" s="872"/>
      <c r="BL9" s="873"/>
      <c r="BM9" s="865">
        <v>44944</v>
      </c>
      <c r="BN9" s="866"/>
      <c r="BO9" s="866"/>
      <c r="BP9" s="866"/>
      <c r="BQ9" s="867"/>
      <c r="BR9" s="877"/>
      <c r="BS9" s="824"/>
      <c r="BT9" s="824"/>
      <c r="BU9" s="824"/>
      <c r="BV9" s="826"/>
    </row>
    <row r="10" spans="1:74" ht="13.5" customHeight="1">
      <c r="A10" s="850"/>
      <c r="B10" s="851"/>
      <c r="C10" s="851"/>
      <c r="D10" s="851"/>
      <c r="E10" s="852"/>
      <c r="F10" s="874"/>
      <c r="G10" s="875"/>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c r="AY10" s="875"/>
      <c r="AZ10" s="875"/>
      <c r="BA10" s="875"/>
      <c r="BB10" s="876"/>
      <c r="BC10" s="874"/>
      <c r="BD10" s="875"/>
      <c r="BE10" s="875"/>
      <c r="BF10" s="875"/>
      <c r="BG10" s="875"/>
      <c r="BH10" s="875"/>
      <c r="BI10" s="875"/>
      <c r="BJ10" s="875"/>
      <c r="BK10" s="875"/>
      <c r="BL10" s="876"/>
      <c r="BM10" s="868" t="s">
        <v>1133</v>
      </c>
      <c r="BN10" s="869"/>
      <c r="BO10" s="869"/>
      <c r="BP10" s="869"/>
      <c r="BQ10" s="870"/>
      <c r="BR10" s="835"/>
      <c r="BS10" s="836"/>
      <c r="BT10" s="836"/>
      <c r="BU10" s="836"/>
      <c r="BV10" s="838"/>
    </row>
    <row r="11" spans="1:74" ht="13.5" customHeight="1">
      <c r="A11" s="847">
        <v>2</v>
      </c>
      <c r="B11" s="848"/>
      <c r="C11" s="848"/>
      <c r="D11" s="848"/>
      <c r="E11" s="849"/>
      <c r="F11" s="853" t="s">
        <v>1176</v>
      </c>
      <c r="G11" s="854"/>
      <c r="H11" s="854"/>
      <c r="I11" s="854"/>
      <c r="J11" s="854"/>
      <c r="K11" s="854"/>
      <c r="L11" s="854"/>
      <c r="M11" s="854"/>
      <c r="N11" s="854"/>
      <c r="O11" s="854"/>
      <c r="P11" s="854"/>
      <c r="Q11" s="854"/>
      <c r="R11" s="854"/>
      <c r="S11" s="854"/>
      <c r="T11" s="854"/>
      <c r="U11" s="854"/>
      <c r="V11" s="854"/>
      <c r="W11" s="854"/>
      <c r="X11" s="854"/>
      <c r="Y11" s="854"/>
      <c r="Z11" s="854"/>
      <c r="AA11" s="854"/>
      <c r="AB11" s="854"/>
      <c r="AC11" s="854"/>
      <c r="AD11" s="854"/>
      <c r="AE11" s="854"/>
      <c r="AF11" s="854"/>
      <c r="AG11" s="854"/>
      <c r="AH11" s="854"/>
      <c r="AI11" s="854"/>
      <c r="AJ11" s="854"/>
      <c r="AK11" s="854"/>
      <c r="AL11" s="854"/>
      <c r="AM11" s="854"/>
      <c r="AN11" s="854"/>
      <c r="AO11" s="854"/>
      <c r="AP11" s="854"/>
      <c r="AQ11" s="854"/>
      <c r="AR11" s="854"/>
      <c r="AS11" s="854"/>
      <c r="AT11" s="854"/>
      <c r="AU11" s="854"/>
      <c r="AV11" s="854"/>
      <c r="AW11" s="854"/>
      <c r="AX11" s="854"/>
      <c r="AY11" s="854"/>
      <c r="AZ11" s="854"/>
      <c r="BA11" s="854"/>
      <c r="BB11" s="855"/>
      <c r="BC11" s="859" t="s">
        <v>1175</v>
      </c>
      <c r="BD11" s="860"/>
      <c r="BE11" s="860"/>
      <c r="BF11" s="860"/>
      <c r="BG11" s="860"/>
      <c r="BH11" s="860"/>
      <c r="BI11" s="860"/>
      <c r="BJ11" s="860"/>
      <c r="BK11" s="860"/>
      <c r="BL11" s="861"/>
      <c r="BM11" s="865">
        <v>44966</v>
      </c>
      <c r="BN11" s="866"/>
      <c r="BO11" s="866"/>
      <c r="BP11" s="866"/>
      <c r="BQ11" s="867"/>
      <c r="BR11" s="823"/>
      <c r="BS11" s="824"/>
      <c r="BT11" s="824"/>
      <c r="BU11" s="824"/>
      <c r="BV11" s="826"/>
    </row>
    <row r="12" spans="1:74" ht="13.5" customHeight="1">
      <c r="A12" s="850"/>
      <c r="B12" s="851"/>
      <c r="C12" s="851"/>
      <c r="D12" s="851"/>
      <c r="E12" s="852"/>
      <c r="F12" s="856"/>
      <c r="G12" s="857"/>
      <c r="H12" s="857"/>
      <c r="I12" s="857"/>
      <c r="J12" s="857"/>
      <c r="K12" s="857"/>
      <c r="L12" s="857"/>
      <c r="M12" s="857"/>
      <c r="N12" s="857"/>
      <c r="O12" s="857"/>
      <c r="P12" s="857"/>
      <c r="Q12" s="857"/>
      <c r="R12" s="857"/>
      <c r="S12" s="857"/>
      <c r="T12" s="857"/>
      <c r="U12" s="857"/>
      <c r="V12" s="857"/>
      <c r="W12" s="857"/>
      <c r="X12" s="857"/>
      <c r="Y12" s="857"/>
      <c r="Z12" s="857"/>
      <c r="AA12" s="857"/>
      <c r="AB12" s="857"/>
      <c r="AC12" s="857"/>
      <c r="AD12" s="857"/>
      <c r="AE12" s="857"/>
      <c r="AF12" s="857"/>
      <c r="AG12" s="857"/>
      <c r="AH12" s="857"/>
      <c r="AI12" s="857"/>
      <c r="AJ12" s="857"/>
      <c r="AK12" s="857"/>
      <c r="AL12" s="857"/>
      <c r="AM12" s="857"/>
      <c r="AN12" s="857"/>
      <c r="AO12" s="857"/>
      <c r="AP12" s="857"/>
      <c r="AQ12" s="857"/>
      <c r="AR12" s="857"/>
      <c r="AS12" s="857"/>
      <c r="AT12" s="857"/>
      <c r="AU12" s="857"/>
      <c r="AV12" s="857"/>
      <c r="AW12" s="857"/>
      <c r="AX12" s="857"/>
      <c r="AY12" s="857"/>
      <c r="AZ12" s="857"/>
      <c r="BA12" s="857"/>
      <c r="BB12" s="858"/>
      <c r="BC12" s="862"/>
      <c r="BD12" s="863"/>
      <c r="BE12" s="863"/>
      <c r="BF12" s="863"/>
      <c r="BG12" s="863"/>
      <c r="BH12" s="863"/>
      <c r="BI12" s="863"/>
      <c r="BJ12" s="863"/>
      <c r="BK12" s="863"/>
      <c r="BL12" s="864"/>
      <c r="BM12" s="868" t="s">
        <v>1133</v>
      </c>
      <c r="BN12" s="869"/>
      <c r="BO12" s="869"/>
      <c r="BP12" s="869"/>
      <c r="BQ12" s="870"/>
      <c r="BR12" s="843"/>
      <c r="BS12" s="844"/>
      <c r="BT12" s="844"/>
      <c r="BU12" s="844"/>
      <c r="BV12" s="846"/>
    </row>
    <row r="13" spans="1:74" ht="13.5" customHeight="1">
      <c r="A13" s="815"/>
      <c r="B13" s="816"/>
      <c r="C13" s="816"/>
      <c r="D13" s="816"/>
      <c r="E13" s="817"/>
      <c r="F13" s="821"/>
      <c r="G13" s="816"/>
      <c r="H13" s="816"/>
      <c r="I13" s="816"/>
      <c r="J13" s="816"/>
      <c r="K13" s="816"/>
      <c r="L13" s="816"/>
      <c r="M13" s="816"/>
      <c r="N13" s="816"/>
      <c r="O13" s="816"/>
      <c r="P13" s="816"/>
      <c r="Q13" s="816"/>
      <c r="R13" s="816"/>
      <c r="S13" s="816"/>
      <c r="T13" s="816"/>
      <c r="U13" s="816"/>
      <c r="V13" s="816"/>
      <c r="W13" s="816"/>
      <c r="X13" s="816"/>
      <c r="Y13" s="816"/>
      <c r="Z13" s="816"/>
      <c r="AA13" s="816"/>
      <c r="AB13" s="816"/>
      <c r="AC13" s="816"/>
      <c r="AD13" s="816"/>
      <c r="AE13" s="816"/>
      <c r="AF13" s="816"/>
      <c r="AG13" s="816"/>
      <c r="AH13" s="816"/>
      <c r="AI13" s="816"/>
      <c r="AJ13" s="816"/>
      <c r="AK13" s="816"/>
      <c r="AL13" s="816"/>
      <c r="AM13" s="816"/>
      <c r="AN13" s="816"/>
      <c r="AO13" s="816"/>
      <c r="AP13" s="816"/>
      <c r="AQ13" s="816"/>
      <c r="AR13" s="816"/>
      <c r="AS13" s="816"/>
      <c r="AT13" s="816"/>
      <c r="AU13" s="816"/>
      <c r="AV13" s="816"/>
      <c r="AW13" s="816"/>
      <c r="AX13" s="816"/>
      <c r="AY13" s="816"/>
      <c r="AZ13" s="816"/>
      <c r="BA13" s="816"/>
      <c r="BB13" s="817"/>
      <c r="BC13" s="821"/>
      <c r="BD13" s="816"/>
      <c r="BE13" s="816"/>
      <c r="BF13" s="816"/>
      <c r="BG13" s="816"/>
      <c r="BH13" s="816"/>
      <c r="BI13" s="816"/>
      <c r="BJ13" s="816"/>
      <c r="BK13" s="816"/>
      <c r="BL13" s="817"/>
      <c r="BM13" s="823"/>
      <c r="BN13" s="824"/>
      <c r="BO13" s="824"/>
      <c r="BP13" s="824"/>
      <c r="BQ13" s="825"/>
      <c r="BR13" s="823"/>
      <c r="BS13" s="824"/>
      <c r="BT13" s="824"/>
      <c r="BU13" s="824"/>
      <c r="BV13" s="826"/>
    </row>
    <row r="14" spans="1:74" ht="13.5" customHeight="1">
      <c r="A14" s="831"/>
      <c r="B14" s="832"/>
      <c r="C14" s="832"/>
      <c r="D14" s="832"/>
      <c r="E14" s="833"/>
      <c r="F14" s="834"/>
      <c r="G14" s="832"/>
      <c r="H14" s="832"/>
      <c r="I14" s="832"/>
      <c r="J14" s="832"/>
      <c r="K14" s="832"/>
      <c r="L14" s="832"/>
      <c r="M14" s="832"/>
      <c r="N14" s="832"/>
      <c r="O14" s="832"/>
      <c r="P14" s="832"/>
      <c r="Q14" s="832"/>
      <c r="R14" s="832"/>
      <c r="S14" s="832"/>
      <c r="T14" s="832"/>
      <c r="U14" s="832"/>
      <c r="V14" s="832"/>
      <c r="W14" s="832"/>
      <c r="X14" s="832"/>
      <c r="Y14" s="832"/>
      <c r="Z14" s="832"/>
      <c r="AA14" s="832"/>
      <c r="AB14" s="832"/>
      <c r="AC14" s="832"/>
      <c r="AD14" s="832"/>
      <c r="AE14" s="832"/>
      <c r="AF14" s="832"/>
      <c r="AG14" s="832"/>
      <c r="AH14" s="832"/>
      <c r="AI14" s="832"/>
      <c r="AJ14" s="832"/>
      <c r="AK14" s="832"/>
      <c r="AL14" s="832"/>
      <c r="AM14" s="832"/>
      <c r="AN14" s="832"/>
      <c r="AO14" s="832"/>
      <c r="AP14" s="832"/>
      <c r="AQ14" s="832"/>
      <c r="AR14" s="832"/>
      <c r="AS14" s="832"/>
      <c r="AT14" s="832"/>
      <c r="AU14" s="832"/>
      <c r="AV14" s="832"/>
      <c r="AW14" s="832"/>
      <c r="AX14" s="832"/>
      <c r="AY14" s="832"/>
      <c r="AZ14" s="832"/>
      <c r="BA14" s="832"/>
      <c r="BB14" s="833"/>
      <c r="BC14" s="834"/>
      <c r="BD14" s="832"/>
      <c r="BE14" s="832"/>
      <c r="BF14" s="832"/>
      <c r="BG14" s="832"/>
      <c r="BH14" s="832"/>
      <c r="BI14" s="832"/>
      <c r="BJ14" s="832"/>
      <c r="BK14" s="832"/>
      <c r="BL14" s="833"/>
      <c r="BM14" s="835"/>
      <c r="BN14" s="836"/>
      <c r="BO14" s="836"/>
      <c r="BP14" s="836"/>
      <c r="BQ14" s="837"/>
      <c r="BR14" s="835"/>
      <c r="BS14" s="836"/>
      <c r="BT14" s="836"/>
      <c r="BU14" s="836"/>
      <c r="BV14" s="838"/>
    </row>
    <row r="15" spans="1:74" ht="13.5" customHeight="1">
      <c r="A15" s="815"/>
      <c r="B15" s="816"/>
      <c r="C15" s="816"/>
      <c r="D15" s="816"/>
      <c r="E15" s="817"/>
      <c r="F15" s="821"/>
      <c r="G15" s="816"/>
      <c r="H15" s="816"/>
      <c r="I15" s="816"/>
      <c r="J15" s="816"/>
      <c r="K15" s="816"/>
      <c r="L15" s="816"/>
      <c r="M15" s="816"/>
      <c r="N15" s="816"/>
      <c r="O15" s="816"/>
      <c r="P15" s="816"/>
      <c r="Q15" s="816"/>
      <c r="R15" s="816"/>
      <c r="S15" s="816"/>
      <c r="T15" s="816"/>
      <c r="U15" s="816"/>
      <c r="V15" s="816"/>
      <c r="W15" s="816"/>
      <c r="X15" s="816"/>
      <c r="Y15" s="816"/>
      <c r="Z15" s="816"/>
      <c r="AA15" s="816"/>
      <c r="AB15" s="816"/>
      <c r="AC15" s="816"/>
      <c r="AD15" s="816"/>
      <c r="AE15" s="816"/>
      <c r="AF15" s="816"/>
      <c r="AG15" s="816"/>
      <c r="AH15" s="816"/>
      <c r="AI15" s="816"/>
      <c r="AJ15" s="816"/>
      <c r="AK15" s="816"/>
      <c r="AL15" s="816"/>
      <c r="AM15" s="816"/>
      <c r="AN15" s="816"/>
      <c r="AO15" s="816"/>
      <c r="AP15" s="816"/>
      <c r="AQ15" s="816"/>
      <c r="AR15" s="816"/>
      <c r="AS15" s="816"/>
      <c r="AT15" s="816"/>
      <c r="AU15" s="816"/>
      <c r="AV15" s="816"/>
      <c r="AW15" s="816"/>
      <c r="AX15" s="816"/>
      <c r="AY15" s="816"/>
      <c r="AZ15" s="816"/>
      <c r="BA15" s="816"/>
      <c r="BB15" s="817"/>
      <c r="BC15" s="821"/>
      <c r="BD15" s="816"/>
      <c r="BE15" s="816"/>
      <c r="BF15" s="816"/>
      <c r="BG15" s="816"/>
      <c r="BH15" s="816"/>
      <c r="BI15" s="816"/>
      <c r="BJ15" s="816"/>
      <c r="BK15" s="816"/>
      <c r="BL15" s="817"/>
      <c r="BM15" s="823"/>
      <c r="BN15" s="824"/>
      <c r="BO15" s="824"/>
      <c r="BP15" s="824"/>
      <c r="BQ15" s="825"/>
      <c r="BR15" s="823"/>
      <c r="BS15" s="824"/>
      <c r="BT15" s="824"/>
      <c r="BU15" s="824"/>
      <c r="BV15" s="826"/>
    </row>
    <row r="16" spans="1:74" ht="13.5" customHeight="1">
      <c r="A16" s="839"/>
      <c r="B16" s="840"/>
      <c r="C16" s="840"/>
      <c r="D16" s="840"/>
      <c r="E16" s="841"/>
      <c r="F16" s="842"/>
      <c r="G16" s="840"/>
      <c r="H16" s="840"/>
      <c r="I16" s="840"/>
      <c r="J16" s="840"/>
      <c r="K16" s="840"/>
      <c r="L16" s="840"/>
      <c r="M16" s="840"/>
      <c r="N16" s="840"/>
      <c r="O16" s="840"/>
      <c r="P16" s="840"/>
      <c r="Q16" s="840"/>
      <c r="R16" s="840"/>
      <c r="S16" s="840"/>
      <c r="T16" s="840"/>
      <c r="U16" s="840"/>
      <c r="V16" s="840"/>
      <c r="W16" s="840"/>
      <c r="X16" s="840"/>
      <c r="Y16" s="840"/>
      <c r="Z16" s="840"/>
      <c r="AA16" s="840"/>
      <c r="AB16" s="840"/>
      <c r="AC16" s="840"/>
      <c r="AD16" s="840"/>
      <c r="AE16" s="840"/>
      <c r="AF16" s="840"/>
      <c r="AG16" s="840"/>
      <c r="AH16" s="840"/>
      <c r="AI16" s="840"/>
      <c r="AJ16" s="840"/>
      <c r="AK16" s="840"/>
      <c r="AL16" s="840"/>
      <c r="AM16" s="840"/>
      <c r="AN16" s="840"/>
      <c r="AO16" s="840"/>
      <c r="AP16" s="840"/>
      <c r="AQ16" s="840"/>
      <c r="AR16" s="840"/>
      <c r="AS16" s="840"/>
      <c r="AT16" s="840"/>
      <c r="AU16" s="840"/>
      <c r="AV16" s="840"/>
      <c r="AW16" s="840"/>
      <c r="AX16" s="840"/>
      <c r="AY16" s="840"/>
      <c r="AZ16" s="840"/>
      <c r="BA16" s="840"/>
      <c r="BB16" s="841"/>
      <c r="BC16" s="842"/>
      <c r="BD16" s="840"/>
      <c r="BE16" s="840"/>
      <c r="BF16" s="840"/>
      <c r="BG16" s="840"/>
      <c r="BH16" s="840"/>
      <c r="BI16" s="840"/>
      <c r="BJ16" s="840"/>
      <c r="BK16" s="840"/>
      <c r="BL16" s="841"/>
      <c r="BM16" s="843"/>
      <c r="BN16" s="844"/>
      <c r="BO16" s="844"/>
      <c r="BP16" s="844"/>
      <c r="BQ16" s="845"/>
      <c r="BR16" s="843"/>
      <c r="BS16" s="844"/>
      <c r="BT16" s="844"/>
      <c r="BU16" s="844"/>
      <c r="BV16" s="846"/>
    </row>
    <row r="17" spans="1:74" ht="13.5" customHeight="1">
      <c r="A17" s="815"/>
      <c r="B17" s="816"/>
      <c r="C17" s="816"/>
      <c r="D17" s="816"/>
      <c r="E17" s="817"/>
      <c r="F17" s="821"/>
      <c r="G17" s="816"/>
      <c r="H17" s="816"/>
      <c r="I17" s="816"/>
      <c r="J17" s="816"/>
      <c r="K17" s="816"/>
      <c r="L17" s="816"/>
      <c r="M17" s="816"/>
      <c r="N17" s="816"/>
      <c r="O17" s="816"/>
      <c r="P17" s="816"/>
      <c r="Q17" s="816"/>
      <c r="R17" s="816"/>
      <c r="S17" s="816"/>
      <c r="T17" s="816"/>
      <c r="U17" s="816"/>
      <c r="V17" s="816"/>
      <c r="W17" s="816"/>
      <c r="X17" s="816"/>
      <c r="Y17" s="816"/>
      <c r="Z17" s="816"/>
      <c r="AA17" s="816"/>
      <c r="AB17" s="816"/>
      <c r="AC17" s="816"/>
      <c r="AD17" s="816"/>
      <c r="AE17" s="816"/>
      <c r="AF17" s="816"/>
      <c r="AG17" s="816"/>
      <c r="AH17" s="816"/>
      <c r="AI17" s="816"/>
      <c r="AJ17" s="816"/>
      <c r="AK17" s="816"/>
      <c r="AL17" s="816"/>
      <c r="AM17" s="816"/>
      <c r="AN17" s="816"/>
      <c r="AO17" s="816"/>
      <c r="AP17" s="816"/>
      <c r="AQ17" s="816"/>
      <c r="AR17" s="816"/>
      <c r="AS17" s="816"/>
      <c r="AT17" s="816"/>
      <c r="AU17" s="816"/>
      <c r="AV17" s="816"/>
      <c r="AW17" s="816"/>
      <c r="AX17" s="816"/>
      <c r="AY17" s="816"/>
      <c r="AZ17" s="816"/>
      <c r="BA17" s="816"/>
      <c r="BB17" s="817"/>
      <c r="BC17" s="821"/>
      <c r="BD17" s="816"/>
      <c r="BE17" s="816"/>
      <c r="BF17" s="816"/>
      <c r="BG17" s="816"/>
      <c r="BH17" s="816"/>
      <c r="BI17" s="816"/>
      <c r="BJ17" s="816"/>
      <c r="BK17" s="816"/>
      <c r="BL17" s="817"/>
      <c r="BM17" s="823"/>
      <c r="BN17" s="824"/>
      <c r="BO17" s="824"/>
      <c r="BP17" s="824"/>
      <c r="BQ17" s="825"/>
      <c r="BR17" s="823"/>
      <c r="BS17" s="824"/>
      <c r="BT17" s="824"/>
      <c r="BU17" s="824"/>
      <c r="BV17" s="826"/>
    </row>
    <row r="18" spans="1:74" ht="13.5" customHeight="1">
      <c r="A18" s="831"/>
      <c r="B18" s="832"/>
      <c r="C18" s="832"/>
      <c r="D18" s="832"/>
      <c r="E18" s="833"/>
      <c r="F18" s="834"/>
      <c r="G18" s="832"/>
      <c r="H18" s="832"/>
      <c r="I18" s="832"/>
      <c r="J18" s="832"/>
      <c r="K18" s="832"/>
      <c r="L18" s="832"/>
      <c r="M18" s="832"/>
      <c r="N18" s="832"/>
      <c r="O18" s="832"/>
      <c r="P18" s="832"/>
      <c r="Q18" s="832"/>
      <c r="R18" s="832"/>
      <c r="S18" s="832"/>
      <c r="T18" s="832"/>
      <c r="U18" s="832"/>
      <c r="V18" s="832"/>
      <c r="W18" s="832"/>
      <c r="X18" s="832"/>
      <c r="Y18" s="832"/>
      <c r="Z18" s="832"/>
      <c r="AA18" s="832"/>
      <c r="AB18" s="832"/>
      <c r="AC18" s="832"/>
      <c r="AD18" s="832"/>
      <c r="AE18" s="832"/>
      <c r="AF18" s="832"/>
      <c r="AG18" s="832"/>
      <c r="AH18" s="832"/>
      <c r="AI18" s="832"/>
      <c r="AJ18" s="832"/>
      <c r="AK18" s="832"/>
      <c r="AL18" s="832"/>
      <c r="AM18" s="832"/>
      <c r="AN18" s="832"/>
      <c r="AO18" s="832"/>
      <c r="AP18" s="832"/>
      <c r="AQ18" s="832"/>
      <c r="AR18" s="832"/>
      <c r="AS18" s="832"/>
      <c r="AT18" s="832"/>
      <c r="AU18" s="832"/>
      <c r="AV18" s="832"/>
      <c r="AW18" s="832"/>
      <c r="AX18" s="832"/>
      <c r="AY18" s="832"/>
      <c r="AZ18" s="832"/>
      <c r="BA18" s="832"/>
      <c r="BB18" s="833"/>
      <c r="BC18" s="834"/>
      <c r="BD18" s="832"/>
      <c r="BE18" s="832"/>
      <c r="BF18" s="832"/>
      <c r="BG18" s="832"/>
      <c r="BH18" s="832"/>
      <c r="BI18" s="832"/>
      <c r="BJ18" s="832"/>
      <c r="BK18" s="832"/>
      <c r="BL18" s="833"/>
      <c r="BM18" s="835"/>
      <c r="BN18" s="836"/>
      <c r="BO18" s="836"/>
      <c r="BP18" s="836"/>
      <c r="BQ18" s="837"/>
      <c r="BR18" s="835"/>
      <c r="BS18" s="836"/>
      <c r="BT18" s="836"/>
      <c r="BU18" s="836"/>
      <c r="BV18" s="838"/>
    </row>
    <row r="19" spans="1:74" ht="13.5" customHeight="1">
      <c r="A19" s="815"/>
      <c r="B19" s="816"/>
      <c r="C19" s="816"/>
      <c r="D19" s="816"/>
      <c r="E19" s="817"/>
      <c r="F19" s="821"/>
      <c r="G19" s="816"/>
      <c r="H19" s="816"/>
      <c r="I19" s="816"/>
      <c r="J19" s="816"/>
      <c r="K19" s="816"/>
      <c r="L19" s="816"/>
      <c r="M19" s="816"/>
      <c r="N19" s="816"/>
      <c r="O19" s="816"/>
      <c r="P19" s="816"/>
      <c r="Q19" s="816"/>
      <c r="R19" s="816"/>
      <c r="S19" s="816"/>
      <c r="T19" s="816"/>
      <c r="U19" s="816"/>
      <c r="V19" s="816"/>
      <c r="W19" s="816"/>
      <c r="X19" s="816"/>
      <c r="Y19" s="816"/>
      <c r="Z19" s="816"/>
      <c r="AA19" s="816"/>
      <c r="AB19" s="816"/>
      <c r="AC19" s="816"/>
      <c r="AD19" s="816"/>
      <c r="AE19" s="816"/>
      <c r="AF19" s="816"/>
      <c r="AG19" s="816"/>
      <c r="AH19" s="816"/>
      <c r="AI19" s="816"/>
      <c r="AJ19" s="816"/>
      <c r="AK19" s="816"/>
      <c r="AL19" s="816"/>
      <c r="AM19" s="816"/>
      <c r="AN19" s="816"/>
      <c r="AO19" s="816"/>
      <c r="AP19" s="816"/>
      <c r="AQ19" s="816"/>
      <c r="AR19" s="816"/>
      <c r="AS19" s="816"/>
      <c r="AT19" s="816"/>
      <c r="AU19" s="816"/>
      <c r="AV19" s="816"/>
      <c r="AW19" s="816"/>
      <c r="AX19" s="816"/>
      <c r="AY19" s="816"/>
      <c r="AZ19" s="816"/>
      <c r="BA19" s="816"/>
      <c r="BB19" s="817"/>
      <c r="BC19" s="821"/>
      <c r="BD19" s="816"/>
      <c r="BE19" s="816"/>
      <c r="BF19" s="816"/>
      <c r="BG19" s="816"/>
      <c r="BH19" s="816"/>
      <c r="BI19" s="816"/>
      <c r="BJ19" s="816"/>
      <c r="BK19" s="816"/>
      <c r="BL19" s="817"/>
      <c r="BM19" s="823"/>
      <c r="BN19" s="824"/>
      <c r="BO19" s="824"/>
      <c r="BP19" s="824"/>
      <c r="BQ19" s="825"/>
      <c r="BR19" s="823"/>
      <c r="BS19" s="824"/>
      <c r="BT19" s="824"/>
      <c r="BU19" s="824"/>
      <c r="BV19" s="826"/>
    </row>
    <row r="20" spans="1:74" ht="13.5" customHeight="1">
      <c r="A20" s="839"/>
      <c r="B20" s="840"/>
      <c r="C20" s="840"/>
      <c r="D20" s="840"/>
      <c r="E20" s="841"/>
      <c r="F20" s="842"/>
      <c r="G20" s="840"/>
      <c r="H20" s="840"/>
      <c r="I20" s="840"/>
      <c r="J20" s="840"/>
      <c r="K20" s="840"/>
      <c r="L20" s="840"/>
      <c r="M20" s="840"/>
      <c r="N20" s="840"/>
      <c r="O20" s="840"/>
      <c r="P20" s="840"/>
      <c r="Q20" s="840"/>
      <c r="R20" s="840"/>
      <c r="S20" s="840"/>
      <c r="T20" s="840"/>
      <c r="U20" s="840"/>
      <c r="V20" s="840"/>
      <c r="W20" s="840"/>
      <c r="X20" s="840"/>
      <c r="Y20" s="840"/>
      <c r="Z20" s="840"/>
      <c r="AA20" s="840"/>
      <c r="AB20" s="840"/>
      <c r="AC20" s="840"/>
      <c r="AD20" s="840"/>
      <c r="AE20" s="840"/>
      <c r="AF20" s="840"/>
      <c r="AG20" s="840"/>
      <c r="AH20" s="840"/>
      <c r="AI20" s="840"/>
      <c r="AJ20" s="840"/>
      <c r="AK20" s="840"/>
      <c r="AL20" s="840"/>
      <c r="AM20" s="840"/>
      <c r="AN20" s="840"/>
      <c r="AO20" s="840"/>
      <c r="AP20" s="840"/>
      <c r="AQ20" s="840"/>
      <c r="AR20" s="840"/>
      <c r="AS20" s="840"/>
      <c r="AT20" s="840"/>
      <c r="AU20" s="840"/>
      <c r="AV20" s="840"/>
      <c r="AW20" s="840"/>
      <c r="AX20" s="840"/>
      <c r="AY20" s="840"/>
      <c r="AZ20" s="840"/>
      <c r="BA20" s="840"/>
      <c r="BB20" s="841"/>
      <c r="BC20" s="842"/>
      <c r="BD20" s="840"/>
      <c r="BE20" s="840"/>
      <c r="BF20" s="840"/>
      <c r="BG20" s="840"/>
      <c r="BH20" s="840"/>
      <c r="BI20" s="840"/>
      <c r="BJ20" s="840"/>
      <c r="BK20" s="840"/>
      <c r="BL20" s="841"/>
      <c r="BM20" s="843"/>
      <c r="BN20" s="844"/>
      <c r="BO20" s="844"/>
      <c r="BP20" s="844"/>
      <c r="BQ20" s="845"/>
      <c r="BR20" s="843"/>
      <c r="BS20" s="844"/>
      <c r="BT20" s="844"/>
      <c r="BU20" s="844"/>
      <c r="BV20" s="846"/>
    </row>
    <row r="21" spans="1:74" ht="13.5" customHeight="1">
      <c r="A21" s="815"/>
      <c r="B21" s="816"/>
      <c r="C21" s="816"/>
      <c r="D21" s="816"/>
      <c r="E21" s="817"/>
      <c r="F21" s="821"/>
      <c r="G21" s="816"/>
      <c r="H21" s="816"/>
      <c r="I21" s="816"/>
      <c r="J21" s="816"/>
      <c r="K21" s="816"/>
      <c r="L21" s="816"/>
      <c r="M21" s="816"/>
      <c r="N21" s="816"/>
      <c r="O21" s="816"/>
      <c r="P21" s="816"/>
      <c r="Q21" s="816"/>
      <c r="R21" s="816"/>
      <c r="S21" s="816"/>
      <c r="T21" s="816"/>
      <c r="U21" s="816"/>
      <c r="V21" s="816"/>
      <c r="W21" s="816"/>
      <c r="X21" s="816"/>
      <c r="Y21" s="816"/>
      <c r="Z21" s="816"/>
      <c r="AA21" s="816"/>
      <c r="AB21" s="816"/>
      <c r="AC21" s="816"/>
      <c r="AD21" s="816"/>
      <c r="AE21" s="816"/>
      <c r="AF21" s="816"/>
      <c r="AG21" s="816"/>
      <c r="AH21" s="816"/>
      <c r="AI21" s="816"/>
      <c r="AJ21" s="816"/>
      <c r="AK21" s="816"/>
      <c r="AL21" s="816"/>
      <c r="AM21" s="816"/>
      <c r="AN21" s="816"/>
      <c r="AO21" s="816"/>
      <c r="AP21" s="816"/>
      <c r="AQ21" s="816"/>
      <c r="AR21" s="816"/>
      <c r="AS21" s="816"/>
      <c r="AT21" s="816"/>
      <c r="AU21" s="816"/>
      <c r="AV21" s="816"/>
      <c r="AW21" s="816"/>
      <c r="AX21" s="816"/>
      <c r="AY21" s="816"/>
      <c r="AZ21" s="816"/>
      <c r="BA21" s="816"/>
      <c r="BB21" s="817"/>
      <c r="BC21" s="821"/>
      <c r="BD21" s="816"/>
      <c r="BE21" s="816"/>
      <c r="BF21" s="816"/>
      <c r="BG21" s="816"/>
      <c r="BH21" s="816"/>
      <c r="BI21" s="816"/>
      <c r="BJ21" s="816"/>
      <c r="BK21" s="816"/>
      <c r="BL21" s="817"/>
      <c r="BM21" s="823"/>
      <c r="BN21" s="824"/>
      <c r="BO21" s="824"/>
      <c r="BP21" s="824"/>
      <c r="BQ21" s="825"/>
      <c r="BR21" s="823"/>
      <c r="BS21" s="824"/>
      <c r="BT21" s="824"/>
      <c r="BU21" s="824"/>
      <c r="BV21" s="826"/>
    </row>
    <row r="22" spans="1:74" ht="13.5" customHeight="1">
      <c r="A22" s="831"/>
      <c r="B22" s="832"/>
      <c r="C22" s="832"/>
      <c r="D22" s="832"/>
      <c r="E22" s="833"/>
      <c r="F22" s="834"/>
      <c r="G22" s="832"/>
      <c r="H22" s="832"/>
      <c r="I22" s="832"/>
      <c r="J22" s="832"/>
      <c r="K22" s="832"/>
      <c r="L22" s="832"/>
      <c r="M22" s="832"/>
      <c r="N22" s="832"/>
      <c r="O22" s="832"/>
      <c r="P22" s="832"/>
      <c r="Q22" s="832"/>
      <c r="R22" s="832"/>
      <c r="S22" s="832"/>
      <c r="T22" s="832"/>
      <c r="U22" s="832"/>
      <c r="V22" s="832"/>
      <c r="W22" s="832"/>
      <c r="X22" s="832"/>
      <c r="Y22" s="832"/>
      <c r="Z22" s="832"/>
      <c r="AA22" s="832"/>
      <c r="AB22" s="832"/>
      <c r="AC22" s="832"/>
      <c r="AD22" s="832"/>
      <c r="AE22" s="832"/>
      <c r="AF22" s="832"/>
      <c r="AG22" s="832"/>
      <c r="AH22" s="832"/>
      <c r="AI22" s="832"/>
      <c r="AJ22" s="832"/>
      <c r="AK22" s="832"/>
      <c r="AL22" s="832"/>
      <c r="AM22" s="832"/>
      <c r="AN22" s="832"/>
      <c r="AO22" s="832"/>
      <c r="AP22" s="832"/>
      <c r="AQ22" s="832"/>
      <c r="AR22" s="832"/>
      <c r="AS22" s="832"/>
      <c r="AT22" s="832"/>
      <c r="AU22" s="832"/>
      <c r="AV22" s="832"/>
      <c r="AW22" s="832"/>
      <c r="AX22" s="832"/>
      <c r="AY22" s="832"/>
      <c r="AZ22" s="832"/>
      <c r="BA22" s="832"/>
      <c r="BB22" s="833"/>
      <c r="BC22" s="834"/>
      <c r="BD22" s="832"/>
      <c r="BE22" s="832"/>
      <c r="BF22" s="832"/>
      <c r="BG22" s="832"/>
      <c r="BH22" s="832"/>
      <c r="BI22" s="832"/>
      <c r="BJ22" s="832"/>
      <c r="BK22" s="832"/>
      <c r="BL22" s="833"/>
      <c r="BM22" s="835"/>
      <c r="BN22" s="836"/>
      <c r="BO22" s="836"/>
      <c r="BP22" s="836"/>
      <c r="BQ22" s="837"/>
      <c r="BR22" s="835"/>
      <c r="BS22" s="836"/>
      <c r="BT22" s="836"/>
      <c r="BU22" s="836"/>
      <c r="BV22" s="838"/>
    </row>
    <row r="23" spans="1:74" ht="13.5" customHeight="1">
      <c r="A23" s="815"/>
      <c r="B23" s="816"/>
      <c r="C23" s="816"/>
      <c r="D23" s="816"/>
      <c r="E23" s="817"/>
      <c r="F23" s="821"/>
      <c r="G23" s="816"/>
      <c r="H23" s="816"/>
      <c r="I23" s="816"/>
      <c r="J23" s="816"/>
      <c r="K23" s="816"/>
      <c r="L23" s="816"/>
      <c r="M23" s="816"/>
      <c r="N23" s="816"/>
      <c r="O23" s="816"/>
      <c r="P23" s="816"/>
      <c r="Q23" s="816"/>
      <c r="R23" s="816"/>
      <c r="S23" s="816"/>
      <c r="T23" s="816"/>
      <c r="U23" s="816"/>
      <c r="V23" s="816"/>
      <c r="W23" s="816"/>
      <c r="X23" s="816"/>
      <c r="Y23" s="816"/>
      <c r="Z23" s="816"/>
      <c r="AA23" s="816"/>
      <c r="AB23" s="816"/>
      <c r="AC23" s="816"/>
      <c r="AD23" s="816"/>
      <c r="AE23" s="816"/>
      <c r="AF23" s="816"/>
      <c r="AG23" s="816"/>
      <c r="AH23" s="816"/>
      <c r="AI23" s="816"/>
      <c r="AJ23" s="816"/>
      <c r="AK23" s="816"/>
      <c r="AL23" s="816"/>
      <c r="AM23" s="816"/>
      <c r="AN23" s="816"/>
      <c r="AO23" s="816"/>
      <c r="AP23" s="816"/>
      <c r="AQ23" s="816"/>
      <c r="AR23" s="816"/>
      <c r="AS23" s="816"/>
      <c r="AT23" s="816"/>
      <c r="AU23" s="816"/>
      <c r="AV23" s="816"/>
      <c r="AW23" s="816"/>
      <c r="AX23" s="816"/>
      <c r="AY23" s="816"/>
      <c r="AZ23" s="816"/>
      <c r="BA23" s="816"/>
      <c r="BB23" s="817"/>
      <c r="BC23" s="821"/>
      <c r="BD23" s="816"/>
      <c r="BE23" s="816"/>
      <c r="BF23" s="816"/>
      <c r="BG23" s="816"/>
      <c r="BH23" s="816"/>
      <c r="BI23" s="816"/>
      <c r="BJ23" s="816"/>
      <c r="BK23" s="816"/>
      <c r="BL23" s="817"/>
      <c r="BM23" s="823"/>
      <c r="BN23" s="824"/>
      <c r="BO23" s="824"/>
      <c r="BP23" s="824"/>
      <c r="BQ23" s="825"/>
      <c r="BR23" s="823"/>
      <c r="BS23" s="824"/>
      <c r="BT23" s="824"/>
      <c r="BU23" s="824"/>
      <c r="BV23" s="826"/>
    </row>
    <row r="24" spans="1:74" ht="13.5" customHeight="1">
      <c r="A24" s="839"/>
      <c r="B24" s="840"/>
      <c r="C24" s="840"/>
      <c r="D24" s="840"/>
      <c r="E24" s="841"/>
      <c r="F24" s="842"/>
      <c r="G24" s="840"/>
      <c r="H24" s="840"/>
      <c r="I24" s="840"/>
      <c r="J24" s="840"/>
      <c r="K24" s="840"/>
      <c r="L24" s="840"/>
      <c r="M24" s="840"/>
      <c r="N24" s="840"/>
      <c r="O24" s="840"/>
      <c r="P24" s="840"/>
      <c r="Q24" s="840"/>
      <c r="R24" s="840"/>
      <c r="S24" s="840"/>
      <c r="T24" s="840"/>
      <c r="U24" s="840"/>
      <c r="V24" s="840"/>
      <c r="W24" s="840"/>
      <c r="X24" s="840"/>
      <c r="Y24" s="840"/>
      <c r="Z24" s="840"/>
      <c r="AA24" s="840"/>
      <c r="AB24" s="840"/>
      <c r="AC24" s="840"/>
      <c r="AD24" s="840"/>
      <c r="AE24" s="840"/>
      <c r="AF24" s="840"/>
      <c r="AG24" s="840"/>
      <c r="AH24" s="840"/>
      <c r="AI24" s="840"/>
      <c r="AJ24" s="840"/>
      <c r="AK24" s="840"/>
      <c r="AL24" s="840"/>
      <c r="AM24" s="840"/>
      <c r="AN24" s="840"/>
      <c r="AO24" s="840"/>
      <c r="AP24" s="840"/>
      <c r="AQ24" s="840"/>
      <c r="AR24" s="840"/>
      <c r="AS24" s="840"/>
      <c r="AT24" s="840"/>
      <c r="AU24" s="840"/>
      <c r="AV24" s="840"/>
      <c r="AW24" s="840"/>
      <c r="AX24" s="840"/>
      <c r="AY24" s="840"/>
      <c r="AZ24" s="840"/>
      <c r="BA24" s="840"/>
      <c r="BB24" s="841"/>
      <c r="BC24" s="842"/>
      <c r="BD24" s="840"/>
      <c r="BE24" s="840"/>
      <c r="BF24" s="840"/>
      <c r="BG24" s="840"/>
      <c r="BH24" s="840"/>
      <c r="BI24" s="840"/>
      <c r="BJ24" s="840"/>
      <c r="BK24" s="840"/>
      <c r="BL24" s="841"/>
      <c r="BM24" s="843"/>
      <c r="BN24" s="844"/>
      <c r="BO24" s="844"/>
      <c r="BP24" s="844"/>
      <c r="BQ24" s="845"/>
      <c r="BR24" s="843"/>
      <c r="BS24" s="844"/>
      <c r="BT24" s="844"/>
      <c r="BU24" s="844"/>
      <c r="BV24" s="846"/>
    </row>
    <row r="25" spans="1:74" ht="13.5" customHeight="1">
      <c r="A25" s="815"/>
      <c r="B25" s="816"/>
      <c r="C25" s="816"/>
      <c r="D25" s="816"/>
      <c r="E25" s="817"/>
      <c r="F25" s="821"/>
      <c r="G25" s="816"/>
      <c r="H25" s="816"/>
      <c r="I25" s="816"/>
      <c r="J25" s="816"/>
      <c r="K25" s="816"/>
      <c r="L25" s="816"/>
      <c r="M25" s="816"/>
      <c r="N25" s="816"/>
      <c r="O25" s="816"/>
      <c r="P25" s="816"/>
      <c r="Q25" s="816"/>
      <c r="R25" s="816"/>
      <c r="S25" s="816"/>
      <c r="T25" s="816"/>
      <c r="U25" s="816"/>
      <c r="V25" s="816"/>
      <c r="W25" s="816"/>
      <c r="X25" s="816"/>
      <c r="Y25" s="816"/>
      <c r="Z25" s="816"/>
      <c r="AA25" s="816"/>
      <c r="AB25" s="816"/>
      <c r="AC25" s="816"/>
      <c r="AD25" s="816"/>
      <c r="AE25" s="816"/>
      <c r="AF25" s="816"/>
      <c r="AG25" s="816"/>
      <c r="AH25" s="816"/>
      <c r="AI25" s="816"/>
      <c r="AJ25" s="816"/>
      <c r="AK25" s="816"/>
      <c r="AL25" s="816"/>
      <c r="AM25" s="816"/>
      <c r="AN25" s="816"/>
      <c r="AO25" s="816"/>
      <c r="AP25" s="816"/>
      <c r="AQ25" s="816"/>
      <c r="AR25" s="816"/>
      <c r="AS25" s="816"/>
      <c r="AT25" s="816"/>
      <c r="AU25" s="816"/>
      <c r="AV25" s="816"/>
      <c r="AW25" s="816"/>
      <c r="AX25" s="816"/>
      <c r="AY25" s="816"/>
      <c r="AZ25" s="816"/>
      <c r="BA25" s="816"/>
      <c r="BB25" s="817"/>
      <c r="BC25" s="821"/>
      <c r="BD25" s="816"/>
      <c r="BE25" s="816"/>
      <c r="BF25" s="816"/>
      <c r="BG25" s="816"/>
      <c r="BH25" s="816"/>
      <c r="BI25" s="816"/>
      <c r="BJ25" s="816"/>
      <c r="BK25" s="816"/>
      <c r="BL25" s="817"/>
      <c r="BM25" s="823"/>
      <c r="BN25" s="824"/>
      <c r="BO25" s="824"/>
      <c r="BP25" s="824"/>
      <c r="BQ25" s="825"/>
      <c r="BR25" s="823"/>
      <c r="BS25" s="824"/>
      <c r="BT25" s="824"/>
      <c r="BU25" s="824"/>
      <c r="BV25" s="826"/>
    </row>
    <row r="26" spans="1:74" ht="13.5" customHeight="1">
      <c r="A26" s="831"/>
      <c r="B26" s="832"/>
      <c r="C26" s="832"/>
      <c r="D26" s="832"/>
      <c r="E26" s="833"/>
      <c r="F26" s="834"/>
      <c r="G26" s="832"/>
      <c r="H26" s="832"/>
      <c r="I26" s="832"/>
      <c r="J26" s="832"/>
      <c r="K26" s="832"/>
      <c r="L26" s="832"/>
      <c r="M26" s="832"/>
      <c r="N26" s="832"/>
      <c r="O26" s="832"/>
      <c r="P26" s="832"/>
      <c r="Q26" s="832"/>
      <c r="R26" s="832"/>
      <c r="S26" s="832"/>
      <c r="T26" s="832"/>
      <c r="U26" s="832"/>
      <c r="V26" s="832"/>
      <c r="W26" s="832"/>
      <c r="X26" s="832"/>
      <c r="Y26" s="832"/>
      <c r="Z26" s="832"/>
      <c r="AA26" s="832"/>
      <c r="AB26" s="832"/>
      <c r="AC26" s="832"/>
      <c r="AD26" s="832"/>
      <c r="AE26" s="832"/>
      <c r="AF26" s="832"/>
      <c r="AG26" s="832"/>
      <c r="AH26" s="832"/>
      <c r="AI26" s="832"/>
      <c r="AJ26" s="832"/>
      <c r="AK26" s="832"/>
      <c r="AL26" s="832"/>
      <c r="AM26" s="832"/>
      <c r="AN26" s="832"/>
      <c r="AO26" s="832"/>
      <c r="AP26" s="832"/>
      <c r="AQ26" s="832"/>
      <c r="AR26" s="832"/>
      <c r="AS26" s="832"/>
      <c r="AT26" s="832"/>
      <c r="AU26" s="832"/>
      <c r="AV26" s="832"/>
      <c r="AW26" s="832"/>
      <c r="AX26" s="832"/>
      <c r="AY26" s="832"/>
      <c r="AZ26" s="832"/>
      <c r="BA26" s="832"/>
      <c r="BB26" s="833"/>
      <c r="BC26" s="834"/>
      <c r="BD26" s="832"/>
      <c r="BE26" s="832"/>
      <c r="BF26" s="832"/>
      <c r="BG26" s="832"/>
      <c r="BH26" s="832"/>
      <c r="BI26" s="832"/>
      <c r="BJ26" s="832"/>
      <c r="BK26" s="832"/>
      <c r="BL26" s="833"/>
      <c r="BM26" s="835"/>
      <c r="BN26" s="836"/>
      <c r="BO26" s="836"/>
      <c r="BP26" s="836"/>
      <c r="BQ26" s="837"/>
      <c r="BR26" s="835"/>
      <c r="BS26" s="836"/>
      <c r="BT26" s="836"/>
      <c r="BU26" s="836"/>
      <c r="BV26" s="838"/>
    </row>
    <row r="27" spans="1:74" ht="13.5" customHeight="1">
      <c r="A27" s="815"/>
      <c r="B27" s="816"/>
      <c r="C27" s="816"/>
      <c r="D27" s="816"/>
      <c r="E27" s="817"/>
      <c r="F27" s="821"/>
      <c r="G27" s="816"/>
      <c r="H27" s="816"/>
      <c r="I27" s="816"/>
      <c r="J27" s="816"/>
      <c r="K27" s="816"/>
      <c r="L27" s="816"/>
      <c r="M27" s="816"/>
      <c r="N27" s="816"/>
      <c r="O27" s="816"/>
      <c r="P27" s="816"/>
      <c r="Q27" s="816"/>
      <c r="R27" s="816"/>
      <c r="S27" s="816"/>
      <c r="T27" s="816"/>
      <c r="U27" s="816"/>
      <c r="V27" s="816"/>
      <c r="W27" s="816"/>
      <c r="X27" s="816"/>
      <c r="Y27" s="816"/>
      <c r="Z27" s="816"/>
      <c r="AA27" s="816"/>
      <c r="AB27" s="816"/>
      <c r="AC27" s="816"/>
      <c r="AD27" s="816"/>
      <c r="AE27" s="816"/>
      <c r="AF27" s="816"/>
      <c r="AG27" s="816"/>
      <c r="AH27" s="816"/>
      <c r="AI27" s="816"/>
      <c r="AJ27" s="816"/>
      <c r="AK27" s="816"/>
      <c r="AL27" s="816"/>
      <c r="AM27" s="816"/>
      <c r="AN27" s="816"/>
      <c r="AO27" s="816"/>
      <c r="AP27" s="816"/>
      <c r="AQ27" s="816"/>
      <c r="AR27" s="816"/>
      <c r="AS27" s="816"/>
      <c r="AT27" s="816"/>
      <c r="AU27" s="816"/>
      <c r="AV27" s="816"/>
      <c r="AW27" s="816"/>
      <c r="AX27" s="816"/>
      <c r="AY27" s="816"/>
      <c r="AZ27" s="816"/>
      <c r="BA27" s="816"/>
      <c r="BB27" s="817"/>
      <c r="BC27" s="821"/>
      <c r="BD27" s="816"/>
      <c r="BE27" s="816"/>
      <c r="BF27" s="816"/>
      <c r="BG27" s="816"/>
      <c r="BH27" s="816"/>
      <c r="BI27" s="816"/>
      <c r="BJ27" s="816"/>
      <c r="BK27" s="816"/>
      <c r="BL27" s="817"/>
      <c r="BM27" s="823"/>
      <c r="BN27" s="824"/>
      <c r="BO27" s="824"/>
      <c r="BP27" s="824"/>
      <c r="BQ27" s="825"/>
      <c r="BR27" s="823"/>
      <c r="BS27" s="824"/>
      <c r="BT27" s="824"/>
      <c r="BU27" s="824"/>
      <c r="BV27" s="826"/>
    </row>
    <row r="28" spans="1:74" ht="13.5" customHeight="1">
      <c r="A28" s="839"/>
      <c r="B28" s="840"/>
      <c r="C28" s="840"/>
      <c r="D28" s="840"/>
      <c r="E28" s="841"/>
      <c r="F28" s="842"/>
      <c r="G28" s="840"/>
      <c r="H28" s="840"/>
      <c r="I28" s="840"/>
      <c r="J28" s="840"/>
      <c r="K28" s="840"/>
      <c r="L28" s="840"/>
      <c r="M28" s="840"/>
      <c r="N28" s="840"/>
      <c r="O28" s="840"/>
      <c r="P28" s="840"/>
      <c r="Q28" s="840"/>
      <c r="R28" s="840"/>
      <c r="S28" s="840"/>
      <c r="T28" s="840"/>
      <c r="U28" s="840"/>
      <c r="V28" s="840"/>
      <c r="W28" s="840"/>
      <c r="X28" s="840"/>
      <c r="Y28" s="840"/>
      <c r="Z28" s="840"/>
      <c r="AA28" s="840"/>
      <c r="AB28" s="840"/>
      <c r="AC28" s="840"/>
      <c r="AD28" s="840"/>
      <c r="AE28" s="840"/>
      <c r="AF28" s="840"/>
      <c r="AG28" s="840"/>
      <c r="AH28" s="840"/>
      <c r="AI28" s="840"/>
      <c r="AJ28" s="840"/>
      <c r="AK28" s="840"/>
      <c r="AL28" s="840"/>
      <c r="AM28" s="840"/>
      <c r="AN28" s="840"/>
      <c r="AO28" s="840"/>
      <c r="AP28" s="840"/>
      <c r="AQ28" s="840"/>
      <c r="AR28" s="840"/>
      <c r="AS28" s="840"/>
      <c r="AT28" s="840"/>
      <c r="AU28" s="840"/>
      <c r="AV28" s="840"/>
      <c r="AW28" s="840"/>
      <c r="AX28" s="840"/>
      <c r="AY28" s="840"/>
      <c r="AZ28" s="840"/>
      <c r="BA28" s="840"/>
      <c r="BB28" s="841"/>
      <c r="BC28" s="842"/>
      <c r="BD28" s="840"/>
      <c r="BE28" s="840"/>
      <c r="BF28" s="840"/>
      <c r="BG28" s="840"/>
      <c r="BH28" s="840"/>
      <c r="BI28" s="840"/>
      <c r="BJ28" s="840"/>
      <c r="BK28" s="840"/>
      <c r="BL28" s="841"/>
      <c r="BM28" s="843"/>
      <c r="BN28" s="844"/>
      <c r="BO28" s="844"/>
      <c r="BP28" s="844"/>
      <c r="BQ28" s="845"/>
      <c r="BR28" s="843"/>
      <c r="BS28" s="844"/>
      <c r="BT28" s="844"/>
      <c r="BU28" s="844"/>
      <c r="BV28" s="846"/>
    </row>
    <row r="29" spans="1:74" ht="13.5" customHeight="1">
      <c r="A29" s="815"/>
      <c r="B29" s="816"/>
      <c r="C29" s="816"/>
      <c r="D29" s="816"/>
      <c r="E29" s="817"/>
      <c r="F29" s="821"/>
      <c r="G29" s="816"/>
      <c r="H29" s="816"/>
      <c r="I29" s="816"/>
      <c r="J29" s="816"/>
      <c r="K29" s="816"/>
      <c r="L29" s="816"/>
      <c r="M29" s="816"/>
      <c r="N29" s="816"/>
      <c r="O29" s="816"/>
      <c r="P29" s="816"/>
      <c r="Q29" s="816"/>
      <c r="R29" s="816"/>
      <c r="S29" s="816"/>
      <c r="T29" s="816"/>
      <c r="U29" s="816"/>
      <c r="V29" s="816"/>
      <c r="W29" s="816"/>
      <c r="X29" s="816"/>
      <c r="Y29" s="816"/>
      <c r="Z29" s="816"/>
      <c r="AA29" s="816"/>
      <c r="AB29" s="816"/>
      <c r="AC29" s="816"/>
      <c r="AD29" s="816"/>
      <c r="AE29" s="816"/>
      <c r="AF29" s="816"/>
      <c r="AG29" s="816"/>
      <c r="AH29" s="816"/>
      <c r="AI29" s="816"/>
      <c r="AJ29" s="816"/>
      <c r="AK29" s="816"/>
      <c r="AL29" s="816"/>
      <c r="AM29" s="816"/>
      <c r="AN29" s="816"/>
      <c r="AO29" s="816"/>
      <c r="AP29" s="816"/>
      <c r="AQ29" s="816"/>
      <c r="AR29" s="816"/>
      <c r="AS29" s="816"/>
      <c r="AT29" s="816"/>
      <c r="AU29" s="816"/>
      <c r="AV29" s="816"/>
      <c r="AW29" s="816"/>
      <c r="AX29" s="816"/>
      <c r="AY29" s="816"/>
      <c r="AZ29" s="816"/>
      <c r="BA29" s="816"/>
      <c r="BB29" s="817"/>
      <c r="BC29" s="821"/>
      <c r="BD29" s="816"/>
      <c r="BE29" s="816"/>
      <c r="BF29" s="816"/>
      <c r="BG29" s="816"/>
      <c r="BH29" s="816"/>
      <c r="BI29" s="816"/>
      <c r="BJ29" s="816"/>
      <c r="BK29" s="816"/>
      <c r="BL29" s="817"/>
      <c r="BM29" s="823"/>
      <c r="BN29" s="824"/>
      <c r="BO29" s="824"/>
      <c r="BP29" s="824"/>
      <c r="BQ29" s="825"/>
      <c r="BR29" s="823"/>
      <c r="BS29" s="824"/>
      <c r="BT29" s="824"/>
      <c r="BU29" s="824"/>
      <c r="BV29" s="826"/>
    </row>
    <row r="30" spans="1:74" ht="13.5" customHeight="1">
      <c r="A30" s="831"/>
      <c r="B30" s="832"/>
      <c r="C30" s="832"/>
      <c r="D30" s="832"/>
      <c r="E30" s="833"/>
      <c r="F30" s="834"/>
      <c r="G30" s="832"/>
      <c r="H30" s="832"/>
      <c r="I30" s="832"/>
      <c r="J30" s="832"/>
      <c r="K30" s="832"/>
      <c r="L30" s="832"/>
      <c r="M30" s="832"/>
      <c r="N30" s="832"/>
      <c r="O30" s="832"/>
      <c r="P30" s="832"/>
      <c r="Q30" s="832"/>
      <c r="R30" s="832"/>
      <c r="S30" s="832"/>
      <c r="T30" s="832"/>
      <c r="U30" s="832"/>
      <c r="V30" s="832"/>
      <c r="W30" s="832"/>
      <c r="X30" s="832"/>
      <c r="Y30" s="832"/>
      <c r="Z30" s="832"/>
      <c r="AA30" s="832"/>
      <c r="AB30" s="832"/>
      <c r="AC30" s="832"/>
      <c r="AD30" s="832"/>
      <c r="AE30" s="832"/>
      <c r="AF30" s="832"/>
      <c r="AG30" s="832"/>
      <c r="AH30" s="832"/>
      <c r="AI30" s="832"/>
      <c r="AJ30" s="832"/>
      <c r="AK30" s="832"/>
      <c r="AL30" s="832"/>
      <c r="AM30" s="832"/>
      <c r="AN30" s="832"/>
      <c r="AO30" s="832"/>
      <c r="AP30" s="832"/>
      <c r="AQ30" s="832"/>
      <c r="AR30" s="832"/>
      <c r="AS30" s="832"/>
      <c r="AT30" s="832"/>
      <c r="AU30" s="832"/>
      <c r="AV30" s="832"/>
      <c r="AW30" s="832"/>
      <c r="AX30" s="832"/>
      <c r="AY30" s="832"/>
      <c r="AZ30" s="832"/>
      <c r="BA30" s="832"/>
      <c r="BB30" s="833"/>
      <c r="BC30" s="834"/>
      <c r="BD30" s="832"/>
      <c r="BE30" s="832"/>
      <c r="BF30" s="832"/>
      <c r="BG30" s="832"/>
      <c r="BH30" s="832"/>
      <c r="BI30" s="832"/>
      <c r="BJ30" s="832"/>
      <c r="BK30" s="832"/>
      <c r="BL30" s="833"/>
      <c r="BM30" s="835"/>
      <c r="BN30" s="836"/>
      <c r="BO30" s="836"/>
      <c r="BP30" s="836"/>
      <c r="BQ30" s="837"/>
      <c r="BR30" s="835"/>
      <c r="BS30" s="836"/>
      <c r="BT30" s="836"/>
      <c r="BU30" s="836"/>
      <c r="BV30" s="838"/>
    </row>
    <row r="31" spans="1:74" ht="13.5" customHeight="1">
      <c r="A31" s="815"/>
      <c r="B31" s="816"/>
      <c r="C31" s="816"/>
      <c r="D31" s="816"/>
      <c r="E31" s="817"/>
      <c r="F31" s="821"/>
      <c r="G31" s="816"/>
      <c r="H31" s="816"/>
      <c r="I31" s="816"/>
      <c r="J31" s="816"/>
      <c r="K31" s="816"/>
      <c r="L31" s="816"/>
      <c r="M31" s="816"/>
      <c r="N31" s="816"/>
      <c r="O31" s="816"/>
      <c r="P31" s="816"/>
      <c r="Q31" s="816"/>
      <c r="R31" s="816"/>
      <c r="S31" s="816"/>
      <c r="T31" s="816"/>
      <c r="U31" s="816"/>
      <c r="V31" s="816"/>
      <c r="W31" s="816"/>
      <c r="X31" s="816"/>
      <c r="Y31" s="816"/>
      <c r="Z31" s="816"/>
      <c r="AA31" s="816"/>
      <c r="AB31" s="816"/>
      <c r="AC31" s="816"/>
      <c r="AD31" s="816"/>
      <c r="AE31" s="816"/>
      <c r="AF31" s="816"/>
      <c r="AG31" s="816"/>
      <c r="AH31" s="816"/>
      <c r="AI31" s="816"/>
      <c r="AJ31" s="816"/>
      <c r="AK31" s="816"/>
      <c r="AL31" s="816"/>
      <c r="AM31" s="816"/>
      <c r="AN31" s="816"/>
      <c r="AO31" s="816"/>
      <c r="AP31" s="816"/>
      <c r="AQ31" s="816"/>
      <c r="AR31" s="816"/>
      <c r="AS31" s="816"/>
      <c r="AT31" s="816"/>
      <c r="AU31" s="816"/>
      <c r="AV31" s="816"/>
      <c r="AW31" s="816"/>
      <c r="AX31" s="816"/>
      <c r="AY31" s="816"/>
      <c r="AZ31" s="816"/>
      <c r="BA31" s="816"/>
      <c r="BB31" s="817"/>
      <c r="BC31" s="821"/>
      <c r="BD31" s="816"/>
      <c r="BE31" s="816"/>
      <c r="BF31" s="816"/>
      <c r="BG31" s="816"/>
      <c r="BH31" s="816"/>
      <c r="BI31" s="816"/>
      <c r="BJ31" s="816"/>
      <c r="BK31" s="816"/>
      <c r="BL31" s="817"/>
      <c r="BM31" s="823"/>
      <c r="BN31" s="824"/>
      <c r="BO31" s="824"/>
      <c r="BP31" s="824"/>
      <c r="BQ31" s="825"/>
      <c r="BR31" s="823"/>
      <c r="BS31" s="824"/>
      <c r="BT31" s="824"/>
      <c r="BU31" s="824"/>
      <c r="BV31" s="826"/>
    </row>
    <row r="32" spans="1:74" ht="13.5" customHeight="1">
      <c r="A32" s="839"/>
      <c r="B32" s="840"/>
      <c r="C32" s="840"/>
      <c r="D32" s="840"/>
      <c r="E32" s="841"/>
      <c r="F32" s="842"/>
      <c r="G32" s="840"/>
      <c r="H32" s="840"/>
      <c r="I32" s="840"/>
      <c r="J32" s="840"/>
      <c r="K32" s="840"/>
      <c r="L32" s="840"/>
      <c r="M32" s="840"/>
      <c r="N32" s="840"/>
      <c r="O32" s="840"/>
      <c r="P32" s="840"/>
      <c r="Q32" s="840"/>
      <c r="R32" s="840"/>
      <c r="S32" s="840"/>
      <c r="T32" s="840"/>
      <c r="U32" s="840"/>
      <c r="V32" s="840"/>
      <c r="W32" s="840"/>
      <c r="X32" s="840"/>
      <c r="Y32" s="840"/>
      <c r="Z32" s="840"/>
      <c r="AA32" s="840"/>
      <c r="AB32" s="840"/>
      <c r="AC32" s="840"/>
      <c r="AD32" s="840"/>
      <c r="AE32" s="840"/>
      <c r="AF32" s="840"/>
      <c r="AG32" s="840"/>
      <c r="AH32" s="840"/>
      <c r="AI32" s="840"/>
      <c r="AJ32" s="840"/>
      <c r="AK32" s="840"/>
      <c r="AL32" s="840"/>
      <c r="AM32" s="840"/>
      <c r="AN32" s="840"/>
      <c r="AO32" s="840"/>
      <c r="AP32" s="840"/>
      <c r="AQ32" s="840"/>
      <c r="AR32" s="840"/>
      <c r="AS32" s="840"/>
      <c r="AT32" s="840"/>
      <c r="AU32" s="840"/>
      <c r="AV32" s="840"/>
      <c r="AW32" s="840"/>
      <c r="AX32" s="840"/>
      <c r="AY32" s="840"/>
      <c r="AZ32" s="840"/>
      <c r="BA32" s="840"/>
      <c r="BB32" s="841"/>
      <c r="BC32" s="842"/>
      <c r="BD32" s="840"/>
      <c r="BE32" s="840"/>
      <c r="BF32" s="840"/>
      <c r="BG32" s="840"/>
      <c r="BH32" s="840"/>
      <c r="BI32" s="840"/>
      <c r="BJ32" s="840"/>
      <c r="BK32" s="840"/>
      <c r="BL32" s="841"/>
      <c r="BM32" s="843"/>
      <c r="BN32" s="844"/>
      <c r="BO32" s="844"/>
      <c r="BP32" s="844"/>
      <c r="BQ32" s="845"/>
      <c r="BR32" s="843"/>
      <c r="BS32" s="844"/>
      <c r="BT32" s="844"/>
      <c r="BU32" s="844"/>
      <c r="BV32" s="846"/>
    </row>
    <row r="33" spans="1:74" ht="13.5" customHeight="1">
      <c r="A33" s="815"/>
      <c r="B33" s="816"/>
      <c r="C33" s="816"/>
      <c r="D33" s="816"/>
      <c r="E33" s="817"/>
      <c r="F33" s="821"/>
      <c r="G33" s="816"/>
      <c r="H33" s="816"/>
      <c r="I33" s="816"/>
      <c r="J33" s="816"/>
      <c r="K33" s="816"/>
      <c r="L33" s="816"/>
      <c r="M33" s="816"/>
      <c r="N33" s="816"/>
      <c r="O33" s="816"/>
      <c r="P33" s="816"/>
      <c r="Q33" s="816"/>
      <c r="R33" s="816"/>
      <c r="S33" s="816"/>
      <c r="T33" s="816"/>
      <c r="U33" s="816"/>
      <c r="V33" s="816"/>
      <c r="W33" s="816"/>
      <c r="X33" s="816"/>
      <c r="Y33" s="816"/>
      <c r="Z33" s="816"/>
      <c r="AA33" s="816"/>
      <c r="AB33" s="816"/>
      <c r="AC33" s="816"/>
      <c r="AD33" s="816"/>
      <c r="AE33" s="816"/>
      <c r="AF33" s="816"/>
      <c r="AG33" s="816"/>
      <c r="AH33" s="816"/>
      <c r="AI33" s="816"/>
      <c r="AJ33" s="816"/>
      <c r="AK33" s="816"/>
      <c r="AL33" s="816"/>
      <c r="AM33" s="816"/>
      <c r="AN33" s="816"/>
      <c r="AO33" s="816"/>
      <c r="AP33" s="816"/>
      <c r="AQ33" s="816"/>
      <c r="AR33" s="816"/>
      <c r="AS33" s="816"/>
      <c r="AT33" s="816"/>
      <c r="AU33" s="816"/>
      <c r="AV33" s="816"/>
      <c r="AW33" s="816"/>
      <c r="AX33" s="816"/>
      <c r="AY33" s="816"/>
      <c r="AZ33" s="816"/>
      <c r="BA33" s="816"/>
      <c r="BB33" s="817"/>
      <c r="BC33" s="821"/>
      <c r="BD33" s="816"/>
      <c r="BE33" s="816"/>
      <c r="BF33" s="816"/>
      <c r="BG33" s="816"/>
      <c r="BH33" s="816"/>
      <c r="BI33" s="816"/>
      <c r="BJ33" s="816"/>
      <c r="BK33" s="816"/>
      <c r="BL33" s="817"/>
      <c r="BM33" s="823"/>
      <c r="BN33" s="824"/>
      <c r="BO33" s="824"/>
      <c r="BP33" s="824"/>
      <c r="BQ33" s="825"/>
      <c r="BR33" s="823"/>
      <c r="BS33" s="824"/>
      <c r="BT33" s="824"/>
      <c r="BU33" s="824"/>
      <c r="BV33" s="826"/>
    </row>
    <row r="34" spans="1:74" ht="13.5" customHeight="1">
      <c r="A34" s="831"/>
      <c r="B34" s="832"/>
      <c r="C34" s="832"/>
      <c r="D34" s="832"/>
      <c r="E34" s="833"/>
      <c r="F34" s="834"/>
      <c r="G34" s="832"/>
      <c r="H34" s="832"/>
      <c r="I34" s="832"/>
      <c r="J34" s="832"/>
      <c r="K34" s="832"/>
      <c r="L34" s="832"/>
      <c r="M34" s="832"/>
      <c r="N34" s="832"/>
      <c r="O34" s="832"/>
      <c r="P34" s="832"/>
      <c r="Q34" s="832"/>
      <c r="R34" s="832"/>
      <c r="S34" s="832"/>
      <c r="T34" s="832"/>
      <c r="U34" s="832"/>
      <c r="V34" s="832"/>
      <c r="W34" s="832"/>
      <c r="X34" s="832"/>
      <c r="Y34" s="832"/>
      <c r="Z34" s="832"/>
      <c r="AA34" s="832"/>
      <c r="AB34" s="832"/>
      <c r="AC34" s="832"/>
      <c r="AD34" s="832"/>
      <c r="AE34" s="832"/>
      <c r="AF34" s="832"/>
      <c r="AG34" s="832"/>
      <c r="AH34" s="832"/>
      <c r="AI34" s="832"/>
      <c r="AJ34" s="832"/>
      <c r="AK34" s="832"/>
      <c r="AL34" s="832"/>
      <c r="AM34" s="832"/>
      <c r="AN34" s="832"/>
      <c r="AO34" s="832"/>
      <c r="AP34" s="832"/>
      <c r="AQ34" s="832"/>
      <c r="AR34" s="832"/>
      <c r="AS34" s="832"/>
      <c r="AT34" s="832"/>
      <c r="AU34" s="832"/>
      <c r="AV34" s="832"/>
      <c r="AW34" s="832"/>
      <c r="AX34" s="832"/>
      <c r="AY34" s="832"/>
      <c r="AZ34" s="832"/>
      <c r="BA34" s="832"/>
      <c r="BB34" s="833"/>
      <c r="BC34" s="834"/>
      <c r="BD34" s="832"/>
      <c r="BE34" s="832"/>
      <c r="BF34" s="832"/>
      <c r="BG34" s="832"/>
      <c r="BH34" s="832"/>
      <c r="BI34" s="832"/>
      <c r="BJ34" s="832"/>
      <c r="BK34" s="832"/>
      <c r="BL34" s="833"/>
      <c r="BM34" s="835"/>
      <c r="BN34" s="836"/>
      <c r="BO34" s="836"/>
      <c r="BP34" s="836"/>
      <c r="BQ34" s="837"/>
      <c r="BR34" s="835"/>
      <c r="BS34" s="836"/>
      <c r="BT34" s="836"/>
      <c r="BU34" s="836"/>
      <c r="BV34" s="838"/>
    </row>
    <row r="35" spans="1:74" ht="13.5" customHeight="1">
      <c r="A35" s="815"/>
      <c r="B35" s="816"/>
      <c r="C35" s="816"/>
      <c r="D35" s="816"/>
      <c r="E35" s="817"/>
      <c r="F35" s="821"/>
      <c r="G35" s="816"/>
      <c r="H35" s="816"/>
      <c r="I35" s="816"/>
      <c r="J35" s="816"/>
      <c r="K35" s="816"/>
      <c r="L35" s="816"/>
      <c r="M35" s="816"/>
      <c r="N35" s="816"/>
      <c r="O35" s="816"/>
      <c r="P35" s="816"/>
      <c r="Q35" s="816"/>
      <c r="R35" s="816"/>
      <c r="S35" s="816"/>
      <c r="T35" s="816"/>
      <c r="U35" s="816"/>
      <c r="V35" s="816"/>
      <c r="W35" s="816"/>
      <c r="X35" s="816"/>
      <c r="Y35" s="816"/>
      <c r="Z35" s="816"/>
      <c r="AA35" s="816"/>
      <c r="AB35" s="816"/>
      <c r="AC35" s="816"/>
      <c r="AD35" s="816"/>
      <c r="AE35" s="816"/>
      <c r="AF35" s="816"/>
      <c r="AG35" s="816"/>
      <c r="AH35" s="816"/>
      <c r="AI35" s="816"/>
      <c r="AJ35" s="816"/>
      <c r="AK35" s="816"/>
      <c r="AL35" s="816"/>
      <c r="AM35" s="816"/>
      <c r="AN35" s="816"/>
      <c r="AO35" s="816"/>
      <c r="AP35" s="816"/>
      <c r="AQ35" s="816"/>
      <c r="AR35" s="816"/>
      <c r="AS35" s="816"/>
      <c r="AT35" s="816"/>
      <c r="AU35" s="816"/>
      <c r="AV35" s="816"/>
      <c r="AW35" s="816"/>
      <c r="AX35" s="816"/>
      <c r="AY35" s="816"/>
      <c r="AZ35" s="816"/>
      <c r="BA35" s="816"/>
      <c r="BB35" s="817"/>
      <c r="BC35" s="821"/>
      <c r="BD35" s="816"/>
      <c r="BE35" s="816"/>
      <c r="BF35" s="816"/>
      <c r="BG35" s="816"/>
      <c r="BH35" s="816"/>
      <c r="BI35" s="816"/>
      <c r="BJ35" s="816"/>
      <c r="BK35" s="816"/>
      <c r="BL35" s="817"/>
      <c r="BM35" s="823"/>
      <c r="BN35" s="824"/>
      <c r="BO35" s="824"/>
      <c r="BP35" s="824"/>
      <c r="BQ35" s="825"/>
      <c r="BR35" s="823"/>
      <c r="BS35" s="824"/>
      <c r="BT35" s="824"/>
      <c r="BU35" s="824"/>
      <c r="BV35" s="826"/>
    </row>
    <row r="36" spans="1:74" ht="13.5" customHeight="1">
      <c r="A36" s="839"/>
      <c r="B36" s="840"/>
      <c r="C36" s="840"/>
      <c r="D36" s="840"/>
      <c r="E36" s="841"/>
      <c r="F36" s="842"/>
      <c r="G36" s="840"/>
      <c r="H36" s="840"/>
      <c r="I36" s="840"/>
      <c r="J36" s="840"/>
      <c r="K36" s="840"/>
      <c r="L36" s="840"/>
      <c r="M36" s="840"/>
      <c r="N36" s="840"/>
      <c r="O36" s="840"/>
      <c r="P36" s="840"/>
      <c r="Q36" s="840"/>
      <c r="R36" s="840"/>
      <c r="S36" s="840"/>
      <c r="T36" s="840"/>
      <c r="U36" s="840"/>
      <c r="V36" s="840"/>
      <c r="W36" s="840"/>
      <c r="X36" s="840"/>
      <c r="Y36" s="840"/>
      <c r="Z36" s="840"/>
      <c r="AA36" s="840"/>
      <c r="AB36" s="840"/>
      <c r="AC36" s="840"/>
      <c r="AD36" s="840"/>
      <c r="AE36" s="840"/>
      <c r="AF36" s="840"/>
      <c r="AG36" s="840"/>
      <c r="AH36" s="840"/>
      <c r="AI36" s="840"/>
      <c r="AJ36" s="840"/>
      <c r="AK36" s="840"/>
      <c r="AL36" s="840"/>
      <c r="AM36" s="840"/>
      <c r="AN36" s="840"/>
      <c r="AO36" s="840"/>
      <c r="AP36" s="840"/>
      <c r="AQ36" s="840"/>
      <c r="AR36" s="840"/>
      <c r="AS36" s="840"/>
      <c r="AT36" s="840"/>
      <c r="AU36" s="840"/>
      <c r="AV36" s="840"/>
      <c r="AW36" s="840"/>
      <c r="AX36" s="840"/>
      <c r="AY36" s="840"/>
      <c r="AZ36" s="840"/>
      <c r="BA36" s="840"/>
      <c r="BB36" s="841"/>
      <c r="BC36" s="842"/>
      <c r="BD36" s="840"/>
      <c r="BE36" s="840"/>
      <c r="BF36" s="840"/>
      <c r="BG36" s="840"/>
      <c r="BH36" s="840"/>
      <c r="BI36" s="840"/>
      <c r="BJ36" s="840"/>
      <c r="BK36" s="840"/>
      <c r="BL36" s="841"/>
      <c r="BM36" s="843"/>
      <c r="BN36" s="844"/>
      <c r="BO36" s="844"/>
      <c r="BP36" s="844"/>
      <c r="BQ36" s="845"/>
      <c r="BR36" s="843"/>
      <c r="BS36" s="844"/>
      <c r="BT36" s="844"/>
      <c r="BU36" s="844"/>
      <c r="BV36" s="846"/>
    </row>
    <row r="37" spans="1:74" ht="13.5" customHeight="1">
      <c r="A37" s="815"/>
      <c r="B37" s="816"/>
      <c r="C37" s="816"/>
      <c r="D37" s="816"/>
      <c r="E37" s="817"/>
      <c r="F37" s="821"/>
      <c r="G37" s="816"/>
      <c r="H37" s="816"/>
      <c r="I37" s="816"/>
      <c r="J37" s="816"/>
      <c r="K37" s="816"/>
      <c r="L37" s="816"/>
      <c r="M37" s="816"/>
      <c r="N37" s="816"/>
      <c r="O37" s="816"/>
      <c r="P37" s="816"/>
      <c r="Q37" s="816"/>
      <c r="R37" s="816"/>
      <c r="S37" s="816"/>
      <c r="T37" s="816"/>
      <c r="U37" s="816"/>
      <c r="V37" s="816"/>
      <c r="W37" s="816"/>
      <c r="X37" s="816"/>
      <c r="Y37" s="816"/>
      <c r="Z37" s="816"/>
      <c r="AA37" s="816"/>
      <c r="AB37" s="816"/>
      <c r="AC37" s="816"/>
      <c r="AD37" s="816"/>
      <c r="AE37" s="816"/>
      <c r="AF37" s="816"/>
      <c r="AG37" s="816"/>
      <c r="AH37" s="816"/>
      <c r="AI37" s="816"/>
      <c r="AJ37" s="816"/>
      <c r="AK37" s="816"/>
      <c r="AL37" s="816"/>
      <c r="AM37" s="816"/>
      <c r="AN37" s="816"/>
      <c r="AO37" s="816"/>
      <c r="AP37" s="816"/>
      <c r="AQ37" s="816"/>
      <c r="AR37" s="816"/>
      <c r="AS37" s="816"/>
      <c r="AT37" s="816"/>
      <c r="AU37" s="816"/>
      <c r="AV37" s="816"/>
      <c r="AW37" s="816"/>
      <c r="AX37" s="816"/>
      <c r="AY37" s="816"/>
      <c r="AZ37" s="816"/>
      <c r="BA37" s="816"/>
      <c r="BB37" s="817"/>
      <c r="BC37" s="821"/>
      <c r="BD37" s="816"/>
      <c r="BE37" s="816"/>
      <c r="BF37" s="816"/>
      <c r="BG37" s="816"/>
      <c r="BH37" s="816"/>
      <c r="BI37" s="816"/>
      <c r="BJ37" s="816"/>
      <c r="BK37" s="816"/>
      <c r="BL37" s="817"/>
      <c r="BM37" s="823"/>
      <c r="BN37" s="824"/>
      <c r="BO37" s="824"/>
      <c r="BP37" s="824"/>
      <c r="BQ37" s="825"/>
      <c r="BR37" s="823"/>
      <c r="BS37" s="824"/>
      <c r="BT37" s="824"/>
      <c r="BU37" s="824"/>
      <c r="BV37" s="826"/>
    </row>
    <row r="38" spans="1:74" ht="13.5" customHeight="1">
      <c r="A38" s="831"/>
      <c r="B38" s="832"/>
      <c r="C38" s="832"/>
      <c r="D38" s="832"/>
      <c r="E38" s="833"/>
      <c r="F38" s="834"/>
      <c r="G38" s="832"/>
      <c r="H38" s="832"/>
      <c r="I38" s="832"/>
      <c r="J38" s="832"/>
      <c r="K38" s="832"/>
      <c r="L38" s="832"/>
      <c r="M38" s="832"/>
      <c r="N38" s="832"/>
      <c r="O38" s="832"/>
      <c r="P38" s="832"/>
      <c r="Q38" s="832"/>
      <c r="R38" s="832"/>
      <c r="S38" s="832"/>
      <c r="T38" s="832"/>
      <c r="U38" s="832"/>
      <c r="V38" s="832"/>
      <c r="W38" s="832"/>
      <c r="X38" s="832"/>
      <c r="Y38" s="832"/>
      <c r="Z38" s="832"/>
      <c r="AA38" s="832"/>
      <c r="AB38" s="832"/>
      <c r="AC38" s="832"/>
      <c r="AD38" s="832"/>
      <c r="AE38" s="832"/>
      <c r="AF38" s="832"/>
      <c r="AG38" s="832"/>
      <c r="AH38" s="832"/>
      <c r="AI38" s="832"/>
      <c r="AJ38" s="832"/>
      <c r="AK38" s="832"/>
      <c r="AL38" s="832"/>
      <c r="AM38" s="832"/>
      <c r="AN38" s="832"/>
      <c r="AO38" s="832"/>
      <c r="AP38" s="832"/>
      <c r="AQ38" s="832"/>
      <c r="AR38" s="832"/>
      <c r="AS38" s="832"/>
      <c r="AT38" s="832"/>
      <c r="AU38" s="832"/>
      <c r="AV38" s="832"/>
      <c r="AW38" s="832"/>
      <c r="AX38" s="832"/>
      <c r="AY38" s="832"/>
      <c r="AZ38" s="832"/>
      <c r="BA38" s="832"/>
      <c r="BB38" s="833"/>
      <c r="BC38" s="834"/>
      <c r="BD38" s="832"/>
      <c r="BE38" s="832"/>
      <c r="BF38" s="832"/>
      <c r="BG38" s="832"/>
      <c r="BH38" s="832"/>
      <c r="BI38" s="832"/>
      <c r="BJ38" s="832"/>
      <c r="BK38" s="832"/>
      <c r="BL38" s="833"/>
      <c r="BM38" s="835"/>
      <c r="BN38" s="836"/>
      <c r="BO38" s="836"/>
      <c r="BP38" s="836"/>
      <c r="BQ38" s="837"/>
      <c r="BR38" s="835"/>
      <c r="BS38" s="836"/>
      <c r="BT38" s="836"/>
      <c r="BU38" s="836"/>
      <c r="BV38" s="838"/>
    </row>
    <row r="39" spans="1:74" ht="13.5" customHeight="1">
      <c r="A39" s="815"/>
      <c r="B39" s="816"/>
      <c r="C39" s="816"/>
      <c r="D39" s="816"/>
      <c r="E39" s="817"/>
      <c r="F39" s="821"/>
      <c r="G39" s="816"/>
      <c r="H39" s="816"/>
      <c r="I39" s="816"/>
      <c r="J39" s="816"/>
      <c r="K39" s="816"/>
      <c r="L39" s="816"/>
      <c r="M39" s="816"/>
      <c r="N39" s="816"/>
      <c r="O39" s="816"/>
      <c r="P39" s="816"/>
      <c r="Q39" s="816"/>
      <c r="R39" s="816"/>
      <c r="S39" s="816"/>
      <c r="T39" s="816"/>
      <c r="U39" s="816"/>
      <c r="V39" s="816"/>
      <c r="W39" s="816"/>
      <c r="X39" s="816"/>
      <c r="Y39" s="816"/>
      <c r="Z39" s="816"/>
      <c r="AA39" s="816"/>
      <c r="AB39" s="816"/>
      <c r="AC39" s="816"/>
      <c r="AD39" s="816"/>
      <c r="AE39" s="816"/>
      <c r="AF39" s="816"/>
      <c r="AG39" s="816"/>
      <c r="AH39" s="816"/>
      <c r="AI39" s="816"/>
      <c r="AJ39" s="816"/>
      <c r="AK39" s="816"/>
      <c r="AL39" s="816"/>
      <c r="AM39" s="816"/>
      <c r="AN39" s="816"/>
      <c r="AO39" s="816"/>
      <c r="AP39" s="816"/>
      <c r="AQ39" s="816"/>
      <c r="AR39" s="816"/>
      <c r="AS39" s="816"/>
      <c r="AT39" s="816"/>
      <c r="AU39" s="816"/>
      <c r="AV39" s="816"/>
      <c r="AW39" s="816"/>
      <c r="AX39" s="816"/>
      <c r="AY39" s="816"/>
      <c r="AZ39" s="816"/>
      <c r="BA39" s="816"/>
      <c r="BB39" s="817"/>
      <c r="BC39" s="821"/>
      <c r="BD39" s="816"/>
      <c r="BE39" s="816"/>
      <c r="BF39" s="816"/>
      <c r="BG39" s="816"/>
      <c r="BH39" s="816"/>
      <c r="BI39" s="816"/>
      <c r="BJ39" s="816"/>
      <c r="BK39" s="816"/>
      <c r="BL39" s="817"/>
      <c r="BM39" s="823"/>
      <c r="BN39" s="824"/>
      <c r="BO39" s="824"/>
      <c r="BP39" s="824"/>
      <c r="BQ39" s="825"/>
      <c r="BR39" s="823"/>
      <c r="BS39" s="824"/>
      <c r="BT39" s="824"/>
      <c r="BU39" s="824"/>
      <c r="BV39" s="826"/>
    </row>
    <row r="40" spans="1:74" ht="13.5" customHeight="1">
      <c r="A40" s="839"/>
      <c r="B40" s="840"/>
      <c r="C40" s="840"/>
      <c r="D40" s="840"/>
      <c r="E40" s="841"/>
      <c r="F40" s="842"/>
      <c r="G40" s="840"/>
      <c r="H40" s="840"/>
      <c r="I40" s="840"/>
      <c r="J40" s="840"/>
      <c r="K40" s="840"/>
      <c r="L40" s="840"/>
      <c r="M40" s="840"/>
      <c r="N40" s="840"/>
      <c r="O40" s="840"/>
      <c r="P40" s="840"/>
      <c r="Q40" s="840"/>
      <c r="R40" s="840"/>
      <c r="S40" s="840"/>
      <c r="T40" s="840"/>
      <c r="U40" s="840"/>
      <c r="V40" s="840"/>
      <c r="W40" s="840"/>
      <c r="X40" s="840"/>
      <c r="Y40" s="840"/>
      <c r="Z40" s="840"/>
      <c r="AA40" s="840"/>
      <c r="AB40" s="840"/>
      <c r="AC40" s="840"/>
      <c r="AD40" s="840"/>
      <c r="AE40" s="840"/>
      <c r="AF40" s="840"/>
      <c r="AG40" s="840"/>
      <c r="AH40" s="840"/>
      <c r="AI40" s="840"/>
      <c r="AJ40" s="840"/>
      <c r="AK40" s="840"/>
      <c r="AL40" s="840"/>
      <c r="AM40" s="840"/>
      <c r="AN40" s="840"/>
      <c r="AO40" s="840"/>
      <c r="AP40" s="840"/>
      <c r="AQ40" s="840"/>
      <c r="AR40" s="840"/>
      <c r="AS40" s="840"/>
      <c r="AT40" s="840"/>
      <c r="AU40" s="840"/>
      <c r="AV40" s="840"/>
      <c r="AW40" s="840"/>
      <c r="AX40" s="840"/>
      <c r="AY40" s="840"/>
      <c r="AZ40" s="840"/>
      <c r="BA40" s="840"/>
      <c r="BB40" s="841"/>
      <c r="BC40" s="842"/>
      <c r="BD40" s="840"/>
      <c r="BE40" s="840"/>
      <c r="BF40" s="840"/>
      <c r="BG40" s="840"/>
      <c r="BH40" s="840"/>
      <c r="BI40" s="840"/>
      <c r="BJ40" s="840"/>
      <c r="BK40" s="840"/>
      <c r="BL40" s="841"/>
      <c r="BM40" s="843"/>
      <c r="BN40" s="844"/>
      <c r="BO40" s="844"/>
      <c r="BP40" s="844"/>
      <c r="BQ40" s="845"/>
      <c r="BR40" s="843"/>
      <c r="BS40" s="844"/>
      <c r="BT40" s="844"/>
      <c r="BU40" s="844"/>
      <c r="BV40" s="846"/>
    </row>
    <row r="41" spans="1:74" ht="13.5" customHeight="1">
      <c r="A41" s="815"/>
      <c r="B41" s="816"/>
      <c r="C41" s="816"/>
      <c r="D41" s="816"/>
      <c r="E41" s="817"/>
      <c r="F41" s="821"/>
      <c r="G41" s="816"/>
      <c r="H41" s="816"/>
      <c r="I41" s="816"/>
      <c r="J41" s="816"/>
      <c r="K41" s="816"/>
      <c r="L41" s="816"/>
      <c r="M41" s="816"/>
      <c r="N41" s="816"/>
      <c r="O41" s="816"/>
      <c r="P41" s="816"/>
      <c r="Q41" s="816"/>
      <c r="R41" s="816"/>
      <c r="S41" s="816"/>
      <c r="T41" s="816"/>
      <c r="U41" s="816"/>
      <c r="V41" s="816"/>
      <c r="W41" s="816"/>
      <c r="X41" s="816"/>
      <c r="Y41" s="816"/>
      <c r="Z41" s="816"/>
      <c r="AA41" s="816"/>
      <c r="AB41" s="816"/>
      <c r="AC41" s="816"/>
      <c r="AD41" s="816"/>
      <c r="AE41" s="816"/>
      <c r="AF41" s="816"/>
      <c r="AG41" s="816"/>
      <c r="AH41" s="816"/>
      <c r="AI41" s="816"/>
      <c r="AJ41" s="816"/>
      <c r="AK41" s="816"/>
      <c r="AL41" s="816"/>
      <c r="AM41" s="816"/>
      <c r="AN41" s="816"/>
      <c r="AO41" s="816"/>
      <c r="AP41" s="816"/>
      <c r="AQ41" s="816"/>
      <c r="AR41" s="816"/>
      <c r="AS41" s="816"/>
      <c r="AT41" s="816"/>
      <c r="AU41" s="816"/>
      <c r="AV41" s="816"/>
      <c r="AW41" s="816"/>
      <c r="AX41" s="816"/>
      <c r="AY41" s="816"/>
      <c r="AZ41" s="816"/>
      <c r="BA41" s="816"/>
      <c r="BB41" s="817"/>
      <c r="BC41" s="821"/>
      <c r="BD41" s="816"/>
      <c r="BE41" s="816"/>
      <c r="BF41" s="816"/>
      <c r="BG41" s="816"/>
      <c r="BH41" s="816"/>
      <c r="BI41" s="816"/>
      <c r="BJ41" s="816"/>
      <c r="BK41" s="816"/>
      <c r="BL41" s="817"/>
      <c r="BM41" s="823"/>
      <c r="BN41" s="824"/>
      <c r="BO41" s="824"/>
      <c r="BP41" s="824"/>
      <c r="BQ41" s="825"/>
      <c r="BR41" s="823"/>
      <c r="BS41" s="824"/>
      <c r="BT41" s="824"/>
      <c r="BU41" s="824"/>
      <c r="BV41" s="826"/>
    </row>
    <row r="42" spans="1:74" ht="13.5" customHeight="1">
      <c r="A42" s="831"/>
      <c r="B42" s="832"/>
      <c r="C42" s="832"/>
      <c r="D42" s="832"/>
      <c r="E42" s="833"/>
      <c r="F42" s="834"/>
      <c r="G42" s="832"/>
      <c r="H42" s="832"/>
      <c r="I42" s="832"/>
      <c r="J42" s="832"/>
      <c r="K42" s="832"/>
      <c r="L42" s="832"/>
      <c r="M42" s="832"/>
      <c r="N42" s="832"/>
      <c r="O42" s="832"/>
      <c r="P42" s="832"/>
      <c r="Q42" s="832"/>
      <c r="R42" s="832"/>
      <c r="S42" s="832"/>
      <c r="T42" s="832"/>
      <c r="U42" s="832"/>
      <c r="V42" s="832"/>
      <c r="W42" s="832"/>
      <c r="X42" s="832"/>
      <c r="Y42" s="832"/>
      <c r="Z42" s="832"/>
      <c r="AA42" s="832"/>
      <c r="AB42" s="832"/>
      <c r="AC42" s="832"/>
      <c r="AD42" s="832"/>
      <c r="AE42" s="832"/>
      <c r="AF42" s="832"/>
      <c r="AG42" s="832"/>
      <c r="AH42" s="832"/>
      <c r="AI42" s="832"/>
      <c r="AJ42" s="832"/>
      <c r="AK42" s="832"/>
      <c r="AL42" s="832"/>
      <c r="AM42" s="832"/>
      <c r="AN42" s="832"/>
      <c r="AO42" s="832"/>
      <c r="AP42" s="832"/>
      <c r="AQ42" s="832"/>
      <c r="AR42" s="832"/>
      <c r="AS42" s="832"/>
      <c r="AT42" s="832"/>
      <c r="AU42" s="832"/>
      <c r="AV42" s="832"/>
      <c r="AW42" s="832"/>
      <c r="AX42" s="832"/>
      <c r="AY42" s="832"/>
      <c r="AZ42" s="832"/>
      <c r="BA42" s="832"/>
      <c r="BB42" s="833"/>
      <c r="BC42" s="834"/>
      <c r="BD42" s="832"/>
      <c r="BE42" s="832"/>
      <c r="BF42" s="832"/>
      <c r="BG42" s="832"/>
      <c r="BH42" s="832"/>
      <c r="BI42" s="832"/>
      <c r="BJ42" s="832"/>
      <c r="BK42" s="832"/>
      <c r="BL42" s="833"/>
      <c r="BM42" s="835"/>
      <c r="BN42" s="836"/>
      <c r="BO42" s="836"/>
      <c r="BP42" s="836"/>
      <c r="BQ42" s="837"/>
      <c r="BR42" s="835"/>
      <c r="BS42" s="836"/>
      <c r="BT42" s="836"/>
      <c r="BU42" s="836"/>
      <c r="BV42" s="838"/>
    </row>
    <row r="43" spans="1:74" ht="13.5" customHeight="1">
      <c r="A43" s="815"/>
      <c r="B43" s="816"/>
      <c r="C43" s="816"/>
      <c r="D43" s="816"/>
      <c r="E43" s="817"/>
      <c r="F43" s="821"/>
      <c r="G43" s="816"/>
      <c r="H43" s="816"/>
      <c r="I43" s="816"/>
      <c r="J43" s="816"/>
      <c r="K43" s="816"/>
      <c r="L43" s="816"/>
      <c r="M43" s="816"/>
      <c r="N43" s="816"/>
      <c r="O43" s="816"/>
      <c r="P43" s="816"/>
      <c r="Q43" s="816"/>
      <c r="R43" s="816"/>
      <c r="S43" s="816"/>
      <c r="T43" s="816"/>
      <c r="U43" s="816"/>
      <c r="V43" s="816"/>
      <c r="W43" s="816"/>
      <c r="X43" s="816"/>
      <c r="Y43" s="816"/>
      <c r="Z43" s="816"/>
      <c r="AA43" s="816"/>
      <c r="AB43" s="816"/>
      <c r="AC43" s="816"/>
      <c r="AD43" s="816"/>
      <c r="AE43" s="816"/>
      <c r="AF43" s="816"/>
      <c r="AG43" s="816"/>
      <c r="AH43" s="816"/>
      <c r="AI43" s="816"/>
      <c r="AJ43" s="816"/>
      <c r="AK43" s="816"/>
      <c r="AL43" s="816"/>
      <c r="AM43" s="816"/>
      <c r="AN43" s="816"/>
      <c r="AO43" s="816"/>
      <c r="AP43" s="816"/>
      <c r="AQ43" s="816"/>
      <c r="AR43" s="816"/>
      <c r="AS43" s="816"/>
      <c r="AT43" s="816"/>
      <c r="AU43" s="816"/>
      <c r="AV43" s="816"/>
      <c r="AW43" s="816"/>
      <c r="AX43" s="816"/>
      <c r="AY43" s="816"/>
      <c r="AZ43" s="816"/>
      <c r="BA43" s="816"/>
      <c r="BB43" s="817"/>
      <c r="BC43" s="821"/>
      <c r="BD43" s="816"/>
      <c r="BE43" s="816"/>
      <c r="BF43" s="816"/>
      <c r="BG43" s="816"/>
      <c r="BH43" s="816"/>
      <c r="BI43" s="816"/>
      <c r="BJ43" s="816"/>
      <c r="BK43" s="816"/>
      <c r="BL43" s="817"/>
      <c r="BM43" s="823"/>
      <c r="BN43" s="824"/>
      <c r="BO43" s="824"/>
      <c r="BP43" s="824"/>
      <c r="BQ43" s="825"/>
      <c r="BR43" s="823"/>
      <c r="BS43" s="824"/>
      <c r="BT43" s="824"/>
      <c r="BU43" s="824"/>
      <c r="BV43" s="826"/>
    </row>
    <row r="44" spans="1:74" ht="13.5" customHeight="1">
      <c r="A44" s="839"/>
      <c r="B44" s="840"/>
      <c r="C44" s="840"/>
      <c r="D44" s="840"/>
      <c r="E44" s="841"/>
      <c r="F44" s="842"/>
      <c r="G44" s="840"/>
      <c r="H44" s="840"/>
      <c r="I44" s="840"/>
      <c r="J44" s="840"/>
      <c r="K44" s="840"/>
      <c r="L44" s="840"/>
      <c r="M44" s="840"/>
      <c r="N44" s="840"/>
      <c r="O44" s="840"/>
      <c r="P44" s="840"/>
      <c r="Q44" s="840"/>
      <c r="R44" s="840"/>
      <c r="S44" s="840"/>
      <c r="T44" s="840"/>
      <c r="U44" s="840"/>
      <c r="V44" s="840"/>
      <c r="W44" s="840"/>
      <c r="X44" s="840"/>
      <c r="Y44" s="840"/>
      <c r="Z44" s="840"/>
      <c r="AA44" s="840"/>
      <c r="AB44" s="840"/>
      <c r="AC44" s="840"/>
      <c r="AD44" s="840"/>
      <c r="AE44" s="840"/>
      <c r="AF44" s="840"/>
      <c r="AG44" s="840"/>
      <c r="AH44" s="840"/>
      <c r="AI44" s="840"/>
      <c r="AJ44" s="840"/>
      <c r="AK44" s="840"/>
      <c r="AL44" s="840"/>
      <c r="AM44" s="840"/>
      <c r="AN44" s="840"/>
      <c r="AO44" s="840"/>
      <c r="AP44" s="840"/>
      <c r="AQ44" s="840"/>
      <c r="AR44" s="840"/>
      <c r="AS44" s="840"/>
      <c r="AT44" s="840"/>
      <c r="AU44" s="840"/>
      <c r="AV44" s="840"/>
      <c r="AW44" s="840"/>
      <c r="AX44" s="840"/>
      <c r="AY44" s="840"/>
      <c r="AZ44" s="840"/>
      <c r="BA44" s="840"/>
      <c r="BB44" s="841"/>
      <c r="BC44" s="842"/>
      <c r="BD44" s="840"/>
      <c r="BE44" s="840"/>
      <c r="BF44" s="840"/>
      <c r="BG44" s="840"/>
      <c r="BH44" s="840"/>
      <c r="BI44" s="840"/>
      <c r="BJ44" s="840"/>
      <c r="BK44" s="840"/>
      <c r="BL44" s="841"/>
      <c r="BM44" s="843"/>
      <c r="BN44" s="844"/>
      <c r="BO44" s="844"/>
      <c r="BP44" s="844"/>
      <c r="BQ44" s="845"/>
      <c r="BR44" s="843"/>
      <c r="BS44" s="844"/>
      <c r="BT44" s="844"/>
      <c r="BU44" s="844"/>
      <c r="BV44" s="846"/>
    </row>
    <row r="45" spans="1:74" ht="13.5" customHeight="1">
      <c r="A45" s="815"/>
      <c r="B45" s="816"/>
      <c r="C45" s="816"/>
      <c r="D45" s="816"/>
      <c r="E45" s="817"/>
      <c r="F45" s="821"/>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H45" s="816"/>
      <c r="AI45" s="816"/>
      <c r="AJ45" s="816"/>
      <c r="AK45" s="816"/>
      <c r="AL45" s="816"/>
      <c r="AM45" s="816"/>
      <c r="AN45" s="816"/>
      <c r="AO45" s="816"/>
      <c r="AP45" s="816"/>
      <c r="AQ45" s="816"/>
      <c r="AR45" s="816"/>
      <c r="AS45" s="816"/>
      <c r="AT45" s="816"/>
      <c r="AU45" s="816"/>
      <c r="AV45" s="816"/>
      <c r="AW45" s="816"/>
      <c r="AX45" s="816"/>
      <c r="AY45" s="816"/>
      <c r="AZ45" s="816"/>
      <c r="BA45" s="816"/>
      <c r="BB45" s="817"/>
      <c r="BC45" s="821"/>
      <c r="BD45" s="816"/>
      <c r="BE45" s="816"/>
      <c r="BF45" s="816"/>
      <c r="BG45" s="816"/>
      <c r="BH45" s="816"/>
      <c r="BI45" s="816"/>
      <c r="BJ45" s="816"/>
      <c r="BK45" s="816"/>
      <c r="BL45" s="817"/>
      <c r="BM45" s="823"/>
      <c r="BN45" s="824"/>
      <c r="BO45" s="824"/>
      <c r="BP45" s="824"/>
      <c r="BQ45" s="825"/>
      <c r="BR45" s="823"/>
      <c r="BS45" s="824"/>
      <c r="BT45" s="824"/>
      <c r="BU45" s="824"/>
      <c r="BV45" s="826"/>
    </row>
    <row r="46" spans="1:74" ht="13.5" customHeight="1">
      <c r="A46" s="831"/>
      <c r="B46" s="832"/>
      <c r="C46" s="832"/>
      <c r="D46" s="832"/>
      <c r="E46" s="833"/>
      <c r="F46" s="834"/>
      <c r="G46" s="832"/>
      <c r="H46" s="832"/>
      <c r="I46" s="832"/>
      <c r="J46" s="832"/>
      <c r="K46" s="832"/>
      <c r="L46" s="832"/>
      <c r="M46" s="832"/>
      <c r="N46" s="832"/>
      <c r="O46" s="832"/>
      <c r="P46" s="832"/>
      <c r="Q46" s="832"/>
      <c r="R46" s="832"/>
      <c r="S46" s="832"/>
      <c r="T46" s="832"/>
      <c r="U46" s="832"/>
      <c r="V46" s="832"/>
      <c r="W46" s="832"/>
      <c r="X46" s="832"/>
      <c r="Y46" s="832"/>
      <c r="Z46" s="832"/>
      <c r="AA46" s="832"/>
      <c r="AB46" s="832"/>
      <c r="AC46" s="832"/>
      <c r="AD46" s="832"/>
      <c r="AE46" s="832"/>
      <c r="AF46" s="832"/>
      <c r="AG46" s="832"/>
      <c r="AH46" s="832"/>
      <c r="AI46" s="832"/>
      <c r="AJ46" s="832"/>
      <c r="AK46" s="832"/>
      <c r="AL46" s="832"/>
      <c r="AM46" s="832"/>
      <c r="AN46" s="832"/>
      <c r="AO46" s="832"/>
      <c r="AP46" s="832"/>
      <c r="AQ46" s="832"/>
      <c r="AR46" s="832"/>
      <c r="AS46" s="832"/>
      <c r="AT46" s="832"/>
      <c r="AU46" s="832"/>
      <c r="AV46" s="832"/>
      <c r="AW46" s="832"/>
      <c r="AX46" s="832"/>
      <c r="AY46" s="832"/>
      <c r="AZ46" s="832"/>
      <c r="BA46" s="832"/>
      <c r="BB46" s="833"/>
      <c r="BC46" s="834"/>
      <c r="BD46" s="832"/>
      <c r="BE46" s="832"/>
      <c r="BF46" s="832"/>
      <c r="BG46" s="832"/>
      <c r="BH46" s="832"/>
      <c r="BI46" s="832"/>
      <c r="BJ46" s="832"/>
      <c r="BK46" s="832"/>
      <c r="BL46" s="833"/>
      <c r="BM46" s="835"/>
      <c r="BN46" s="836"/>
      <c r="BO46" s="836"/>
      <c r="BP46" s="836"/>
      <c r="BQ46" s="837"/>
      <c r="BR46" s="835"/>
      <c r="BS46" s="836"/>
      <c r="BT46" s="836"/>
      <c r="BU46" s="836"/>
      <c r="BV46" s="838"/>
    </row>
    <row r="47" spans="1:74" ht="13.5" customHeight="1">
      <c r="A47" s="815"/>
      <c r="B47" s="816"/>
      <c r="C47" s="816"/>
      <c r="D47" s="816"/>
      <c r="E47" s="817"/>
      <c r="F47" s="821"/>
      <c r="G47" s="816"/>
      <c r="H47" s="816"/>
      <c r="I47" s="816"/>
      <c r="J47" s="816"/>
      <c r="K47" s="816"/>
      <c r="L47" s="816"/>
      <c r="M47" s="816"/>
      <c r="N47" s="816"/>
      <c r="O47" s="816"/>
      <c r="P47" s="816"/>
      <c r="Q47" s="816"/>
      <c r="R47" s="816"/>
      <c r="S47" s="816"/>
      <c r="T47" s="816"/>
      <c r="U47" s="816"/>
      <c r="V47" s="816"/>
      <c r="W47" s="816"/>
      <c r="X47" s="816"/>
      <c r="Y47" s="816"/>
      <c r="Z47" s="816"/>
      <c r="AA47" s="816"/>
      <c r="AB47" s="816"/>
      <c r="AC47" s="816"/>
      <c r="AD47" s="816"/>
      <c r="AE47" s="816"/>
      <c r="AF47" s="816"/>
      <c r="AG47" s="816"/>
      <c r="AH47" s="816"/>
      <c r="AI47" s="816"/>
      <c r="AJ47" s="816"/>
      <c r="AK47" s="816"/>
      <c r="AL47" s="816"/>
      <c r="AM47" s="816"/>
      <c r="AN47" s="816"/>
      <c r="AO47" s="816"/>
      <c r="AP47" s="816"/>
      <c r="AQ47" s="816"/>
      <c r="AR47" s="816"/>
      <c r="AS47" s="816"/>
      <c r="AT47" s="816"/>
      <c r="AU47" s="816"/>
      <c r="AV47" s="816"/>
      <c r="AW47" s="816"/>
      <c r="AX47" s="816"/>
      <c r="AY47" s="816"/>
      <c r="AZ47" s="816"/>
      <c r="BA47" s="816"/>
      <c r="BB47" s="817"/>
      <c r="BC47" s="821"/>
      <c r="BD47" s="816"/>
      <c r="BE47" s="816"/>
      <c r="BF47" s="816"/>
      <c r="BG47" s="816"/>
      <c r="BH47" s="816"/>
      <c r="BI47" s="816"/>
      <c r="BJ47" s="816"/>
      <c r="BK47" s="816"/>
      <c r="BL47" s="817"/>
      <c r="BM47" s="823"/>
      <c r="BN47" s="824"/>
      <c r="BO47" s="824"/>
      <c r="BP47" s="824"/>
      <c r="BQ47" s="825"/>
      <c r="BR47" s="823"/>
      <c r="BS47" s="824"/>
      <c r="BT47" s="824"/>
      <c r="BU47" s="824"/>
      <c r="BV47" s="826"/>
    </row>
    <row r="48" spans="1:74" ht="13.5" customHeight="1" thickBot="1">
      <c r="A48" s="818"/>
      <c r="B48" s="819"/>
      <c r="C48" s="819"/>
      <c r="D48" s="819"/>
      <c r="E48" s="820"/>
      <c r="F48" s="822"/>
      <c r="G48" s="819"/>
      <c r="H48" s="819"/>
      <c r="I48" s="819"/>
      <c r="J48" s="819"/>
      <c r="K48" s="819"/>
      <c r="L48" s="819"/>
      <c r="M48" s="819"/>
      <c r="N48" s="819"/>
      <c r="O48" s="819"/>
      <c r="P48" s="819"/>
      <c r="Q48" s="819"/>
      <c r="R48" s="819"/>
      <c r="S48" s="819"/>
      <c r="T48" s="819"/>
      <c r="U48" s="819"/>
      <c r="V48" s="819"/>
      <c r="W48" s="819"/>
      <c r="X48" s="819"/>
      <c r="Y48" s="819"/>
      <c r="Z48" s="819"/>
      <c r="AA48" s="819"/>
      <c r="AB48" s="819"/>
      <c r="AC48" s="819"/>
      <c r="AD48" s="819"/>
      <c r="AE48" s="819"/>
      <c r="AF48" s="819"/>
      <c r="AG48" s="819"/>
      <c r="AH48" s="819"/>
      <c r="AI48" s="819"/>
      <c r="AJ48" s="819"/>
      <c r="AK48" s="819"/>
      <c r="AL48" s="819"/>
      <c r="AM48" s="819"/>
      <c r="AN48" s="819"/>
      <c r="AO48" s="819"/>
      <c r="AP48" s="819"/>
      <c r="AQ48" s="819"/>
      <c r="AR48" s="819"/>
      <c r="AS48" s="819"/>
      <c r="AT48" s="819"/>
      <c r="AU48" s="819"/>
      <c r="AV48" s="819"/>
      <c r="AW48" s="819"/>
      <c r="AX48" s="819"/>
      <c r="AY48" s="819"/>
      <c r="AZ48" s="819"/>
      <c r="BA48" s="819"/>
      <c r="BB48" s="820"/>
      <c r="BC48" s="822"/>
      <c r="BD48" s="819"/>
      <c r="BE48" s="819"/>
      <c r="BF48" s="819"/>
      <c r="BG48" s="819"/>
      <c r="BH48" s="819"/>
      <c r="BI48" s="819"/>
      <c r="BJ48" s="819"/>
      <c r="BK48" s="819"/>
      <c r="BL48" s="820"/>
      <c r="BM48" s="827"/>
      <c r="BN48" s="828"/>
      <c r="BO48" s="828"/>
      <c r="BP48" s="828"/>
      <c r="BQ48" s="829"/>
      <c r="BR48" s="827"/>
      <c r="BS48" s="828"/>
      <c r="BT48" s="828"/>
      <c r="BU48" s="828"/>
      <c r="BV48" s="830"/>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9"/>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activeCell="C45" sqref="C45:H45"/>
      <selection pane="bottomLeft" activeCell="V7" sqref="V7"/>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8" s="4" customFormat="1" ht="15.75" customHeight="1">
      <c r="A1" s="639" t="str">
        <f>表紙!A54</f>
        <v>Webシステム</v>
      </c>
      <c r="B1" s="953"/>
      <c r="C1" s="953"/>
      <c r="D1" s="953"/>
      <c r="E1" s="953"/>
      <c r="F1" s="953"/>
      <c r="G1" s="953"/>
      <c r="H1" s="953"/>
      <c r="I1" s="953"/>
      <c r="J1" s="953"/>
      <c r="K1" s="953"/>
      <c r="L1" s="953"/>
      <c r="M1" s="953"/>
      <c r="N1" s="954"/>
      <c r="O1" s="961" t="s">
        <v>132</v>
      </c>
      <c r="P1" s="962"/>
      <c r="Q1" s="962"/>
      <c r="R1" s="962"/>
      <c r="S1" s="962"/>
      <c r="T1" s="962"/>
      <c r="U1" s="962"/>
      <c r="V1" s="962"/>
      <c r="W1" s="962"/>
      <c r="X1" s="962"/>
      <c r="Y1" s="962"/>
      <c r="Z1" s="962"/>
      <c r="AA1" s="962"/>
      <c r="AB1" s="963"/>
      <c r="AC1" s="964" t="s">
        <v>148</v>
      </c>
      <c r="AD1" s="965"/>
      <c r="AE1" s="965"/>
      <c r="AF1" s="965"/>
      <c r="AG1" s="965"/>
      <c r="AH1" s="965"/>
      <c r="AI1" s="966"/>
      <c r="AJ1" s="625" t="str">
        <f>表紙!AJ63</f>
        <v>MS</v>
      </c>
      <c r="AK1" s="972"/>
      <c r="AL1" s="972"/>
      <c r="AM1" s="972"/>
      <c r="AN1" s="972"/>
      <c r="AO1" s="972"/>
      <c r="AP1" s="973"/>
      <c r="AQ1" s="964" t="s">
        <v>135</v>
      </c>
      <c r="AR1" s="965"/>
      <c r="AS1" s="965"/>
      <c r="AT1" s="965"/>
      <c r="AU1" s="965"/>
      <c r="AV1" s="965"/>
      <c r="AW1" s="966"/>
      <c r="AX1" s="625" t="str">
        <f>表紙!AX63</f>
        <v>Webシステム</v>
      </c>
      <c r="AY1" s="972"/>
      <c r="AZ1" s="972"/>
      <c r="BA1" s="972"/>
      <c r="BB1" s="972"/>
      <c r="BC1" s="972"/>
      <c r="BD1" s="972"/>
      <c r="BE1" s="972"/>
      <c r="BF1" s="972"/>
      <c r="BG1" s="972"/>
      <c r="BH1" s="972"/>
      <c r="BI1" s="972"/>
      <c r="BJ1" s="972"/>
      <c r="BK1" s="973"/>
      <c r="BL1" s="974" t="s">
        <v>101</v>
      </c>
      <c r="BM1" s="975"/>
      <c r="BN1" s="975"/>
      <c r="BO1" s="975"/>
      <c r="BP1" s="975"/>
      <c r="BQ1" s="975"/>
      <c r="BR1" s="975"/>
      <c r="BS1" s="975"/>
      <c r="BT1" s="976"/>
      <c r="BU1" s="977" t="s">
        <v>124</v>
      </c>
      <c r="BV1" s="978"/>
      <c r="BW1" s="978"/>
      <c r="BX1" s="978"/>
      <c r="BY1" s="978"/>
      <c r="BZ1" s="978"/>
      <c r="CA1" s="979"/>
      <c r="CB1" s="977" t="s">
        <v>149</v>
      </c>
      <c r="CC1" s="978"/>
      <c r="CD1" s="978"/>
      <c r="CE1" s="978"/>
      <c r="CF1" s="978"/>
      <c r="CG1" s="978"/>
      <c r="CH1" s="980"/>
    </row>
    <row r="2" spans="1:88" s="4" customFormat="1" ht="15.75" customHeight="1">
      <c r="A2" s="955"/>
      <c r="B2" s="956"/>
      <c r="C2" s="956"/>
      <c r="D2" s="956"/>
      <c r="E2" s="956"/>
      <c r="F2" s="956"/>
      <c r="G2" s="956"/>
      <c r="H2" s="956"/>
      <c r="I2" s="956"/>
      <c r="J2" s="956"/>
      <c r="K2" s="956"/>
      <c r="L2" s="956"/>
      <c r="M2" s="956"/>
      <c r="N2" s="957"/>
      <c r="O2" s="610" t="str">
        <f>表紙!O64</f>
        <v>アドオン設計書</v>
      </c>
      <c r="P2" s="967"/>
      <c r="Q2" s="967"/>
      <c r="R2" s="967"/>
      <c r="S2" s="967"/>
      <c r="T2" s="967"/>
      <c r="U2" s="967"/>
      <c r="V2" s="967"/>
      <c r="W2" s="967"/>
      <c r="X2" s="967"/>
      <c r="Y2" s="967"/>
      <c r="Z2" s="967"/>
      <c r="AA2" s="967"/>
      <c r="AB2" s="968"/>
      <c r="AC2" s="969" t="s">
        <v>152</v>
      </c>
      <c r="AD2" s="970"/>
      <c r="AE2" s="970"/>
      <c r="AF2" s="970"/>
      <c r="AG2" s="970"/>
      <c r="AH2" s="970"/>
      <c r="AI2" s="971"/>
      <c r="AJ2" s="615" t="str">
        <f>表紙!AJ64</f>
        <v>MSBB</v>
      </c>
      <c r="AK2" s="616"/>
      <c r="AL2" s="616"/>
      <c r="AM2" s="616"/>
      <c r="AN2" s="616"/>
      <c r="AO2" s="616"/>
      <c r="AP2" s="617"/>
      <c r="AQ2" s="969" t="s">
        <v>153</v>
      </c>
      <c r="AR2" s="970"/>
      <c r="AS2" s="970"/>
      <c r="AT2" s="970"/>
      <c r="AU2" s="970"/>
      <c r="AV2" s="970"/>
      <c r="AW2" s="971"/>
      <c r="AX2" s="618" t="str">
        <f>表紙!AX64</f>
        <v>販売Webシステム</v>
      </c>
      <c r="AY2" s="659"/>
      <c r="AZ2" s="659"/>
      <c r="BA2" s="659"/>
      <c r="BB2" s="659"/>
      <c r="BC2" s="659"/>
      <c r="BD2" s="659"/>
      <c r="BE2" s="659"/>
      <c r="BF2" s="659"/>
      <c r="BG2" s="659"/>
      <c r="BH2" s="659"/>
      <c r="BI2" s="659"/>
      <c r="BJ2" s="659"/>
      <c r="BK2" s="660"/>
      <c r="BL2" s="619" t="str">
        <f>表紙!BL64</f>
        <v>M7-US-1140</v>
      </c>
      <c r="BM2" s="611"/>
      <c r="BN2" s="611"/>
      <c r="BO2" s="611"/>
      <c r="BP2" s="611"/>
      <c r="BQ2" s="611"/>
      <c r="BR2" s="611"/>
      <c r="BS2" s="611"/>
      <c r="BT2" s="620"/>
      <c r="BU2" s="624" t="str">
        <f>表紙!BU64</f>
        <v>7.0.2</v>
      </c>
      <c r="BV2" s="611"/>
      <c r="BW2" s="611"/>
      <c r="BX2" s="611"/>
      <c r="BY2" s="611"/>
      <c r="BZ2" s="611"/>
      <c r="CA2" s="620"/>
      <c r="CB2" s="626">
        <f>表紙!CB64</f>
        <v>2</v>
      </c>
      <c r="CC2" s="611"/>
      <c r="CD2" s="611"/>
      <c r="CE2" s="611"/>
      <c r="CF2" s="611"/>
      <c r="CG2" s="611"/>
      <c r="CH2" s="627"/>
    </row>
    <row r="3" spans="1:88" s="4" customFormat="1" ht="15.75" customHeight="1" thickBot="1">
      <c r="A3" s="958"/>
      <c r="B3" s="959"/>
      <c r="C3" s="959"/>
      <c r="D3" s="959"/>
      <c r="E3" s="959"/>
      <c r="F3" s="959"/>
      <c r="G3" s="959"/>
      <c r="H3" s="959"/>
      <c r="I3" s="959"/>
      <c r="J3" s="959"/>
      <c r="K3" s="959"/>
      <c r="L3" s="959"/>
      <c r="M3" s="959"/>
      <c r="N3" s="960"/>
      <c r="O3" s="629" t="str">
        <f ca="1">RIGHT(CELL("filename",$A$1),LEN(CELL("filename",$A$1))-FIND("]",CELL("filename",$A$1)))</f>
        <v>概要</v>
      </c>
      <c r="P3" s="981"/>
      <c r="Q3" s="981"/>
      <c r="R3" s="981"/>
      <c r="S3" s="981"/>
      <c r="T3" s="981"/>
      <c r="U3" s="981"/>
      <c r="V3" s="981"/>
      <c r="W3" s="981"/>
      <c r="X3" s="981"/>
      <c r="Y3" s="981"/>
      <c r="Z3" s="981"/>
      <c r="AA3" s="981"/>
      <c r="AB3" s="982"/>
      <c r="AC3" s="983" t="s">
        <v>146</v>
      </c>
      <c r="AD3" s="984"/>
      <c r="AE3" s="984"/>
      <c r="AF3" s="984"/>
      <c r="AG3" s="984"/>
      <c r="AH3" s="984"/>
      <c r="AI3" s="985"/>
      <c r="AJ3" s="634" t="str">
        <f>表紙!AJ65</f>
        <v>MSBBPA080</v>
      </c>
      <c r="AK3" s="635"/>
      <c r="AL3" s="635"/>
      <c r="AM3" s="635"/>
      <c r="AN3" s="635"/>
      <c r="AO3" s="635"/>
      <c r="AP3" s="635"/>
      <c r="AQ3" s="636" t="str">
        <f>表紙!AQ65</f>
        <v>Web受注一覧照会</v>
      </c>
      <c r="AR3" s="636"/>
      <c r="AS3" s="636"/>
      <c r="AT3" s="636"/>
      <c r="AU3" s="636"/>
      <c r="AV3" s="636"/>
      <c r="AW3" s="636"/>
      <c r="AX3" s="636"/>
      <c r="AY3" s="636"/>
      <c r="AZ3" s="636"/>
      <c r="BA3" s="636"/>
      <c r="BB3" s="636"/>
      <c r="BC3" s="636"/>
      <c r="BD3" s="636"/>
      <c r="BE3" s="636"/>
      <c r="BF3" s="636"/>
      <c r="BG3" s="636"/>
      <c r="BH3" s="636"/>
      <c r="BI3" s="636"/>
      <c r="BJ3" s="636"/>
      <c r="BK3" s="986"/>
      <c r="BL3" s="621"/>
      <c r="BM3" s="622"/>
      <c r="BN3" s="622"/>
      <c r="BO3" s="622"/>
      <c r="BP3" s="622"/>
      <c r="BQ3" s="622"/>
      <c r="BR3" s="622"/>
      <c r="BS3" s="622"/>
      <c r="BT3" s="623"/>
      <c r="BU3" s="621"/>
      <c r="BV3" s="622"/>
      <c r="BW3" s="622"/>
      <c r="BX3" s="622"/>
      <c r="BY3" s="622"/>
      <c r="BZ3" s="622"/>
      <c r="CA3" s="623"/>
      <c r="CB3" s="621"/>
      <c r="CC3" s="622"/>
      <c r="CD3" s="622"/>
      <c r="CE3" s="622"/>
      <c r="CF3" s="622"/>
      <c r="CG3" s="622"/>
      <c r="CH3" s="628"/>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167</v>
      </c>
      <c r="C7" s="2"/>
      <c r="D7" s="2"/>
      <c r="Q7" s="15"/>
      <c r="CH7" s="16"/>
    </row>
    <row r="8" spans="1:88" s="14" customFormat="1" ht="15.75" customHeight="1">
      <c r="A8" s="13"/>
      <c r="B8" s="2"/>
      <c r="C8" s="2" t="s">
        <v>168</v>
      </c>
      <c r="D8" s="2"/>
      <c r="Q8" s="15"/>
      <c r="CH8" s="16"/>
    </row>
    <row r="9" spans="1:88" s="14" customFormat="1" ht="15.75" customHeight="1">
      <c r="A9" s="13"/>
      <c r="B9" s="2"/>
      <c r="C9" s="2"/>
      <c r="D9" s="2"/>
      <c r="Q9" s="15"/>
      <c r="CH9" s="16"/>
    </row>
    <row r="10" spans="1:88" s="14" customFormat="1" ht="15.75" customHeight="1">
      <c r="A10" s="13"/>
      <c r="B10" s="17" t="s">
        <v>169</v>
      </c>
      <c r="C10" s="2"/>
      <c r="D10" s="2"/>
      <c r="Q10" s="15"/>
      <c r="CH10" s="16"/>
    </row>
    <row r="11" spans="1:88" s="14" customFormat="1" ht="15.75" customHeight="1">
      <c r="A11" s="13"/>
      <c r="B11" s="2"/>
      <c r="C11" s="2" t="s">
        <v>170</v>
      </c>
      <c r="D11" s="2"/>
      <c r="Q11" s="15"/>
      <c r="CH11" s="16"/>
    </row>
    <row r="12" spans="1:88" s="14" customFormat="1" ht="15.75" customHeight="1">
      <c r="A12" s="13"/>
      <c r="B12" s="2"/>
      <c r="C12" s="2" t="s">
        <v>171</v>
      </c>
      <c r="D12" s="2"/>
      <c r="Q12" s="15"/>
      <c r="CH12" s="16"/>
    </row>
    <row r="13" spans="1:88" s="14" customFormat="1" ht="15.75" customHeight="1">
      <c r="A13" s="13"/>
      <c r="B13" s="2"/>
      <c r="C13" s="2"/>
      <c r="D13" s="2"/>
      <c r="Q13" s="15"/>
      <c r="CH13" s="16"/>
    </row>
    <row r="14" spans="1:88" s="14" customFormat="1" ht="15.75" customHeight="1">
      <c r="A14" s="13"/>
      <c r="B14" s="17" t="s">
        <v>172</v>
      </c>
      <c r="C14" s="2"/>
      <c r="D14" s="2"/>
      <c r="Q14" s="15"/>
      <c r="CH14" s="16"/>
      <c r="CJ14" s="17"/>
    </row>
    <row r="15" spans="1:88" s="14" customFormat="1" ht="15.75" customHeight="1">
      <c r="A15" s="13"/>
      <c r="B15" s="17"/>
      <c r="C15" s="27" t="s">
        <v>173</v>
      </c>
      <c r="D15" s="2"/>
      <c r="E15" s="27"/>
      <c r="F15" s="27"/>
      <c r="G15" s="27"/>
      <c r="H15" s="27"/>
      <c r="I15" s="27"/>
      <c r="J15" s="27"/>
      <c r="K15" s="27"/>
      <c r="L15" s="27"/>
      <c r="M15" s="27"/>
      <c r="N15" s="27"/>
      <c r="O15" s="27"/>
      <c r="P15" s="27"/>
      <c r="Q15" s="28"/>
      <c r="R15" s="27"/>
      <c r="CH15" s="16"/>
    </row>
    <row r="16" spans="1:88" s="14" customFormat="1" ht="15.75" customHeight="1">
      <c r="A16" s="13"/>
      <c r="Q16" s="15"/>
      <c r="CH16" s="16"/>
    </row>
    <row r="17" spans="1:88" s="14" customFormat="1" ht="15.75" customHeight="1">
      <c r="A17" s="18"/>
      <c r="B17" s="20" t="s">
        <v>174</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B18" s="2"/>
      <c r="C18" s="2" t="s">
        <v>175</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176</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177</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178</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179</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180</v>
      </c>
      <c r="Q25" s="15"/>
      <c r="CH25" s="16"/>
    </row>
    <row r="26" spans="1:88" s="14" customFormat="1" ht="15.75" customHeight="1">
      <c r="A26" s="13"/>
      <c r="C26" s="14" t="s">
        <v>181</v>
      </c>
      <c r="Q26" s="15"/>
      <c r="CH26" s="16"/>
    </row>
    <row r="27" spans="1:88" s="14" customFormat="1" ht="15.75" customHeight="1">
      <c r="A27" s="13"/>
      <c r="B27" s="20"/>
      <c r="E27" s="22"/>
      <c r="Q27" s="15"/>
      <c r="CH27" s="16"/>
    </row>
    <row r="28" spans="1:88" s="14" customFormat="1" ht="15.75" customHeight="1">
      <c r="A28" s="13"/>
      <c r="B28" s="20" t="s">
        <v>182</v>
      </c>
      <c r="E28" s="22"/>
      <c r="Q28" s="15"/>
      <c r="CH28" s="16"/>
    </row>
    <row r="29" spans="1:88" s="14" customFormat="1" ht="15.75" customHeight="1">
      <c r="A29" s="13"/>
      <c r="C29" s="14" t="s">
        <v>183</v>
      </c>
      <c r="Q29" s="15"/>
      <c r="CH29" s="16"/>
    </row>
    <row r="30" spans="1:88" s="14" customFormat="1" ht="15.75" customHeight="1">
      <c r="A30" s="13"/>
      <c r="C30" s="14" t="s">
        <v>184</v>
      </c>
      <c r="Q30" s="15"/>
      <c r="CH30" s="16"/>
    </row>
    <row r="31" spans="1:88" s="14" customFormat="1" ht="15.75" customHeight="1">
      <c r="A31" s="13"/>
      <c r="E31" s="22"/>
      <c r="Q31" s="15"/>
      <c r="CH31" s="16"/>
    </row>
    <row r="32" spans="1:88" s="14" customFormat="1" ht="15.75" customHeight="1">
      <c r="A32" s="13"/>
      <c r="B32" s="20" t="s">
        <v>185</v>
      </c>
      <c r="E32" s="22"/>
      <c r="Q32" s="15"/>
      <c r="CH32" s="16"/>
    </row>
    <row r="33" spans="1:86" s="14" customFormat="1" ht="15.75" customHeight="1">
      <c r="A33" s="13"/>
      <c r="C33" s="14" t="s">
        <v>179</v>
      </c>
      <c r="Q33" s="15"/>
      <c r="CH33" s="16"/>
    </row>
    <row r="34" spans="1:86" ht="15.75" customHeight="1" thickBot="1">
      <c r="A34" s="23"/>
      <c r="B34" s="428"/>
      <c r="C34" s="429"/>
      <c r="D34" s="429"/>
      <c r="E34" s="429"/>
      <c r="F34" s="428"/>
      <c r="G34" s="428"/>
      <c r="H34" s="428"/>
      <c r="I34" s="428"/>
      <c r="J34" s="429"/>
      <c r="K34" s="428"/>
      <c r="L34" s="428"/>
      <c r="M34" s="428"/>
      <c r="N34" s="428"/>
      <c r="O34" s="428"/>
      <c r="P34" s="428"/>
      <c r="Q34" s="430"/>
      <c r="R34" s="428"/>
      <c r="S34" s="428"/>
      <c r="T34" s="428"/>
      <c r="U34" s="428"/>
      <c r="V34" s="428"/>
      <c r="W34" s="428"/>
      <c r="X34" s="428"/>
      <c r="Y34" s="428"/>
      <c r="Z34" s="428"/>
      <c r="AA34" s="428"/>
      <c r="AB34" s="428"/>
      <c r="AC34" s="428"/>
      <c r="AD34" s="428"/>
      <c r="AE34" s="428"/>
      <c r="AF34" s="428"/>
      <c r="AG34" s="428"/>
      <c r="AH34" s="428"/>
      <c r="AI34" s="428"/>
      <c r="AJ34" s="428"/>
      <c r="AK34" s="428"/>
      <c r="AL34" s="428"/>
      <c r="AM34" s="428"/>
      <c r="AN34" s="428"/>
      <c r="AO34" s="428"/>
      <c r="AP34" s="428"/>
      <c r="AQ34" s="428"/>
      <c r="AR34" s="428"/>
      <c r="AS34" s="428"/>
      <c r="AT34" s="428"/>
      <c r="AU34" s="428"/>
      <c r="AV34" s="428"/>
      <c r="AW34" s="428"/>
      <c r="AX34" s="428"/>
      <c r="AY34" s="428"/>
      <c r="AZ34" s="428"/>
      <c r="BA34" s="428"/>
      <c r="BB34" s="428"/>
      <c r="BC34" s="428"/>
      <c r="BD34" s="428"/>
      <c r="BE34" s="428"/>
      <c r="BF34" s="428"/>
      <c r="BG34" s="428"/>
      <c r="BH34" s="428"/>
      <c r="BI34" s="428"/>
      <c r="BJ34" s="428"/>
      <c r="BK34" s="428"/>
      <c r="BL34" s="428"/>
      <c r="BM34" s="428"/>
      <c r="BN34" s="428"/>
      <c r="BO34" s="428"/>
      <c r="BP34" s="428"/>
      <c r="BQ34" s="428"/>
      <c r="BR34" s="428"/>
      <c r="BS34" s="428"/>
      <c r="BT34" s="428"/>
      <c r="BU34" s="428"/>
      <c r="BV34" s="428"/>
      <c r="BW34" s="428"/>
      <c r="BX34" s="428"/>
      <c r="BY34" s="428"/>
      <c r="BZ34" s="428"/>
      <c r="CA34" s="428"/>
      <c r="CB34" s="428"/>
      <c r="CC34" s="428"/>
      <c r="CD34" s="428"/>
      <c r="CE34" s="428"/>
      <c r="CF34" s="428"/>
      <c r="CG34" s="428"/>
      <c r="CH34" s="431"/>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9"/>
  <pageMargins left="0.51181102362204722" right="0.74803149606299213" top="0.70866141732283472" bottom="0.43307086614173229" header="0.51181102362204722" footer="0.19685039370078741"/>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GI179"/>
  <sheetViews>
    <sheetView showGridLines="0" showZeros="0" view="pageBreakPreview" topLeftCell="A18" zoomScaleNormal="100" zoomScaleSheetLayoutView="100" workbookViewId="0">
      <selection activeCell="O52" sqref="O52:W52"/>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29" width="2.125" style="24" customWidth="1"/>
    <col min="30" max="30" width="12.375" style="24" customWidth="1"/>
    <col min="31" max="62" width="2.125" style="24" customWidth="1"/>
    <col min="63" max="63" width="2.25" style="24" customWidth="1"/>
    <col min="64" max="119" width="2.25" style="24"/>
    <col min="120" max="120" width="35" style="24" customWidth="1"/>
    <col min="121" max="16384" width="2.25" style="24"/>
  </cols>
  <sheetData>
    <row r="1" spans="1:124"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124"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124" s="4" customFormat="1" ht="15.75" customHeight="1" thickBot="1">
      <c r="A3" s="1220"/>
      <c r="B3" s="1221"/>
      <c r="C3" s="1221"/>
      <c r="D3" s="1221"/>
      <c r="E3" s="1221"/>
      <c r="F3" s="1221"/>
      <c r="G3" s="1221"/>
      <c r="H3" s="1221"/>
      <c r="I3" s="1221"/>
      <c r="J3" s="1222"/>
      <c r="K3" s="1200" t="str">
        <f ca="1">RIGHT(CELL("filename",$A$1),LEN(CELL("filename",$A$1))-FIND("]",CELL("filename",$A$1)))</f>
        <v>画面イメージ</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124" s="4" customFormat="1" ht="6.75" customHeight="1" thickBot="1">
      <c r="B4" s="5"/>
      <c r="C4" s="6"/>
      <c r="D4" s="6"/>
      <c r="E4" s="6"/>
      <c r="F4" s="7"/>
      <c r="G4" s="7"/>
      <c r="H4" s="7"/>
      <c r="I4" s="7"/>
      <c r="J4" s="6"/>
      <c r="K4" s="7"/>
      <c r="L4" s="7"/>
      <c r="M4" s="7"/>
      <c r="N4" s="7"/>
      <c r="O4" s="7"/>
      <c r="P4" s="7"/>
      <c r="Q4" s="8"/>
    </row>
    <row r="5" spans="1:124" s="4" customFormat="1" ht="15.75" customHeight="1">
      <c r="A5" s="1211" t="s">
        <v>186</v>
      </c>
      <c r="B5" s="1212"/>
      <c r="C5" s="1212"/>
      <c r="D5" s="1212"/>
      <c r="E5" s="1212"/>
      <c r="F5" s="1212"/>
      <c r="G5" s="1212"/>
      <c r="H5" s="1212"/>
      <c r="I5" s="1212"/>
      <c r="J5" s="1212"/>
      <c r="K5" s="1212"/>
      <c r="L5" s="1212"/>
      <c r="M5" s="1212"/>
      <c r="N5" s="1212"/>
      <c r="O5" s="1212"/>
      <c r="P5" s="1212"/>
      <c r="Q5" s="1212"/>
      <c r="R5" s="1212"/>
      <c r="S5" s="1212"/>
      <c r="T5" s="1212"/>
      <c r="U5" s="1212"/>
      <c r="V5" s="1212"/>
      <c r="W5" s="1212"/>
      <c r="X5" s="1212"/>
      <c r="Y5" s="1212"/>
      <c r="Z5" s="1212"/>
      <c r="AA5" s="1212"/>
      <c r="AB5" s="1212"/>
      <c r="AC5" s="1212"/>
      <c r="AD5" s="1212"/>
      <c r="AE5" s="1212"/>
      <c r="AF5" s="1212"/>
      <c r="AG5" s="1212"/>
      <c r="AH5" s="1212"/>
      <c r="AI5" s="1212"/>
      <c r="AJ5" s="1212"/>
      <c r="AK5" s="1212"/>
      <c r="AL5" s="1212"/>
      <c r="AM5" s="1212"/>
      <c r="AN5" s="1212"/>
      <c r="AO5" s="1212"/>
      <c r="AP5" s="1212"/>
      <c r="AQ5" s="1212"/>
      <c r="AR5" s="1212"/>
      <c r="AS5" s="1212"/>
      <c r="AT5" s="1212"/>
      <c r="AU5" s="1212"/>
      <c r="AV5" s="1212"/>
      <c r="AW5" s="1212"/>
      <c r="AX5" s="1212"/>
      <c r="AY5" s="1212"/>
      <c r="AZ5" s="1212"/>
      <c r="BA5" s="1212"/>
      <c r="BB5" s="1212"/>
      <c r="BC5" s="1212"/>
      <c r="BD5" s="1212"/>
      <c r="BE5" s="1212"/>
      <c r="BF5" s="1212"/>
      <c r="BG5" s="1212"/>
      <c r="BH5" s="1212"/>
      <c r="BI5" s="1212"/>
      <c r="BJ5" s="1212"/>
      <c r="BK5" s="1213"/>
    </row>
    <row r="7" spans="1:124" ht="12" customHeight="1">
      <c r="B7" s="24" t="s">
        <v>187</v>
      </c>
    </row>
    <row r="8" spans="1:124" ht="12" customHeight="1">
      <c r="Q8" s="24" t="s">
        <v>188</v>
      </c>
      <c r="S8" s="24" t="s">
        <v>189</v>
      </c>
    </row>
    <row r="9" spans="1:124" ht="12" customHeight="1">
      <c r="C9" s="24" t="s">
        <v>190</v>
      </c>
      <c r="I9" s="169"/>
      <c r="J9" s="170"/>
      <c r="K9" s="170"/>
      <c r="L9" s="170"/>
      <c r="M9" s="170"/>
      <c r="N9" s="171"/>
      <c r="O9" s="178"/>
      <c r="Q9" s="24" t="s">
        <v>188</v>
      </c>
      <c r="S9" s="24" t="s">
        <v>191</v>
      </c>
      <c r="AJ9" s="203" t="s">
        <v>192</v>
      </c>
      <c r="AK9" s="204"/>
      <c r="AL9" s="204"/>
      <c r="AM9" s="204"/>
      <c r="AN9" s="204"/>
      <c r="AO9" s="204"/>
    </row>
    <row r="10" spans="1:124" ht="12" customHeight="1">
      <c r="C10" s="24" t="s">
        <v>193</v>
      </c>
      <c r="I10" s="169"/>
      <c r="J10" s="170"/>
      <c r="K10" s="170"/>
      <c r="L10" s="170"/>
      <c r="M10" s="170"/>
      <c r="N10" s="171"/>
      <c r="Q10" s="24" t="s">
        <v>188</v>
      </c>
      <c r="S10" s="24" t="s">
        <v>194</v>
      </c>
    </row>
    <row r="11" spans="1:124" ht="12" customHeight="1">
      <c r="C11" s="24" t="s">
        <v>195</v>
      </c>
      <c r="I11" s="175"/>
      <c r="J11" s="176"/>
      <c r="K11" s="176"/>
      <c r="L11" s="176"/>
      <c r="M11" s="176"/>
      <c r="N11" s="177"/>
      <c r="Q11" s="24" t="s">
        <v>188</v>
      </c>
      <c r="S11" s="24" t="s">
        <v>196</v>
      </c>
      <c r="AJ11" s="205" t="s">
        <v>197</v>
      </c>
      <c r="AK11" s="205"/>
      <c r="AL11" s="205"/>
      <c r="AM11" s="205"/>
      <c r="AN11" s="205"/>
      <c r="AO11" s="205"/>
      <c r="AP11" s="206"/>
      <c r="AQ11" s="207"/>
      <c r="AR11" s="207"/>
      <c r="AS11" s="207"/>
      <c r="AT11" s="207"/>
      <c r="AU11" s="171"/>
      <c r="AV11" s="208"/>
      <c r="AW11" s="209"/>
      <c r="AX11" s="209"/>
      <c r="AY11" s="209"/>
      <c r="AZ11" s="209"/>
      <c r="BA11" s="210"/>
    </row>
    <row r="12" spans="1:124" ht="12" customHeight="1">
      <c r="C12" s="24" t="s">
        <v>198</v>
      </c>
      <c r="I12" s="24" t="s">
        <v>199</v>
      </c>
      <c r="M12" s="24" t="s">
        <v>200</v>
      </c>
      <c r="Q12" s="24" t="s">
        <v>188</v>
      </c>
      <c r="S12" s="24" t="s">
        <v>201</v>
      </c>
    </row>
    <row r="13" spans="1:124" ht="12" customHeight="1">
      <c r="C13" s="24" t="s">
        <v>202</v>
      </c>
      <c r="I13" s="169"/>
      <c r="J13" s="170"/>
      <c r="K13" s="170"/>
      <c r="L13" s="170"/>
      <c r="M13" s="170"/>
      <c r="N13" s="178"/>
      <c r="Q13" s="24" t="s">
        <v>188</v>
      </c>
      <c r="S13" s="24" t="s">
        <v>201</v>
      </c>
    </row>
    <row r="14" spans="1:124" ht="12" customHeight="1">
      <c r="C14" s="24" t="s">
        <v>203</v>
      </c>
      <c r="I14" s="24" t="s">
        <v>204</v>
      </c>
      <c r="M14" s="24" t="s">
        <v>205</v>
      </c>
      <c r="Q14" s="24" t="s">
        <v>188</v>
      </c>
      <c r="S14" s="24" t="s">
        <v>206</v>
      </c>
      <c r="DF14" s="483" t="s">
        <v>207</v>
      </c>
    </row>
    <row r="15" spans="1:124" ht="12" customHeight="1">
      <c r="CH15" s="1259" t="s">
        <v>208</v>
      </c>
      <c r="CI15" s="1259"/>
      <c r="CJ15" s="1259"/>
      <c r="CK15" s="1259"/>
      <c r="CL15" s="1259"/>
      <c r="CM15" s="1259"/>
      <c r="CN15" s="1259"/>
      <c r="CO15" s="1259"/>
      <c r="CP15" s="1259"/>
      <c r="CQ15" s="1259"/>
      <c r="CR15" s="1259"/>
      <c r="CS15" s="1259"/>
      <c r="CT15" s="1259"/>
      <c r="CU15" s="1259"/>
      <c r="CV15" s="1259"/>
      <c r="CW15" s="1259"/>
      <c r="CX15" s="1259"/>
      <c r="CY15" s="1259"/>
      <c r="DF15" s="483" t="s">
        <v>209</v>
      </c>
      <c r="DT15" s="443" t="s">
        <v>210</v>
      </c>
    </row>
    <row r="16" spans="1:124" ht="12" customHeight="1">
      <c r="C16" s="24" t="s">
        <v>211</v>
      </c>
      <c r="I16" s="169"/>
      <c r="J16" s="170"/>
      <c r="K16" s="170"/>
      <c r="L16" s="170"/>
      <c r="M16" s="170"/>
      <c r="N16" s="171"/>
      <c r="Q16" s="24" t="s">
        <v>188</v>
      </c>
      <c r="S16" s="24" t="s">
        <v>212</v>
      </c>
      <c r="AD16" s="1257" t="s">
        <v>213</v>
      </c>
      <c r="AE16" s="1257"/>
      <c r="AF16" s="1257"/>
      <c r="AG16" s="1257"/>
      <c r="AH16" s="1257"/>
      <c r="AI16" s="1257"/>
      <c r="AJ16" s="1257"/>
      <c r="AK16" s="1257"/>
      <c r="AL16" s="1257"/>
      <c r="AM16" s="1257"/>
      <c r="AN16" s="1257"/>
      <c r="AO16" s="1257"/>
      <c r="AP16" s="1257"/>
      <c r="AQ16" s="1257"/>
      <c r="AR16" s="1257"/>
      <c r="AS16" s="483" t="s">
        <v>214</v>
      </c>
      <c r="AT16" s="407"/>
      <c r="AU16" s="407"/>
      <c r="AV16" s="407"/>
      <c r="AW16" s="407"/>
      <c r="AX16" s="407"/>
      <c r="AY16" s="407"/>
      <c r="AZ16" s="407"/>
      <c r="BK16" s="443" t="s">
        <v>210</v>
      </c>
      <c r="CH16" s="1259"/>
      <c r="CI16" s="1259"/>
      <c r="CJ16" s="1259"/>
      <c r="CK16" s="1259"/>
      <c r="CL16" s="1259"/>
      <c r="CM16" s="1259"/>
      <c r="CN16" s="1259"/>
      <c r="CO16" s="1259"/>
      <c r="CP16" s="1259"/>
      <c r="CQ16" s="1259"/>
      <c r="CR16" s="1259"/>
      <c r="CS16" s="1259"/>
      <c r="CT16" s="1259"/>
      <c r="CU16" s="1259"/>
      <c r="CV16" s="1259"/>
      <c r="CW16" s="1259"/>
      <c r="CX16" s="1259"/>
      <c r="CY16" s="1259"/>
      <c r="DF16" s="483" t="s">
        <v>215</v>
      </c>
    </row>
    <row r="17" spans="3:182" ht="12" customHeight="1">
      <c r="Q17" s="24"/>
      <c r="CH17" s="1259"/>
      <c r="CI17" s="1259"/>
      <c r="CJ17" s="1259"/>
      <c r="CK17" s="1259"/>
      <c r="CL17" s="1259"/>
      <c r="CM17" s="1259"/>
      <c r="CN17" s="1259"/>
      <c r="CO17" s="1259"/>
      <c r="CP17" s="1259"/>
      <c r="CQ17" s="1259"/>
      <c r="CR17" s="1259"/>
      <c r="CS17" s="1259"/>
      <c r="CT17" s="1259"/>
      <c r="CU17" s="1259"/>
      <c r="CV17" s="1259"/>
      <c r="CW17" s="1259"/>
      <c r="CX17" s="1259"/>
      <c r="CY17" s="1259"/>
    </row>
    <row r="18" spans="3:182" ht="12" customHeight="1">
      <c r="Q18" s="24"/>
      <c r="CH18" s="1259"/>
      <c r="CI18" s="1259"/>
      <c r="CJ18" s="1259"/>
      <c r="CK18" s="1259"/>
      <c r="CL18" s="1259"/>
      <c r="CM18" s="1259"/>
      <c r="CN18" s="1259"/>
      <c r="CO18" s="1259"/>
      <c r="CP18" s="1259"/>
      <c r="CQ18" s="1259"/>
      <c r="CR18" s="1259"/>
      <c r="CS18" s="1259"/>
      <c r="CT18" s="1259"/>
      <c r="CU18" s="1259"/>
      <c r="CV18" s="1259"/>
      <c r="CW18" s="1259"/>
      <c r="CX18" s="1259"/>
      <c r="CY18" s="1259"/>
    </row>
    <row r="19" spans="3:182" ht="12" customHeight="1">
      <c r="Q19" s="24"/>
      <c r="CH19" s="1259"/>
      <c r="CI19" s="1259"/>
      <c r="CJ19" s="1259"/>
      <c r="CK19" s="1259"/>
      <c r="CL19" s="1259"/>
      <c r="CM19" s="1259"/>
      <c r="CN19" s="1259"/>
      <c r="CO19" s="1259"/>
      <c r="CP19" s="1259"/>
      <c r="CQ19" s="1259"/>
      <c r="CR19" s="1259"/>
      <c r="CS19" s="1259"/>
      <c r="CT19" s="1259"/>
      <c r="CU19" s="1259"/>
      <c r="CV19" s="1259"/>
      <c r="CW19" s="1259"/>
      <c r="CX19" s="1259"/>
      <c r="CY19" s="1259"/>
    </row>
    <row r="20" spans="3:182" ht="12" customHeight="1">
      <c r="CH20" s="1259"/>
      <c r="CI20" s="1259"/>
      <c r="CJ20" s="1259"/>
      <c r="CK20" s="1259"/>
      <c r="CL20" s="1259"/>
      <c r="CM20" s="1259"/>
      <c r="CN20" s="1259"/>
      <c r="CO20" s="1259"/>
      <c r="CP20" s="1259"/>
      <c r="CQ20" s="1259"/>
      <c r="CR20" s="1259"/>
      <c r="CS20" s="1259"/>
      <c r="CT20" s="1259"/>
      <c r="CU20" s="1259"/>
      <c r="CV20" s="1259"/>
      <c r="CW20" s="1259"/>
      <c r="CX20" s="1259"/>
      <c r="CY20" s="1259"/>
    </row>
    <row r="21" spans="3:182" ht="12" customHeight="1">
      <c r="C21" s="446"/>
      <c r="D21" s="283"/>
      <c r="E21" s="283"/>
      <c r="F21" s="283"/>
      <c r="G21" s="283"/>
      <c r="H21" s="283"/>
      <c r="I21" s="283"/>
      <c r="J21" s="283"/>
      <c r="K21" s="283"/>
      <c r="L21" s="283"/>
      <c r="M21" s="283"/>
      <c r="N21" s="283"/>
      <c r="O21" s="283"/>
      <c r="P21" s="283"/>
      <c r="Q21" s="432"/>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2" t="s">
        <v>113</v>
      </c>
      <c r="CH21" s="1259"/>
      <c r="CI21" s="1259"/>
      <c r="CJ21" s="1259"/>
      <c r="CK21" s="1259"/>
      <c r="CL21" s="1259"/>
      <c r="CM21" s="1259"/>
      <c r="CN21" s="1259"/>
      <c r="CO21" s="1259"/>
      <c r="CP21" s="1259"/>
      <c r="CQ21" s="1259"/>
      <c r="CR21" s="1259"/>
      <c r="CS21" s="1259"/>
      <c r="CT21" s="1259"/>
      <c r="CU21" s="1259"/>
      <c r="CV21" s="1259"/>
      <c r="CW21" s="1259"/>
      <c r="CX21" s="1259"/>
      <c r="CY21" s="1259"/>
    </row>
    <row r="22" spans="3:182" ht="12" customHeight="1">
      <c r="C22" s="168"/>
      <c r="CH22" s="1259"/>
      <c r="CI22" s="1259"/>
      <c r="CJ22" s="1259"/>
      <c r="CK22" s="1259"/>
      <c r="CL22" s="1259"/>
      <c r="CM22" s="1259"/>
      <c r="CN22" s="1259"/>
      <c r="CO22" s="1259"/>
      <c r="CP22" s="1259"/>
      <c r="CQ22" s="1259"/>
      <c r="CR22" s="1259"/>
      <c r="CS22" s="1259"/>
      <c r="CT22" s="1259"/>
      <c r="CU22" s="1259"/>
      <c r="CV22" s="1259"/>
      <c r="CW22" s="1259"/>
      <c r="CX22" s="1259"/>
      <c r="CY22" s="1259"/>
    </row>
    <row r="23" spans="3:182" ht="12" customHeight="1">
      <c r="C23" s="168"/>
      <c r="D23" s="205" t="s">
        <v>216</v>
      </c>
      <c r="E23" s="205"/>
      <c r="F23" s="205"/>
      <c r="G23" s="205"/>
      <c r="H23" s="205"/>
      <c r="I23" s="205"/>
      <c r="J23" s="206"/>
      <c r="K23" s="211"/>
      <c r="L23" s="211"/>
      <c r="M23" s="211"/>
      <c r="N23" s="211"/>
      <c r="O23" s="171"/>
      <c r="P23" s="213"/>
      <c r="Q23" s="213"/>
      <c r="R23" s="213"/>
      <c r="S23" s="213"/>
      <c r="T23" s="213"/>
      <c r="U23" s="212"/>
      <c r="BR23" s="280" t="s">
        <v>217</v>
      </c>
      <c r="BS23" s="24" t="s">
        <v>218</v>
      </c>
      <c r="CH23" s="481"/>
      <c r="CI23" s="481"/>
      <c r="CJ23" s="481"/>
      <c r="CK23" s="481"/>
      <c r="CL23" s="481"/>
      <c r="CM23" s="481"/>
      <c r="CN23" s="481"/>
      <c r="CO23" s="481"/>
      <c r="CP23" s="481"/>
      <c r="CQ23" s="481"/>
      <c r="CR23" s="481"/>
      <c r="CS23" s="481"/>
      <c r="CT23" s="481"/>
      <c r="CU23" s="481"/>
      <c r="CV23" s="481"/>
      <c r="CW23" s="481"/>
      <c r="CX23" s="481"/>
      <c r="CY23" s="481"/>
    </row>
    <row r="24" spans="3:182" ht="12" customHeight="1">
      <c r="C24" s="168"/>
      <c r="D24" s="205" t="s">
        <v>195</v>
      </c>
      <c r="E24" s="205"/>
      <c r="F24" s="205"/>
      <c r="G24" s="205"/>
      <c r="H24" s="205"/>
      <c r="I24" s="205"/>
      <c r="J24" s="222" t="s">
        <v>219</v>
      </c>
      <c r="K24" s="216"/>
      <c r="L24" s="216"/>
      <c r="M24" s="216"/>
      <c r="N24" s="216"/>
      <c r="O24" s="217"/>
      <c r="P24" s="178"/>
      <c r="Q24" s="209"/>
      <c r="R24" s="209"/>
      <c r="S24" s="209"/>
      <c r="T24" s="209"/>
      <c r="U24" s="209"/>
      <c r="V24" s="209"/>
      <c r="W24" s="209"/>
      <c r="X24" s="209"/>
      <c r="Y24" s="209"/>
      <c r="Z24" s="209"/>
      <c r="AA24" s="210"/>
      <c r="AC24" s="1182" t="s">
        <v>220</v>
      </c>
      <c r="AD24" s="1182"/>
      <c r="AE24" s="1182"/>
      <c r="AF24" s="1182"/>
      <c r="AG24" s="1182"/>
      <c r="AH24" s="1183"/>
      <c r="AI24" s="214"/>
      <c r="AJ24" s="207"/>
      <c r="AK24" s="207"/>
      <c r="AL24" s="207"/>
      <c r="AM24" s="207"/>
      <c r="AN24" s="171"/>
      <c r="AO24" s="208"/>
      <c r="AP24" s="209"/>
      <c r="AQ24" s="209"/>
      <c r="AR24" s="209"/>
      <c r="AS24" s="209"/>
      <c r="AT24" s="210"/>
      <c r="BC24" s="179"/>
      <c r="CH24" s="481"/>
      <c r="CI24" s="481"/>
      <c r="CJ24" s="481"/>
      <c r="CK24" s="481"/>
      <c r="CL24" s="481"/>
      <c r="CM24" s="481"/>
      <c r="CN24" s="481"/>
      <c r="CO24" s="481"/>
      <c r="CP24" s="481"/>
      <c r="CQ24" s="481"/>
      <c r="CR24" s="481"/>
      <c r="CS24" s="481"/>
      <c r="CT24" s="481"/>
      <c r="CU24" s="481"/>
      <c r="CV24" s="481"/>
      <c r="CW24" s="481"/>
      <c r="CX24" s="481"/>
      <c r="CY24" s="481"/>
    </row>
    <row r="25" spans="3:182" ht="12" customHeight="1">
      <c r="C25" s="168"/>
      <c r="D25" s="205" t="s">
        <v>221</v>
      </c>
      <c r="E25" s="205"/>
      <c r="F25" s="205"/>
      <c r="G25" s="205"/>
      <c r="H25" s="205"/>
      <c r="I25" s="205"/>
      <c r="J25" s="214"/>
      <c r="K25" s="207"/>
      <c r="L25" s="207"/>
      <c r="M25" s="207"/>
      <c r="N25" s="207"/>
      <c r="O25" s="207"/>
      <c r="P25" s="207"/>
      <c r="Q25" s="207"/>
      <c r="R25" s="207"/>
      <c r="S25" s="207"/>
      <c r="T25" s="207"/>
      <c r="U25" s="207"/>
      <c r="V25" s="207"/>
      <c r="W25" s="207"/>
      <c r="X25" s="207"/>
      <c r="Y25" s="207"/>
      <c r="Z25" s="207"/>
      <c r="AA25" s="215"/>
      <c r="AB25" s="24" t="s">
        <v>217</v>
      </c>
      <c r="AC25" s="214"/>
      <c r="AD25" s="207"/>
      <c r="AE25" s="207"/>
      <c r="AF25" s="207"/>
      <c r="AG25" s="207"/>
      <c r="AH25" s="207"/>
      <c r="AI25" s="207"/>
      <c r="AJ25" s="207"/>
      <c r="AK25" s="207"/>
      <c r="AL25" s="207"/>
      <c r="AM25" s="207"/>
      <c r="AN25" s="207"/>
      <c r="AO25" s="207"/>
      <c r="AP25" s="207"/>
      <c r="AQ25" s="207"/>
      <c r="AR25" s="207"/>
      <c r="AS25" s="207"/>
      <c r="AT25" s="207"/>
      <c r="AU25" s="24" t="s">
        <v>217</v>
      </c>
      <c r="BK25" s="2"/>
      <c r="CH25" s="481"/>
      <c r="CI25" s="481"/>
      <c r="CJ25" s="481"/>
      <c r="CK25" s="481"/>
      <c r="CL25" s="481"/>
      <c r="CM25" s="481"/>
      <c r="CN25" s="481"/>
      <c r="CO25" s="481"/>
      <c r="CP25" s="481"/>
      <c r="CQ25" s="481"/>
      <c r="CR25" s="481"/>
      <c r="CS25" s="481"/>
      <c r="CT25" s="481"/>
      <c r="CU25" s="481"/>
      <c r="CV25" s="481"/>
      <c r="CW25" s="481"/>
      <c r="CX25" s="481"/>
      <c r="CY25" s="481"/>
    </row>
    <row r="26" spans="3:182" ht="12" customHeight="1">
      <c r="C26" s="168"/>
      <c r="D26" s="205" t="s">
        <v>222</v>
      </c>
      <c r="E26" s="205"/>
      <c r="F26" s="205"/>
      <c r="G26" s="205"/>
      <c r="H26" s="205"/>
      <c r="I26" s="205"/>
      <c r="J26" s="214"/>
      <c r="K26" s="207"/>
      <c r="L26" s="207"/>
      <c r="M26" s="207"/>
      <c r="N26" s="207"/>
      <c r="O26" s="215"/>
      <c r="P26" s="1143" t="s">
        <v>223</v>
      </c>
      <c r="Q26" s="1144"/>
      <c r="R26" s="214"/>
      <c r="S26" s="207"/>
      <c r="T26" s="207"/>
      <c r="U26" s="207"/>
      <c r="V26" s="207"/>
      <c r="W26" s="215"/>
      <c r="X26" s="2"/>
      <c r="Y26" s="2"/>
      <c r="Z26" s="2"/>
      <c r="AA26" s="2"/>
      <c r="AB26" s="2"/>
      <c r="AC26" s="1182" t="s">
        <v>224</v>
      </c>
      <c r="AD26" s="1182"/>
      <c r="AE26" s="1182"/>
      <c r="AF26" s="1182"/>
      <c r="AG26" s="1182"/>
      <c r="AH26" s="1183"/>
      <c r="AI26" s="214"/>
      <c r="AJ26" s="207"/>
      <c r="AK26" s="207"/>
      <c r="AL26" s="207"/>
      <c r="AM26" s="207"/>
      <c r="AN26" s="215"/>
      <c r="AO26" s="1143" t="s">
        <v>223</v>
      </c>
      <c r="AP26" s="1144"/>
      <c r="AQ26" s="214"/>
      <c r="AR26" s="207"/>
      <c r="AS26" s="207"/>
      <c r="AT26" s="207"/>
      <c r="AU26" s="207"/>
      <c r="AV26" s="215"/>
      <c r="BC26" s="179"/>
      <c r="CH26" s="481"/>
      <c r="CI26" s="481"/>
      <c r="CJ26" s="481"/>
      <c r="CK26" s="481"/>
      <c r="CL26" s="481"/>
      <c r="CM26" s="481"/>
      <c r="CN26" s="481"/>
      <c r="CO26" s="481"/>
      <c r="CP26" s="481"/>
      <c r="CQ26" s="481"/>
      <c r="CR26" s="481"/>
      <c r="CS26" s="481"/>
      <c r="CT26" s="481"/>
      <c r="CU26" s="481"/>
      <c r="CV26" s="481"/>
      <c r="CW26" s="481"/>
      <c r="CX26" s="481"/>
      <c r="CY26" s="481"/>
      <c r="DE26" s="483" t="s">
        <v>225</v>
      </c>
    </row>
    <row r="27" spans="3:182" ht="12" customHeight="1">
      <c r="C27" s="168"/>
      <c r="D27" s="205" t="s">
        <v>226</v>
      </c>
      <c r="E27" s="205"/>
      <c r="F27" s="205"/>
      <c r="G27" s="205"/>
      <c r="H27" s="205"/>
      <c r="I27" s="205"/>
      <c r="J27" s="214"/>
      <c r="K27" s="207"/>
      <c r="L27" s="207"/>
      <c r="M27" s="207"/>
      <c r="N27" s="207"/>
      <c r="O27" s="215"/>
      <c r="P27" s="474" t="s">
        <v>223</v>
      </c>
      <c r="Q27" s="475"/>
      <c r="R27" s="214"/>
      <c r="S27" s="207"/>
      <c r="T27" s="207"/>
      <c r="U27" s="207"/>
      <c r="V27" s="207"/>
      <c r="W27" s="215"/>
      <c r="X27" s="2"/>
      <c r="Y27" s="2"/>
      <c r="Z27" s="2"/>
      <c r="AA27" s="2"/>
      <c r="AB27" s="2"/>
      <c r="AC27" s="484" t="s">
        <v>227</v>
      </c>
      <c r="AD27" s="484"/>
      <c r="AE27" s="484"/>
      <c r="AF27" s="484"/>
      <c r="AG27" s="484"/>
      <c r="AH27" s="484"/>
      <c r="AI27" s="1145" t="s">
        <v>228</v>
      </c>
      <c r="AJ27" s="1146"/>
      <c r="AK27" s="1147"/>
      <c r="AO27" s="205" t="s">
        <v>229</v>
      </c>
      <c r="AP27" s="205"/>
      <c r="AQ27" s="205"/>
      <c r="AR27" s="205"/>
      <c r="AS27" s="205"/>
      <c r="AT27" s="205"/>
      <c r="AU27" s="24" t="s">
        <v>230</v>
      </c>
      <c r="AV27" s="214"/>
      <c r="AW27" s="207"/>
      <c r="AX27" s="207"/>
      <c r="AY27" s="207"/>
      <c r="AZ27" s="207"/>
      <c r="BA27" s="178"/>
      <c r="BB27" s="24" t="s">
        <v>231</v>
      </c>
      <c r="BC27" s="214"/>
      <c r="BD27" s="207"/>
      <c r="BE27" s="207"/>
      <c r="BF27" s="207"/>
      <c r="BG27" s="207"/>
      <c r="BH27" s="178"/>
      <c r="BI27" s="24" t="s">
        <v>232</v>
      </c>
      <c r="BJ27" s="214"/>
      <c r="BK27" s="207"/>
      <c r="BL27" s="207"/>
      <c r="BM27" s="207"/>
      <c r="BN27" s="207"/>
      <c r="BO27" s="178"/>
      <c r="CH27" s="481"/>
      <c r="CI27" s="481"/>
      <c r="CJ27" s="481"/>
      <c r="CK27" s="481"/>
      <c r="CL27" s="481"/>
      <c r="CM27" s="481"/>
      <c r="CN27" s="481"/>
      <c r="CO27" s="481"/>
      <c r="CP27" s="481"/>
      <c r="CQ27" s="481"/>
      <c r="CR27" s="481"/>
      <c r="CS27" s="481"/>
      <c r="CT27" s="481"/>
      <c r="CU27" s="481"/>
      <c r="CV27" s="481"/>
      <c r="CW27" s="481"/>
      <c r="CX27" s="481"/>
      <c r="CY27" s="481"/>
      <c r="DE27" s="1175" t="s">
        <v>233</v>
      </c>
      <c r="DF27" s="1175"/>
      <c r="DG27" s="1175"/>
      <c r="DH27" s="1175"/>
      <c r="DI27" s="1175"/>
      <c r="DJ27" s="1175"/>
      <c r="DK27" s="1175"/>
      <c r="DL27" s="1175"/>
      <c r="DM27" s="1175"/>
      <c r="DN27" s="1175"/>
      <c r="DO27" s="1175"/>
      <c r="DP27" s="1175"/>
      <c r="DQ27" s="1175"/>
      <c r="DR27" s="1175"/>
      <c r="DS27" s="1175"/>
      <c r="DT27" s="1175"/>
      <c r="DU27" s="1175"/>
      <c r="DV27" s="1175"/>
      <c r="DW27" s="1175"/>
      <c r="DX27" s="1175"/>
      <c r="DY27" s="1175"/>
      <c r="DZ27" s="1175"/>
      <c r="EA27" s="1175"/>
      <c r="EB27" s="1175"/>
      <c r="EC27" s="1175"/>
      <c r="ED27" s="1175"/>
      <c r="EE27" s="1175"/>
      <c r="EF27" s="1175"/>
      <c r="EG27" s="1175"/>
      <c r="EH27" s="1175"/>
      <c r="EI27" s="1175"/>
      <c r="EJ27" s="1175"/>
      <c r="EK27" s="1175"/>
      <c r="EL27" s="1175"/>
      <c r="EM27" s="1175"/>
      <c r="EN27" s="1175"/>
      <c r="EO27" s="1175"/>
      <c r="EP27" s="1175"/>
      <c r="EQ27" s="1175"/>
      <c r="ER27" s="1175"/>
      <c r="ES27" s="1175"/>
      <c r="ET27" s="1175"/>
      <c r="EU27" s="1175"/>
      <c r="EV27" s="1175"/>
      <c r="EW27" s="1175"/>
      <c r="EX27" s="1175"/>
      <c r="EY27" s="1175"/>
      <c r="EZ27" s="1175"/>
    </row>
    <row r="28" spans="3:182" ht="12" customHeight="1">
      <c r="C28" s="168"/>
      <c r="Q28" s="24"/>
      <c r="CH28" s="481"/>
      <c r="CI28" s="481"/>
      <c r="CJ28" s="481"/>
      <c r="CK28" s="481"/>
      <c r="CL28" s="481"/>
      <c r="CM28" s="481"/>
      <c r="CN28" s="481"/>
      <c r="CO28" s="481"/>
      <c r="CP28" s="481"/>
      <c r="CQ28" s="481"/>
      <c r="CR28" s="481"/>
      <c r="CS28" s="481"/>
      <c r="CT28" s="481"/>
      <c r="CU28" s="481"/>
      <c r="CV28" s="481"/>
      <c r="CW28" s="481"/>
      <c r="CX28" s="481"/>
      <c r="CY28" s="481"/>
      <c r="DF28" s="483" t="s">
        <v>234</v>
      </c>
      <c r="DW28" s="443" t="s">
        <v>235</v>
      </c>
    </row>
    <row r="29" spans="3:182" ht="12" customHeight="1">
      <c r="C29" s="168"/>
      <c r="D29" s="205" t="s">
        <v>236</v>
      </c>
      <c r="E29" s="205"/>
      <c r="F29" s="205"/>
      <c r="G29" s="205"/>
      <c r="H29" s="205"/>
      <c r="I29" s="485"/>
      <c r="J29" s="214"/>
      <c r="K29" s="207"/>
      <c r="L29" s="207"/>
      <c r="M29" s="207"/>
      <c r="N29" s="207"/>
      <c r="O29" s="207"/>
      <c r="P29" s="178"/>
      <c r="Q29" s="284"/>
      <c r="R29" s="221"/>
      <c r="S29" s="221"/>
      <c r="T29" s="221"/>
      <c r="U29" s="221"/>
      <c r="V29" s="221"/>
      <c r="W29" s="221"/>
      <c r="X29" s="221"/>
      <c r="Y29" s="221"/>
      <c r="Z29" s="221"/>
      <c r="AA29" s="220"/>
      <c r="AB29" s="2"/>
      <c r="AC29" s="205" t="s">
        <v>237</v>
      </c>
      <c r="AD29" s="205"/>
      <c r="AE29" s="205"/>
      <c r="AF29" s="205"/>
      <c r="AG29" s="205"/>
      <c r="AH29" s="205"/>
      <c r="AI29" s="214"/>
      <c r="AJ29" s="207"/>
      <c r="AK29" s="207"/>
      <c r="AL29" s="207"/>
      <c r="AM29" s="207"/>
      <c r="AN29" s="207"/>
      <c r="AO29" s="178"/>
      <c r="AP29" s="218"/>
      <c r="AQ29" s="218"/>
      <c r="AR29" s="218"/>
      <c r="AS29" s="218"/>
      <c r="AT29" s="218"/>
      <c r="AU29" s="218"/>
      <c r="AV29" s="218"/>
      <c r="AW29" s="218"/>
      <c r="AX29" s="218"/>
      <c r="AY29" s="218"/>
      <c r="AZ29" s="219"/>
      <c r="BA29" s="2"/>
      <c r="BB29" s="2"/>
      <c r="CH29" s="481"/>
      <c r="CI29" s="481"/>
      <c r="CJ29" s="481"/>
      <c r="CK29" s="481"/>
      <c r="CL29" s="481"/>
      <c r="CM29" s="481"/>
      <c r="CN29" s="481"/>
      <c r="CO29" s="481"/>
      <c r="CP29" s="481"/>
      <c r="CQ29" s="481"/>
      <c r="CR29" s="481"/>
      <c r="CS29" s="481"/>
      <c r="CT29" s="481"/>
      <c r="CU29" s="481"/>
      <c r="CV29" s="481"/>
      <c r="CW29" s="481"/>
      <c r="CX29" s="481"/>
      <c r="CY29" s="481"/>
    </row>
    <row r="30" spans="3:182" ht="12" customHeight="1">
      <c r="C30" s="168"/>
      <c r="Q30" s="24"/>
      <c r="CH30" s="481"/>
      <c r="CI30" s="481"/>
      <c r="CJ30" s="481"/>
      <c r="CK30" s="481"/>
      <c r="CL30" s="481"/>
      <c r="CM30" s="481"/>
      <c r="CN30" s="481"/>
      <c r="CO30" s="481"/>
      <c r="CP30" s="481"/>
      <c r="CQ30" s="481"/>
      <c r="CR30" s="481"/>
      <c r="CS30" s="481"/>
      <c r="CT30" s="481"/>
      <c r="CU30" s="481"/>
      <c r="CV30" s="481"/>
      <c r="CW30" s="481"/>
      <c r="CX30" s="481"/>
      <c r="CY30" s="481"/>
      <c r="DE30" s="1175" t="s">
        <v>238</v>
      </c>
      <c r="DF30" s="1175"/>
      <c r="DG30" s="1175"/>
      <c r="DH30" s="1175"/>
      <c r="DI30" s="1175"/>
      <c r="DJ30" s="1175"/>
      <c r="DK30" s="1175"/>
      <c r="DL30" s="1175"/>
      <c r="DM30" s="1175"/>
      <c r="DN30" s="1175"/>
      <c r="DO30" s="1175"/>
      <c r="DP30" s="1175"/>
      <c r="DQ30" s="1175"/>
      <c r="DR30" s="1175"/>
      <c r="DS30" s="1175"/>
      <c r="DT30" s="1175"/>
      <c r="DU30" s="1175"/>
      <c r="DV30" s="1175"/>
      <c r="DW30" s="1175"/>
      <c r="DX30" s="1175"/>
      <c r="DY30" s="1175"/>
      <c r="DZ30" s="1175"/>
      <c r="EA30" s="1175"/>
      <c r="EB30" s="1175"/>
      <c r="EC30" s="1175"/>
      <c r="ED30" s="1175"/>
      <c r="EE30" s="1175"/>
      <c r="EF30" s="1175"/>
      <c r="EG30" s="1175"/>
      <c r="EH30" s="1175"/>
      <c r="EI30" s="1175"/>
      <c r="EJ30" s="1175"/>
      <c r="EK30" s="1175"/>
      <c r="EL30" s="1175"/>
      <c r="EM30" s="1175"/>
      <c r="EN30" s="1175"/>
      <c r="EO30" s="1175"/>
      <c r="EP30" s="1175"/>
      <c r="EQ30" s="1175"/>
      <c r="ER30" s="1175"/>
      <c r="ES30" s="1175"/>
      <c r="ET30" s="1175"/>
      <c r="EU30" s="1175"/>
      <c r="EV30" s="1175"/>
      <c r="EW30" s="1175"/>
      <c r="EX30" s="1175"/>
      <c r="EY30" s="1175"/>
      <c r="EZ30" s="1175"/>
    </row>
    <row r="31" spans="3:182" ht="12" customHeight="1">
      <c r="C31" s="168"/>
      <c r="Q31" s="24"/>
      <c r="R31" s="205" t="s">
        <v>239</v>
      </c>
      <c r="S31" s="205"/>
      <c r="T31" s="225"/>
      <c r="U31" s="205"/>
      <c r="V31" s="205"/>
      <c r="W31" s="205"/>
      <c r="X31" s="205"/>
      <c r="Y31" s="205"/>
      <c r="Z31" s="205"/>
      <c r="AA31" s="205"/>
      <c r="AB31" s="205"/>
      <c r="AC31" s="205"/>
      <c r="AD31" s="205"/>
      <c r="AE31" s="205"/>
      <c r="AF31" s="205"/>
      <c r="AG31" s="205"/>
      <c r="AH31" s="205"/>
      <c r="AI31" s="205"/>
      <c r="AK31" s="205" t="s">
        <v>240</v>
      </c>
      <c r="AL31" s="205"/>
      <c r="AM31" s="205"/>
      <c r="AN31" s="205"/>
      <c r="AO31" s="205"/>
      <c r="AP31" s="205"/>
      <c r="AQ31" s="205"/>
      <c r="AR31" s="205"/>
      <c r="AS31" s="205"/>
      <c r="AT31" s="205"/>
      <c r="AU31" s="205"/>
      <c r="AV31" s="205"/>
      <c r="AW31" s="205"/>
      <c r="AY31" s="205" t="s">
        <v>241</v>
      </c>
      <c r="AZ31" s="205"/>
      <c r="BA31" s="205"/>
      <c r="BB31" s="205"/>
      <c r="BC31" s="205"/>
      <c r="BD31" s="205"/>
      <c r="BE31" s="205"/>
      <c r="BF31" s="205"/>
      <c r="BG31" s="205"/>
      <c r="BH31" s="205"/>
      <c r="BJ31" s="205" t="s">
        <v>242</v>
      </c>
      <c r="BK31" s="205"/>
      <c r="BL31" s="205"/>
      <c r="BM31" s="205"/>
      <c r="BN31" s="205"/>
      <c r="BO31" s="205"/>
      <c r="BP31" s="205"/>
      <c r="BQ31" s="205"/>
      <c r="BR31" s="205"/>
      <c r="BS31" s="205"/>
      <c r="CH31" s="481"/>
      <c r="CI31" s="481"/>
      <c r="CJ31" s="481"/>
      <c r="CK31" s="481"/>
      <c r="CL31" s="481"/>
      <c r="CM31" s="481"/>
      <c r="CN31" s="481"/>
      <c r="CO31" s="481"/>
      <c r="CP31" s="481"/>
      <c r="CQ31" s="481"/>
      <c r="CR31" s="481"/>
      <c r="CS31" s="481"/>
      <c r="CT31" s="481"/>
      <c r="CU31" s="481"/>
      <c r="CV31" s="481"/>
      <c r="CW31" s="481"/>
      <c r="CX31" s="481"/>
      <c r="CY31" s="481"/>
      <c r="DF31" s="483" t="s">
        <v>243</v>
      </c>
      <c r="EA31" s="443" t="s">
        <v>244</v>
      </c>
      <c r="EV31" s="483" t="s">
        <v>245</v>
      </c>
    </row>
    <row r="32" spans="3:182" ht="12" customHeight="1">
      <c r="C32" s="168"/>
      <c r="D32" s="484" t="s">
        <v>246</v>
      </c>
      <c r="E32" s="484"/>
      <c r="F32" s="484"/>
      <c r="G32" s="484"/>
      <c r="H32" s="484"/>
      <c r="I32" s="484"/>
      <c r="J32" s="476" t="s">
        <v>247</v>
      </c>
      <c r="K32" s="477"/>
      <c r="N32" s="484" t="s">
        <v>248</v>
      </c>
      <c r="O32" s="484"/>
      <c r="P32" s="484"/>
      <c r="Q32" s="484"/>
      <c r="R32" s="478"/>
      <c r="S32" s="479"/>
      <c r="T32" s="479"/>
      <c r="U32" s="480"/>
      <c r="V32" s="178"/>
      <c r="W32" s="221"/>
      <c r="X32" s="221"/>
      <c r="Y32" s="221"/>
      <c r="Z32" s="221"/>
      <c r="AA32" s="221"/>
      <c r="AB32" s="221"/>
      <c r="AC32" s="221"/>
      <c r="AD32" s="221"/>
      <c r="AE32" s="221"/>
      <c r="AF32" s="221"/>
      <c r="AG32" s="221"/>
      <c r="AH32" s="221"/>
      <c r="AI32" s="220"/>
      <c r="AK32" s="478"/>
      <c r="AL32" s="479"/>
      <c r="AM32" s="479"/>
      <c r="AN32" s="480"/>
      <c r="AO32" s="178"/>
      <c r="AP32" s="221"/>
      <c r="AQ32" s="221"/>
      <c r="AR32" s="221"/>
      <c r="AS32" s="221"/>
      <c r="AT32" s="221"/>
      <c r="AU32" s="221"/>
      <c r="AV32" s="221"/>
      <c r="AW32" s="220"/>
      <c r="AY32" s="478"/>
      <c r="AZ32" s="479"/>
      <c r="BA32" s="479"/>
      <c r="BB32" s="480"/>
      <c r="BC32" s="178"/>
      <c r="BD32" s="221"/>
      <c r="BE32" s="221"/>
      <c r="BF32" s="221"/>
      <c r="BG32" s="221"/>
      <c r="BH32" s="220"/>
      <c r="BJ32" s="1148" t="s">
        <v>249</v>
      </c>
      <c r="BK32" s="1149"/>
      <c r="BL32" s="1149"/>
      <c r="BM32" s="1150"/>
      <c r="BN32" s="178"/>
      <c r="BO32" s="221"/>
      <c r="BP32" s="221"/>
      <c r="BQ32" s="221"/>
      <c r="BR32" s="221"/>
      <c r="BS32" s="220"/>
      <c r="CH32" s="481"/>
      <c r="CI32" s="481"/>
      <c r="CJ32" s="481"/>
      <c r="CK32" s="481"/>
      <c r="CL32" s="481"/>
      <c r="CM32" s="481"/>
      <c r="CN32" s="481"/>
      <c r="CO32" s="481"/>
      <c r="CP32" s="481"/>
      <c r="CQ32" s="481"/>
      <c r="CR32" s="481"/>
      <c r="CS32" s="481"/>
      <c r="CT32" s="481"/>
      <c r="CU32" s="481"/>
      <c r="CV32" s="481"/>
      <c r="CW32" s="481"/>
      <c r="CX32" s="481"/>
      <c r="CY32" s="481"/>
      <c r="FD32" s="483" t="s">
        <v>250</v>
      </c>
      <c r="FZ32" s="443" t="s">
        <v>251</v>
      </c>
    </row>
    <row r="33" spans="3:191" ht="12" customHeight="1">
      <c r="C33" s="168"/>
      <c r="D33" s="205" t="s">
        <v>252</v>
      </c>
      <c r="E33" s="205"/>
      <c r="F33" s="205"/>
      <c r="G33" s="205"/>
      <c r="H33" s="205"/>
      <c r="I33" s="205"/>
      <c r="J33" s="24" t="s">
        <v>253</v>
      </c>
      <c r="L33" s="214"/>
      <c r="M33" s="207"/>
      <c r="N33" s="215"/>
      <c r="P33" s="24" t="s">
        <v>254</v>
      </c>
      <c r="Q33" s="24"/>
      <c r="R33" s="214"/>
      <c r="S33" s="207"/>
      <c r="T33" s="215"/>
      <c r="AC33" s="205" t="s">
        <v>255</v>
      </c>
      <c r="AD33" s="205"/>
      <c r="AE33" s="205"/>
      <c r="AF33" s="205"/>
      <c r="AG33" s="205"/>
      <c r="AH33" s="205"/>
      <c r="AI33" s="24" t="s">
        <v>253</v>
      </c>
      <c r="AK33" s="214"/>
      <c r="AL33" s="207"/>
      <c r="AM33" s="215"/>
      <c r="AO33" s="24" t="s">
        <v>254</v>
      </c>
      <c r="AQ33" s="214"/>
      <c r="AR33" s="207"/>
      <c r="AS33" s="215"/>
      <c r="CH33" s="481"/>
      <c r="CI33" s="481"/>
      <c r="CJ33" s="481"/>
      <c r="CK33" s="481"/>
      <c r="CL33" s="481"/>
      <c r="CM33" s="481"/>
      <c r="CN33" s="481"/>
      <c r="CO33" s="481"/>
      <c r="CP33" s="481"/>
      <c r="CQ33" s="481"/>
      <c r="CR33" s="481"/>
      <c r="CS33" s="481"/>
      <c r="CT33" s="481"/>
      <c r="CU33" s="481"/>
      <c r="CV33" s="481"/>
      <c r="CW33" s="481"/>
      <c r="CX33" s="481"/>
      <c r="CY33" s="481"/>
      <c r="DE33" s="1153" t="s">
        <v>256</v>
      </c>
      <c r="DF33" s="1153"/>
      <c r="DG33" s="1153"/>
      <c r="DH33" s="1153"/>
      <c r="DI33" s="1153"/>
      <c r="DJ33" s="1153"/>
      <c r="DK33" s="1153"/>
      <c r="DL33" s="1153"/>
      <c r="DM33" s="1153"/>
      <c r="DN33" s="1153"/>
      <c r="DO33" s="1153"/>
      <c r="DP33" s="1153"/>
      <c r="DQ33" s="1153"/>
      <c r="DR33" s="1153"/>
      <c r="DS33" s="1153"/>
      <c r="DT33" s="1153"/>
      <c r="DU33" s="1153"/>
      <c r="DV33" s="1153"/>
      <c r="DW33" s="1153"/>
      <c r="DX33" s="1153"/>
      <c r="DY33" s="1153"/>
      <c r="DZ33" s="1153"/>
      <c r="EA33" s="1153"/>
      <c r="EB33" s="1153"/>
      <c r="EC33" s="1153"/>
      <c r="ED33" s="1153"/>
      <c r="EE33" s="1153"/>
      <c r="EF33" s="1153"/>
      <c r="EG33" s="1153"/>
      <c r="EH33" s="1153"/>
      <c r="EI33" s="1153"/>
      <c r="EJ33" s="1153"/>
      <c r="EK33" s="1153"/>
      <c r="EL33" s="1153"/>
      <c r="EM33" s="1153"/>
      <c r="EN33" s="1153"/>
      <c r="EO33" s="1153"/>
      <c r="EP33" s="1153"/>
      <c r="EQ33" s="1153"/>
      <c r="ER33" s="1153"/>
      <c r="ES33" s="1153"/>
      <c r="ET33" s="1153"/>
      <c r="EU33" s="1153"/>
      <c r="EV33" s="1153"/>
      <c r="EW33" s="1153"/>
      <c r="EX33" s="1153"/>
      <c r="EY33" s="1153"/>
      <c r="EZ33" s="1153"/>
      <c r="GA33" s="483" t="s">
        <v>817</v>
      </c>
    </row>
    <row r="34" spans="3:191" ht="12" customHeight="1">
      <c r="C34" s="168"/>
      <c r="CH34" s="481"/>
      <c r="CI34" s="481"/>
      <c r="CJ34" s="481"/>
      <c r="CK34" s="481"/>
      <c r="CL34" s="481"/>
      <c r="CM34" s="481"/>
      <c r="CN34" s="481"/>
      <c r="CO34" s="481"/>
      <c r="CP34" s="481"/>
      <c r="CQ34" s="481"/>
      <c r="CR34" s="481"/>
      <c r="CS34" s="481"/>
      <c r="CT34" s="481"/>
      <c r="CU34" s="481"/>
      <c r="CV34" s="481"/>
      <c r="CW34" s="481"/>
      <c r="CX34" s="481"/>
      <c r="CY34" s="481"/>
      <c r="DE34" s="1153" t="s">
        <v>257</v>
      </c>
      <c r="DF34" s="1153"/>
      <c r="DG34" s="1153"/>
      <c r="DH34" s="1153"/>
      <c r="DI34" s="1153"/>
      <c r="DJ34" s="1153"/>
      <c r="DK34" s="1153"/>
      <c r="DL34" s="1153"/>
      <c r="DM34" s="1153"/>
      <c r="DN34" s="1153"/>
      <c r="DO34" s="1153"/>
      <c r="DP34" s="1153"/>
      <c r="DQ34" s="1153"/>
      <c r="DR34" s="1153"/>
      <c r="DS34" s="1153"/>
      <c r="DT34" s="1153"/>
      <c r="DU34" s="1153"/>
      <c r="DV34" s="1153"/>
      <c r="DW34" s="1153"/>
      <c r="DX34" s="1153"/>
      <c r="DY34" s="1153"/>
      <c r="DZ34" s="1153"/>
      <c r="EA34" s="1153"/>
      <c r="EB34" s="1153"/>
      <c r="EC34" s="1153"/>
      <c r="ED34" s="1153"/>
      <c r="EE34" s="1153"/>
      <c r="EF34" s="1153"/>
      <c r="EG34" s="1153"/>
      <c r="EH34" s="1153"/>
      <c r="EI34" s="1153"/>
      <c r="EJ34" s="1153"/>
      <c r="EK34" s="1153"/>
      <c r="EL34" s="1153"/>
      <c r="EM34" s="1153"/>
      <c r="EN34" s="1153"/>
      <c r="EO34" s="1153"/>
      <c r="EP34" s="1153"/>
      <c r="EQ34" s="1153"/>
      <c r="ER34" s="1153"/>
      <c r="ES34" s="1153"/>
      <c r="ET34" s="1153"/>
      <c r="EU34" s="1153"/>
      <c r="EV34" s="1153"/>
      <c r="EW34" s="1153"/>
      <c r="EX34" s="1153"/>
      <c r="EY34" s="1153"/>
      <c r="EZ34" s="1153"/>
      <c r="GA34" s="483" t="s">
        <v>818</v>
      </c>
      <c r="GI34" s="483"/>
    </row>
    <row r="35" spans="3:191" ht="12" customHeight="1">
      <c r="C35" s="168"/>
      <c r="D35" s="486" t="s">
        <v>258</v>
      </c>
      <c r="E35" s="486"/>
      <c r="F35" s="486"/>
      <c r="G35" s="486"/>
      <c r="H35" s="486"/>
      <c r="I35" s="486"/>
      <c r="J35" s="486"/>
      <c r="K35" s="486"/>
      <c r="L35" s="486"/>
      <c r="M35" s="486"/>
      <c r="N35" s="486"/>
      <c r="O35" s="486"/>
      <c r="P35" s="486"/>
      <c r="Q35" s="486"/>
      <c r="R35" s="486"/>
      <c r="S35" s="486"/>
      <c r="T35" s="486"/>
      <c r="U35" s="486"/>
      <c r="V35" s="486"/>
      <c r="W35" s="486"/>
      <c r="X35" s="486"/>
      <c r="Y35" s="486"/>
      <c r="Z35" s="486"/>
      <c r="AA35" s="486"/>
      <c r="AB35" s="486"/>
      <c r="AC35" s="486"/>
      <c r="AD35" s="486"/>
      <c r="AE35" s="486"/>
      <c r="AF35" s="486"/>
      <c r="AG35" s="486"/>
      <c r="AH35" s="486"/>
      <c r="AI35" s="486"/>
      <c r="AJ35" s="486"/>
      <c r="AK35" s="486"/>
      <c r="AL35" s="486"/>
      <c r="AM35" s="486"/>
      <c r="AN35" s="486"/>
      <c r="AO35" s="486"/>
      <c r="AP35" s="486"/>
      <c r="AQ35" s="486"/>
      <c r="AR35" s="486"/>
      <c r="AS35" s="486"/>
      <c r="AT35" s="486"/>
      <c r="AU35" s="486"/>
      <c r="AV35" s="486"/>
      <c r="AW35" s="486"/>
      <c r="AX35" s="486"/>
      <c r="AY35" s="486"/>
      <c r="AZ35" s="486"/>
      <c r="BA35" s="486"/>
      <c r="BB35" s="486"/>
      <c r="BC35" s="486"/>
      <c r="BD35" s="486"/>
      <c r="BE35" s="486"/>
      <c r="BF35" s="486"/>
      <c r="BG35" s="486"/>
      <c r="BH35" s="486"/>
      <c r="BI35" s="486"/>
      <c r="BJ35" s="486"/>
      <c r="BK35" s="486"/>
      <c r="BL35" s="486"/>
      <c r="BM35" s="486"/>
      <c r="BN35" s="486"/>
      <c r="BO35" s="486"/>
      <c r="BP35" s="486"/>
      <c r="BQ35" s="486"/>
      <c r="BR35" s="486"/>
      <c r="BS35" s="486"/>
      <c r="BT35" s="486"/>
      <c r="BU35" s="486"/>
      <c r="BV35" s="486"/>
      <c r="BW35" s="487" t="s">
        <v>259</v>
      </c>
      <c r="DE35" s="1153" t="s">
        <v>260</v>
      </c>
      <c r="DF35" s="1153"/>
      <c r="DG35" s="1153"/>
      <c r="DH35" s="1153"/>
      <c r="DI35" s="1153"/>
      <c r="DJ35" s="1153"/>
      <c r="DK35" s="1153"/>
      <c r="DL35" s="1153"/>
      <c r="DM35" s="1153"/>
      <c r="DN35" s="1153"/>
      <c r="DO35" s="1153"/>
      <c r="DP35" s="1153"/>
      <c r="DQ35" s="1153"/>
      <c r="DR35" s="1153"/>
      <c r="DS35" s="1153"/>
      <c r="DT35" s="1153"/>
      <c r="DU35" s="1153"/>
      <c r="DV35" s="1153"/>
      <c r="DW35" s="1153"/>
      <c r="DX35" s="1153"/>
      <c r="DY35" s="1153"/>
      <c r="DZ35" s="1153"/>
      <c r="EA35" s="1153"/>
      <c r="EB35" s="1153"/>
      <c r="EC35" s="1153"/>
      <c r="ED35" s="1153"/>
      <c r="EE35" s="1153"/>
      <c r="EF35" s="1153"/>
      <c r="EG35" s="1153"/>
      <c r="EH35" s="1153"/>
      <c r="EI35" s="1153"/>
      <c r="EJ35" s="1153"/>
      <c r="EK35" s="1153"/>
      <c r="EL35" s="1153"/>
      <c r="EM35" s="1153"/>
      <c r="EN35" s="1153"/>
      <c r="EO35" s="1153"/>
      <c r="EP35" s="1153"/>
      <c r="EQ35" s="1153"/>
      <c r="ER35" s="1153"/>
      <c r="ES35" s="1153"/>
      <c r="ET35" s="1153"/>
      <c r="EU35" s="1153"/>
      <c r="EV35" s="1153"/>
      <c r="EW35" s="1153"/>
      <c r="EX35" s="1153"/>
      <c r="EY35" s="1153"/>
      <c r="EZ35" s="1153"/>
      <c r="FZ35" s="443" t="s">
        <v>830</v>
      </c>
    </row>
    <row r="36" spans="3:191" ht="12" customHeight="1">
      <c r="C36" s="168"/>
      <c r="J36" s="205" t="s">
        <v>239</v>
      </c>
      <c r="K36" s="205"/>
      <c r="L36" s="225"/>
      <c r="M36" s="205"/>
      <c r="N36" s="205"/>
      <c r="O36" s="205"/>
      <c r="P36" s="205"/>
      <c r="Q36" s="205"/>
      <c r="R36" s="205"/>
      <c r="S36" s="205"/>
      <c r="T36" s="205"/>
      <c r="U36" s="205"/>
      <c r="V36" s="205"/>
      <c r="W36" s="205"/>
      <c r="X36" s="205"/>
      <c r="Y36" s="205"/>
      <c r="Z36" s="205"/>
      <c r="AA36" s="205"/>
      <c r="AC36" s="205" t="s">
        <v>240</v>
      </c>
      <c r="AD36" s="205"/>
      <c r="AE36" s="205"/>
      <c r="AF36" s="205"/>
      <c r="AG36" s="205"/>
      <c r="AH36" s="205"/>
      <c r="AI36" s="205"/>
      <c r="AJ36" s="205"/>
      <c r="AK36" s="205"/>
      <c r="AL36" s="205"/>
      <c r="AM36" s="205"/>
      <c r="AN36" s="205"/>
      <c r="AO36" s="205"/>
      <c r="AQ36" s="205" t="s">
        <v>241</v>
      </c>
      <c r="AR36" s="205"/>
      <c r="AS36" s="205"/>
      <c r="AT36" s="205"/>
      <c r="AU36" s="205"/>
      <c r="AV36" s="205"/>
      <c r="AW36" s="205"/>
      <c r="AX36" s="205"/>
      <c r="AY36" s="205"/>
      <c r="AZ36" s="205"/>
      <c r="BB36" s="205" t="s">
        <v>242</v>
      </c>
      <c r="BC36" s="205"/>
      <c r="BD36" s="205"/>
      <c r="BE36" s="205"/>
      <c r="BF36" s="205"/>
      <c r="BG36" s="205"/>
      <c r="BH36" s="205"/>
      <c r="BI36" s="205"/>
      <c r="BJ36" s="205"/>
      <c r="BK36" s="205"/>
      <c r="DG36" s="26"/>
    </row>
    <row r="37" spans="3:191" ht="12" customHeight="1">
      <c r="C37" s="168"/>
      <c r="D37" s="205" t="s">
        <v>261</v>
      </c>
      <c r="E37" s="205"/>
      <c r="F37" s="205"/>
      <c r="G37" s="205"/>
      <c r="H37" s="205"/>
      <c r="I37" s="205"/>
      <c r="J37" s="478"/>
      <c r="K37" s="479"/>
      <c r="L37" s="479"/>
      <c r="M37" s="480"/>
      <c r="N37" s="178"/>
      <c r="O37" s="221"/>
      <c r="P37" s="221"/>
      <c r="Q37" s="221"/>
      <c r="R37" s="221"/>
      <c r="S37" s="221"/>
      <c r="T37" s="221"/>
      <c r="U37" s="221"/>
      <c r="V37" s="221"/>
      <c r="W37" s="221"/>
      <c r="X37" s="221"/>
      <c r="Y37" s="221"/>
      <c r="Z37" s="221"/>
      <c r="AA37" s="220"/>
      <c r="AC37" s="478"/>
      <c r="AD37" s="479"/>
      <c r="AE37" s="479"/>
      <c r="AF37" s="480"/>
      <c r="AG37" s="178"/>
      <c r="AH37" s="221"/>
      <c r="AI37" s="221"/>
      <c r="AJ37" s="221"/>
      <c r="AK37" s="221"/>
      <c r="AL37" s="221"/>
      <c r="AM37" s="221"/>
      <c r="AN37" s="221"/>
      <c r="AO37" s="220"/>
      <c r="AQ37" s="478"/>
      <c r="AR37" s="479"/>
      <c r="AS37" s="479"/>
      <c r="AT37" s="480"/>
      <c r="AU37" s="178"/>
      <c r="AV37" s="221"/>
      <c r="AW37" s="221"/>
      <c r="AX37" s="221"/>
      <c r="AY37" s="221"/>
      <c r="AZ37" s="220"/>
      <c r="BB37" s="1148" t="s">
        <v>249</v>
      </c>
      <c r="BC37" s="1149"/>
      <c r="BD37" s="1149"/>
      <c r="BE37" s="1150"/>
      <c r="BF37" s="178"/>
      <c r="BG37" s="221"/>
      <c r="BH37" s="221"/>
      <c r="BI37" s="221"/>
      <c r="BJ37" s="221"/>
      <c r="BK37" s="220"/>
      <c r="DE37" s="1175" t="s">
        <v>262</v>
      </c>
      <c r="DF37" s="1175"/>
      <c r="DG37" s="1175"/>
      <c r="DH37" s="1175"/>
      <c r="DI37" s="1175"/>
      <c r="DJ37" s="1175"/>
      <c r="DK37" s="1175"/>
      <c r="DL37" s="1175"/>
      <c r="DM37" s="1175"/>
      <c r="DN37" s="1175"/>
      <c r="DO37" s="1175"/>
      <c r="DP37" s="1175"/>
      <c r="DQ37" s="1175"/>
      <c r="DR37" s="1175"/>
      <c r="DS37" s="1175"/>
      <c r="DT37" s="1175"/>
      <c r="DU37" s="1175"/>
      <c r="DV37" s="1175"/>
      <c r="DW37" s="1175"/>
      <c r="DX37" s="1175"/>
      <c r="DY37" s="1175"/>
      <c r="DZ37" s="1175"/>
      <c r="EA37" s="1175"/>
      <c r="EB37" s="1175"/>
      <c r="EC37" s="1175"/>
      <c r="ED37" s="1175"/>
      <c r="EE37" s="1175"/>
      <c r="EF37" s="1175"/>
      <c r="EG37" s="1175"/>
      <c r="EH37" s="1175"/>
      <c r="EI37" s="1175"/>
      <c r="EJ37" s="1175"/>
      <c r="EK37" s="1175"/>
      <c r="EL37" s="1175"/>
      <c r="EM37" s="1175"/>
      <c r="EN37" s="1175"/>
      <c r="EO37" s="1175"/>
      <c r="EP37" s="1175"/>
      <c r="EQ37" s="1175"/>
      <c r="ER37" s="1175"/>
      <c r="ES37" s="1175"/>
      <c r="ET37" s="1175"/>
      <c r="EU37" s="1175"/>
      <c r="EV37" s="1175"/>
      <c r="EW37" s="1175"/>
      <c r="EX37" s="1175"/>
      <c r="EY37" s="1175"/>
      <c r="EZ37" s="1175"/>
    </row>
    <row r="38" spans="3:191" ht="12" customHeight="1">
      <c r="C38" s="168"/>
      <c r="D38" s="205" t="s">
        <v>263</v>
      </c>
      <c r="E38" s="205"/>
      <c r="F38" s="205"/>
      <c r="G38" s="205"/>
      <c r="H38" s="205"/>
      <c r="I38" s="205"/>
      <c r="J38" s="478"/>
      <c r="K38" s="479"/>
      <c r="L38" s="479"/>
      <c r="M38" s="480"/>
      <c r="N38" s="178"/>
      <c r="O38" s="221"/>
      <c r="P38" s="221"/>
      <c r="Q38" s="221"/>
      <c r="R38" s="221"/>
      <c r="S38" s="221"/>
      <c r="T38" s="221"/>
      <c r="U38" s="221"/>
      <c r="V38" s="221"/>
      <c r="W38" s="221"/>
      <c r="X38" s="221"/>
      <c r="Y38" s="221"/>
      <c r="Z38" s="221"/>
      <c r="AA38" s="220"/>
      <c r="AC38" s="478"/>
      <c r="AD38" s="479"/>
      <c r="AE38" s="479"/>
      <c r="AF38" s="480"/>
      <c r="AG38" s="178"/>
      <c r="AH38" s="221"/>
      <c r="AI38" s="221"/>
      <c r="AJ38" s="221"/>
      <c r="AK38" s="221"/>
      <c r="AL38" s="221"/>
      <c r="AM38" s="221"/>
      <c r="AN38" s="221"/>
      <c r="AO38" s="220"/>
      <c r="AQ38" s="478"/>
      <c r="AR38" s="479"/>
      <c r="AS38" s="479"/>
      <c r="AT38" s="480"/>
      <c r="AU38" s="178"/>
      <c r="AV38" s="221"/>
      <c r="AW38" s="221"/>
      <c r="AX38" s="221"/>
      <c r="AY38" s="221"/>
      <c r="AZ38" s="220"/>
      <c r="BB38" s="1148" t="s">
        <v>249</v>
      </c>
      <c r="BC38" s="1149"/>
      <c r="BD38" s="1149"/>
      <c r="BE38" s="1150"/>
      <c r="BF38" s="178"/>
      <c r="BG38" s="221"/>
      <c r="BH38" s="221"/>
      <c r="BI38" s="221"/>
      <c r="BJ38" s="221"/>
      <c r="BK38" s="220"/>
      <c r="DN38" s="1153" t="s">
        <v>264</v>
      </c>
      <c r="DO38" s="1153"/>
      <c r="DP38" s="1153"/>
      <c r="DQ38" s="1153"/>
      <c r="DR38" s="1153"/>
      <c r="DS38" s="1153"/>
      <c r="DT38" s="1153"/>
      <c r="DU38" s="1153"/>
      <c r="DV38" s="1153"/>
      <c r="DW38" s="1153"/>
      <c r="DX38" s="1153"/>
      <c r="DY38" s="1153"/>
      <c r="DZ38" s="1153"/>
      <c r="EA38" s="1153"/>
      <c r="EB38" s="1153"/>
      <c r="EC38" s="1153"/>
      <c r="ED38" s="1153"/>
      <c r="EE38" s="1153"/>
      <c r="EF38" s="1153"/>
      <c r="EG38" s="1153"/>
      <c r="EH38" s="1153"/>
      <c r="EI38" s="1153"/>
      <c r="EJ38" s="1153"/>
      <c r="EK38" s="1153"/>
      <c r="EL38" s="1153"/>
      <c r="EM38" s="1153"/>
      <c r="EN38" s="1153"/>
      <c r="EO38" s="1153"/>
      <c r="EP38" s="1153"/>
      <c r="EQ38" s="1153"/>
      <c r="ER38" s="1153"/>
      <c r="ES38" s="1153"/>
      <c r="ET38" s="1153"/>
      <c r="EU38" s="1153"/>
    </row>
    <row r="39" spans="3:191" ht="12" customHeight="1">
      <c r="C39" s="168"/>
      <c r="Q39" s="24"/>
      <c r="DN39" s="1153" t="s">
        <v>265</v>
      </c>
      <c r="DO39" s="1153"/>
      <c r="DP39" s="1153"/>
      <c r="DQ39" s="1153"/>
      <c r="DR39" s="1153"/>
      <c r="DS39" s="1153"/>
      <c r="DT39" s="1153"/>
      <c r="DU39" s="1153"/>
      <c r="DV39" s="1153"/>
      <c r="DW39" s="1153"/>
      <c r="DX39" s="1153"/>
      <c r="DY39" s="1153"/>
      <c r="DZ39" s="1153"/>
      <c r="EA39" s="1153"/>
      <c r="EB39" s="1153"/>
      <c r="EC39" s="1153"/>
      <c r="ED39" s="1153"/>
      <c r="EE39" s="1153"/>
      <c r="EF39" s="1153"/>
      <c r="EG39" s="1153"/>
      <c r="EH39" s="1153"/>
      <c r="EI39" s="1153"/>
      <c r="EJ39" s="1153"/>
      <c r="EK39" s="1153"/>
      <c r="EL39" s="1153"/>
      <c r="EM39" s="1153"/>
      <c r="EN39" s="1153"/>
      <c r="EO39" s="1153"/>
      <c r="EP39" s="1153"/>
      <c r="EQ39" s="1153"/>
      <c r="ER39" s="1153"/>
      <c r="ES39" s="1153"/>
      <c r="ET39" s="1153"/>
      <c r="EU39" s="1153"/>
      <c r="EV39" s="1153"/>
      <c r="EW39" s="1153"/>
    </row>
    <row r="40" spans="3:191" ht="12" customHeight="1">
      <c r="C40" s="168"/>
      <c r="D40" s="205" t="s">
        <v>266</v>
      </c>
      <c r="E40" s="205"/>
      <c r="F40" s="205"/>
      <c r="G40" s="205"/>
      <c r="H40" s="205"/>
      <c r="I40" s="485"/>
      <c r="J40" s="214"/>
      <c r="K40" s="207"/>
      <c r="L40" s="207"/>
      <c r="M40" s="207"/>
      <c r="N40" s="215"/>
      <c r="Q40" s="24"/>
      <c r="AC40" s="1151" t="s">
        <v>267</v>
      </c>
      <c r="AD40" s="1151"/>
      <c r="AE40" s="1151"/>
      <c r="AF40" s="1151"/>
      <c r="AG40" s="1151"/>
      <c r="AH40" s="1152"/>
      <c r="AI40" s="214"/>
      <c r="AJ40" s="207"/>
      <c r="AK40" s="207"/>
      <c r="AL40" s="207"/>
      <c r="AM40" s="207"/>
      <c r="AN40" s="215"/>
      <c r="AO40" s="474" t="s">
        <v>223</v>
      </c>
      <c r="AP40" s="475"/>
      <c r="AQ40" s="214"/>
      <c r="AR40" s="207"/>
      <c r="AS40" s="207"/>
      <c r="AT40" s="207"/>
      <c r="AU40" s="207"/>
      <c r="AV40" s="215"/>
      <c r="BS40" s="224"/>
      <c r="CD40" s="26"/>
      <c r="DF40" s="483" t="s">
        <v>268</v>
      </c>
      <c r="EA40" s="443" t="s">
        <v>269</v>
      </c>
      <c r="EV40" s="483" t="s">
        <v>270</v>
      </c>
      <c r="FN40" s="443" t="s">
        <v>271</v>
      </c>
    </row>
    <row r="41" spans="3:191" ht="12" customHeight="1">
      <c r="C41" s="168"/>
      <c r="D41" s="205" t="s">
        <v>272</v>
      </c>
      <c r="E41" s="205"/>
      <c r="F41" s="205"/>
      <c r="G41" s="205"/>
      <c r="H41" s="205"/>
      <c r="I41" s="205"/>
      <c r="J41" s="214"/>
      <c r="K41" s="207"/>
      <c r="L41" s="207"/>
      <c r="M41" s="207"/>
      <c r="N41" s="207"/>
      <c r="O41" s="207"/>
      <c r="P41" s="207"/>
      <c r="Q41" s="215"/>
      <c r="R41" s="24" t="s">
        <v>217</v>
      </c>
      <c r="AC41" s="205" t="s">
        <v>273</v>
      </c>
      <c r="AD41" s="205"/>
      <c r="AE41" s="205"/>
      <c r="AF41" s="205"/>
      <c r="AG41" s="205"/>
      <c r="AH41" s="485"/>
      <c r="AI41" s="214"/>
      <c r="AJ41" s="207"/>
      <c r="AK41" s="207"/>
      <c r="AL41" s="207"/>
      <c r="AM41" s="207"/>
      <c r="AN41" s="207"/>
      <c r="AO41" s="207"/>
      <c r="AP41" s="215"/>
      <c r="AQ41" s="24" t="s">
        <v>217</v>
      </c>
    </row>
    <row r="42" spans="3:191" ht="12" customHeight="1">
      <c r="C42" s="168"/>
      <c r="D42" s="205" t="s">
        <v>274</v>
      </c>
      <c r="E42" s="205"/>
      <c r="F42" s="205"/>
      <c r="G42" s="205"/>
      <c r="H42" s="205"/>
      <c r="I42" s="205"/>
      <c r="J42" s="214"/>
      <c r="K42" s="207"/>
      <c r="L42" s="207"/>
      <c r="M42" s="207"/>
      <c r="N42" s="207"/>
      <c r="O42" s="171"/>
      <c r="R42" s="205" t="s">
        <v>275</v>
      </c>
      <c r="S42" s="205"/>
      <c r="T42" s="205"/>
      <c r="U42" s="205"/>
      <c r="V42" s="214"/>
      <c r="W42" s="207"/>
      <c r="X42" s="207"/>
      <c r="Y42" s="207"/>
      <c r="Z42" s="207"/>
      <c r="AA42" s="178"/>
      <c r="AC42" s="205" t="s">
        <v>276</v>
      </c>
      <c r="AD42" s="205"/>
      <c r="AE42" s="205"/>
      <c r="AF42" s="205"/>
      <c r="AG42" s="205"/>
      <c r="AH42" s="205"/>
      <c r="AI42" s="214"/>
      <c r="AJ42" s="207"/>
      <c r="AK42" s="207"/>
      <c r="AL42" s="215"/>
      <c r="DE42" s="1153" t="s">
        <v>277</v>
      </c>
      <c r="DF42" s="1153"/>
      <c r="DG42" s="1153"/>
      <c r="DH42" s="1153"/>
      <c r="DI42" s="1153"/>
      <c r="DJ42" s="1153"/>
      <c r="DK42" s="1153"/>
      <c r="DL42" s="1153"/>
      <c r="DM42" s="1153"/>
      <c r="DN42" s="1153"/>
      <c r="DO42" s="1153"/>
      <c r="DP42" s="1153"/>
      <c r="DQ42" s="1153"/>
      <c r="DR42" s="1153"/>
      <c r="DS42" s="1153"/>
      <c r="DT42" s="1153"/>
      <c r="DU42" s="1153"/>
      <c r="DV42" s="1153"/>
      <c r="DW42" s="1153"/>
      <c r="DX42" s="1153"/>
      <c r="DY42" s="1153"/>
      <c r="DZ42" s="1153"/>
      <c r="EA42" s="1153"/>
      <c r="EB42" s="1153"/>
      <c r="EC42" s="1153"/>
      <c r="ED42" s="1153"/>
      <c r="EE42" s="1153"/>
      <c r="EF42" s="1153"/>
      <c r="EG42" s="1153"/>
      <c r="EH42" s="1153"/>
      <c r="EI42" s="1153"/>
      <c r="EJ42" s="1153"/>
      <c r="EK42" s="1153"/>
      <c r="EL42" s="1153"/>
      <c r="EM42" s="1153"/>
      <c r="EN42" s="1153"/>
      <c r="EO42" s="1153"/>
      <c r="EP42" s="1153"/>
      <c r="EQ42" s="1153"/>
      <c r="ER42" s="1153"/>
      <c r="ES42" s="1153"/>
      <c r="ET42" s="1153"/>
      <c r="EU42" s="1153"/>
      <c r="EV42" s="1153"/>
      <c r="EW42" s="1153"/>
      <c r="EX42" s="1153"/>
      <c r="EY42" s="1153"/>
      <c r="EZ42" s="1153"/>
    </row>
    <row r="43" spans="3:191" ht="12" customHeight="1">
      <c r="C43" s="168"/>
      <c r="Q43" s="24"/>
      <c r="DF43" s="483" t="s">
        <v>278</v>
      </c>
      <c r="EL43" s="443" t="s">
        <v>235</v>
      </c>
    </row>
    <row r="44" spans="3:191" ht="12" customHeight="1">
      <c r="C44" s="168"/>
      <c r="D44" s="205" t="s">
        <v>279</v>
      </c>
      <c r="E44" s="205"/>
      <c r="F44" s="205"/>
      <c r="G44" s="205"/>
      <c r="H44" s="205"/>
      <c r="I44" s="205"/>
      <c r="J44" s="214" t="s">
        <v>280</v>
      </c>
      <c r="K44" s="207"/>
      <c r="L44" s="207"/>
      <c r="M44" s="207"/>
      <c r="N44" s="207"/>
      <c r="O44" s="207"/>
      <c r="P44" s="207"/>
      <c r="Q44" s="207"/>
      <c r="R44" s="207"/>
      <c r="S44" s="207"/>
      <c r="T44" s="207"/>
      <c r="U44" s="207"/>
      <c r="V44" s="207"/>
      <c r="W44" s="207"/>
      <c r="X44" s="207"/>
      <c r="Y44" s="207"/>
      <c r="Z44" s="207"/>
      <c r="AA44" s="215"/>
      <c r="AB44" s="179" t="s">
        <v>217</v>
      </c>
      <c r="AC44" s="205" t="s">
        <v>281</v>
      </c>
      <c r="AD44" s="205"/>
      <c r="AE44" s="205"/>
      <c r="AF44" s="205"/>
      <c r="AG44" s="205"/>
      <c r="AH44" s="205"/>
      <c r="AI44" s="214" t="s">
        <v>280</v>
      </c>
      <c r="AJ44" s="207"/>
      <c r="AK44" s="207"/>
      <c r="AL44" s="207"/>
      <c r="AM44" s="207"/>
      <c r="AN44" s="207"/>
      <c r="AO44" s="207"/>
      <c r="AP44" s="207"/>
      <c r="AQ44" s="207"/>
      <c r="AR44" s="207"/>
      <c r="AS44" s="207"/>
      <c r="AT44" s="207"/>
      <c r="AU44" s="207"/>
      <c r="AV44" s="207"/>
      <c r="AW44" s="207"/>
      <c r="AX44" s="207"/>
      <c r="AY44" s="207"/>
      <c r="AZ44" s="215"/>
      <c r="BA44" s="179" t="s">
        <v>217</v>
      </c>
    </row>
    <row r="45" spans="3:191" ht="12" customHeight="1">
      <c r="C45" s="168"/>
      <c r="D45" s="205" t="s">
        <v>282</v>
      </c>
      <c r="E45" s="205"/>
      <c r="F45" s="205"/>
      <c r="G45" s="205"/>
      <c r="H45" s="205"/>
      <c r="I45" s="205"/>
      <c r="J45" s="214" t="s">
        <v>280</v>
      </c>
      <c r="K45" s="207"/>
      <c r="L45" s="207"/>
      <c r="M45" s="207"/>
      <c r="N45" s="207"/>
      <c r="O45" s="207"/>
      <c r="P45" s="207"/>
      <c r="Q45" s="207"/>
      <c r="R45" s="207"/>
      <c r="S45" s="207"/>
      <c r="T45" s="207"/>
      <c r="U45" s="207"/>
      <c r="V45" s="207"/>
      <c r="W45" s="207"/>
      <c r="X45" s="207"/>
      <c r="Y45" s="207"/>
      <c r="Z45" s="207"/>
      <c r="AA45" s="215"/>
      <c r="AB45" s="179" t="s">
        <v>217</v>
      </c>
      <c r="AC45" s="205" t="s">
        <v>283</v>
      </c>
      <c r="AD45" s="205"/>
      <c r="AE45" s="205"/>
      <c r="AF45" s="205"/>
      <c r="AG45" s="205"/>
      <c r="AH45" s="485"/>
      <c r="AI45" s="214" t="s">
        <v>280</v>
      </c>
      <c r="AJ45" s="207"/>
      <c r="AK45" s="207"/>
      <c r="AL45" s="207"/>
      <c r="AM45" s="207"/>
      <c r="AN45" s="207"/>
      <c r="AO45" s="207"/>
      <c r="AP45" s="207"/>
      <c r="AQ45" s="207"/>
      <c r="AR45" s="207"/>
      <c r="AS45" s="207"/>
      <c r="AT45" s="207"/>
      <c r="AU45" s="207"/>
      <c r="AV45" s="207"/>
      <c r="AW45" s="207"/>
      <c r="AX45" s="207"/>
      <c r="AY45" s="207"/>
      <c r="AZ45" s="215"/>
      <c r="BA45" s="179" t="s">
        <v>217</v>
      </c>
      <c r="DE45" s="1153" t="s">
        <v>284</v>
      </c>
      <c r="DF45" s="1153"/>
      <c r="DG45" s="1153"/>
      <c r="DH45" s="1153"/>
      <c r="DI45" s="1153"/>
      <c r="DJ45" s="1153"/>
      <c r="DK45" s="1153"/>
      <c r="DL45" s="1153"/>
      <c r="DM45" s="1153"/>
      <c r="DN45" s="1153"/>
      <c r="DO45" s="1153"/>
      <c r="DP45" s="1153"/>
      <c r="DQ45" s="1153"/>
      <c r="DR45" s="1153"/>
      <c r="DS45" s="1153"/>
      <c r="DT45" s="1153"/>
      <c r="DU45" s="1153"/>
      <c r="DV45" s="1153"/>
      <c r="DW45" s="1153"/>
      <c r="DX45" s="1153"/>
      <c r="DY45" s="1153"/>
      <c r="DZ45" s="1153"/>
      <c r="EA45" s="1153"/>
      <c r="EB45" s="1153"/>
      <c r="EC45" s="1153"/>
      <c r="ED45" s="1153"/>
      <c r="EE45" s="1153"/>
      <c r="EF45" s="1153"/>
      <c r="EG45" s="1153"/>
      <c r="EH45" s="1153"/>
      <c r="EI45" s="1153"/>
      <c r="EJ45" s="1153"/>
      <c r="EK45" s="1153"/>
      <c r="EL45" s="1153"/>
      <c r="EM45" s="1153"/>
      <c r="EN45" s="1153"/>
      <c r="EO45" s="1153"/>
      <c r="EP45" s="1153"/>
      <c r="EQ45" s="1153"/>
      <c r="ER45" s="1153"/>
      <c r="ES45" s="1153"/>
      <c r="ET45" s="1153"/>
      <c r="EU45" s="1153"/>
      <c r="EV45" s="1153"/>
      <c r="EW45" s="1153"/>
      <c r="EX45" s="1153"/>
      <c r="EY45" s="1153"/>
      <c r="EZ45" s="1153"/>
    </row>
    <row r="46" spans="3:191" ht="12" customHeight="1">
      <c r="C46" s="168"/>
      <c r="D46" s="205" t="s">
        <v>285</v>
      </c>
      <c r="E46" s="205"/>
      <c r="F46" s="205"/>
      <c r="G46" s="205"/>
      <c r="H46" s="205"/>
      <c r="I46" s="205"/>
      <c r="J46" s="214" t="s">
        <v>280</v>
      </c>
      <c r="K46" s="207"/>
      <c r="L46" s="207"/>
      <c r="M46" s="207"/>
      <c r="N46" s="207"/>
      <c r="O46" s="207"/>
      <c r="P46" s="207"/>
      <c r="Q46" s="207"/>
      <c r="R46" s="207"/>
      <c r="S46" s="207"/>
      <c r="T46" s="207"/>
      <c r="U46" s="207"/>
      <c r="V46" s="207"/>
      <c r="W46" s="207"/>
      <c r="X46" s="207"/>
      <c r="Y46" s="207"/>
      <c r="Z46" s="207"/>
      <c r="AA46" s="215"/>
      <c r="AB46" s="179" t="s">
        <v>217</v>
      </c>
      <c r="AC46" s="205" t="s">
        <v>286</v>
      </c>
      <c r="AD46" s="205"/>
      <c r="AE46" s="205"/>
      <c r="AF46" s="205"/>
      <c r="AG46" s="205"/>
      <c r="AH46" s="485"/>
      <c r="AI46" s="214" t="s">
        <v>280</v>
      </c>
      <c r="AJ46" s="207"/>
      <c r="AK46" s="207"/>
      <c r="AL46" s="207"/>
      <c r="AM46" s="207"/>
      <c r="AN46" s="207"/>
      <c r="AO46" s="207"/>
      <c r="AP46" s="207"/>
      <c r="AQ46" s="207"/>
      <c r="AR46" s="207"/>
      <c r="AS46" s="207"/>
      <c r="AT46" s="207"/>
      <c r="AU46" s="207"/>
      <c r="AV46" s="207"/>
      <c r="AW46" s="207"/>
      <c r="AX46" s="207"/>
      <c r="AY46" s="207"/>
      <c r="AZ46" s="215"/>
      <c r="BA46" s="179" t="s">
        <v>217</v>
      </c>
      <c r="DF46" s="483" t="s">
        <v>287</v>
      </c>
      <c r="DV46" s="443" t="s">
        <v>235</v>
      </c>
    </row>
    <row r="47" spans="3:191" ht="12" customHeight="1">
      <c r="C47" s="168"/>
      <c r="Q47" s="24"/>
      <c r="AC47" s="205" t="s">
        <v>288</v>
      </c>
      <c r="AD47" s="205"/>
      <c r="AE47" s="205"/>
      <c r="AF47" s="205"/>
      <c r="AG47" s="205"/>
      <c r="AH47" s="485"/>
      <c r="AI47" s="214" t="s">
        <v>280</v>
      </c>
      <c r="AJ47" s="207"/>
      <c r="AK47" s="207"/>
      <c r="AL47" s="207"/>
      <c r="AM47" s="207"/>
      <c r="AN47" s="207"/>
      <c r="AO47" s="207"/>
      <c r="AP47" s="207"/>
      <c r="AQ47" s="207"/>
      <c r="AR47" s="207"/>
      <c r="AS47" s="207"/>
      <c r="AT47" s="207"/>
      <c r="AU47" s="207"/>
      <c r="AV47" s="207"/>
      <c r="AW47" s="207"/>
      <c r="AX47" s="207"/>
      <c r="AY47" s="207"/>
      <c r="AZ47" s="215"/>
      <c r="BA47" s="179" t="s">
        <v>217</v>
      </c>
    </row>
    <row r="48" spans="3:191" ht="12" customHeight="1">
      <c r="C48" s="168"/>
    </row>
    <row r="49" spans="3:176" ht="12" customHeight="1">
      <c r="C49" s="172"/>
      <c r="D49" s="173"/>
      <c r="E49" s="173"/>
      <c r="F49" s="173"/>
      <c r="G49" s="173"/>
      <c r="H49" s="173"/>
      <c r="I49" s="173"/>
      <c r="J49" s="173"/>
      <c r="K49" s="173"/>
      <c r="L49" s="173"/>
      <c r="M49" s="173"/>
      <c r="N49" s="173"/>
      <c r="O49" s="173"/>
      <c r="P49" s="173"/>
      <c r="Q49" s="174"/>
      <c r="R49" s="173"/>
      <c r="S49" s="173"/>
      <c r="T49" s="173"/>
      <c r="U49" s="173"/>
      <c r="V49" s="173"/>
      <c r="W49" s="173"/>
      <c r="X49" s="173"/>
      <c r="Y49" s="173"/>
      <c r="Z49" s="173"/>
      <c r="AA49" s="173"/>
      <c r="AB49" s="173"/>
      <c r="AC49" s="173"/>
      <c r="AD49" s="173"/>
      <c r="AE49" s="173"/>
      <c r="AF49" s="173"/>
      <c r="AG49" s="173"/>
      <c r="AH49" s="173"/>
      <c r="AI49" s="173"/>
      <c r="AJ49" s="173"/>
      <c r="AK49" s="173"/>
      <c r="AL49" s="173"/>
      <c r="AM49" s="173"/>
      <c r="AN49" s="173"/>
      <c r="AO49" s="173"/>
      <c r="AP49" s="173"/>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DE49" s="1153" t="s">
        <v>289</v>
      </c>
      <c r="DF49" s="1153"/>
      <c r="DG49" s="1153"/>
      <c r="DH49" s="1153"/>
      <c r="DI49" s="1153"/>
      <c r="DJ49" s="1153"/>
      <c r="DK49" s="1153"/>
      <c r="DL49" s="1153"/>
      <c r="DM49" s="1153"/>
      <c r="DN49" s="1153"/>
      <c r="DO49" s="1153"/>
      <c r="DP49" s="1153"/>
      <c r="DQ49" s="1153"/>
      <c r="DR49" s="1153"/>
      <c r="DS49" s="1153"/>
      <c r="DT49" s="1153"/>
      <c r="DU49" s="1153"/>
      <c r="DV49" s="1153"/>
      <c r="DW49" s="1153"/>
      <c r="DX49" s="1153"/>
      <c r="DY49" s="1153"/>
      <c r="DZ49" s="1153"/>
      <c r="EA49" s="1153"/>
      <c r="EB49" s="1153"/>
      <c r="EC49" s="1153"/>
      <c r="ED49" s="1153"/>
      <c r="EE49" s="1153"/>
      <c r="EF49" s="1153"/>
      <c r="EG49" s="1153"/>
      <c r="EH49" s="1153"/>
      <c r="EI49" s="1153"/>
      <c r="EJ49" s="1153"/>
      <c r="EK49" s="1153"/>
      <c r="EL49" s="1153"/>
      <c r="EM49" s="1153"/>
      <c r="EN49" s="1153"/>
      <c r="EO49" s="1153"/>
      <c r="EP49" s="1153"/>
      <c r="EQ49" s="1153"/>
      <c r="ER49" s="1153"/>
      <c r="ES49" s="1153"/>
      <c r="ET49" s="1153"/>
      <c r="EU49" s="1153"/>
      <c r="EV49" s="1153"/>
      <c r="EW49" s="1153"/>
      <c r="EX49" s="1153"/>
      <c r="EY49" s="1153"/>
      <c r="EZ49" s="1153"/>
      <c r="FA49" s="1153"/>
      <c r="FB49" s="1153"/>
      <c r="FC49" s="1153"/>
      <c r="FD49" s="1153"/>
      <c r="FE49" s="1153"/>
      <c r="FF49" s="1153"/>
      <c r="FG49" s="1153"/>
      <c r="FH49" s="1153"/>
      <c r="FI49" s="1153"/>
      <c r="FJ49" s="1153"/>
      <c r="FK49" s="1153"/>
      <c r="FL49" s="1153"/>
      <c r="FM49" s="1153"/>
      <c r="FN49" s="1153"/>
      <c r="FO49" s="1153"/>
      <c r="FP49" s="1153"/>
      <c r="FQ49" s="1153"/>
      <c r="FR49" s="1153"/>
      <c r="FS49" s="1153"/>
      <c r="FT49" s="1153"/>
    </row>
    <row r="50" spans="3:176" ht="12" customHeight="1">
      <c r="C50" s="168"/>
      <c r="DF50" s="483" t="s">
        <v>290</v>
      </c>
      <c r="DU50" s="443" t="s">
        <v>235</v>
      </c>
    </row>
    <row r="51" spans="3:176" ht="12" customHeight="1">
      <c r="C51" s="168"/>
      <c r="D51" s="447" t="s">
        <v>291</v>
      </c>
      <c r="E51" s="292"/>
      <c r="F51" s="1161" t="s">
        <v>292</v>
      </c>
      <c r="G51" s="1161"/>
      <c r="H51" s="1161"/>
      <c r="I51" s="1162" t="s">
        <v>293</v>
      </c>
      <c r="J51" s="1161"/>
      <c r="K51" s="1161"/>
      <c r="L51" s="1161"/>
      <c r="M51" s="1161"/>
      <c r="N51" s="1161"/>
      <c r="O51" s="1162" t="s">
        <v>294</v>
      </c>
      <c r="P51" s="1161"/>
      <c r="Q51" s="1161"/>
      <c r="R51" s="1163"/>
      <c r="S51" s="1162" t="s">
        <v>295</v>
      </c>
      <c r="T51" s="1161"/>
      <c r="U51" s="1161"/>
      <c r="V51" s="1161"/>
      <c r="W51" s="1163"/>
      <c r="X51" s="1131" t="s">
        <v>222</v>
      </c>
      <c r="Y51" s="1134"/>
      <c r="Z51" s="1134"/>
      <c r="AA51" s="1134"/>
      <c r="AB51" s="1131" t="s">
        <v>296</v>
      </c>
      <c r="AC51" s="1134"/>
      <c r="AD51" s="1134"/>
      <c r="AE51" s="1134"/>
      <c r="AF51" s="1164"/>
      <c r="AG51" s="1134" t="s">
        <v>297</v>
      </c>
      <c r="AH51" s="1134"/>
      <c r="AI51" s="1134"/>
      <c r="AJ51" s="1134"/>
      <c r="AK51" s="1134"/>
      <c r="AL51" s="1134"/>
      <c r="AM51" s="1134"/>
      <c r="AN51" s="1134"/>
      <c r="AO51" s="1134"/>
      <c r="AP51" s="1134"/>
      <c r="AQ51" s="1164"/>
      <c r="AR51" s="1166" t="s">
        <v>298</v>
      </c>
      <c r="AS51" s="1168" t="s">
        <v>299</v>
      </c>
      <c r="AT51" s="1169"/>
      <c r="AU51" s="1169"/>
      <c r="AV51" s="1169"/>
      <c r="AW51" s="1169"/>
      <c r="AX51" s="1169"/>
      <c r="AY51" s="1169"/>
      <c r="AZ51" s="1169"/>
      <c r="BA51" s="1169"/>
      <c r="BB51" s="1170" t="s">
        <v>300</v>
      </c>
      <c r="BC51" s="1171"/>
      <c r="BD51" s="1171"/>
      <c r="BE51" s="1171"/>
      <c r="BF51" s="1171"/>
      <c r="BG51" s="1172"/>
      <c r="BH51" s="1134" t="s">
        <v>301</v>
      </c>
      <c r="BI51" s="1134"/>
      <c r="BJ51" s="1134"/>
      <c r="BK51" s="1164"/>
      <c r="BL51" s="1134" t="s">
        <v>302</v>
      </c>
      <c r="BM51" s="1164"/>
      <c r="BN51" s="1161" t="s">
        <v>303</v>
      </c>
      <c r="BO51" s="1161"/>
      <c r="BP51" s="1161"/>
      <c r="BQ51" s="1163"/>
      <c r="BR51" s="1131" t="s">
        <v>304</v>
      </c>
      <c r="BS51" s="1132"/>
      <c r="BT51" s="1133" t="s">
        <v>305</v>
      </c>
      <c r="BU51" s="1134"/>
      <c r="BV51" s="1134"/>
      <c r="BW51" s="1132"/>
      <c r="BX51" s="526" t="s">
        <v>819</v>
      </c>
      <c r="BY51" s="1131" t="s">
        <v>306</v>
      </c>
      <c r="BZ51" s="1134"/>
      <c r="CA51" s="1134"/>
      <c r="CB51" s="1134"/>
      <c r="CC51" s="1134"/>
      <c r="CD51" s="1134"/>
      <c r="CE51" s="1134"/>
      <c r="CF51" s="1134"/>
      <c r="CG51" s="1134"/>
      <c r="CH51" s="1134"/>
      <c r="CI51" s="1164"/>
      <c r="CJ51" s="1162" t="s">
        <v>307</v>
      </c>
      <c r="CK51" s="1161"/>
      <c r="CL51" s="1161"/>
      <c r="CM51" s="1161"/>
      <c r="CN51" s="1161"/>
      <c r="CO51" s="1177"/>
      <c r="CP51" s="447" t="s">
        <v>364</v>
      </c>
      <c r="CQ51" s="292"/>
    </row>
    <row r="52" spans="3:176" ht="12" customHeight="1">
      <c r="C52" s="168"/>
      <c r="D52" s="293"/>
      <c r="E52" s="295"/>
      <c r="F52" s="1154" t="s">
        <v>308</v>
      </c>
      <c r="G52" s="1154"/>
      <c r="H52" s="1154"/>
      <c r="I52" s="1155" t="s">
        <v>309</v>
      </c>
      <c r="J52" s="1156"/>
      <c r="K52" s="1156"/>
      <c r="L52" s="1156"/>
      <c r="M52" s="1156"/>
      <c r="N52" s="1156"/>
      <c r="O52" s="1155" t="s">
        <v>310</v>
      </c>
      <c r="P52" s="1156"/>
      <c r="Q52" s="1156"/>
      <c r="R52" s="1156"/>
      <c r="S52" s="1156"/>
      <c r="T52" s="1156"/>
      <c r="U52" s="1156"/>
      <c r="V52" s="1156"/>
      <c r="W52" s="1157"/>
      <c r="X52" s="1155" t="s">
        <v>311</v>
      </c>
      <c r="Y52" s="1156"/>
      <c r="Z52" s="1156"/>
      <c r="AA52" s="1156"/>
      <c r="AB52" s="1155" t="s">
        <v>312</v>
      </c>
      <c r="AC52" s="1156"/>
      <c r="AD52" s="1156"/>
      <c r="AE52" s="1156"/>
      <c r="AF52" s="1157"/>
      <c r="AG52" s="1154"/>
      <c r="AH52" s="1154"/>
      <c r="AI52" s="1154"/>
      <c r="AJ52" s="1154"/>
      <c r="AK52" s="1154"/>
      <c r="AL52" s="1154"/>
      <c r="AM52" s="1154"/>
      <c r="AN52" s="1154"/>
      <c r="AO52" s="1154"/>
      <c r="AP52" s="1154"/>
      <c r="AQ52" s="1165"/>
      <c r="AR52" s="1167"/>
      <c r="AS52" s="228" t="s">
        <v>313</v>
      </c>
      <c r="AT52" s="230"/>
      <c r="AU52" s="229"/>
      <c r="AV52" s="228" t="s">
        <v>314</v>
      </c>
      <c r="AW52" s="230"/>
      <c r="AX52" s="229"/>
      <c r="AY52" s="228" t="s">
        <v>315</v>
      </c>
      <c r="AZ52" s="230"/>
      <c r="BA52" s="230"/>
      <c r="BB52" s="1158" t="s">
        <v>316</v>
      </c>
      <c r="BC52" s="1159"/>
      <c r="BD52" s="1159"/>
      <c r="BE52" s="1159"/>
      <c r="BF52" s="1159"/>
      <c r="BG52" s="1160"/>
      <c r="BH52" s="1173"/>
      <c r="BI52" s="1173"/>
      <c r="BJ52" s="1173"/>
      <c r="BK52" s="1174"/>
      <c r="BL52" s="1154" t="s">
        <v>317</v>
      </c>
      <c r="BM52" s="1165"/>
      <c r="BN52" s="1178" t="s">
        <v>318</v>
      </c>
      <c r="BO52" s="1178"/>
      <c r="BP52" s="1178"/>
      <c r="BQ52" s="1179"/>
      <c r="BR52" s="1180" t="s">
        <v>317</v>
      </c>
      <c r="BS52" s="1181"/>
      <c r="BT52" s="488"/>
      <c r="BU52" s="502"/>
      <c r="BV52" s="502"/>
      <c r="BW52" s="489"/>
      <c r="BX52" s="527" t="s">
        <v>820</v>
      </c>
      <c r="BY52" s="1155" t="s">
        <v>319</v>
      </c>
      <c r="BZ52" s="1156"/>
      <c r="CA52" s="1156"/>
      <c r="CB52" s="1156"/>
      <c r="CC52" s="1156"/>
      <c r="CD52" s="1156"/>
      <c r="CE52" s="1156"/>
      <c r="CF52" s="1156"/>
      <c r="CG52" s="1156"/>
      <c r="CH52" s="1156"/>
      <c r="CI52" s="1157"/>
      <c r="CJ52" s="987" t="s">
        <v>320</v>
      </c>
      <c r="CK52" s="988"/>
      <c r="CL52" s="988"/>
      <c r="CM52" s="988"/>
      <c r="CN52" s="988"/>
      <c r="CO52" s="989"/>
      <c r="CP52" s="293"/>
      <c r="CQ52" s="295"/>
    </row>
    <row r="53" spans="3:176" ht="12" customHeight="1">
      <c r="C53" s="168"/>
      <c r="D53" s="995" t="s">
        <v>321</v>
      </c>
      <c r="E53" s="996"/>
      <c r="F53" s="1049" t="s">
        <v>322</v>
      </c>
      <c r="G53" s="1050"/>
      <c r="H53" s="1050"/>
      <c r="I53" s="1051" t="s">
        <v>323</v>
      </c>
      <c r="J53" s="1052"/>
      <c r="K53" s="1052"/>
      <c r="L53" s="1052"/>
      <c r="M53" s="1052"/>
      <c r="N53" s="1052"/>
      <c r="O53" s="1053" t="s">
        <v>324</v>
      </c>
      <c r="P53" s="1054"/>
      <c r="Q53" s="1054"/>
      <c r="R53" s="1055"/>
      <c r="S53" s="1053" t="s">
        <v>324</v>
      </c>
      <c r="T53" s="1054"/>
      <c r="U53" s="1054"/>
      <c r="V53" s="1054"/>
      <c r="W53" s="1056"/>
      <c r="X53" s="1005" t="s">
        <v>325</v>
      </c>
      <c r="Y53" s="1135"/>
      <c r="Z53" s="1135"/>
      <c r="AA53" s="1135"/>
      <c r="AB53" s="1136" t="s">
        <v>326</v>
      </c>
      <c r="AC53" s="1137"/>
      <c r="AD53" s="1137"/>
      <c r="AE53" s="1137"/>
      <c r="AF53" s="1138"/>
      <c r="AG53" s="1139" t="s">
        <v>327</v>
      </c>
      <c r="AH53" s="1139"/>
      <c r="AI53" s="1139"/>
      <c r="AJ53" s="1139"/>
      <c r="AK53" s="1139"/>
      <c r="AL53" s="1139"/>
      <c r="AM53" s="1139"/>
      <c r="AN53" s="1139"/>
      <c r="AO53" s="1139"/>
      <c r="AP53" s="1139"/>
      <c r="AQ53" s="1140"/>
      <c r="AR53" s="490" t="s">
        <v>247</v>
      </c>
      <c r="AS53" s="288" t="s">
        <v>328</v>
      </c>
      <c r="AT53" s="289"/>
      <c r="AU53" s="290"/>
      <c r="AV53" s="288" t="s">
        <v>328</v>
      </c>
      <c r="AW53" s="232"/>
      <c r="AX53" s="234"/>
      <c r="AY53" s="288" t="s">
        <v>328</v>
      </c>
      <c r="AZ53" s="232"/>
      <c r="BA53" s="232"/>
      <c r="BB53" s="1066" t="s">
        <v>329</v>
      </c>
      <c r="BC53" s="1067"/>
      <c r="BD53" s="1067"/>
      <c r="BE53" s="1067"/>
      <c r="BF53" s="1067"/>
      <c r="BG53" s="1068"/>
      <c r="BH53" s="1141">
        <v>9999999</v>
      </c>
      <c r="BI53" s="1141"/>
      <c r="BJ53" s="1141"/>
      <c r="BK53" s="1142"/>
      <c r="BL53" s="1010" t="s">
        <v>330</v>
      </c>
      <c r="BM53" s="1011"/>
      <c r="BN53" s="1008">
        <v>9999999</v>
      </c>
      <c r="BO53" s="1008"/>
      <c r="BP53" s="1008"/>
      <c r="BQ53" s="1009"/>
      <c r="BR53" s="1010" t="s">
        <v>330</v>
      </c>
      <c r="BS53" s="1011"/>
      <c r="BT53" s="1014">
        <v>9999999</v>
      </c>
      <c r="BU53" s="1014"/>
      <c r="BV53" s="1014"/>
      <c r="BW53" s="1015"/>
      <c r="BX53" s="1119" t="s">
        <v>401</v>
      </c>
      <c r="BY53" s="1019"/>
      <c r="BZ53" s="1020"/>
      <c r="CA53" s="1020"/>
      <c r="CB53" s="1020"/>
      <c r="CC53" s="1020"/>
      <c r="CD53" s="1020"/>
      <c r="CE53" s="1020"/>
      <c r="CF53" s="1020"/>
      <c r="CG53" s="1020"/>
      <c r="CH53" s="1020"/>
      <c r="CI53" s="1021"/>
      <c r="CJ53" s="232"/>
      <c r="CK53" s="232"/>
      <c r="CL53" s="232"/>
      <c r="CM53" s="232"/>
      <c r="CN53" s="232"/>
      <c r="CO53" s="234"/>
      <c r="CP53" s="995" t="s">
        <v>331</v>
      </c>
      <c r="CQ53" s="996"/>
    </row>
    <row r="54" spans="3:176" ht="12" customHeight="1">
      <c r="C54" s="168"/>
      <c r="D54" s="997"/>
      <c r="E54" s="998"/>
      <c r="F54" s="1111" t="s">
        <v>332</v>
      </c>
      <c r="G54" s="1112"/>
      <c r="H54" s="1112"/>
      <c r="I54" s="1051" t="s">
        <v>333</v>
      </c>
      <c r="J54" s="1052"/>
      <c r="K54" s="1052"/>
      <c r="L54" s="1052"/>
      <c r="M54" s="1052"/>
      <c r="N54" s="1052"/>
      <c r="O54" s="1053" t="s">
        <v>334</v>
      </c>
      <c r="P54" s="1054"/>
      <c r="Q54" s="1054"/>
      <c r="R54" s="1054"/>
      <c r="S54" s="1054"/>
      <c r="T54" s="1054"/>
      <c r="U54" s="1054"/>
      <c r="W54" s="491"/>
      <c r="X54" s="1057" t="s">
        <v>335</v>
      </c>
      <c r="Y54" s="1058"/>
      <c r="Z54" s="1058"/>
      <c r="AA54" s="1058"/>
      <c r="AB54" s="1113" t="s">
        <v>336</v>
      </c>
      <c r="AC54" s="1114"/>
      <c r="AD54" s="1114"/>
      <c r="AE54" s="1114"/>
      <c r="AF54" s="1115"/>
      <c r="AG54" s="1064"/>
      <c r="AH54" s="1064"/>
      <c r="AI54" s="1064"/>
      <c r="AJ54" s="1064"/>
      <c r="AK54" s="1064"/>
      <c r="AL54" s="1064"/>
      <c r="AM54" s="1064"/>
      <c r="AN54" s="1064"/>
      <c r="AO54" s="1064"/>
      <c r="AP54" s="1064"/>
      <c r="AQ54" s="1065"/>
      <c r="BB54" s="1066" t="s">
        <v>337</v>
      </c>
      <c r="BC54" s="1067"/>
      <c r="BD54" s="1067"/>
      <c r="BE54" s="1067"/>
      <c r="BF54" s="1067"/>
      <c r="BG54" s="1068"/>
      <c r="BH54" s="1117"/>
      <c r="BI54" s="1117"/>
      <c r="BJ54" s="1117"/>
      <c r="BK54" s="1118"/>
      <c r="BL54" s="1036"/>
      <c r="BM54" s="1037"/>
      <c r="BN54" s="1129">
        <v>9999999</v>
      </c>
      <c r="BO54" s="1129"/>
      <c r="BP54" s="1129"/>
      <c r="BQ54" s="1130"/>
      <c r="BR54" s="1036"/>
      <c r="BS54" s="1037"/>
      <c r="BT54" s="1038"/>
      <c r="BU54" s="1038"/>
      <c r="BV54" s="1038"/>
      <c r="BW54" s="1039"/>
      <c r="BX54" s="1120"/>
      <c r="BY54" s="1116"/>
      <c r="BZ54" s="1117"/>
      <c r="CA54" s="1117"/>
      <c r="CB54" s="1117"/>
      <c r="CC54" s="1117"/>
      <c r="CD54" s="1117"/>
      <c r="CE54" s="1117"/>
      <c r="CF54" s="1117"/>
      <c r="CG54" s="1117"/>
      <c r="CH54" s="1117"/>
      <c r="CI54" s="1118"/>
      <c r="CO54" s="223"/>
      <c r="CP54" s="997"/>
      <c r="CQ54" s="998"/>
      <c r="DF54" s="443" t="s">
        <v>338</v>
      </c>
    </row>
    <row r="55" spans="3:176" ht="12" customHeight="1">
      <c r="C55" s="168"/>
      <c r="D55" s="999">
        <v>2</v>
      </c>
      <c r="E55" s="1000"/>
      <c r="F55" s="1086" t="s">
        <v>322</v>
      </c>
      <c r="G55" s="1087"/>
      <c r="H55" s="1087"/>
      <c r="I55" s="1088" t="s">
        <v>323</v>
      </c>
      <c r="J55" s="1089"/>
      <c r="K55" s="1089"/>
      <c r="L55" s="1089"/>
      <c r="M55" s="1089"/>
      <c r="N55" s="1089"/>
      <c r="O55" s="1090" t="s">
        <v>324</v>
      </c>
      <c r="P55" s="1091"/>
      <c r="Q55" s="1091"/>
      <c r="R55" s="1092"/>
      <c r="S55" s="1090" t="s">
        <v>324</v>
      </c>
      <c r="T55" s="1091"/>
      <c r="U55" s="1091"/>
      <c r="V55" s="1091"/>
      <c r="W55" s="1093"/>
      <c r="X55" s="1094" t="s">
        <v>325</v>
      </c>
      <c r="Y55" s="1095"/>
      <c r="Z55" s="1095"/>
      <c r="AA55" s="1095"/>
      <c r="AB55" s="1126" t="s">
        <v>326</v>
      </c>
      <c r="AC55" s="1127"/>
      <c r="AD55" s="1127"/>
      <c r="AE55" s="1127"/>
      <c r="AF55" s="1128"/>
      <c r="AG55" s="1099" t="s">
        <v>327</v>
      </c>
      <c r="AH55" s="1099"/>
      <c r="AI55" s="1099"/>
      <c r="AJ55" s="1099"/>
      <c r="AK55" s="1099"/>
      <c r="AL55" s="1099"/>
      <c r="AM55" s="1099"/>
      <c r="AN55" s="1099"/>
      <c r="AO55" s="1099"/>
      <c r="AP55" s="1099"/>
      <c r="AQ55" s="1100"/>
      <c r="AR55" s="492" t="s">
        <v>247</v>
      </c>
      <c r="AS55" s="493" t="s">
        <v>328</v>
      </c>
      <c r="AT55" s="493"/>
      <c r="AU55" s="494"/>
      <c r="AV55" s="495" t="s">
        <v>328</v>
      </c>
      <c r="AW55" s="496"/>
      <c r="AX55" s="497"/>
      <c r="AY55" s="495" t="s">
        <v>328</v>
      </c>
      <c r="AZ55" s="496"/>
      <c r="BA55" s="496"/>
      <c r="BB55" s="1103" t="s">
        <v>329</v>
      </c>
      <c r="BC55" s="1104"/>
      <c r="BD55" s="1104"/>
      <c r="BE55" s="1104"/>
      <c r="BF55" s="1104"/>
      <c r="BG55" s="1105"/>
      <c r="BH55" s="1046">
        <v>9999999</v>
      </c>
      <c r="BI55" s="1046"/>
      <c r="BJ55" s="1046"/>
      <c r="BK55" s="1047"/>
      <c r="BL55" s="1048" t="s">
        <v>330</v>
      </c>
      <c r="BM55" s="1048"/>
      <c r="BN55" s="1022">
        <v>9999999</v>
      </c>
      <c r="BO55" s="1023"/>
      <c r="BP55" s="1023"/>
      <c r="BQ55" s="1024"/>
      <c r="BR55" s="1025" t="s">
        <v>330</v>
      </c>
      <c r="BS55" s="1026"/>
      <c r="BT55" s="1029">
        <v>9999999</v>
      </c>
      <c r="BU55" s="1029"/>
      <c r="BV55" s="1029"/>
      <c r="BW55" s="1030"/>
      <c r="BX55" s="1124" t="s">
        <v>401</v>
      </c>
      <c r="BY55" s="1033"/>
      <c r="BZ55" s="1034"/>
      <c r="CA55" s="1034"/>
      <c r="CB55" s="1034"/>
      <c r="CC55" s="1034"/>
      <c r="CD55" s="1034"/>
      <c r="CE55" s="1034"/>
      <c r="CF55" s="1034"/>
      <c r="CG55" s="1034"/>
      <c r="CH55" s="1034"/>
      <c r="CI55" s="1035"/>
      <c r="CJ55" s="496"/>
      <c r="CK55" s="496"/>
      <c r="CL55" s="496"/>
      <c r="CM55" s="496"/>
      <c r="CN55" s="496"/>
      <c r="CO55" s="497"/>
      <c r="CP55" s="999" t="s">
        <v>331</v>
      </c>
      <c r="CQ55" s="1000"/>
      <c r="DF55" s="443" t="s">
        <v>339</v>
      </c>
    </row>
    <row r="56" spans="3:176" ht="12" customHeight="1">
      <c r="C56" s="168"/>
      <c r="D56" s="1001"/>
      <c r="E56" s="1002"/>
      <c r="F56" s="1106" t="s">
        <v>332</v>
      </c>
      <c r="G56" s="1107"/>
      <c r="H56" s="1107"/>
      <c r="I56" s="1088" t="s">
        <v>333</v>
      </c>
      <c r="J56" s="1089"/>
      <c r="K56" s="1089"/>
      <c r="L56" s="1089"/>
      <c r="M56" s="1089"/>
      <c r="N56" s="1089"/>
      <c r="O56" s="1090" t="s">
        <v>334</v>
      </c>
      <c r="P56" s="1091"/>
      <c r="Q56" s="1091"/>
      <c r="R56" s="1091"/>
      <c r="S56" s="1091"/>
      <c r="T56" s="1091"/>
      <c r="U56" s="1091"/>
      <c r="V56" s="503"/>
      <c r="W56" s="498"/>
      <c r="X56" s="1094" t="s">
        <v>335</v>
      </c>
      <c r="Y56" s="1095"/>
      <c r="Z56" s="1095"/>
      <c r="AA56" s="1095"/>
      <c r="AB56" s="1108" t="s">
        <v>340</v>
      </c>
      <c r="AC56" s="1109"/>
      <c r="AD56" s="1109"/>
      <c r="AE56" s="1109"/>
      <c r="AF56" s="1110"/>
      <c r="AG56" s="1101"/>
      <c r="AH56" s="1101"/>
      <c r="AI56" s="1101"/>
      <c r="AJ56" s="1101"/>
      <c r="AK56" s="1101"/>
      <c r="AL56" s="1101"/>
      <c r="AM56" s="1101"/>
      <c r="AN56" s="1101"/>
      <c r="AO56" s="1101"/>
      <c r="AP56" s="1101"/>
      <c r="AQ56" s="1102"/>
      <c r="AR56" s="503"/>
      <c r="AS56" s="503"/>
      <c r="AT56" s="503"/>
      <c r="AU56" s="503"/>
      <c r="AV56" s="503"/>
      <c r="AW56" s="503"/>
      <c r="AX56" s="503"/>
      <c r="AY56" s="503"/>
      <c r="AZ56" s="503"/>
      <c r="BA56" s="503"/>
      <c r="BB56" s="1103" t="s">
        <v>337</v>
      </c>
      <c r="BC56" s="1104"/>
      <c r="BD56" s="1104"/>
      <c r="BE56" s="1104"/>
      <c r="BF56" s="1104"/>
      <c r="BG56" s="1105"/>
      <c r="BH56" s="1044"/>
      <c r="BI56" s="1044"/>
      <c r="BJ56" s="1044"/>
      <c r="BK56" s="1045"/>
      <c r="BL56" s="1027"/>
      <c r="BM56" s="1027"/>
      <c r="BN56" s="1121">
        <v>9999999</v>
      </c>
      <c r="BO56" s="1122"/>
      <c r="BP56" s="1122"/>
      <c r="BQ56" s="1123"/>
      <c r="BR56" s="1027"/>
      <c r="BS56" s="1028"/>
      <c r="BT56" s="1031"/>
      <c r="BU56" s="1031"/>
      <c r="BV56" s="1031"/>
      <c r="BW56" s="1032"/>
      <c r="BX56" s="1125"/>
      <c r="BY56" s="1043"/>
      <c r="BZ56" s="1044"/>
      <c r="CA56" s="1044"/>
      <c r="CB56" s="1044"/>
      <c r="CC56" s="1044"/>
      <c r="CD56" s="1044"/>
      <c r="CE56" s="1044"/>
      <c r="CF56" s="1044"/>
      <c r="CG56" s="1044"/>
      <c r="CH56" s="1044"/>
      <c r="CI56" s="1045"/>
      <c r="CJ56" s="503"/>
      <c r="CK56" s="503"/>
      <c r="CL56" s="503"/>
      <c r="CM56" s="503"/>
      <c r="CN56" s="503"/>
      <c r="CO56" s="504"/>
      <c r="CP56" s="1001"/>
      <c r="CQ56" s="1002"/>
      <c r="DG56" s="483" t="s">
        <v>341</v>
      </c>
      <c r="EG56" s="443" t="s">
        <v>235</v>
      </c>
    </row>
    <row r="57" spans="3:176" ht="12" customHeight="1">
      <c r="C57" s="168"/>
      <c r="D57" s="1003">
        <v>3</v>
      </c>
      <c r="E57" s="1004"/>
      <c r="F57" s="1049" t="s">
        <v>322</v>
      </c>
      <c r="G57" s="1050"/>
      <c r="H57" s="1050"/>
      <c r="I57" s="1051" t="s">
        <v>323</v>
      </c>
      <c r="J57" s="1052"/>
      <c r="K57" s="1052"/>
      <c r="L57" s="1052"/>
      <c r="M57" s="1052"/>
      <c r="N57" s="1052"/>
      <c r="O57" s="1053" t="s">
        <v>324</v>
      </c>
      <c r="P57" s="1054"/>
      <c r="Q57" s="1054"/>
      <c r="R57" s="1055"/>
      <c r="S57" s="1053" t="s">
        <v>324</v>
      </c>
      <c r="T57" s="1054"/>
      <c r="U57" s="1054"/>
      <c r="V57" s="1054"/>
      <c r="W57" s="1056"/>
      <c r="X57" s="1057" t="s">
        <v>325</v>
      </c>
      <c r="Y57" s="1058"/>
      <c r="Z57" s="1058"/>
      <c r="AA57" s="1058"/>
      <c r="AB57" s="1059" t="s">
        <v>326</v>
      </c>
      <c r="AC57" s="1060"/>
      <c r="AD57" s="1060"/>
      <c r="AE57" s="1060"/>
      <c r="AF57" s="1061"/>
      <c r="AG57" s="1062" t="s">
        <v>327</v>
      </c>
      <c r="AH57" s="1062"/>
      <c r="AI57" s="1062"/>
      <c r="AJ57" s="1062"/>
      <c r="AK57" s="1062"/>
      <c r="AL57" s="1062"/>
      <c r="AM57" s="1062"/>
      <c r="AN57" s="1062"/>
      <c r="AO57" s="1062"/>
      <c r="AP57" s="1062"/>
      <c r="AQ57" s="1063"/>
      <c r="AR57" s="499" t="s">
        <v>247</v>
      </c>
      <c r="AS57" s="289" t="s">
        <v>328</v>
      </c>
      <c r="AT57" s="289"/>
      <c r="AU57" s="290"/>
      <c r="AV57" s="288" t="s">
        <v>328</v>
      </c>
      <c r="AW57" s="232"/>
      <c r="AX57" s="234"/>
      <c r="AY57" s="288" t="s">
        <v>328</v>
      </c>
      <c r="AZ57" s="232"/>
      <c r="BA57" s="232"/>
      <c r="BB57" s="1066" t="s">
        <v>329</v>
      </c>
      <c r="BC57" s="1067"/>
      <c r="BD57" s="1067"/>
      <c r="BE57" s="1067"/>
      <c r="BF57" s="1067"/>
      <c r="BG57" s="1068"/>
      <c r="BH57" s="1084">
        <v>9999999</v>
      </c>
      <c r="BI57" s="1084"/>
      <c r="BJ57" s="1084"/>
      <c r="BK57" s="1085"/>
      <c r="BL57" s="1010" t="s">
        <v>330</v>
      </c>
      <c r="BM57" s="1010"/>
      <c r="BN57" s="1007">
        <v>9999999</v>
      </c>
      <c r="BO57" s="1008"/>
      <c r="BP57" s="1008"/>
      <c r="BQ57" s="1009"/>
      <c r="BR57" s="1010" t="s">
        <v>330</v>
      </c>
      <c r="BS57" s="1011"/>
      <c r="BT57" s="1014">
        <v>9999999</v>
      </c>
      <c r="BU57" s="1014"/>
      <c r="BV57" s="1014"/>
      <c r="BW57" s="1015"/>
      <c r="BX57" s="1119" t="s">
        <v>401</v>
      </c>
      <c r="BY57" s="1019"/>
      <c r="BZ57" s="1020"/>
      <c r="CA57" s="1020"/>
      <c r="CB57" s="1020"/>
      <c r="CC57" s="1020"/>
      <c r="CD57" s="1020"/>
      <c r="CE57" s="1020"/>
      <c r="CF57" s="1020"/>
      <c r="CG57" s="1020"/>
      <c r="CH57" s="1020"/>
      <c r="CI57" s="1021"/>
      <c r="CJ57" s="232"/>
      <c r="CK57" s="232"/>
      <c r="CL57" s="232"/>
      <c r="CM57" s="232"/>
      <c r="CN57" s="232"/>
      <c r="CO57" s="234"/>
      <c r="CP57" s="1003" t="s">
        <v>331</v>
      </c>
      <c r="CQ57" s="1004"/>
      <c r="DG57" s="483" t="s">
        <v>342</v>
      </c>
    </row>
    <row r="58" spans="3:176" ht="12" customHeight="1">
      <c r="C58" s="168"/>
      <c r="D58" s="997"/>
      <c r="E58" s="998"/>
      <c r="F58" s="1111" t="s">
        <v>332</v>
      </c>
      <c r="G58" s="1112"/>
      <c r="H58" s="1112"/>
      <c r="I58" s="1051" t="s">
        <v>333</v>
      </c>
      <c r="J58" s="1052"/>
      <c r="K58" s="1052"/>
      <c r="L58" s="1052"/>
      <c r="M58" s="1052"/>
      <c r="N58" s="1052"/>
      <c r="O58" s="1053" t="s">
        <v>334</v>
      </c>
      <c r="P58" s="1054"/>
      <c r="Q58" s="1054"/>
      <c r="R58" s="1054"/>
      <c r="S58" s="1054"/>
      <c r="T58" s="1054"/>
      <c r="U58" s="1054"/>
      <c r="W58" s="491"/>
      <c r="X58" s="1057" t="s">
        <v>335</v>
      </c>
      <c r="Y58" s="1058"/>
      <c r="Z58" s="1058"/>
      <c r="AA58" s="1058"/>
      <c r="AB58" s="1113" t="s">
        <v>336</v>
      </c>
      <c r="AC58" s="1114"/>
      <c r="AD58" s="1114"/>
      <c r="AE58" s="1114"/>
      <c r="AF58" s="1115"/>
      <c r="AG58" s="1064"/>
      <c r="AH58" s="1064"/>
      <c r="AI58" s="1064"/>
      <c r="AJ58" s="1064"/>
      <c r="AK58" s="1064"/>
      <c r="AL58" s="1064"/>
      <c r="AM58" s="1064"/>
      <c r="AN58" s="1064"/>
      <c r="AO58" s="1064"/>
      <c r="AP58" s="1064"/>
      <c r="AQ58" s="1065"/>
      <c r="BB58" s="1066" t="s">
        <v>337</v>
      </c>
      <c r="BC58" s="1067"/>
      <c r="BD58" s="1067"/>
      <c r="BE58" s="1067"/>
      <c r="BF58" s="1067"/>
      <c r="BG58" s="1068"/>
      <c r="BH58" s="1117"/>
      <c r="BI58" s="1117"/>
      <c r="BJ58" s="1117"/>
      <c r="BK58" s="1118"/>
      <c r="BL58" s="1036"/>
      <c r="BM58" s="1036"/>
      <c r="BN58" s="1078">
        <v>9999999</v>
      </c>
      <c r="BO58" s="1079"/>
      <c r="BP58" s="1079"/>
      <c r="BQ58" s="1080"/>
      <c r="BR58" s="1036"/>
      <c r="BS58" s="1037"/>
      <c r="BT58" s="1038"/>
      <c r="BU58" s="1038"/>
      <c r="BV58" s="1038"/>
      <c r="BW58" s="1039"/>
      <c r="BX58" s="1120"/>
      <c r="BY58" s="1116"/>
      <c r="BZ58" s="1117"/>
      <c r="CA58" s="1117"/>
      <c r="CB58" s="1117"/>
      <c r="CC58" s="1117"/>
      <c r="CD58" s="1117"/>
      <c r="CE58" s="1117"/>
      <c r="CF58" s="1117"/>
      <c r="CG58" s="1117"/>
      <c r="CH58" s="1117"/>
      <c r="CI58" s="1118"/>
      <c r="CO58" s="223"/>
      <c r="CP58" s="997"/>
      <c r="CQ58" s="998"/>
    </row>
    <row r="59" spans="3:176" ht="12" customHeight="1">
      <c r="C59" s="168"/>
      <c r="D59" s="999">
        <v>4</v>
      </c>
      <c r="E59" s="1000"/>
      <c r="F59" s="1086" t="s">
        <v>322</v>
      </c>
      <c r="G59" s="1087"/>
      <c r="H59" s="1087"/>
      <c r="I59" s="1088" t="s">
        <v>323</v>
      </c>
      <c r="J59" s="1089"/>
      <c r="K59" s="1089"/>
      <c r="L59" s="1089"/>
      <c r="M59" s="1089"/>
      <c r="N59" s="1089"/>
      <c r="O59" s="1090" t="s">
        <v>324</v>
      </c>
      <c r="P59" s="1091"/>
      <c r="Q59" s="1091"/>
      <c r="R59" s="1092"/>
      <c r="S59" s="1090" t="s">
        <v>324</v>
      </c>
      <c r="T59" s="1091"/>
      <c r="U59" s="1091"/>
      <c r="V59" s="1091"/>
      <c r="W59" s="1093"/>
      <c r="X59" s="1094" t="s">
        <v>325</v>
      </c>
      <c r="Y59" s="1095"/>
      <c r="Z59" s="1095"/>
      <c r="AA59" s="1095"/>
      <c r="AB59" s="1096" t="s">
        <v>326</v>
      </c>
      <c r="AC59" s="1097"/>
      <c r="AD59" s="1097"/>
      <c r="AE59" s="1097"/>
      <c r="AF59" s="1098"/>
      <c r="AG59" s="1099" t="s">
        <v>327</v>
      </c>
      <c r="AH59" s="1099"/>
      <c r="AI59" s="1099"/>
      <c r="AJ59" s="1099"/>
      <c r="AK59" s="1099"/>
      <c r="AL59" s="1099"/>
      <c r="AM59" s="1099"/>
      <c r="AN59" s="1099"/>
      <c r="AO59" s="1099"/>
      <c r="AP59" s="1099"/>
      <c r="AQ59" s="1100"/>
      <c r="AR59" s="492" t="s">
        <v>247</v>
      </c>
      <c r="AS59" s="493" t="s">
        <v>328</v>
      </c>
      <c r="AT59" s="493"/>
      <c r="AU59" s="494"/>
      <c r="AV59" s="495" t="s">
        <v>328</v>
      </c>
      <c r="AW59" s="496"/>
      <c r="AX59" s="497"/>
      <c r="AY59" s="495" t="s">
        <v>328</v>
      </c>
      <c r="AZ59" s="496"/>
      <c r="BA59" s="496"/>
      <c r="BB59" s="1103" t="s">
        <v>329</v>
      </c>
      <c r="BC59" s="1104"/>
      <c r="BD59" s="1104"/>
      <c r="BE59" s="1104"/>
      <c r="BF59" s="1104"/>
      <c r="BG59" s="1105"/>
      <c r="BH59" s="1046">
        <v>9999999</v>
      </c>
      <c r="BI59" s="1046"/>
      <c r="BJ59" s="1046"/>
      <c r="BK59" s="1047"/>
      <c r="BL59" s="1048" t="s">
        <v>330</v>
      </c>
      <c r="BM59" s="1048"/>
      <c r="BN59" s="1022">
        <v>9999999</v>
      </c>
      <c r="BO59" s="1023"/>
      <c r="BP59" s="1023"/>
      <c r="BQ59" s="1024"/>
      <c r="BR59" s="1025" t="s">
        <v>330</v>
      </c>
      <c r="BS59" s="1026"/>
      <c r="BT59" s="1029">
        <v>9999999</v>
      </c>
      <c r="BU59" s="1029"/>
      <c r="BV59" s="1029"/>
      <c r="BW59" s="1030"/>
      <c r="BX59" s="1124" t="s">
        <v>401</v>
      </c>
      <c r="BY59" s="1033"/>
      <c r="BZ59" s="1034"/>
      <c r="CA59" s="1034"/>
      <c r="CB59" s="1034"/>
      <c r="CC59" s="1034"/>
      <c r="CD59" s="1034"/>
      <c r="CE59" s="1034"/>
      <c r="CF59" s="1034"/>
      <c r="CG59" s="1034"/>
      <c r="CH59" s="1034"/>
      <c r="CI59" s="1035"/>
      <c r="CJ59" s="496"/>
      <c r="CK59" s="496"/>
      <c r="CL59" s="496"/>
      <c r="CM59" s="496"/>
      <c r="CN59" s="496"/>
      <c r="CO59" s="497"/>
      <c r="CP59" s="999" t="s">
        <v>331</v>
      </c>
      <c r="CQ59" s="1000"/>
    </row>
    <row r="60" spans="3:176" ht="12" customHeight="1">
      <c r="C60" s="168"/>
      <c r="D60" s="1001"/>
      <c r="E60" s="1002"/>
      <c r="F60" s="1106" t="s">
        <v>332</v>
      </c>
      <c r="G60" s="1107"/>
      <c r="H60" s="1107"/>
      <c r="I60" s="1088" t="s">
        <v>333</v>
      </c>
      <c r="J60" s="1089"/>
      <c r="K60" s="1089"/>
      <c r="L60" s="1089"/>
      <c r="M60" s="1089"/>
      <c r="N60" s="1089"/>
      <c r="O60" s="1090" t="s">
        <v>334</v>
      </c>
      <c r="P60" s="1091"/>
      <c r="Q60" s="1091"/>
      <c r="R60" s="1091"/>
      <c r="S60" s="1091"/>
      <c r="T60" s="1091"/>
      <c r="U60" s="1091"/>
      <c r="V60" s="500"/>
      <c r="W60" s="501"/>
      <c r="X60" s="1094" t="s">
        <v>335</v>
      </c>
      <c r="Y60" s="1095"/>
      <c r="Z60" s="1095"/>
      <c r="AA60" s="1095"/>
      <c r="AB60" s="1108" t="s">
        <v>340</v>
      </c>
      <c r="AC60" s="1109"/>
      <c r="AD60" s="1109"/>
      <c r="AE60" s="1109"/>
      <c r="AF60" s="1110"/>
      <c r="AG60" s="1101"/>
      <c r="AH60" s="1101"/>
      <c r="AI60" s="1101"/>
      <c r="AJ60" s="1101"/>
      <c r="AK60" s="1101"/>
      <c r="AL60" s="1101"/>
      <c r="AM60" s="1101"/>
      <c r="AN60" s="1101"/>
      <c r="AO60" s="1101"/>
      <c r="AP60" s="1101"/>
      <c r="AQ60" s="1102"/>
      <c r="AR60" s="503"/>
      <c r="AS60" s="503"/>
      <c r="AT60" s="503"/>
      <c r="AU60" s="503"/>
      <c r="AV60" s="503"/>
      <c r="AW60" s="503"/>
      <c r="AX60" s="503"/>
      <c r="AY60" s="503"/>
      <c r="AZ60" s="503"/>
      <c r="BA60" s="503"/>
      <c r="BB60" s="1103" t="s">
        <v>337</v>
      </c>
      <c r="BC60" s="1104"/>
      <c r="BD60" s="1104"/>
      <c r="BE60" s="1104"/>
      <c r="BF60" s="1104"/>
      <c r="BG60" s="1105"/>
      <c r="BH60" s="1044"/>
      <c r="BI60" s="1044"/>
      <c r="BJ60" s="1044"/>
      <c r="BK60" s="1045"/>
      <c r="BL60" s="1027"/>
      <c r="BM60" s="1027"/>
      <c r="BN60" s="1040">
        <v>9999999</v>
      </c>
      <c r="BO60" s="1041"/>
      <c r="BP60" s="1041"/>
      <c r="BQ60" s="1042"/>
      <c r="BR60" s="1027"/>
      <c r="BS60" s="1028"/>
      <c r="BT60" s="1031"/>
      <c r="BU60" s="1031"/>
      <c r="BV60" s="1031"/>
      <c r="BW60" s="1032"/>
      <c r="BX60" s="1125"/>
      <c r="BY60" s="1043"/>
      <c r="BZ60" s="1044"/>
      <c r="CA60" s="1044"/>
      <c r="CB60" s="1044"/>
      <c r="CC60" s="1044"/>
      <c r="CD60" s="1044"/>
      <c r="CE60" s="1044"/>
      <c r="CF60" s="1044"/>
      <c r="CG60" s="1044"/>
      <c r="CH60" s="1044"/>
      <c r="CI60" s="1045"/>
      <c r="CJ60" s="503"/>
      <c r="CK60" s="503"/>
      <c r="CL60" s="503"/>
      <c r="CM60" s="503"/>
      <c r="CN60" s="503"/>
      <c r="CO60" s="504"/>
      <c r="CP60" s="1001"/>
      <c r="CQ60" s="1002"/>
      <c r="DF60" s="483"/>
    </row>
    <row r="61" spans="3:176" ht="12" customHeight="1">
      <c r="C61" s="168"/>
      <c r="D61" s="1003">
        <v>5</v>
      </c>
      <c r="E61" s="1004"/>
      <c r="F61" s="1049" t="s">
        <v>322</v>
      </c>
      <c r="G61" s="1050"/>
      <c r="H61" s="1050"/>
      <c r="I61" s="1051" t="s">
        <v>323</v>
      </c>
      <c r="J61" s="1052"/>
      <c r="K61" s="1052"/>
      <c r="L61" s="1052"/>
      <c r="M61" s="1052"/>
      <c r="N61" s="1052"/>
      <c r="O61" s="1053" t="s">
        <v>324</v>
      </c>
      <c r="P61" s="1054"/>
      <c r="Q61" s="1054"/>
      <c r="R61" s="1055"/>
      <c r="S61" s="1053" t="s">
        <v>324</v>
      </c>
      <c r="T61" s="1054"/>
      <c r="U61" s="1054"/>
      <c r="V61" s="1054"/>
      <c r="W61" s="1056"/>
      <c r="X61" s="1057" t="s">
        <v>325</v>
      </c>
      <c r="Y61" s="1058"/>
      <c r="Z61" s="1058"/>
      <c r="AA61" s="1058"/>
      <c r="AB61" s="1059" t="s">
        <v>326</v>
      </c>
      <c r="AC61" s="1060"/>
      <c r="AD61" s="1060"/>
      <c r="AE61" s="1060"/>
      <c r="AF61" s="1061"/>
      <c r="AG61" s="1062" t="s">
        <v>327</v>
      </c>
      <c r="AH61" s="1062"/>
      <c r="AI61" s="1062"/>
      <c r="AJ61" s="1062"/>
      <c r="AK61" s="1062"/>
      <c r="AL61" s="1062"/>
      <c r="AM61" s="1062"/>
      <c r="AN61" s="1062"/>
      <c r="AO61" s="1062"/>
      <c r="AP61" s="1062"/>
      <c r="AQ61" s="1063"/>
      <c r="AR61" s="499" t="s">
        <v>247</v>
      </c>
      <c r="AS61" s="289" t="s">
        <v>328</v>
      </c>
      <c r="AT61" s="289"/>
      <c r="AU61" s="290"/>
      <c r="AV61" s="288" t="s">
        <v>328</v>
      </c>
      <c r="AW61" s="232"/>
      <c r="AX61" s="234"/>
      <c r="AY61" s="288" t="s">
        <v>328</v>
      </c>
      <c r="AZ61" s="232"/>
      <c r="BA61" s="232"/>
      <c r="BB61" s="1066" t="s">
        <v>329</v>
      </c>
      <c r="BC61" s="1067"/>
      <c r="BD61" s="1067"/>
      <c r="BE61" s="1067"/>
      <c r="BF61" s="1067"/>
      <c r="BG61" s="1068"/>
      <c r="BH61" s="1084">
        <v>9999999</v>
      </c>
      <c r="BI61" s="1084"/>
      <c r="BJ61" s="1084"/>
      <c r="BK61" s="1085"/>
      <c r="BL61" s="1010" t="s">
        <v>330</v>
      </c>
      <c r="BM61" s="1010"/>
      <c r="BN61" s="1007">
        <v>9999999</v>
      </c>
      <c r="BO61" s="1008"/>
      <c r="BP61" s="1008"/>
      <c r="BQ61" s="1009"/>
      <c r="BR61" s="1010" t="s">
        <v>330</v>
      </c>
      <c r="BS61" s="1011"/>
      <c r="BT61" s="1014">
        <v>9999999</v>
      </c>
      <c r="BU61" s="1014"/>
      <c r="BV61" s="1014"/>
      <c r="BW61" s="1015"/>
      <c r="BX61" s="1119" t="s">
        <v>401</v>
      </c>
      <c r="BY61" s="1019"/>
      <c r="BZ61" s="1020"/>
      <c r="CA61" s="1020"/>
      <c r="CB61" s="1020"/>
      <c r="CC61" s="1020"/>
      <c r="CD61" s="1020"/>
      <c r="CE61" s="1020"/>
      <c r="CF61" s="1020"/>
      <c r="CG61" s="1020"/>
      <c r="CH61" s="1020"/>
      <c r="CI61" s="1021"/>
      <c r="CJ61" s="232"/>
      <c r="CK61" s="232"/>
      <c r="CL61" s="232"/>
      <c r="CM61" s="232"/>
      <c r="CN61" s="232"/>
      <c r="CO61" s="234"/>
      <c r="CP61" s="1003" t="s">
        <v>331</v>
      </c>
      <c r="CQ61" s="1004"/>
    </row>
    <row r="62" spans="3:176" ht="12" customHeight="1">
      <c r="C62" s="168"/>
      <c r="D62" s="1005"/>
      <c r="E62" s="1006"/>
      <c r="F62" s="1069" t="s">
        <v>332</v>
      </c>
      <c r="G62" s="1070"/>
      <c r="H62" s="1070"/>
      <c r="I62" s="1071" t="s">
        <v>333</v>
      </c>
      <c r="J62" s="1072"/>
      <c r="K62" s="1072"/>
      <c r="L62" s="1072"/>
      <c r="M62" s="1072"/>
      <c r="N62" s="1072"/>
      <c r="O62" s="1073" t="s">
        <v>334</v>
      </c>
      <c r="P62" s="1074"/>
      <c r="Q62" s="1074"/>
      <c r="R62" s="1074"/>
      <c r="S62" s="1074"/>
      <c r="T62" s="1074"/>
      <c r="U62" s="1074"/>
      <c r="V62" s="173"/>
      <c r="W62" s="505"/>
      <c r="X62" s="1057" t="s">
        <v>335</v>
      </c>
      <c r="Y62" s="1058"/>
      <c r="Z62" s="1058"/>
      <c r="AA62" s="1058"/>
      <c r="AB62" s="1075" t="s">
        <v>343</v>
      </c>
      <c r="AC62" s="1076"/>
      <c r="AD62" s="1076"/>
      <c r="AE62" s="1076"/>
      <c r="AF62" s="1077"/>
      <c r="AG62" s="1064"/>
      <c r="AH62" s="1064"/>
      <c r="AI62" s="1064"/>
      <c r="AJ62" s="1064"/>
      <c r="AK62" s="1064"/>
      <c r="AL62" s="1064"/>
      <c r="AM62" s="1064"/>
      <c r="AN62" s="1064"/>
      <c r="AO62" s="1064"/>
      <c r="AP62" s="1064"/>
      <c r="AQ62" s="1065"/>
      <c r="AR62" s="173"/>
      <c r="AS62" s="173"/>
      <c r="AT62" s="173"/>
      <c r="AU62" s="173"/>
      <c r="AV62" s="173"/>
      <c r="AW62" s="173"/>
      <c r="AX62" s="173"/>
      <c r="AY62" s="173"/>
      <c r="AZ62" s="173"/>
      <c r="BA62" s="173"/>
      <c r="BB62" s="1075" t="s">
        <v>337</v>
      </c>
      <c r="BC62" s="1076"/>
      <c r="BD62" s="1076"/>
      <c r="BE62" s="1076"/>
      <c r="BF62" s="1076"/>
      <c r="BG62" s="1077"/>
      <c r="BH62" s="1082"/>
      <c r="BI62" s="1082"/>
      <c r="BJ62" s="1082"/>
      <c r="BK62" s="1083"/>
      <c r="BL62" s="1012"/>
      <c r="BM62" s="1012"/>
      <c r="BN62" s="1078">
        <v>9999999</v>
      </c>
      <c r="BO62" s="1079"/>
      <c r="BP62" s="1079"/>
      <c r="BQ62" s="1080"/>
      <c r="BR62" s="1012"/>
      <c r="BS62" s="1013"/>
      <c r="BT62" s="1016"/>
      <c r="BU62" s="1017"/>
      <c r="BV62" s="1017"/>
      <c r="BW62" s="1018"/>
      <c r="BX62" s="1120"/>
      <c r="BY62" s="1081"/>
      <c r="BZ62" s="1082"/>
      <c r="CA62" s="1082"/>
      <c r="CB62" s="1082"/>
      <c r="CC62" s="1082"/>
      <c r="CD62" s="1082"/>
      <c r="CE62" s="1082"/>
      <c r="CF62" s="1082"/>
      <c r="CG62" s="1082"/>
      <c r="CH62" s="1082"/>
      <c r="CI62" s="1083"/>
      <c r="CJ62" s="173"/>
      <c r="CK62" s="173"/>
      <c r="CL62" s="173"/>
      <c r="CM62" s="173"/>
      <c r="CN62" s="173"/>
      <c r="CO62" s="506"/>
      <c r="CP62" s="1005"/>
      <c r="CQ62" s="1006"/>
    </row>
    <row r="63" spans="3:176" ht="12" customHeight="1">
      <c r="C63" s="168"/>
      <c r="D63" s="317" t="s">
        <v>344</v>
      </c>
      <c r="E63" s="317"/>
      <c r="F63" s="317"/>
      <c r="G63" s="317"/>
      <c r="H63" s="317"/>
      <c r="I63" s="317"/>
      <c r="J63" s="317"/>
      <c r="K63" s="317"/>
      <c r="L63" s="317"/>
      <c r="M63" s="317"/>
      <c r="N63" s="317"/>
      <c r="O63" s="317"/>
      <c r="P63" s="317"/>
      <c r="Q63" s="317"/>
      <c r="R63" s="317"/>
      <c r="S63" s="317"/>
      <c r="T63" s="317"/>
      <c r="U63" s="317"/>
      <c r="V63" s="317"/>
      <c r="W63" s="317"/>
      <c r="X63" s="317"/>
      <c r="Y63" s="317"/>
      <c r="Z63" s="317"/>
      <c r="AA63" s="317"/>
      <c r="AB63" s="317"/>
      <c r="AC63" s="317"/>
      <c r="AD63" s="317"/>
      <c r="AE63" s="317"/>
      <c r="AF63" s="317"/>
      <c r="AG63" s="317"/>
      <c r="AH63" s="317"/>
      <c r="AI63" s="317"/>
      <c r="AJ63" s="317"/>
      <c r="AK63" s="317"/>
      <c r="AL63" s="317"/>
      <c r="AM63" s="317"/>
      <c r="AN63" s="317"/>
      <c r="AO63" s="317"/>
      <c r="AP63" s="317"/>
      <c r="AQ63" s="317"/>
      <c r="AR63" s="317"/>
      <c r="AS63" s="317"/>
      <c r="AT63" s="317"/>
      <c r="AU63" s="317"/>
      <c r="AV63" s="317"/>
      <c r="AW63" s="317"/>
      <c r="AX63" s="317"/>
      <c r="AY63" s="317"/>
      <c r="AZ63" s="317"/>
      <c r="BA63" s="317"/>
      <c r="BB63" s="317"/>
      <c r="BC63" s="317"/>
      <c r="BD63" s="317"/>
      <c r="BE63" s="317"/>
      <c r="BF63" s="317"/>
      <c r="BG63" s="317"/>
      <c r="BH63" s="317"/>
      <c r="BI63" s="317"/>
      <c r="BJ63" s="317"/>
      <c r="BK63" s="317"/>
      <c r="BL63" s="317"/>
      <c r="BM63" s="317"/>
      <c r="BN63" s="317"/>
      <c r="BO63" s="317"/>
      <c r="BP63" s="317"/>
      <c r="BQ63" s="317"/>
      <c r="BR63" s="317"/>
      <c r="BS63" s="317"/>
      <c r="BT63" s="317"/>
      <c r="BU63" s="317"/>
      <c r="BV63" s="317"/>
      <c r="BW63" s="317"/>
      <c r="BX63" s="317"/>
      <c r="BY63" s="317"/>
      <c r="BZ63" s="317"/>
      <c r="CA63" s="317"/>
      <c r="CB63" s="317"/>
      <c r="CC63" s="317"/>
      <c r="CD63" s="317"/>
      <c r="CE63" s="317"/>
      <c r="CF63" s="317"/>
      <c r="CG63" s="317"/>
      <c r="CH63" s="317"/>
      <c r="CI63" s="317"/>
      <c r="CJ63" s="317"/>
      <c r="CK63" s="317"/>
      <c r="CL63" s="317"/>
      <c r="CM63" s="317"/>
      <c r="CN63" s="317"/>
      <c r="CO63" s="317"/>
      <c r="CP63" s="317"/>
      <c r="CQ63" s="318" t="s">
        <v>345</v>
      </c>
    </row>
    <row r="64" spans="3:176" ht="12" customHeight="1">
      <c r="C64" s="168"/>
      <c r="AG64" s="443" t="s">
        <v>346</v>
      </c>
    </row>
    <row r="65" spans="3:146" ht="12" customHeight="1">
      <c r="C65" s="168"/>
      <c r="AG65" s="443" t="s">
        <v>347</v>
      </c>
    </row>
    <row r="66" spans="3:146" ht="12" customHeight="1">
      <c r="C66" s="168"/>
      <c r="AG66" s="443" t="s">
        <v>348</v>
      </c>
    </row>
    <row r="67" spans="3:146" ht="12" customHeight="1">
      <c r="C67" s="168"/>
    </row>
    <row r="68" spans="3:146" ht="12" hidden="1" customHeight="1">
      <c r="C68" s="168"/>
    </row>
    <row r="69" spans="3:146" ht="12" hidden="1" customHeight="1">
      <c r="C69" s="168"/>
      <c r="D69" s="447" t="s">
        <v>349</v>
      </c>
      <c r="E69" s="291"/>
      <c r="F69" s="447" t="s">
        <v>350</v>
      </c>
      <c r="G69" s="296"/>
      <c r="H69" s="291" t="s">
        <v>351</v>
      </c>
      <c r="I69" s="291"/>
      <c r="J69" s="292"/>
      <c r="K69" s="447" t="s">
        <v>195</v>
      </c>
      <c r="L69" s="291"/>
      <c r="M69" s="292"/>
      <c r="N69" s="291" t="s">
        <v>352</v>
      </c>
      <c r="O69" s="291"/>
      <c r="P69" s="291"/>
      <c r="Q69" s="292"/>
      <c r="R69" s="447" t="s">
        <v>353</v>
      </c>
      <c r="S69" s="291"/>
      <c r="T69" s="291"/>
      <c r="U69" s="291"/>
      <c r="V69" s="291"/>
      <c r="W69" s="447" t="s">
        <v>354</v>
      </c>
      <c r="X69" s="291"/>
      <c r="Y69" s="291"/>
      <c r="Z69" s="291" t="s">
        <v>355</v>
      </c>
      <c r="AA69" s="291"/>
      <c r="AB69" s="291"/>
      <c r="AC69" s="291" t="s">
        <v>356</v>
      </c>
      <c r="AD69" s="291"/>
      <c r="AE69" s="292"/>
      <c r="AF69" s="447" t="s">
        <v>296</v>
      </c>
      <c r="AG69" s="291"/>
      <c r="AH69" s="291"/>
      <c r="AI69" s="291"/>
      <c r="AJ69" s="292"/>
      <c r="AK69" s="447" t="s">
        <v>357</v>
      </c>
      <c r="AL69" s="291"/>
      <c r="AM69" s="291"/>
      <c r="AN69" s="291"/>
      <c r="AO69" s="291"/>
      <c r="AP69" s="291"/>
      <c r="AQ69" s="291"/>
      <c r="AR69" s="291"/>
      <c r="AS69" s="291"/>
      <c r="AT69" s="291"/>
      <c r="AU69" s="292"/>
      <c r="AV69" s="447" t="s">
        <v>222</v>
      </c>
      <c r="AW69" s="291"/>
      <c r="AX69" s="291"/>
      <c r="AY69" s="292"/>
      <c r="AZ69" s="447" t="s">
        <v>358</v>
      </c>
      <c r="BA69" s="291"/>
      <c r="BB69" s="291"/>
      <c r="BC69" s="292"/>
      <c r="BD69" s="447" t="s">
        <v>359</v>
      </c>
      <c r="BE69" s="291"/>
      <c r="BF69" s="447" t="s">
        <v>301</v>
      </c>
      <c r="BG69" s="291"/>
      <c r="BH69" s="291"/>
      <c r="BI69" s="292"/>
      <c r="BJ69" s="291" t="s">
        <v>303</v>
      </c>
      <c r="BK69" s="291"/>
      <c r="BL69" s="291"/>
      <c r="BM69" s="292"/>
      <c r="BN69" s="291" t="s">
        <v>360</v>
      </c>
      <c r="BO69" s="291"/>
      <c r="BP69" s="291"/>
      <c r="BQ69" s="292"/>
      <c r="BR69" s="447" t="s">
        <v>361</v>
      </c>
      <c r="BS69" s="291"/>
      <c r="BT69" s="291"/>
      <c r="BU69" s="292"/>
      <c r="BV69" s="447" t="s">
        <v>362</v>
      </c>
      <c r="BW69" s="291"/>
      <c r="BX69" s="291"/>
      <c r="BY69" s="291"/>
      <c r="BZ69" s="291"/>
      <c r="CA69" s="291"/>
      <c r="CB69" s="291"/>
      <c r="CC69" s="291"/>
      <c r="CD69" s="291"/>
      <c r="CE69" s="291"/>
      <c r="CF69" s="291"/>
      <c r="CG69" s="228" t="s">
        <v>363</v>
      </c>
      <c r="CH69" s="230"/>
      <c r="CI69" s="230"/>
      <c r="CJ69" s="230"/>
      <c r="CK69" s="230"/>
      <c r="CL69" s="229"/>
      <c r="CM69" s="447" t="s">
        <v>364</v>
      </c>
      <c r="CN69" s="292"/>
    </row>
    <row r="70" spans="3:146" ht="12" hidden="1" customHeight="1">
      <c r="C70" s="168"/>
      <c r="D70" s="293"/>
      <c r="E70" s="294"/>
      <c r="F70" s="293"/>
      <c r="G70" s="297"/>
      <c r="H70" s="294"/>
      <c r="I70" s="294"/>
      <c r="J70" s="295"/>
      <c r="K70" s="293"/>
      <c r="L70" s="294"/>
      <c r="M70" s="295"/>
      <c r="N70" s="294"/>
      <c r="O70" s="294"/>
      <c r="P70" s="294"/>
      <c r="Q70" s="295"/>
      <c r="R70" s="293"/>
      <c r="S70" s="294"/>
      <c r="T70" s="294"/>
      <c r="U70" s="294"/>
      <c r="V70" s="294"/>
      <c r="W70" s="293"/>
      <c r="X70" s="294"/>
      <c r="Y70" s="294"/>
      <c r="Z70" s="294"/>
      <c r="AA70" s="294"/>
      <c r="AB70" s="294"/>
      <c r="AC70" s="294"/>
      <c r="AD70" s="294"/>
      <c r="AE70" s="295"/>
      <c r="AF70" s="293"/>
      <c r="AG70" s="294"/>
      <c r="AH70" s="294"/>
      <c r="AI70" s="294"/>
      <c r="AJ70" s="295"/>
      <c r="AK70" s="293" t="s">
        <v>365</v>
      </c>
      <c r="AL70" s="294"/>
      <c r="AM70" s="294"/>
      <c r="AN70" s="294"/>
      <c r="AO70" s="294"/>
      <c r="AP70" s="294"/>
      <c r="AQ70" s="294"/>
      <c r="AR70" s="294" t="s">
        <v>366</v>
      </c>
      <c r="AS70" s="294"/>
      <c r="AT70" s="294"/>
      <c r="AU70" s="295"/>
      <c r="AV70" s="293"/>
      <c r="AW70" s="294"/>
      <c r="AX70" s="294"/>
      <c r="AY70" s="295"/>
      <c r="AZ70" s="293"/>
      <c r="BA70" s="294"/>
      <c r="BB70" s="294"/>
      <c r="BC70" s="295"/>
      <c r="BD70" s="293"/>
      <c r="BE70" s="294"/>
      <c r="BF70" s="293"/>
      <c r="BG70" s="294"/>
      <c r="BH70" s="294"/>
      <c r="BI70" s="295"/>
      <c r="BJ70" s="294"/>
      <c r="BK70" s="294"/>
      <c r="BL70" s="294"/>
      <c r="BM70" s="295"/>
      <c r="BN70" s="294"/>
      <c r="BO70" s="294"/>
      <c r="BP70" s="294"/>
      <c r="BQ70" s="295"/>
      <c r="BR70" s="293"/>
      <c r="BS70" s="294"/>
      <c r="BT70" s="294"/>
      <c r="BU70" s="295"/>
      <c r="BV70" s="228" t="s">
        <v>367</v>
      </c>
      <c r="BW70" s="229"/>
      <c r="BX70" s="228" t="s">
        <v>313</v>
      </c>
      <c r="BY70" s="230"/>
      <c r="BZ70" s="229"/>
      <c r="CA70" s="228" t="s">
        <v>314</v>
      </c>
      <c r="CB70" s="230"/>
      <c r="CC70" s="229"/>
      <c r="CD70" s="228" t="s">
        <v>315</v>
      </c>
      <c r="CE70" s="230"/>
      <c r="CF70" s="229"/>
      <c r="CG70" s="230"/>
      <c r="CH70" s="230"/>
      <c r="CI70" s="230"/>
      <c r="CJ70" s="230"/>
      <c r="CK70" s="230"/>
      <c r="CL70" s="229"/>
      <c r="CM70" s="293"/>
      <c r="CN70" s="295"/>
    </row>
    <row r="71" spans="3:146" ht="12" hidden="1" customHeight="1">
      <c r="C71" s="168"/>
      <c r="D71" s="231" t="s">
        <v>321</v>
      </c>
      <c r="E71" s="232"/>
      <c r="F71" s="231" t="s">
        <v>368</v>
      </c>
      <c r="G71" s="234"/>
      <c r="H71" s="232" t="s">
        <v>369</v>
      </c>
      <c r="I71" s="232"/>
      <c r="J71" s="234"/>
      <c r="K71" s="231" t="s">
        <v>370</v>
      </c>
      <c r="L71" s="232"/>
      <c r="M71" s="234"/>
      <c r="N71" s="232" t="s">
        <v>371</v>
      </c>
      <c r="O71" s="232"/>
      <c r="P71" s="232"/>
      <c r="Q71" s="234"/>
      <c r="R71" s="231" t="s">
        <v>334</v>
      </c>
      <c r="S71" s="232"/>
      <c r="T71" s="232"/>
      <c r="U71" s="232"/>
      <c r="V71" s="232"/>
      <c r="W71" s="231" t="s">
        <v>372</v>
      </c>
      <c r="X71" s="232"/>
      <c r="Y71" s="232"/>
      <c r="Z71" s="286" t="s">
        <v>372</v>
      </c>
      <c r="AA71" s="232"/>
      <c r="AB71" s="287"/>
      <c r="AC71" s="285" t="s">
        <v>372</v>
      </c>
      <c r="AD71" s="232"/>
      <c r="AE71" s="234"/>
      <c r="AF71" s="233" t="s">
        <v>326</v>
      </c>
      <c r="AG71" s="232"/>
      <c r="AH71" s="232"/>
      <c r="AI71" s="232"/>
      <c r="AJ71" s="234"/>
      <c r="AK71" s="233" t="s">
        <v>327</v>
      </c>
      <c r="AL71" s="232"/>
      <c r="AM71" s="232"/>
      <c r="AN71" s="232"/>
      <c r="AO71" s="232"/>
      <c r="AP71" s="232"/>
      <c r="AQ71" s="279"/>
      <c r="AR71" s="448" t="s">
        <v>371</v>
      </c>
      <c r="AS71" s="232"/>
      <c r="AT71" s="232"/>
      <c r="AU71" s="234"/>
      <c r="AV71" s="231" t="s">
        <v>325</v>
      </c>
      <c r="AW71" s="232"/>
      <c r="AX71" s="232"/>
      <c r="AY71" s="234"/>
      <c r="AZ71" s="231" t="s">
        <v>335</v>
      </c>
      <c r="BA71" s="232"/>
      <c r="BB71" s="232"/>
      <c r="BC71" s="234"/>
      <c r="BD71" s="233" t="s">
        <v>330</v>
      </c>
      <c r="BE71" s="232"/>
      <c r="BF71" s="992">
        <v>9999999</v>
      </c>
      <c r="BG71" s="993"/>
      <c r="BH71" s="993"/>
      <c r="BI71" s="994"/>
      <c r="BJ71" s="992">
        <v>9999999</v>
      </c>
      <c r="BK71" s="993"/>
      <c r="BL71" s="993"/>
      <c r="BM71" s="994"/>
      <c r="BN71" s="992">
        <v>9999999</v>
      </c>
      <c r="BO71" s="993"/>
      <c r="BP71" s="993"/>
      <c r="BQ71" s="994"/>
      <c r="BR71" s="992">
        <v>9999999</v>
      </c>
      <c r="BS71" s="993"/>
      <c r="BT71" s="993"/>
      <c r="BU71" s="994"/>
      <c r="BV71" s="288" t="s">
        <v>373</v>
      </c>
      <c r="BW71" s="290"/>
      <c r="BX71" s="288" t="s">
        <v>328</v>
      </c>
      <c r="BY71" s="289"/>
      <c r="BZ71" s="290"/>
      <c r="CA71" s="288" t="s">
        <v>328</v>
      </c>
      <c r="CB71" s="232"/>
      <c r="CC71" s="234"/>
      <c r="CD71" s="288" t="s">
        <v>328</v>
      </c>
      <c r="CE71" s="232"/>
      <c r="CF71" s="234"/>
      <c r="CG71" s="232"/>
      <c r="CH71" s="232"/>
      <c r="CI71" s="232"/>
      <c r="CJ71" s="232"/>
      <c r="CK71" s="232"/>
      <c r="CL71" s="234"/>
      <c r="CM71" s="990"/>
      <c r="CN71" s="991"/>
      <c r="CV71" s="443"/>
      <c r="CW71" s="443"/>
      <c r="CX71" s="443"/>
      <c r="CY71" s="443"/>
      <c r="CZ71" s="443"/>
      <c r="DA71" s="443"/>
      <c r="DB71" s="443"/>
      <c r="DC71" s="443"/>
      <c r="DD71" s="443"/>
      <c r="DF71" s="443"/>
      <c r="DG71" s="443"/>
      <c r="DH71" s="443"/>
      <c r="DI71" s="443"/>
      <c r="DJ71" s="443"/>
      <c r="DK71" s="443"/>
      <c r="DL71" s="443"/>
      <c r="DM71" s="443"/>
      <c r="DN71" s="443"/>
      <c r="DO71" s="443"/>
      <c r="DP71" s="443"/>
      <c r="DQ71" s="443"/>
      <c r="DR71" s="443"/>
      <c r="DS71" s="443"/>
      <c r="DT71" s="443"/>
      <c r="DU71" s="443"/>
      <c r="DV71" s="443"/>
      <c r="DW71" s="443"/>
      <c r="DX71" s="443"/>
      <c r="DY71" s="443"/>
      <c r="DZ71" s="443"/>
      <c r="EA71" s="443"/>
      <c r="EB71" s="443"/>
      <c r="EC71" s="443"/>
      <c r="ED71" s="443"/>
      <c r="EE71" s="443"/>
      <c r="EF71" s="443"/>
      <c r="EG71" s="443"/>
      <c r="EH71" s="443"/>
      <c r="EI71" s="443"/>
      <c r="EJ71" s="443"/>
      <c r="EK71" s="443"/>
      <c r="EL71" s="443"/>
      <c r="EM71" s="443"/>
      <c r="EN71" s="443"/>
      <c r="EO71" s="443"/>
      <c r="EP71" s="443"/>
    </row>
    <row r="72" spans="3:146" ht="12" hidden="1" customHeight="1">
      <c r="C72" s="168"/>
      <c r="D72" s="231" t="s">
        <v>374</v>
      </c>
      <c r="E72" s="232"/>
      <c r="F72" s="231" t="s">
        <v>368</v>
      </c>
      <c r="G72" s="234"/>
      <c r="H72" s="232" t="s">
        <v>369</v>
      </c>
      <c r="I72" s="232"/>
      <c r="J72" s="234"/>
      <c r="K72" s="231" t="s">
        <v>370</v>
      </c>
      <c r="L72" s="232"/>
      <c r="M72" s="234"/>
      <c r="N72" s="232" t="s">
        <v>371</v>
      </c>
      <c r="O72" s="232"/>
      <c r="P72" s="232"/>
      <c r="Q72" s="234"/>
      <c r="R72" s="231" t="s">
        <v>334</v>
      </c>
      <c r="S72" s="232"/>
      <c r="T72" s="232"/>
      <c r="U72" s="232"/>
      <c r="V72" s="232"/>
      <c r="W72" s="231" t="s">
        <v>375</v>
      </c>
      <c r="X72" s="232"/>
      <c r="Y72" s="232"/>
      <c r="Z72" s="286" t="s">
        <v>375</v>
      </c>
      <c r="AA72" s="232"/>
      <c r="AB72" s="287"/>
      <c r="AC72" s="285" t="s">
        <v>375</v>
      </c>
      <c r="AD72" s="232"/>
      <c r="AE72" s="234"/>
      <c r="AF72" s="233" t="s">
        <v>376</v>
      </c>
      <c r="AG72" s="232"/>
      <c r="AH72" s="232"/>
      <c r="AI72" s="232"/>
      <c r="AJ72" s="234"/>
      <c r="AK72" s="233" t="s">
        <v>327</v>
      </c>
      <c r="AL72" s="232"/>
      <c r="AM72" s="232"/>
      <c r="AN72" s="232"/>
      <c r="AO72" s="232"/>
      <c r="AP72" s="232"/>
      <c r="AQ72" s="279"/>
      <c r="AR72" s="448" t="s">
        <v>371</v>
      </c>
      <c r="AS72" s="232"/>
      <c r="AT72" s="232"/>
      <c r="AU72" s="234"/>
      <c r="AV72" s="231" t="s">
        <v>325</v>
      </c>
      <c r="AW72" s="232"/>
      <c r="AX72" s="232"/>
      <c r="AY72" s="234"/>
      <c r="AZ72" s="231" t="s">
        <v>335</v>
      </c>
      <c r="BA72" s="232"/>
      <c r="BB72" s="232"/>
      <c r="BC72" s="234"/>
      <c r="BD72" s="233" t="s">
        <v>330</v>
      </c>
      <c r="BE72" s="232"/>
      <c r="BF72" s="992">
        <v>9999999</v>
      </c>
      <c r="BG72" s="993"/>
      <c r="BH72" s="993"/>
      <c r="BI72" s="994"/>
      <c r="BJ72" s="992">
        <v>9999999</v>
      </c>
      <c r="BK72" s="993"/>
      <c r="BL72" s="993"/>
      <c r="BM72" s="994"/>
      <c r="BN72" s="992">
        <v>9999999</v>
      </c>
      <c r="BO72" s="993"/>
      <c r="BP72" s="993"/>
      <c r="BQ72" s="994"/>
      <c r="BR72" s="992">
        <v>9999999</v>
      </c>
      <c r="BS72" s="993"/>
      <c r="BT72" s="993"/>
      <c r="BU72" s="994"/>
      <c r="BV72" s="288" t="s">
        <v>373</v>
      </c>
      <c r="BW72" s="290"/>
      <c r="BX72" s="288" t="s">
        <v>328</v>
      </c>
      <c r="BY72" s="289"/>
      <c r="BZ72" s="290"/>
      <c r="CA72" s="288" t="s">
        <v>328</v>
      </c>
      <c r="CB72" s="232"/>
      <c r="CC72" s="234"/>
      <c r="CD72" s="288" t="s">
        <v>328</v>
      </c>
      <c r="CE72" s="232"/>
      <c r="CF72" s="234"/>
      <c r="CG72" s="232"/>
      <c r="CH72" s="232"/>
      <c r="CI72" s="232"/>
      <c r="CJ72" s="232"/>
      <c r="CK72" s="232"/>
      <c r="CL72" s="234"/>
      <c r="CM72" s="990" t="s">
        <v>331</v>
      </c>
      <c r="CN72" s="991"/>
      <c r="CV72" s="443"/>
      <c r="CW72" s="443"/>
      <c r="CX72" s="443"/>
      <c r="CY72" s="443"/>
      <c r="CZ72" s="443"/>
      <c r="DA72" s="443"/>
      <c r="DB72" s="443"/>
      <c r="DC72" s="443"/>
      <c r="DD72" s="443"/>
      <c r="DF72" s="443"/>
      <c r="DG72" s="443"/>
      <c r="DH72" s="443"/>
      <c r="DI72" s="443"/>
      <c r="DJ72" s="443"/>
      <c r="DK72" s="443"/>
      <c r="DL72" s="443"/>
      <c r="DM72" s="443"/>
    </row>
    <row r="73" spans="3:146" ht="12" hidden="1" customHeight="1">
      <c r="C73" s="168"/>
      <c r="D73" s="231" t="s">
        <v>377</v>
      </c>
      <c r="E73" s="232"/>
      <c r="F73" s="231" t="s">
        <v>368</v>
      </c>
      <c r="G73" s="234"/>
      <c r="H73" s="232" t="s">
        <v>378</v>
      </c>
      <c r="I73" s="232"/>
      <c r="J73" s="234"/>
      <c r="K73" s="231" t="s">
        <v>370</v>
      </c>
      <c r="L73" s="232"/>
      <c r="M73" s="234"/>
      <c r="N73" s="232" t="s">
        <v>371</v>
      </c>
      <c r="O73" s="232"/>
      <c r="P73" s="232"/>
      <c r="Q73" s="234"/>
      <c r="R73" s="231" t="s">
        <v>379</v>
      </c>
      <c r="S73" s="232"/>
      <c r="T73" s="232"/>
      <c r="U73" s="232"/>
      <c r="V73" s="232"/>
      <c r="W73" s="231" t="s">
        <v>380</v>
      </c>
      <c r="X73" s="232"/>
      <c r="Y73" s="232"/>
      <c r="Z73" s="286" t="s">
        <v>380</v>
      </c>
      <c r="AA73" s="232"/>
      <c r="AB73" s="287"/>
      <c r="AC73" s="285" t="s">
        <v>380</v>
      </c>
      <c r="AD73" s="232"/>
      <c r="AE73" s="234"/>
      <c r="AF73" s="233" t="s">
        <v>381</v>
      </c>
      <c r="AG73" s="232"/>
      <c r="AH73" s="232"/>
      <c r="AI73" s="232"/>
      <c r="AJ73" s="234"/>
      <c r="AK73" s="233" t="s">
        <v>327</v>
      </c>
      <c r="AL73" s="232"/>
      <c r="AM73" s="232"/>
      <c r="AN73" s="232"/>
      <c r="AO73" s="232"/>
      <c r="AP73" s="232"/>
      <c r="AQ73" s="279"/>
      <c r="AR73" s="448" t="s">
        <v>371</v>
      </c>
      <c r="AS73" s="232"/>
      <c r="AT73" s="232"/>
      <c r="AU73" s="234"/>
      <c r="AV73" s="231" t="s">
        <v>325</v>
      </c>
      <c r="AW73" s="232"/>
      <c r="AX73" s="232"/>
      <c r="AY73" s="234"/>
      <c r="AZ73" s="231" t="s">
        <v>382</v>
      </c>
      <c r="BA73" s="232"/>
      <c r="BB73" s="232"/>
      <c r="BC73" s="234"/>
      <c r="BD73" s="233" t="s">
        <v>330</v>
      </c>
      <c r="BE73" s="232"/>
      <c r="BF73" s="992">
        <v>9999999</v>
      </c>
      <c r="BG73" s="993"/>
      <c r="BH73" s="993"/>
      <c r="BI73" s="994"/>
      <c r="BJ73" s="992">
        <v>9999999</v>
      </c>
      <c r="BK73" s="993"/>
      <c r="BL73" s="993"/>
      <c r="BM73" s="994"/>
      <c r="BN73" s="992">
        <v>9999999</v>
      </c>
      <c r="BO73" s="993"/>
      <c r="BP73" s="993"/>
      <c r="BQ73" s="994"/>
      <c r="BR73" s="992">
        <v>9999999</v>
      </c>
      <c r="BS73" s="993"/>
      <c r="BT73" s="993"/>
      <c r="BU73" s="994"/>
      <c r="BV73" s="288" t="s">
        <v>373</v>
      </c>
      <c r="BW73" s="290"/>
      <c r="BX73" s="288" t="s">
        <v>328</v>
      </c>
      <c r="BY73" s="289"/>
      <c r="BZ73" s="290"/>
      <c r="CA73" s="288" t="s">
        <v>328</v>
      </c>
      <c r="CB73" s="232"/>
      <c r="CC73" s="234"/>
      <c r="CD73" s="288" t="s">
        <v>328</v>
      </c>
      <c r="CE73" s="232"/>
      <c r="CF73" s="234"/>
      <c r="CG73" s="232"/>
      <c r="CH73" s="232"/>
      <c r="CI73" s="232"/>
      <c r="CJ73" s="232"/>
      <c r="CK73" s="232"/>
      <c r="CL73" s="234"/>
      <c r="CM73" s="990" t="s">
        <v>331</v>
      </c>
      <c r="CN73" s="991"/>
    </row>
    <row r="74" spans="3:146" ht="12" hidden="1" customHeight="1">
      <c r="C74" s="168"/>
      <c r="D74" s="231" t="s">
        <v>383</v>
      </c>
      <c r="E74" s="232"/>
      <c r="F74" s="231" t="s">
        <v>384</v>
      </c>
      <c r="G74" s="234"/>
      <c r="H74" s="232" t="s">
        <v>378</v>
      </c>
      <c r="I74" s="232"/>
      <c r="J74" s="234"/>
      <c r="K74" s="231" t="s">
        <v>385</v>
      </c>
      <c r="L74" s="232"/>
      <c r="M74" s="234"/>
      <c r="N74" s="232" t="s">
        <v>371</v>
      </c>
      <c r="O74" s="232"/>
      <c r="P74" s="232"/>
      <c r="Q74" s="234"/>
      <c r="R74" s="231" t="s">
        <v>379</v>
      </c>
      <c r="S74" s="232"/>
      <c r="T74" s="232"/>
      <c r="U74" s="232"/>
      <c r="V74" s="232"/>
      <c r="W74" s="231" t="s">
        <v>386</v>
      </c>
      <c r="X74" s="232"/>
      <c r="Y74" s="232"/>
      <c r="Z74" s="286" t="s">
        <v>386</v>
      </c>
      <c r="AA74" s="232"/>
      <c r="AB74" s="287"/>
      <c r="AC74" s="285" t="s">
        <v>386</v>
      </c>
      <c r="AD74" s="232"/>
      <c r="AE74" s="234"/>
      <c r="AF74" s="233" t="s">
        <v>387</v>
      </c>
      <c r="AG74" s="232"/>
      <c r="AH74" s="232"/>
      <c r="AI74" s="232"/>
      <c r="AJ74" s="234"/>
      <c r="AK74" s="233" t="s">
        <v>327</v>
      </c>
      <c r="AL74" s="232"/>
      <c r="AM74" s="232"/>
      <c r="AN74" s="232"/>
      <c r="AO74" s="232"/>
      <c r="AP74" s="232"/>
      <c r="AQ74" s="279"/>
      <c r="AR74" s="448" t="s">
        <v>371</v>
      </c>
      <c r="AS74" s="232"/>
      <c r="AT74" s="232"/>
      <c r="AU74" s="234"/>
      <c r="AV74" s="231" t="s">
        <v>325</v>
      </c>
      <c r="AW74" s="232"/>
      <c r="AX74" s="232"/>
      <c r="AY74" s="234"/>
      <c r="AZ74" s="231" t="s">
        <v>382</v>
      </c>
      <c r="BA74" s="232"/>
      <c r="BB74" s="232"/>
      <c r="BC74" s="234"/>
      <c r="BD74" s="233" t="s">
        <v>330</v>
      </c>
      <c r="BE74" s="232"/>
      <c r="BF74" s="992">
        <v>9999999</v>
      </c>
      <c r="BG74" s="993"/>
      <c r="BH74" s="993"/>
      <c r="BI74" s="994"/>
      <c r="BJ74" s="992">
        <v>9999999</v>
      </c>
      <c r="BK74" s="993"/>
      <c r="BL74" s="993"/>
      <c r="BM74" s="994"/>
      <c r="BN74" s="992">
        <v>9999999</v>
      </c>
      <c r="BO74" s="993"/>
      <c r="BP74" s="993"/>
      <c r="BQ74" s="994"/>
      <c r="BR74" s="992">
        <v>9999999</v>
      </c>
      <c r="BS74" s="993"/>
      <c r="BT74" s="993"/>
      <c r="BU74" s="994"/>
      <c r="BV74" s="288" t="s">
        <v>373</v>
      </c>
      <c r="BW74" s="290"/>
      <c r="BX74" s="288" t="s">
        <v>328</v>
      </c>
      <c r="BY74" s="289"/>
      <c r="BZ74" s="290"/>
      <c r="CA74" s="288" t="s">
        <v>328</v>
      </c>
      <c r="CB74" s="232"/>
      <c r="CC74" s="234"/>
      <c r="CD74" s="288" t="s">
        <v>328</v>
      </c>
      <c r="CE74" s="232"/>
      <c r="CF74" s="234"/>
      <c r="CG74" s="232"/>
      <c r="CH74" s="232"/>
      <c r="CI74" s="232"/>
      <c r="CJ74" s="232"/>
      <c r="CK74" s="232"/>
      <c r="CL74" s="234"/>
      <c r="CM74" s="990" t="s">
        <v>331</v>
      </c>
      <c r="CN74" s="991"/>
    </row>
    <row r="75" spans="3:146" ht="12" hidden="1" customHeight="1">
      <c r="C75" s="168"/>
      <c r="D75" s="231" t="s">
        <v>388</v>
      </c>
      <c r="E75" s="232"/>
      <c r="F75" s="231" t="s">
        <v>384</v>
      </c>
      <c r="G75" s="234"/>
      <c r="H75" s="232" t="s">
        <v>378</v>
      </c>
      <c r="I75" s="232"/>
      <c r="J75" s="234"/>
      <c r="K75" s="231" t="s">
        <v>385</v>
      </c>
      <c r="L75" s="232"/>
      <c r="M75" s="234"/>
      <c r="N75" s="232" t="s">
        <v>371</v>
      </c>
      <c r="O75" s="232"/>
      <c r="P75" s="232"/>
      <c r="Q75" s="234"/>
      <c r="R75" s="231" t="s">
        <v>379</v>
      </c>
      <c r="S75" s="232"/>
      <c r="T75" s="232"/>
      <c r="U75" s="232"/>
      <c r="V75" s="232"/>
      <c r="W75" s="231" t="s">
        <v>389</v>
      </c>
      <c r="X75" s="232"/>
      <c r="Y75" s="232"/>
      <c r="Z75" s="286" t="s">
        <v>389</v>
      </c>
      <c r="AA75" s="232"/>
      <c r="AB75" s="287"/>
      <c r="AC75" s="285" t="s">
        <v>389</v>
      </c>
      <c r="AD75" s="232"/>
      <c r="AE75" s="234"/>
      <c r="AF75" s="233" t="s">
        <v>390</v>
      </c>
      <c r="AG75" s="232"/>
      <c r="AH75" s="232"/>
      <c r="AI75" s="232"/>
      <c r="AJ75" s="234"/>
      <c r="AK75" s="233" t="s">
        <v>327</v>
      </c>
      <c r="AL75" s="232"/>
      <c r="AM75" s="232"/>
      <c r="AN75" s="232"/>
      <c r="AO75" s="232"/>
      <c r="AP75" s="232"/>
      <c r="AQ75" s="279"/>
      <c r="AR75" s="448" t="s">
        <v>371</v>
      </c>
      <c r="AS75" s="232"/>
      <c r="AT75" s="232"/>
      <c r="AU75" s="234"/>
      <c r="AV75" s="231" t="s">
        <v>325</v>
      </c>
      <c r="AW75" s="232"/>
      <c r="AX75" s="232"/>
      <c r="AY75" s="234"/>
      <c r="AZ75" s="231" t="s">
        <v>382</v>
      </c>
      <c r="BA75" s="232"/>
      <c r="BB75" s="232"/>
      <c r="BC75" s="234"/>
      <c r="BD75" s="233" t="s">
        <v>330</v>
      </c>
      <c r="BE75" s="232"/>
      <c r="BF75" s="992">
        <v>9999999</v>
      </c>
      <c r="BG75" s="993"/>
      <c r="BH75" s="993"/>
      <c r="BI75" s="994"/>
      <c r="BJ75" s="992">
        <v>9999999</v>
      </c>
      <c r="BK75" s="993"/>
      <c r="BL75" s="993"/>
      <c r="BM75" s="994"/>
      <c r="BN75" s="992">
        <v>9999999</v>
      </c>
      <c r="BO75" s="993"/>
      <c r="BP75" s="993"/>
      <c r="BQ75" s="994"/>
      <c r="BR75" s="992">
        <v>9999999</v>
      </c>
      <c r="BS75" s="993"/>
      <c r="BT75" s="993"/>
      <c r="BU75" s="994"/>
      <c r="BV75" s="288" t="s">
        <v>373</v>
      </c>
      <c r="BW75" s="290"/>
      <c r="BX75" s="288" t="s">
        <v>328</v>
      </c>
      <c r="BY75" s="289"/>
      <c r="BZ75" s="290"/>
      <c r="CA75" s="288" t="s">
        <v>328</v>
      </c>
      <c r="CB75" s="232"/>
      <c r="CC75" s="234"/>
      <c r="CD75" s="288" t="s">
        <v>328</v>
      </c>
      <c r="CE75" s="232"/>
      <c r="CF75" s="234"/>
      <c r="CG75" s="232"/>
      <c r="CH75" s="232"/>
      <c r="CI75" s="232"/>
      <c r="CJ75" s="232"/>
      <c r="CK75" s="232"/>
      <c r="CL75" s="234"/>
      <c r="CM75" s="990" t="s">
        <v>331</v>
      </c>
      <c r="CN75" s="991"/>
    </row>
    <row r="76" spans="3:146" ht="12" hidden="1" customHeight="1">
      <c r="C76" s="168"/>
      <c r="D76" s="231" t="s">
        <v>391</v>
      </c>
      <c r="E76" s="232"/>
      <c r="F76" s="231" t="s">
        <v>384</v>
      </c>
      <c r="G76" s="234"/>
      <c r="H76" s="232" t="s">
        <v>378</v>
      </c>
      <c r="I76" s="232"/>
      <c r="J76" s="234"/>
      <c r="K76" s="231" t="s">
        <v>385</v>
      </c>
      <c r="L76" s="232"/>
      <c r="M76" s="234"/>
      <c r="N76" s="232" t="s">
        <v>371</v>
      </c>
      <c r="O76" s="232"/>
      <c r="P76" s="232"/>
      <c r="Q76" s="234"/>
      <c r="R76" s="231" t="s">
        <v>379</v>
      </c>
      <c r="S76" s="232"/>
      <c r="T76" s="232"/>
      <c r="U76" s="232"/>
      <c r="V76" s="232"/>
      <c r="W76" s="231" t="s">
        <v>392</v>
      </c>
      <c r="X76" s="232"/>
      <c r="Y76" s="232"/>
      <c r="Z76" s="286" t="s">
        <v>392</v>
      </c>
      <c r="AA76" s="232"/>
      <c r="AB76" s="287"/>
      <c r="AC76" s="285" t="s">
        <v>392</v>
      </c>
      <c r="AD76" s="232"/>
      <c r="AE76" s="234"/>
      <c r="AF76" s="233" t="s">
        <v>393</v>
      </c>
      <c r="AG76" s="232"/>
      <c r="AH76" s="232"/>
      <c r="AI76" s="232"/>
      <c r="AJ76" s="234"/>
      <c r="AK76" s="233" t="s">
        <v>394</v>
      </c>
      <c r="AL76" s="232"/>
      <c r="AM76" s="232"/>
      <c r="AN76" s="232"/>
      <c r="AO76" s="232"/>
      <c r="AP76" s="232"/>
      <c r="AQ76" s="279"/>
      <c r="AR76" s="448" t="s">
        <v>395</v>
      </c>
      <c r="AS76" s="232"/>
      <c r="AT76" s="232"/>
      <c r="AU76" s="234"/>
      <c r="AV76" s="231" t="s">
        <v>325</v>
      </c>
      <c r="AW76" s="232"/>
      <c r="AX76" s="232"/>
      <c r="AY76" s="234"/>
      <c r="AZ76" s="231" t="s">
        <v>382</v>
      </c>
      <c r="BA76" s="232"/>
      <c r="BB76" s="232"/>
      <c r="BC76" s="234"/>
      <c r="BD76" s="233" t="s">
        <v>330</v>
      </c>
      <c r="BE76" s="232"/>
      <c r="BF76" s="992">
        <v>9999999</v>
      </c>
      <c r="BG76" s="993"/>
      <c r="BH76" s="993"/>
      <c r="BI76" s="994"/>
      <c r="BJ76" s="992">
        <v>9999999</v>
      </c>
      <c r="BK76" s="993"/>
      <c r="BL76" s="993"/>
      <c r="BM76" s="994"/>
      <c r="BN76" s="992">
        <v>9999999</v>
      </c>
      <c r="BO76" s="993"/>
      <c r="BP76" s="993"/>
      <c r="BQ76" s="994"/>
      <c r="BR76" s="992">
        <v>9999999</v>
      </c>
      <c r="BS76" s="993"/>
      <c r="BT76" s="993"/>
      <c r="BU76" s="994"/>
      <c r="BV76" s="288" t="s">
        <v>373</v>
      </c>
      <c r="BW76" s="290"/>
      <c r="BX76" s="288" t="s">
        <v>328</v>
      </c>
      <c r="BY76" s="289"/>
      <c r="BZ76" s="290"/>
      <c r="CA76" s="288" t="s">
        <v>328</v>
      </c>
      <c r="CB76" s="232"/>
      <c r="CC76" s="234"/>
      <c r="CD76" s="288" t="s">
        <v>328</v>
      </c>
      <c r="CE76" s="232"/>
      <c r="CF76" s="234"/>
      <c r="CG76" s="232"/>
      <c r="CH76" s="232"/>
      <c r="CI76" s="232"/>
      <c r="CJ76" s="232"/>
      <c r="CK76" s="232"/>
      <c r="CL76" s="234"/>
      <c r="CM76" s="990" t="s">
        <v>331</v>
      </c>
      <c r="CN76" s="991"/>
    </row>
    <row r="77" spans="3:146" ht="12" hidden="1" customHeight="1">
      <c r="C77" s="168"/>
      <c r="D77" s="231" t="s">
        <v>396</v>
      </c>
      <c r="E77" s="232"/>
      <c r="F77" s="231" t="s">
        <v>384</v>
      </c>
      <c r="G77" s="234"/>
      <c r="H77" s="232" t="s">
        <v>378</v>
      </c>
      <c r="I77" s="232"/>
      <c r="J77" s="234"/>
      <c r="K77" s="231" t="s">
        <v>385</v>
      </c>
      <c r="L77" s="232"/>
      <c r="M77" s="234"/>
      <c r="N77" s="232" t="s">
        <v>371</v>
      </c>
      <c r="O77" s="232"/>
      <c r="P77" s="232"/>
      <c r="Q77" s="234"/>
      <c r="R77" s="231" t="s">
        <v>379</v>
      </c>
      <c r="S77" s="232"/>
      <c r="T77" s="232"/>
      <c r="U77" s="232"/>
      <c r="V77" s="232"/>
      <c r="W77" s="231" t="s">
        <v>397</v>
      </c>
      <c r="X77" s="232"/>
      <c r="Y77" s="232"/>
      <c r="Z77" s="286" t="s">
        <v>397</v>
      </c>
      <c r="AA77" s="232"/>
      <c r="AB77" s="287"/>
      <c r="AC77" s="285" t="s">
        <v>397</v>
      </c>
      <c r="AD77" s="232"/>
      <c r="AE77" s="234"/>
      <c r="AF77" s="233" t="s">
        <v>398</v>
      </c>
      <c r="AG77" s="232"/>
      <c r="AH77" s="232"/>
      <c r="AI77" s="232"/>
      <c r="AJ77" s="234"/>
      <c r="AK77" s="233" t="s">
        <v>399</v>
      </c>
      <c r="AL77" s="232"/>
      <c r="AM77" s="232"/>
      <c r="AN77" s="232"/>
      <c r="AO77" s="232"/>
      <c r="AP77" s="232"/>
      <c r="AQ77" s="279"/>
      <c r="AR77" s="448" t="s">
        <v>400</v>
      </c>
      <c r="AS77" s="232"/>
      <c r="AT77" s="232"/>
      <c r="AU77" s="234"/>
      <c r="AV77" s="231" t="s">
        <v>325</v>
      </c>
      <c r="AW77" s="232"/>
      <c r="AX77" s="232"/>
      <c r="AY77" s="234"/>
      <c r="AZ77" s="231" t="s">
        <v>382</v>
      </c>
      <c r="BA77" s="232"/>
      <c r="BB77" s="232"/>
      <c r="BC77" s="234"/>
      <c r="BD77" s="233" t="s">
        <v>330</v>
      </c>
      <c r="BE77" s="232"/>
      <c r="BF77" s="992">
        <v>9999999</v>
      </c>
      <c r="BG77" s="993"/>
      <c r="BH77" s="993"/>
      <c r="BI77" s="994"/>
      <c r="BJ77" s="992">
        <v>9999999</v>
      </c>
      <c r="BK77" s="993"/>
      <c r="BL77" s="993"/>
      <c r="BM77" s="994"/>
      <c r="BN77" s="992">
        <v>9999999</v>
      </c>
      <c r="BO77" s="993"/>
      <c r="BP77" s="993"/>
      <c r="BQ77" s="994"/>
      <c r="BR77" s="992">
        <v>9999999</v>
      </c>
      <c r="BS77" s="993"/>
      <c r="BT77" s="993"/>
      <c r="BU77" s="994"/>
      <c r="BV77" s="288" t="s">
        <v>373</v>
      </c>
      <c r="BW77" s="290"/>
      <c r="BX77" s="288" t="s">
        <v>328</v>
      </c>
      <c r="BY77" s="289"/>
      <c r="BZ77" s="290"/>
      <c r="CA77" s="288" t="s">
        <v>328</v>
      </c>
      <c r="CB77" s="232"/>
      <c r="CC77" s="234"/>
      <c r="CD77" s="288" t="s">
        <v>328</v>
      </c>
      <c r="CE77" s="232"/>
      <c r="CF77" s="234"/>
      <c r="CG77" s="232"/>
      <c r="CH77" s="232"/>
      <c r="CI77" s="232"/>
      <c r="CJ77" s="232"/>
      <c r="CK77" s="232"/>
      <c r="CL77" s="234"/>
      <c r="CM77" s="990" t="s">
        <v>401</v>
      </c>
      <c r="CN77" s="991"/>
    </row>
    <row r="78" spans="3:146" ht="12" hidden="1" customHeight="1">
      <c r="C78" s="168"/>
      <c r="D78" s="231" t="s">
        <v>402</v>
      </c>
      <c r="E78" s="232"/>
      <c r="F78" s="231" t="s">
        <v>384</v>
      </c>
      <c r="G78" s="234"/>
      <c r="H78" s="232" t="s">
        <v>378</v>
      </c>
      <c r="I78" s="232"/>
      <c r="J78" s="234"/>
      <c r="K78" s="231" t="s">
        <v>385</v>
      </c>
      <c r="L78" s="232"/>
      <c r="M78" s="234"/>
      <c r="N78" s="232" t="s">
        <v>371</v>
      </c>
      <c r="O78" s="232"/>
      <c r="P78" s="232"/>
      <c r="Q78" s="234"/>
      <c r="R78" s="231" t="s">
        <v>379</v>
      </c>
      <c r="S78" s="232"/>
      <c r="T78" s="232"/>
      <c r="U78" s="232"/>
      <c r="V78" s="232"/>
      <c r="W78" s="231" t="s">
        <v>403</v>
      </c>
      <c r="X78" s="232"/>
      <c r="Y78" s="232"/>
      <c r="Z78" s="286" t="s">
        <v>403</v>
      </c>
      <c r="AA78" s="232"/>
      <c r="AB78" s="287"/>
      <c r="AC78" s="285" t="s">
        <v>403</v>
      </c>
      <c r="AD78" s="232"/>
      <c r="AE78" s="234"/>
      <c r="AF78" s="233" t="s">
        <v>404</v>
      </c>
      <c r="AG78" s="232"/>
      <c r="AH78" s="232"/>
      <c r="AI78" s="232"/>
      <c r="AJ78" s="234"/>
      <c r="AK78" s="233" t="s">
        <v>399</v>
      </c>
      <c r="AL78" s="232"/>
      <c r="AM78" s="232"/>
      <c r="AN78" s="232"/>
      <c r="AO78" s="232"/>
      <c r="AP78" s="232"/>
      <c r="AQ78" s="279"/>
      <c r="AR78" s="448" t="s">
        <v>405</v>
      </c>
      <c r="AS78" s="232"/>
      <c r="AT78" s="232"/>
      <c r="AU78" s="234"/>
      <c r="AV78" s="231" t="s">
        <v>325</v>
      </c>
      <c r="AW78" s="232"/>
      <c r="AX78" s="232"/>
      <c r="AY78" s="234"/>
      <c r="AZ78" s="231" t="s">
        <v>382</v>
      </c>
      <c r="BA78" s="232"/>
      <c r="BB78" s="232"/>
      <c r="BC78" s="234"/>
      <c r="BD78" s="233" t="s">
        <v>330</v>
      </c>
      <c r="BE78" s="232"/>
      <c r="BF78" s="992">
        <v>9999999</v>
      </c>
      <c r="BG78" s="993"/>
      <c r="BH78" s="993"/>
      <c r="BI78" s="994"/>
      <c r="BJ78" s="992">
        <v>9999999</v>
      </c>
      <c r="BK78" s="993"/>
      <c r="BL78" s="993"/>
      <c r="BM78" s="994"/>
      <c r="BN78" s="992">
        <v>9999999</v>
      </c>
      <c r="BO78" s="993"/>
      <c r="BP78" s="993"/>
      <c r="BQ78" s="994"/>
      <c r="BR78" s="992">
        <v>9999999</v>
      </c>
      <c r="BS78" s="993"/>
      <c r="BT78" s="993"/>
      <c r="BU78" s="994"/>
      <c r="BV78" s="288" t="s">
        <v>373</v>
      </c>
      <c r="BW78" s="290"/>
      <c r="BX78" s="288" t="s">
        <v>328</v>
      </c>
      <c r="BY78" s="289"/>
      <c r="BZ78" s="290"/>
      <c r="CA78" s="288" t="s">
        <v>328</v>
      </c>
      <c r="CB78" s="232"/>
      <c r="CC78" s="234"/>
      <c r="CD78" s="288" t="s">
        <v>328</v>
      </c>
      <c r="CE78" s="232"/>
      <c r="CF78" s="234"/>
      <c r="CG78" s="232"/>
      <c r="CH78" s="232"/>
      <c r="CI78" s="232"/>
      <c r="CJ78" s="232"/>
      <c r="CK78" s="232"/>
      <c r="CL78" s="234"/>
      <c r="CM78" s="990" t="s">
        <v>401</v>
      </c>
      <c r="CN78" s="991"/>
    </row>
    <row r="79" spans="3:146" ht="12" hidden="1" customHeight="1">
      <c r="C79" s="168"/>
      <c r="D79" s="231" t="s">
        <v>406</v>
      </c>
      <c r="E79" s="232"/>
      <c r="F79" s="231" t="s">
        <v>384</v>
      </c>
      <c r="G79" s="234"/>
      <c r="H79" s="232" t="s">
        <v>378</v>
      </c>
      <c r="I79" s="232"/>
      <c r="J79" s="234"/>
      <c r="K79" s="231" t="s">
        <v>385</v>
      </c>
      <c r="L79" s="232"/>
      <c r="M79" s="234"/>
      <c r="N79" s="232" t="s">
        <v>371</v>
      </c>
      <c r="O79" s="232"/>
      <c r="P79" s="232"/>
      <c r="Q79" s="234"/>
      <c r="R79" s="231" t="s">
        <v>379</v>
      </c>
      <c r="S79" s="232"/>
      <c r="T79" s="232"/>
      <c r="U79" s="232"/>
      <c r="V79" s="232"/>
      <c r="W79" s="231" t="s">
        <v>407</v>
      </c>
      <c r="X79" s="232"/>
      <c r="Y79" s="232"/>
      <c r="Z79" s="286" t="s">
        <v>407</v>
      </c>
      <c r="AA79" s="232"/>
      <c r="AB79" s="287"/>
      <c r="AC79" s="285" t="s">
        <v>407</v>
      </c>
      <c r="AD79" s="232"/>
      <c r="AE79" s="234"/>
      <c r="AF79" s="233" t="s">
        <v>408</v>
      </c>
      <c r="AG79" s="232"/>
      <c r="AH79" s="232"/>
      <c r="AI79" s="232"/>
      <c r="AJ79" s="234"/>
      <c r="AK79" s="233" t="s">
        <v>399</v>
      </c>
      <c r="AL79" s="232"/>
      <c r="AM79" s="232"/>
      <c r="AN79" s="232"/>
      <c r="AO79" s="232"/>
      <c r="AP79" s="232"/>
      <c r="AQ79" s="279"/>
      <c r="AR79" s="448" t="s">
        <v>409</v>
      </c>
      <c r="AS79" s="232"/>
      <c r="AT79" s="232"/>
      <c r="AU79" s="234"/>
      <c r="AV79" s="231" t="s">
        <v>325</v>
      </c>
      <c r="AW79" s="232"/>
      <c r="AX79" s="232"/>
      <c r="AY79" s="234"/>
      <c r="AZ79" s="231" t="s">
        <v>382</v>
      </c>
      <c r="BA79" s="232"/>
      <c r="BB79" s="232"/>
      <c r="BC79" s="234"/>
      <c r="BD79" s="233" t="s">
        <v>330</v>
      </c>
      <c r="BE79" s="232"/>
      <c r="BF79" s="992">
        <v>9999999</v>
      </c>
      <c r="BG79" s="993"/>
      <c r="BH79" s="993"/>
      <c r="BI79" s="994"/>
      <c r="BJ79" s="992">
        <v>9999999</v>
      </c>
      <c r="BK79" s="993"/>
      <c r="BL79" s="993"/>
      <c r="BM79" s="994"/>
      <c r="BN79" s="992">
        <v>9999999</v>
      </c>
      <c r="BO79" s="993"/>
      <c r="BP79" s="993"/>
      <c r="BQ79" s="994"/>
      <c r="BR79" s="992">
        <v>9999999</v>
      </c>
      <c r="BS79" s="993"/>
      <c r="BT79" s="993"/>
      <c r="BU79" s="994"/>
      <c r="BV79" s="288" t="s">
        <v>373</v>
      </c>
      <c r="BW79" s="290"/>
      <c r="BX79" s="288" t="s">
        <v>328</v>
      </c>
      <c r="BY79" s="289"/>
      <c r="BZ79" s="290"/>
      <c r="CA79" s="288" t="s">
        <v>328</v>
      </c>
      <c r="CB79" s="232"/>
      <c r="CC79" s="234"/>
      <c r="CD79" s="288" t="s">
        <v>328</v>
      </c>
      <c r="CE79" s="232"/>
      <c r="CF79" s="234"/>
      <c r="CG79" s="232"/>
      <c r="CH79" s="232"/>
      <c r="CI79" s="232"/>
      <c r="CJ79" s="232"/>
      <c r="CK79" s="232"/>
      <c r="CL79" s="234"/>
      <c r="CM79" s="990" t="s">
        <v>401</v>
      </c>
      <c r="CN79" s="991"/>
    </row>
    <row r="80" spans="3:146" ht="12" hidden="1" customHeight="1">
      <c r="C80" s="168"/>
      <c r="D80" s="231" t="s">
        <v>410</v>
      </c>
      <c r="E80" s="232"/>
      <c r="F80" s="231" t="s">
        <v>384</v>
      </c>
      <c r="G80" s="234"/>
      <c r="H80" s="232" t="s">
        <v>378</v>
      </c>
      <c r="I80" s="232"/>
      <c r="J80" s="317"/>
      <c r="K80" s="231" t="s">
        <v>385</v>
      </c>
      <c r="L80" s="232"/>
      <c r="M80" s="234"/>
      <c r="N80" s="232" t="s">
        <v>371</v>
      </c>
      <c r="O80" s="232"/>
      <c r="P80" s="232"/>
      <c r="Q80" s="234"/>
      <c r="R80" s="231" t="s">
        <v>379</v>
      </c>
      <c r="S80" s="232"/>
      <c r="T80" s="232"/>
      <c r="U80" s="232"/>
      <c r="V80" s="232"/>
      <c r="W80" s="231" t="s">
        <v>411</v>
      </c>
      <c r="X80" s="232"/>
      <c r="Y80" s="232"/>
      <c r="Z80" s="286" t="s">
        <v>411</v>
      </c>
      <c r="AA80" s="232"/>
      <c r="AB80" s="287"/>
      <c r="AC80" s="285" t="s">
        <v>411</v>
      </c>
      <c r="AD80" s="232"/>
      <c r="AE80" s="234"/>
      <c r="AF80" s="233" t="s">
        <v>412</v>
      </c>
      <c r="AG80" s="232"/>
      <c r="AH80" s="232"/>
      <c r="AI80" s="232"/>
      <c r="AJ80" s="234"/>
      <c r="AK80" s="233" t="s">
        <v>399</v>
      </c>
      <c r="AL80" s="232"/>
      <c r="AM80" s="232"/>
      <c r="AN80" s="232"/>
      <c r="AO80" s="232"/>
      <c r="AP80" s="232"/>
      <c r="AQ80" s="279"/>
      <c r="AR80" s="448" t="s">
        <v>413</v>
      </c>
      <c r="AS80" s="232"/>
      <c r="AT80" s="232"/>
      <c r="AU80" s="234"/>
      <c r="AV80" s="231" t="s">
        <v>325</v>
      </c>
      <c r="AW80" s="232"/>
      <c r="AX80" s="232"/>
      <c r="AY80" s="234"/>
      <c r="AZ80" s="231" t="s">
        <v>382</v>
      </c>
      <c r="BA80" s="232"/>
      <c r="BB80" s="232"/>
      <c r="BC80" s="234"/>
      <c r="BD80" s="233" t="s">
        <v>330</v>
      </c>
      <c r="BE80" s="232"/>
      <c r="BF80" s="992">
        <v>9999999</v>
      </c>
      <c r="BG80" s="993"/>
      <c r="BH80" s="993"/>
      <c r="BI80" s="994"/>
      <c r="BJ80" s="992">
        <v>9999999</v>
      </c>
      <c r="BK80" s="993"/>
      <c r="BL80" s="993"/>
      <c r="BM80" s="994"/>
      <c r="BN80" s="992">
        <v>9999999</v>
      </c>
      <c r="BO80" s="993"/>
      <c r="BP80" s="993"/>
      <c r="BQ80" s="994"/>
      <c r="BR80" s="992">
        <v>9999999</v>
      </c>
      <c r="BS80" s="993"/>
      <c r="BT80" s="993"/>
      <c r="BU80" s="994"/>
      <c r="BV80" s="288" t="s">
        <v>373</v>
      </c>
      <c r="BW80" s="290"/>
      <c r="BX80" s="288" t="s">
        <v>328</v>
      </c>
      <c r="BY80" s="289"/>
      <c r="BZ80" s="290"/>
      <c r="CA80" s="288" t="s">
        <v>328</v>
      </c>
      <c r="CB80" s="232"/>
      <c r="CC80" s="234"/>
      <c r="CD80" s="288" t="s">
        <v>328</v>
      </c>
      <c r="CE80" s="232"/>
      <c r="CF80" s="234"/>
      <c r="CG80" s="232"/>
      <c r="CH80" s="232"/>
      <c r="CI80" s="232"/>
      <c r="CJ80" s="232"/>
      <c r="CK80" s="232"/>
      <c r="CL80" s="234"/>
      <c r="CM80" s="990" t="s">
        <v>401</v>
      </c>
      <c r="CN80" s="991"/>
    </row>
    <row r="81" spans="3:79" ht="12" hidden="1" customHeight="1">
      <c r="C81" s="168"/>
      <c r="Q81" s="24"/>
    </row>
    <row r="82" spans="3:79" ht="12" customHeight="1">
      <c r="C82" s="168"/>
      <c r="Q82" s="24"/>
    </row>
    <row r="83" spans="3:79" ht="12" customHeight="1">
      <c r="C83" s="449"/>
      <c r="D83" s="226"/>
      <c r="E83" s="226"/>
      <c r="F83" s="226"/>
      <c r="G83" s="226"/>
      <c r="H83" s="226"/>
      <c r="I83" s="226"/>
      <c r="J83" s="226"/>
      <c r="K83" s="226"/>
      <c r="L83" s="226"/>
      <c r="M83" s="226"/>
      <c r="N83" s="226"/>
      <c r="O83" s="226"/>
      <c r="P83" s="226"/>
      <c r="Q83" s="227"/>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row>
    <row r="84" spans="3:79" ht="12" customHeight="1">
      <c r="C84" s="172"/>
      <c r="D84" s="173"/>
      <c r="E84" s="173"/>
      <c r="F84" s="173"/>
      <c r="G84" s="173"/>
      <c r="H84" s="173"/>
      <c r="I84" s="173"/>
      <c r="J84" s="173"/>
      <c r="K84" s="173"/>
      <c r="L84" s="173"/>
      <c r="M84" s="173"/>
      <c r="N84" s="173"/>
      <c r="O84" s="173"/>
      <c r="P84" s="173"/>
      <c r="Q84" s="174"/>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row>
    <row r="94" spans="3:79" ht="20.25" customHeight="1">
      <c r="C94" s="483" t="s">
        <v>414</v>
      </c>
      <c r="AC94" s="1258" t="s">
        <v>210</v>
      </c>
      <c r="AD94" s="1258"/>
      <c r="AE94" s="1258"/>
      <c r="AF94" s="1258"/>
      <c r="AG94" s="1258"/>
      <c r="AH94" s="1258"/>
      <c r="AI94" s="1258"/>
      <c r="AJ94" s="524"/>
      <c r="AK94" s="443" t="s">
        <v>415</v>
      </c>
      <c r="AL94" s="443"/>
      <c r="AM94" s="443"/>
      <c r="AN94" s="443"/>
      <c r="AO94" s="443"/>
      <c r="AP94" s="443"/>
      <c r="AQ94" s="443"/>
      <c r="AR94" s="443"/>
      <c r="AS94" s="443"/>
      <c r="AT94" s="443"/>
      <c r="AU94" s="443"/>
      <c r="AV94" s="443"/>
      <c r="AW94" s="443"/>
      <c r="AX94" s="443"/>
      <c r="AY94" s="443"/>
      <c r="AZ94" s="443"/>
      <c r="BA94" s="443"/>
      <c r="BB94" s="443"/>
      <c r="BC94" s="443"/>
      <c r="BD94" s="443"/>
      <c r="BE94" s="443"/>
      <c r="BF94" s="443"/>
    </row>
    <row r="96" spans="3:79" ht="12" customHeight="1">
      <c r="C96" s="523"/>
    </row>
    <row r="97" spans="3:3" ht="12" customHeight="1">
      <c r="C97" s="443"/>
    </row>
    <row r="129" spans="3:115" ht="12" customHeight="1">
      <c r="C129" s="446"/>
      <c r="D129" s="283"/>
      <c r="E129" s="283"/>
      <c r="F129" s="283"/>
      <c r="G129" s="283"/>
      <c r="H129" s="283"/>
      <c r="I129" s="283"/>
      <c r="J129" s="283"/>
      <c r="K129" s="283"/>
      <c r="L129" s="283"/>
      <c r="M129" s="283"/>
      <c r="N129" s="283"/>
      <c r="O129" s="283"/>
      <c r="P129" s="283"/>
      <c r="Q129" s="432"/>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2" t="s">
        <v>113</v>
      </c>
      <c r="CA129" s="281" t="s">
        <v>113</v>
      </c>
      <c r="CB129" s="24" t="s">
        <v>416</v>
      </c>
      <c r="CC129" s="24" t="s">
        <v>417</v>
      </c>
    </row>
    <row r="130" spans="3:115" ht="12" customHeight="1">
      <c r="C130" s="168"/>
      <c r="BX130" s="282" t="s">
        <v>418</v>
      </c>
    </row>
    <row r="131" spans="3:115" ht="12" customHeight="1">
      <c r="CA131" s="281" t="s">
        <v>418</v>
      </c>
      <c r="CB131" s="24" t="s">
        <v>416</v>
      </c>
      <c r="CC131" s="24" t="s">
        <v>419</v>
      </c>
    </row>
    <row r="133" spans="3:115" ht="12" customHeight="1">
      <c r="C133" s="446"/>
      <c r="D133" s="283"/>
      <c r="E133" s="283"/>
      <c r="F133" s="283"/>
      <c r="G133" s="283"/>
      <c r="H133" s="283"/>
      <c r="I133" s="283"/>
      <c r="J133" s="283"/>
      <c r="K133" s="283"/>
      <c r="L133" s="283"/>
      <c r="M133" s="283"/>
      <c r="N133" s="283"/>
      <c r="O133" s="283"/>
      <c r="P133" s="283"/>
      <c r="Q133" s="432"/>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2" t="s">
        <v>418</v>
      </c>
    </row>
    <row r="134" spans="3:115" ht="12" customHeight="1">
      <c r="C134" s="168"/>
    </row>
    <row r="135" spans="3:115" ht="12" customHeight="1">
      <c r="C135" s="168"/>
      <c r="D135" s="228" t="s">
        <v>349</v>
      </c>
      <c r="E135" s="230"/>
      <c r="F135" s="1186" t="s">
        <v>350</v>
      </c>
      <c r="G135" s="1187"/>
      <c r="H135" s="230" t="s">
        <v>351</v>
      </c>
      <c r="I135" s="230"/>
      <c r="J135" s="229"/>
      <c r="K135" s="228" t="s">
        <v>195</v>
      </c>
      <c r="L135" s="230"/>
      <c r="M135" s="229"/>
      <c r="N135" s="230" t="s">
        <v>352</v>
      </c>
      <c r="O135" s="230"/>
      <c r="P135" s="230"/>
      <c r="Q135" s="229"/>
      <c r="R135" s="228" t="s">
        <v>420</v>
      </c>
      <c r="S135" s="230"/>
      <c r="T135" s="230"/>
      <c r="U135" s="230"/>
      <c r="V135" s="230"/>
      <c r="W135" s="228" t="s">
        <v>421</v>
      </c>
      <c r="X135" s="230"/>
      <c r="Y135" s="230"/>
      <c r="Z135" s="229"/>
      <c r="AA135" s="228" t="s">
        <v>422</v>
      </c>
      <c r="AB135" s="230"/>
      <c r="AC135" s="230"/>
      <c r="AD135" s="230"/>
      <c r="AE135" s="229"/>
      <c r="AF135" s="228" t="s">
        <v>423</v>
      </c>
      <c r="AG135" s="230"/>
      <c r="AH135" s="230"/>
      <c r="AI135" s="229"/>
      <c r="AJ135" s="228" t="s">
        <v>424</v>
      </c>
      <c r="AK135" s="230"/>
      <c r="AL135" s="230"/>
      <c r="AM135" s="230"/>
      <c r="AN135" s="230"/>
      <c r="AO135" s="230"/>
      <c r="AP135" s="230"/>
      <c r="AQ135" s="230"/>
      <c r="AR135" s="230"/>
      <c r="AS135" s="230"/>
      <c r="AT135" s="229"/>
      <c r="AU135" s="228" t="s">
        <v>425</v>
      </c>
      <c r="AV135" s="230"/>
      <c r="AW135" s="230"/>
      <c r="AX135" s="229"/>
      <c r="AY135" s="1188" t="s">
        <v>426</v>
      </c>
      <c r="AZ135" s="1189"/>
      <c r="BA135" s="228" t="s">
        <v>427</v>
      </c>
      <c r="BB135" s="230"/>
      <c r="BC135" s="230"/>
      <c r="BD135" s="229"/>
      <c r="BE135" s="230" t="s">
        <v>428</v>
      </c>
      <c r="BF135" s="230"/>
      <c r="BG135" s="230"/>
      <c r="BH135" s="229"/>
      <c r="BI135" s="228" t="s">
        <v>361</v>
      </c>
      <c r="BJ135" s="230"/>
      <c r="BK135" s="230"/>
      <c r="BL135" s="230"/>
      <c r="BM135" s="1188" t="s">
        <v>429</v>
      </c>
      <c r="BN135" s="1189"/>
      <c r="BO135" s="1186" t="s">
        <v>430</v>
      </c>
      <c r="BP135" s="1190"/>
      <c r="BQ135" s="1187"/>
      <c r="BR135" s="1188" t="s">
        <v>431</v>
      </c>
      <c r="BS135" s="1189"/>
      <c r="BT135" s="228" t="s">
        <v>432</v>
      </c>
      <c r="BU135" s="230"/>
      <c r="BV135" s="230"/>
      <c r="BW135" s="230"/>
      <c r="BX135" s="229"/>
    </row>
    <row r="136" spans="3:115" ht="12" customHeight="1">
      <c r="C136" s="168"/>
      <c r="D136" s="1184">
        <v>1</v>
      </c>
      <c r="E136" s="1185"/>
      <c r="F136" s="1057">
        <v>1234</v>
      </c>
      <c r="G136" s="1176"/>
      <c r="H136" s="232" t="s">
        <v>369</v>
      </c>
      <c r="I136" s="232"/>
      <c r="J136" s="234"/>
      <c r="K136" s="1057">
        <v>12345</v>
      </c>
      <c r="L136" s="1058"/>
      <c r="M136" s="1176"/>
      <c r="N136" s="232" t="s">
        <v>371</v>
      </c>
      <c r="O136" s="232"/>
      <c r="P136" s="232"/>
      <c r="Q136" s="234"/>
      <c r="R136" s="231" t="s">
        <v>433</v>
      </c>
      <c r="S136" s="232"/>
      <c r="T136" s="232"/>
      <c r="U136" s="232"/>
      <c r="V136" s="232"/>
      <c r="W136" s="233" t="s">
        <v>371</v>
      </c>
      <c r="X136" s="232"/>
      <c r="Y136" s="232"/>
      <c r="Z136" s="234"/>
      <c r="AA136" s="233" t="s">
        <v>434</v>
      </c>
      <c r="AB136" s="232"/>
      <c r="AC136" s="232"/>
      <c r="AD136" s="232"/>
      <c r="AE136" s="234"/>
      <c r="AF136" s="231" t="s">
        <v>325</v>
      </c>
      <c r="AG136" s="232"/>
      <c r="AH136" s="232"/>
      <c r="AI136" s="234"/>
      <c r="AJ136" s="233" t="s">
        <v>327</v>
      </c>
      <c r="AK136" s="232"/>
      <c r="AL136" s="232"/>
      <c r="AM136" s="232"/>
      <c r="AN136" s="232"/>
      <c r="AO136" s="232"/>
      <c r="AP136" s="279"/>
      <c r="AQ136" s="448" t="s">
        <v>371</v>
      </c>
      <c r="AR136" s="232"/>
      <c r="AS136" s="232"/>
      <c r="AT136" s="234"/>
      <c r="AU136" s="992">
        <v>9999999</v>
      </c>
      <c r="AV136" s="993"/>
      <c r="AW136" s="993"/>
      <c r="AX136" s="994"/>
      <c r="AY136" s="990"/>
      <c r="AZ136" s="991"/>
      <c r="BA136" s="992">
        <v>9999999</v>
      </c>
      <c r="BB136" s="993"/>
      <c r="BC136" s="993"/>
      <c r="BD136" s="994"/>
      <c r="BE136" s="992">
        <v>9999999</v>
      </c>
      <c r="BF136" s="993"/>
      <c r="BG136" s="993"/>
      <c r="BH136" s="994"/>
      <c r="BI136" s="992">
        <v>9999999</v>
      </c>
      <c r="BJ136" s="993"/>
      <c r="BK136" s="993"/>
      <c r="BL136" s="994"/>
      <c r="BM136" s="990" t="s">
        <v>435</v>
      </c>
      <c r="BN136" s="991"/>
      <c r="BO136" s="233" t="s">
        <v>436</v>
      </c>
      <c r="BP136" s="232"/>
      <c r="BQ136" s="234"/>
      <c r="BR136" s="990" t="s">
        <v>401</v>
      </c>
      <c r="BS136" s="991"/>
      <c r="BT136" s="233"/>
      <c r="BU136" s="232"/>
      <c r="BV136" s="232"/>
      <c r="BW136" s="232"/>
      <c r="BX136" s="234"/>
    </row>
    <row r="137" spans="3:115" ht="12" customHeight="1">
      <c r="C137" s="168"/>
      <c r="D137" s="1184">
        <v>2</v>
      </c>
      <c r="E137" s="1185"/>
      <c r="F137" s="1057">
        <v>1234</v>
      </c>
      <c r="G137" s="1176"/>
      <c r="H137" s="232" t="s">
        <v>369</v>
      </c>
      <c r="I137" s="232"/>
      <c r="J137" s="234"/>
      <c r="K137" s="1057">
        <v>12345</v>
      </c>
      <c r="L137" s="1058"/>
      <c r="M137" s="1176"/>
      <c r="N137" s="232" t="s">
        <v>371</v>
      </c>
      <c r="O137" s="232"/>
      <c r="P137" s="232"/>
      <c r="Q137" s="234"/>
      <c r="R137" s="231" t="s">
        <v>433</v>
      </c>
      <c r="S137" s="232"/>
      <c r="T137" s="232"/>
      <c r="U137" s="232"/>
      <c r="V137" s="232"/>
      <c r="W137" s="233" t="s">
        <v>371</v>
      </c>
      <c r="X137" s="232"/>
      <c r="Y137" s="232"/>
      <c r="Z137" s="234"/>
      <c r="AA137" s="233" t="s">
        <v>437</v>
      </c>
      <c r="AB137" s="232"/>
      <c r="AC137" s="232"/>
      <c r="AD137" s="232"/>
      <c r="AE137" s="234"/>
      <c r="AF137" s="231" t="s">
        <v>325</v>
      </c>
      <c r="AG137" s="232"/>
      <c r="AH137" s="232"/>
      <c r="AI137" s="234"/>
      <c r="AJ137" s="233" t="s">
        <v>327</v>
      </c>
      <c r="AK137" s="232"/>
      <c r="AL137" s="232"/>
      <c r="AM137" s="232"/>
      <c r="AN137" s="232"/>
      <c r="AO137" s="232"/>
      <c r="AP137" s="279"/>
      <c r="AQ137" s="448" t="s">
        <v>371</v>
      </c>
      <c r="AR137" s="232"/>
      <c r="AS137" s="232"/>
      <c r="AT137" s="234"/>
      <c r="AU137" s="992">
        <v>9999999</v>
      </c>
      <c r="AV137" s="993"/>
      <c r="AW137" s="993"/>
      <c r="AX137" s="994"/>
      <c r="AY137" s="990"/>
      <c r="AZ137" s="991"/>
      <c r="BA137" s="992">
        <v>9999999</v>
      </c>
      <c r="BB137" s="993"/>
      <c r="BC137" s="993"/>
      <c r="BD137" s="994"/>
      <c r="BE137" s="992">
        <v>9999999</v>
      </c>
      <c r="BF137" s="993"/>
      <c r="BG137" s="993"/>
      <c r="BH137" s="994"/>
      <c r="BI137" s="992">
        <v>9999999</v>
      </c>
      <c r="BJ137" s="993"/>
      <c r="BK137" s="993"/>
      <c r="BL137" s="994"/>
      <c r="BM137" s="990" t="s">
        <v>438</v>
      </c>
      <c r="BN137" s="991"/>
      <c r="BO137" s="233" t="s">
        <v>436</v>
      </c>
      <c r="BP137" s="232"/>
      <c r="BQ137" s="234"/>
      <c r="BR137" s="990" t="s">
        <v>401</v>
      </c>
      <c r="BS137" s="991"/>
      <c r="BT137" s="233"/>
      <c r="BU137" s="232"/>
      <c r="BV137" s="232"/>
      <c r="BW137" s="232"/>
      <c r="BX137" s="234"/>
    </row>
    <row r="138" spans="3:115" ht="12" customHeight="1">
      <c r="C138" s="168"/>
      <c r="D138" s="1184">
        <v>3</v>
      </c>
      <c r="E138" s="1185"/>
      <c r="F138" s="1057">
        <v>1234</v>
      </c>
      <c r="G138" s="1176"/>
      <c r="H138" s="232" t="s">
        <v>378</v>
      </c>
      <c r="I138" s="232"/>
      <c r="J138" s="234"/>
      <c r="K138" s="1057">
        <v>12345</v>
      </c>
      <c r="L138" s="1058"/>
      <c r="M138" s="1176"/>
      <c r="N138" s="232" t="s">
        <v>371</v>
      </c>
      <c r="O138" s="232"/>
      <c r="P138" s="232"/>
      <c r="Q138" s="234"/>
      <c r="R138" s="231" t="s">
        <v>439</v>
      </c>
      <c r="S138" s="232"/>
      <c r="T138" s="232"/>
      <c r="U138" s="232"/>
      <c r="V138" s="232"/>
      <c r="W138" s="233" t="s">
        <v>440</v>
      </c>
      <c r="X138" s="232"/>
      <c r="Y138" s="232"/>
      <c r="Z138" s="234"/>
      <c r="AA138" s="233" t="s">
        <v>441</v>
      </c>
      <c r="AB138" s="232"/>
      <c r="AC138" s="232"/>
      <c r="AD138" s="232"/>
      <c r="AE138" s="234"/>
      <c r="AF138" s="231" t="s">
        <v>325</v>
      </c>
      <c r="AG138" s="232"/>
      <c r="AH138" s="232"/>
      <c r="AI138" s="234"/>
      <c r="AJ138" s="233" t="s">
        <v>327</v>
      </c>
      <c r="AK138" s="232"/>
      <c r="AL138" s="232"/>
      <c r="AM138" s="232"/>
      <c r="AN138" s="232"/>
      <c r="AO138" s="232"/>
      <c r="AP138" s="279"/>
      <c r="AQ138" s="448" t="s">
        <v>371</v>
      </c>
      <c r="AR138" s="232"/>
      <c r="AS138" s="232"/>
      <c r="AT138" s="234"/>
      <c r="AU138" s="992">
        <v>9999999</v>
      </c>
      <c r="AV138" s="993"/>
      <c r="AW138" s="993"/>
      <c r="AX138" s="994"/>
      <c r="AY138" s="990" t="s">
        <v>442</v>
      </c>
      <c r="AZ138" s="991"/>
      <c r="BA138" s="992">
        <v>9999999</v>
      </c>
      <c r="BB138" s="993"/>
      <c r="BC138" s="993"/>
      <c r="BD138" s="994"/>
      <c r="BE138" s="992">
        <v>9999999</v>
      </c>
      <c r="BF138" s="993"/>
      <c r="BG138" s="993"/>
      <c r="BH138" s="994"/>
      <c r="BI138" s="992">
        <v>9999999</v>
      </c>
      <c r="BJ138" s="993"/>
      <c r="BK138" s="993"/>
      <c r="BL138" s="994"/>
      <c r="BM138" s="990" t="s">
        <v>438</v>
      </c>
      <c r="BN138" s="991"/>
      <c r="BO138" s="233" t="s">
        <v>436</v>
      </c>
      <c r="BP138" s="232"/>
      <c r="BQ138" s="234"/>
      <c r="BR138" s="990" t="s">
        <v>401</v>
      </c>
      <c r="BS138" s="991"/>
      <c r="BT138" s="233" t="s">
        <v>326</v>
      </c>
      <c r="BU138" s="232"/>
      <c r="BV138" s="232"/>
      <c r="BW138" s="232"/>
      <c r="BX138" s="234"/>
    </row>
    <row r="139" spans="3:115" ht="12" customHeight="1">
      <c r="C139" s="168"/>
      <c r="D139" s="1184">
        <v>4</v>
      </c>
      <c r="E139" s="1185"/>
      <c r="F139" s="1057">
        <v>1234</v>
      </c>
      <c r="G139" s="1176"/>
      <c r="H139" s="232" t="s">
        <v>378</v>
      </c>
      <c r="I139" s="232"/>
      <c r="J139" s="234"/>
      <c r="K139" s="1057">
        <v>12345</v>
      </c>
      <c r="L139" s="1058"/>
      <c r="M139" s="1176"/>
      <c r="N139" s="232" t="s">
        <v>371</v>
      </c>
      <c r="O139" s="232"/>
      <c r="P139" s="232"/>
      <c r="Q139" s="234"/>
      <c r="R139" s="231" t="s">
        <v>439</v>
      </c>
      <c r="S139" s="232"/>
      <c r="T139" s="232"/>
      <c r="U139" s="232"/>
      <c r="V139" s="232"/>
      <c r="W139" s="233" t="s">
        <v>440</v>
      </c>
      <c r="X139" s="232"/>
      <c r="Y139" s="232"/>
      <c r="Z139" s="234"/>
      <c r="AA139" s="233" t="s">
        <v>443</v>
      </c>
      <c r="AB139" s="232"/>
      <c r="AC139" s="232"/>
      <c r="AD139" s="232"/>
      <c r="AE139" s="234"/>
      <c r="AF139" s="231" t="s">
        <v>325</v>
      </c>
      <c r="AG139" s="232"/>
      <c r="AH139" s="232"/>
      <c r="AI139" s="234"/>
      <c r="AJ139" s="233" t="s">
        <v>327</v>
      </c>
      <c r="AK139" s="232"/>
      <c r="AL139" s="232"/>
      <c r="AM139" s="232"/>
      <c r="AN139" s="232"/>
      <c r="AO139" s="232"/>
      <c r="AP139" s="279"/>
      <c r="AQ139" s="448" t="s">
        <v>371</v>
      </c>
      <c r="AR139" s="232"/>
      <c r="AS139" s="232"/>
      <c r="AT139" s="234"/>
      <c r="AU139" s="992">
        <v>9999999</v>
      </c>
      <c r="AV139" s="993"/>
      <c r="AW139" s="993"/>
      <c r="AX139" s="994"/>
      <c r="AY139" s="990"/>
      <c r="AZ139" s="991"/>
      <c r="BA139" s="992">
        <v>9999999</v>
      </c>
      <c r="BB139" s="993"/>
      <c r="BC139" s="993"/>
      <c r="BD139" s="994"/>
      <c r="BE139" s="992">
        <v>9999999</v>
      </c>
      <c r="BF139" s="993"/>
      <c r="BG139" s="993"/>
      <c r="BH139" s="994"/>
      <c r="BI139" s="992">
        <v>9999999</v>
      </c>
      <c r="BJ139" s="993"/>
      <c r="BK139" s="993"/>
      <c r="BL139" s="994"/>
      <c r="BM139" s="990" t="s">
        <v>438</v>
      </c>
      <c r="BN139" s="991"/>
      <c r="BO139" s="233" t="s">
        <v>436</v>
      </c>
      <c r="BP139" s="232"/>
      <c r="BQ139" s="234"/>
      <c r="BR139" s="990" t="s">
        <v>401</v>
      </c>
      <c r="BS139" s="991"/>
      <c r="BT139" s="233"/>
      <c r="BU139" s="232"/>
      <c r="BV139" s="232"/>
      <c r="BW139" s="232"/>
      <c r="BX139" s="234"/>
    </row>
    <row r="140" spans="3:115" ht="12" customHeight="1">
      <c r="C140" s="168"/>
      <c r="D140" s="1184">
        <v>5</v>
      </c>
      <c r="E140" s="1185"/>
      <c r="F140" s="1057">
        <v>1234</v>
      </c>
      <c r="G140" s="1176"/>
      <c r="H140" s="232" t="s">
        <v>378</v>
      </c>
      <c r="I140" s="232"/>
      <c r="J140" s="234"/>
      <c r="K140" s="1057">
        <v>12345</v>
      </c>
      <c r="L140" s="1058"/>
      <c r="M140" s="1176"/>
      <c r="N140" s="232" t="s">
        <v>371</v>
      </c>
      <c r="O140" s="232"/>
      <c r="P140" s="232"/>
      <c r="Q140" s="234"/>
      <c r="R140" s="231" t="s">
        <v>439</v>
      </c>
      <c r="S140" s="232"/>
      <c r="T140" s="232"/>
      <c r="U140" s="232"/>
      <c r="V140" s="232"/>
      <c r="W140" s="233" t="s">
        <v>440</v>
      </c>
      <c r="X140" s="232"/>
      <c r="Y140" s="232"/>
      <c r="Z140" s="234"/>
      <c r="AA140" s="233" t="s">
        <v>444</v>
      </c>
      <c r="AB140" s="232"/>
      <c r="AC140" s="232"/>
      <c r="AD140" s="232"/>
      <c r="AE140" s="234"/>
      <c r="AF140" s="231" t="s">
        <v>325</v>
      </c>
      <c r="AG140" s="232"/>
      <c r="AH140" s="232"/>
      <c r="AI140" s="234"/>
      <c r="AJ140" s="233" t="s">
        <v>327</v>
      </c>
      <c r="AK140" s="232"/>
      <c r="AL140" s="232"/>
      <c r="AM140" s="232"/>
      <c r="AN140" s="232"/>
      <c r="AO140" s="232"/>
      <c r="AP140" s="279"/>
      <c r="AQ140" s="448" t="s">
        <v>371</v>
      </c>
      <c r="AR140" s="232"/>
      <c r="AS140" s="232"/>
      <c r="AT140" s="234"/>
      <c r="AU140" s="992">
        <v>9999999</v>
      </c>
      <c r="AV140" s="993"/>
      <c r="AW140" s="993"/>
      <c r="AX140" s="994"/>
      <c r="AY140" s="990"/>
      <c r="AZ140" s="991"/>
      <c r="BA140" s="992">
        <v>9999999</v>
      </c>
      <c r="BB140" s="993"/>
      <c r="BC140" s="993"/>
      <c r="BD140" s="994"/>
      <c r="BE140" s="992">
        <v>9999999</v>
      </c>
      <c r="BF140" s="993"/>
      <c r="BG140" s="993"/>
      <c r="BH140" s="994"/>
      <c r="BI140" s="992">
        <v>9999999</v>
      </c>
      <c r="BJ140" s="993"/>
      <c r="BK140" s="993"/>
      <c r="BL140" s="994"/>
      <c r="BM140" s="990" t="s">
        <v>438</v>
      </c>
      <c r="BN140" s="991"/>
      <c r="BO140" s="233" t="s">
        <v>436</v>
      </c>
      <c r="BP140" s="232"/>
      <c r="BQ140" s="234"/>
      <c r="BR140" s="990" t="s">
        <v>401</v>
      </c>
      <c r="BS140" s="991"/>
      <c r="BT140" s="233"/>
      <c r="BU140" s="232"/>
      <c r="BV140" s="232"/>
      <c r="BW140" s="232"/>
      <c r="BX140" s="234"/>
    </row>
    <row r="141" spans="3:115" ht="12" customHeight="1">
      <c r="C141" s="168"/>
      <c r="D141" s="1184">
        <v>6</v>
      </c>
      <c r="E141" s="1185"/>
      <c r="F141" s="1057">
        <v>1234</v>
      </c>
      <c r="G141" s="1176"/>
      <c r="H141" s="232" t="s">
        <v>378</v>
      </c>
      <c r="I141" s="232"/>
      <c r="J141" s="234"/>
      <c r="K141" s="1057">
        <v>12345</v>
      </c>
      <c r="L141" s="1058"/>
      <c r="M141" s="1176"/>
      <c r="N141" s="232" t="s">
        <v>371</v>
      </c>
      <c r="O141" s="232"/>
      <c r="P141" s="232"/>
      <c r="Q141" s="234"/>
      <c r="R141" s="231" t="s">
        <v>439</v>
      </c>
      <c r="S141" s="232"/>
      <c r="T141" s="232"/>
      <c r="U141" s="232"/>
      <c r="V141" s="232"/>
      <c r="W141" s="233" t="s">
        <v>440</v>
      </c>
      <c r="X141" s="232"/>
      <c r="Y141" s="232"/>
      <c r="Z141" s="234"/>
      <c r="AA141" s="233" t="s">
        <v>445</v>
      </c>
      <c r="AB141" s="232"/>
      <c r="AC141" s="232"/>
      <c r="AD141" s="232"/>
      <c r="AE141" s="234"/>
      <c r="AF141" s="231" t="s">
        <v>325</v>
      </c>
      <c r="AG141" s="232"/>
      <c r="AH141" s="232"/>
      <c r="AI141" s="234"/>
      <c r="AJ141" s="233" t="s">
        <v>394</v>
      </c>
      <c r="AK141" s="232"/>
      <c r="AL141" s="232"/>
      <c r="AM141" s="232"/>
      <c r="AN141" s="232"/>
      <c r="AO141" s="232"/>
      <c r="AP141" s="279"/>
      <c r="AQ141" s="448" t="s">
        <v>395</v>
      </c>
      <c r="AR141" s="232"/>
      <c r="AS141" s="232"/>
      <c r="AT141" s="234"/>
      <c r="AU141" s="992">
        <v>9999999</v>
      </c>
      <c r="AV141" s="993"/>
      <c r="AW141" s="993"/>
      <c r="AX141" s="994"/>
      <c r="AY141" s="990" t="s">
        <v>442</v>
      </c>
      <c r="AZ141" s="991"/>
      <c r="BA141" s="992">
        <v>9999999</v>
      </c>
      <c r="BB141" s="993"/>
      <c r="BC141" s="993"/>
      <c r="BD141" s="994"/>
      <c r="BE141" s="992">
        <v>9999999</v>
      </c>
      <c r="BF141" s="993"/>
      <c r="BG141" s="993"/>
      <c r="BH141" s="994"/>
      <c r="BI141" s="992">
        <v>9999999</v>
      </c>
      <c r="BJ141" s="993"/>
      <c r="BK141" s="993"/>
      <c r="BL141" s="994"/>
      <c r="BM141" s="990" t="s">
        <v>446</v>
      </c>
      <c r="BN141" s="991"/>
      <c r="BO141" s="233" t="s">
        <v>447</v>
      </c>
      <c r="BP141" s="232"/>
      <c r="BQ141" s="234"/>
      <c r="BR141" s="990" t="s">
        <v>401</v>
      </c>
      <c r="BS141" s="991"/>
      <c r="BT141" s="233" t="s">
        <v>326</v>
      </c>
      <c r="BU141" s="232"/>
      <c r="BV141" s="232"/>
      <c r="BW141" s="232"/>
      <c r="BX141" s="234"/>
    </row>
    <row r="142" spans="3:115" ht="12" customHeight="1">
      <c r="C142" s="168"/>
      <c r="D142" s="1184">
        <v>7</v>
      </c>
      <c r="E142" s="1185"/>
      <c r="F142" s="1057">
        <v>1234</v>
      </c>
      <c r="G142" s="1176"/>
      <c r="H142" s="232" t="s">
        <v>378</v>
      </c>
      <c r="I142" s="232"/>
      <c r="J142" s="234"/>
      <c r="K142" s="1057">
        <v>12345</v>
      </c>
      <c r="L142" s="1058"/>
      <c r="M142" s="1176"/>
      <c r="N142" s="232" t="s">
        <v>371</v>
      </c>
      <c r="O142" s="232"/>
      <c r="P142" s="232"/>
      <c r="Q142" s="234"/>
      <c r="R142" s="231" t="s">
        <v>439</v>
      </c>
      <c r="S142" s="232"/>
      <c r="T142" s="232"/>
      <c r="U142" s="232"/>
      <c r="V142" s="232"/>
      <c r="W142" s="233" t="s">
        <v>440</v>
      </c>
      <c r="X142" s="232"/>
      <c r="Y142" s="232"/>
      <c r="Z142" s="234"/>
      <c r="AA142" s="233" t="s">
        <v>448</v>
      </c>
      <c r="AB142" s="232"/>
      <c r="AC142" s="232"/>
      <c r="AD142" s="232"/>
      <c r="AE142" s="234"/>
      <c r="AF142" s="231" t="s">
        <v>325</v>
      </c>
      <c r="AG142" s="232"/>
      <c r="AH142" s="232"/>
      <c r="AI142" s="234"/>
      <c r="AJ142" s="233" t="s">
        <v>399</v>
      </c>
      <c r="AK142" s="232"/>
      <c r="AL142" s="232"/>
      <c r="AM142" s="232"/>
      <c r="AN142" s="232"/>
      <c r="AO142" s="232"/>
      <c r="AP142" s="279"/>
      <c r="AQ142" s="448" t="s">
        <v>400</v>
      </c>
      <c r="AR142" s="232"/>
      <c r="AS142" s="232"/>
      <c r="AT142" s="234"/>
      <c r="AU142" s="992">
        <v>9999999</v>
      </c>
      <c r="AV142" s="993"/>
      <c r="AW142" s="993"/>
      <c r="AX142" s="994"/>
      <c r="AY142" s="990" t="s">
        <v>442</v>
      </c>
      <c r="AZ142" s="991"/>
      <c r="BA142" s="992">
        <v>9999999</v>
      </c>
      <c r="BB142" s="993"/>
      <c r="BC142" s="993"/>
      <c r="BD142" s="994"/>
      <c r="BE142" s="992">
        <v>9999999</v>
      </c>
      <c r="BF142" s="993"/>
      <c r="BG142" s="993"/>
      <c r="BH142" s="994"/>
      <c r="BI142" s="992">
        <v>9999999</v>
      </c>
      <c r="BJ142" s="993"/>
      <c r="BK142" s="993"/>
      <c r="BL142" s="994"/>
      <c r="BM142" s="990" t="s">
        <v>449</v>
      </c>
      <c r="BN142" s="991"/>
      <c r="BO142" s="233" t="s">
        <v>447</v>
      </c>
      <c r="BP142" s="232"/>
      <c r="BQ142" s="234"/>
      <c r="BR142" s="990" t="s">
        <v>401</v>
      </c>
      <c r="BS142" s="991"/>
      <c r="BT142" s="233" t="s">
        <v>326</v>
      </c>
      <c r="BU142" s="232"/>
      <c r="BV142" s="232"/>
      <c r="BW142" s="232"/>
      <c r="BX142" s="234"/>
      <c r="DK142" s="223"/>
    </row>
    <row r="143" spans="3:115" ht="12" customHeight="1">
      <c r="C143" s="168"/>
      <c r="D143" s="1184">
        <v>8</v>
      </c>
      <c r="E143" s="1185"/>
      <c r="F143" s="1057">
        <v>1234</v>
      </c>
      <c r="G143" s="1176"/>
      <c r="H143" s="232" t="s">
        <v>378</v>
      </c>
      <c r="I143" s="232"/>
      <c r="J143" s="234"/>
      <c r="K143" s="1057">
        <v>12345</v>
      </c>
      <c r="L143" s="1058"/>
      <c r="M143" s="1176"/>
      <c r="N143" s="232" t="s">
        <v>371</v>
      </c>
      <c r="O143" s="232"/>
      <c r="P143" s="232"/>
      <c r="Q143" s="234"/>
      <c r="R143" s="231" t="s">
        <v>439</v>
      </c>
      <c r="S143" s="232"/>
      <c r="T143" s="232"/>
      <c r="U143" s="232"/>
      <c r="V143" s="232"/>
      <c r="W143" s="233" t="s">
        <v>440</v>
      </c>
      <c r="X143" s="232"/>
      <c r="Y143" s="232"/>
      <c r="Z143" s="234"/>
      <c r="AA143" s="233" t="s">
        <v>450</v>
      </c>
      <c r="AB143" s="232"/>
      <c r="AC143" s="232"/>
      <c r="AD143" s="232"/>
      <c r="AE143" s="234"/>
      <c r="AF143" s="231" t="s">
        <v>325</v>
      </c>
      <c r="AG143" s="232"/>
      <c r="AH143" s="232"/>
      <c r="AI143" s="234"/>
      <c r="AJ143" s="233" t="s">
        <v>399</v>
      </c>
      <c r="AK143" s="232"/>
      <c r="AL143" s="232"/>
      <c r="AM143" s="232"/>
      <c r="AN143" s="232"/>
      <c r="AO143" s="232"/>
      <c r="AP143" s="279"/>
      <c r="AQ143" s="448" t="s">
        <v>405</v>
      </c>
      <c r="AR143" s="232"/>
      <c r="AS143" s="232"/>
      <c r="AT143" s="234"/>
      <c r="AU143" s="992">
        <v>9999999</v>
      </c>
      <c r="AV143" s="993"/>
      <c r="AW143" s="993"/>
      <c r="AX143" s="994"/>
      <c r="AY143" s="990" t="s">
        <v>442</v>
      </c>
      <c r="AZ143" s="991"/>
      <c r="BA143" s="992">
        <v>9999999</v>
      </c>
      <c r="BB143" s="993"/>
      <c r="BC143" s="993"/>
      <c r="BD143" s="994"/>
      <c r="BE143" s="992">
        <v>9999999</v>
      </c>
      <c r="BF143" s="993"/>
      <c r="BG143" s="993"/>
      <c r="BH143" s="994"/>
      <c r="BI143" s="992">
        <v>9999999</v>
      </c>
      <c r="BJ143" s="993"/>
      <c r="BK143" s="993"/>
      <c r="BL143" s="994"/>
      <c r="BM143" s="990" t="s">
        <v>449</v>
      </c>
      <c r="BN143" s="991"/>
      <c r="BO143" s="233" t="s">
        <v>447</v>
      </c>
      <c r="BP143" s="232"/>
      <c r="BQ143" s="234"/>
      <c r="BR143" s="990" t="s">
        <v>401</v>
      </c>
      <c r="BS143" s="991"/>
      <c r="BT143" s="233" t="s">
        <v>326</v>
      </c>
      <c r="BU143" s="232"/>
      <c r="BV143" s="232"/>
      <c r="BW143" s="232"/>
      <c r="BX143" s="234"/>
      <c r="CD143" s="26"/>
    </row>
    <row r="144" spans="3:115" ht="12" customHeight="1">
      <c r="C144" s="168"/>
      <c r="D144" s="1184">
        <v>9</v>
      </c>
      <c r="E144" s="1185"/>
      <c r="F144" s="1057">
        <v>1234</v>
      </c>
      <c r="G144" s="1176"/>
      <c r="H144" s="232" t="s">
        <v>378</v>
      </c>
      <c r="I144" s="232"/>
      <c r="J144" s="234"/>
      <c r="K144" s="1057">
        <v>12345</v>
      </c>
      <c r="L144" s="1058"/>
      <c r="M144" s="1176"/>
      <c r="N144" s="232" t="s">
        <v>371</v>
      </c>
      <c r="O144" s="232"/>
      <c r="P144" s="232"/>
      <c r="Q144" s="234"/>
      <c r="R144" s="231" t="s">
        <v>439</v>
      </c>
      <c r="S144" s="232"/>
      <c r="T144" s="232"/>
      <c r="U144" s="232"/>
      <c r="V144" s="232"/>
      <c r="W144" s="233" t="s">
        <v>440</v>
      </c>
      <c r="X144" s="232"/>
      <c r="Y144" s="232"/>
      <c r="Z144" s="234"/>
      <c r="AA144" s="233" t="s">
        <v>451</v>
      </c>
      <c r="AB144" s="232"/>
      <c r="AC144" s="232"/>
      <c r="AD144" s="232"/>
      <c r="AE144" s="234"/>
      <c r="AF144" s="231" t="s">
        <v>325</v>
      </c>
      <c r="AG144" s="232"/>
      <c r="AH144" s="232"/>
      <c r="AI144" s="234"/>
      <c r="AJ144" s="233" t="s">
        <v>399</v>
      </c>
      <c r="AK144" s="232"/>
      <c r="AL144" s="232"/>
      <c r="AM144" s="232"/>
      <c r="AN144" s="232"/>
      <c r="AO144" s="232"/>
      <c r="AP144" s="279"/>
      <c r="AQ144" s="448" t="s">
        <v>409</v>
      </c>
      <c r="AR144" s="232"/>
      <c r="AS144" s="232"/>
      <c r="AT144" s="234"/>
      <c r="AU144" s="992">
        <v>9999999</v>
      </c>
      <c r="AV144" s="993"/>
      <c r="AW144" s="993"/>
      <c r="AX144" s="994"/>
      <c r="AY144" s="990"/>
      <c r="AZ144" s="991"/>
      <c r="BA144" s="992">
        <v>9999999</v>
      </c>
      <c r="BB144" s="993"/>
      <c r="BC144" s="993"/>
      <c r="BD144" s="994"/>
      <c r="BE144" s="992">
        <v>9999999</v>
      </c>
      <c r="BF144" s="993"/>
      <c r="BG144" s="993"/>
      <c r="BH144" s="994"/>
      <c r="BI144" s="992">
        <v>9999999</v>
      </c>
      <c r="BJ144" s="993"/>
      <c r="BK144" s="993"/>
      <c r="BL144" s="994"/>
      <c r="BM144" s="990" t="s">
        <v>438</v>
      </c>
      <c r="BN144" s="991"/>
      <c r="BO144" s="233" t="s">
        <v>447</v>
      </c>
      <c r="BP144" s="232"/>
      <c r="BQ144" s="234"/>
      <c r="BR144" s="990" t="s">
        <v>401</v>
      </c>
      <c r="BS144" s="991"/>
      <c r="BT144" s="233"/>
      <c r="BU144" s="232"/>
      <c r="BV144" s="232"/>
      <c r="BW144" s="232"/>
      <c r="BX144" s="234"/>
    </row>
    <row r="145" spans="3:76" ht="12" customHeight="1">
      <c r="C145" s="168"/>
      <c r="D145" s="1184">
        <v>10</v>
      </c>
      <c r="E145" s="1185"/>
      <c r="F145" s="1057">
        <v>1234</v>
      </c>
      <c r="G145" s="1176"/>
      <c r="H145" s="232" t="s">
        <v>378</v>
      </c>
      <c r="I145" s="232"/>
      <c r="J145" s="234"/>
      <c r="K145" s="1057">
        <v>12345</v>
      </c>
      <c r="L145" s="1058"/>
      <c r="M145" s="1176"/>
      <c r="N145" s="232" t="s">
        <v>371</v>
      </c>
      <c r="O145" s="232"/>
      <c r="P145" s="232"/>
      <c r="Q145" s="234"/>
      <c r="R145" s="231" t="s">
        <v>439</v>
      </c>
      <c r="S145" s="232"/>
      <c r="T145" s="232"/>
      <c r="U145" s="232"/>
      <c r="V145" s="232"/>
      <c r="W145" s="233" t="s">
        <v>440</v>
      </c>
      <c r="X145" s="232"/>
      <c r="Y145" s="232"/>
      <c r="Z145" s="234"/>
      <c r="AA145" s="233" t="s">
        <v>452</v>
      </c>
      <c r="AB145" s="232"/>
      <c r="AC145" s="232"/>
      <c r="AD145" s="232"/>
      <c r="AE145" s="234"/>
      <c r="AF145" s="231" t="s">
        <v>325</v>
      </c>
      <c r="AG145" s="232"/>
      <c r="AH145" s="232"/>
      <c r="AI145" s="234"/>
      <c r="AJ145" s="233" t="s">
        <v>399</v>
      </c>
      <c r="AK145" s="232"/>
      <c r="AL145" s="232"/>
      <c r="AM145" s="232"/>
      <c r="AN145" s="232"/>
      <c r="AO145" s="232"/>
      <c r="AP145" s="279"/>
      <c r="AQ145" s="448" t="s">
        <v>413</v>
      </c>
      <c r="AR145" s="232"/>
      <c r="AS145" s="232"/>
      <c r="AT145" s="234"/>
      <c r="AU145" s="992">
        <v>9999999</v>
      </c>
      <c r="AV145" s="993"/>
      <c r="AW145" s="993"/>
      <c r="AX145" s="994"/>
      <c r="AY145" s="990" t="s">
        <v>442</v>
      </c>
      <c r="AZ145" s="991"/>
      <c r="BA145" s="992">
        <v>9999999</v>
      </c>
      <c r="BB145" s="993"/>
      <c r="BC145" s="993"/>
      <c r="BD145" s="994"/>
      <c r="BE145" s="992">
        <v>9999999</v>
      </c>
      <c r="BF145" s="993"/>
      <c r="BG145" s="993"/>
      <c r="BH145" s="994"/>
      <c r="BI145" s="992">
        <v>9999999</v>
      </c>
      <c r="BJ145" s="993"/>
      <c r="BK145" s="993"/>
      <c r="BL145" s="994"/>
      <c r="BM145" s="990" t="s">
        <v>449</v>
      </c>
      <c r="BN145" s="991"/>
      <c r="BO145" s="233" t="s">
        <v>447</v>
      </c>
      <c r="BP145" s="232"/>
      <c r="BQ145" s="234"/>
      <c r="BR145" s="990" t="s">
        <v>401</v>
      </c>
      <c r="BS145" s="991"/>
      <c r="BT145" s="233" t="s">
        <v>326</v>
      </c>
      <c r="BU145" s="232"/>
      <c r="BV145" s="232"/>
      <c r="BW145" s="232"/>
      <c r="BX145" s="234"/>
    </row>
    <row r="146" spans="3:76" ht="12" customHeight="1">
      <c r="C146" s="168"/>
      <c r="D146" s="1184">
        <v>11</v>
      </c>
      <c r="E146" s="1185"/>
      <c r="F146" s="1057">
        <v>1234</v>
      </c>
      <c r="G146" s="1176"/>
      <c r="H146" s="232" t="s">
        <v>378</v>
      </c>
      <c r="I146" s="232"/>
      <c r="J146" s="234"/>
      <c r="K146" s="1057">
        <v>12345</v>
      </c>
      <c r="L146" s="1058"/>
      <c r="M146" s="1176"/>
      <c r="N146" s="232" t="s">
        <v>371</v>
      </c>
      <c r="O146" s="232"/>
      <c r="P146" s="232"/>
      <c r="Q146" s="234"/>
      <c r="R146" s="231" t="s">
        <v>439</v>
      </c>
      <c r="S146" s="232"/>
      <c r="T146" s="232"/>
      <c r="U146" s="232"/>
      <c r="V146" s="232"/>
      <c r="W146" s="233" t="s">
        <v>440</v>
      </c>
      <c r="X146" s="232"/>
      <c r="Y146" s="232"/>
      <c r="Z146" s="234"/>
      <c r="AA146" s="233" t="s">
        <v>452</v>
      </c>
      <c r="AB146" s="232"/>
      <c r="AC146" s="232"/>
      <c r="AD146" s="232"/>
      <c r="AE146" s="234"/>
      <c r="AF146" s="231" t="s">
        <v>325</v>
      </c>
      <c r="AG146" s="232"/>
      <c r="AH146" s="232"/>
      <c r="AI146" s="234"/>
      <c r="AJ146" s="233" t="s">
        <v>399</v>
      </c>
      <c r="AK146" s="232"/>
      <c r="AL146" s="232"/>
      <c r="AM146" s="232"/>
      <c r="AN146" s="232"/>
      <c r="AO146" s="232"/>
      <c r="AP146" s="279"/>
      <c r="AQ146" s="448" t="s">
        <v>413</v>
      </c>
      <c r="AR146" s="232"/>
      <c r="AS146" s="232"/>
      <c r="AT146" s="234"/>
      <c r="AU146" s="992">
        <v>9999999</v>
      </c>
      <c r="AV146" s="993"/>
      <c r="AW146" s="993"/>
      <c r="AX146" s="994"/>
      <c r="AY146" s="990" t="s">
        <v>442</v>
      </c>
      <c r="AZ146" s="991"/>
      <c r="BA146" s="992">
        <v>9999999</v>
      </c>
      <c r="BB146" s="993"/>
      <c r="BC146" s="993"/>
      <c r="BD146" s="994"/>
      <c r="BE146" s="992">
        <v>9999999</v>
      </c>
      <c r="BF146" s="993"/>
      <c r="BG146" s="993"/>
      <c r="BH146" s="994"/>
      <c r="BI146" s="992">
        <v>9999999</v>
      </c>
      <c r="BJ146" s="993"/>
      <c r="BK146" s="993"/>
      <c r="BL146" s="994"/>
      <c r="BM146" s="990" t="s">
        <v>449</v>
      </c>
      <c r="BN146" s="991"/>
      <c r="BO146" s="233" t="s">
        <v>447</v>
      </c>
      <c r="BP146" s="232"/>
      <c r="BQ146" s="234"/>
      <c r="BR146" s="990" t="s">
        <v>401</v>
      </c>
      <c r="BS146" s="991"/>
      <c r="BT146" s="233" t="s">
        <v>326</v>
      </c>
      <c r="BU146" s="232"/>
      <c r="BV146" s="232"/>
      <c r="BW146" s="232"/>
      <c r="BX146" s="234"/>
    </row>
    <row r="147" spans="3:76" ht="12" customHeight="1">
      <c r="C147" s="168"/>
      <c r="D147" s="1184">
        <v>12</v>
      </c>
      <c r="E147" s="1185"/>
      <c r="F147" s="1057">
        <v>1234</v>
      </c>
      <c r="G147" s="1176"/>
      <c r="H147" s="232" t="s">
        <v>378</v>
      </c>
      <c r="I147" s="232"/>
      <c r="J147" s="234"/>
      <c r="K147" s="1057">
        <v>12345</v>
      </c>
      <c r="L147" s="1058"/>
      <c r="M147" s="1176"/>
      <c r="N147" s="232" t="s">
        <v>371</v>
      </c>
      <c r="O147" s="232"/>
      <c r="P147" s="232"/>
      <c r="Q147" s="234"/>
      <c r="R147" s="231" t="s">
        <v>439</v>
      </c>
      <c r="S147" s="232"/>
      <c r="T147" s="232"/>
      <c r="U147" s="232"/>
      <c r="V147" s="232"/>
      <c r="W147" s="233" t="s">
        <v>440</v>
      </c>
      <c r="X147" s="232"/>
      <c r="Y147" s="232"/>
      <c r="Z147" s="234"/>
      <c r="AA147" s="233" t="s">
        <v>452</v>
      </c>
      <c r="AB147" s="232"/>
      <c r="AC147" s="232"/>
      <c r="AD147" s="232"/>
      <c r="AE147" s="234"/>
      <c r="AF147" s="231" t="s">
        <v>325</v>
      </c>
      <c r="AG147" s="232"/>
      <c r="AH147" s="232"/>
      <c r="AI147" s="234"/>
      <c r="AJ147" s="233" t="s">
        <v>399</v>
      </c>
      <c r="AK147" s="232"/>
      <c r="AL147" s="232"/>
      <c r="AM147" s="232"/>
      <c r="AN147" s="232"/>
      <c r="AO147" s="232"/>
      <c r="AP147" s="279"/>
      <c r="AQ147" s="448" t="s">
        <v>413</v>
      </c>
      <c r="AR147" s="232"/>
      <c r="AS147" s="232"/>
      <c r="AT147" s="234"/>
      <c r="AU147" s="992">
        <v>9999999</v>
      </c>
      <c r="AV147" s="993"/>
      <c r="AW147" s="993"/>
      <c r="AX147" s="994"/>
      <c r="AY147" s="990" t="s">
        <v>442</v>
      </c>
      <c r="AZ147" s="991"/>
      <c r="BA147" s="992">
        <v>9999999</v>
      </c>
      <c r="BB147" s="993"/>
      <c r="BC147" s="993"/>
      <c r="BD147" s="994"/>
      <c r="BE147" s="992">
        <v>9999999</v>
      </c>
      <c r="BF147" s="993"/>
      <c r="BG147" s="993"/>
      <c r="BH147" s="994"/>
      <c r="BI147" s="992">
        <v>9999999</v>
      </c>
      <c r="BJ147" s="993"/>
      <c r="BK147" s="993"/>
      <c r="BL147" s="994"/>
      <c r="BM147" s="990" t="s">
        <v>449</v>
      </c>
      <c r="BN147" s="991"/>
      <c r="BO147" s="233" t="s">
        <v>447</v>
      </c>
      <c r="BP147" s="232"/>
      <c r="BQ147" s="234"/>
      <c r="BR147" s="990" t="s">
        <v>401</v>
      </c>
      <c r="BS147" s="991"/>
      <c r="BT147" s="233" t="s">
        <v>453</v>
      </c>
      <c r="BU147" s="232"/>
      <c r="BV147" s="232"/>
      <c r="BW147" s="232"/>
      <c r="BX147" s="234"/>
    </row>
    <row r="148" spans="3:76" ht="12" customHeight="1">
      <c r="C148" s="168"/>
      <c r="D148" s="1184">
        <v>13</v>
      </c>
      <c r="E148" s="1185"/>
      <c r="F148" s="1057">
        <v>1234</v>
      </c>
      <c r="G148" s="1176"/>
      <c r="H148" s="232" t="s">
        <v>378</v>
      </c>
      <c r="I148" s="232"/>
      <c r="J148" s="234"/>
      <c r="K148" s="1057">
        <v>12345</v>
      </c>
      <c r="L148" s="1058"/>
      <c r="M148" s="1176"/>
      <c r="N148" s="232" t="s">
        <v>371</v>
      </c>
      <c r="O148" s="232"/>
      <c r="P148" s="232"/>
      <c r="Q148" s="234"/>
      <c r="R148" s="231" t="s">
        <v>439</v>
      </c>
      <c r="S148" s="232"/>
      <c r="T148" s="232"/>
      <c r="U148" s="232"/>
      <c r="V148" s="232"/>
      <c r="W148" s="233" t="s">
        <v>440</v>
      </c>
      <c r="X148" s="232"/>
      <c r="Y148" s="232"/>
      <c r="Z148" s="234"/>
      <c r="AA148" s="233" t="s">
        <v>452</v>
      </c>
      <c r="AB148" s="232"/>
      <c r="AC148" s="232"/>
      <c r="AD148" s="232"/>
      <c r="AE148" s="234"/>
      <c r="AF148" s="231" t="s">
        <v>325</v>
      </c>
      <c r="AG148" s="232"/>
      <c r="AH148" s="232"/>
      <c r="AI148" s="234"/>
      <c r="AJ148" s="233" t="s">
        <v>399</v>
      </c>
      <c r="AK148" s="232"/>
      <c r="AL148" s="232"/>
      <c r="AM148" s="232"/>
      <c r="AN148" s="232"/>
      <c r="AO148" s="232"/>
      <c r="AP148" s="279"/>
      <c r="AQ148" s="448" t="s">
        <v>413</v>
      </c>
      <c r="AR148" s="232"/>
      <c r="AS148" s="232"/>
      <c r="AT148" s="234"/>
      <c r="AU148" s="992">
        <v>9999999</v>
      </c>
      <c r="AV148" s="993"/>
      <c r="AW148" s="993"/>
      <c r="AX148" s="994"/>
      <c r="AY148" s="990" t="s">
        <v>442</v>
      </c>
      <c r="AZ148" s="991"/>
      <c r="BA148" s="992">
        <v>9999999</v>
      </c>
      <c r="BB148" s="993"/>
      <c r="BC148" s="993"/>
      <c r="BD148" s="994"/>
      <c r="BE148" s="992">
        <v>9999999</v>
      </c>
      <c r="BF148" s="993"/>
      <c r="BG148" s="993"/>
      <c r="BH148" s="994"/>
      <c r="BI148" s="992">
        <v>9999999</v>
      </c>
      <c r="BJ148" s="993"/>
      <c r="BK148" s="993"/>
      <c r="BL148" s="994"/>
      <c r="BM148" s="990" t="s">
        <v>449</v>
      </c>
      <c r="BN148" s="991"/>
      <c r="BO148" s="233" t="s">
        <v>447</v>
      </c>
      <c r="BP148" s="232"/>
      <c r="BQ148" s="234"/>
      <c r="BR148" s="990" t="s">
        <v>401</v>
      </c>
      <c r="BS148" s="991"/>
      <c r="BT148" s="233" t="s">
        <v>453</v>
      </c>
      <c r="BU148" s="232"/>
      <c r="BV148" s="232"/>
      <c r="BW148" s="232"/>
      <c r="BX148" s="234"/>
    </row>
    <row r="149" spans="3:76" ht="12" customHeight="1">
      <c r="C149" s="168"/>
      <c r="D149" s="1184">
        <v>14</v>
      </c>
      <c r="E149" s="1185"/>
      <c r="F149" s="1057">
        <v>1234</v>
      </c>
      <c r="G149" s="1176"/>
      <c r="H149" s="232" t="s">
        <v>378</v>
      </c>
      <c r="I149" s="232"/>
      <c r="J149" s="234"/>
      <c r="K149" s="1057">
        <v>12345</v>
      </c>
      <c r="L149" s="1058"/>
      <c r="M149" s="1176"/>
      <c r="N149" s="232" t="s">
        <v>371</v>
      </c>
      <c r="O149" s="232"/>
      <c r="P149" s="232"/>
      <c r="Q149" s="234"/>
      <c r="R149" s="231" t="s">
        <v>439</v>
      </c>
      <c r="S149" s="232"/>
      <c r="T149" s="232"/>
      <c r="U149" s="232"/>
      <c r="V149" s="232"/>
      <c r="W149" s="233" t="s">
        <v>440</v>
      </c>
      <c r="X149" s="232"/>
      <c r="Y149" s="232"/>
      <c r="Z149" s="234"/>
      <c r="AA149" s="233" t="s">
        <v>452</v>
      </c>
      <c r="AB149" s="232"/>
      <c r="AC149" s="232"/>
      <c r="AD149" s="232"/>
      <c r="AE149" s="234"/>
      <c r="AF149" s="231" t="s">
        <v>325</v>
      </c>
      <c r="AG149" s="232"/>
      <c r="AH149" s="232"/>
      <c r="AI149" s="234"/>
      <c r="AJ149" s="233" t="s">
        <v>399</v>
      </c>
      <c r="AK149" s="232"/>
      <c r="AL149" s="232"/>
      <c r="AM149" s="232"/>
      <c r="AN149" s="232"/>
      <c r="AO149" s="232"/>
      <c r="AP149" s="279"/>
      <c r="AQ149" s="448" t="s">
        <v>413</v>
      </c>
      <c r="AR149" s="232"/>
      <c r="AS149" s="232"/>
      <c r="AT149" s="234"/>
      <c r="AU149" s="992">
        <v>9999999</v>
      </c>
      <c r="AV149" s="993"/>
      <c r="AW149" s="993"/>
      <c r="AX149" s="994"/>
      <c r="AY149" s="990" t="s">
        <v>442</v>
      </c>
      <c r="AZ149" s="991"/>
      <c r="BA149" s="992">
        <v>9999999</v>
      </c>
      <c r="BB149" s="993"/>
      <c r="BC149" s="993"/>
      <c r="BD149" s="994"/>
      <c r="BE149" s="992">
        <v>9999999</v>
      </c>
      <c r="BF149" s="993"/>
      <c r="BG149" s="993"/>
      <c r="BH149" s="994"/>
      <c r="BI149" s="992">
        <v>9999999</v>
      </c>
      <c r="BJ149" s="993"/>
      <c r="BK149" s="993"/>
      <c r="BL149" s="994"/>
      <c r="BM149" s="990" t="s">
        <v>449</v>
      </c>
      <c r="BN149" s="991"/>
      <c r="BO149" s="233" t="s">
        <v>447</v>
      </c>
      <c r="BP149" s="232"/>
      <c r="BQ149" s="234"/>
      <c r="BR149" s="990" t="s">
        <v>401</v>
      </c>
      <c r="BS149" s="991"/>
      <c r="BT149" s="233" t="s">
        <v>453</v>
      </c>
      <c r="BU149" s="232"/>
      <c r="BV149" s="232"/>
      <c r="BW149" s="232"/>
      <c r="BX149" s="234"/>
    </row>
    <row r="150" spans="3:76" ht="12" customHeight="1">
      <c r="C150" s="168"/>
      <c r="D150" s="1184">
        <v>15</v>
      </c>
      <c r="E150" s="1185"/>
      <c r="F150" s="1057">
        <v>1234</v>
      </c>
      <c r="G150" s="1176"/>
      <c r="H150" s="232" t="s">
        <v>378</v>
      </c>
      <c r="I150" s="232"/>
      <c r="J150" s="234"/>
      <c r="K150" s="1057">
        <v>12345</v>
      </c>
      <c r="L150" s="1058"/>
      <c r="M150" s="1176"/>
      <c r="N150" s="232" t="s">
        <v>371</v>
      </c>
      <c r="O150" s="232"/>
      <c r="P150" s="232"/>
      <c r="Q150" s="234"/>
      <c r="R150" s="231" t="s">
        <v>439</v>
      </c>
      <c r="S150" s="232"/>
      <c r="T150" s="232"/>
      <c r="U150" s="232"/>
      <c r="V150" s="232"/>
      <c r="W150" s="233" t="s">
        <v>440</v>
      </c>
      <c r="X150" s="232"/>
      <c r="Y150" s="232"/>
      <c r="Z150" s="234"/>
      <c r="AA150" s="233" t="s">
        <v>452</v>
      </c>
      <c r="AB150" s="232"/>
      <c r="AC150" s="232"/>
      <c r="AD150" s="232"/>
      <c r="AE150" s="234"/>
      <c r="AF150" s="231" t="s">
        <v>325</v>
      </c>
      <c r="AG150" s="232"/>
      <c r="AH150" s="232"/>
      <c r="AI150" s="234"/>
      <c r="AJ150" s="233" t="s">
        <v>399</v>
      </c>
      <c r="AK150" s="232"/>
      <c r="AL150" s="232"/>
      <c r="AM150" s="232"/>
      <c r="AN150" s="232"/>
      <c r="AO150" s="232"/>
      <c r="AP150" s="279"/>
      <c r="AQ150" s="448" t="s">
        <v>413</v>
      </c>
      <c r="AR150" s="232"/>
      <c r="AS150" s="232"/>
      <c r="AT150" s="234"/>
      <c r="AU150" s="992">
        <v>9999999</v>
      </c>
      <c r="AV150" s="993"/>
      <c r="AW150" s="993"/>
      <c r="AX150" s="994"/>
      <c r="AY150" s="990" t="s">
        <v>442</v>
      </c>
      <c r="AZ150" s="991"/>
      <c r="BA150" s="992">
        <v>9999999</v>
      </c>
      <c r="BB150" s="993"/>
      <c r="BC150" s="993"/>
      <c r="BD150" s="994"/>
      <c r="BE150" s="992">
        <v>9999999</v>
      </c>
      <c r="BF150" s="993"/>
      <c r="BG150" s="993"/>
      <c r="BH150" s="994"/>
      <c r="BI150" s="992">
        <v>9999999</v>
      </c>
      <c r="BJ150" s="993"/>
      <c r="BK150" s="993"/>
      <c r="BL150" s="994"/>
      <c r="BM150" s="990" t="s">
        <v>449</v>
      </c>
      <c r="BN150" s="991"/>
      <c r="BO150" s="233" t="s">
        <v>447</v>
      </c>
      <c r="BP150" s="232"/>
      <c r="BQ150" s="234"/>
      <c r="BR150" s="990" t="s">
        <v>401</v>
      </c>
      <c r="BS150" s="991"/>
      <c r="BT150" s="233" t="s">
        <v>453</v>
      </c>
      <c r="BU150" s="232"/>
      <c r="BV150" s="232"/>
      <c r="BW150" s="232"/>
      <c r="BX150" s="234"/>
    </row>
    <row r="151" spans="3:76" ht="12" customHeight="1">
      <c r="C151" s="168"/>
      <c r="D151" s="1184">
        <v>16</v>
      </c>
      <c r="E151" s="1185"/>
      <c r="F151" s="1057">
        <v>1234</v>
      </c>
      <c r="G151" s="1176"/>
      <c r="H151" s="232" t="s">
        <v>378</v>
      </c>
      <c r="I151" s="232"/>
      <c r="J151" s="234"/>
      <c r="K151" s="1057">
        <v>12345</v>
      </c>
      <c r="L151" s="1058"/>
      <c r="M151" s="1176"/>
      <c r="N151" s="232" t="s">
        <v>371</v>
      </c>
      <c r="O151" s="232"/>
      <c r="P151" s="232"/>
      <c r="Q151" s="234"/>
      <c r="R151" s="231" t="s">
        <v>439</v>
      </c>
      <c r="S151" s="232"/>
      <c r="T151" s="232"/>
      <c r="U151" s="232"/>
      <c r="V151" s="232"/>
      <c r="W151" s="233" t="s">
        <v>440</v>
      </c>
      <c r="X151" s="232"/>
      <c r="Y151" s="232"/>
      <c r="Z151" s="234"/>
      <c r="AA151" s="233" t="s">
        <v>452</v>
      </c>
      <c r="AB151" s="232"/>
      <c r="AC151" s="232"/>
      <c r="AD151" s="232"/>
      <c r="AE151" s="234"/>
      <c r="AF151" s="231" t="s">
        <v>325</v>
      </c>
      <c r="AG151" s="232"/>
      <c r="AH151" s="232"/>
      <c r="AI151" s="234"/>
      <c r="AJ151" s="233" t="s">
        <v>399</v>
      </c>
      <c r="AK151" s="232"/>
      <c r="AL151" s="232"/>
      <c r="AM151" s="232"/>
      <c r="AN151" s="232"/>
      <c r="AO151" s="232"/>
      <c r="AP151" s="279"/>
      <c r="AQ151" s="448" t="s">
        <v>413</v>
      </c>
      <c r="AR151" s="232"/>
      <c r="AS151" s="232"/>
      <c r="AT151" s="234"/>
      <c r="AU151" s="992">
        <v>9999999</v>
      </c>
      <c r="AV151" s="993"/>
      <c r="AW151" s="993"/>
      <c r="AX151" s="994"/>
      <c r="AY151" s="990" t="s">
        <v>442</v>
      </c>
      <c r="AZ151" s="991"/>
      <c r="BA151" s="992">
        <v>9999999</v>
      </c>
      <c r="BB151" s="993"/>
      <c r="BC151" s="993"/>
      <c r="BD151" s="994"/>
      <c r="BE151" s="992">
        <v>9999999</v>
      </c>
      <c r="BF151" s="993"/>
      <c r="BG151" s="993"/>
      <c r="BH151" s="994"/>
      <c r="BI151" s="992">
        <v>9999999</v>
      </c>
      <c r="BJ151" s="993"/>
      <c r="BK151" s="993"/>
      <c r="BL151" s="994"/>
      <c r="BM151" s="990" t="s">
        <v>449</v>
      </c>
      <c r="BN151" s="991"/>
      <c r="BO151" s="233" t="s">
        <v>447</v>
      </c>
      <c r="BP151" s="232"/>
      <c r="BQ151" s="234"/>
      <c r="BR151" s="990" t="s">
        <v>401</v>
      </c>
      <c r="BS151" s="991"/>
      <c r="BT151" s="233" t="s">
        <v>453</v>
      </c>
      <c r="BU151" s="232"/>
      <c r="BV151" s="232"/>
      <c r="BW151" s="232"/>
      <c r="BX151" s="234"/>
    </row>
    <row r="152" spans="3:76" ht="12" customHeight="1">
      <c r="C152" s="168"/>
      <c r="D152" s="1184">
        <v>17</v>
      </c>
      <c r="E152" s="1185"/>
      <c r="F152" s="1057">
        <v>1234</v>
      </c>
      <c r="G152" s="1176"/>
      <c r="H152" s="232" t="s">
        <v>378</v>
      </c>
      <c r="I152" s="232"/>
      <c r="J152" s="234"/>
      <c r="K152" s="1057">
        <v>12345</v>
      </c>
      <c r="L152" s="1058"/>
      <c r="M152" s="1176"/>
      <c r="N152" s="232" t="s">
        <v>371</v>
      </c>
      <c r="O152" s="232"/>
      <c r="P152" s="232"/>
      <c r="Q152" s="234"/>
      <c r="R152" s="231" t="s">
        <v>439</v>
      </c>
      <c r="S152" s="232"/>
      <c r="T152" s="232"/>
      <c r="U152" s="232"/>
      <c r="V152" s="232"/>
      <c r="W152" s="233" t="s">
        <v>440</v>
      </c>
      <c r="X152" s="232"/>
      <c r="Y152" s="232"/>
      <c r="Z152" s="234"/>
      <c r="AA152" s="233" t="s">
        <v>452</v>
      </c>
      <c r="AB152" s="232"/>
      <c r="AC152" s="232"/>
      <c r="AD152" s="232"/>
      <c r="AE152" s="234"/>
      <c r="AF152" s="231" t="s">
        <v>325</v>
      </c>
      <c r="AG152" s="232"/>
      <c r="AH152" s="232"/>
      <c r="AI152" s="234"/>
      <c r="AJ152" s="233" t="s">
        <v>399</v>
      </c>
      <c r="AK152" s="232"/>
      <c r="AL152" s="232"/>
      <c r="AM152" s="232"/>
      <c r="AN152" s="232"/>
      <c r="AO152" s="232"/>
      <c r="AP152" s="279"/>
      <c r="AQ152" s="448" t="s">
        <v>413</v>
      </c>
      <c r="AR152" s="232"/>
      <c r="AS152" s="232"/>
      <c r="AT152" s="234"/>
      <c r="AU152" s="992">
        <v>9999999</v>
      </c>
      <c r="AV152" s="993"/>
      <c r="AW152" s="993"/>
      <c r="AX152" s="994"/>
      <c r="AY152" s="990" t="s">
        <v>442</v>
      </c>
      <c r="AZ152" s="991"/>
      <c r="BA152" s="992">
        <v>9999999</v>
      </c>
      <c r="BB152" s="993"/>
      <c r="BC152" s="993"/>
      <c r="BD152" s="994"/>
      <c r="BE152" s="992">
        <v>9999999</v>
      </c>
      <c r="BF152" s="993"/>
      <c r="BG152" s="993"/>
      <c r="BH152" s="994"/>
      <c r="BI152" s="992">
        <v>9999999</v>
      </c>
      <c r="BJ152" s="993"/>
      <c r="BK152" s="993"/>
      <c r="BL152" s="994"/>
      <c r="BM152" s="990" t="s">
        <v>449</v>
      </c>
      <c r="BN152" s="991"/>
      <c r="BO152" s="233" t="s">
        <v>447</v>
      </c>
      <c r="BP152" s="232"/>
      <c r="BQ152" s="234"/>
      <c r="BR152" s="990" t="s">
        <v>401</v>
      </c>
      <c r="BS152" s="991"/>
      <c r="BT152" s="233" t="s">
        <v>453</v>
      </c>
      <c r="BU152" s="232"/>
      <c r="BV152" s="232"/>
      <c r="BW152" s="232"/>
      <c r="BX152" s="234"/>
    </row>
    <row r="153" spans="3:76" ht="12" customHeight="1">
      <c r="C153" s="168"/>
      <c r="D153" s="1184">
        <v>18</v>
      </c>
      <c r="E153" s="1185"/>
      <c r="F153" s="1057">
        <v>1234</v>
      </c>
      <c r="G153" s="1176"/>
      <c r="H153" s="232" t="s">
        <v>378</v>
      </c>
      <c r="I153" s="232"/>
      <c r="J153" s="234"/>
      <c r="K153" s="1057">
        <v>12345</v>
      </c>
      <c r="L153" s="1058"/>
      <c r="M153" s="1176"/>
      <c r="N153" s="232" t="s">
        <v>371</v>
      </c>
      <c r="O153" s="232"/>
      <c r="P153" s="232"/>
      <c r="Q153" s="234"/>
      <c r="R153" s="231" t="s">
        <v>439</v>
      </c>
      <c r="S153" s="232"/>
      <c r="T153" s="232"/>
      <c r="U153" s="232"/>
      <c r="V153" s="232"/>
      <c r="W153" s="233" t="s">
        <v>440</v>
      </c>
      <c r="X153" s="232"/>
      <c r="Y153" s="232"/>
      <c r="Z153" s="234"/>
      <c r="AA153" s="233" t="s">
        <v>452</v>
      </c>
      <c r="AB153" s="232"/>
      <c r="AC153" s="232"/>
      <c r="AD153" s="232"/>
      <c r="AE153" s="234"/>
      <c r="AF153" s="231" t="s">
        <v>325</v>
      </c>
      <c r="AG153" s="232"/>
      <c r="AH153" s="232"/>
      <c r="AI153" s="234"/>
      <c r="AJ153" s="233" t="s">
        <v>399</v>
      </c>
      <c r="AK153" s="232"/>
      <c r="AL153" s="232"/>
      <c r="AM153" s="232"/>
      <c r="AN153" s="232"/>
      <c r="AO153" s="232"/>
      <c r="AP153" s="279"/>
      <c r="AQ153" s="448" t="s">
        <v>413</v>
      </c>
      <c r="AR153" s="232"/>
      <c r="AS153" s="232"/>
      <c r="AT153" s="234"/>
      <c r="AU153" s="992">
        <v>9999999</v>
      </c>
      <c r="AV153" s="993"/>
      <c r="AW153" s="993"/>
      <c r="AX153" s="994"/>
      <c r="AY153" s="990" t="s">
        <v>442</v>
      </c>
      <c r="AZ153" s="991"/>
      <c r="BA153" s="992">
        <v>9999999</v>
      </c>
      <c r="BB153" s="993"/>
      <c r="BC153" s="993"/>
      <c r="BD153" s="994"/>
      <c r="BE153" s="992">
        <v>9999999</v>
      </c>
      <c r="BF153" s="993"/>
      <c r="BG153" s="993"/>
      <c r="BH153" s="994"/>
      <c r="BI153" s="992">
        <v>9999999</v>
      </c>
      <c r="BJ153" s="993"/>
      <c r="BK153" s="993"/>
      <c r="BL153" s="994"/>
      <c r="BM153" s="990" t="s">
        <v>449</v>
      </c>
      <c r="BN153" s="991"/>
      <c r="BO153" s="233" t="s">
        <v>447</v>
      </c>
      <c r="BP153" s="232"/>
      <c r="BQ153" s="234"/>
      <c r="BR153" s="990" t="s">
        <v>401</v>
      </c>
      <c r="BS153" s="991"/>
      <c r="BT153" s="233" t="s">
        <v>453</v>
      </c>
      <c r="BU153" s="232"/>
      <c r="BV153" s="232"/>
      <c r="BW153" s="232"/>
      <c r="BX153" s="234"/>
    </row>
    <row r="154" spans="3:76" ht="12" customHeight="1">
      <c r="C154" s="168"/>
      <c r="D154" s="1184">
        <v>19</v>
      </c>
      <c r="E154" s="1185"/>
      <c r="F154" s="1057">
        <v>1234</v>
      </c>
      <c r="G154" s="1176"/>
      <c r="H154" s="232" t="s">
        <v>378</v>
      </c>
      <c r="I154" s="232"/>
      <c r="J154" s="234"/>
      <c r="K154" s="1057">
        <v>12345</v>
      </c>
      <c r="L154" s="1058"/>
      <c r="M154" s="1176"/>
      <c r="N154" s="232" t="s">
        <v>371</v>
      </c>
      <c r="O154" s="232"/>
      <c r="P154" s="232"/>
      <c r="Q154" s="234"/>
      <c r="R154" s="231" t="s">
        <v>439</v>
      </c>
      <c r="S154" s="232"/>
      <c r="T154" s="232"/>
      <c r="U154" s="232"/>
      <c r="V154" s="232"/>
      <c r="W154" s="233" t="s">
        <v>440</v>
      </c>
      <c r="X154" s="232"/>
      <c r="Y154" s="232"/>
      <c r="Z154" s="234"/>
      <c r="AA154" s="233" t="s">
        <v>452</v>
      </c>
      <c r="AB154" s="232"/>
      <c r="AC154" s="232"/>
      <c r="AD154" s="232"/>
      <c r="AE154" s="234"/>
      <c r="AF154" s="231" t="s">
        <v>325</v>
      </c>
      <c r="AG154" s="232"/>
      <c r="AH154" s="232"/>
      <c r="AI154" s="234"/>
      <c r="AJ154" s="233" t="s">
        <v>399</v>
      </c>
      <c r="AK154" s="232"/>
      <c r="AL154" s="232"/>
      <c r="AM154" s="232"/>
      <c r="AN154" s="232"/>
      <c r="AO154" s="232"/>
      <c r="AP154" s="279"/>
      <c r="AQ154" s="448" t="s">
        <v>413</v>
      </c>
      <c r="AR154" s="232"/>
      <c r="AS154" s="232"/>
      <c r="AT154" s="234"/>
      <c r="AU154" s="992">
        <v>9999999</v>
      </c>
      <c r="AV154" s="993"/>
      <c r="AW154" s="993"/>
      <c r="AX154" s="994"/>
      <c r="AY154" s="990" t="s">
        <v>442</v>
      </c>
      <c r="AZ154" s="991"/>
      <c r="BA154" s="992">
        <v>9999999</v>
      </c>
      <c r="BB154" s="993"/>
      <c r="BC154" s="993"/>
      <c r="BD154" s="994"/>
      <c r="BE154" s="992">
        <v>9999999</v>
      </c>
      <c r="BF154" s="993"/>
      <c r="BG154" s="993"/>
      <c r="BH154" s="994"/>
      <c r="BI154" s="992">
        <v>9999999</v>
      </c>
      <c r="BJ154" s="993"/>
      <c r="BK154" s="993"/>
      <c r="BL154" s="994"/>
      <c r="BM154" s="990" t="s">
        <v>449</v>
      </c>
      <c r="BN154" s="991"/>
      <c r="BO154" s="233" t="s">
        <v>447</v>
      </c>
      <c r="BP154" s="232"/>
      <c r="BQ154" s="234"/>
      <c r="BR154" s="990" t="s">
        <v>401</v>
      </c>
      <c r="BS154" s="991"/>
      <c r="BT154" s="233" t="s">
        <v>453</v>
      </c>
      <c r="BU154" s="232"/>
      <c r="BV154" s="232"/>
      <c r="BW154" s="232"/>
      <c r="BX154" s="234"/>
    </row>
    <row r="155" spans="3:76" ht="12" customHeight="1">
      <c r="C155" s="168"/>
      <c r="D155" s="1184">
        <v>20</v>
      </c>
      <c r="E155" s="1185"/>
      <c r="F155" s="1057">
        <v>1234</v>
      </c>
      <c r="G155" s="1176"/>
      <c r="H155" s="232" t="s">
        <v>378</v>
      </c>
      <c r="I155" s="232"/>
      <c r="J155" s="234"/>
      <c r="K155" s="1057">
        <v>12345</v>
      </c>
      <c r="L155" s="1058"/>
      <c r="M155" s="1176"/>
      <c r="N155" s="232" t="s">
        <v>371</v>
      </c>
      <c r="O155" s="232"/>
      <c r="P155" s="232"/>
      <c r="Q155" s="234"/>
      <c r="R155" s="231" t="s">
        <v>439</v>
      </c>
      <c r="S155" s="232"/>
      <c r="T155" s="232"/>
      <c r="U155" s="232"/>
      <c r="V155" s="232"/>
      <c r="W155" s="233" t="s">
        <v>440</v>
      </c>
      <c r="X155" s="232"/>
      <c r="Y155" s="232"/>
      <c r="Z155" s="234"/>
      <c r="AA155" s="233" t="s">
        <v>452</v>
      </c>
      <c r="AB155" s="232"/>
      <c r="AC155" s="232"/>
      <c r="AD155" s="232"/>
      <c r="AE155" s="234"/>
      <c r="AF155" s="231" t="s">
        <v>325</v>
      </c>
      <c r="AG155" s="232"/>
      <c r="AH155" s="232"/>
      <c r="AI155" s="234"/>
      <c r="AJ155" s="233" t="s">
        <v>399</v>
      </c>
      <c r="AK155" s="232"/>
      <c r="AL155" s="232"/>
      <c r="AM155" s="232"/>
      <c r="AN155" s="232"/>
      <c r="AO155" s="232"/>
      <c r="AP155" s="279"/>
      <c r="AQ155" s="448" t="s">
        <v>413</v>
      </c>
      <c r="AR155" s="232"/>
      <c r="AS155" s="232"/>
      <c r="AT155" s="234"/>
      <c r="AU155" s="992">
        <v>9999999</v>
      </c>
      <c r="AV155" s="993"/>
      <c r="AW155" s="993"/>
      <c r="AX155" s="994"/>
      <c r="AY155" s="990" t="s">
        <v>442</v>
      </c>
      <c r="AZ155" s="991"/>
      <c r="BA155" s="992">
        <v>9999999</v>
      </c>
      <c r="BB155" s="993"/>
      <c r="BC155" s="993"/>
      <c r="BD155" s="994"/>
      <c r="BE155" s="992">
        <v>9999999</v>
      </c>
      <c r="BF155" s="993"/>
      <c r="BG155" s="993"/>
      <c r="BH155" s="994"/>
      <c r="BI155" s="992">
        <v>9999999</v>
      </c>
      <c r="BJ155" s="993"/>
      <c r="BK155" s="993"/>
      <c r="BL155" s="994"/>
      <c r="BM155" s="990" t="s">
        <v>449</v>
      </c>
      <c r="BN155" s="991"/>
      <c r="BO155" s="233" t="s">
        <v>447</v>
      </c>
      <c r="BP155" s="232"/>
      <c r="BQ155" s="234"/>
      <c r="BR155" s="990" t="s">
        <v>401</v>
      </c>
      <c r="BS155" s="991"/>
      <c r="BT155" s="233" t="s">
        <v>453</v>
      </c>
      <c r="BU155" s="232"/>
      <c r="BV155" s="232"/>
      <c r="BW155" s="232"/>
      <c r="BX155" s="234"/>
    </row>
    <row r="156" spans="3:76" ht="12" customHeight="1">
      <c r="C156" s="168"/>
      <c r="D156" s="1184">
        <v>21</v>
      </c>
      <c r="E156" s="1185"/>
      <c r="F156" s="1057">
        <v>1234</v>
      </c>
      <c r="G156" s="1176"/>
      <c r="H156" s="232" t="s">
        <v>378</v>
      </c>
      <c r="I156" s="232"/>
      <c r="J156" s="234"/>
      <c r="K156" s="1057">
        <v>12345</v>
      </c>
      <c r="L156" s="1058"/>
      <c r="M156" s="1176"/>
      <c r="N156" s="232" t="s">
        <v>371</v>
      </c>
      <c r="O156" s="232"/>
      <c r="P156" s="232"/>
      <c r="Q156" s="234"/>
      <c r="R156" s="231" t="s">
        <v>439</v>
      </c>
      <c r="S156" s="232"/>
      <c r="T156" s="232"/>
      <c r="U156" s="232"/>
      <c r="V156" s="232"/>
      <c r="W156" s="233" t="s">
        <v>440</v>
      </c>
      <c r="X156" s="232"/>
      <c r="Y156" s="232"/>
      <c r="Z156" s="234"/>
      <c r="AA156" s="233" t="s">
        <v>452</v>
      </c>
      <c r="AB156" s="232"/>
      <c r="AC156" s="232"/>
      <c r="AD156" s="232"/>
      <c r="AE156" s="234"/>
      <c r="AF156" s="231" t="s">
        <v>325</v>
      </c>
      <c r="AG156" s="232"/>
      <c r="AH156" s="232"/>
      <c r="AI156" s="234"/>
      <c r="AJ156" s="233" t="s">
        <v>399</v>
      </c>
      <c r="AK156" s="232"/>
      <c r="AL156" s="232"/>
      <c r="AM156" s="232"/>
      <c r="AN156" s="232"/>
      <c r="AO156" s="232"/>
      <c r="AP156" s="279"/>
      <c r="AQ156" s="448" t="s">
        <v>413</v>
      </c>
      <c r="AR156" s="232"/>
      <c r="AS156" s="232"/>
      <c r="AT156" s="234"/>
      <c r="AU156" s="992">
        <v>9999999</v>
      </c>
      <c r="AV156" s="993"/>
      <c r="AW156" s="993"/>
      <c r="AX156" s="994"/>
      <c r="AY156" s="990" t="s">
        <v>442</v>
      </c>
      <c r="AZ156" s="991"/>
      <c r="BA156" s="992">
        <v>9999999</v>
      </c>
      <c r="BB156" s="993"/>
      <c r="BC156" s="993"/>
      <c r="BD156" s="994"/>
      <c r="BE156" s="992">
        <v>9999999</v>
      </c>
      <c r="BF156" s="993"/>
      <c r="BG156" s="993"/>
      <c r="BH156" s="994"/>
      <c r="BI156" s="992">
        <v>9999999</v>
      </c>
      <c r="BJ156" s="993"/>
      <c r="BK156" s="993"/>
      <c r="BL156" s="994"/>
      <c r="BM156" s="990" t="s">
        <v>449</v>
      </c>
      <c r="BN156" s="991"/>
      <c r="BO156" s="233" t="s">
        <v>447</v>
      </c>
      <c r="BP156" s="232"/>
      <c r="BQ156" s="234"/>
      <c r="BR156" s="990" t="s">
        <v>401</v>
      </c>
      <c r="BS156" s="991"/>
      <c r="BT156" s="233" t="s">
        <v>453</v>
      </c>
      <c r="BU156" s="232"/>
      <c r="BV156" s="232"/>
      <c r="BW156" s="232"/>
      <c r="BX156" s="234"/>
    </row>
    <row r="157" spans="3:76" ht="12" customHeight="1">
      <c r="C157" s="168"/>
      <c r="D157" s="1184">
        <v>22</v>
      </c>
      <c r="E157" s="1185"/>
      <c r="F157" s="1057">
        <v>1234</v>
      </c>
      <c r="G157" s="1176"/>
      <c r="H157" s="232" t="s">
        <v>378</v>
      </c>
      <c r="I157" s="232"/>
      <c r="J157" s="234"/>
      <c r="K157" s="1057">
        <v>12345</v>
      </c>
      <c r="L157" s="1058"/>
      <c r="M157" s="1176"/>
      <c r="N157" s="232" t="s">
        <v>371</v>
      </c>
      <c r="O157" s="232"/>
      <c r="P157" s="232"/>
      <c r="Q157" s="234"/>
      <c r="R157" s="231" t="s">
        <v>439</v>
      </c>
      <c r="S157" s="232"/>
      <c r="T157" s="232"/>
      <c r="U157" s="232"/>
      <c r="V157" s="232"/>
      <c r="W157" s="233" t="s">
        <v>440</v>
      </c>
      <c r="X157" s="232"/>
      <c r="Y157" s="232"/>
      <c r="Z157" s="234"/>
      <c r="AA157" s="233" t="s">
        <v>452</v>
      </c>
      <c r="AB157" s="232"/>
      <c r="AC157" s="232"/>
      <c r="AD157" s="232"/>
      <c r="AE157" s="234"/>
      <c r="AF157" s="231" t="s">
        <v>325</v>
      </c>
      <c r="AG157" s="232"/>
      <c r="AH157" s="232"/>
      <c r="AI157" s="234"/>
      <c r="AJ157" s="233" t="s">
        <v>399</v>
      </c>
      <c r="AK157" s="232"/>
      <c r="AL157" s="232"/>
      <c r="AM157" s="232"/>
      <c r="AN157" s="232"/>
      <c r="AO157" s="232"/>
      <c r="AP157" s="279"/>
      <c r="AQ157" s="448" t="s">
        <v>413</v>
      </c>
      <c r="AR157" s="232"/>
      <c r="AS157" s="232"/>
      <c r="AT157" s="234"/>
      <c r="AU157" s="992">
        <v>9999999</v>
      </c>
      <c r="AV157" s="993"/>
      <c r="AW157" s="993"/>
      <c r="AX157" s="994"/>
      <c r="AY157" s="990" t="s">
        <v>442</v>
      </c>
      <c r="AZ157" s="991"/>
      <c r="BA157" s="992">
        <v>9999999</v>
      </c>
      <c r="BB157" s="993"/>
      <c r="BC157" s="993"/>
      <c r="BD157" s="994"/>
      <c r="BE157" s="992">
        <v>9999999</v>
      </c>
      <c r="BF157" s="993"/>
      <c r="BG157" s="993"/>
      <c r="BH157" s="994"/>
      <c r="BI157" s="992">
        <v>9999999</v>
      </c>
      <c r="BJ157" s="993"/>
      <c r="BK157" s="993"/>
      <c r="BL157" s="994"/>
      <c r="BM157" s="990" t="s">
        <v>449</v>
      </c>
      <c r="BN157" s="991"/>
      <c r="BO157" s="233" t="s">
        <v>447</v>
      </c>
      <c r="BP157" s="232"/>
      <c r="BQ157" s="234"/>
      <c r="BR157" s="990" t="s">
        <v>401</v>
      </c>
      <c r="BS157" s="991"/>
      <c r="BT157" s="233" t="s">
        <v>453</v>
      </c>
      <c r="BU157" s="232"/>
      <c r="BV157" s="232"/>
      <c r="BW157" s="232"/>
      <c r="BX157" s="234"/>
    </row>
    <row r="158" spans="3:76" ht="12" customHeight="1">
      <c r="C158" s="168"/>
      <c r="D158" s="1184">
        <v>23</v>
      </c>
      <c r="E158" s="1185"/>
      <c r="F158" s="1057">
        <v>1234</v>
      </c>
      <c r="G158" s="1176"/>
      <c r="H158" s="232" t="s">
        <v>378</v>
      </c>
      <c r="I158" s="232"/>
      <c r="J158" s="234"/>
      <c r="K158" s="1057">
        <v>12345</v>
      </c>
      <c r="L158" s="1058"/>
      <c r="M158" s="1176"/>
      <c r="N158" s="232" t="s">
        <v>371</v>
      </c>
      <c r="O158" s="232"/>
      <c r="P158" s="232"/>
      <c r="Q158" s="234"/>
      <c r="R158" s="231" t="s">
        <v>439</v>
      </c>
      <c r="S158" s="232"/>
      <c r="T158" s="232"/>
      <c r="U158" s="232"/>
      <c r="V158" s="232"/>
      <c r="W158" s="233" t="s">
        <v>440</v>
      </c>
      <c r="X158" s="232"/>
      <c r="Y158" s="232"/>
      <c r="Z158" s="234"/>
      <c r="AA158" s="233" t="s">
        <v>452</v>
      </c>
      <c r="AB158" s="232"/>
      <c r="AC158" s="232"/>
      <c r="AD158" s="232"/>
      <c r="AE158" s="234"/>
      <c r="AF158" s="231" t="s">
        <v>325</v>
      </c>
      <c r="AG158" s="232"/>
      <c r="AH158" s="232"/>
      <c r="AI158" s="234"/>
      <c r="AJ158" s="233" t="s">
        <v>399</v>
      </c>
      <c r="AK158" s="232"/>
      <c r="AL158" s="232"/>
      <c r="AM158" s="232"/>
      <c r="AN158" s="232"/>
      <c r="AO158" s="232"/>
      <c r="AP158" s="279"/>
      <c r="AQ158" s="448" t="s">
        <v>413</v>
      </c>
      <c r="AR158" s="232"/>
      <c r="AS158" s="232"/>
      <c r="AT158" s="234"/>
      <c r="AU158" s="992">
        <v>9999999</v>
      </c>
      <c r="AV158" s="993"/>
      <c r="AW158" s="993"/>
      <c r="AX158" s="994"/>
      <c r="AY158" s="990" t="s">
        <v>442</v>
      </c>
      <c r="AZ158" s="991"/>
      <c r="BA158" s="992">
        <v>9999999</v>
      </c>
      <c r="BB158" s="993"/>
      <c r="BC158" s="993"/>
      <c r="BD158" s="994"/>
      <c r="BE158" s="992">
        <v>9999999</v>
      </c>
      <c r="BF158" s="993"/>
      <c r="BG158" s="993"/>
      <c r="BH158" s="994"/>
      <c r="BI158" s="992">
        <v>9999999</v>
      </c>
      <c r="BJ158" s="993"/>
      <c r="BK158" s="993"/>
      <c r="BL158" s="994"/>
      <c r="BM158" s="990" t="s">
        <v>449</v>
      </c>
      <c r="BN158" s="991"/>
      <c r="BO158" s="233" t="s">
        <v>447</v>
      </c>
      <c r="BP158" s="232"/>
      <c r="BQ158" s="234"/>
      <c r="BR158" s="990" t="s">
        <v>401</v>
      </c>
      <c r="BS158" s="991"/>
      <c r="BT158" s="233" t="s">
        <v>453</v>
      </c>
      <c r="BU158" s="232"/>
      <c r="BV158" s="232"/>
      <c r="BW158" s="232"/>
      <c r="BX158" s="234"/>
    </row>
    <row r="159" spans="3:76" ht="12" customHeight="1">
      <c r="C159" s="168"/>
      <c r="D159" s="1184">
        <v>24</v>
      </c>
      <c r="E159" s="1185"/>
      <c r="F159" s="1057">
        <v>1234</v>
      </c>
      <c r="G159" s="1176"/>
      <c r="H159" s="232" t="s">
        <v>378</v>
      </c>
      <c r="I159" s="232"/>
      <c r="J159" s="234"/>
      <c r="K159" s="1057">
        <v>12345</v>
      </c>
      <c r="L159" s="1058"/>
      <c r="M159" s="1176"/>
      <c r="N159" s="232" t="s">
        <v>371</v>
      </c>
      <c r="O159" s="232"/>
      <c r="P159" s="232"/>
      <c r="Q159" s="234"/>
      <c r="R159" s="231" t="s">
        <v>439</v>
      </c>
      <c r="S159" s="232"/>
      <c r="T159" s="232"/>
      <c r="U159" s="232"/>
      <c r="V159" s="232"/>
      <c r="W159" s="233" t="s">
        <v>440</v>
      </c>
      <c r="X159" s="232"/>
      <c r="Y159" s="232"/>
      <c r="Z159" s="234"/>
      <c r="AA159" s="233" t="s">
        <v>452</v>
      </c>
      <c r="AB159" s="232"/>
      <c r="AC159" s="232"/>
      <c r="AD159" s="232"/>
      <c r="AE159" s="234"/>
      <c r="AF159" s="231" t="s">
        <v>325</v>
      </c>
      <c r="AG159" s="232"/>
      <c r="AH159" s="232"/>
      <c r="AI159" s="234"/>
      <c r="AJ159" s="233" t="s">
        <v>399</v>
      </c>
      <c r="AK159" s="232"/>
      <c r="AL159" s="232"/>
      <c r="AM159" s="232"/>
      <c r="AN159" s="232"/>
      <c r="AO159" s="232"/>
      <c r="AP159" s="279"/>
      <c r="AQ159" s="448" t="s">
        <v>413</v>
      </c>
      <c r="AR159" s="232"/>
      <c r="AS159" s="232"/>
      <c r="AT159" s="234"/>
      <c r="AU159" s="992">
        <v>9999999</v>
      </c>
      <c r="AV159" s="993"/>
      <c r="AW159" s="993"/>
      <c r="AX159" s="994"/>
      <c r="AY159" s="990" t="s">
        <v>442</v>
      </c>
      <c r="AZ159" s="991"/>
      <c r="BA159" s="992">
        <v>9999999</v>
      </c>
      <c r="BB159" s="993"/>
      <c r="BC159" s="993"/>
      <c r="BD159" s="994"/>
      <c r="BE159" s="992">
        <v>9999999</v>
      </c>
      <c r="BF159" s="993"/>
      <c r="BG159" s="993"/>
      <c r="BH159" s="994"/>
      <c r="BI159" s="992">
        <v>9999999</v>
      </c>
      <c r="BJ159" s="993"/>
      <c r="BK159" s="993"/>
      <c r="BL159" s="994"/>
      <c r="BM159" s="990" t="s">
        <v>449</v>
      </c>
      <c r="BN159" s="991"/>
      <c r="BO159" s="233" t="s">
        <v>447</v>
      </c>
      <c r="BP159" s="232"/>
      <c r="BQ159" s="234"/>
      <c r="BR159" s="990" t="s">
        <v>401</v>
      </c>
      <c r="BS159" s="991"/>
      <c r="BT159" s="233" t="s">
        <v>453</v>
      </c>
      <c r="BU159" s="232"/>
      <c r="BV159" s="232"/>
      <c r="BW159" s="232"/>
      <c r="BX159" s="234"/>
    </row>
    <row r="160" spans="3:76" ht="12" customHeight="1">
      <c r="C160" s="168"/>
      <c r="D160" s="1184">
        <v>25</v>
      </c>
      <c r="E160" s="1185"/>
      <c r="F160" s="1057">
        <v>1234</v>
      </c>
      <c r="G160" s="1176"/>
      <c r="H160" s="232" t="s">
        <v>378</v>
      </c>
      <c r="I160" s="232"/>
      <c r="J160" s="234"/>
      <c r="K160" s="1057">
        <v>12345</v>
      </c>
      <c r="L160" s="1058"/>
      <c r="M160" s="1176"/>
      <c r="N160" s="232" t="s">
        <v>371</v>
      </c>
      <c r="O160" s="232"/>
      <c r="P160" s="232"/>
      <c r="Q160" s="234"/>
      <c r="R160" s="231" t="s">
        <v>439</v>
      </c>
      <c r="S160" s="232"/>
      <c r="T160" s="232"/>
      <c r="U160" s="232"/>
      <c r="V160" s="232"/>
      <c r="W160" s="233" t="s">
        <v>440</v>
      </c>
      <c r="X160" s="232"/>
      <c r="Y160" s="232"/>
      <c r="Z160" s="234"/>
      <c r="AA160" s="233" t="s">
        <v>452</v>
      </c>
      <c r="AB160" s="232"/>
      <c r="AC160" s="232"/>
      <c r="AD160" s="232"/>
      <c r="AE160" s="234"/>
      <c r="AF160" s="231" t="s">
        <v>325</v>
      </c>
      <c r="AG160" s="232"/>
      <c r="AH160" s="232"/>
      <c r="AI160" s="234"/>
      <c r="AJ160" s="233" t="s">
        <v>399</v>
      </c>
      <c r="AK160" s="232"/>
      <c r="AL160" s="232"/>
      <c r="AM160" s="232"/>
      <c r="AN160" s="232"/>
      <c r="AO160" s="232"/>
      <c r="AP160" s="279"/>
      <c r="AQ160" s="448" t="s">
        <v>413</v>
      </c>
      <c r="AR160" s="232"/>
      <c r="AS160" s="232"/>
      <c r="AT160" s="234"/>
      <c r="AU160" s="992">
        <v>9999999</v>
      </c>
      <c r="AV160" s="993"/>
      <c r="AW160" s="993"/>
      <c r="AX160" s="994"/>
      <c r="AY160" s="990" t="s">
        <v>442</v>
      </c>
      <c r="AZ160" s="991"/>
      <c r="BA160" s="992">
        <v>9999999</v>
      </c>
      <c r="BB160" s="993"/>
      <c r="BC160" s="993"/>
      <c r="BD160" s="994"/>
      <c r="BE160" s="992">
        <v>9999999</v>
      </c>
      <c r="BF160" s="993"/>
      <c r="BG160" s="993"/>
      <c r="BH160" s="994"/>
      <c r="BI160" s="992">
        <v>9999999</v>
      </c>
      <c r="BJ160" s="993"/>
      <c r="BK160" s="993"/>
      <c r="BL160" s="994"/>
      <c r="BM160" s="990" t="s">
        <v>449</v>
      </c>
      <c r="BN160" s="991"/>
      <c r="BO160" s="233" t="s">
        <v>447</v>
      </c>
      <c r="BP160" s="232"/>
      <c r="BQ160" s="234"/>
      <c r="BR160" s="990" t="s">
        <v>401</v>
      </c>
      <c r="BS160" s="991"/>
      <c r="BT160" s="233" t="s">
        <v>453</v>
      </c>
      <c r="BU160" s="232"/>
      <c r="BV160" s="232"/>
      <c r="BW160" s="232"/>
      <c r="BX160" s="234"/>
    </row>
    <row r="161" spans="3:76" ht="12" customHeight="1">
      <c r="C161" s="168"/>
      <c r="D161" s="1184">
        <v>26</v>
      </c>
      <c r="E161" s="1185"/>
      <c r="F161" s="1057">
        <v>1234</v>
      </c>
      <c r="G161" s="1176"/>
      <c r="H161" s="232" t="s">
        <v>378</v>
      </c>
      <c r="I161" s="232"/>
      <c r="J161" s="234"/>
      <c r="K161" s="1057">
        <v>12345</v>
      </c>
      <c r="L161" s="1058"/>
      <c r="M161" s="1176"/>
      <c r="N161" s="232" t="s">
        <v>371</v>
      </c>
      <c r="O161" s="232"/>
      <c r="P161" s="232"/>
      <c r="Q161" s="234"/>
      <c r="R161" s="231" t="s">
        <v>439</v>
      </c>
      <c r="S161" s="232"/>
      <c r="T161" s="232"/>
      <c r="U161" s="232"/>
      <c r="V161" s="232"/>
      <c r="W161" s="233" t="s">
        <v>440</v>
      </c>
      <c r="X161" s="232"/>
      <c r="Y161" s="232"/>
      <c r="Z161" s="234"/>
      <c r="AA161" s="233" t="s">
        <v>452</v>
      </c>
      <c r="AB161" s="232"/>
      <c r="AC161" s="232"/>
      <c r="AD161" s="232"/>
      <c r="AE161" s="234"/>
      <c r="AF161" s="231" t="s">
        <v>325</v>
      </c>
      <c r="AG161" s="232"/>
      <c r="AH161" s="232"/>
      <c r="AI161" s="234"/>
      <c r="AJ161" s="233" t="s">
        <v>399</v>
      </c>
      <c r="AK161" s="232"/>
      <c r="AL161" s="232"/>
      <c r="AM161" s="232"/>
      <c r="AN161" s="232"/>
      <c r="AO161" s="232"/>
      <c r="AP161" s="279"/>
      <c r="AQ161" s="448" t="s">
        <v>413</v>
      </c>
      <c r="AR161" s="232"/>
      <c r="AS161" s="232"/>
      <c r="AT161" s="234"/>
      <c r="AU161" s="992">
        <v>9999999</v>
      </c>
      <c r="AV161" s="993"/>
      <c r="AW161" s="993"/>
      <c r="AX161" s="994"/>
      <c r="AY161" s="990" t="s">
        <v>442</v>
      </c>
      <c r="AZ161" s="991"/>
      <c r="BA161" s="992">
        <v>9999999</v>
      </c>
      <c r="BB161" s="993"/>
      <c r="BC161" s="993"/>
      <c r="BD161" s="994"/>
      <c r="BE161" s="992">
        <v>9999999</v>
      </c>
      <c r="BF161" s="993"/>
      <c r="BG161" s="993"/>
      <c r="BH161" s="994"/>
      <c r="BI161" s="992">
        <v>9999999</v>
      </c>
      <c r="BJ161" s="993"/>
      <c r="BK161" s="993"/>
      <c r="BL161" s="994"/>
      <c r="BM161" s="990" t="s">
        <v>449</v>
      </c>
      <c r="BN161" s="991"/>
      <c r="BO161" s="233" t="s">
        <v>447</v>
      </c>
      <c r="BP161" s="232"/>
      <c r="BQ161" s="234"/>
      <c r="BR161" s="990" t="s">
        <v>401</v>
      </c>
      <c r="BS161" s="991"/>
      <c r="BT161" s="233" t="s">
        <v>453</v>
      </c>
      <c r="BU161" s="232"/>
      <c r="BV161" s="232"/>
      <c r="BW161" s="232"/>
      <c r="BX161" s="234"/>
    </row>
    <row r="162" spans="3:76" ht="12" customHeight="1">
      <c r="C162" s="168"/>
      <c r="D162" s="1184">
        <v>27</v>
      </c>
      <c r="E162" s="1185"/>
      <c r="F162" s="1057">
        <v>1234</v>
      </c>
      <c r="G162" s="1176"/>
      <c r="H162" s="232" t="s">
        <v>378</v>
      </c>
      <c r="I162" s="232"/>
      <c r="J162" s="234"/>
      <c r="K162" s="1057">
        <v>12345</v>
      </c>
      <c r="L162" s="1058"/>
      <c r="M162" s="1176"/>
      <c r="N162" s="232" t="s">
        <v>371</v>
      </c>
      <c r="O162" s="232"/>
      <c r="P162" s="232"/>
      <c r="Q162" s="234"/>
      <c r="R162" s="231" t="s">
        <v>439</v>
      </c>
      <c r="S162" s="232"/>
      <c r="T162" s="232"/>
      <c r="U162" s="232"/>
      <c r="V162" s="232"/>
      <c r="W162" s="233" t="s">
        <v>440</v>
      </c>
      <c r="X162" s="232"/>
      <c r="Y162" s="232"/>
      <c r="Z162" s="234"/>
      <c r="AA162" s="233" t="s">
        <v>452</v>
      </c>
      <c r="AB162" s="232"/>
      <c r="AC162" s="232"/>
      <c r="AD162" s="232"/>
      <c r="AE162" s="234"/>
      <c r="AF162" s="231" t="s">
        <v>325</v>
      </c>
      <c r="AG162" s="232"/>
      <c r="AH162" s="232"/>
      <c r="AI162" s="234"/>
      <c r="AJ162" s="233" t="s">
        <v>399</v>
      </c>
      <c r="AK162" s="232"/>
      <c r="AL162" s="232"/>
      <c r="AM162" s="232"/>
      <c r="AN162" s="232"/>
      <c r="AO162" s="232"/>
      <c r="AP162" s="279"/>
      <c r="AQ162" s="448" t="s">
        <v>413</v>
      </c>
      <c r="AR162" s="232"/>
      <c r="AS162" s="232"/>
      <c r="AT162" s="234"/>
      <c r="AU162" s="992">
        <v>9999999</v>
      </c>
      <c r="AV162" s="993"/>
      <c r="AW162" s="993"/>
      <c r="AX162" s="994"/>
      <c r="AY162" s="990" t="s">
        <v>442</v>
      </c>
      <c r="AZ162" s="991"/>
      <c r="BA162" s="992">
        <v>9999999</v>
      </c>
      <c r="BB162" s="993"/>
      <c r="BC162" s="993"/>
      <c r="BD162" s="994"/>
      <c r="BE162" s="992">
        <v>9999999</v>
      </c>
      <c r="BF162" s="993"/>
      <c r="BG162" s="993"/>
      <c r="BH162" s="994"/>
      <c r="BI162" s="992">
        <v>9999999</v>
      </c>
      <c r="BJ162" s="993"/>
      <c r="BK162" s="993"/>
      <c r="BL162" s="994"/>
      <c r="BM162" s="990" t="s">
        <v>449</v>
      </c>
      <c r="BN162" s="991"/>
      <c r="BO162" s="233" t="s">
        <v>447</v>
      </c>
      <c r="BP162" s="232"/>
      <c r="BQ162" s="234"/>
      <c r="BR162" s="990" t="s">
        <v>401</v>
      </c>
      <c r="BS162" s="991"/>
      <c r="BT162" s="233" t="s">
        <v>453</v>
      </c>
      <c r="BU162" s="232"/>
      <c r="BV162" s="232"/>
      <c r="BW162" s="232"/>
      <c r="BX162" s="234"/>
    </row>
    <row r="163" spans="3:76" ht="12" customHeight="1">
      <c r="C163" s="168"/>
      <c r="D163" s="1184">
        <v>28</v>
      </c>
      <c r="E163" s="1185"/>
      <c r="F163" s="1057">
        <v>1234</v>
      </c>
      <c r="G163" s="1176"/>
      <c r="H163" s="232" t="s">
        <v>378</v>
      </c>
      <c r="I163" s="232"/>
      <c r="J163" s="234"/>
      <c r="K163" s="1057">
        <v>12345</v>
      </c>
      <c r="L163" s="1058"/>
      <c r="M163" s="1176"/>
      <c r="N163" s="232" t="s">
        <v>371</v>
      </c>
      <c r="O163" s="232"/>
      <c r="P163" s="232"/>
      <c r="Q163" s="234"/>
      <c r="R163" s="231" t="s">
        <v>439</v>
      </c>
      <c r="S163" s="232"/>
      <c r="T163" s="232"/>
      <c r="U163" s="232"/>
      <c r="V163" s="232"/>
      <c r="W163" s="233" t="s">
        <v>440</v>
      </c>
      <c r="X163" s="232"/>
      <c r="Y163" s="232"/>
      <c r="Z163" s="234"/>
      <c r="AA163" s="233" t="s">
        <v>452</v>
      </c>
      <c r="AB163" s="232"/>
      <c r="AC163" s="232"/>
      <c r="AD163" s="232"/>
      <c r="AE163" s="234"/>
      <c r="AF163" s="231" t="s">
        <v>325</v>
      </c>
      <c r="AG163" s="232"/>
      <c r="AH163" s="232"/>
      <c r="AI163" s="234"/>
      <c r="AJ163" s="233" t="s">
        <v>399</v>
      </c>
      <c r="AK163" s="232"/>
      <c r="AL163" s="232"/>
      <c r="AM163" s="232"/>
      <c r="AN163" s="232"/>
      <c r="AO163" s="232"/>
      <c r="AP163" s="279"/>
      <c r="AQ163" s="448" t="s">
        <v>413</v>
      </c>
      <c r="AR163" s="232"/>
      <c r="AS163" s="232"/>
      <c r="AT163" s="234"/>
      <c r="AU163" s="992">
        <v>9999999</v>
      </c>
      <c r="AV163" s="993"/>
      <c r="AW163" s="993"/>
      <c r="AX163" s="994"/>
      <c r="AY163" s="990" t="s">
        <v>442</v>
      </c>
      <c r="AZ163" s="991"/>
      <c r="BA163" s="992">
        <v>9999999</v>
      </c>
      <c r="BB163" s="993"/>
      <c r="BC163" s="993"/>
      <c r="BD163" s="994"/>
      <c r="BE163" s="992">
        <v>9999999</v>
      </c>
      <c r="BF163" s="993"/>
      <c r="BG163" s="993"/>
      <c r="BH163" s="994"/>
      <c r="BI163" s="992">
        <v>9999999</v>
      </c>
      <c r="BJ163" s="993"/>
      <c r="BK163" s="993"/>
      <c r="BL163" s="994"/>
      <c r="BM163" s="990" t="s">
        <v>449</v>
      </c>
      <c r="BN163" s="991"/>
      <c r="BO163" s="233" t="s">
        <v>447</v>
      </c>
      <c r="BP163" s="232"/>
      <c r="BQ163" s="234"/>
      <c r="BR163" s="990" t="s">
        <v>401</v>
      </c>
      <c r="BS163" s="991"/>
      <c r="BT163" s="233" t="s">
        <v>453</v>
      </c>
      <c r="BU163" s="232"/>
      <c r="BV163" s="232"/>
      <c r="BW163" s="232"/>
      <c r="BX163" s="234"/>
    </row>
    <row r="164" spans="3:76" ht="12" customHeight="1">
      <c r="C164" s="168"/>
      <c r="D164" s="1184">
        <v>29</v>
      </c>
      <c r="E164" s="1185"/>
      <c r="F164" s="1057">
        <v>1234</v>
      </c>
      <c r="G164" s="1176"/>
      <c r="H164" s="232" t="s">
        <v>378</v>
      </c>
      <c r="I164" s="232"/>
      <c r="J164" s="234"/>
      <c r="K164" s="1057">
        <v>12345</v>
      </c>
      <c r="L164" s="1058"/>
      <c r="M164" s="1176"/>
      <c r="N164" s="232" t="s">
        <v>371</v>
      </c>
      <c r="O164" s="232"/>
      <c r="P164" s="232"/>
      <c r="Q164" s="234"/>
      <c r="R164" s="231" t="s">
        <v>439</v>
      </c>
      <c r="S164" s="232"/>
      <c r="T164" s="232"/>
      <c r="U164" s="232"/>
      <c r="V164" s="232"/>
      <c r="W164" s="233" t="s">
        <v>440</v>
      </c>
      <c r="X164" s="232"/>
      <c r="Y164" s="232"/>
      <c r="Z164" s="234"/>
      <c r="AA164" s="233" t="s">
        <v>452</v>
      </c>
      <c r="AB164" s="232"/>
      <c r="AC164" s="232"/>
      <c r="AD164" s="232"/>
      <c r="AE164" s="234"/>
      <c r="AF164" s="231" t="s">
        <v>325</v>
      </c>
      <c r="AG164" s="232"/>
      <c r="AH164" s="232"/>
      <c r="AI164" s="234"/>
      <c r="AJ164" s="233" t="s">
        <v>399</v>
      </c>
      <c r="AK164" s="232"/>
      <c r="AL164" s="232"/>
      <c r="AM164" s="232"/>
      <c r="AN164" s="232"/>
      <c r="AO164" s="232"/>
      <c r="AP164" s="279"/>
      <c r="AQ164" s="448" t="s">
        <v>413</v>
      </c>
      <c r="AR164" s="232"/>
      <c r="AS164" s="232"/>
      <c r="AT164" s="234"/>
      <c r="AU164" s="992">
        <v>9999999</v>
      </c>
      <c r="AV164" s="993"/>
      <c r="AW164" s="993"/>
      <c r="AX164" s="994"/>
      <c r="AY164" s="990" t="s">
        <v>442</v>
      </c>
      <c r="AZ164" s="991"/>
      <c r="BA164" s="992">
        <v>9999999</v>
      </c>
      <c r="BB164" s="993"/>
      <c r="BC164" s="993"/>
      <c r="BD164" s="994"/>
      <c r="BE164" s="992">
        <v>9999999</v>
      </c>
      <c r="BF164" s="993"/>
      <c r="BG164" s="993"/>
      <c r="BH164" s="994"/>
      <c r="BI164" s="992">
        <v>9999999</v>
      </c>
      <c r="BJ164" s="993"/>
      <c r="BK164" s="993"/>
      <c r="BL164" s="994"/>
      <c r="BM164" s="990" t="s">
        <v>449</v>
      </c>
      <c r="BN164" s="991"/>
      <c r="BO164" s="233" t="s">
        <v>447</v>
      </c>
      <c r="BP164" s="232"/>
      <c r="BQ164" s="234"/>
      <c r="BR164" s="990" t="s">
        <v>401</v>
      </c>
      <c r="BS164" s="991"/>
      <c r="BT164" s="233" t="s">
        <v>453</v>
      </c>
      <c r="BU164" s="232"/>
      <c r="BV164" s="232"/>
      <c r="BW164" s="232"/>
      <c r="BX164" s="234"/>
    </row>
    <row r="165" spans="3:76" ht="12" customHeight="1">
      <c r="C165" s="168"/>
      <c r="D165" s="1184">
        <v>30</v>
      </c>
      <c r="E165" s="1185"/>
      <c r="F165" s="1057">
        <v>1234</v>
      </c>
      <c r="G165" s="1176"/>
      <c r="H165" s="232" t="s">
        <v>378</v>
      </c>
      <c r="I165" s="232"/>
      <c r="J165" s="234"/>
      <c r="K165" s="1057">
        <v>12345</v>
      </c>
      <c r="L165" s="1058"/>
      <c r="M165" s="1176"/>
      <c r="N165" s="232" t="s">
        <v>371</v>
      </c>
      <c r="O165" s="232"/>
      <c r="P165" s="232"/>
      <c r="Q165" s="234"/>
      <c r="R165" s="231" t="s">
        <v>439</v>
      </c>
      <c r="S165" s="232"/>
      <c r="T165" s="232"/>
      <c r="U165" s="232"/>
      <c r="V165" s="232"/>
      <c r="W165" s="233" t="s">
        <v>440</v>
      </c>
      <c r="X165" s="232"/>
      <c r="Y165" s="232"/>
      <c r="Z165" s="234"/>
      <c r="AA165" s="233" t="s">
        <v>452</v>
      </c>
      <c r="AB165" s="232"/>
      <c r="AC165" s="232"/>
      <c r="AD165" s="232"/>
      <c r="AE165" s="234"/>
      <c r="AF165" s="231" t="s">
        <v>325</v>
      </c>
      <c r="AG165" s="232"/>
      <c r="AH165" s="232"/>
      <c r="AI165" s="234"/>
      <c r="AJ165" s="233" t="s">
        <v>399</v>
      </c>
      <c r="AK165" s="232"/>
      <c r="AL165" s="232"/>
      <c r="AM165" s="232"/>
      <c r="AN165" s="232"/>
      <c r="AO165" s="232"/>
      <c r="AP165" s="279"/>
      <c r="AQ165" s="448" t="s">
        <v>413</v>
      </c>
      <c r="AR165" s="232"/>
      <c r="AS165" s="232"/>
      <c r="AT165" s="234"/>
      <c r="AU165" s="992">
        <v>9999999</v>
      </c>
      <c r="AV165" s="993"/>
      <c r="AW165" s="993"/>
      <c r="AX165" s="994"/>
      <c r="AY165" s="990" t="s">
        <v>442</v>
      </c>
      <c r="AZ165" s="991"/>
      <c r="BA165" s="992">
        <v>9999999</v>
      </c>
      <c r="BB165" s="993"/>
      <c r="BC165" s="993"/>
      <c r="BD165" s="994"/>
      <c r="BE165" s="992">
        <v>9999999</v>
      </c>
      <c r="BF165" s="993"/>
      <c r="BG165" s="993"/>
      <c r="BH165" s="994"/>
      <c r="BI165" s="992">
        <v>9999999</v>
      </c>
      <c r="BJ165" s="993"/>
      <c r="BK165" s="993"/>
      <c r="BL165" s="994"/>
      <c r="BM165" s="990" t="s">
        <v>449</v>
      </c>
      <c r="BN165" s="991"/>
      <c r="BO165" s="233" t="s">
        <v>447</v>
      </c>
      <c r="BP165" s="232"/>
      <c r="BQ165" s="234"/>
      <c r="BR165" s="990" t="s">
        <v>401</v>
      </c>
      <c r="BS165" s="991"/>
      <c r="BT165" s="233" t="s">
        <v>453</v>
      </c>
      <c r="BU165" s="232"/>
      <c r="BV165" s="232"/>
      <c r="BW165" s="232"/>
      <c r="BX165" s="234"/>
    </row>
    <row r="166" spans="3:76" ht="12" customHeight="1">
      <c r="C166" s="168"/>
      <c r="D166" s="1184">
        <v>31</v>
      </c>
      <c r="E166" s="1185"/>
      <c r="F166" s="1057">
        <v>1234</v>
      </c>
      <c r="G166" s="1176"/>
      <c r="H166" s="232" t="s">
        <v>369</v>
      </c>
      <c r="I166" s="232"/>
      <c r="J166" s="234"/>
      <c r="K166" s="1057">
        <v>12345</v>
      </c>
      <c r="L166" s="1058"/>
      <c r="M166" s="1176"/>
      <c r="N166" s="232" t="s">
        <v>371</v>
      </c>
      <c r="O166" s="232"/>
      <c r="P166" s="232"/>
      <c r="Q166" s="234"/>
      <c r="R166" s="231" t="s">
        <v>433</v>
      </c>
      <c r="S166" s="232"/>
      <c r="T166" s="232"/>
      <c r="U166" s="232"/>
      <c r="V166" s="232"/>
      <c r="W166" s="233" t="s">
        <v>371</v>
      </c>
      <c r="X166" s="232"/>
      <c r="Y166" s="232"/>
      <c r="Z166" s="234"/>
      <c r="AA166" s="233" t="s">
        <v>434</v>
      </c>
      <c r="AB166" s="232"/>
      <c r="AC166" s="232"/>
      <c r="AD166" s="232"/>
      <c r="AE166" s="234"/>
      <c r="AF166" s="231" t="s">
        <v>325</v>
      </c>
      <c r="AG166" s="232"/>
      <c r="AH166" s="232"/>
      <c r="AI166" s="234"/>
      <c r="AJ166" s="233" t="s">
        <v>327</v>
      </c>
      <c r="AK166" s="232"/>
      <c r="AL166" s="232"/>
      <c r="AM166" s="232"/>
      <c r="AN166" s="232"/>
      <c r="AO166" s="232"/>
      <c r="AP166" s="279"/>
      <c r="AQ166" s="448" t="s">
        <v>371</v>
      </c>
      <c r="AR166" s="232"/>
      <c r="AS166" s="232"/>
      <c r="AT166" s="234"/>
      <c r="AU166" s="992">
        <v>9999999</v>
      </c>
      <c r="AV166" s="993"/>
      <c r="AW166" s="993"/>
      <c r="AX166" s="994"/>
      <c r="AY166" s="990"/>
      <c r="AZ166" s="991"/>
      <c r="BA166" s="992">
        <v>9999999</v>
      </c>
      <c r="BB166" s="993"/>
      <c r="BC166" s="993"/>
      <c r="BD166" s="994"/>
      <c r="BE166" s="992">
        <v>9999999</v>
      </c>
      <c r="BF166" s="993"/>
      <c r="BG166" s="993"/>
      <c r="BH166" s="994"/>
      <c r="BI166" s="992">
        <v>9999999</v>
      </c>
      <c r="BJ166" s="993"/>
      <c r="BK166" s="993"/>
      <c r="BL166" s="994"/>
      <c r="BM166" s="990" t="s">
        <v>435</v>
      </c>
      <c r="BN166" s="991"/>
      <c r="BO166" s="233" t="s">
        <v>436</v>
      </c>
      <c r="BP166" s="232"/>
      <c r="BQ166" s="234"/>
      <c r="BR166" s="990" t="s">
        <v>401</v>
      </c>
      <c r="BS166" s="991"/>
      <c r="BT166" s="233"/>
      <c r="BU166" s="232"/>
      <c r="BV166" s="232"/>
      <c r="BW166" s="232"/>
      <c r="BX166" s="234"/>
    </row>
    <row r="167" spans="3:76" ht="12" customHeight="1">
      <c r="C167" s="168"/>
      <c r="D167" s="1184">
        <v>32</v>
      </c>
      <c r="E167" s="1185"/>
      <c r="F167" s="1057">
        <v>1234</v>
      </c>
      <c r="G167" s="1176"/>
      <c r="H167" s="232" t="s">
        <v>369</v>
      </c>
      <c r="I167" s="232"/>
      <c r="J167" s="234"/>
      <c r="K167" s="1057">
        <v>12345</v>
      </c>
      <c r="L167" s="1058"/>
      <c r="M167" s="1176"/>
      <c r="N167" s="232" t="s">
        <v>371</v>
      </c>
      <c r="O167" s="232"/>
      <c r="P167" s="232"/>
      <c r="Q167" s="234"/>
      <c r="R167" s="231" t="s">
        <v>433</v>
      </c>
      <c r="S167" s="232"/>
      <c r="T167" s="232"/>
      <c r="U167" s="232"/>
      <c r="V167" s="232"/>
      <c r="W167" s="233" t="s">
        <v>371</v>
      </c>
      <c r="X167" s="232"/>
      <c r="Y167" s="232"/>
      <c r="Z167" s="234"/>
      <c r="AA167" s="233" t="s">
        <v>437</v>
      </c>
      <c r="AB167" s="232"/>
      <c r="AC167" s="232"/>
      <c r="AD167" s="232"/>
      <c r="AE167" s="234"/>
      <c r="AF167" s="231" t="s">
        <v>325</v>
      </c>
      <c r="AG167" s="232"/>
      <c r="AH167" s="232"/>
      <c r="AI167" s="234"/>
      <c r="AJ167" s="233" t="s">
        <v>327</v>
      </c>
      <c r="AK167" s="232"/>
      <c r="AL167" s="232"/>
      <c r="AM167" s="232"/>
      <c r="AN167" s="232"/>
      <c r="AO167" s="232"/>
      <c r="AP167" s="279"/>
      <c r="AQ167" s="448" t="s">
        <v>371</v>
      </c>
      <c r="AR167" s="232"/>
      <c r="AS167" s="232"/>
      <c r="AT167" s="234"/>
      <c r="AU167" s="992">
        <v>9999999</v>
      </c>
      <c r="AV167" s="993"/>
      <c r="AW167" s="993"/>
      <c r="AX167" s="994"/>
      <c r="AY167" s="990"/>
      <c r="AZ167" s="991"/>
      <c r="BA167" s="992">
        <v>9999999</v>
      </c>
      <c r="BB167" s="993"/>
      <c r="BC167" s="993"/>
      <c r="BD167" s="994"/>
      <c r="BE167" s="992">
        <v>9999999</v>
      </c>
      <c r="BF167" s="993"/>
      <c r="BG167" s="993"/>
      <c r="BH167" s="994"/>
      <c r="BI167" s="992">
        <v>9999999</v>
      </c>
      <c r="BJ167" s="993"/>
      <c r="BK167" s="993"/>
      <c r="BL167" s="994"/>
      <c r="BM167" s="990" t="s">
        <v>438</v>
      </c>
      <c r="BN167" s="991"/>
      <c r="BO167" s="233" t="s">
        <v>436</v>
      </c>
      <c r="BP167" s="232"/>
      <c r="BQ167" s="234"/>
      <c r="BR167" s="990" t="s">
        <v>401</v>
      </c>
      <c r="BS167" s="991"/>
      <c r="BT167" s="233"/>
      <c r="BU167" s="232"/>
      <c r="BV167" s="232"/>
      <c r="BW167" s="232"/>
      <c r="BX167" s="234"/>
    </row>
    <row r="168" spans="3:76" ht="12" customHeight="1">
      <c r="C168" s="168"/>
      <c r="D168" s="1184">
        <v>33</v>
      </c>
      <c r="E168" s="1185"/>
      <c r="F168" s="1057">
        <v>1234</v>
      </c>
      <c r="G168" s="1176"/>
      <c r="H168" s="232" t="s">
        <v>378</v>
      </c>
      <c r="I168" s="232"/>
      <c r="J168" s="234"/>
      <c r="K168" s="1057">
        <v>12345</v>
      </c>
      <c r="L168" s="1058"/>
      <c r="M168" s="1176"/>
      <c r="N168" s="232" t="s">
        <v>371</v>
      </c>
      <c r="O168" s="232"/>
      <c r="P168" s="232"/>
      <c r="Q168" s="234"/>
      <c r="R168" s="231" t="s">
        <v>439</v>
      </c>
      <c r="S168" s="232"/>
      <c r="T168" s="232"/>
      <c r="U168" s="232"/>
      <c r="V168" s="232"/>
      <c r="W168" s="233" t="s">
        <v>440</v>
      </c>
      <c r="X168" s="232"/>
      <c r="Y168" s="232"/>
      <c r="Z168" s="234"/>
      <c r="AA168" s="233" t="s">
        <v>441</v>
      </c>
      <c r="AB168" s="232"/>
      <c r="AC168" s="232"/>
      <c r="AD168" s="232"/>
      <c r="AE168" s="234"/>
      <c r="AF168" s="231" t="s">
        <v>325</v>
      </c>
      <c r="AG168" s="232"/>
      <c r="AH168" s="232"/>
      <c r="AI168" s="234"/>
      <c r="AJ168" s="233" t="s">
        <v>327</v>
      </c>
      <c r="AK168" s="232"/>
      <c r="AL168" s="232"/>
      <c r="AM168" s="232"/>
      <c r="AN168" s="232"/>
      <c r="AO168" s="232"/>
      <c r="AP168" s="279"/>
      <c r="AQ168" s="448" t="s">
        <v>371</v>
      </c>
      <c r="AR168" s="232"/>
      <c r="AS168" s="232"/>
      <c r="AT168" s="234"/>
      <c r="AU168" s="992">
        <v>9999999</v>
      </c>
      <c r="AV168" s="993"/>
      <c r="AW168" s="993"/>
      <c r="AX168" s="994"/>
      <c r="AY168" s="990" t="s">
        <v>442</v>
      </c>
      <c r="AZ168" s="991"/>
      <c r="BA168" s="992">
        <v>9999999</v>
      </c>
      <c r="BB168" s="993"/>
      <c r="BC168" s="993"/>
      <c r="BD168" s="994"/>
      <c r="BE168" s="992">
        <v>9999999</v>
      </c>
      <c r="BF168" s="993"/>
      <c r="BG168" s="993"/>
      <c r="BH168" s="994"/>
      <c r="BI168" s="992">
        <v>9999999</v>
      </c>
      <c r="BJ168" s="993"/>
      <c r="BK168" s="993"/>
      <c r="BL168" s="994"/>
      <c r="BM168" s="990" t="s">
        <v>438</v>
      </c>
      <c r="BN168" s="991"/>
      <c r="BO168" s="233" t="s">
        <v>436</v>
      </c>
      <c r="BP168" s="232"/>
      <c r="BQ168" s="234"/>
      <c r="BR168" s="990" t="s">
        <v>401</v>
      </c>
      <c r="BS168" s="991"/>
      <c r="BT168" s="233" t="s">
        <v>453</v>
      </c>
      <c r="BU168" s="232"/>
      <c r="BV168" s="232"/>
      <c r="BW168" s="232"/>
      <c r="BX168" s="234"/>
    </row>
    <row r="169" spans="3:76" ht="12" customHeight="1">
      <c r="C169" s="168"/>
      <c r="D169" s="1184">
        <v>34</v>
      </c>
      <c r="E169" s="1185"/>
      <c r="F169" s="1057">
        <v>1234</v>
      </c>
      <c r="G169" s="1176"/>
      <c r="H169" s="232" t="s">
        <v>378</v>
      </c>
      <c r="I169" s="232"/>
      <c r="J169" s="234"/>
      <c r="K169" s="1057">
        <v>12345</v>
      </c>
      <c r="L169" s="1058"/>
      <c r="M169" s="1176"/>
      <c r="N169" s="232" t="s">
        <v>371</v>
      </c>
      <c r="O169" s="232"/>
      <c r="P169" s="232"/>
      <c r="Q169" s="234"/>
      <c r="R169" s="231" t="s">
        <v>439</v>
      </c>
      <c r="S169" s="232"/>
      <c r="T169" s="232"/>
      <c r="U169" s="232"/>
      <c r="V169" s="232"/>
      <c r="W169" s="233" t="s">
        <v>440</v>
      </c>
      <c r="X169" s="232"/>
      <c r="Y169" s="232"/>
      <c r="Z169" s="234"/>
      <c r="AA169" s="233" t="s">
        <v>443</v>
      </c>
      <c r="AB169" s="232"/>
      <c r="AC169" s="232"/>
      <c r="AD169" s="232"/>
      <c r="AE169" s="234"/>
      <c r="AF169" s="231" t="s">
        <v>325</v>
      </c>
      <c r="AG169" s="232"/>
      <c r="AH169" s="232"/>
      <c r="AI169" s="234"/>
      <c r="AJ169" s="233" t="s">
        <v>327</v>
      </c>
      <c r="AK169" s="232"/>
      <c r="AL169" s="232"/>
      <c r="AM169" s="232"/>
      <c r="AN169" s="232"/>
      <c r="AO169" s="232"/>
      <c r="AP169" s="279"/>
      <c r="AQ169" s="448" t="s">
        <v>371</v>
      </c>
      <c r="AR169" s="232"/>
      <c r="AS169" s="232"/>
      <c r="AT169" s="234"/>
      <c r="AU169" s="992">
        <v>9999999</v>
      </c>
      <c r="AV169" s="993"/>
      <c r="AW169" s="993"/>
      <c r="AX169" s="994"/>
      <c r="AY169" s="990"/>
      <c r="AZ169" s="991"/>
      <c r="BA169" s="992">
        <v>9999999</v>
      </c>
      <c r="BB169" s="993"/>
      <c r="BC169" s="993"/>
      <c r="BD169" s="994"/>
      <c r="BE169" s="992">
        <v>9999999</v>
      </c>
      <c r="BF169" s="993"/>
      <c r="BG169" s="993"/>
      <c r="BH169" s="994"/>
      <c r="BI169" s="992">
        <v>9999999</v>
      </c>
      <c r="BJ169" s="993"/>
      <c r="BK169" s="993"/>
      <c r="BL169" s="994"/>
      <c r="BM169" s="990" t="s">
        <v>438</v>
      </c>
      <c r="BN169" s="991"/>
      <c r="BO169" s="233" t="s">
        <v>436</v>
      </c>
      <c r="BP169" s="232"/>
      <c r="BQ169" s="234"/>
      <c r="BR169" s="990" t="s">
        <v>401</v>
      </c>
      <c r="BS169" s="991"/>
      <c r="BT169" s="233"/>
      <c r="BU169" s="232"/>
      <c r="BV169" s="232"/>
      <c r="BW169" s="232"/>
      <c r="BX169" s="234"/>
    </row>
    <row r="170" spans="3:76" ht="12" customHeight="1">
      <c r="C170" s="168"/>
      <c r="D170" s="1184">
        <v>35</v>
      </c>
      <c r="E170" s="1185"/>
      <c r="F170" s="1057">
        <v>1234</v>
      </c>
      <c r="G170" s="1176"/>
      <c r="H170" s="232" t="s">
        <v>378</v>
      </c>
      <c r="I170" s="232"/>
      <c r="J170" s="234"/>
      <c r="K170" s="1057">
        <v>12345</v>
      </c>
      <c r="L170" s="1058"/>
      <c r="M170" s="1176"/>
      <c r="N170" s="232" t="s">
        <v>371</v>
      </c>
      <c r="O170" s="232"/>
      <c r="P170" s="232"/>
      <c r="Q170" s="234"/>
      <c r="R170" s="231" t="s">
        <v>439</v>
      </c>
      <c r="S170" s="232"/>
      <c r="T170" s="232"/>
      <c r="U170" s="232"/>
      <c r="V170" s="232"/>
      <c r="W170" s="233" t="s">
        <v>440</v>
      </c>
      <c r="X170" s="232"/>
      <c r="Y170" s="232"/>
      <c r="Z170" s="234"/>
      <c r="AA170" s="233" t="s">
        <v>444</v>
      </c>
      <c r="AB170" s="232"/>
      <c r="AC170" s="232"/>
      <c r="AD170" s="232"/>
      <c r="AE170" s="234"/>
      <c r="AF170" s="231" t="s">
        <v>325</v>
      </c>
      <c r="AG170" s="232"/>
      <c r="AH170" s="232"/>
      <c r="AI170" s="234"/>
      <c r="AJ170" s="233" t="s">
        <v>327</v>
      </c>
      <c r="AK170" s="232"/>
      <c r="AL170" s="232"/>
      <c r="AM170" s="232"/>
      <c r="AN170" s="232"/>
      <c r="AO170" s="232"/>
      <c r="AP170" s="279"/>
      <c r="AQ170" s="448" t="s">
        <v>371</v>
      </c>
      <c r="AR170" s="232"/>
      <c r="AS170" s="232"/>
      <c r="AT170" s="234"/>
      <c r="AU170" s="992">
        <v>9999999</v>
      </c>
      <c r="AV170" s="993"/>
      <c r="AW170" s="993"/>
      <c r="AX170" s="994"/>
      <c r="AY170" s="990"/>
      <c r="AZ170" s="991"/>
      <c r="BA170" s="992">
        <v>9999999</v>
      </c>
      <c r="BB170" s="993"/>
      <c r="BC170" s="993"/>
      <c r="BD170" s="994"/>
      <c r="BE170" s="992">
        <v>9999999</v>
      </c>
      <c r="BF170" s="993"/>
      <c r="BG170" s="993"/>
      <c r="BH170" s="994"/>
      <c r="BI170" s="992">
        <v>9999999</v>
      </c>
      <c r="BJ170" s="993"/>
      <c r="BK170" s="993"/>
      <c r="BL170" s="994"/>
      <c r="BM170" s="990" t="s">
        <v>438</v>
      </c>
      <c r="BN170" s="991"/>
      <c r="BO170" s="233" t="s">
        <v>436</v>
      </c>
      <c r="BP170" s="232"/>
      <c r="BQ170" s="234"/>
      <c r="BR170" s="990" t="s">
        <v>401</v>
      </c>
      <c r="BS170" s="991"/>
      <c r="BT170" s="233"/>
      <c r="BU170" s="232"/>
      <c r="BV170" s="232"/>
      <c r="BW170" s="232"/>
      <c r="BX170" s="234"/>
    </row>
    <row r="171" spans="3:76" ht="12" customHeight="1">
      <c r="C171" s="168"/>
      <c r="D171" s="1184">
        <v>36</v>
      </c>
      <c r="E171" s="1185"/>
      <c r="F171" s="1057">
        <v>1234</v>
      </c>
      <c r="G171" s="1176"/>
      <c r="H171" s="232" t="s">
        <v>378</v>
      </c>
      <c r="I171" s="232"/>
      <c r="J171" s="234"/>
      <c r="K171" s="1057">
        <v>12345</v>
      </c>
      <c r="L171" s="1058"/>
      <c r="M171" s="1176"/>
      <c r="N171" s="232" t="s">
        <v>371</v>
      </c>
      <c r="O171" s="232"/>
      <c r="P171" s="232"/>
      <c r="Q171" s="234"/>
      <c r="R171" s="231" t="s">
        <v>439</v>
      </c>
      <c r="S171" s="232"/>
      <c r="T171" s="232"/>
      <c r="U171" s="232"/>
      <c r="V171" s="232"/>
      <c r="W171" s="233" t="s">
        <v>440</v>
      </c>
      <c r="X171" s="232"/>
      <c r="Y171" s="232"/>
      <c r="Z171" s="234"/>
      <c r="AA171" s="233" t="s">
        <v>445</v>
      </c>
      <c r="AB171" s="232"/>
      <c r="AC171" s="232"/>
      <c r="AD171" s="232"/>
      <c r="AE171" s="234"/>
      <c r="AF171" s="231" t="s">
        <v>325</v>
      </c>
      <c r="AG171" s="232"/>
      <c r="AH171" s="232"/>
      <c r="AI171" s="234"/>
      <c r="AJ171" s="233" t="s">
        <v>394</v>
      </c>
      <c r="AK171" s="232"/>
      <c r="AL171" s="232"/>
      <c r="AM171" s="232"/>
      <c r="AN171" s="232"/>
      <c r="AO171" s="232"/>
      <c r="AP171" s="279"/>
      <c r="AQ171" s="448" t="s">
        <v>395</v>
      </c>
      <c r="AR171" s="232"/>
      <c r="AS171" s="232"/>
      <c r="AT171" s="234"/>
      <c r="AU171" s="992">
        <v>9999999</v>
      </c>
      <c r="AV171" s="993"/>
      <c r="AW171" s="993"/>
      <c r="AX171" s="994"/>
      <c r="AY171" s="990" t="s">
        <v>442</v>
      </c>
      <c r="AZ171" s="991"/>
      <c r="BA171" s="992">
        <v>9999999</v>
      </c>
      <c r="BB171" s="993"/>
      <c r="BC171" s="993"/>
      <c r="BD171" s="994"/>
      <c r="BE171" s="992">
        <v>9999999</v>
      </c>
      <c r="BF171" s="993"/>
      <c r="BG171" s="993"/>
      <c r="BH171" s="994"/>
      <c r="BI171" s="992">
        <v>9999999</v>
      </c>
      <c r="BJ171" s="993"/>
      <c r="BK171" s="993"/>
      <c r="BL171" s="994"/>
      <c r="BM171" s="990" t="s">
        <v>446</v>
      </c>
      <c r="BN171" s="991"/>
      <c r="BO171" s="233" t="s">
        <v>447</v>
      </c>
      <c r="BP171" s="232"/>
      <c r="BQ171" s="234"/>
      <c r="BR171" s="990" t="s">
        <v>401</v>
      </c>
      <c r="BS171" s="991"/>
      <c r="BT171" s="233" t="s">
        <v>453</v>
      </c>
      <c r="BU171" s="232"/>
      <c r="BV171" s="232"/>
      <c r="BW171" s="232"/>
      <c r="BX171" s="234"/>
    </row>
    <row r="172" spans="3:76" ht="12" customHeight="1">
      <c r="C172" s="168"/>
      <c r="D172" s="1184">
        <v>37</v>
      </c>
      <c r="E172" s="1185"/>
      <c r="F172" s="1057">
        <v>1234</v>
      </c>
      <c r="G172" s="1176"/>
      <c r="H172" s="232" t="s">
        <v>378</v>
      </c>
      <c r="I172" s="232"/>
      <c r="J172" s="234"/>
      <c r="K172" s="1057">
        <v>12345</v>
      </c>
      <c r="L172" s="1058"/>
      <c r="M172" s="1176"/>
      <c r="N172" s="232" t="s">
        <v>371</v>
      </c>
      <c r="O172" s="232"/>
      <c r="P172" s="232"/>
      <c r="Q172" s="234"/>
      <c r="R172" s="231" t="s">
        <v>439</v>
      </c>
      <c r="S172" s="232"/>
      <c r="T172" s="232"/>
      <c r="U172" s="232"/>
      <c r="V172" s="232"/>
      <c r="W172" s="233" t="s">
        <v>440</v>
      </c>
      <c r="X172" s="232"/>
      <c r="Y172" s="232"/>
      <c r="Z172" s="234"/>
      <c r="AA172" s="233" t="s">
        <v>448</v>
      </c>
      <c r="AB172" s="232"/>
      <c r="AC172" s="232"/>
      <c r="AD172" s="232"/>
      <c r="AE172" s="234"/>
      <c r="AF172" s="231" t="s">
        <v>325</v>
      </c>
      <c r="AG172" s="232"/>
      <c r="AH172" s="232"/>
      <c r="AI172" s="234"/>
      <c r="AJ172" s="233" t="s">
        <v>399</v>
      </c>
      <c r="AK172" s="232"/>
      <c r="AL172" s="232"/>
      <c r="AM172" s="232"/>
      <c r="AN172" s="232"/>
      <c r="AO172" s="232"/>
      <c r="AP172" s="279"/>
      <c r="AQ172" s="448" t="s">
        <v>400</v>
      </c>
      <c r="AR172" s="232"/>
      <c r="AS172" s="232"/>
      <c r="AT172" s="234"/>
      <c r="AU172" s="992">
        <v>9999999</v>
      </c>
      <c r="AV172" s="993"/>
      <c r="AW172" s="993"/>
      <c r="AX172" s="994"/>
      <c r="AY172" s="990" t="s">
        <v>442</v>
      </c>
      <c r="AZ172" s="991"/>
      <c r="BA172" s="992">
        <v>9999999</v>
      </c>
      <c r="BB172" s="993"/>
      <c r="BC172" s="993"/>
      <c r="BD172" s="994"/>
      <c r="BE172" s="992">
        <v>9999999</v>
      </c>
      <c r="BF172" s="993"/>
      <c r="BG172" s="993"/>
      <c r="BH172" s="994"/>
      <c r="BI172" s="992">
        <v>9999999</v>
      </c>
      <c r="BJ172" s="993"/>
      <c r="BK172" s="993"/>
      <c r="BL172" s="994"/>
      <c r="BM172" s="990" t="s">
        <v>449</v>
      </c>
      <c r="BN172" s="991"/>
      <c r="BO172" s="233" t="s">
        <v>447</v>
      </c>
      <c r="BP172" s="232"/>
      <c r="BQ172" s="234"/>
      <c r="BR172" s="990" t="s">
        <v>401</v>
      </c>
      <c r="BS172" s="991"/>
      <c r="BT172" s="233" t="s">
        <v>453</v>
      </c>
      <c r="BU172" s="232"/>
      <c r="BV172" s="232"/>
      <c r="BW172" s="232"/>
      <c r="BX172" s="234"/>
    </row>
    <row r="173" spans="3:76" ht="12" customHeight="1">
      <c r="C173" s="168"/>
      <c r="D173" s="1184">
        <v>38</v>
      </c>
      <c r="E173" s="1185"/>
      <c r="F173" s="1057">
        <v>1234</v>
      </c>
      <c r="G173" s="1176"/>
      <c r="H173" s="232" t="s">
        <v>378</v>
      </c>
      <c r="I173" s="232"/>
      <c r="J173" s="234"/>
      <c r="K173" s="1057">
        <v>12345</v>
      </c>
      <c r="L173" s="1058"/>
      <c r="M173" s="1176"/>
      <c r="N173" s="232" t="s">
        <v>371</v>
      </c>
      <c r="O173" s="232"/>
      <c r="P173" s="232"/>
      <c r="Q173" s="234"/>
      <c r="R173" s="231" t="s">
        <v>439</v>
      </c>
      <c r="S173" s="232"/>
      <c r="T173" s="232"/>
      <c r="U173" s="232"/>
      <c r="V173" s="232"/>
      <c r="W173" s="233" t="s">
        <v>440</v>
      </c>
      <c r="X173" s="232"/>
      <c r="Y173" s="232"/>
      <c r="Z173" s="234"/>
      <c r="AA173" s="233" t="s">
        <v>450</v>
      </c>
      <c r="AB173" s="232"/>
      <c r="AC173" s="232"/>
      <c r="AD173" s="232"/>
      <c r="AE173" s="234"/>
      <c r="AF173" s="231" t="s">
        <v>325</v>
      </c>
      <c r="AG173" s="232"/>
      <c r="AH173" s="232"/>
      <c r="AI173" s="234"/>
      <c r="AJ173" s="233" t="s">
        <v>399</v>
      </c>
      <c r="AK173" s="232"/>
      <c r="AL173" s="232"/>
      <c r="AM173" s="232"/>
      <c r="AN173" s="232"/>
      <c r="AO173" s="232"/>
      <c r="AP173" s="279"/>
      <c r="AQ173" s="448" t="s">
        <v>405</v>
      </c>
      <c r="AR173" s="232"/>
      <c r="AS173" s="232"/>
      <c r="AT173" s="234"/>
      <c r="AU173" s="992">
        <v>9999999</v>
      </c>
      <c r="AV173" s="993"/>
      <c r="AW173" s="993"/>
      <c r="AX173" s="994"/>
      <c r="AY173" s="990" t="s">
        <v>442</v>
      </c>
      <c r="AZ173" s="991"/>
      <c r="BA173" s="992">
        <v>9999999</v>
      </c>
      <c r="BB173" s="993"/>
      <c r="BC173" s="993"/>
      <c r="BD173" s="994"/>
      <c r="BE173" s="992">
        <v>9999999</v>
      </c>
      <c r="BF173" s="993"/>
      <c r="BG173" s="993"/>
      <c r="BH173" s="994"/>
      <c r="BI173" s="992">
        <v>9999999</v>
      </c>
      <c r="BJ173" s="993"/>
      <c r="BK173" s="993"/>
      <c r="BL173" s="994"/>
      <c r="BM173" s="990" t="s">
        <v>449</v>
      </c>
      <c r="BN173" s="991"/>
      <c r="BO173" s="233" t="s">
        <v>447</v>
      </c>
      <c r="BP173" s="232"/>
      <c r="BQ173" s="234"/>
      <c r="BR173" s="990" t="s">
        <v>401</v>
      </c>
      <c r="BS173" s="991"/>
      <c r="BT173" s="233" t="s">
        <v>453</v>
      </c>
      <c r="BU173" s="232"/>
      <c r="BV173" s="232"/>
      <c r="BW173" s="232"/>
      <c r="BX173" s="234"/>
    </row>
    <row r="174" spans="3:76" ht="12" customHeight="1">
      <c r="C174" s="168"/>
      <c r="D174" s="1184">
        <v>39</v>
      </c>
      <c r="E174" s="1185"/>
      <c r="F174" s="1057">
        <v>1234</v>
      </c>
      <c r="G174" s="1176"/>
      <c r="H174" s="232" t="s">
        <v>378</v>
      </c>
      <c r="I174" s="232"/>
      <c r="J174" s="234"/>
      <c r="K174" s="1057">
        <v>12345</v>
      </c>
      <c r="L174" s="1058"/>
      <c r="M174" s="1176"/>
      <c r="N174" s="232" t="s">
        <v>371</v>
      </c>
      <c r="O174" s="232"/>
      <c r="P174" s="232"/>
      <c r="Q174" s="234"/>
      <c r="R174" s="231" t="s">
        <v>439</v>
      </c>
      <c r="S174" s="232"/>
      <c r="T174" s="232"/>
      <c r="U174" s="232"/>
      <c r="V174" s="232"/>
      <c r="W174" s="233" t="s">
        <v>440</v>
      </c>
      <c r="X174" s="232"/>
      <c r="Y174" s="232"/>
      <c r="Z174" s="234"/>
      <c r="AA174" s="233" t="s">
        <v>451</v>
      </c>
      <c r="AB174" s="232"/>
      <c r="AC174" s="232"/>
      <c r="AD174" s="232"/>
      <c r="AE174" s="234"/>
      <c r="AF174" s="231" t="s">
        <v>325</v>
      </c>
      <c r="AG174" s="232"/>
      <c r="AH174" s="232"/>
      <c r="AI174" s="234"/>
      <c r="AJ174" s="233" t="s">
        <v>399</v>
      </c>
      <c r="AK174" s="232"/>
      <c r="AL174" s="232"/>
      <c r="AM174" s="232"/>
      <c r="AN174" s="232"/>
      <c r="AO174" s="232"/>
      <c r="AP174" s="279"/>
      <c r="AQ174" s="448" t="s">
        <v>409</v>
      </c>
      <c r="AR174" s="232"/>
      <c r="AS174" s="232"/>
      <c r="AT174" s="234"/>
      <c r="AU174" s="992">
        <v>9999999</v>
      </c>
      <c r="AV174" s="993"/>
      <c r="AW174" s="993"/>
      <c r="AX174" s="994"/>
      <c r="AY174" s="990"/>
      <c r="AZ174" s="991"/>
      <c r="BA174" s="992">
        <v>9999999</v>
      </c>
      <c r="BB174" s="993"/>
      <c r="BC174" s="993"/>
      <c r="BD174" s="994"/>
      <c r="BE174" s="992">
        <v>9999999</v>
      </c>
      <c r="BF174" s="993"/>
      <c r="BG174" s="993"/>
      <c r="BH174" s="994"/>
      <c r="BI174" s="992">
        <v>9999999</v>
      </c>
      <c r="BJ174" s="993"/>
      <c r="BK174" s="993"/>
      <c r="BL174" s="994"/>
      <c r="BM174" s="990" t="s">
        <v>438</v>
      </c>
      <c r="BN174" s="991"/>
      <c r="BO174" s="233" t="s">
        <v>447</v>
      </c>
      <c r="BP174" s="232"/>
      <c r="BQ174" s="234"/>
      <c r="BR174" s="990" t="s">
        <v>401</v>
      </c>
      <c r="BS174" s="991"/>
      <c r="BT174" s="233"/>
      <c r="BU174" s="232"/>
      <c r="BV174" s="232"/>
      <c r="BW174" s="232"/>
      <c r="BX174" s="234"/>
    </row>
    <row r="175" spans="3:76" ht="12" customHeight="1">
      <c r="C175" s="168"/>
      <c r="D175" s="1184">
        <v>40</v>
      </c>
      <c r="E175" s="1185"/>
      <c r="F175" s="1057">
        <v>1234</v>
      </c>
      <c r="G175" s="1176"/>
      <c r="H175" s="232" t="s">
        <v>378</v>
      </c>
      <c r="I175" s="232"/>
      <c r="J175" s="234"/>
      <c r="K175" s="1057">
        <v>12345</v>
      </c>
      <c r="L175" s="1058"/>
      <c r="M175" s="1176"/>
      <c r="N175" s="232" t="s">
        <v>371</v>
      </c>
      <c r="O175" s="232"/>
      <c r="P175" s="232"/>
      <c r="Q175" s="234"/>
      <c r="R175" s="231" t="s">
        <v>439</v>
      </c>
      <c r="S175" s="232"/>
      <c r="T175" s="232"/>
      <c r="U175" s="232"/>
      <c r="V175" s="232"/>
      <c r="W175" s="233" t="s">
        <v>440</v>
      </c>
      <c r="X175" s="232"/>
      <c r="Y175" s="232"/>
      <c r="Z175" s="234"/>
      <c r="AA175" s="233" t="s">
        <v>452</v>
      </c>
      <c r="AB175" s="232"/>
      <c r="AC175" s="232"/>
      <c r="AD175" s="232"/>
      <c r="AE175" s="234"/>
      <c r="AF175" s="231" t="s">
        <v>325</v>
      </c>
      <c r="AG175" s="232"/>
      <c r="AH175" s="232"/>
      <c r="AI175" s="234"/>
      <c r="AJ175" s="233" t="s">
        <v>399</v>
      </c>
      <c r="AK175" s="232"/>
      <c r="AL175" s="232"/>
      <c r="AM175" s="232"/>
      <c r="AN175" s="232"/>
      <c r="AO175" s="232"/>
      <c r="AP175" s="279"/>
      <c r="AQ175" s="448" t="s">
        <v>413</v>
      </c>
      <c r="AR175" s="232"/>
      <c r="AS175" s="232"/>
      <c r="AT175" s="234"/>
      <c r="AU175" s="992">
        <v>9999999</v>
      </c>
      <c r="AV175" s="993"/>
      <c r="AW175" s="993"/>
      <c r="AX175" s="994"/>
      <c r="AY175" s="990" t="s">
        <v>442</v>
      </c>
      <c r="AZ175" s="991"/>
      <c r="BA175" s="992">
        <v>9999999</v>
      </c>
      <c r="BB175" s="993"/>
      <c r="BC175" s="993"/>
      <c r="BD175" s="994"/>
      <c r="BE175" s="992">
        <v>9999999</v>
      </c>
      <c r="BF175" s="993"/>
      <c r="BG175" s="993"/>
      <c r="BH175" s="994"/>
      <c r="BI175" s="992">
        <v>9999999</v>
      </c>
      <c r="BJ175" s="993"/>
      <c r="BK175" s="993"/>
      <c r="BL175" s="994"/>
      <c r="BM175" s="990" t="s">
        <v>449</v>
      </c>
      <c r="BN175" s="991"/>
      <c r="BO175" s="233" t="s">
        <v>447</v>
      </c>
      <c r="BP175" s="232"/>
      <c r="BQ175" s="234"/>
      <c r="BR175" s="990" t="s">
        <v>401</v>
      </c>
      <c r="BS175" s="991"/>
      <c r="BT175" s="233" t="s">
        <v>453</v>
      </c>
      <c r="BU175" s="232"/>
      <c r="BV175" s="232"/>
      <c r="BW175" s="232"/>
      <c r="BX175" s="234"/>
    </row>
    <row r="176" spans="3:76" ht="12" customHeight="1">
      <c r="C176" s="168"/>
      <c r="Q176" s="24"/>
    </row>
    <row r="177" spans="3:76" ht="12" customHeight="1">
      <c r="C177" s="168"/>
      <c r="Q177" s="24"/>
    </row>
    <row r="178" spans="3:76" ht="12" customHeight="1">
      <c r="C178" s="449"/>
      <c r="D178" s="226"/>
      <c r="E178" s="226"/>
      <c r="F178" s="226"/>
      <c r="G178" s="226"/>
      <c r="H178" s="226"/>
      <c r="I178" s="226"/>
      <c r="J178" s="226"/>
      <c r="K178" s="226"/>
      <c r="L178" s="226"/>
      <c r="M178" s="226"/>
      <c r="N178" s="226"/>
      <c r="O178" s="226"/>
      <c r="P178" s="226"/>
      <c r="Q178" s="227"/>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c r="BS178" s="226"/>
      <c r="BT178" s="226"/>
      <c r="BU178" s="226"/>
      <c r="BV178" s="226"/>
      <c r="BW178" s="226"/>
      <c r="BX178" s="226"/>
    </row>
    <row r="179" spans="3:76" ht="12" customHeight="1">
      <c r="C179" s="172"/>
      <c r="D179" s="173"/>
      <c r="E179" s="173"/>
      <c r="F179" s="173"/>
      <c r="G179" s="173"/>
      <c r="H179" s="173"/>
      <c r="I179" s="173"/>
      <c r="J179" s="173"/>
      <c r="K179" s="173"/>
      <c r="L179" s="173"/>
      <c r="M179" s="173"/>
      <c r="N179" s="173"/>
      <c r="O179" s="173"/>
      <c r="P179" s="173"/>
      <c r="Q179" s="174"/>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row>
  </sheetData>
  <mergeCells count="653">
    <mergeCell ref="BX61:BX62"/>
    <mergeCell ref="BX59:BX60"/>
    <mergeCell ref="AD16:AR16"/>
    <mergeCell ref="AC94:AI94"/>
    <mergeCell ref="CH15:CY22"/>
    <mergeCell ref="BY56:CI56"/>
    <mergeCell ref="BB37:BE37"/>
    <mergeCell ref="BB38:BE38"/>
    <mergeCell ref="BJ78:BM78"/>
    <mergeCell ref="BJ79:BM79"/>
    <mergeCell ref="BR71:BU71"/>
    <mergeCell ref="BR72:BU72"/>
    <mergeCell ref="BR73:BU73"/>
    <mergeCell ref="BR74:BU74"/>
    <mergeCell ref="BR75:BU75"/>
    <mergeCell ref="BR76:BU76"/>
    <mergeCell ref="BR77:BU77"/>
    <mergeCell ref="BR78:BU78"/>
    <mergeCell ref="BR79:BU79"/>
    <mergeCell ref="BN76:BQ76"/>
    <mergeCell ref="BN77:BQ77"/>
    <mergeCell ref="BN78:BQ78"/>
    <mergeCell ref="BN79:BQ79"/>
    <mergeCell ref="BJ72:BM72"/>
    <mergeCell ref="BJ71:BM71"/>
    <mergeCell ref="BJ76:BM76"/>
    <mergeCell ref="AJ1:AR1"/>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A167:BD167"/>
    <mergeCell ref="BE167:BH167"/>
    <mergeCell ref="BI167:BL167"/>
    <mergeCell ref="BM167:BN167"/>
    <mergeCell ref="BR167:BS167"/>
    <mergeCell ref="AU166:AX166"/>
    <mergeCell ref="AY166:AZ166"/>
    <mergeCell ref="BA166:BD166"/>
    <mergeCell ref="BE166:BH166"/>
    <mergeCell ref="BI166:BL166"/>
    <mergeCell ref="BM166:BN166"/>
    <mergeCell ref="AU139:AX139"/>
    <mergeCell ref="AY139:AZ139"/>
    <mergeCell ref="BA139:BD139"/>
    <mergeCell ref="BE139:BH139"/>
    <mergeCell ref="BI139:BL139"/>
    <mergeCell ref="BR168:BS168"/>
    <mergeCell ref="AU169:AX169"/>
    <mergeCell ref="AY169:AZ169"/>
    <mergeCell ref="BA169:BD169"/>
    <mergeCell ref="BE169:BH169"/>
    <mergeCell ref="BI169:BL169"/>
    <mergeCell ref="BM169:BN169"/>
    <mergeCell ref="BR169:BS169"/>
    <mergeCell ref="AU168:AX168"/>
    <mergeCell ref="AY168:AZ168"/>
    <mergeCell ref="BA168:BD168"/>
    <mergeCell ref="BE168:BH168"/>
    <mergeCell ref="BI168:BL168"/>
    <mergeCell ref="BM168:BN168"/>
    <mergeCell ref="BM139:BN139"/>
    <mergeCell ref="BR139:BS139"/>
    <mergeCell ref="BR166:BS166"/>
    <mergeCell ref="AU167:AX167"/>
    <mergeCell ref="AY167:AZ167"/>
    <mergeCell ref="BR170:BS170"/>
    <mergeCell ref="AU171:AX171"/>
    <mergeCell ref="AY171:AZ171"/>
    <mergeCell ref="BA171:BD171"/>
    <mergeCell ref="BE171:BH171"/>
    <mergeCell ref="BI171:BL171"/>
    <mergeCell ref="BM171:BN171"/>
    <mergeCell ref="BR171:BS171"/>
    <mergeCell ref="AU170:AX170"/>
    <mergeCell ref="AY170:AZ170"/>
    <mergeCell ref="BA170:BD170"/>
    <mergeCell ref="BE170:BH170"/>
    <mergeCell ref="BI170:BL170"/>
    <mergeCell ref="BM170:BN170"/>
    <mergeCell ref="BR172:BS172"/>
    <mergeCell ref="AU173:AX173"/>
    <mergeCell ref="AY173:AZ173"/>
    <mergeCell ref="BA173:BD173"/>
    <mergeCell ref="BE173:BH173"/>
    <mergeCell ref="BI173:BL173"/>
    <mergeCell ref="BM173:BN173"/>
    <mergeCell ref="BR173:BS173"/>
    <mergeCell ref="AU172:AX172"/>
    <mergeCell ref="AY172:AZ172"/>
    <mergeCell ref="BA172:BD172"/>
    <mergeCell ref="BE172:BH172"/>
    <mergeCell ref="BI172:BL172"/>
    <mergeCell ref="BM172:BN172"/>
    <mergeCell ref="BR174:BS174"/>
    <mergeCell ref="AU175:AX175"/>
    <mergeCell ref="AY175:AZ175"/>
    <mergeCell ref="BA175:BD175"/>
    <mergeCell ref="BE175:BH175"/>
    <mergeCell ref="BI175:BL175"/>
    <mergeCell ref="BM175:BN175"/>
    <mergeCell ref="BR175:BS175"/>
    <mergeCell ref="AU174:AX174"/>
    <mergeCell ref="AY174:AZ174"/>
    <mergeCell ref="BA174:BD174"/>
    <mergeCell ref="BE174:BH174"/>
    <mergeCell ref="BI174:BL174"/>
    <mergeCell ref="BM174:BN174"/>
    <mergeCell ref="F135:G135"/>
    <mergeCell ref="AY135:AZ135"/>
    <mergeCell ref="BM135:BN135"/>
    <mergeCell ref="BO135:BQ135"/>
    <mergeCell ref="BR135:BS135"/>
    <mergeCell ref="F136:G136"/>
    <mergeCell ref="F137:G137"/>
    <mergeCell ref="K136:M136"/>
    <mergeCell ref="K137:M137"/>
    <mergeCell ref="AU136:AX136"/>
    <mergeCell ref="AY136:AZ136"/>
    <mergeCell ref="BA136:BD136"/>
    <mergeCell ref="BE136:BH136"/>
    <mergeCell ref="BI136:BL136"/>
    <mergeCell ref="BM136:BN136"/>
    <mergeCell ref="BR136:BS136"/>
    <mergeCell ref="AU137:AX137"/>
    <mergeCell ref="AY137:AZ137"/>
    <mergeCell ref="BA137:BD137"/>
    <mergeCell ref="BE137:BH137"/>
    <mergeCell ref="BI137:BL137"/>
    <mergeCell ref="BM137:BN137"/>
    <mergeCell ref="BR137:BS137"/>
    <mergeCell ref="BR140:BS140"/>
    <mergeCell ref="AU141:AX141"/>
    <mergeCell ref="AY141:AZ141"/>
    <mergeCell ref="BA141:BD141"/>
    <mergeCell ref="BE141:BH141"/>
    <mergeCell ref="BI141:BL141"/>
    <mergeCell ref="BM141:BN141"/>
    <mergeCell ref="BR141:BS141"/>
    <mergeCell ref="AU140:AX140"/>
    <mergeCell ref="AY140:AZ140"/>
    <mergeCell ref="BA140:BD140"/>
    <mergeCell ref="BE140:BH140"/>
    <mergeCell ref="BI140:BL140"/>
    <mergeCell ref="BR142:BS142"/>
    <mergeCell ref="AU143:AX143"/>
    <mergeCell ref="AY143:AZ143"/>
    <mergeCell ref="BA143:BD143"/>
    <mergeCell ref="BE143:BH143"/>
    <mergeCell ref="BI143:BL143"/>
    <mergeCell ref="BM143:BN143"/>
    <mergeCell ref="BR143:BS143"/>
    <mergeCell ref="AU142:AX142"/>
    <mergeCell ref="AY142:AZ142"/>
    <mergeCell ref="BA142:BD142"/>
    <mergeCell ref="BE142:BH142"/>
    <mergeCell ref="BI142:BL142"/>
    <mergeCell ref="BR144:BS144"/>
    <mergeCell ref="AU145:AX145"/>
    <mergeCell ref="AY145:AZ145"/>
    <mergeCell ref="BA145:BD145"/>
    <mergeCell ref="BE145:BH145"/>
    <mergeCell ref="BI145:BL145"/>
    <mergeCell ref="BM145:BN145"/>
    <mergeCell ref="BR145:BS145"/>
    <mergeCell ref="AU144:AX144"/>
    <mergeCell ref="AY144:AZ144"/>
    <mergeCell ref="BA144:BD144"/>
    <mergeCell ref="BE144:BH144"/>
    <mergeCell ref="BI144:BL144"/>
    <mergeCell ref="BR146:BS146"/>
    <mergeCell ref="AU147:AX147"/>
    <mergeCell ref="AY147:AZ147"/>
    <mergeCell ref="BA147:BD147"/>
    <mergeCell ref="BE147:BH147"/>
    <mergeCell ref="BI147:BL147"/>
    <mergeCell ref="BM147:BN147"/>
    <mergeCell ref="BR147:BS147"/>
    <mergeCell ref="AU146:AX146"/>
    <mergeCell ref="AY146:AZ146"/>
    <mergeCell ref="BA146:BD146"/>
    <mergeCell ref="BE146:BH146"/>
    <mergeCell ref="BI146:BL146"/>
    <mergeCell ref="BR148:BS148"/>
    <mergeCell ref="AU149:AX149"/>
    <mergeCell ref="AY149:AZ149"/>
    <mergeCell ref="BA149:BD149"/>
    <mergeCell ref="BE149:BH149"/>
    <mergeCell ref="BI149:BL149"/>
    <mergeCell ref="BM149:BN149"/>
    <mergeCell ref="BR149:BS149"/>
    <mergeCell ref="AU148:AX148"/>
    <mergeCell ref="AY148:AZ148"/>
    <mergeCell ref="BA148:BD148"/>
    <mergeCell ref="BE148:BH148"/>
    <mergeCell ref="BI148:BL148"/>
    <mergeCell ref="BR150:BS150"/>
    <mergeCell ref="AU151:AX151"/>
    <mergeCell ref="AY151:AZ151"/>
    <mergeCell ref="BA151:BD151"/>
    <mergeCell ref="BE151:BH151"/>
    <mergeCell ref="BI151:BL151"/>
    <mergeCell ref="BM151:BN151"/>
    <mergeCell ref="BR151:BS151"/>
    <mergeCell ref="AU150:AX150"/>
    <mergeCell ref="AY150:AZ150"/>
    <mergeCell ref="BA150:BD150"/>
    <mergeCell ref="BE150:BH150"/>
    <mergeCell ref="BI150:BL150"/>
    <mergeCell ref="BR152:BS152"/>
    <mergeCell ref="AU153:AX153"/>
    <mergeCell ref="AY153:AZ153"/>
    <mergeCell ref="BA153:BD153"/>
    <mergeCell ref="BE153:BH153"/>
    <mergeCell ref="BI153:BL153"/>
    <mergeCell ref="BM153:BN153"/>
    <mergeCell ref="BR153:BS153"/>
    <mergeCell ref="AU152:AX152"/>
    <mergeCell ref="AY152:AZ152"/>
    <mergeCell ref="BA152:BD152"/>
    <mergeCell ref="BE152:BH152"/>
    <mergeCell ref="BI152:BL152"/>
    <mergeCell ref="BR154:BS154"/>
    <mergeCell ref="AU155:AX155"/>
    <mergeCell ref="AY155:AZ155"/>
    <mergeCell ref="BA155:BD155"/>
    <mergeCell ref="BE155:BH155"/>
    <mergeCell ref="BI155:BL155"/>
    <mergeCell ref="BM155:BN155"/>
    <mergeCell ref="BR155:BS155"/>
    <mergeCell ref="AU154:AX154"/>
    <mergeCell ref="AY154:AZ154"/>
    <mergeCell ref="BA154:BD154"/>
    <mergeCell ref="BE154:BH154"/>
    <mergeCell ref="BI154:BL154"/>
    <mergeCell ref="BR156:BS156"/>
    <mergeCell ref="AU157:AX157"/>
    <mergeCell ref="AY157:AZ157"/>
    <mergeCell ref="BA157:BD157"/>
    <mergeCell ref="BE157:BH157"/>
    <mergeCell ref="BI157:BL157"/>
    <mergeCell ref="BM157:BN157"/>
    <mergeCell ref="BR157:BS157"/>
    <mergeCell ref="AU156:AX156"/>
    <mergeCell ref="AY156:AZ156"/>
    <mergeCell ref="BA156:BD156"/>
    <mergeCell ref="BE156:BH156"/>
    <mergeCell ref="BI156:BL156"/>
    <mergeCell ref="BR158:BS158"/>
    <mergeCell ref="AU159:AX159"/>
    <mergeCell ref="AY159:AZ159"/>
    <mergeCell ref="BA159:BD159"/>
    <mergeCell ref="BE159:BH159"/>
    <mergeCell ref="BI159:BL159"/>
    <mergeCell ref="BM159:BN159"/>
    <mergeCell ref="BR159:BS159"/>
    <mergeCell ref="AU158:AX158"/>
    <mergeCell ref="AY158:AZ158"/>
    <mergeCell ref="BA158:BD158"/>
    <mergeCell ref="BE158:BH158"/>
    <mergeCell ref="BI158:BL158"/>
    <mergeCell ref="BR160:BS160"/>
    <mergeCell ref="AU161:AX161"/>
    <mergeCell ref="AY161:AZ161"/>
    <mergeCell ref="BA161:BD161"/>
    <mergeCell ref="BE161:BH161"/>
    <mergeCell ref="BI161:BL161"/>
    <mergeCell ref="BM161:BN161"/>
    <mergeCell ref="BR161:BS161"/>
    <mergeCell ref="AU160:AX160"/>
    <mergeCell ref="AY160:AZ160"/>
    <mergeCell ref="BA160:BD160"/>
    <mergeCell ref="BE160:BH160"/>
    <mergeCell ref="BI160:BL160"/>
    <mergeCell ref="BR162:BS162"/>
    <mergeCell ref="AU163:AX163"/>
    <mergeCell ref="AY163:AZ163"/>
    <mergeCell ref="BA163:BD163"/>
    <mergeCell ref="BE163:BH163"/>
    <mergeCell ref="BI163:BL163"/>
    <mergeCell ref="BM163:BN163"/>
    <mergeCell ref="BR163:BS163"/>
    <mergeCell ref="AU162:AX162"/>
    <mergeCell ref="AY162:AZ162"/>
    <mergeCell ref="BA162:BD162"/>
    <mergeCell ref="BE162:BH162"/>
    <mergeCell ref="BI162:BL162"/>
    <mergeCell ref="BR164:BS164"/>
    <mergeCell ref="AU165:AX165"/>
    <mergeCell ref="BA165:BD165"/>
    <mergeCell ref="BE165:BH165"/>
    <mergeCell ref="BI165:BL165"/>
    <mergeCell ref="AU164:AX164"/>
    <mergeCell ref="AY164:AZ164"/>
    <mergeCell ref="BA164:BD164"/>
    <mergeCell ref="BE164:BH164"/>
    <mergeCell ref="BI164:BL164"/>
    <mergeCell ref="AY165:AZ165"/>
    <mergeCell ref="BM165:BN165"/>
    <mergeCell ref="BR165:BS165"/>
    <mergeCell ref="D143:E143"/>
    <mergeCell ref="D144:E144"/>
    <mergeCell ref="D145:E145"/>
    <mergeCell ref="D136:E136"/>
    <mergeCell ref="D137:E137"/>
    <mergeCell ref="D138:E138"/>
    <mergeCell ref="D139:E139"/>
    <mergeCell ref="D140:E140"/>
    <mergeCell ref="BM164:BN164"/>
    <mergeCell ref="BM162:BN162"/>
    <mergeCell ref="BM160:BN160"/>
    <mergeCell ref="BM158:BN158"/>
    <mergeCell ref="BM156:BN156"/>
    <mergeCell ref="BM154:BN154"/>
    <mergeCell ref="BM152:BN152"/>
    <mergeCell ref="BM150:BN150"/>
    <mergeCell ref="BM148:BN148"/>
    <mergeCell ref="BM146:BN146"/>
    <mergeCell ref="BM144:BN144"/>
    <mergeCell ref="BM142:BN142"/>
    <mergeCell ref="BM140:BN140"/>
    <mergeCell ref="BM138:BN138"/>
    <mergeCell ref="K163:M163"/>
    <mergeCell ref="K164:M164"/>
    <mergeCell ref="D175:E175"/>
    <mergeCell ref="D166:E166"/>
    <mergeCell ref="D167:E167"/>
    <mergeCell ref="D168:E168"/>
    <mergeCell ref="D169:E169"/>
    <mergeCell ref="D170:E170"/>
    <mergeCell ref="D161:E161"/>
    <mergeCell ref="D162:E162"/>
    <mergeCell ref="D163:E163"/>
    <mergeCell ref="D164:E164"/>
    <mergeCell ref="D165:E165"/>
    <mergeCell ref="F138:G138"/>
    <mergeCell ref="F139:G139"/>
    <mergeCell ref="F140:G140"/>
    <mergeCell ref="D171:E171"/>
    <mergeCell ref="D172:E172"/>
    <mergeCell ref="D173:E173"/>
    <mergeCell ref="D174:E174"/>
    <mergeCell ref="D156:E156"/>
    <mergeCell ref="D157:E157"/>
    <mergeCell ref="D158:E158"/>
    <mergeCell ref="D159:E159"/>
    <mergeCell ref="D160:E160"/>
    <mergeCell ref="D151:E151"/>
    <mergeCell ref="D152:E152"/>
    <mergeCell ref="D153:E153"/>
    <mergeCell ref="D154:E154"/>
    <mergeCell ref="D155:E155"/>
    <mergeCell ref="D146:E146"/>
    <mergeCell ref="D147:E147"/>
    <mergeCell ref="D148:E148"/>
    <mergeCell ref="D149:E149"/>
    <mergeCell ref="D150:E150"/>
    <mergeCell ref="D141:E141"/>
    <mergeCell ref="D142:E142"/>
    <mergeCell ref="F175:G175"/>
    <mergeCell ref="F166:G166"/>
    <mergeCell ref="F167:G167"/>
    <mergeCell ref="F168:G168"/>
    <mergeCell ref="F169:G169"/>
    <mergeCell ref="F170:G170"/>
    <mergeCell ref="F156:G156"/>
    <mergeCell ref="F157:G157"/>
    <mergeCell ref="F158:G158"/>
    <mergeCell ref="F159:G159"/>
    <mergeCell ref="F160:G160"/>
    <mergeCell ref="F161:G161"/>
    <mergeCell ref="F162:G162"/>
    <mergeCell ref="F163:G163"/>
    <mergeCell ref="F164:G164"/>
    <mergeCell ref="F165:G165"/>
    <mergeCell ref="F171:G171"/>
    <mergeCell ref="F172:G172"/>
    <mergeCell ref="F173:G173"/>
    <mergeCell ref="F174:G174"/>
    <mergeCell ref="F152:G152"/>
    <mergeCell ref="F153:G153"/>
    <mergeCell ref="F154:G154"/>
    <mergeCell ref="F155:G155"/>
    <mergeCell ref="F146:G146"/>
    <mergeCell ref="F147:G147"/>
    <mergeCell ref="F148:G148"/>
    <mergeCell ref="F149:G149"/>
    <mergeCell ref="F150:G150"/>
    <mergeCell ref="K173:M173"/>
    <mergeCell ref="K174:M174"/>
    <mergeCell ref="K175:M175"/>
    <mergeCell ref="K166:M166"/>
    <mergeCell ref="K167:M167"/>
    <mergeCell ref="K168:M168"/>
    <mergeCell ref="K169:M169"/>
    <mergeCell ref="K170:M170"/>
    <mergeCell ref="F141:G141"/>
    <mergeCell ref="F142:G142"/>
    <mergeCell ref="F143:G143"/>
    <mergeCell ref="F144:G144"/>
    <mergeCell ref="F145:G145"/>
    <mergeCell ref="K148:M148"/>
    <mergeCell ref="K149:M149"/>
    <mergeCell ref="K150:M150"/>
    <mergeCell ref="K151:M151"/>
    <mergeCell ref="K141:M141"/>
    <mergeCell ref="K142:M142"/>
    <mergeCell ref="K143:M143"/>
    <mergeCell ref="K144:M144"/>
    <mergeCell ref="K145:M145"/>
    <mergeCell ref="F151:G151"/>
    <mergeCell ref="K146:M146"/>
    <mergeCell ref="K171:M171"/>
    <mergeCell ref="K162:M162"/>
    <mergeCell ref="K153:M153"/>
    <mergeCell ref="K154:M154"/>
    <mergeCell ref="K155:M155"/>
    <mergeCell ref="K156:M156"/>
    <mergeCell ref="K157:M157"/>
    <mergeCell ref="K172:M172"/>
    <mergeCell ref="K147:M147"/>
    <mergeCell ref="K165:M165"/>
    <mergeCell ref="K139:M139"/>
    <mergeCell ref="K140:M140"/>
    <mergeCell ref="K152:M152"/>
    <mergeCell ref="K158:M158"/>
    <mergeCell ref="K159:M159"/>
    <mergeCell ref="K160:M160"/>
    <mergeCell ref="K161:M161"/>
    <mergeCell ref="AC24:AH24"/>
    <mergeCell ref="P26:Q26"/>
    <mergeCell ref="AC26:AH26"/>
    <mergeCell ref="DE27:EZ27"/>
    <mergeCell ref="DE30:EZ30"/>
    <mergeCell ref="DE34:EZ34"/>
    <mergeCell ref="DE35:EZ35"/>
    <mergeCell ref="DE33:EZ33"/>
    <mergeCell ref="DE37:EZ37"/>
    <mergeCell ref="DN38:EU38"/>
    <mergeCell ref="DN39:EW39"/>
    <mergeCell ref="K138:M138"/>
    <mergeCell ref="BA138:BD138"/>
    <mergeCell ref="BE138:BH138"/>
    <mergeCell ref="BI138:BL138"/>
    <mergeCell ref="BR138:BS138"/>
    <mergeCell ref="AU138:AX138"/>
    <mergeCell ref="AY138:AZ138"/>
    <mergeCell ref="BL52:BM52"/>
    <mergeCell ref="BJ77:BM77"/>
    <mergeCell ref="BY51:CI51"/>
    <mergeCell ref="CJ51:CO51"/>
    <mergeCell ref="BN52:BQ52"/>
    <mergeCell ref="BR52:BS52"/>
    <mergeCell ref="BY52:CI52"/>
    <mergeCell ref="BL51:BM51"/>
    <mergeCell ref="BN51:BQ51"/>
    <mergeCell ref="AO26:AP26"/>
    <mergeCell ref="AI27:AK27"/>
    <mergeCell ref="BJ32:BM32"/>
    <mergeCell ref="AC40:AH40"/>
    <mergeCell ref="DE49:FT49"/>
    <mergeCell ref="DE42:EZ42"/>
    <mergeCell ref="DE45:EZ45"/>
    <mergeCell ref="F52:H52"/>
    <mergeCell ref="I52:N52"/>
    <mergeCell ref="O52:W52"/>
    <mergeCell ref="X52:AA52"/>
    <mergeCell ref="AB52:AF52"/>
    <mergeCell ref="BB52:BG52"/>
    <mergeCell ref="F51:H51"/>
    <mergeCell ref="I51:N51"/>
    <mergeCell ref="O51:R51"/>
    <mergeCell ref="S51:W51"/>
    <mergeCell ref="X51:AA51"/>
    <mergeCell ref="AB51:AF51"/>
    <mergeCell ref="AG51:AQ52"/>
    <mergeCell ref="AR51:AR52"/>
    <mergeCell ref="AS51:BA51"/>
    <mergeCell ref="BB51:BG51"/>
    <mergeCell ref="BH51:BK52"/>
    <mergeCell ref="BR51:BS51"/>
    <mergeCell ref="BT51:BW51"/>
    <mergeCell ref="D53:E54"/>
    <mergeCell ref="F53:H53"/>
    <mergeCell ref="I53:N53"/>
    <mergeCell ref="O53:R53"/>
    <mergeCell ref="S53:W53"/>
    <mergeCell ref="X53:AA53"/>
    <mergeCell ref="AB53:AF53"/>
    <mergeCell ref="AG53:AQ54"/>
    <mergeCell ref="BB53:BG53"/>
    <mergeCell ref="BH53:BK54"/>
    <mergeCell ref="BL53:BM54"/>
    <mergeCell ref="BN53:BQ53"/>
    <mergeCell ref="BR53:BS54"/>
    <mergeCell ref="BT53:BW54"/>
    <mergeCell ref="BY53:CI53"/>
    <mergeCell ref="F54:H54"/>
    <mergeCell ref="I54:N54"/>
    <mergeCell ref="O54:U54"/>
    <mergeCell ref="X54:AA54"/>
    <mergeCell ref="AB54:AF54"/>
    <mergeCell ref="BB54:BG54"/>
    <mergeCell ref="BN54:BQ54"/>
    <mergeCell ref="BY54:CI54"/>
    <mergeCell ref="BX53:BX54"/>
    <mergeCell ref="D55:E56"/>
    <mergeCell ref="F55:H55"/>
    <mergeCell ref="I55:N55"/>
    <mergeCell ref="O55:R55"/>
    <mergeCell ref="S55:W55"/>
    <mergeCell ref="X55:AA55"/>
    <mergeCell ref="AB55:AF55"/>
    <mergeCell ref="AG55:AQ56"/>
    <mergeCell ref="BB55:BG55"/>
    <mergeCell ref="BH55:BK56"/>
    <mergeCell ref="BL55:BM56"/>
    <mergeCell ref="BN55:BQ55"/>
    <mergeCell ref="BR55:BS56"/>
    <mergeCell ref="BT55:BW56"/>
    <mergeCell ref="BY55:CI55"/>
    <mergeCell ref="F56:H56"/>
    <mergeCell ref="I56:N56"/>
    <mergeCell ref="O56:U56"/>
    <mergeCell ref="X56:AA56"/>
    <mergeCell ref="AB56:AF56"/>
    <mergeCell ref="BB56:BG56"/>
    <mergeCell ref="BN56:BQ56"/>
    <mergeCell ref="BX55:BX56"/>
    <mergeCell ref="D57:E58"/>
    <mergeCell ref="F57:H57"/>
    <mergeCell ref="I57:N57"/>
    <mergeCell ref="O57:R57"/>
    <mergeCell ref="S57:W57"/>
    <mergeCell ref="X57:AA57"/>
    <mergeCell ref="AB57:AF57"/>
    <mergeCell ref="AG57:AQ58"/>
    <mergeCell ref="BB57:BG57"/>
    <mergeCell ref="BY57:CI57"/>
    <mergeCell ref="F58:H58"/>
    <mergeCell ref="I58:N58"/>
    <mergeCell ref="O58:U58"/>
    <mergeCell ref="X58:AA58"/>
    <mergeCell ref="AB58:AF58"/>
    <mergeCell ref="BB58:BG58"/>
    <mergeCell ref="BN58:BQ58"/>
    <mergeCell ref="BY58:CI58"/>
    <mergeCell ref="BH57:BK58"/>
    <mergeCell ref="BL57:BM58"/>
    <mergeCell ref="BX57:BX58"/>
    <mergeCell ref="F59:H59"/>
    <mergeCell ref="I59:N59"/>
    <mergeCell ref="O59:R59"/>
    <mergeCell ref="S59:W59"/>
    <mergeCell ref="X59:AA59"/>
    <mergeCell ref="AB59:AF59"/>
    <mergeCell ref="AG59:AQ60"/>
    <mergeCell ref="BB59:BG59"/>
    <mergeCell ref="F60:H60"/>
    <mergeCell ref="I60:N60"/>
    <mergeCell ref="O60:U60"/>
    <mergeCell ref="X60:AA60"/>
    <mergeCell ref="AB60:AF60"/>
    <mergeCell ref="BB60:BG60"/>
    <mergeCell ref="BN60:BQ60"/>
    <mergeCell ref="BY60:CI60"/>
    <mergeCell ref="BH59:BK60"/>
    <mergeCell ref="BL59:BM60"/>
    <mergeCell ref="D61:E62"/>
    <mergeCell ref="F61:H61"/>
    <mergeCell ref="I61:N61"/>
    <mergeCell ref="O61:R61"/>
    <mergeCell ref="S61:W61"/>
    <mergeCell ref="X61:AA61"/>
    <mergeCell ref="AB61:AF61"/>
    <mergeCell ref="AG61:AQ62"/>
    <mergeCell ref="BB61:BG61"/>
    <mergeCell ref="F62:H62"/>
    <mergeCell ref="I62:N62"/>
    <mergeCell ref="O62:U62"/>
    <mergeCell ref="X62:AA62"/>
    <mergeCell ref="AB62:AF62"/>
    <mergeCell ref="BB62:BG62"/>
    <mergeCell ref="BN62:BQ62"/>
    <mergeCell ref="BY62:CI62"/>
    <mergeCell ref="BH61:BK62"/>
    <mergeCell ref="BL61:BM62"/>
    <mergeCell ref="D59:E60"/>
    <mergeCell ref="BJ75:BM75"/>
    <mergeCell ref="CP53:CQ54"/>
    <mergeCell ref="CP55:CQ56"/>
    <mergeCell ref="CP57:CQ58"/>
    <mergeCell ref="CP59:CQ60"/>
    <mergeCell ref="CP61:CQ62"/>
    <mergeCell ref="CM77:CN77"/>
    <mergeCell ref="CM76:CN76"/>
    <mergeCell ref="CM75:CN75"/>
    <mergeCell ref="CM74:CN74"/>
    <mergeCell ref="CM73:CN73"/>
    <mergeCell ref="CM72:CN72"/>
    <mergeCell ref="CM71:CN71"/>
    <mergeCell ref="BN61:BQ61"/>
    <mergeCell ref="BR61:BS62"/>
    <mergeCell ref="BT61:BW62"/>
    <mergeCell ref="BY61:CI61"/>
    <mergeCell ref="BN59:BQ59"/>
    <mergeCell ref="BR59:BS60"/>
    <mergeCell ref="BT59:BW60"/>
    <mergeCell ref="BY59:CI59"/>
    <mergeCell ref="BN57:BQ57"/>
    <mergeCell ref="BR57:BS58"/>
    <mergeCell ref="BT57:BW58"/>
    <mergeCell ref="CJ52:CO52"/>
    <mergeCell ref="CM80:CN80"/>
    <mergeCell ref="CM79:CN79"/>
    <mergeCell ref="CM78:CN78"/>
    <mergeCell ref="BF75:BI75"/>
    <mergeCell ref="BF74:BI74"/>
    <mergeCell ref="BF73:BI73"/>
    <mergeCell ref="BF72:BI72"/>
    <mergeCell ref="BF71:BI71"/>
    <mergeCell ref="BF80:BI80"/>
    <mergeCell ref="BF79:BI79"/>
    <mergeCell ref="BF78:BI78"/>
    <mergeCell ref="BF77:BI77"/>
    <mergeCell ref="BF76:BI76"/>
    <mergeCell ref="BJ80:BM80"/>
    <mergeCell ref="BN75:BQ75"/>
    <mergeCell ref="BN74:BQ74"/>
    <mergeCell ref="BN73:BQ73"/>
    <mergeCell ref="BN72:BQ72"/>
    <mergeCell ref="BN71:BQ71"/>
    <mergeCell ref="BN80:BQ80"/>
    <mergeCell ref="BR80:BU80"/>
    <mergeCell ref="BJ73:BM73"/>
    <mergeCell ref="BJ74:BM74"/>
  </mergeCells>
  <phoneticPr fontId="9"/>
  <pageMargins left="0.51181102362204722" right="0.74803149606299213" top="0.70866141732283472" bottom="0.43307086614173229" header="0.51181102362204722" footer="0.19685039370078741"/>
  <pageSetup paperSize="9" scale="56"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DV106"/>
  <sheetViews>
    <sheetView showGridLines="0" showZeros="0" view="pageBreakPreview" zoomScaleNormal="100" zoomScaleSheetLayoutView="100" workbookViewId="0">
      <pane ySplit="4" topLeftCell="A5" activePane="bottomLeft" state="frozen"/>
      <selection activeCell="C45" sqref="C45:H45"/>
      <selection pane="bottomLeft" activeCell="B10" sqref="B1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29" width="2.125" style="24" customWidth="1"/>
    <col min="30" max="30" width="8.625" style="24" customWidth="1"/>
    <col min="31" max="62" width="2.125" style="24" customWidth="1"/>
    <col min="63" max="63" width="2.25" style="24" customWidth="1"/>
    <col min="64" max="66" width="2.125" style="24" customWidth="1"/>
    <col min="67" max="88" width="2.125" style="24"/>
    <col min="89" max="89" width="73.75" style="24" customWidth="1"/>
    <col min="90" max="113" width="2.125" style="24"/>
    <col min="114" max="114" width="49.375" style="24" customWidth="1"/>
    <col min="115" max="119" width="2.125" style="24"/>
    <col min="120" max="120" width="43.625" style="24" customWidth="1"/>
    <col min="121" max="16384" width="2.125" style="24"/>
  </cols>
  <sheetData>
    <row r="1" spans="1:96"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96"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96" s="4" customFormat="1" ht="15.75" customHeight="1" thickBot="1">
      <c r="A3" s="1220"/>
      <c r="B3" s="1221"/>
      <c r="C3" s="1221"/>
      <c r="D3" s="1221"/>
      <c r="E3" s="1221"/>
      <c r="F3" s="1221"/>
      <c r="G3" s="1221"/>
      <c r="H3" s="1221"/>
      <c r="I3" s="1221"/>
      <c r="J3" s="1222"/>
      <c r="K3" s="1200" t="str">
        <f ca="1">RIGHT(CELL("filename",$A$1),LEN(CELL("filename",$A$1))-FIND("]",CELL("filename",$A$1)))</f>
        <v>項目説明</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96" s="4" customFormat="1" ht="6.75" customHeight="1" thickBot="1">
      <c r="B4" s="5"/>
      <c r="C4" s="6"/>
      <c r="D4" s="6"/>
      <c r="E4" s="6"/>
      <c r="F4" s="7"/>
      <c r="G4" s="7"/>
      <c r="H4" s="7"/>
      <c r="I4" s="7"/>
      <c r="J4" s="6"/>
      <c r="K4" s="7"/>
      <c r="L4" s="7"/>
      <c r="M4" s="7"/>
      <c r="N4" s="7"/>
      <c r="O4" s="7"/>
      <c r="P4" s="7"/>
      <c r="Q4" s="8"/>
    </row>
    <row r="5" spans="1:96" s="1" customFormat="1" ht="15.75" customHeight="1" thickBot="1">
      <c r="A5" s="235" t="s">
        <v>454</v>
      </c>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236"/>
      <c r="AT5" s="236"/>
      <c r="AU5" s="236"/>
      <c r="AV5" s="236"/>
      <c r="AW5" s="236"/>
      <c r="AX5" s="236"/>
      <c r="AY5" s="236"/>
      <c r="AZ5" s="236"/>
      <c r="BA5" s="236"/>
      <c r="BB5" s="236"/>
      <c r="BC5" s="236"/>
      <c r="BD5" s="236"/>
      <c r="BE5" s="236"/>
      <c r="BF5" s="236"/>
      <c r="BG5" s="236"/>
      <c r="BH5" s="236"/>
      <c r="BI5" s="236"/>
      <c r="BJ5" s="236"/>
      <c r="BK5" s="237"/>
    </row>
    <row r="6" spans="1:96" s="7" customFormat="1" ht="14.25">
      <c r="A6" s="30"/>
      <c r="B6" s="31" t="s">
        <v>455</v>
      </c>
      <c r="C6" s="32"/>
      <c r="D6" s="32"/>
      <c r="E6" s="32"/>
      <c r="F6" s="32"/>
      <c r="G6" s="32"/>
      <c r="H6" s="32"/>
      <c r="I6" s="32"/>
      <c r="J6" s="32"/>
      <c r="K6" s="32"/>
      <c r="L6" s="33"/>
      <c r="M6" s="32"/>
      <c r="N6" s="34" t="s">
        <v>456</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457</v>
      </c>
      <c r="BF6" s="35" t="s">
        <v>458</v>
      </c>
      <c r="BG6" s="35" t="s">
        <v>459</v>
      </c>
      <c r="BH6" s="35" t="s">
        <v>460</v>
      </c>
      <c r="BI6" s="35" t="s">
        <v>461</v>
      </c>
      <c r="BJ6" s="35" t="s">
        <v>462</v>
      </c>
      <c r="BK6" s="36" t="s">
        <v>463</v>
      </c>
      <c r="BM6" s="1266"/>
      <c r="BN6" s="1266"/>
      <c r="BO6" s="1266"/>
      <c r="BP6" s="1266"/>
      <c r="BQ6" s="1266"/>
      <c r="BR6" s="1266"/>
      <c r="BS6" s="1266"/>
      <c r="BT6" s="1266"/>
      <c r="BU6" s="1266"/>
      <c r="BV6" s="1266"/>
      <c r="BW6" s="1266"/>
      <c r="BX6" s="1266"/>
      <c r="BY6" s="1266"/>
      <c r="BZ6" s="1266"/>
      <c r="CA6" s="1266"/>
      <c r="CB6" s="1266"/>
      <c r="CC6" s="1266"/>
      <c r="CD6" s="1266"/>
      <c r="CE6" s="1266"/>
      <c r="CF6" s="1266"/>
      <c r="CG6" s="1266"/>
      <c r="CH6" s="1266"/>
      <c r="CI6" s="1266"/>
      <c r="CJ6" s="1266"/>
    </row>
    <row r="7" spans="1:96" ht="15.75" customHeight="1">
      <c r="A7" s="450" t="s">
        <v>464</v>
      </c>
      <c r="B7" s="451" t="s">
        <v>838</v>
      </c>
      <c r="C7" s="243"/>
      <c r="D7" s="243"/>
      <c r="E7" s="243"/>
      <c r="F7" s="243"/>
      <c r="G7" s="243"/>
      <c r="H7" s="243"/>
      <c r="I7" s="243"/>
      <c r="J7" s="243"/>
      <c r="K7" s="243"/>
      <c r="L7" s="244"/>
      <c r="M7" s="243" t="s">
        <v>465</v>
      </c>
      <c r="N7" s="247"/>
      <c r="O7" s="247"/>
      <c r="P7" s="247"/>
      <c r="Q7" s="247"/>
      <c r="R7" s="247"/>
      <c r="S7" s="247"/>
      <c r="T7" s="247"/>
      <c r="U7" s="247"/>
      <c r="V7" s="247"/>
      <c r="W7" s="247"/>
      <c r="X7" s="247"/>
      <c r="Y7" s="247"/>
      <c r="Z7" s="247"/>
      <c r="AA7" s="247"/>
      <c r="AB7" s="247"/>
      <c r="AC7" s="247"/>
      <c r="AD7" s="247"/>
      <c r="AE7" s="247"/>
      <c r="AF7" s="247"/>
      <c r="AG7" s="247"/>
      <c r="AH7" s="247"/>
      <c r="AI7" s="247"/>
      <c r="AJ7" s="247"/>
      <c r="AK7" s="247"/>
      <c r="AL7" s="247"/>
      <c r="AM7" s="247"/>
      <c r="AN7" s="247"/>
      <c r="AO7" s="247"/>
      <c r="AP7" s="247"/>
      <c r="AQ7" s="247"/>
      <c r="AR7" s="247"/>
      <c r="AS7" s="247"/>
      <c r="AT7" s="247"/>
      <c r="AU7" s="247"/>
      <c r="AV7" s="247"/>
      <c r="AW7" s="247"/>
      <c r="AX7" s="247"/>
      <c r="AY7" s="247"/>
      <c r="AZ7" s="247"/>
      <c r="BA7" s="247"/>
      <c r="BB7" s="247"/>
      <c r="BC7" s="247"/>
      <c r="BD7" s="247"/>
      <c r="BE7" s="452" t="s">
        <v>466</v>
      </c>
      <c r="BF7" s="452" t="s">
        <v>467</v>
      </c>
      <c r="BG7" s="453"/>
      <c r="BH7" s="452"/>
      <c r="BI7" s="452"/>
      <c r="BJ7" s="453"/>
      <c r="BK7" s="454"/>
    </row>
    <row r="8" spans="1:96" ht="15.75" customHeight="1">
      <c r="A8" s="450" t="s">
        <v>464</v>
      </c>
      <c r="B8" s="455" t="s">
        <v>468</v>
      </c>
      <c r="C8" s="243"/>
      <c r="D8" s="243"/>
      <c r="E8" s="243"/>
      <c r="F8" s="243"/>
      <c r="G8" s="243"/>
      <c r="H8" s="243"/>
      <c r="I8" s="243"/>
      <c r="J8" s="243"/>
      <c r="K8" s="243"/>
      <c r="L8" s="244"/>
      <c r="M8" s="243" t="s">
        <v>465</v>
      </c>
      <c r="N8" s="247"/>
      <c r="O8" s="247"/>
      <c r="P8" s="247"/>
      <c r="Q8" s="247"/>
      <c r="R8" s="247"/>
      <c r="S8" s="247"/>
      <c r="T8" s="247"/>
      <c r="U8" s="247"/>
      <c r="V8" s="247"/>
      <c r="W8" s="247"/>
      <c r="X8" s="247"/>
      <c r="Y8" s="247"/>
      <c r="Z8" s="247"/>
      <c r="AA8" s="247"/>
      <c r="AB8" s="247"/>
      <c r="AC8" s="247"/>
      <c r="AD8" s="247"/>
      <c r="AE8" s="247"/>
      <c r="AF8" s="247"/>
      <c r="AG8" s="247"/>
      <c r="AH8" s="247"/>
      <c r="AI8" s="247"/>
      <c r="AJ8" s="247"/>
      <c r="AK8" s="247"/>
      <c r="AL8" s="247"/>
      <c r="AM8" s="247"/>
      <c r="AN8" s="247"/>
      <c r="AO8" s="247"/>
      <c r="AP8" s="247"/>
      <c r="AQ8" s="247"/>
      <c r="AR8" s="247"/>
      <c r="AS8" s="247"/>
      <c r="AT8" s="247"/>
      <c r="AU8" s="247"/>
      <c r="AV8" s="247"/>
      <c r="AW8" s="247"/>
      <c r="AX8" s="247"/>
      <c r="AY8" s="247"/>
      <c r="AZ8" s="247"/>
      <c r="BA8" s="247"/>
      <c r="BB8" s="247"/>
      <c r="BC8" s="247"/>
      <c r="BD8" s="247"/>
      <c r="BE8" s="452" t="s">
        <v>469</v>
      </c>
      <c r="BF8" s="452" t="s">
        <v>467</v>
      </c>
      <c r="BG8" s="453"/>
      <c r="BH8" s="452"/>
      <c r="BI8" s="452"/>
      <c r="BJ8" s="453"/>
      <c r="BK8" s="454" t="s">
        <v>470</v>
      </c>
      <c r="BL8" s="1263"/>
      <c r="BM8" s="1264"/>
      <c r="BN8" s="1264"/>
      <c r="BO8" s="1264"/>
      <c r="BP8" s="1264"/>
      <c r="BQ8" s="1264"/>
      <c r="BR8" s="1264"/>
      <c r="BS8" s="1264"/>
      <c r="BT8" s="1264"/>
      <c r="BU8" s="1264"/>
      <c r="BV8" s="1264"/>
      <c r="BW8" s="1264"/>
      <c r="BX8" s="1264"/>
      <c r="BY8" s="1264"/>
      <c r="BZ8" s="1264"/>
      <c r="CA8" s="1264"/>
      <c r="CB8" s="1264"/>
      <c r="CC8" s="1264"/>
      <c r="CD8" s="1264"/>
      <c r="CE8" s="1264"/>
      <c r="CF8" s="1264"/>
      <c r="CG8" s="1264"/>
      <c r="CH8" s="1264"/>
      <c r="CI8" s="1264"/>
      <c r="CJ8" s="1264"/>
      <c r="CK8" s="1264"/>
      <c r="CL8" s="1264"/>
      <c r="CM8" s="1264"/>
      <c r="CN8" s="1264"/>
      <c r="CO8" s="1264"/>
      <c r="CP8" s="1264"/>
      <c r="CQ8" s="1264"/>
      <c r="CR8" s="1264"/>
    </row>
    <row r="9" spans="1:96" ht="15.75" customHeight="1">
      <c r="A9" s="450" t="s">
        <v>464</v>
      </c>
      <c r="B9" s="451" t="s">
        <v>471</v>
      </c>
      <c r="C9" s="243"/>
      <c r="D9" s="243"/>
      <c r="E9" s="243"/>
      <c r="F9" s="243"/>
      <c r="G9" s="243"/>
      <c r="H9" s="243"/>
      <c r="I9" s="243"/>
      <c r="J9" s="243"/>
      <c r="K9" s="243"/>
      <c r="L9" s="244"/>
      <c r="M9" s="243" t="s">
        <v>465</v>
      </c>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c r="AQ9" s="247"/>
      <c r="AR9" s="247"/>
      <c r="AS9" s="247"/>
      <c r="AT9" s="247"/>
      <c r="AU9" s="247"/>
      <c r="AV9" s="247"/>
      <c r="AW9" s="247"/>
      <c r="AX9" s="247"/>
      <c r="AY9" s="247"/>
      <c r="AZ9" s="247"/>
      <c r="BA9" s="247"/>
      <c r="BB9" s="247"/>
      <c r="BC9" s="247"/>
      <c r="BD9" s="247"/>
      <c r="BE9" s="452" t="s">
        <v>466</v>
      </c>
      <c r="BF9" s="452" t="s">
        <v>467</v>
      </c>
      <c r="BG9" s="453"/>
      <c r="BH9" s="452"/>
      <c r="BI9" s="452"/>
      <c r="BJ9" s="453"/>
      <c r="BK9" s="454"/>
    </row>
    <row r="10" spans="1:96" ht="15.75" customHeight="1">
      <c r="A10" s="450" t="s">
        <v>464</v>
      </c>
      <c r="B10" s="455" t="s">
        <v>472</v>
      </c>
      <c r="C10" s="243"/>
      <c r="D10" s="243"/>
      <c r="E10" s="243"/>
      <c r="F10" s="243"/>
      <c r="G10" s="243"/>
      <c r="H10" s="243"/>
      <c r="I10" s="243"/>
      <c r="J10" s="243"/>
      <c r="K10" s="243"/>
      <c r="L10" s="244"/>
      <c r="M10" s="243" t="s">
        <v>473</v>
      </c>
      <c r="N10" s="247"/>
      <c r="O10" s="247"/>
      <c r="P10" s="247"/>
      <c r="Q10" s="247"/>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319" t="s">
        <v>474</v>
      </c>
      <c r="BA10" s="247"/>
      <c r="BB10" s="247"/>
      <c r="BC10" s="247"/>
      <c r="BD10" s="247"/>
      <c r="BE10" s="452" t="s">
        <v>475</v>
      </c>
      <c r="BF10" s="452" t="s">
        <v>467</v>
      </c>
      <c r="BG10" s="453"/>
      <c r="BH10" s="452"/>
      <c r="BI10" s="452"/>
      <c r="BJ10" s="453"/>
      <c r="BK10" s="454"/>
    </row>
    <row r="11" spans="1:96" ht="15.75" customHeight="1">
      <c r="A11" s="450" t="s">
        <v>464</v>
      </c>
      <c r="B11" s="455" t="s">
        <v>476</v>
      </c>
      <c r="C11" s="243"/>
      <c r="D11" s="243"/>
      <c r="E11" s="243"/>
      <c r="F11" s="243"/>
      <c r="G11" s="243"/>
      <c r="H11" s="243"/>
      <c r="I11" s="243"/>
      <c r="J11" s="243"/>
      <c r="K11" s="243"/>
      <c r="L11" s="244"/>
      <c r="M11" s="243" t="s">
        <v>477</v>
      </c>
      <c r="N11" s="247"/>
      <c r="O11" s="247"/>
      <c r="P11" s="247"/>
      <c r="Q11" s="247"/>
      <c r="R11" s="247"/>
      <c r="S11" s="247"/>
      <c r="T11" s="247"/>
      <c r="U11" s="247"/>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319" t="s">
        <v>474</v>
      </c>
      <c r="BA11" s="247"/>
      <c r="BB11" s="247"/>
      <c r="BC11" s="247"/>
      <c r="BD11" s="247"/>
      <c r="BE11" s="452" t="s">
        <v>475</v>
      </c>
      <c r="BF11" s="452" t="s">
        <v>467</v>
      </c>
      <c r="BG11" s="453"/>
      <c r="BH11" s="452"/>
      <c r="BI11" s="452"/>
      <c r="BJ11" s="453"/>
      <c r="BK11" s="454"/>
    </row>
    <row r="12" spans="1:96" ht="15.75" customHeight="1">
      <c r="A12" s="450" t="s">
        <v>464</v>
      </c>
      <c r="B12" s="43" t="s">
        <v>478</v>
      </c>
      <c r="C12" s="243"/>
      <c r="D12" s="243"/>
      <c r="E12" s="243"/>
      <c r="F12" s="243"/>
      <c r="G12" s="243"/>
      <c r="H12" s="243"/>
      <c r="I12" s="243"/>
      <c r="J12" s="243"/>
      <c r="K12" s="243"/>
      <c r="L12" s="244"/>
      <c r="M12" s="243" t="s">
        <v>479</v>
      </c>
      <c r="N12" s="247"/>
      <c r="O12" s="247"/>
      <c r="P12" s="247"/>
      <c r="Q12" s="247"/>
      <c r="R12" s="247"/>
      <c r="S12" s="247"/>
      <c r="T12" s="247"/>
      <c r="U12" s="247"/>
      <c r="V12" s="247"/>
      <c r="W12" s="247"/>
      <c r="X12" s="247"/>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452" t="s">
        <v>480</v>
      </c>
      <c r="BF12" s="452" t="s">
        <v>481</v>
      </c>
      <c r="BG12" s="453"/>
      <c r="BH12" s="452"/>
      <c r="BI12" s="452"/>
      <c r="BJ12" s="453"/>
      <c r="BK12" s="454"/>
    </row>
    <row r="13" spans="1:96" ht="15.75" customHeight="1">
      <c r="A13" s="450" t="s">
        <v>464</v>
      </c>
      <c r="B13" s="43" t="s">
        <v>482</v>
      </c>
      <c r="C13" s="243"/>
      <c r="D13" s="243"/>
      <c r="E13" s="243"/>
      <c r="F13" s="243"/>
      <c r="G13" s="243"/>
      <c r="H13" s="243"/>
      <c r="I13" s="243"/>
      <c r="J13" s="243"/>
      <c r="K13" s="243"/>
      <c r="L13" s="244"/>
      <c r="M13" s="243" t="s">
        <v>483</v>
      </c>
      <c r="N13" s="247"/>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452" t="s">
        <v>480</v>
      </c>
      <c r="BF13" s="452" t="s">
        <v>481</v>
      </c>
      <c r="BG13" s="453"/>
      <c r="BH13" s="452"/>
      <c r="BI13" s="452"/>
      <c r="BJ13" s="453"/>
      <c r="BK13" s="454"/>
    </row>
    <row r="14" spans="1:96" ht="15.75" customHeight="1">
      <c r="A14" s="450" t="s">
        <v>464</v>
      </c>
      <c r="B14" s="43" t="s">
        <v>484</v>
      </c>
      <c r="C14" s="243"/>
      <c r="D14" s="243"/>
      <c r="E14" s="243"/>
      <c r="F14" s="243"/>
      <c r="G14" s="243"/>
      <c r="H14" s="243"/>
      <c r="I14" s="243"/>
      <c r="J14" s="243"/>
      <c r="K14" s="243"/>
      <c r="L14" s="244"/>
      <c r="M14" s="243" t="s">
        <v>485</v>
      </c>
      <c r="N14" s="247"/>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452" t="s">
        <v>480</v>
      </c>
      <c r="BF14" s="452" t="s">
        <v>481</v>
      </c>
      <c r="BG14" s="453"/>
      <c r="BH14" s="452"/>
      <c r="BI14" s="452"/>
      <c r="BJ14" s="453"/>
      <c r="BK14" s="454"/>
    </row>
    <row r="15" spans="1:96" ht="15.75" customHeight="1">
      <c r="A15" s="450" t="s">
        <v>464</v>
      </c>
      <c r="B15" s="43" t="s">
        <v>486</v>
      </c>
      <c r="C15" s="243"/>
      <c r="D15" s="243"/>
      <c r="E15" s="243"/>
      <c r="F15" s="243"/>
      <c r="G15" s="243"/>
      <c r="H15" s="243"/>
      <c r="I15" s="243"/>
      <c r="J15" s="243"/>
      <c r="K15" s="243"/>
      <c r="L15" s="244"/>
      <c r="M15" s="243" t="s">
        <v>487</v>
      </c>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452" t="s">
        <v>480</v>
      </c>
      <c r="BF15" s="452" t="s">
        <v>481</v>
      </c>
      <c r="BG15" s="453"/>
      <c r="BH15" s="452"/>
      <c r="BI15" s="452"/>
      <c r="BJ15" s="453"/>
      <c r="BK15" s="454"/>
    </row>
    <row r="16" spans="1:96" ht="15.75" customHeight="1">
      <c r="A16" s="450" t="s">
        <v>464</v>
      </c>
      <c r="B16" s="451" t="s">
        <v>488</v>
      </c>
      <c r="C16" s="243"/>
      <c r="D16" s="243"/>
      <c r="E16" s="243"/>
      <c r="F16" s="243"/>
      <c r="G16" s="243"/>
      <c r="H16" s="243"/>
      <c r="I16" s="243"/>
      <c r="J16" s="243"/>
      <c r="K16" s="243"/>
      <c r="L16" s="244"/>
      <c r="M16" s="243" t="s">
        <v>489</v>
      </c>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452" t="s">
        <v>475</v>
      </c>
      <c r="BF16" s="452" t="s">
        <v>467</v>
      </c>
      <c r="BG16" s="453"/>
      <c r="BH16" s="452"/>
      <c r="BI16" s="452"/>
      <c r="BJ16" s="453"/>
      <c r="BK16" s="454"/>
    </row>
    <row r="17" spans="1:101" ht="15.75" customHeight="1">
      <c r="A17" s="450" t="s">
        <v>464</v>
      </c>
      <c r="B17" s="451" t="s">
        <v>490</v>
      </c>
      <c r="C17" s="243"/>
      <c r="D17" s="243"/>
      <c r="E17" s="243"/>
      <c r="F17" s="243"/>
      <c r="G17" s="243"/>
      <c r="H17" s="243"/>
      <c r="I17" s="243"/>
      <c r="J17" s="243"/>
      <c r="K17" s="243"/>
      <c r="L17" s="244"/>
      <c r="M17" s="243" t="s">
        <v>491</v>
      </c>
      <c r="N17" s="247"/>
      <c r="O17" s="247"/>
      <c r="P17" s="247"/>
      <c r="Q17" s="247"/>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7"/>
      <c r="BD17" s="247"/>
      <c r="BE17" s="452" t="s">
        <v>475</v>
      </c>
      <c r="BF17" s="452" t="s">
        <v>467</v>
      </c>
      <c r="BG17" s="453"/>
      <c r="BH17" s="452"/>
      <c r="BI17" s="452"/>
      <c r="BJ17" s="453"/>
      <c r="BK17" s="454"/>
      <c r="BM17" s="483" t="s">
        <v>492</v>
      </c>
    </row>
    <row r="18" spans="1:101" ht="15.75" customHeight="1">
      <c r="A18" s="450" t="s">
        <v>464</v>
      </c>
      <c r="B18" s="43" t="s">
        <v>493</v>
      </c>
      <c r="C18" s="243"/>
      <c r="D18" s="243"/>
      <c r="E18" s="243"/>
      <c r="F18" s="243"/>
      <c r="G18" s="243"/>
      <c r="H18" s="243"/>
      <c r="I18" s="243"/>
      <c r="J18" s="243"/>
      <c r="K18" s="243"/>
      <c r="L18" s="244"/>
      <c r="M18" s="243" t="s">
        <v>494</v>
      </c>
      <c r="N18" s="247"/>
      <c r="O18" s="247"/>
      <c r="P18" s="247"/>
      <c r="Q18" s="247"/>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7"/>
      <c r="BD18" s="247"/>
      <c r="BE18" s="452" t="s">
        <v>466</v>
      </c>
      <c r="BF18" s="452" t="s">
        <v>467</v>
      </c>
      <c r="BG18" s="453"/>
      <c r="BH18" s="452"/>
      <c r="BI18" s="452"/>
      <c r="BJ18" s="453"/>
      <c r="BK18" s="454"/>
      <c r="BM18" s="443" t="s">
        <v>495</v>
      </c>
    </row>
    <row r="19" spans="1:101" ht="15.75" customHeight="1">
      <c r="A19" s="450" t="s">
        <v>464</v>
      </c>
      <c r="B19" s="43" t="s">
        <v>496</v>
      </c>
      <c r="C19" s="243"/>
      <c r="D19" s="243"/>
      <c r="E19" s="243"/>
      <c r="F19" s="243"/>
      <c r="G19" s="243"/>
      <c r="H19" s="243"/>
      <c r="I19" s="243"/>
      <c r="J19" s="243"/>
      <c r="K19" s="243"/>
      <c r="L19" s="244"/>
      <c r="M19" s="243" t="s">
        <v>494</v>
      </c>
      <c r="N19" s="247"/>
      <c r="O19" s="247"/>
      <c r="P19" s="247"/>
      <c r="Q19" s="247"/>
      <c r="R19" s="247"/>
      <c r="S19" s="247"/>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247"/>
      <c r="AS19" s="247"/>
      <c r="AT19" s="247"/>
      <c r="AU19" s="247"/>
      <c r="AV19" s="247"/>
      <c r="AW19" s="247"/>
      <c r="AX19" s="247"/>
      <c r="AY19" s="247"/>
      <c r="AZ19" s="247"/>
      <c r="BA19" s="247"/>
      <c r="BB19" s="247"/>
      <c r="BC19" s="247"/>
      <c r="BD19" s="247"/>
      <c r="BE19" s="452" t="s">
        <v>497</v>
      </c>
      <c r="BF19" s="452" t="s">
        <v>498</v>
      </c>
      <c r="BG19" s="453"/>
      <c r="BH19" s="452"/>
      <c r="BI19" s="453"/>
      <c r="BJ19" s="453"/>
      <c r="BK19" s="454"/>
      <c r="BN19" s="483" t="s">
        <v>499</v>
      </c>
      <c r="CB19" s="443" t="s">
        <v>235</v>
      </c>
    </row>
    <row r="20" spans="1:101" ht="60" customHeight="1">
      <c r="A20" s="450" t="s">
        <v>464</v>
      </c>
      <c r="B20" s="43" t="s">
        <v>500</v>
      </c>
      <c r="C20" s="243"/>
      <c r="D20" s="243"/>
      <c r="E20" s="243"/>
      <c r="F20" s="243"/>
      <c r="G20" s="243"/>
      <c r="H20" s="243"/>
      <c r="I20" s="243"/>
      <c r="J20" s="243"/>
      <c r="K20" s="243"/>
      <c r="L20" s="244"/>
      <c r="M20" s="243" t="s">
        <v>494</v>
      </c>
      <c r="N20" s="247"/>
      <c r="O20" s="247"/>
      <c r="P20" s="247"/>
      <c r="Q20" s="247"/>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7"/>
      <c r="BD20" s="247"/>
      <c r="BE20" s="452" t="s">
        <v>497</v>
      </c>
      <c r="BF20" s="452" t="s">
        <v>498</v>
      </c>
      <c r="BG20" s="453"/>
      <c r="BH20" s="452"/>
      <c r="BI20" s="453"/>
      <c r="BJ20" s="453"/>
      <c r="BK20" s="454"/>
      <c r="BL20" s="1260" t="s">
        <v>501</v>
      </c>
      <c r="BM20" s="1265"/>
      <c r="BN20" s="1265"/>
      <c r="BO20" s="1265"/>
      <c r="BP20" s="1265"/>
      <c r="BQ20" s="1265"/>
      <c r="BR20" s="1265"/>
      <c r="BS20" s="1265"/>
      <c r="BT20" s="1265"/>
      <c r="BU20" s="1265"/>
      <c r="BV20" s="1265"/>
      <c r="BW20" s="1265"/>
      <c r="BX20" s="1265"/>
      <c r="BY20" s="1265"/>
      <c r="BZ20" s="1265"/>
      <c r="CA20" s="1265"/>
      <c r="CB20" s="1265"/>
      <c r="CC20" s="1265"/>
      <c r="CD20" s="1265"/>
      <c r="CE20" s="1265"/>
      <c r="CF20" s="1265"/>
      <c r="CJ20" s="483" t="s">
        <v>502</v>
      </c>
      <c r="CW20" s="443" t="s">
        <v>210</v>
      </c>
    </row>
    <row r="21" spans="1:101" ht="15.75" customHeight="1">
      <c r="A21" s="450" t="s">
        <v>464</v>
      </c>
      <c r="B21" s="43" t="s">
        <v>503</v>
      </c>
      <c r="C21" s="243"/>
      <c r="D21" s="243"/>
      <c r="E21" s="243"/>
      <c r="F21" s="243"/>
      <c r="G21" s="243"/>
      <c r="H21" s="243"/>
      <c r="I21" s="243"/>
      <c r="J21" s="243"/>
      <c r="K21" s="243"/>
      <c r="L21" s="244"/>
      <c r="M21" s="243" t="s">
        <v>494</v>
      </c>
      <c r="N21" s="247"/>
      <c r="O21" s="247"/>
      <c r="P21" s="247"/>
      <c r="Q21" s="247"/>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7"/>
      <c r="BD21" s="247"/>
      <c r="BE21" s="452" t="s">
        <v>497</v>
      </c>
      <c r="BF21" s="452" t="s">
        <v>498</v>
      </c>
      <c r="BG21" s="453"/>
      <c r="BH21" s="452"/>
      <c r="BI21" s="453"/>
      <c r="BJ21" s="453"/>
      <c r="BK21" s="454"/>
      <c r="CJ21" s="522" t="s">
        <v>504</v>
      </c>
    </row>
    <row r="22" spans="1:101" ht="15.75" customHeight="1">
      <c r="A22" s="450" t="s">
        <v>464</v>
      </c>
      <c r="B22" s="43" t="s">
        <v>505</v>
      </c>
      <c r="C22" s="243"/>
      <c r="D22" s="243"/>
      <c r="E22" s="243"/>
      <c r="F22" s="243"/>
      <c r="G22" s="243"/>
      <c r="H22" s="243"/>
      <c r="I22" s="243"/>
      <c r="J22" s="243"/>
      <c r="K22" s="243"/>
      <c r="L22" s="244"/>
      <c r="M22" s="243" t="s">
        <v>465</v>
      </c>
      <c r="N22" s="247"/>
      <c r="O22" s="247"/>
      <c r="P22" s="247"/>
      <c r="Q22" s="247"/>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7"/>
      <c r="BD22" s="247"/>
      <c r="BE22" s="452" t="s">
        <v>469</v>
      </c>
      <c r="BF22" s="452" t="s">
        <v>467</v>
      </c>
      <c r="BG22" s="453"/>
      <c r="BH22" s="452"/>
      <c r="BI22" s="452"/>
      <c r="BJ22" s="453"/>
      <c r="BK22" s="454" t="s">
        <v>470</v>
      </c>
    </row>
    <row r="23" spans="1:101" ht="15.75" customHeight="1">
      <c r="A23" s="450" t="s">
        <v>464</v>
      </c>
      <c r="B23" s="43" t="s">
        <v>871</v>
      </c>
      <c r="C23" s="243"/>
      <c r="D23" s="243"/>
      <c r="E23" s="243"/>
      <c r="F23" s="243"/>
      <c r="G23" s="243"/>
      <c r="H23" s="243"/>
      <c r="I23" s="243"/>
      <c r="J23" s="243"/>
      <c r="K23" s="243"/>
      <c r="L23" s="244"/>
      <c r="M23" s="243" t="s">
        <v>465</v>
      </c>
      <c r="N23" s="247"/>
      <c r="O23" s="247"/>
      <c r="P23" s="247"/>
      <c r="Q23" s="247"/>
      <c r="R23" s="247"/>
      <c r="S23" s="247"/>
      <c r="T23" s="247"/>
      <c r="U23" s="247"/>
      <c r="V23" s="247"/>
      <c r="W23" s="247"/>
      <c r="X23" s="247"/>
      <c r="Y23" s="247"/>
      <c r="Z23" s="247"/>
      <c r="AA23" s="247"/>
      <c r="AB23" s="247"/>
      <c r="AC23" s="247"/>
      <c r="AD23" s="247"/>
      <c r="AE23" s="247"/>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7"/>
      <c r="BD23" s="247"/>
      <c r="BE23" s="452" t="s">
        <v>475</v>
      </c>
      <c r="BF23" s="452" t="s">
        <v>467</v>
      </c>
      <c r="BG23" s="453"/>
      <c r="BH23" s="452"/>
      <c r="BI23" s="452"/>
      <c r="BJ23" s="453"/>
      <c r="BK23" s="454" t="s">
        <v>470</v>
      </c>
    </row>
    <row r="24" spans="1:101" ht="15.75" customHeight="1">
      <c r="A24" s="450" t="s">
        <v>464</v>
      </c>
      <c r="B24" s="43" t="s">
        <v>506</v>
      </c>
      <c r="C24" s="243"/>
      <c r="D24" s="243"/>
      <c r="E24" s="243"/>
      <c r="F24" s="243"/>
      <c r="G24" s="243"/>
      <c r="H24" s="243"/>
      <c r="I24" s="243"/>
      <c r="J24" s="243"/>
      <c r="K24" s="243"/>
      <c r="L24" s="244"/>
      <c r="M24" s="243" t="s">
        <v>465</v>
      </c>
      <c r="N24" s="247"/>
      <c r="O24" s="247"/>
      <c r="P24" s="247"/>
      <c r="Q24" s="247"/>
      <c r="R24" s="247"/>
      <c r="S24" s="247"/>
      <c r="T24" s="247"/>
      <c r="U24" s="247"/>
      <c r="V24" s="247"/>
      <c r="W24" s="247"/>
      <c r="X24" s="247"/>
      <c r="Y24" s="247"/>
      <c r="Z24" s="247"/>
      <c r="AA24" s="247"/>
      <c r="AB24" s="247"/>
      <c r="AC24" s="247"/>
      <c r="AD24" s="247"/>
      <c r="AE24" s="247"/>
      <c r="AF24" s="247"/>
      <c r="AG24" s="247"/>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7"/>
      <c r="BD24" s="247"/>
      <c r="BE24" s="452" t="s">
        <v>466</v>
      </c>
      <c r="BF24" s="452" t="s">
        <v>467</v>
      </c>
      <c r="BG24" s="453"/>
      <c r="BH24" s="452"/>
      <c r="BI24" s="452"/>
      <c r="BJ24" s="453"/>
      <c r="BK24" s="454"/>
    </row>
    <row r="25" spans="1:101" ht="15.75" customHeight="1">
      <c r="A25" s="450" t="s">
        <v>464</v>
      </c>
      <c r="B25" s="43" t="s">
        <v>507</v>
      </c>
      <c r="C25" s="243"/>
      <c r="D25" s="243"/>
      <c r="E25" s="243"/>
      <c r="F25" s="243"/>
      <c r="G25" s="243"/>
      <c r="H25" s="243"/>
      <c r="I25" s="243"/>
      <c r="J25" s="243"/>
      <c r="K25" s="243"/>
      <c r="L25" s="244"/>
      <c r="M25" s="243" t="s">
        <v>465</v>
      </c>
      <c r="N25" s="247"/>
      <c r="O25" s="247"/>
      <c r="P25" s="247"/>
      <c r="Q25" s="247"/>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47"/>
      <c r="AT25" s="247"/>
      <c r="AU25" s="247"/>
      <c r="AV25" s="247"/>
      <c r="AW25" s="247"/>
      <c r="AX25" s="247"/>
      <c r="AY25" s="247"/>
      <c r="AZ25" s="247"/>
      <c r="BA25" s="247"/>
      <c r="BB25" s="247"/>
      <c r="BC25" s="247"/>
      <c r="BD25" s="247"/>
      <c r="BE25" s="452" t="s">
        <v>469</v>
      </c>
      <c r="BF25" s="452" t="s">
        <v>498</v>
      </c>
      <c r="BG25" s="453"/>
      <c r="BH25" s="452"/>
      <c r="BI25" s="452"/>
      <c r="BJ25" s="453"/>
      <c r="BK25" s="454" t="s">
        <v>470</v>
      </c>
    </row>
    <row r="26" spans="1:101" ht="15.75" customHeight="1">
      <c r="A26" s="450" t="s">
        <v>464</v>
      </c>
      <c r="B26" s="43" t="s">
        <v>508</v>
      </c>
      <c r="C26" s="243"/>
      <c r="D26" s="243"/>
      <c r="E26" s="243"/>
      <c r="F26" s="243"/>
      <c r="G26" s="243"/>
      <c r="H26" s="243"/>
      <c r="I26" s="243"/>
      <c r="J26" s="243"/>
      <c r="K26" s="243"/>
      <c r="L26" s="244"/>
      <c r="M26" s="243" t="s">
        <v>494</v>
      </c>
      <c r="N26" s="247"/>
      <c r="O26" s="247"/>
      <c r="P26" s="247"/>
      <c r="Q26" s="247"/>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7"/>
      <c r="BD26" s="247"/>
      <c r="BE26" s="452" t="s">
        <v>469</v>
      </c>
      <c r="BF26" s="452" t="s">
        <v>498</v>
      </c>
      <c r="BG26" s="453"/>
      <c r="BH26" s="452"/>
      <c r="BI26" s="452"/>
      <c r="BJ26" s="453"/>
      <c r="BK26" s="454" t="s">
        <v>470</v>
      </c>
    </row>
    <row r="27" spans="1:101" ht="15.75" customHeight="1">
      <c r="A27" s="450" t="s">
        <v>464</v>
      </c>
      <c r="B27" s="43" t="s">
        <v>509</v>
      </c>
      <c r="C27" s="243"/>
      <c r="D27" s="243"/>
      <c r="E27" s="243"/>
      <c r="F27" s="243"/>
      <c r="G27" s="243"/>
      <c r="H27" s="243"/>
      <c r="I27" s="243"/>
      <c r="J27" s="243"/>
      <c r="K27" s="243"/>
      <c r="L27" s="244"/>
      <c r="M27" s="243" t="s">
        <v>494</v>
      </c>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452" t="s">
        <v>469</v>
      </c>
      <c r="BF27" s="452" t="s">
        <v>498</v>
      </c>
      <c r="BG27" s="453"/>
      <c r="BH27" s="452"/>
      <c r="BI27" s="452"/>
      <c r="BJ27" s="453"/>
      <c r="BK27" s="454" t="s">
        <v>470</v>
      </c>
    </row>
    <row r="28" spans="1:101" ht="15.75" customHeight="1">
      <c r="A28" s="450" t="s">
        <v>464</v>
      </c>
      <c r="B28" s="43" t="s">
        <v>510</v>
      </c>
      <c r="C28" s="243"/>
      <c r="D28" s="243"/>
      <c r="E28" s="243"/>
      <c r="F28" s="243"/>
      <c r="G28" s="243"/>
      <c r="H28" s="243"/>
      <c r="I28" s="243"/>
      <c r="J28" s="243"/>
      <c r="K28" s="243"/>
      <c r="L28" s="244"/>
      <c r="M28" s="243" t="s">
        <v>494</v>
      </c>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452" t="s">
        <v>469</v>
      </c>
      <c r="BF28" s="452" t="s">
        <v>498</v>
      </c>
      <c r="BG28" s="453"/>
      <c r="BH28" s="452"/>
      <c r="BI28" s="452"/>
      <c r="BJ28" s="453"/>
      <c r="BK28" s="454" t="s">
        <v>470</v>
      </c>
    </row>
    <row r="29" spans="1:101" ht="15.75" customHeight="1">
      <c r="A29" s="450" t="s">
        <v>464</v>
      </c>
      <c r="B29" s="43" t="s">
        <v>511</v>
      </c>
      <c r="C29" s="243"/>
      <c r="D29" s="243"/>
      <c r="E29" s="243"/>
      <c r="F29" s="243"/>
      <c r="G29" s="243"/>
      <c r="H29" s="243"/>
      <c r="I29" s="243"/>
      <c r="J29" s="243"/>
      <c r="K29" s="243"/>
      <c r="L29" s="244"/>
      <c r="M29" s="243" t="s">
        <v>512</v>
      </c>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453" t="s">
        <v>475</v>
      </c>
      <c r="BF29" s="452" t="s">
        <v>513</v>
      </c>
      <c r="BG29" s="453"/>
      <c r="BH29" s="452"/>
      <c r="BI29" s="452"/>
      <c r="BJ29" s="453"/>
      <c r="BK29" s="454"/>
    </row>
    <row r="30" spans="1:101" ht="15.75" customHeight="1">
      <c r="A30" s="450" t="s">
        <v>464</v>
      </c>
      <c r="B30" s="43" t="s">
        <v>514</v>
      </c>
      <c r="C30" s="243"/>
      <c r="D30" s="243"/>
      <c r="E30" s="243"/>
      <c r="F30" s="243"/>
      <c r="G30" s="243"/>
      <c r="H30" s="243"/>
      <c r="I30" s="243"/>
      <c r="J30" s="243"/>
      <c r="K30" s="243"/>
      <c r="L30" s="244"/>
      <c r="M30" s="243" t="s">
        <v>515</v>
      </c>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452" t="s">
        <v>475</v>
      </c>
      <c r="BF30" s="452" t="s">
        <v>513</v>
      </c>
      <c r="BG30" s="453"/>
      <c r="BH30" s="452"/>
      <c r="BI30" s="452"/>
      <c r="BJ30" s="453"/>
      <c r="BK30" s="454"/>
      <c r="BL30" s="1267" t="s">
        <v>516</v>
      </c>
      <c r="BM30" s="1268"/>
      <c r="BN30" s="1268"/>
      <c r="BO30" s="1268"/>
      <c r="BP30" s="1268"/>
      <c r="BQ30" s="1268"/>
      <c r="BR30" s="1268"/>
      <c r="BS30" s="1268"/>
      <c r="BT30" s="1268"/>
      <c r="BU30" s="1268"/>
      <c r="BV30" s="1268"/>
      <c r="BW30" s="1268"/>
      <c r="BX30" s="1268"/>
      <c r="BY30" s="1268"/>
      <c r="BZ30" s="1268"/>
      <c r="CA30" s="1268"/>
      <c r="CB30" s="1268"/>
      <c r="CC30" s="1268"/>
      <c r="CD30" s="1268"/>
      <c r="CE30" s="1268"/>
      <c r="CF30" s="1268"/>
      <c r="CJ30" s="507" t="s">
        <v>207</v>
      </c>
    </row>
    <row r="31" spans="1:101" ht="15.75" customHeight="1">
      <c r="A31" s="450" t="s">
        <v>464</v>
      </c>
      <c r="B31" s="43" t="s">
        <v>517</v>
      </c>
      <c r="C31" s="243"/>
      <c r="D31" s="243"/>
      <c r="E31" s="243"/>
      <c r="F31" s="243"/>
      <c r="G31" s="243"/>
      <c r="H31" s="243"/>
      <c r="I31" s="243"/>
      <c r="J31" s="243"/>
      <c r="K31" s="243"/>
      <c r="L31" s="244"/>
      <c r="M31" s="243" t="s">
        <v>518</v>
      </c>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453" t="s">
        <v>475</v>
      </c>
      <c r="BF31" s="452" t="s">
        <v>513</v>
      </c>
      <c r="BG31" s="453"/>
      <c r="BH31" s="452"/>
      <c r="BI31" s="452"/>
      <c r="BJ31" s="453"/>
      <c r="BK31" s="454"/>
      <c r="BL31" s="1267"/>
      <c r="BM31" s="1268"/>
      <c r="BN31" s="1268"/>
      <c r="BO31" s="1268"/>
      <c r="BP31" s="1268"/>
      <c r="BQ31" s="1268"/>
      <c r="BR31" s="1268"/>
      <c r="BS31" s="1268"/>
      <c r="BT31" s="1268"/>
      <c r="BU31" s="1268"/>
      <c r="BV31" s="1268"/>
      <c r="BW31" s="1268"/>
      <c r="BX31" s="1268"/>
      <c r="BY31" s="1268"/>
      <c r="BZ31" s="1268"/>
      <c r="CA31" s="1268"/>
      <c r="CB31" s="1268"/>
      <c r="CC31" s="1268"/>
      <c r="CD31" s="1268"/>
      <c r="CE31" s="1268"/>
      <c r="CF31" s="1268"/>
      <c r="CG31" s="482"/>
      <c r="CH31" s="482"/>
      <c r="CI31" s="482"/>
      <c r="CJ31" s="507" t="s">
        <v>519</v>
      </c>
      <c r="CK31" s="482"/>
      <c r="CL31" s="482"/>
      <c r="CM31" s="482"/>
      <c r="CN31" s="482"/>
      <c r="CO31" s="482"/>
      <c r="CP31" s="482"/>
      <c r="CQ31" s="482"/>
      <c r="CR31" s="443" t="s">
        <v>210</v>
      </c>
    </row>
    <row r="32" spans="1:101" ht="15.75" customHeight="1">
      <c r="A32" s="450" t="s">
        <v>464</v>
      </c>
      <c r="B32" s="43" t="s">
        <v>520</v>
      </c>
      <c r="C32" s="243"/>
      <c r="D32" s="243"/>
      <c r="E32" s="243"/>
      <c r="F32" s="243"/>
      <c r="G32" s="243"/>
      <c r="H32" s="243"/>
      <c r="I32" s="243"/>
      <c r="J32" s="243"/>
      <c r="K32" s="243"/>
      <c r="L32" s="244"/>
      <c r="M32" s="243" t="s">
        <v>521</v>
      </c>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453" t="s">
        <v>475</v>
      </c>
      <c r="BF32" s="452" t="s">
        <v>513</v>
      </c>
      <c r="BG32" s="453"/>
      <c r="BH32" s="452"/>
      <c r="BI32" s="452"/>
      <c r="BJ32" s="453"/>
      <c r="BK32" s="454"/>
      <c r="BL32" s="1267"/>
      <c r="BM32" s="1268"/>
      <c r="BN32" s="1268"/>
      <c r="BO32" s="1268"/>
      <c r="BP32" s="1268"/>
      <c r="BQ32" s="1268"/>
      <c r="BR32" s="1268"/>
      <c r="BS32" s="1268"/>
      <c r="BT32" s="1268"/>
      <c r="BU32" s="1268"/>
      <c r="BV32" s="1268"/>
      <c r="BW32" s="1268"/>
      <c r="BX32" s="1268"/>
      <c r="BY32" s="1268"/>
      <c r="BZ32" s="1268"/>
      <c r="CA32" s="1268"/>
      <c r="CB32" s="1268"/>
      <c r="CC32" s="1268"/>
      <c r="CD32" s="1268"/>
      <c r="CE32" s="1268"/>
      <c r="CF32" s="1268"/>
      <c r="CG32" s="482"/>
      <c r="CH32" s="482"/>
      <c r="CI32" s="482"/>
      <c r="CJ32" s="507" t="s">
        <v>522</v>
      </c>
      <c r="CK32" s="482"/>
      <c r="CL32" s="482"/>
      <c r="CM32" s="482"/>
      <c r="CN32" s="482"/>
      <c r="CO32" s="482"/>
      <c r="CP32" s="482"/>
      <c r="CQ32" s="482"/>
      <c r="CR32" s="482"/>
    </row>
    <row r="33" spans="1:84" ht="15.75" customHeight="1" thickBot="1">
      <c r="A33" s="450"/>
      <c r="B33" s="43"/>
      <c r="C33" s="243"/>
      <c r="D33" s="243"/>
      <c r="E33" s="243"/>
      <c r="F33" s="243"/>
      <c r="G33" s="243"/>
      <c r="H33" s="243"/>
      <c r="I33" s="243"/>
      <c r="J33" s="243"/>
      <c r="K33" s="243"/>
      <c r="L33" s="244"/>
      <c r="M33" s="243"/>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452"/>
      <c r="BF33" s="452"/>
      <c r="BG33" s="453"/>
      <c r="BH33" s="452"/>
      <c r="BI33" s="452"/>
      <c r="BJ33" s="453"/>
      <c r="BK33" s="454"/>
      <c r="BL33" s="1267"/>
      <c r="BM33" s="1268"/>
      <c r="BN33" s="1268"/>
      <c r="BO33" s="1268"/>
      <c r="BP33" s="1268"/>
      <c r="BQ33" s="1268"/>
      <c r="BR33" s="1268"/>
      <c r="BS33" s="1268"/>
      <c r="BT33" s="1268"/>
      <c r="BU33" s="1268"/>
      <c r="BV33" s="1268"/>
      <c r="BW33" s="1268"/>
      <c r="BX33" s="1268"/>
      <c r="BY33" s="1268"/>
      <c r="BZ33" s="1268"/>
      <c r="CA33" s="1268"/>
      <c r="CB33" s="1268"/>
      <c r="CC33" s="1268"/>
      <c r="CD33" s="1268"/>
      <c r="CE33" s="1268"/>
      <c r="CF33" s="1268"/>
    </row>
    <row r="34" spans="1:84" ht="15.75" customHeight="1">
      <c r="A34" s="238"/>
      <c r="B34" s="239" t="s">
        <v>523</v>
      </c>
      <c r="C34" s="240"/>
      <c r="D34" s="240"/>
      <c r="E34" s="240"/>
      <c r="F34" s="240"/>
      <c r="G34" s="240"/>
      <c r="H34" s="240"/>
      <c r="I34" s="240"/>
      <c r="J34" s="240"/>
      <c r="K34" s="240"/>
      <c r="L34" s="241"/>
      <c r="M34" s="240"/>
      <c r="N34" s="242" t="s">
        <v>456</v>
      </c>
      <c r="O34" s="240"/>
      <c r="P34" s="240"/>
      <c r="Q34" s="240"/>
      <c r="R34" s="240"/>
      <c r="S34" s="240"/>
      <c r="T34" s="240"/>
      <c r="U34" s="240"/>
      <c r="V34" s="240"/>
      <c r="W34" s="240"/>
      <c r="X34" s="240"/>
      <c r="Y34" s="240"/>
      <c r="Z34" s="240"/>
      <c r="AA34" s="240"/>
      <c r="AB34" s="240"/>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35" t="s">
        <v>457</v>
      </c>
      <c r="BF34" s="35" t="s">
        <v>458</v>
      </c>
      <c r="BG34" s="35" t="s">
        <v>459</v>
      </c>
      <c r="BH34" s="35" t="s">
        <v>460</v>
      </c>
      <c r="BI34" s="35" t="s">
        <v>461</v>
      </c>
      <c r="BJ34" s="35" t="s">
        <v>462</v>
      </c>
      <c r="BK34" s="36" t="s">
        <v>463</v>
      </c>
    </row>
    <row r="35" spans="1:84" ht="15.75" customHeight="1">
      <c r="A35" s="450" t="s">
        <v>464</v>
      </c>
      <c r="B35" s="43" t="s">
        <v>524</v>
      </c>
      <c r="C35" s="243"/>
      <c r="D35" s="243"/>
      <c r="E35" s="243"/>
      <c r="F35" s="243"/>
      <c r="G35" s="243"/>
      <c r="H35" s="243"/>
      <c r="I35" s="243"/>
      <c r="J35" s="243"/>
      <c r="K35" s="243"/>
      <c r="L35" s="244"/>
      <c r="M35" s="243" t="s">
        <v>525</v>
      </c>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525" t="s">
        <v>526</v>
      </c>
      <c r="AT35" s="247"/>
      <c r="AU35" s="247"/>
      <c r="AV35" s="247"/>
      <c r="AW35" s="247"/>
      <c r="AX35" s="247"/>
      <c r="AY35" s="247"/>
      <c r="AZ35" s="247"/>
      <c r="BA35" s="247"/>
      <c r="BB35" s="247"/>
      <c r="BC35" s="247"/>
      <c r="BD35" s="247"/>
      <c r="BE35" s="452"/>
      <c r="BF35" s="452"/>
      <c r="BG35" s="453"/>
      <c r="BH35" s="452"/>
      <c r="BI35" s="452"/>
      <c r="BJ35" s="453"/>
      <c r="BK35" s="454"/>
    </row>
    <row r="36" spans="1:84" ht="15.75" customHeight="1">
      <c r="A36" s="450" t="s">
        <v>464</v>
      </c>
      <c r="B36" s="43" t="s">
        <v>527</v>
      </c>
      <c r="C36" s="243"/>
      <c r="D36" s="243"/>
      <c r="E36" s="243"/>
      <c r="F36" s="243"/>
      <c r="G36" s="243"/>
      <c r="H36" s="243"/>
      <c r="I36" s="243"/>
      <c r="J36" s="243"/>
      <c r="K36" s="243"/>
      <c r="L36" s="244"/>
      <c r="M36" s="243" t="s">
        <v>494</v>
      </c>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452" t="s">
        <v>469</v>
      </c>
      <c r="BF36" s="452" t="s">
        <v>498</v>
      </c>
      <c r="BG36" s="453"/>
      <c r="BH36" s="452"/>
      <c r="BI36" s="452"/>
      <c r="BJ36" s="453"/>
      <c r="BK36" s="454" t="s">
        <v>470</v>
      </c>
    </row>
    <row r="37" spans="1:84" ht="15.75" customHeight="1">
      <c r="A37" s="450" t="s">
        <v>464</v>
      </c>
      <c r="B37" s="43" t="s">
        <v>528</v>
      </c>
      <c r="C37" s="243"/>
      <c r="D37" s="243"/>
      <c r="E37" s="243"/>
      <c r="F37" s="243"/>
      <c r="G37" s="243"/>
      <c r="H37" s="243"/>
      <c r="I37" s="243"/>
      <c r="J37" s="243"/>
      <c r="K37" s="243"/>
      <c r="L37" s="244"/>
      <c r="M37" s="243" t="s">
        <v>494</v>
      </c>
      <c r="N37" s="247"/>
      <c r="O37" s="247"/>
      <c r="P37" s="247"/>
      <c r="Q37" s="247"/>
      <c r="R37" s="247"/>
      <c r="S37" s="247"/>
      <c r="T37" s="247"/>
      <c r="U37" s="247"/>
      <c r="V37" s="247"/>
      <c r="W37" s="247"/>
      <c r="X37" s="247"/>
      <c r="Y37" s="247"/>
      <c r="Z37" s="247"/>
      <c r="AA37" s="247"/>
      <c r="AB37" s="247"/>
      <c r="AC37" s="247"/>
      <c r="AD37" s="247"/>
      <c r="AE37" s="247"/>
      <c r="AF37" s="247"/>
      <c r="AG37" s="247"/>
      <c r="AH37" s="247"/>
      <c r="AI37" s="247"/>
      <c r="AJ37" s="247"/>
      <c r="AK37" s="247"/>
      <c r="AL37" s="247"/>
      <c r="AM37" s="247"/>
      <c r="AN37" s="247"/>
      <c r="AO37" s="247"/>
      <c r="AP37" s="247"/>
      <c r="AQ37" s="247"/>
      <c r="AR37" s="247"/>
      <c r="AS37" s="247"/>
      <c r="AT37" s="247"/>
      <c r="AU37" s="247"/>
      <c r="AV37" s="247"/>
      <c r="AW37" s="247"/>
      <c r="AX37" s="247"/>
      <c r="AY37" s="247"/>
      <c r="AZ37" s="247"/>
      <c r="BA37" s="247"/>
      <c r="BB37" s="247"/>
      <c r="BC37" s="247"/>
      <c r="BD37" s="247"/>
      <c r="BE37" s="452" t="s">
        <v>469</v>
      </c>
      <c r="BF37" s="452" t="s">
        <v>498</v>
      </c>
      <c r="BG37" s="453"/>
      <c r="BH37" s="452"/>
      <c r="BI37" s="452"/>
      <c r="BJ37" s="453"/>
      <c r="BK37" s="454" t="s">
        <v>470</v>
      </c>
    </row>
    <row r="38" spans="1:84" ht="15.75" customHeight="1">
      <c r="A38" s="450" t="s">
        <v>464</v>
      </c>
      <c r="B38" s="43" t="s">
        <v>529</v>
      </c>
      <c r="C38" s="243"/>
      <c r="D38" s="243"/>
      <c r="E38" s="243"/>
      <c r="F38" s="243"/>
      <c r="G38" s="243"/>
      <c r="H38" s="243"/>
      <c r="I38" s="243"/>
      <c r="J38" s="243"/>
      <c r="K38" s="243"/>
      <c r="L38" s="244"/>
      <c r="M38" s="243" t="s">
        <v>494</v>
      </c>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452" t="s">
        <v>469</v>
      </c>
      <c r="BF38" s="452" t="s">
        <v>498</v>
      </c>
      <c r="BG38" s="453"/>
      <c r="BH38" s="452"/>
      <c r="BI38" s="452"/>
      <c r="BJ38" s="453"/>
      <c r="BK38" s="454" t="s">
        <v>470</v>
      </c>
    </row>
    <row r="39" spans="1:84" ht="15.75" customHeight="1">
      <c r="A39" s="450" t="s">
        <v>464</v>
      </c>
      <c r="B39" s="43" t="s">
        <v>530</v>
      </c>
      <c r="C39" s="243"/>
      <c r="D39" s="243"/>
      <c r="E39" s="243"/>
      <c r="F39" s="243"/>
      <c r="G39" s="243"/>
      <c r="H39" s="243"/>
      <c r="I39" s="243"/>
      <c r="J39" s="243"/>
      <c r="K39" s="243"/>
      <c r="L39" s="244"/>
      <c r="M39" s="243" t="s">
        <v>494</v>
      </c>
      <c r="N39" s="247"/>
      <c r="O39" s="247"/>
      <c r="P39" s="247"/>
      <c r="Q39" s="247"/>
      <c r="R39" s="247"/>
      <c r="S39" s="247"/>
      <c r="T39" s="247"/>
      <c r="U39" s="247"/>
      <c r="V39" s="247"/>
      <c r="W39" s="247"/>
      <c r="X39" s="247"/>
      <c r="Y39" s="247"/>
      <c r="Z39" s="247"/>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47"/>
      <c r="AW39" s="247"/>
      <c r="AX39" s="247"/>
      <c r="AY39" s="247"/>
      <c r="AZ39" s="247"/>
      <c r="BA39" s="247"/>
      <c r="BB39" s="247"/>
      <c r="BC39" s="247"/>
      <c r="BD39" s="247"/>
      <c r="BE39" s="452" t="s">
        <v>469</v>
      </c>
      <c r="BF39" s="452" t="s">
        <v>498</v>
      </c>
      <c r="BG39" s="453"/>
      <c r="BH39" s="452"/>
      <c r="BI39" s="452"/>
      <c r="BJ39" s="453"/>
      <c r="BK39" s="454" t="s">
        <v>470</v>
      </c>
    </row>
    <row r="40" spans="1:84" ht="15.75" customHeight="1">
      <c r="A40" s="450" t="s">
        <v>464</v>
      </c>
      <c r="B40" s="43" t="s">
        <v>531</v>
      </c>
      <c r="C40" s="243"/>
      <c r="D40" s="243"/>
      <c r="E40" s="243"/>
      <c r="F40" s="243"/>
      <c r="G40" s="243"/>
      <c r="H40" s="243"/>
      <c r="I40" s="243"/>
      <c r="J40" s="243"/>
      <c r="K40" s="243"/>
      <c r="L40" s="244"/>
      <c r="M40" s="243" t="s">
        <v>494</v>
      </c>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7"/>
      <c r="AY40" s="247"/>
      <c r="AZ40" s="247"/>
      <c r="BA40" s="247"/>
      <c r="BB40" s="247"/>
      <c r="BC40" s="247"/>
      <c r="BD40" s="247"/>
      <c r="BE40" s="452" t="s">
        <v>469</v>
      </c>
      <c r="BF40" s="452" t="s">
        <v>498</v>
      </c>
      <c r="BG40" s="453"/>
      <c r="BH40" s="452"/>
      <c r="BI40" s="452"/>
      <c r="BJ40" s="453"/>
      <c r="BK40" s="454" t="s">
        <v>470</v>
      </c>
    </row>
    <row r="41" spans="1:84" ht="15.75" customHeight="1">
      <c r="A41" s="450" t="s">
        <v>464</v>
      </c>
      <c r="B41" s="43" t="s">
        <v>532</v>
      </c>
      <c r="C41" s="243"/>
      <c r="D41" s="243"/>
      <c r="E41" s="243"/>
      <c r="F41" s="243"/>
      <c r="G41" s="243"/>
      <c r="H41" s="243"/>
      <c r="I41" s="243"/>
      <c r="J41" s="243"/>
      <c r="K41" s="243"/>
      <c r="L41" s="244"/>
      <c r="M41" s="243" t="s">
        <v>494</v>
      </c>
      <c r="N41" s="247"/>
      <c r="O41" s="247"/>
      <c r="P41" s="247"/>
      <c r="Q41" s="247"/>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47"/>
      <c r="AW41" s="247"/>
      <c r="AX41" s="247"/>
      <c r="AY41" s="247"/>
      <c r="AZ41" s="247"/>
      <c r="BA41" s="247"/>
      <c r="BB41" s="247"/>
      <c r="BC41" s="247"/>
      <c r="BD41" s="247"/>
      <c r="BE41" s="452" t="s">
        <v>469</v>
      </c>
      <c r="BF41" s="452" t="s">
        <v>498</v>
      </c>
      <c r="BG41" s="453"/>
      <c r="BH41" s="452"/>
      <c r="BI41" s="452"/>
      <c r="BJ41" s="453"/>
      <c r="BK41" s="454" t="s">
        <v>470</v>
      </c>
    </row>
    <row r="42" spans="1:84" ht="15.75" customHeight="1">
      <c r="A42" s="450" t="s">
        <v>464</v>
      </c>
      <c r="B42" s="43" t="s">
        <v>533</v>
      </c>
      <c r="C42" s="243"/>
      <c r="D42" s="243"/>
      <c r="E42" s="243"/>
      <c r="F42" s="243"/>
      <c r="G42" s="243"/>
      <c r="H42" s="243"/>
      <c r="I42" s="243"/>
      <c r="J42" s="243"/>
      <c r="K42" s="243"/>
      <c r="L42" s="244"/>
      <c r="M42" s="243" t="s">
        <v>494</v>
      </c>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7"/>
      <c r="AZ42" s="247"/>
      <c r="BA42" s="247"/>
      <c r="BB42" s="247"/>
      <c r="BC42" s="247"/>
      <c r="BD42" s="247"/>
      <c r="BE42" s="452" t="s">
        <v>469</v>
      </c>
      <c r="BF42" s="452" t="s">
        <v>498</v>
      </c>
      <c r="BG42" s="453"/>
      <c r="BH42" s="452"/>
      <c r="BI42" s="452"/>
      <c r="BJ42" s="453"/>
      <c r="BK42" s="454" t="s">
        <v>470</v>
      </c>
    </row>
    <row r="43" spans="1:84" ht="15.75" customHeight="1">
      <c r="A43" s="450" t="s">
        <v>464</v>
      </c>
      <c r="B43" s="43" t="s">
        <v>534</v>
      </c>
      <c r="C43" s="243"/>
      <c r="D43" s="243"/>
      <c r="E43" s="243"/>
      <c r="F43" s="243"/>
      <c r="G43" s="243"/>
      <c r="H43" s="243"/>
      <c r="I43" s="243"/>
      <c r="J43" s="243"/>
      <c r="K43" s="243"/>
      <c r="L43" s="244"/>
      <c r="M43" s="243" t="s">
        <v>494</v>
      </c>
      <c r="N43" s="247"/>
      <c r="O43" s="247"/>
      <c r="P43" s="247"/>
      <c r="Q43" s="247"/>
      <c r="R43" s="247"/>
      <c r="S43" s="247"/>
      <c r="T43" s="247"/>
      <c r="U43" s="247"/>
      <c r="V43" s="247"/>
      <c r="W43" s="247"/>
      <c r="X43" s="247"/>
      <c r="Y43" s="247"/>
      <c r="Z43" s="247"/>
      <c r="AA43" s="247"/>
      <c r="AB43" s="247"/>
      <c r="AC43" s="247"/>
      <c r="AD43" s="247"/>
      <c r="AE43" s="247"/>
      <c r="AF43" s="247"/>
      <c r="AG43" s="247"/>
      <c r="AH43" s="247"/>
      <c r="AI43" s="247"/>
      <c r="AJ43" s="247"/>
      <c r="AK43" s="247"/>
      <c r="AL43" s="247"/>
      <c r="AM43" s="247"/>
      <c r="AN43" s="247"/>
      <c r="AO43" s="247"/>
      <c r="AP43" s="247"/>
      <c r="AQ43" s="247"/>
      <c r="AR43" s="247"/>
      <c r="AS43" s="247"/>
      <c r="AT43" s="247"/>
      <c r="AU43" s="247"/>
      <c r="AV43" s="247"/>
      <c r="AW43" s="247"/>
      <c r="AX43" s="247"/>
      <c r="AY43" s="247"/>
      <c r="AZ43" s="247"/>
      <c r="BA43" s="247"/>
      <c r="BB43" s="247"/>
      <c r="BC43" s="247"/>
      <c r="BD43" s="247"/>
      <c r="BE43" s="452" t="s">
        <v>469</v>
      </c>
      <c r="BF43" s="452" t="s">
        <v>498</v>
      </c>
      <c r="BG43" s="453"/>
      <c r="BH43" s="452"/>
      <c r="BI43" s="452"/>
      <c r="BJ43" s="453"/>
      <c r="BK43" s="454" t="s">
        <v>470</v>
      </c>
    </row>
    <row r="44" spans="1:84" ht="15.75" customHeight="1">
      <c r="A44" s="450" t="s">
        <v>464</v>
      </c>
      <c r="B44" s="455" t="s">
        <v>853</v>
      </c>
      <c r="C44" s="243"/>
      <c r="D44" s="243"/>
      <c r="E44" s="243"/>
      <c r="F44" s="243"/>
      <c r="G44" s="243"/>
      <c r="H44" s="243"/>
      <c r="I44" s="243"/>
      <c r="J44" s="243"/>
      <c r="K44" s="243"/>
      <c r="L44" s="244"/>
      <c r="M44" s="243" t="s">
        <v>465</v>
      </c>
      <c r="N44" s="247"/>
      <c r="O44" s="247"/>
      <c r="P44" s="247"/>
      <c r="Q44" s="247"/>
      <c r="R44" s="247"/>
      <c r="S44" s="247"/>
      <c r="T44" s="247"/>
      <c r="U44" s="247"/>
      <c r="V44" s="247"/>
      <c r="W44" s="247"/>
      <c r="X44" s="247"/>
      <c r="Y44" s="247"/>
      <c r="Z44" s="247"/>
      <c r="AA44" s="247"/>
      <c r="AB44" s="247"/>
      <c r="AC44" s="247"/>
      <c r="AD44" s="247"/>
      <c r="AE44" s="247"/>
      <c r="AF44" s="247"/>
      <c r="AG44" s="247"/>
      <c r="AH44" s="247"/>
      <c r="AI44" s="247"/>
      <c r="AJ44" s="247"/>
      <c r="AK44" s="247"/>
      <c r="AL44" s="247"/>
      <c r="AM44" s="247"/>
      <c r="AN44" s="247"/>
      <c r="AO44" s="247"/>
      <c r="AP44" s="247"/>
      <c r="AQ44" s="247"/>
      <c r="AR44" s="247"/>
      <c r="AS44" s="247"/>
      <c r="AT44" s="247"/>
      <c r="AU44" s="247"/>
      <c r="AV44" s="247"/>
      <c r="AW44" s="247"/>
      <c r="AX44" s="247"/>
      <c r="AY44" s="247"/>
      <c r="AZ44" s="247"/>
      <c r="BA44" s="247"/>
      <c r="BB44" s="247"/>
      <c r="BC44" s="247"/>
      <c r="BD44" s="247"/>
      <c r="BE44" s="452" t="s">
        <v>466</v>
      </c>
      <c r="BF44" s="452" t="s">
        <v>467</v>
      </c>
      <c r="BG44" s="453"/>
      <c r="BH44" s="452"/>
      <c r="BI44" s="452"/>
      <c r="BJ44" s="453"/>
      <c r="BK44" s="454"/>
    </row>
    <row r="45" spans="1:84" ht="15.75" customHeight="1">
      <c r="A45" s="450" t="s">
        <v>464</v>
      </c>
      <c r="B45" s="451" t="s">
        <v>535</v>
      </c>
      <c r="C45" s="243"/>
      <c r="D45" s="243"/>
      <c r="E45" s="243"/>
      <c r="F45" s="243"/>
      <c r="G45" s="243"/>
      <c r="H45" s="243"/>
      <c r="I45" s="243"/>
      <c r="J45" s="243"/>
      <c r="K45" s="243"/>
      <c r="L45" s="244"/>
      <c r="M45" s="243" t="s">
        <v>536</v>
      </c>
      <c r="N45" s="247"/>
      <c r="O45" s="247"/>
      <c r="P45" s="247"/>
      <c r="Q45" s="247"/>
      <c r="R45" s="247"/>
      <c r="S45" s="247"/>
      <c r="T45" s="247"/>
      <c r="U45" s="247"/>
      <c r="V45" s="247"/>
      <c r="W45" s="247"/>
      <c r="X45" s="247"/>
      <c r="Y45" s="247"/>
      <c r="Z45" s="247"/>
      <c r="AA45" s="247"/>
      <c r="AB45" s="247"/>
      <c r="AC45" s="247"/>
      <c r="AD45" s="247"/>
      <c r="AE45" s="247"/>
      <c r="AF45" s="247"/>
      <c r="AG45" s="247"/>
      <c r="AH45" s="247"/>
      <c r="AI45" s="247"/>
      <c r="AJ45" s="247"/>
      <c r="AK45" s="247"/>
      <c r="AL45" s="247"/>
      <c r="AM45" s="247"/>
      <c r="AN45" s="247"/>
      <c r="AO45" s="247"/>
      <c r="AP45" s="247"/>
      <c r="AQ45" s="247"/>
      <c r="AR45" s="247"/>
      <c r="AS45" s="247"/>
      <c r="AT45" s="247"/>
      <c r="AU45" s="247"/>
      <c r="AV45" s="247"/>
      <c r="AW45" s="247"/>
      <c r="AX45" s="247"/>
      <c r="AY45" s="247"/>
      <c r="AZ45" s="247"/>
      <c r="BA45" s="247"/>
      <c r="BB45" s="247"/>
      <c r="BC45" s="247"/>
      <c r="BD45" s="247"/>
      <c r="BE45" s="452" t="s">
        <v>475</v>
      </c>
      <c r="BF45" s="452" t="s">
        <v>467</v>
      </c>
      <c r="BG45" s="453"/>
      <c r="BH45" s="452"/>
      <c r="BI45" s="452"/>
      <c r="BJ45" s="453"/>
      <c r="BK45" s="454"/>
    </row>
    <row r="46" spans="1:84" ht="15.75" customHeight="1">
      <c r="A46" s="450" t="s">
        <v>464</v>
      </c>
      <c r="B46" s="451" t="s">
        <v>537</v>
      </c>
      <c r="C46" s="243"/>
      <c r="D46" s="243"/>
      <c r="E46" s="243"/>
      <c r="F46" s="243"/>
      <c r="G46" s="243"/>
      <c r="H46" s="243"/>
      <c r="I46" s="243"/>
      <c r="J46" s="243"/>
      <c r="K46" s="243"/>
      <c r="L46" s="244"/>
      <c r="M46" s="243" t="s">
        <v>538</v>
      </c>
      <c r="N46" s="247"/>
      <c r="O46" s="247"/>
      <c r="P46" s="247"/>
      <c r="Q46" s="247"/>
      <c r="R46" s="247"/>
      <c r="S46" s="247"/>
      <c r="T46" s="247"/>
      <c r="U46" s="247"/>
      <c r="V46" s="247"/>
      <c r="W46" s="247"/>
      <c r="X46" s="247"/>
      <c r="Y46" s="247"/>
      <c r="Z46" s="247"/>
      <c r="AA46" s="247"/>
      <c r="AB46" s="247"/>
      <c r="AC46" s="247"/>
      <c r="AD46" s="247"/>
      <c r="AE46" s="247"/>
      <c r="AF46" s="247"/>
      <c r="AG46" s="247"/>
      <c r="AH46" s="247"/>
      <c r="AI46" s="247"/>
      <c r="AJ46" s="247"/>
      <c r="AK46" s="247"/>
      <c r="AL46" s="247"/>
      <c r="AM46" s="247"/>
      <c r="AN46" s="247"/>
      <c r="AO46" s="247"/>
      <c r="AP46" s="247"/>
      <c r="AQ46" s="247"/>
      <c r="AR46" s="247"/>
      <c r="AS46" s="247"/>
      <c r="AT46" s="247"/>
      <c r="AU46" s="247"/>
      <c r="AV46" s="247"/>
      <c r="AW46" s="247"/>
      <c r="AX46" s="247"/>
      <c r="AY46" s="247"/>
      <c r="AZ46" s="247"/>
      <c r="BA46" s="247"/>
      <c r="BB46" s="247"/>
      <c r="BC46" s="247"/>
      <c r="BD46" s="247"/>
      <c r="BE46" s="452" t="s">
        <v>475</v>
      </c>
      <c r="BF46" s="452" t="s">
        <v>467</v>
      </c>
      <c r="BG46" s="453"/>
      <c r="BH46" s="452"/>
      <c r="BI46" s="452"/>
      <c r="BJ46" s="453"/>
      <c r="BK46" s="454"/>
    </row>
    <row r="47" spans="1:84" ht="15.75" customHeight="1">
      <c r="A47" s="450" t="s">
        <v>464</v>
      </c>
      <c r="B47" s="455" t="s">
        <v>353</v>
      </c>
      <c r="C47" s="243"/>
      <c r="D47" s="243"/>
      <c r="E47" s="243"/>
      <c r="F47" s="243"/>
      <c r="G47" s="243"/>
      <c r="H47" s="243"/>
      <c r="I47" s="243"/>
      <c r="J47" s="243"/>
      <c r="K47" s="243"/>
      <c r="L47" s="244"/>
      <c r="M47" s="243" t="s">
        <v>539</v>
      </c>
      <c r="N47" s="247"/>
      <c r="O47" s="247"/>
      <c r="P47" s="247"/>
      <c r="Q47" s="247"/>
      <c r="R47" s="247"/>
      <c r="S47" s="247"/>
      <c r="T47" s="247"/>
      <c r="U47" s="247"/>
      <c r="V47" s="247"/>
      <c r="W47" s="247"/>
      <c r="X47" s="247"/>
      <c r="Y47" s="247"/>
      <c r="Z47" s="247"/>
      <c r="AA47" s="247"/>
      <c r="AB47" s="247"/>
      <c r="AC47" s="247"/>
      <c r="AD47" s="247"/>
      <c r="AE47" s="247"/>
      <c r="AF47" s="247"/>
      <c r="AG47" s="247"/>
      <c r="AH47" s="247"/>
      <c r="AI47" s="247"/>
      <c r="AJ47" s="247"/>
      <c r="AK47" s="247"/>
      <c r="AL47" s="247"/>
      <c r="AM47" s="247"/>
      <c r="AN47" s="247"/>
      <c r="AO47" s="247"/>
      <c r="AP47" s="247"/>
      <c r="AQ47" s="247"/>
      <c r="AR47" s="247"/>
      <c r="AS47" s="247"/>
      <c r="AT47" s="247"/>
      <c r="AU47" s="247"/>
      <c r="AV47" s="247"/>
      <c r="AW47" s="247"/>
      <c r="AX47" s="247"/>
      <c r="AY47" s="247"/>
      <c r="AZ47" s="319" t="s">
        <v>474</v>
      </c>
      <c r="BA47" s="247"/>
      <c r="BB47" s="247"/>
      <c r="BC47" s="247"/>
      <c r="BD47" s="247"/>
      <c r="BE47" s="452" t="s">
        <v>475</v>
      </c>
      <c r="BF47" s="452" t="s">
        <v>467</v>
      </c>
      <c r="BG47" s="453"/>
      <c r="BH47" s="452"/>
      <c r="BI47" s="452"/>
      <c r="BJ47" s="453"/>
      <c r="BK47" s="454"/>
    </row>
    <row r="48" spans="1:84" ht="15.75" customHeight="1">
      <c r="A48" s="450" t="s">
        <v>464</v>
      </c>
      <c r="B48" s="455" t="s">
        <v>540</v>
      </c>
      <c r="C48" s="243"/>
      <c r="D48" s="243"/>
      <c r="E48" s="243"/>
      <c r="F48" s="243"/>
      <c r="G48" s="243"/>
      <c r="H48" s="243"/>
      <c r="I48" s="243"/>
      <c r="J48" s="243"/>
      <c r="K48" s="243"/>
      <c r="L48" s="244"/>
      <c r="M48" s="243" t="s">
        <v>541</v>
      </c>
      <c r="N48" s="247"/>
      <c r="O48" s="247"/>
      <c r="P48" s="247"/>
      <c r="Q48" s="247"/>
      <c r="R48" s="247"/>
      <c r="S48" s="247"/>
      <c r="T48" s="247"/>
      <c r="U48" s="247"/>
      <c r="V48" s="247"/>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247"/>
      <c r="AV48" s="247"/>
      <c r="AW48" s="247"/>
      <c r="AX48" s="247"/>
      <c r="AY48" s="247"/>
      <c r="AZ48" s="319" t="s">
        <v>474</v>
      </c>
      <c r="BA48" s="247"/>
      <c r="BB48" s="247"/>
      <c r="BC48" s="247"/>
      <c r="BD48" s="247"/>
      <c r="BE48" s="452" t="s">
        <v>475</v>
      </c>
      <c r="BF48" s="452" t="s">
        <v>467</v>
      </c>
      <c r="BG48" s="453"/>
      <c r="BH48" s="452"/>
      <c r="BI48" s="452"/>
      <c r="BJ48" s="453"/>
      <c r="BK48" s="454"/>
    </row>
    <row r="49" spans="1:126" ht="75" customHeight="1">
      <c r="A49" s="450" t="s">
        <v>464</v>
      </c>
      <c r="B49" s="43" t="s">
        <v>856</v>
      </c>
      <c r="C49" s="243"/>
      <c r="D49" s="243"/>
      <c r="E49" s="243"/>
      <c r="F49" s="243"/>
      <c r="G49" s="243"/>
      <c r="H49" s="243"/>
      <c r="I49" s="243"/>
      <c r="J49" s="243"/>
      <c r="K49" s="243"/>
      <c r="L49" s="244"/>
      <c r="M49" s="243" t="s">
        <v>494</v>
      </c>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47"/>
      <c r="AZ49" s="247"/>
      <c r="BA49" s="247"/>
      <c r="BB49" s="247"/>
      <c r="BC49" s="247"/>
      <c r="BD49" s="247"/>
      <c r="BE49" s="452" t="s">
        <v>497</v>
      </c>
      <c r="BF49" s="452" t="s">
        <v>498</v>
      </c>
      <c r="BG49" s="453"/>
      <c r="BH49" s="452"/>
      <c r="BI49" s="453"/>
      <c r="BJ49" s="453"/>
      <c r="BK49" s="454"/>
      <c r="BL49" s="1263" t="s">
        <v>542</v>
      </c>
      <c r="BM49" s="1264"/>
      <c r="BN49" s="1264"/>
      <c r="BO49" s="1264"/>
      <c r="BP49" s="1264"/>
      <c r="BQ49" s="1264"/>
      <c r="BR49" s="1264"/>
      <c r="BS49" s="1264"/>
      <c r="BT49" s="1264"/>
      <c r="BU49" s="1264"/>
      <c r="BV49" s="1264"/>
      <c r="BW49" s="1264"/>
      <c r="BX49" s="1264"/>
      <c r="BY49" s="1264"/>
      <c r="BZ49" s="1264"/>
      <c r="CA49" s="1264"/>
      <c r="CB49" s="1264"/>
      <c r="CC49" s="1264"/>
      <c r="CD49" s="1264"/>
      <c r="CE49" s="1264"/>
      <c r="CF49" s="1264"/>
      <c r="CG49" s="1264"/>
      <c r="CJ49" s="483" t="s">
        <v>543</v>
      </c>
      <c r="CS49" s="443" t="s">
        <v>210</v>
      </c>
    </row>
    <row r="50" spans="1:126" ht="75" customHeight="1">
      <c r="A50" s="450" t="s">
        <v>464</v>
      </c>
      <c r="B50" s="43" t="s">
        <v>859</v>
      </c>
      <c r="C50" s="243"/>
      <c r="D50" s="243"/>
      <c r="E50" s="243"/>
      <c r="F50" s="243"/>
      <c r="G50" s="243"/>
      <c r="H50" s="243"/>
      <c r="I50" s="243"/>
      <c r="J50" s="243"/>
      <c r="K50" s="243"/>
      <c r="L50" s="244"/>
      <c r="M50" s="243" t="s">
        <v>494</v>
      </c>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47"/>
      <c r="AZ50" s="247"/>
      <c r="BA50" s="247"/>
      <c r="BB50" s="247"/>
      <c r="BC50" s="247"/>
      <c r="BD50" s="247"/>
      <c r="BE50" s="452" t="s">
        <v>497</v>
      </c>
      <c r="BF50" s="452" t="s">
        <v>498</v>
      </c>
      <c r="BG50" s="453"/>
      <c r="BH50" s="452"/>
      <c r="BI50" s="453"/>
      <c r="BJ50" s="453"/>
      <c r="BK50" s="454"/>
      <c r="BL50" s="1260" t="s">
        <v>544</v>
      </c>
      <c r="BM50" s="1265"/>
      <c r="BN50" s="1265"/>
      <c r="BO50" s="1265"/>
      <c r="BP50" s="1265"/>
      <c r="BQ50" s="1265"/>
      <c r="BR50" s="1265"/>
      <c r="BS50" s="1265"/>
      <c r="BT50" s="1265"/>
      <c r="BU50" s="1265"/>
      <c r="BV50" s="1265"/>
      <c r="BW50" s="1265"/>
      <c r="BX50" s="1265"/>
      <c r="BY50" s="1265"/>
      <c r="BZ50" s="1265"/>
      <c r="CA50" s="1265"/>
      <c r="CB50" s="1265"/>
      <c r="CC50" s="1265"/>
      <c r="CD50" s="1265"/>
      <c r="CE50" s="1265"/>
      <c r="CF50" s="1265"/>
      <c r="CG50" s="1265"/>
      <c r="CH50" s="1265"/>
      <c r="CJ50" s="483" t="s">
        <v>545</v>
      </c>
      <c r="CS50" s="443" t="s">
        <v>210</v>
      </c>
    </row>
    <row r="51" spans="1:126" ht="15.75" customHeight="1">
      <c r="A51" s="450" t="s">
        <v>464</v>
      </c>
      <c r="B51" s="455" t="s">
        <v>276</v>
      </c>
      <c r="C51" s="243"/>
      <c r="D51" s="243"/>
      <c r="E51" s="243"/>
      <c r="F51" s="243"/>
      <c r="G51" s="243"/>
      <c r="H51" s="243"/>
      <c r="I51" s="243"/>
      <c r="J51" s="243"/>
      <c r="K51" s="243"/>
      <c r="L51" s="244"/>
      <c r="M51" s="243" t="s">
        <v>465</v>
      </c>
      <c r="N51" s="247"/>
      <c r="O51" s="247"/>
      <c r="P51" s="247"/>
      <c r="Q51" s="247"/>
      <c r="R51" s="247"/>
      <c r="S51" s="247"/>
      <c r="T51" s="247"/>
      <c r="U51" s="247"/>
      <c r="V51" s="247"/>
      <c r="W51" s="247"/>
      <c r="X51" s="247"/>
      <c r="Y51" s="247"/>
      <c r="Z51" s="247"/>
      <c r="AA51" s="247"/>
      <c r="AB51" s="247"/>
      <c r="AC51" s="247"/>
      <c r="AD51" s="247"/>
      <c r="AE51" s="247"/>
      <c r="AF51" s="247"/>
      <c r="AG51" s="247"/>
      <c r="AH51" s="247"/>
      <c r="AI51" s="247"/>
      <c r="AJ51" s="247"/>
      <c r="AK51" s="247"/>
      <c r="AL51" s="247"/>
      <c r="AM51" s="247"/>
      <c r="AN51" s="247"/>
      <c r="AO51" s="247"/>
      <c r="AP51" s="247"/>
      <c r="AQ51" s="247"/>
      <c r="AR51" s="247"/>
      <c r="AS51" s="247"/>
      <c r="AT51" s="247"/>
      <c r="AU51" s="247"/>
      <c r="AV51" s="247"/>
      <c r="AW51" s="247"/>
      <c r="AX51" s="247"/>
      <c r="AY51" s="247"/>
      <c r="AZ51" s="247"/>
      <c r="BA51" s="247"/>
      <c r="BB51" s="247"/>
      <c r="BC51" s="247"/>
      <c r="BD51" s="247"/>
      <c r="BE51" s="452" t="s">
        <v>466</v>
      </c>
      <c r="BF51" s="452" t="s">
        <v>467</v>
      </c>
      <c r="BG51" s="453"/>
      <c r="BH51" s="452"/>
      <c r="BI51" s="452"/>
      <c r="BJ51" s="453"/>
      <c r="BK51" s="454"/>
    </row>
    <row r="52" spans="1:126" ht="15.75" customHeight="1">
      <c r="A52" s="450" t="s">
        <v>464</v>
      </c>
      <c r="B52" s="43" t="s">
        <v>546</v>
      </c>
      <c r="C52" s="243"/>
      <c r="D52" s="243"/>
      <c r="E52" s="243"/>
      <c r="F52" s="243"/>
      <c r="G52" s="243"/>
      <c r="H52" s="243"/>
      <c r="I52" s="243"/>
      <c r="J52" s="243"/>
      <c r="K52" s="243"/>
      <c r="L52" s="244"/>
      <c r="M52" s="243" t="s">
        <v>547</v>
      </c>
      <c r="N52" s="247"/>
      <c r="O52" s="247"/>
      <c r="P52" s="247"/>
      <c r="Q52" s="247"/>
      <c r="R52" s="247"/>
      <c r="S52" s="247"/>
      <c r="T52" s="247"/>
      <c r="U52" s="247"/>
      <c r="V52" s="247"/>
      <c r="W52" s="247"/>
      <c r="X52" s="247"/>
      <c r="Y52" s="247"/>
      <c r="Z52" s="247"/>
      <c r="AA52" s="247"/>
      <c r="AB52" s="247"/>
      <c r="AC52" s="247"/>
      <c r="AD52" s="247"/>
      <c r="AE52" s="247"/>
      <c r="AF52" s="247"/>
      <c r="AG52" s="247"/>
      <c r="AH52" s="247"/>
      <c r="AI52" s="247"/>
      <c r="AJ52" s="247"/>
      <c r="AK52" s="247"/>
      <c r="AL52" s="247"/>
      <c r="AM52" s="247"/>
      <c r="AN52" s="247"/>
      <c r="AO52" s="247"/>
      <c r="AP52" s="247"/>
      <c r="AQ52" s="247"/>
      <c r="AR52" s="247"/>
      <c r="AS52" s="247"/>
      <c r="AT52" s="247"/>
      <c r="AU52" s="247"/>
      <c r="AV52" s="247"/>
      <c r="AW52" s="247"/>
      <c r="AX52" s="247"/>
      <c r="AY52" s="247"/>
      <c r="AZ52" s="319" t="s">
        <v>474</v>
      </c>
      <c r="BA52" s="247"/>
      <c r="BB52" s="247"/>
      <c r="BC52" s="247"/>
      <c r="BD52" s="247"/>
      <c r="BE52" s="453" t="s">
        <v>475</v>
      </c>
      <c r="BF52" s="452" t="s">
        <v>467</v>
      </c>
      <c r="BG52" s="453"/>
      <c r="BH52" s="452"/>
      <c r="BI52" s="452"/>
      <c r="BJ52" s="453"/>
      <c r="BK52" s="454"/>
    </row>
    <row r="53" spans="1:126" ht="15.75" customHeight="1">
      <c r="A53" s="450" t="s">
        <v>464</v>
      </c>
      <c r="B53" s="43" t="s">
        <v>548</v>
      </c>
      <c r="C53" s="243"/>
      <c r="D53" s="243"/>
      <c r="E53" s="243"/>
      <c r="F53" s="243"/>
      <c r="G53" s="243"/>
      <c r="H53" s="243"/>
      <c r="I53" s="243"/>
      <c r="J53" s="243"/>
      <c r="K53" s="243"/>
      <c r="L53" s="244"/>
      <c r="M53" s="243" t="s">
        <v>549</v>
      </c>
      <c r="N53" s="247"/>
      <c r="O53" s="247"/>
      <c r="P53" s="247"/>
      <c r="Q53" s="247"/>
      <c r="R53" s="247"/>
      <c r="S53" s="247"/>
      <c r="T53" s="247"/>
      <c r="U53" s="247"/>
      <c r="V53" s="247"/>
      <c r="W53" s="247"/>
      <c r="X53" s="247"/>
      <c r="Y53" s="247"/>
      <c r="Z53" s="247"/>
      <c r="AA53" s="247"/>
      <c r="AB53" s="247"/>
      <c r="AC53" s="247"/>
      <c r="AD53" s="247"/>
      <c r="AE53" s="247"/>
      <c r="AF53" s="247"/>
      <c r="AG53" s="247"/>
      <c r="AH53" s="247"/>
      <c r="AI53" s="247"/>
      <c r="AJ53" s="247"/>
      <c r="AK53" s="247"/>
      <c r="AL53" s="247"/>
      <c r="AM53" s="247"/>
      <c r="AN53" s="247"/>
      <c r="AO53" s="247"/>
      <c r="AP53" s="247"/>
      <c r="AQ53" s="247"/>
      <c r="AR53" s="247"/>
      <c r="AS53" s="247"/>
      <c r="AT53" s="247"/>
      <c r="AU53" s="247"/>
      <c r="AV53" s="247"/>
      <c r="AW53" s="247"/>
      <c r="AX53" s="247"/>
      <c r="AY53" s="247"/>
      <c r="AZ53" s="319" t="s">
        <v>474</v>
      </c>
      <c r="BA53" s="247"/>
      <c r="BB53" s="247"/>
      <c r="BC53" s="247"/>
      <c r="BD53" s="247"/>
      <c r="BE53" s="453" t="s">
        <v>475</v>
      </c>
      <c r="BF53" s="452" t="s">
        <v>467</v>
      </c>
      <c r="BG53" s="453"/>
      <c r="BH53" s="452"/>
      <c r="BI53" s="452"/>
      <c r="BJ53" s="453"/>
      <c r="BK53" s="454"/>
    </row>
    <row r="54" spans="1:126" ht="15.75" customHeight="1">
      <c r="A54" s="450" t="s">
        <v>464</v>
      </c>
      <c r="B54" s="43" t="s">
        <v>306</v>
      </c>
      <c r="C54" s="243"/>
      <c r="D54" s="243"/>
      <c r="E54" s="243"/>
      <c r="F54" s="243"/>
      <c r="G54" s="243"/>
      <c r="H54" s="243"/>
      <c r="I54" s="243"/>
      <c r="J54" s="243"/>
      <c r="K54" s="243"/>
      <c r="L54" s="244"/>
      <c r="M54" s="243" t="s">
        <v>550</v>
      </c>
      <c r="N54" s="247"/>
      <c r="O54" s="247"/>
      <c r="P54" s="247"/>
      <c r="Q54" s="247"/>
      <c r="R54" s="247"/>
      <c r="S54" s="247"/>
      <c r="T54" s="247"/>
      <c r="U54" s="247"/>
      <c r="V54" s="247"/>
      <c r="W54" s="247"/>
      <c r="X54" s="247"/>
      <c r="Y54" s="247"/>
      <c r="Z54" s="247"/>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47"/>
      <c r="AW54" s="247"/>
      <c r="AX54" s="247"/>
      <c r="AY54" s="247"/>
      <c r="AZ54" s="319" t="s">
        <v>474</v>
      </c>
      <c r="BA54" s="247"/>
      <c r="BB54" s="247"/>
      <c r="BC54" s="247"/>
      <c r="BD54" s="247"/>
      <c r="BE54" s="453" t="s">
        <v>475</v>
      </c>
      <c r="BF54" s="452" t="s">
        <v>467</v>
      </c>
      <c r="BG54" s="453"/>
      <c r="BH54" s="452"/>
      <c r="BI54" s="452"/>
      <c r="BJ54" s="453"/>
      <c r="BK54" s="454"/>
    </row>
    <row r="55" spans="1:126" ht="15.75" customHeight="1">
      <c r="A55" s="450" t="s">
        <v>464</v>
      </c>
      <c r="B55" s="43" t="s">
        <v>319</v>
      </c>
      <c r="C55" s="243"/>
      <c r="D55" s="243"/>
      <c r="E55" s="243"/>
      <c r="F55" s="243"/>
      <c r="G55" s="243"/>
      <c r="H55" s="243"/>
      <c r="I55" s="243"/>
      <c r="J55" s="243"/>
      <c r="K55" s="243"/>
      <c r="L55" s="244"/>
      <c r="M55" s="243" t="s">
        <v>551</v>
      </c>
      <c r="N55" s="24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319" t="s">
        <v>474</v>
      </c>
      <c r="BA55" s="247"/>
      <c r="BB55" s="247"/>
      <c r="BC55" s="247"/>
      <c r="BD55" s="247"/>
      <c r="BE55" s="453" t="s">
        <v>475</v>
      </c>
      <c r="BF55" s="452" t="s">
        <v>467</v>
      </c>
      <c r="BG55" s="453"/>
      <c r="BH55" s="452"/>
      <c r="BI55" s="452"/>
      <c r="BJ55" s="453"/>
      <c r="BK55" s="454"/>
    </row>
    <row r="56" spans="1:126" ht="15.75" customHeight="1">
      <c r="A56" s="450" t="s">
        <v>464</v>
      </c>
      <c r="B56" s="43" t="s">
        <v>552</v>
      </c>
      <c r="C56" s="243"/>
      <c r="D56" s="243"/>
      <c r="E56" s="243"/>
      <c r="F56" s="243"/>
      <c r="G56" s="243"/>
      <c r="H56" s="243"/>
      <c r="I56" s="243"/>
      <c r="J56" s="243"/>
      <c r="K56" s="243"/>
      <c r="L56" s="244"/>
      <c r="M56" s="243" t="s">
        <v>553</v>
      </c>
      <c r="N56" s="247"/>
      <c r="O56" s="247"/>
      <c r="P56" s="247"/>
      <c r="Q56" s="247"/>
      <c r="R56" s="247"/>
      <c r="S56" s="247"/>
      <c r="T56" s="247"/>
      <c r="U56" s="247"/>
      <c r="V56" s="247"/>
      <c r="W56" s="247"/>
      <c r="X56" s="247"/>
      <c r="Y56" s="247"/>
      <c r="Z56" s="247"/>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319" t="s">
        <v>474</v>
      </c>
      <c r="BA56" s="247"/>
      <c r="BB56" s="247"/>
      <c r="BC56" s="247"/>
      <c r="BD56" s="247"/>
      <c r="BE56" s="453" t="s">
        <v>475</v>
      </c>
      <c r="BF56" s="452" t="s">
        <v>467</v>
      </c>
      <c r="BG56" s="453"/>
      <c r="BH56" s="452"/>
      <c r="BI56" s="452"/>
      <c r="BJ56" s="453"/>
      <c r="BK56" s="454"/>
    </row>
    <row r="57" spans="1:126" ht="15.75" customHeight="1">
      <c r="A57" s="450" t="s">
        <v>464</v>
      </c>
      <c r="B57" s="43" t="s">
        <v>554</v>
      </c>
      <c r="C57" s="243"/>
      <c r="D57" s="243"/>
      <c r="E57" s="243"/>
      <c r="F57" s="243"/>
      <c r="G57" s="243"/>
      <c r="H57" s="243"/>
      <c r="I57" s="243"/>
      <c r="J57" s="243"/>
      <c r="K57" s="243"/>
      <c r="L57" s="244"/>
      <c r="M57" s="243" t="s">
        <v>555</v>
      </c>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c r="AL57" s="247"/>
      <c r="AM57" s="247"/>
      <c r="AN57" s="247"/>
      <c r="AO57" s="247"/>
      <c r="AP57" s="247"/>
      <c r="AQ57" s="247"/>
      <c r="AR57" s="247"/>
      <c r="AS57" s="247"/>
      <c r="AT57" s="247"/>
      <c r="AU57" s="247"/>
      <c r="AV57" s="247"/>
      <c r="AW57" s="247"/>
      <c r="AX57" s="247"/>
      <c r="AY57" s="247"/>
      <c r="AZ57" s="319" t="s">
        <v>474</v>
      </c>
      <c r="BA57" s="247"/>
      <c r="BB57" s="247"/>
      <c r="BC57" s="247"/>
      <c r="BD57" s="247"/>
      <c r="BE57" s="453" t="s">
        <v>475</v>
      </c>
      <c r="BF57" s="452" t="s">
        <v>467</v>
      </c>
      <c r="BG57" s="453"/>
      <c r="BH57" s="452"/>
      <c r="BI57" s="452"/>
      <c r="BJ57" s="453"/>
      <c r="BK57" s="454"/>
    </row>
    <row r="58" spans="1:126" ht="15.75" customHeight="1">
      <c r="A58" s="450" t="s">
        <v>464</v>
      </c>
      <c r="B58" s="43" t="s">
        <v>556</v>
      </c>
      <c r="C58" s="243"/>
      <c r="D58" s="243"/>
      <c r="E58" s="243"/>
      <c r="F58" s="243"/>
      <c r="G58" s="243"/>
      <c r="H58" s="243"/>
      <c r="I58" s="243"/>
      <c r="J58" s="243"/>
      <c r="K58" s="243"/>
      <c r="L58" s="244"/>
      <c r="M58" s="243" t="s">
        <v>557</v>
      </c>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7"/>
      <c r="AN58" s="247"/>
      <c r="AO58" s="247"/>
      <c r="AP58" s="247"/>
      <c r="AQ58" s="247"/>
      <c r="AR58" s="247"/>
      <c r="AS58" s="247"/>
      <c r="AT58" s="247"/>
      <c r="AU58" s="247"/>
      <c r="AV58" s="247"/>
      <c r="AW58" s="247"/>
      <c r="AX58" s="247"/>
      <c r="AY58" s="247"/>
      <c r="AZ58" s="319" t="s">
        <v>474</v>
      </c>
      <c r="BA58" s="247"/>
      <c r="BB58" s="247"/>
      <c r="BC58" s="247"/>
      <c r="BD58" s="247"/>
      <c r="BE58" s="453" t="s">
        <v>475</v>
      </c>
      <c r="BF58" s="452" t="s">
        <v>467</v>
      </c>
      <c r="BG58" s="453"/>
      <c r="BH58" s="452"/>
      <c r="BI58" s="452"/>
      <c r="BJ58" s="453"/>
      <c r="BK58" s="454"/>
    </row>
    <row r="59" spans="1:126" ht="15.75" customHeight="1" thickBot="1">
      <c r="A59" s="450"/>
      <c r="B59" s="43"/>
      <c r="C59" s="243"/>
      <c r="D59" s="243"/>
      <c r="E59" s="243"/>
      <c r="F59" s="243"/>
      <c r="G59" s="243"/>
      <c r="H59" s="243"/>
      <c r="I59" s="243"/>
      <c r="J59" s="243"/>
      <c r="K59" s="243"/>
      <c r="L59" s="244"/>
      <c r="M59" s="243"/>
      <c r="N59" s="247"/>
      <c r="O59" s="247"/>
      <c r="P59" s="247"/>
      <c r="Q59" s="247"/>
      <c r="R59" s="247"/>
      <c r="S59" s="247"/>
      <c r="T59" s="247"/>
      <c r="U59" s="247"/>
      <c r="V59" s="247"/>
      <c r="W59" s="247"/>
      <c r="X59" s="247"/>
      <c r="Y59" s="247"/>
      <c r="Z59" s="247"/>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7"/>
      <c r="AY59" s="247"/>
      <c r="AZ59" s="247"/>
      <c r="BA59" s="247"/>
      <c r="BB59" s="247"/>
      <c r="BC59" s="247"/>
      <c r="BD59" s="247"/>
      <c r="BE59" s="453"/>
      <c r="BF59" s="452"/>
      <c r="BG59" s="453"/>
      <c r="BH59" s="452"/>
      <c r="BI59" s="452"/>
      <c r="BJ59" s="453"/>
      <c r="BK59" s="454"/>
    </row>
    <row r="60" spans="1:126" s="7" customFormat="1" ht="14.25">
      <c r="A60" s="30"/>
      <c r="B60" s="31" t="s">
        <v>953</v>
      </c>
      <c r="C60" s="32"/>
      <c r="D60" s="32"/>
      <c r="E60" s="32"/>
      <c r="F60" s="32"/>
      <c r="G60" s="32"/>
      <c r="H60" s="32"/>
      <c r="I60" s="32"/>
      <c r="J60" s="32"/>
      <c r="K60" s="32"/>
      <c r="L60" s="33"/>
      <c r="M60" s="32"/>
      <c r="N60" s="34" t="s">
        <v>456</v>
      </c>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5" t="s">
        <v>457</v>
      </c>
      <c r="BF60" s="35" t="s">
        <v>458</v>
      </c>
      <c r="BG60" s="35" t="s">
        <v>459</v>
      </c>
      <c r="BH60" s="35" t="s">
        <v>460</v>
      </c>
      <c r="BI60" s="35" t="s">
        <v>461</v>
      </c>
      <c r="BJ60" s="35" t="s">
        <v>462</v>
      </c>
      <c r="BK60" s="36" t="s">
        <v>463</v>
      </c>
      <c r="BM60" s="1266"/>
      <c r="BN60" s="1266"/>
      <c r="BO60" s="1266"/>
      <c r="BP60" s="1266"/>
      <c r="BQ60" s="1266"/>
      <c r="BR60" s="1266"/>
      <c r="BS60" s="1266"/>
      <c r="BT60" s="1266"/>
      <c r="BU60" s="1266"/>
      <c r="BV60" s="1266"/>
      <c r="BW60" s="1266"/>
      <c r="BX60" s="1266"/>
      <c r="BY60" s="1266"/>
      <c r="BZ60" s="1266"/>
      <c r="CA60" s="1266"/>
      <c r="CB60" s="1266"/>
      <c r="CC60" s="1266"/>
      <c r="CD60" s="1266"/>
      <c r="CE60" s="1266"/>
      <c r="CF60" s="1266"/>
      <c r="CG60" s="1266"/>
      <c r="CH60" s="1266"/>
      <c r="CI60" s="1266"/>
      <c r="CJ60" s="1266"/>
    </row>
    <row r="61" spans="1:126" ht="60" customHeight="1">
      <c r="A61" s="450"/>
      <c r="B61" s="451" t="s">
        <v>349</v>
      </c>
      <c r="C61" s="243"/>
      <c r="D61" s="243"/>
      <c r="E61" s="243"/>
      <c r="F61" s="243"/>
      <c r="G61" s="243"/>
      <c r="H61" s="243"/>
      <c r="I61" s="243"/>
      <c r="J61" s="243"/>
      <c r="K61" s="243"/>
      <c r="L61" s="244"/>
      <c r="M61" s="243" t="s">
        <v>559</v>
      </c>
      <c r="N61" s="247"/>
      <c r="O61" s="247"/>
      <c r="P61" s="247"/>
      <c r="Q61" s="247"/>
      <c r="R61" s="247"/>
      <c r="S61" s="247"/>
      <c r="T61" s="247"/>
      <c r="U61" s="247"/>
      <c r="V61" s="247"/>
      <c r="W61" s="247"/>
      <c r="X61" s="247"/>
      <c r="Y61" s="247"/>
      <c r="Z61" s="247"/>
      <c r="AA61" s="247"/>
      <c r="AB61" s="247"/>
      <c r="AC61" s="247"/>
      <c r="AD61" s="247"/>
      <c r="AE61" s="247"/>
      <c r="AF61" s="247"/>
      <c r="AG61" s="247"/>
      <c r="AH61" s="247"/>
      <c r="AI61" s="247"/>
      <c r="AJ61" s="247"/>
      <c r="AK61" s="247"/>
      <c r="AL61" s="247"/>
      <c r="AM61" s="247"/>
      <c r="AN61" s="247"/>
      <c r="AO61" s="247"/>
      <c r="AP61" s="247"/>
      <c r="AQ61" s="247"/>
      <c r="AR61" s="247"/>
      <c r="AS61" s="247"/>
      <c r="AT61" s="247"/>
      <c r="AU61" s="247"/>
      <c r="AV61" s="247"/>
      <c r="AW61" s="247"/>
      <c r="AX61" s="247"/>
      <c r="AY61" s="247"/>
      <c r="AZ61" s="247"/>
      <c r="BA61" s="247"/>
      <c r="BB61" s="247"/>
      <c r="BC61" s="247"/>
      <c r="BD61" s="247"/>
      <c r="BE61" s="452" t="s">
        <v>475</v>
      </c>
      <c r="BF61" s="452" t="s">
        <v>513</v>
      </c>
      <c r="BG61" s="453"/>
      <c r="BH61" s="452"/>
      <c r="BI61" s="452"/>
      <c r="BJ61" s="453"/>
      <c r="BK61" s="454"/>
      <c r="BL61" s="1263" t="s">
        <v>560</v>
      </c>
      <c r="BM61" s="1264"/>
      <c r="BN61" s="1264"/>
      <c r="BO61" s="1264"/>
      <c r="BP61" s="1264"/>
      <c r="BQ61" s="1264"/>
      <c r="BR61" s="1264"/>
      <c r="BS61" s="1264"/>
      <c r="BT61" s="1264"/>
      <c r="BU61" s="1264"/>
      <c r="BV61" s="1264"/>
      <c r="BW61" s="1264"/>
      <c r="BX61" s="1264"/>
      <c r="BY61" s="1264"/>
      <c r="BZ61" s="1264"/>
      <c r="CA61" s="1264"/>
      <c r="CB61" s="1264"/>
      <c r="CC61" s="1264"/>
      <c r="CD61" s="1264"/>
      <c r="CE61" s="1264"/>
      <c r="CF61" s="1264"/>
      <c r="CG61" s="1264"/>
      <c r="CH61" s="1264"/>
      <c r="CI61" s="1264"/>
      <c r="CJ61" s="483" t="s">
        <v>561</v>
      </c>
      <c r="CM61" s="1258" t="s">
        <v>210</v>
      </c>
      <c r="CN61" s="1258"/>
      <c r="CO61" s="1258"/>
      <c r="CP61" s="1258"/>
      <c r="CQ61" s="1258"/>
      <c r="CR61" s="1258"/>
      <c r="CS61" s="1258"/>
      <c r="CT61" s="1258"/>
      <c r="CU61" s="1258"/>
      <c r="CV61" s="1258"/>
      <c r="CW61" s="1258"/>
      <c r="CX61" s="1258"/>
      <c r="CY61" s="524"/>
      <c r="DA61" s="1261" t="s">
        <v>415</v>
      </c>
      <c r="DB61" s="1261"/>
      <c r="DC61" s="1261"/>
      <c r="DD61" s="1261"/>
      <c r="DE61" s="1261"/>
      <c r="DF61" s="1261"/>
      <c r="DG61" s="1261"/>
      <c r="DH61" s="1261"/>
      <c r="DI61" s="1261"/>
      <c r="DJ61" s="1261"/>
      <c r="DK61" s="1261"/>
      <c r="DL61" s="1261"/>
      <c r="DM61" s="1261"/>
      <c r="DN61" s="1261"/>
      <c r="DO61" s="1261"/>
      <c r="DP61" s="1261"/>
      <c r="DQ61" s="1261"/>
      <c r="DR61" s="1261"/>
      <c r="DS61" s="1261"/>
      <c r="DT61" s="1261"/>
      <c r="DU61" s="1261"/>
      <c r="DV61" s="1261"/>
    </row>
    <row r="62" spans="1:126" ht="15.75" customHeight="1">
      <c r="A62" s="450"/>
      <c r="B62" s="43" t="s">
        <v>468</v>
      </c>
      <c r="C62" s="243"/>
      <c r="D62" s="243"/>
      <c r="E62" s="243"/>
      <c r="F62" s="243"/>
      <c r="G62" s="243"/>
      <c r="H62" s="243"/>
      <c r="I62" s="243"/>
      <c r="J62" s="243"/>
      <c r="K62" s="243"/>
      <c r="L62" s="244"/>
      <c r="M62" s="243" t="s">
        <v>562</v>
      </c>
      <c r="N62" s="247"/>
      <c r="O62" s="247"/>
      <c r="P62" s="247"/>
      <c r="Q62" s="247"/>
      <c r="R62" s="247"/>
      <c r="S62" s="247"/>
      <c r="T62" s="247"/>
      <c r="U62" s="247"/>
      <c r="V62" s="247"/>
      <c r="W62" s="247"/>
      <c r="X62" s="247"/>
      <c r="Y62" s="247"/>
      <c r="Z62" s="247"/>
      <c r="AA62" s="247"/>
      <c r="AB62" s="247"/>
      <c r="AC62" s="247"/>
      <c r="AD62" s="247"/>
      <c r="AE62" s="247"/>
      <c r="AF62" s="247"/>
      <c r="AG62" s="247"/>
      <c r="AH62" s="247"/>
      <c r="AI62" s="247"/>
      <c r="AJ62" s="247"/>
      <c r="AK62" s="247"/>
      <c r="AL62" s="247"/>
      <c r="AM62" s="247"/>
      <c r="AN62" s="247"/>
      <c r="AO62" s="247"/>
      <c r="AP62" s="247"/>
      <c r="AQ62" s="247"/>
      <c r="AR62" s="247"/>
      <c r="AS62" s="247"/>
      <c r="AT62" s="247"/>
      <c r="AU62" s="247"/>
      <c r="AV62" s="247"/>
      <c r="AW62" s="247"/>
      <c r="AX62" s="247"/>
      <c r="AY62" s="247"/>
      <c r="AZ62" s="247"/>
      <c r="BA62" s="247"/>
      <c r="BB62" s="247"/>
      <c r="BC62" s="247"/>
      <c r="BD62" s="247"/>
      <c r="BE62" s="452" t="s">
        <v>475</v>
      </c>
      <c r="BF62" s="452" t="s">
        <v>467</v>
      </c>
      <c r="BG62" s="453"/>
      <c r="BH62" s="452"/>
      <c r="BI62" s="452"/>
      <c r="BJ62" s="453"/>
      <c r="BK62" s="454"/>
    </row>
    <row r="63" spans="1:126" ht="15.75" customHeight="1">
      <c r="A63" s="450"/>
      <c r="B63" s="451" t="s">
        <v>563</v>
      </c>
      <c r="C63" s="243"/>
      <c r="D63" s="243"/>
      <c r="E63" s="243"/>
      <c r="F63" s="243"/>
      <c r="G63" s="243"/>
      <c r="H63" s="243"/>
      <c r="I63" s="243"/>
      <c r="J63" s="243"/>
      <c r="K63" s="243"/>
      <c r="L63" s="244"/>
      <c r="M63" s="243" t="s">
        <v>564</v>
      </c>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c r="AU63" s="247"/>
      <c r="AV63" s="247"/>
      <c r="AW63" s="247"/>
      <c r="AX63" s="247"/>
      <c r="AY63" s="247"/>
      <c r="AZ63" s="247"/>
      <c r="BA63" s="247"/>
      <c r="BB63" s="247"/>
      <c r="BC63" s="247"/>
      <c r="BD63" s="247"/>
      <c r="BE63" s="452" t="s">
        <v>475</v>
      </c>
      <c r="BF63" s="452" t="s">
        <v>467</v>
      </c>
      <c r="BG63" s="453"/>
      <c r="BH63" s="452"/>
      <c r="BI63" s="452"/>
      <c r="BJ63" s="453"/>
      <c r="BK63" s="454"/>
      <c r="BM63" s="483"/>
    </row>
    <row r="64" spans="1:126" ht="15.75" customHeight="1">
      <c r="A64" s="450"/>
      <c r="B64" s="451" t="s">
        <v>565</v>
      </c>
      <c r="C64" s="243"/>
      <c r="D64" s="243"/>
      <c r="E64" s="243"/>
      <c r="F64" s="243"/>
      <c r="G64" s="243"/>
      <c r="H64" s="243"/>
      <c r="I64" s="243"/>
      <c r="J64" s="243"/>
      <c r="K64" s="243"/>
      <c r="L64" s="244"/>
      <c r="M64" s="243" t="s">
        <v>566</v>
      </c>
      <c r="N64" s="247"/>
      <c r="O64" s="247"/>
      <c r="P64" s="247"/>
      <c r="Q64" s="247"/>
      <c r="R64" s="247"/>
      <c r="S64" s="247"/>
      <c r="T64" s="247"/>
      <c r="U64" s="247"/>
      <c r="V64" s="247"/>
      <c r="W64" s="247"/>
      <c r="X64" s="247"/>
      <c r="Y64" s="247"/>
      <c r="Z64" s="247"/>
      <c r="AA64" s="247"/>
      <c r="AB64" s="247"/>
      <c r="AC64" s="247"/>
      <c r="AD64" s="247"/>
      <c r="AE64" s="247"/>
      <c r="AF64" s="247"/>
      <c r="AG64" s="247"/>
      <c r="AH64" s="247"/>
      <c r="AI64" s="247"/>
      <c r="AJ64" s="247"/>
      <c r="AK64" s="247"/>
      <c r="AL64" s="247"/>
      <c r="AM64" s="247"/>
      <c r="AN64" s="247"/>
      <c r="AO64" s="247"/>
      <c r="AP64" s="247"/>
      <c r="AQ64" s="247"/>
      <c r="AR64" s="247"/>
      <c r="AS64" s="247"/>
      <c r="AT64" s="247"/>
      <c r="AU64" s="247"/>
      <c r="AV64" s="247"/>
      <c r="AW64" s="247"/>
      <c r="AX64" s="247"/>
      <c r="AY64" s="247"/>
      <c r="AZ64" s="247"/>
      <c r="BA64" s="247"/>
      <c r="BB64" s="247"/>
      <c r="BC64" s="247"/>
      <c r="BD64" s="247"/>
      <c r="BE64" s="452" t="s">
        <v>475</v>
      </c>
      <c r="BF64" s="452" t="s">
        <v>467</v>
      </c>
      <c r="BG64" s="453"/>
      <c r="BH64" s="452"/>
      <c r="BI64" s="452"/>
      <c r="BJ64" s="453"/>
      <c r="BK64" s="454"/>
      <c r="BM64" s="483" t="s">
        <v>492</v>
      </c>
    </row>
    <row r="65" spans="1:120" ht="15.75" customHeight="1">
      <c r="A65" s="450"/>
      <c r="B65" s="43" t="s">
        <v>567</v>
      </c>
      <c r="C65" s="243"/>
      <c r="D65" s="243"/>
      <c r="E65" s="243"/>
      <c r="F65" s="243"/>
      <c r="G65" s="243"/>
      <c r="H65" s="243"/>
      <c r="I65" s="243"/>
      <c r="J65" s="243"/>
      <c r="K65" s="243"/>
      <c r="L65" s="244"/>
      <c r="M65" s="243" t="s">
        <v>568</v>
      </c>
      <c r="N65" s="247"/>
      <c r="O65" s="247"/>
      <c r="P65" s="247"/>
      <c r="Q65" s="247"/>
      <c r="R65" s="247"/>
      <c r="S65" s="247"/>
      <c r="T65" s="247"/>
      <c r="U65" s="247"/>
      <c r="V65" s="247"/>
      <c r="W65" s="247"/>
      <c r="X65" s="247"/>
      <c r="Y65" s="247"/>
      <c r="Z65" s="247"/>
      <c r="AA65" s="247"/>
      <c r="AB65" s="247"/>
      <c r="AC65" s="247"/>
      <c r="AD65" s="247"/>
      <c r="AE65" s="247"/>
      <c r="AF65" s="247"/>
      <c r="AG65" s="247"/>
      <c r="AH65" s="247"/>
      <c r="AI65" s="247"/>
      <c r="AJ65" s="247"/>
      <c r="AK65" s="247"/>
      <c r="AL65" s="247"/>
      <c r="AM65" s="247"/>
      <c r="AN65" s="247"/>
      <c r="AO65" s="247"/>
      <c r="AP65" s="247"/>
      <c r="AQ65" s="247"/>
      <c r="AR65" s="247"/>
      <c r="AS65" s="247"/>
      <c r="AT65" s="247"/>
      <c r="AU65" s="247"/>
      <c r="AV65" s="247"/>
      <c r="AW65" s="247"/>
      <c r="AX65" s="247"/>
      <c r="AY65" s="247"/>
      <c r="AZ65" s="247"/>
      <c r="BA65" s="247"/>
      <c r="BB65" s="247"/>
      <c r="BC65" s="247"/>
      <c r="BD65" s="247"/>
      <c r="BE65" s="452" t="s">
        <v>475</v>
      </c>
      <c r="BF65" s="452" t="s">
        <v>467</v>
      </c>
      <c r="BG65" s="453"/>
      <c r="BH65" s="452"/>
      <c r="BI65" s="452"/>
      <c r="BJ65" s="453"/>
      <c r="BK65" s="454"/>
      <c r="BN65" s="443" t="s">
        <v>569</v>
      </c>
    </row>
    <row r="66" spans="1:120" ht="15.75" customHeight="1">
      <c r="A66" s="450"/>
      <c r="B66" s="451" t="s">
        <v>353</v>
      </c>
      <c r="C66" s="243"/>
      <c r="D66" s="243"/>
      <c r="E66" s="243"/>
      <c r="F66" s="243"/>
      <c r="G66" s="243"/>
      <c r="H66" s="243"/>
      <c r="I66" s="243"/>
      <c r="J66" s="243"/>
      <c r="K66" s="243"/>
      <c r="L66" s="244"/>
      <c r="M66" s="243" t="s">
        <v>570</v>
      </c>
      <c r="N66" s="247"/>
      <c r="O66" s="247"/>
      <c r="P66" s="247"/>
      <c r="Q66" s="247"/>
      <c r="R66" s="247"/>
      <c r="S66" s="247"/>
      <c r="T66" s="247"/>
      <c r="U66" s="247"/>
      <c r="V66" s="247"/>
      <c r="W66" s="247"/>
      <c r="X66" s="247"/>
      <c r="Y66" s="247"/>
      <c r="Z66" s="247"/>
      <c r="AA66" s="247"/>
      <c r="AB66" s="247"/>
      <c r="AC66" s="247"/>
      <c r="AD66" s="247"/>
      <c r="AE66" s="247"/>
      <c r="AF66" s="247"/>
      <c r="AG66" s="247"/>
      <c r="AH66" s="247"/>
      <c r="AI66" s="247"/>
      <c r="AJ66" s="247"/>
      <c r="AK66" s="247"/>
      <c r="AL66" s="247"/>
      <c r="AM66" s="247"/>
      <c r="AN66" s="247"/>
      <c r="AO66" s="247"/>
      <c r="AP66" s="247"/>
      <c r="AQ66" s="247"/>
      <c r="AR66" s="247"/>
      <c r="AS66" s="247"/>
      <c r="AT66" s="247"/>
      <c r="AU66" s="247"/>
      <c r="AV66" s="247"/>
      <c r="AW66" s="247"/>
      <c r="AX66" s="247"/>
      <c r="AY66" s="247"/>
      <c r="AZ66" s="247"/>
      <c r="BA66" s="247"/>
      <c r="BB66" s="247"/>
      <c r="BC66" s="247"/>
      <c r="BD66" s="247"/>
      <c r="BE66" s="452" t="s">
        <v>475</v>
      </c>
      <c r="BF66" s="452" t="s">
        <v>467</v>
      </c>
      <c r="BG66" s="453"/>
      <c r="BH66" s="452"/>
      <c r="BI66" s="452"/>
      <c r="BJ66" s="453"/>
      <c r="BK66" s="454"/>
      <c r="BN66" s="483" t="s">
        <v>571</v>
      </c>
    </row>
    <row r="67" spans="1:120" ht="15.75" customHeight="1">
      <c r="A67" s="450"/>
      <c r="B67" s="455" t="s">
        <v>354</v>
      </c>
      <c r="C67" s="243"/>
      <c r="D67" s="243"/>
      <c r="E67" s="243"/>
      <c r="F67" s="243"/>
      <c r="G67" s="243"/>
      <c r="H67" s="243"/>
      <c r="I67" s="243"/>
      <c r="J67" s="243"/>
      <c r="K67" s="243"/>
      <c r="L67" s="244"/>
      <c r="M67" s="243" t="s">
        <v>572</v>
      </c>
      <c r="N67" s="247"/>
      <c r="O67" s="247"/>
      <c r="P67" s="247"/>
      <c r="Q67" s="247"/>
      <c r="R67" s="247"/>
      <c r="S67" s="247"/>
      <c r="T67" s="247"/>
      <c r="U67" s="247"/>
      <c r="V67" s="247"/>
      <c r="W67" s="247"/>
      <c r="X67" s="247"/>
      <c r="Y67" s="247"/>
      <c r="Z67" s="247"/>
      <c r="AA67" s="247"/>
      <c r="AB67" s="247"/>
      <c r="AC67" s="247"/>
      <c r="AD67" s="247"/>
      <c r="AE67" s="247"/>
      <c r="AF67" s="247"/>
      <c r="AG67" s="247"/>
      <c r="AH67" s="247"/>
      <c r="AI67" s="247"/>
      <c r="AJ67" s="247"/>
      <c r="AK67" s="247"/>
      <c r="AL67" s="247"/>
      <c r="AM67" s="247"/>
      <c r="AN67" s="247"/>
      <c r="AO67" s="247"/>
      <c r="AP67" s="247"/>
      <c r="AQ67" s="247"/>
      <c r="AR67" s="247"/>
      <c r="AS67" s="247"/>
      <c r="AT67" s="247"/>
      <c r="AU67" s="247"/>
      <c r="AV67" s="247"/>
      <c r="AW67" s="247"/>
      <c r="AX67" s="247"/>
      <c r="AY67" s="247"/>
      <c r="AZ67" s="247"/>
      <c r="BA67" s="247"/>
      <c r="BB67" s="247"/>
      <c r="BC67" s="247"/>
      <c r="BD67" s="247"/>
      <c r="BE67" s="452" t="s">
        <v>475</v>
      </c>
      <c r="BF67" s="452" t="s">
        <v>467</v>
      </c>
      <c r="BG67" s="453"/>
      <c r="BH67" s="452"/>
      <c r="BI67" s="452"/>
      <c r="BJ67" s="453"/>
      <c r="BK67" s="454"/>
      <c r="BS67" s="443" t="s">
        <v>573</v>
      </c>
    </row>
    <row r="68" spans="1:120" ht="15.75" customHeight="1">
      <c r="A68" s="450"/>
      <c r="B68" s="43" t="s">
        <v>574</v>
      </c>
      <c r="C68" s="243"/>
      <c r="D68" s="243"/>
      <c r="E68" s="243"/>
      <c r="F68" s="243"/>
      <c r="G68" s="243"/>
      <c r="H68" s="243"/>
      <c r="I68" s="243"/>
      <c r="J68" s="243"/>
      <c r="K68" s="243"/>
      <c r="L68" s="244"/>
      <c r="M68" s="243" t="s">
        <v>575</v>
      </c>
      <c r="N68" s="247"/>
      <c r="O68" s="247"/>
      <c r="P68" s="247"/>
      <c r="Q68" s="247"/>
      <c r="R68" s="247"/>
      <c r="S68" s="247"/>
      <c r="T68" s="247"/>
      <c r="U68" s="247"/>
      <c r="V68" s="247"/>
      <c r="W68" s="247"/>
      <c r="X68" s="247"/>
      <c r="Y68" s="247"/>
      <c r="Z68" s="247"/>
      <c r="AA68" s="247"/>
      <c r="AB68" s="247"/>
      <c r="AC68" s="247"/>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452" t="s">
        <v>475</v>
      </c>
      <c r="BF68" s="452" t="s">
        <v>467</v>
      </c>
      <c r="BG68" s="453"/>
      <c r="BH68" s="452"/>
      <c r="BI68" s="452"/>
      <c r="BJ68" s="453"/>
      <c r="BK68" s="454"/>
    </row>
    <row r="69" spans="1:120" ht="15.75" customHeight="1">
      <c r="A69" s="450"/>
      <c r="B69" s="455" t="s">
        <v>310</v>
      </c>
      <c r="C69" s="243"/>
      <c r="D69" s="243"/>
      <c r="E69" s="243"/>
      <c r="F69" s="243"/>
      <c r="G69" s="243"/>
      <c r="H69" s="243"/>
      <c r="I69" s="243"/>
      <c r="J69" s="243"/>
      <c r="K69" s="243"/>
      <c r="L69" s="244"/>
      <c r="M69" s="243" t="s">
        <v>576</v>
      </c>
      <c r="N69" s="247"/>
      <c r="O69" s="247"/>
      <c r="P69" s="247"/>
      <c r="Q69" s="247"/>
      <c r="R69" s="247"/>
      <c r="S69" s="247"/>
      <c r="T69" s="247"/>
      <c r="U69" s="247"/>
      <c r="V69" s="247"/>
      <c r="W69" s="247"/>
      <c r="X69" s="247"/>
      <c r="Y69" s="247"/>
      <c r="Z69" s="247"/>
      <c r="AA69" s="247"/>
      <c r="AB69" s="247"/>
      <c r="AC69" s="247"/>
      <c r="AD69" s="247"/>
      <c r="AE69" s="247"/>
      <c r="AF69" s="247"/>
      <c r="AG69" s="247"/>
      <c r="AH69" s="247"/>
      <c r="AI69" s="247"/>
      <c r="AJ69" s="247"/>
      <c r="AK69" s="247"/>
      <c r="AL69" s="247"/>
      <c r="AM69" s="247"/>
      <c r="AN69" s="247"/>
      <c r="AO69" s="247"/>
      <c r="AP69" s="247"/>
      <c r="AQ69" s="247"/>
      <c r="AR69" s="247"/>
      <c r="AS69" s="247"/>
      <c r="AT69" s="247"/>
      <c r="AU69" s="247"/>
      <c r="AV69" s="247"/>
      <c r="AW69" s="247"/>
      <c r="AX69" s="247"/>
      <c r="AY69" s="247"/>
      <c r="AZ69" s="247"/>
      <c r="BA69" s="247"/>
      <c r="BB69" s="247"/>
      <c r="BC69" s="247"/>
      <c r="BD69" s="247"/>
      <c r="BE69" s="452" t="s">
        <v>475</v>
      </c>
      <c r="BF69" s="452" t="s">
        <v>467</v>
      </c>
      <c r="BG69" s="453"/>
      <c r="BH69" s="452"/>
      <c r="BI69" s="452"/>
      <c r="BJ69" s="453"/>
      <c r="BK69" s="454"/>
    </row>
    <row r="70" spans="1:120" ht="15.75" customHeight="1">
      <c r="A70" s="450"/>
      <c r="B70" s="43" t="s">
        <v>577</v>
      </c>
      <c r="C70" s="243"/>
      <c r="D70" s="243"/>
      <c r="E70" s="243"/>
      <c r="F70" s="243"/>
      <c r="G70" s="243"/>
      <c r="H70" s="243"/>
      <c r="I70" s="243"/>
      <c r="J70" s="243"/>
      <c r="K70" s="243"/>
      <c r="L70" s="244"/>
      <c r="M70" s="243" t="s">
        <v>578</v>
      </c>
      <c r="N70" s="247"/>
      <c r="O70" s="247"/>
      <c r="P70" s="247"/>
      <c r="Q70" s="247"/>
      <c r="R70" s="247"/>
      <c r="S70" s="247"/>
      <c r="T70" s="247"/>
      <c r="U70" s="247"/>
      <c r="V70" s="247"/>
      <c r="W70" s="247"/>
      <c r="X70" s="247"/>
      <c r="Y70" s="247"/>
      <c r="Z70" s="247"/>
      <c r="AA70" s="247"/>
      <c r="AB70" s="247"/>
      <c r="AC70" s="247"/>
      <c r="AD70" s="247"/>
      <c r="AE70" s="247"/>
      <c r="AF70" s="247"/>
      <c r="AG70" s="247"/>
      <c r="AH70" s="247"/>
      <c r="AI70" s="247"/>
      <c r="AJ70" s="247"/>
      <c r="AK70" s="247"/>
      <c r="AL70" s="247"/>
      <c r="AM70" s="247"/>
      <c r="AN70" s="247"/>
      <c r="AO70" s="247"/>
      <c r="AP70" s="247"/>
      <c r="AQ70" s="247"/>
      <c r="AR70" s="247"/>
      <c r="AS70" s="247"/>
      <c r="AT70" s="247"/>
      <c r="AU70" s="247"/>
      <c r="AV70" s="247"/>
      <c r="AW70" s="247"/>
      <c r="AX70" s="247"/>
      <c r="AY70" s="247"/>
      <c r="AZ70" s="247"/>
      <c r="BA70" s="247"/>
      <c r="BB70" s="247"/>
      <c r="BC70" s="247"/>
      <c r="BD70" s="247"/>
      <c r="BE70" s="452" t="s">
        <v>475</v>
      </c>
      <c r="BF70" s="452" t="s">
        <v>481</v>
      </c>
      <c r="BG70" s="453"/>
      <c r="BH70" s="452"/>
      <c r="BI70" s="452"/>
      <c r="BJ70" s="453"/>
      <c r="BK70" s="454"/>
    </row>
    <row r="71" spans="1:120" ht="15.75" customHeight="1">
      <c r="A71" s="450"/>
      <c r="B71" s="451" t="s">
        <v>311</v>
      </c>
      <c r="C71" s="243"/>
      <c r="D71" s="243"/>
      <c r="E71" s="243"/>
      <c r="F71" s="243"/>
      <c r="G71" s="243"/>
      <c r="H71" s="243"/>
      <c r="I71" s="243"/>
      <c r="J71" s="243"/>
      <c r="K71" s="243"/>
      <c r="L71" s="244"/>
      <c r="M71" s="243" t="s">
        <v>579</v>
      </c>
      <c r="N71" s="247"/>
      <c r="O71" s="247"/>
      <c r="P71" s="247"/>
      <c r="Q71" s="247"/>
      <c r="R71" s="247"/>
      <c r="S71" s="247"/>
      <c r="T71" s="247"/>
      <c r="U71" s="247"/>
      <c r="V71" s="247"/>
      <c r="W71" s="247"/>
      <c r="X71" s="247"/>
      <c r="Y71" s="247"/>
      <c r="Z71" s="247"/>
      <c r="AA71" s="247"/>
      <c r="AB71" s="247"/>
      <c r="AC71" s="247"/>
      <c r="AD71" s="247"/>
      <c r="AE71" s="247"/>
      <c r="AF71" s="247"/>
      <c r="AG71" s="247"/>
      <c r="AH71" s="247"/>
      <c r="AI71" s="247"/>
      <c r="AJ71" s="247"/>
      <c r="AK71" s="247"/>
      <c r="AL71" s="247"/>
      <c r="AM71" s="247"/>
      <c r="AN71" s="247"/>
      <c r="AO71" s="247"/>
      <c r="AP71" s="247"/>
      <c r="AQ71" s="247"/>
      <c r="AR71" s="247"/>
      <c r="AS71" s="247"/>
      <c r="AT71" s="247"/>
      <c r="AU71" s="247"/>
      <c r="AV71" s="247"/>
      <c r="AW71" s="247"/>
      <c r="AX71" s="247"/>
      <c r="AY71" s="247"/>
      <c r="AZ71" s="247"/>
      <c r="BA71" s="247"/>
      <c r="BB71" s="247"/>
      <c r="BC71" s="247"/>
      <c r="BD71" s="247"/>
      <c r="BE71" s="452" t="s">
        <v>475</v>
      </c>
      <c r="BF71" s="452" t="s">
        <v>481</v>
      </c>
      <c r="BG71" s="453"/>
      <c r="BH71" s="452"/>
      <c r="BI71" s="452"/>
      <c r="BJ71" s="453"/>
      <c r="BK71" s="454"/>
    </row>
    <row r="72" spans="1:120" ht="15.75" customHeight="1">
      <c r="A72" s="450"/>
      <c r="B72" s="455" t="s">
        <v>580</v>
      </c>
      <c r="C72" s="243"/>
      <c r="D72" s="243"/>
      <c r="E72" s="243"/>
      <c r="F72" s="243"/>
      <c r="G72" s="243"/>
      <c r="H72" s="243"/>
      <c r="I72" s="243"/>
      <c r="J72" s="243"/>
      <c r="K72" s="243"/>
      <c r="L72" s="244"/>
      <c r="M72" s="243" t="s">
        <v>581</v>
      </c>
      <c r="N72" s="247"/>
      <c r="O72" s="247"/>
      <c r="P72" s="247"/>
      <c r="Q72" s="247"/>
      <c r="R72" s="247"/>
      <c r="S72" s="247"/>
      <c r="T72" s="247"/>
      <c r="U72" s="247"/>
      <c r="V72" s="247"/>
      <c r="W72" s="247"/>
      <c r="X72" s="247"/>
      <c r="Y72" s="247"/>
      <c r="Z72" s="247"/>
      <c r="AA72" s="247"/>
      <c r="AB72" s="247"/>
      <c r="AC72" s="247"/>
      <c r="AD72" s="247"/>
      <c r="AE72" s="247"/>
      <c r="AF72" s="247"/>
      <c r="AG72" s="247"/>
      <c r="AH72" s="247"/>
      <c r="AI72" s="247"/>
      <c r="AJ72" s="247"/>
      <c r="AK72" s="247"/>
      <c r="AL72" s="247"/>
      <c r="AM72" s="247"/>
      <c r="AN72" s="247"/>
      <c r="AO72" s="247"/>
      <c r="AP72" s="247"/>
      <c r="AQ72" s="247"/>
      <c r="AR72" s="247"/>
      <c r="AS72" s="247"/>
      <c r="AT72" s="247"/>
      <c r="AU72" s="247"/>
      <c r="AV72" s="247"/>
      <c r="AW72" s="247"/>
      <c r="AX72" s="247"/>
      <c r="AY72" s="247"/>
      <c r="AZ72" s="247"/>
      <c r="BA72" s="247"/>
      <c r="BB72" s="247"/>
      <c r="BC72" s="247"/>
      <c r="BD72" s="247"/>
      <c r="BE72" s="452" t="s">
        <v>475</v>
      </c>
      <c r="BF72" s="452" t="s">
        <v>467</v>
      </c>
      <c r="BG72" s="453"/>
      <c r="BH72" s="452"/>
      <c r="BI72" s="452"/>
      <c r="BJ72" s="453"/>
      <c r="BK72" s="454"/>
    </row>
    <row r="73" spans="1:120" ht="15.75" customHeight="1">
      <c r="A73" s="450"/>
      <c r="B73" s="455" t="s">
        <v>312</v>
      </c>
      <c r="C73" s="243"/>
      <c r="D73" s="243"/>
      <c r="E73" s="243"/>
      <c r="F73" s="243"/>
      <c r="G73" s="243"/>
      <c r="H73" s="243"/>
      <c r="I73" s="243"/>
      <c r="J73" s="243"/>
      <c r="K73" s="243"/>
      <c r="L73" s="244"/>
      <c r="M73" s="243" t="s">
        <v>582</v>
      </c>
      <c r="N73" s="247"/>
      <c r="O73" s="247"/>
      <c r="P73" s="247"/>
      <c r="Q73" s="247"/>
      <c r="R73" s="247"/>
      <c r="S73" s="247"/>
      <c r="T73" s="247"/>
      <c r="U73" s="247"/>
      <c r="V73" s="247"/>
      <c r="W73" s="247"/>
      <c r="X73" s="247"/>
      <c r="Y73" s="247"/>
      <c r="Z73" s="247"/>
      <c r="AA73" s="247"/>
      <c r="AB73" s="247"/>
      <c r="AC73" s="247"/>
      <c r="AD73" s="247"/>
      <c r="AE73" s="247"/>
      <c r="AF73" s="247"/>
      <c r="AG73" s="247"/>
      <c r="AH73" s="247"/>
      <c r="AI73" s="247"/>
      <c r="AJ73" s="247"/>
      <c r="AK73" s="247"/>
      <c r="AL73" s="247"/>
      <c r="AM73" s="247"/>
      <c r="AN73" s="247"/>
      <c r="AO73" s="247"/>
      <c r="AP73" s="247"/>
      <c r="AQ73" s="247"/>
      <c r="AR73" s="247"/>
      <c r="AS73" s="247"/>
      <c r="AT73" s="247"/>
      <c r="AU73" s="247"/>
      <c r="AV73" s="247"/>
      <c r="AW73" s="247"/>
      <c r="AX73" s="247"/>
      <c r="AY73" s="247"/>
      <c r="AZ73" s="247"/>
      <c r="BA73" s="247"/>
      <c r="BB73" s="247"/>
      <c r="BC73" s="247"/>
      <c r="BD73" s="247"/>
      <c r="BE73" s="452" t="s">
        <v>475</v>
      </c>
      <c r="BF73" s="452" t="s">
        <v>467</v>
      </c>
      <c r="BG73" s="453"/>
      <c r="BH73" s="452"/>
      <c r="BI73" s="452"/>
      <c r="BJ73" s="453"/>
      <c r="BK73" s="454"/>
    </row>
    <row r="74" spans="1:120" ht="15.75" customHeight="1">
      <c r="A74" s="513"/>
      <c r="B74" s="451" t="s">
        <v>297</v>
      </c>
      <c r="C74" s="245"/>
      <c r="D74" s="245"/>
      <c r="E74" s="245"/>
      <c r="F74" s="245"/>
      <c r="G74" s="245"/>
      <c r="H74" s="245"/>
      <c r="I74" s="245"/>
      <c r="J74" s="245"/>
      <c r="K74" s="245"/>
      <c r="L74" s="246"/>
      <c r="M74" s="245" t="s">
        <v>583</v>
      </c>
      <c r="N74" s="275"/>
      <c r="O74" s="275"/>
      <c r="P74" s="275"/>
      <c r="Q74" s="275"/>
      <c r="R74" s="275"/>
      <c r="S74" s="275"/>
      <c r="T74" s="275"/>
      <c r="U74" s="275" t="s">
        <v>584</v>
      </c>
      <c r="V74" s="275" t="s">
        <v>585</v>
      </c>
      <c r="W74" s="275"/>
      <c r="X74" s="275"/>
      <c r="Y74" s="275"/>
      <c r="Z74" s="275"/>
      <c r="AA74" s="275"/>
      <c r="AB74" s="275"/>
      <c r="AC74" s="275"/>
      <c r="AD74" s="275"/>
      <c r="AE74" s="275"/>
      <c r="AF74" s="275"/>
      <c r="AG74" s="275"/>
      <c r="AH74" s="275"/>
      <c r="AI74" s="275"/>
      <c r="AJ74" s="275"/>
      <c r="AK74" s="275"/>
      <c r="AL74" s="275"/>
      <c r="AM74" s="275"/>
      <c r="AN74" s="275"/>
      <c r="AO74" s="275"/>
      <c r="AP74" s="275"/>
      <c r="AQ74" s="275"/>
      <c r="AR74" s="275"/>
      <c r="AS74" s="275"/>
      <c r="AT74" s="275"/>
      <c r="AU74" s="275"/>
      <c r="AV74" s="275"/>
      <c r="AW74" s="275"/>
      <c r="AX74" s="275"/>
      <c r="AY74" s="275"/>
      <c r="AZ74" s="275"/>
      <c r="BA74" s="275"/>
      <c r="BB74" s="275"/>
      <c r="BC74" s="275"/>
      <c r="BD74" s="276"/>
      <c r="BE74" s="403" t="s">
        <v>475</v>
      </c>
      <c r="BF74" s="403" t="s">
        <v>467</v>
      </c>
      <c r="BG74" s="402"/>
      <c r="BH74" s="403"/>
      <c r="BI74" s="403"/>
      <c r="BJ74" s="402"/>
      <c r="BK74" s="406"/>
    </row>
    <row r="75" spans="1:120" ht="15.75" customHeight="1">
      <c r="A75" s="514"/>
      <c r="B75" s="508"/>
      <c r="C75" s="509"/>
      <c r="D75" s="509"/>
      <c r="E75" s="509"/>
      <c r="F75" s="509"/>
      <c r="G75" s="509"/>
      <c r="H75" s="509"/>
      <c r="I75" s="509"/>
      <c r="J75" s="509"/>
      <c r="K75" s="509"/>
      <c r="L75" s="510"/>
      <c r="M75" s="509" t="s">
        <v>586</v>
      </c>
      <c r="N75" s="511"/>
      <c r="O75" s="511"/>
      <c r="P75" s="511"/>
      <c r="Q75" s="511"/>
      <c r="R75" s="511"/>
      <c r="S75" s="511"/>
      <c r="T75" s="511"/>
      <c r="U75" s="511" t="s">
        <v>584</v>
      </c>
      <c r="V75" s="511" t="s">
        <v>587</v>
      </c>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511"/>
      <c r="AV75" s="511"/>
      <c r="AW75" s="511"/>
      <c r="AX75" s="511"/>
      <c r="AY75" s="511"/>
      <c r="AZ75" s="511"/>
      <c r="BA75" s="511"/>
      <c r="BB75" s="511"/>
      <c r="BC75" s="511"/>
      <c r="BD75" s="512"/>
      <c r="BE75" s="515"/>
      <c r="BF75" s="515"/>
      <c r="BG75" s="516"/>
      <c r="BH75" s="515"/>
      <c r="BI75" s="515"/>
      <c r="BJ75" s="516"/>
      <c r="BK75" s="517"/>
    </row>
    <row r="76" spans="1:120" ht="15.75" customHeight="1">
      <c r="A76" s="450"/>
      <c r="B76" s="455" t="s">
        <v>246</v>
      </c>
      <c r="C76" s="243"/>
      <c r="D76" s="243"/>
      <c r="E76" s="243"/>
      <c r="F76" s="243"/>
      <c r="G76" s="243"/>
      <c r="H76" s="243"/>
      <c r="I76" s="243"/>
      <c r="J76" s="243"/>
      <c r="K76" s="243"/>
      <c r="L76" s="244"/>
      <c r="M76" s="243" t="s">
        <v>588</v>
      </c>
      <c r="N76" s="247"/>
      <c r="O76" s="247"/>
      <c r="P76" s="247"/>
      <c r="Q76" s="247"/>
      <c r="R76" s="247"/>
      <c r="S76" s="247"/>
      <c r="T76" s="247"/>
      <c r="U76" s="247"/>
      <c r="V76" s="247"/>
      <c r="W76" s="247"/>
      <c r="X76" s="247"/>
      <c r="Y76" s="247"/>
      <c r="Z76" s="247"/>
      <c r="AA76" s="247"/>
      <c r="AB76" s="247"/>
      <c r="AC76" s="247"/>
      <c r="AD76" s="247"/>
      <c r="AE76" s="247"/>
      <c r="AF76" s="247"/>
      <c r="AG76" s="247"/>
      <c r="AH76" s="247"/>
      <c r="AI76" s="247"/>
      <c r="AJ76" s="247"/>
      <c r="AK76" s="247"/>
      <c r="AL76" s="247"/>
      <c r="AM76" s="247"/>
      <c r="AN76" s="247"/>
      <c r="AO76" s="247"/>
      <c r="AP76" s="247"/>
      <c r="AQ76" s="247"/>
      <c r="AR76" s="247"/>
      <c r="AS76" s="247"/>
      <c r="AT76" s="247"/>
      <c r="AU76" s="247"/>
      <c r="AV76" s="247"/>
      <c r="AW76" s="247"/>
      <c r="AX76" s="247"/>
      <c r="AY76" s="247"/>
      <c r="AZ76" s="247"/>
      <c r="BA76" s="247"/>
      <c r="BB76" s="247"/>
      <c r="BC76" s="247"/>
      <c r="BD76" s="247"/>
      <c r="BE76" s="452" t="s">
        <v>475</v>
      </c>
      <c r="BF76" s="452" t="s">
        <v>467</v>
      </c>
      <c r="BG76" s="453"/>
      <c r="BH76" s="452"/>
      <c r="BI76" s="452"/>
      <c r="BJ76" s="453"/>
      <c r="BK76" s="454"/>
    </row>
    <row r="77" spans="1:120" ht="15.75" customHeight="1">
      <c r="A77" s="450"/>
      <c r="B77" s="455" t="s">
        <v>589</v>
      </c>
      <c r="C77" s="243"/>
      <c r="D77" s="243"/>
      <c r="E77" s="243"/>
      <c r="F77" s="243"/>
      <c r="G77" s="243"/>
      <c r="H77" s="243"/>
      <c r="I77" s="243"/>
      <c r="J77" s="243"/>
      <c r="K77" s="243"/>
      <c r="L77" s="244"/>
      <c r="M77" s="243" t="s">
        <v>590</v>
      </c>
      <c r="N77" s="247"/>
      <c r="O77" s="247"/>
      <c r="P77" s="247"/>
      <c r="Q77" s="247"/>
      <c r="R77" s="247"/>
      <c r="S77" s="247"/>
      <c r="T77" s="247"/>
      <c r="U77" s="247"/>
      <c r="V77" s="247"/>
      <c r="W77" s="247"/>
      <c r="X77" s="247"/>
      <c r="Y77" s="247"/>
      <c r="Z77" s="247"/>
      <c r="AA77" s="247"/>
      <c r="AB77" s="247"/>
      <c r="AC77" s="247"/>
      <c r="AD77" s="247"/>
      <c r="AE77" s="247"/>
      <c r="AF77" s="247"/>
      <c r="AG77" s="247"/>
      <c r="AH77" s="247"/>
      <c r="AI77" s="247"/>
      <c r="AJ77" s="247"/>
      <c r="AK77" s="247"/>
      <c r="AL77" s="247"/>
      <c r="AM77" s="247"/>
      <c r="AN77" s="247"/>
      <c r="AO77" s="247"/>
      <c r="AP77" s="247"/>
      <c r="AQ77" s="247"/>
      <c r="AR77" s="247"/>
      <c r="AS77" s="247"/>
      <c r="AT77" s="247"/>
      <c r="AU77" s="247"/>
      <c r="AV77" s="247"/>
      <c r="AW77" s="247"/>
      <c r="AX77" s="247"/>
      <c r="AY77" s="247"/>
      <c r="AZ77" s="247"/>
      <c r="BA77" s="247"/>
      <c r="BB77" s="247"/>
      <c r="BC77" s="247"/>
      <c r="BD77" s="247"/>
      <c r="BE77" s="452" t="s">
        <v>475</v>
      </c>
      <c r="BF77" s="452" t="s">
        <v>467</v>
      </c>
      <c r="BG77" s="453"/>
      <c r="BH77" s="452"/>
      <c r="BI77" s="452"/>
      <c r="BJ77" s="453"/>
      <c r="BK77" s="454"/>
      <c r="BL77" s="1262" t="s">
        <v>591</v>
      </c>
      <c r="BM77" s="1261"/>
      <c r="BN77" s="1261"/>
      <c r="BO77" s="1261"/>
      <c r="BP77" s="1261"/>
      <c r="BQ77" s="1261"/>
      <c r="BR77" s="1261"/>
      <c r="BS77" s="1261"/>
      <c r="BT77" s="1261"/>
      <c r="BU77" s="1261"/>
      <c r="BV77" s="1261"/>
      <c r="BW77" s="1261"/>
      <c r="BX77" s="1261"/>
      <c r="BY77" s="1261"/>
      <c r="BZ77" s="1261"/>
      <c r="CA77" s="1261"/>
      <c r="CB77" s="1261"/>
      <c r="CC77" s="1261"/>
      <c r="CD77" s="1261"/>
      <c r="CE77" s="1261"/>
      <c r="CF77" s="1261"/>
      <c r="CG77" s="1261"/>
      <c r="CH77" s="1261"/>
      <c r="CI77" s="1261"/>
      <c r="CJ77" s="1261"/>
      <c r="CK77" s="1261"/>
      <c r="CL77" s="1261"/>
      <c r="CM77" s="1261"/>
      <c r="CN77" s="1261"/>
      <c r="CO77" s="1261"/>
      <c r="CP77" s="1261"/>
      <c r="CQ77" s="1261"/>
      <c r="CR77" s="1261"/>
      <c r="CS77" s="1261"/>
      <c r="CT77" s="1261"/>
      <c r="CU77" s="1261"/>
      <c r="CV77" s="1261"/>
      <c r="CW77" s="1261"/>
      <c r="CX77" s="1261"/>
      <c r="CY77" s="1261"/>
      <c r="CZ77" s="1261"/>
      <c r="DA77" s="1261"/>
      <c r="DB77" s="1261"/>
      <c r="DC77" s="1261"/>
      <c r="DD77" s="1261"/>
      <c r="DE77" s="1261"/>
      <c r="DF77" s="1261"/>
      <c r="DG77" s="1261"/>
      <c r="DH77" s="1261"/>
      <c r="DI77" s="1261"/>
      <c r="DJ77" s="483" t="s">
        <v>592</v>
      </c>
      <c r="DP77" s="443" t="s">
        <v>210</v>
      </c>
    </row>
    <row r="78" spans="1:120" ht="15.75" customHeight="1">
      <c r="A78" s="450"/>
      <c r="B78" s="455" t="s">
        <v>593</v>
      </c>
      <c r="C78" s="243"/>
      <c r="D78" s="243"/>
      <c r="E78" s="243"/>
      <c r="F78" s="243"/>
      <c r="G78" s="243"/>
      <c r="H78" s="243"/>
      <c r="I78" s="243"/>
      <c r="J78" s="243"/>
      <c r="K78" s="243"/>
      <c r="L78" s="244"/>
      <c r="M78" s="243" t="s">
        <v>594</v>
      </c>
      <c r="N78" s="247"/>
      <c r="O78" s="247"/>
      <c r="P78" s="247"/>
      <c r="Q78" s="247"/>
      <c r="R78" s="247"/>
      <c r="S78" s="247"/>
      <c r="T78" s="247"/>
      <c r="U78" s="247"/>
      <c r="V78" s="247"/>
      <c r="W78" s="247"/>
      <c r="X78" s="247"/>
      <c r="Y78" s="247"/>
      <c r="Z78" s="247"/>
      <c r="AA78" s="247"/>
      <c r="AB78" s="247"/>
      <c r="AC78" s="247"/>
      <c r="AD78" s="247"/>
      <c r="AE78" s="247"/>
      <c r="AF78" s="247"/>
      <c r="AG78" s="247"/>
      <c r="AH78" s="247"/>
      <c r="AI78" s="247"/>
      <c r="AJ78" s="247"/>
      <c r="AK78" s="247"/>
      <c r="AL78" s="247"/>
      <c r="AM78" s="247"/>
      <c r="AN78" s="247"/>
      <c r="AO78" s="247"/>
      <c r="AP78" s="247"/>
      <c r="AQ78" s="247"/>
      <c r="AR78" s="247"/>
      <c r="AS78" s="247"/>
      <c r="AT78" s="247"/>
      <c r="AU78" s="247"/>
      <c r="AV78" s="247"/>
      <c r="AW78" s="247"/>
      <c r="AX78" s="247"/>
      <c r="AY78" s="247"/>
      <c r="AZ78" s="247"/>
      <c r="BA78" s="247"/>
      <c r="BB78" s="247"/>
      <c r="BC78" s="247"/>
      <c r="BD78" s="247"/>
      <c r="BE78" s="452" t="s">
        <v>475</v>
      </c>
      <c r="BF78" s="452" t="s">
        <v>467</v>
      </c>
      <c r="BG78" s="453"/>
      <c r="BH78" s="452"/>
      <c r="BI78" s="452"/>
      <c r="BJ78" s="453"/>
      <c r="BK78" s="454"/>
      <c r="BL78" s="1262" t="s">
        <v>595</v>
      </c>
      <c r="BM78" s="1261"/>
      <c r="BN78" s="1261"/>
      <c r="BO78" s="1261"/>
      <c r="BP78" s="1261"/>
      <c r="BQ78" s="1261"/>
      <c r="BR78" s="1261"/>
      <c r="BS78" s="1261"/>
      <c r="BT78" s="1261"/>
      <c r="BU78" s="1261"/>
      <c r="BV78" s="1261"/>
      <c r="BW78" s="1261"/>
      <c r="BX78" s="1261"/>
      <c r="BY78" s="1261"/>
      <c r="BZ78" s="1261"/>
      <c r="CA78" s="1261"/>
      <c r="CB78" s="1261"/>
      <c r="CC78" s="1261"/>
      <c r="CD78" s="1261"/>
      <c r="CE78" s="1261"/>
      <c r="CF78" s="1261"/>
      <c r="CG78" s="1261"/>
      <c r="CH78" s="1261"/>
      <c r="CI78" s="1261"/>
      <c r="CJ78" s="1261"/>
      <c r="CK78" s="1261"/>
      <c r="CL78" s="1261"/>
      <c r="CM78" s="1261"/>
      <c r="CN78" s="1261"/>
      <c r="CO78" s="1261"/>
      <c r="CP78" s="1261"/>
      <c r="CQ78" s="1261"/>
      <c r="CR78" s="1261"/>
      <c r="CS78" s="1261"/>
      <c r="CT78" s="1261"/>
      <c r="CU78" s="1261"/>
      <c r="CV78" s="1261"/>
      <c r="CW78" s="1261"/>
      <c r="CX78" s="1261"/>
      <c r="CY78" s="1261"/>
      <c r="CZ78" s="1261"/>
      <c r="DA78" s="1261"/>
      <c r="DB78" s="1261"/>
      <c r="DC78" s="1261"/>
      <c r="DD78" s="1261"/>
      <c r="DE78" s="1261"/>
      <c r="DF78" s="1261"/>
      <c r="DG78" s="1261"/>
      <c r="DH78" s="1261"/>
      <c r="DI78" s="1261"/>
      <c r="DJ78" s="2"/>
      <c r="DK78" s="483"/>
      <c r="DL78" s="2"/>
    </row>
    <row r="79" spans="1:120" ht="15.75" customHeight="1">
      <c r="A79" s="450"/>
      <c r="B79" s="455" t="s">
        <v>596</v>
      </c>
      <c r="C79" s="243"/>
      <c r="D79" s="243"/>
      <c r="E79" s="243"/>
      <c r="F79" s="243"/>
      <c r="G79" s="243"/>
      <c r="H79" s="243"/>
      <c r="I79" s="243"/>
      <c r="J79" s="243"/>
      <c r="K79" s="243"/>
      <c r="L79" s="244"/>
      <c r="M79" s="243" t="s">
        <v>597</v>
      </c>
      <c r="N79" s="247"/>
      <c r="O79" s="247"/>
      <c r="P79" s="247"/>
      <c r="Q79" s="247"/>
      <c r="R79" s="247"/>
      <c r="S79" s="247"/>
      <c r="T79" s="247"/>
      <c r="U79" s="247"/>
      <c r="V79" s="247"/>
      <c r="W79" s="247"/>
      <c r="X79" s="247"/>
      <c r="Y79" s="247"/>
      <c r="Z79" s="247"/>
      <c r="AA79" s="247"/>
      <c r="AB79" s="247"/>
      <c r="AC79" s="247"/>
      <c r="AD79" s="247"/>
      <c r="AE79" s="247"/>
      <c r="AF79" s="247"/>
      <c r="AG79" s="247"/>
      <c r="AH79" s="247"/>
      <c r="AI79" s="247"/>
      <c r="AJ79" s="247"/>
      <c r="AK79" s="247"/>
      <c r="AL79" s="247"/>
      <c r="AM79" s="247"/>
      <c r="AN79" s="247"/>
      <c r="AO79" s="247"/>
      <c r="AP79" s="247"/>
      <c r="AQ79" s="247"/>
      <c r="AR79" s="247"/>
      <c r="AS79" s="247"/>
      <c r="AT79" s="247"/>
      <c r="AU79" s="247"/>
      <c r="AV79" s="247"/>
      <c r="AW79" s="247"/>
      <c r="AX79" s="247"/>
      <c r="AY79" s="247"/>
      <c r="AZ79" s="247"/>
      <c r="BA79" s="247"/>
      <c r="BB79" s="247"/>
      <c r="BC79" s="247"/>
      <c r="BD79" s="247"/>
      <c r="BE79" s="452" t="s">
        <v>475</v>
      </c>
      <c r="BF79" s="452" t="s">
        <v>467</v>
      </c>
      <c r="BG79" s="453"/>
      <c r="BH79" s="452"/>
      <c r="BI79" s="452"/>
      <c r="BJ79" s="453"/>
      <c r="BK79" s="454"/>
      <c r="BL79" s="1262" t="s">
        <v>598</v>
      </c>
      <c r="BM79" s="1261"/>
      <c r="BN79" s="1261"/>
      <c r="BO79" s="1261"/>
      <c r="BP79" s="1261"/>
      <c r="BQ79" s="1261"/>
      <c r="BR79" s="1261"/>
      <c r="BS79" s="1261"/>
      <c r="BT79" s="1261"/>
      <c r="BU79" s="1261"/>
      <c r="BV79" s="1261"/>
      <c r="BW79" s="1261"/>
      <c r="BX79" s="1261"/>
      <c r="BY79" s="1261"/>
      <c r="BZ79" s="1261"/>
      <c r="CA79" s="1261"/>
      <c r="CB79" s="1261"/>
      <c r="CC79" s="1261"/>
      <c r="CD79" s="1261"/>
      <c r="CE79" s="1261"/>
      <c r="CF79" s="1261"/>
      <c r="CG79" s="1261"/>
      <c r="CH79" s="1261"/>
      <c r="CI79" s="1261"/>
      <c r="CJ79" s="1261"/>
      <c r="CK79" s="1261"/>
      <c r="CL79" s="1261"/>
      <c r="CM79" s="1261"/>
      <c r="CN79" s="1261"/>
      <c r="CO79" s="1261"/>
      <c r="CP79" s="1261"/>
      <c r="CQ79" s="1261"/>
      <c r="CR79" s="1261"/>
      <c r="CS79" s="1261"/>
      <c r="CT79" s="1261"/>
      <c r="CU79" s="1261"/>
      <c r="CV79" s="1261"/>
      <c r="CW79" s="1261"/>
      <c r="CX79" s="1261"/>
      <c r="CY79" s="1261"/>
      <c r="CZ79" s="1261"/>
      <c r="DA79" s="1261"/>
      <c r="DB79" s="1261"/>
      <c r="DC79" s="1261"/>
      <c r="DD79" s="1261"/>
      <c r="DE79" s="1261"/>
      <c r="DF79" s="1261"/>
      <c r="DG79" s="1261"/>
      <c r="DH79" s="1261"/>
    </row>
    <row r="80" spans="1:120" ht="15.75" customHeight="1">
      <c r="A80" s="513"/>
      <c r="B80" s="451" t="s">
        <v>599</v>
      </c>
      <c r="C80" s="245"/>
      <c r="D80" s="245"/>
      <c r="E80" s="245"/>
      <c r="F80" s="245"/>
      <c r="G80" s="245"/>
      <c r="H80" s="245"/>
      <c r="I80" s="245"/>
      <c r="J80" s="245"/>
      <c r="K80" s="245"/>
      <c r="L80" s="246"/>
      <c r="M80" s="245" t="s">
        <v>600</v>
      </c>
      <c r="N80" s="275"/>
      <c r="O80" s="275"/>
      <c r="P80" s="275"/>
      <c r="Q80" s="275"/>
      <c r="R80" s="275"/>
      <c r="S80" s="275"/>
      <c r="T80" s="275"/>
      <c r="U80" s="275" t="s">
        <v>601</v>
      </c>
      <c r="V80" s="275"/>
      <c r="W80" s="275"/>
      <c r="X80" s="275"/>
      <c r="Y80" s="275"/>
      <c r="Z80" s="275"/>
      <c r="AA80" s="275"/>
      <c r="AB80" s="275"/>
      <c r="AC80" s="275"/>
      <c r="AD80" s="275"/>
      <c r="AE80" s="275"/>
      <c r="AF80" s="275"/>
      <c r="AG80" s="275"/>
      <c r="AH80" s="275"/>
      <c r="AI80" s="275"/>
      <c r="AJ80" s="275"/>
      <c r="AK80" s="275"/>
      <c r="AL80" s="275"/>
      <c r="AM80" s="275"/>
      <c r="AN80" s="275"/>
      <c r="AO80" s="275"/>
      <c r="AP80" s="275"/>
      <c r="AQ80" s="275"/>
      <c r="AR80" s="275"/>
      <c r="AS80" s="275"/>
      <c r="AT80" s="275"/>
      <c r="AU80" s="275"/>
      <c r="AV80" s="275"/>
      <c r="AW80" s="275"/>
      <c r="AX80" s="275"/>
      <c r="AY80" s="275"/>
      <c r="AZ80" s="275"/>
      <c r="BA80" s="275"/>
      <c r="BB80" s="275"/>
      <c r="BC80" s="275"/>
      <c r="BD80" s="276"/>
      <c r="BE80" s="403" t="s">
        <v>475</v>
      </c>
      <c r="BF80" s="403" t="s">
        <v>467</v>
      </c>
      <c r="BG80" s="402"/>
      <c r="BH80" s="403"/>
      <c r="BI80" s="403"/>
      <c r="BJ80" s="402"/>
      <c r="BK80" s="406"/>
    </row>
    <row r="81" spans="1:120" ht="15.75" customHeight="1">
      <c r="A81" s="450"/>
      <c r="B81" s="451" t="s">
        <v>602</v>
      </c>
      <c r="C81" s="243"/>
      <c r="D81" s="243"/>
      <c r="E81" s="243"/>
      <c r="F81" s="243"/>
      <c r="G81" s="243"/>
      <c r="H81" s="243"/>
      <c r="I81" s="243"/>
      <c r="J81" s="243"/>
      <c r="K81" s="243"/>
      <c r="L81" s="244"/>
      <c r="M81" s="243" t="s">
        <v>603</v>
      </c>
      <c r="N81" s="247"/>
      <c r="O81" s="247"/>
      <c r="P81" s="247"/>
      <c r="Q81" s="247"/>
      <c r="R81" s="247"/>
      <c r="S81" s="247"/>
      <c r="T81" s="247"/>
      <c r="U81" s="247"/>
      <c r="V81" s="247"/>
      <c r="W81" s="247"/>
      <c r="X81" s="247"/>
      <c r="Y81" s="247"/>
      <c r="Z81" s="247"/>
      <c r="AA81" s="247"/>
      <c r="AB81" s="247"/>
      <c r="AC81" s="247"/>
      <c r="AD81" s="247"/>
      <c r="AE81" s="247"/>
      <c r="AF81" s="247"/>
      <c r="AG81" s="247"/>
      <c r="AH81" s="247"/>
      <c r="AI81" s="247"/>
      <c r="AJ81" s="247"/>
      <c r="AK81" s="247"/>
      <c r="AL81" s="247"/>
      <c r="AM81" s="247"/>
      <c r="AN81" s="247"/>
      <c r="AO81" s="247"/>
      <c r="AP81" s="247"/>
      <c r="AQ81" s="247"/>
      <c r="AR81" s="247"/>
      <c r="AS81" s="247"/>
      <c r="AT81" s="247"/>
      <c r="AU81" s="247"/>
      <c r="AV81" s="247"/>
      <c r="AW81" s="247"/>
      <c r="AX81" s="247"/>
      <c r="AY81" s="247"/>
      <c r="AZ81" s="247"/>
      <c r="BA81" s="247"/>
      <c r="BB81" s="247"/>
      <c r="BC81" s="247"/>
      <c r="BD81" s="247"/>
      <c r="BE81" s="452" t="s">
        <v>475</v>
      </c>
      <c r="BF81" s="403" t="s">
        <v>467</v>
      </c>
      <c r="BG81" s="453"/>
      <c r="BH81" s="452"/>
      <c r="BI81" s="452"/>
      <c r="BJ81" s="453"/>
      <c r="BK81" s="454"/>
    </row>
    <row r="82" spans="1:120" ht="15.75" customHeight="1">
      <c r="A82" s="450"/>
      <c r="B82" s="455" t="s">
        <v>604</v>
      </c>
      <c r="C82" s="243"/>
      <c r="D82" s="243"/>
      <c r="E82" s="243"/>
      <c r="F82" s="243"/>
      <c r="G82" s="243"/>
      <c r="H82" s="243"/>
      <c r="I82" s="243"/>
      <c r="J82" s="243"/>
      <c r="K82" s="243"/>
      <c r="L82" s="244"/>
      <c r="M82" s="243" t="s">
        <v>605</v>
      </c>
      <c r="N82" s="247"/>
      <c r="O82" s="247"/>
      <c r="P82" s="247"/>
      <c r="Q82" s="247"/>
      <c r="R82" s="247"/>
      <c r="S82" s="247"/>
      <c r="T82" s="247"/>
      <c r="U82" s="247"/>
      <c r="V82" s="247"/>
      <c r="W82" s="247"/>
      <c r="X82" s="247"/>
      <c r="Y82" s="247"/>
      <c r="Z82" s="247"/>
      <c r="AA82" s="247"/>
      <c r="AB82" s="247"/>
      <c r="AC82" s="247"/>
      <c r="AD82" s="247"/>
      <c r="AE82" s="247"/>
      <c r="AF82" s="247"/>
      <c r="AG82" s="247"/>
      <c r="AH82" s="247"/>
      <c r="AI82" s="247"/>
      <c r="AJ82" s="247"/>
      <c r="AK82" s="247"/>
      <c r="AL82" s="247"/>
      <c r="AM82" s="247"/>
      <c r="AN82" s="247"/>
      <c r="AO82" s="247"/>
      <c r="AP82" s="247"/>
      <c r="AQ82" s="247"/>
      <c r="AR82" s="247"/>
      <c r="AS82" s="247"/>
      <c r="AT82" s="247"/>
      <c r="AU82" s="247"/>
      <c r="AV82" s="247"/>
      <c r="AW82" s="247"/>
      <c r="AX82" s="247"/>
      <c r="AY82" s="247"/>
      <c r="AZ82" s="247"/>
      <c r="BA82" s="247"/>
      <c r="BB82" s="247"/>
      <c r="BC82" s="247"/>
      <c r="BD82" s="247"/>
      <c r="BE82" s="452" t="s">
        <v>475</v>
      </c>
      <c r="BF82" s="403" t="s">
        <v>467</v>
      </c>
      <c r="BG82" s="453"/>
      <c r="BH82" s="452"/>
      <c r="BI82" s="452"/>
      <c r="BJ82" s="453"/>
      <c r="BK82" s="454"/>
    </row>
    <row r="83" spans="1:120" ht="75" customHeight="1">
      <c r="A83" s="450"/>
      <c r="B83" s="43" t="s">
        <v>606</v>
      </c>
      <c r="C83" s="243"/>
      <c r="D83" s="243"/>
      <c r="E83" s="243"/>
      <c r="F83" s="243"/>
      <c r="G83" s="243"/>
      <c r="H83" s="243"/>
      <c r="I83" s="243"/>
      <c r="J83" s="243"/>
      <c r="K83" s="243"/>
      <c r="L83" s="244"/>
      <c r="M83" s="243" t="s">
        <v>607</v>
      </c>
      <c r="N83" s="247"/>
      <c r="O83" s="247"/>
      <c r="P83" s="247"/>
      <c r="Q83" s="247"/>
      <c r="R83" s="247"/>
      <c r="S83" s="247"/>
      <c r="T83" s="247"/>
      <c r="U83" s="247"/>
      <c r="V83" s="247"/>
      <c r="W83" s="247"/>
      <c r="X83" s="247"/>
      <c r="Y83" s="247"/>
      <c r="Z83" s="247"/>
      <c r="AA83" s="247"/>
      <c r="AB83" s="247"/>
      <c r="AC83" s="247"/>
      <c r="AD83" s="247"/>
      <c r="AE83" s="247"/>
      <c r="AF83" s="247"/>
      <c r="AG83" s="247"/>
      <c r="AH83" s="247"/>
      <c r="AI83" s="247"/>
      <c r="AJ83" s="247"/>
      <c r="AK83" s="247"/>
      <c r="AL83" s="247"/>
      <c r="AM83" s="247"/>
      <c r="AN83" s="247"/>
      <c r="AO83" s="247"/>
      <c r="AP83" s="247"/>
      <c r="AQ83" s="247"/>
      <c r="AR83" s="247"/>
      <c r="AS83" s="247"/>
      <c r="AT83" s="247"/>
      <c r="AU83" s="247"/>
      <c r="AV83" s="247"/>
      <c r="AW83" s="247"/>
      <c r="AX83" s="247"/>
      <c r="AY83" s="247"/>
      <c r="AZ83" s="247"/>
      <c r="BA83" s="247"/>
      <c r="BB83" s="247"/>
      <c r="BC83" s="247"/>
      <c r="BD83" s="247"/>
      <c r="BE83" s="452" t="s">
        <v>475</v>
      </c>
      <c r="BF83" s="452" t="s">
        <v>467</v>
      </c>
      <c r="BG83" s="453"/>
      <c r="BH83" s="452"/>
      <c r="BI83" s="452"/>
      <c r="BJ83" s="453"/>
      <c r="BK83" s="454"/>
      <c r="BL83" s="1260" t="s">
        <v>608</v>
      </c>
      <c r="BM83" s="1261"/>
      <c r="BN83" s="1261"/>
      <c r="BO83" s="1261"/>
      <c r="BP83" s="1261"/>
      <c r="BQ83" s="1261"/>
      <c r="BR83" s="1261"/>
      <c r="BS83" s="1261"/>
      <c r="BT83" s="1261"/>
      <c r="BU83" s="1261"/>
      <c r="BV83" s="1261"/>
      <c r="BW83" s="1261"/>
      <c r="BX83" s="1261"/>
      <c r="BY83" s="1261"/>
      <c r="BZ83" s="1261"/>
      <c r="CA83" s="1261"/>
      <c r="CB83" s="1261"/>
      <c r="CC83" s="1261"/>
      <c r="CD83" s="1261"/>
      <c r="CE83" s="1261"/>
      <c r="CF83" s="1261"/>
      <c r="CG83" s="1261"/>
      <c r="CH83" s="1261"/>
      <c r="CI83" s="1261"/>
      <c r="CJ83" s="1261"/>
      <c r="CK83" s="1261"/>
      <c r="CL83" s="1261"/>
      <c r="CM83" s="1261"/>
      <c r="CN83" s="1261"/>
      <c r="CO83" s="1261"/>
      <c r="CP83" s="1261"/>
      <c r="CQ83" s="1261"/>
      <c r="CR83" s="1261"/>
      <c r="CS83" s="1261"/>
      <c r="CT83" s="1261"/>
      <c r="CU83" s="1261"/>
      <c r="CV83" s="1261"/>
      <c r="CW83" s="1261"/>
      <c r="CX83" s="1261"/>
      <c r="CY83" s="1261"/>
      <c r="CZ83" s="1261"/>
      <c r="DA83" s="1261"/>
      <c r="DB83" s="1261"/>
      <c r="DC83" s="1261"/>
      <c r="DD83" s="1261"/>
      <c r="DE83" s="1261"/>
      <c r="DF83" s="1261"/>
      <c r="DG83" s="1261"/>
      <c r="DH83" s="1261"/>
      <c r="DI83" s="1261"/>
      <c r="DJ83" s="483" t="s">
        <v>609</v>
      </c>
      <c r="DP83" s="443" t="s">
        <v>210</v>
      </c>
    </row>
    <row r="84" spans="1:120" ht="15.75" customHeight="1">
      <c r="A84" s="450"/>
      <c r="B84" s="43" t="s">
        <v>302</v>
      </c>
      <c r="C84" s="243"/>
      <c r="D84" s="243"/>
      <c r="E84" s="243"/>
      <c r="F84" s="243"/>
      <c r="G84" s="243"/>
      <c r="H84" s="243"/>
      <c r="I84" s="243"/>
      <c r="J84" s="243"/>
      <c r="K84" s="243"/>
      <c r="L84" s="244"/>
      <c r="M84" s="243" t="s">
        <v>610</v>
      </c>
      <c r="N84" s="247"/>
      <c r="O84" s="247"/>
      <c r="P84" s="247"/>
      <c r="Q84" s="247"/>
      <c r="R84" s="247"/>
      <c r="S84" s="247"/>
      <c r="T84" s="247"/>
      <c r="U84" s="247"/>
      <c r="V84" s="247"/>
      <c r="W84" s="247"/>
      <c r="X84" s="247"/>
      <c r="Y84" s="247"/>
      <c r="Z84" s="247"/>
      <c r="AA84" s="247"/>
      <c r="AB84" s="247"/>
      <c r="AC84" s="247"/>
      <c r="AD84" s="247"/>
      <c r="AE84" s="247"/>
      <c r="AF84" s="247"/>
      <c r="AG84" s="247"/>
      <c r="AH84" s="247"/>
      <c r="AI84" s="247"/>
      <c r="AJ84" s="247"/>
      <c r="AK84" s="247"/>
      <c r="AL84" s="247"/>
      <c r="AM84" s="247"/>
      <c r="AN84" s="247"/>
      <c r="AO84" s="247"/>
      <c r="AP84" s="247"/>
      <c r="AQ84" s="247"/>
      <c r="AR84" s="247"/>
      <c r="AS84" s="247"/>
      <c r="AT84" s="247"/>
      <c r="AU84" s="247"/>
      <c r="AV84" s="247"/>
      <c r="AW84" s="247"/>
      <c r="AX84" s="247"/>
      <c r="AY84" s="247"/>
      <c r="AZ84" s="247"/>
      <c r="BA84" s="247"/>
      <c r="BB84" s="247"/>
      <c r="BC84" s="247"/>
      <c r="BD84" s="247"/>
      <c r="BE84" s="452" t="s">
        <v>475</v>
      </c>
      <c r="BF84" s="452" t="s">
        <v>513</v>
      </c>
      <c r="BG84" s="453"/>
      <c r="BH84" s="452"/>
      <c r="BI84" s="452"/>
      <c r="BJ84" s="453"/>
      <c r="BK84" s="454"/>
    </row>
    <row r="85" spans="1:120" ht="15.75" customHeight="1">
      <c r="A85" s="450"/>
      <c r="B85" s="451" t="s">
        <v>611</v>
      </c>
      <c r="C85" s="243"/>
      <c r="D85" s="243"/>
      <c r="E85" s="243"/>
      <c r="F85" s="243"/>
      <c r="G85" s="243"/>
      <c r="H85" s="243"/>
      <c r="I85" s="243"/>
      <c r="J85" s="243"/>
      <c r="K85" s="243"/>
      <c r="L85" s="244"/>
      <c r="M85" s="243" t="s">
        <v>612</v>
      </c>
      <c r="N85" s="247"/>
      <c r="O85" s="247"/>
      <c r="P85" s="247"/>
      <c r="Q85" s="247"/>
      <c r="R85" s="247"/>
      <c r="S85" s="247"/>
      <c r="T85" s="247"/>
      <c r="U85" s="247"/>
      <c r="V85" s="247"/>
      <c r="W85" s="247"/>
      <c r="X85" s="247"/>
      <c r="Y85" s="247"/>
      <c r="Z85" s="247"/>
      <c r="AA85" s="247"/>
      <c r="AB85" s="247"/>
      <c r="AC85" s="247"/>
      <c r="AD85" s="247"/>
      <c r="AE85" s="247"/>
      <c r="AF85" s="247"/>
      <c r="AG85" s="247"/>
      <c r="AH85" s="247"/>
      <c r="AI85" s="247"/>
      <c r="AJ85" s="247"/>
      <c r="AK85" s="247"/>
      <c r="AL85" s="247"/>
      <c r="AM85" s="247"/>
      <c r="AN85" s="247"/>
      <c r="AO85" s="247"/>
      <c r="AP85" s="247"/>
      <c r="AQ85" s="247"/>
      <c r="AR85" s="247"/>
      <c r="AS85" s="247"/>
      <c r="AT85" s="247"/>
      <c r="AU85" s="247"/>
      <c r="AV85" s="247"/>
      <c r="AW85" s="247"/>
      <c r="AX85" s="247"/>
      <c r="AY85" s="247"/>
      <c r="AZ85" s="247"/>
      <c r="BA85" s="247"/>
      <c r="BB85" s="247"/>
      <c r="BC85" s="247"/>
      <c r="BD85" s="247"/>
      <c r="BE85" s="452" t="s">
        <v>475</v>
      </c>
      <c r="BF85" s="452" t="s">
        <v>513</v>
      </c>
      <c r="BG85" s="453"/>
      <c r="BH85" s="452"/>
      <c r="BI85" s="452"/>
      <c r="BJ85" s="453"/>
      <c r="BK85" s="454"/>
    </row>
    <row r="86" spans="1:120" ht="15.75" customHeight="1">
      <c r="A86" s="450"/>
      <c r="B86" s="451" t="s">
        <v>318</v>
      </c>
      <c r="C86" s="243"/>
      <c r="D86" s="243"/>
      <c r="E86" s="243"/>
      <c r="F86" s="243"/>
      <c r="G86" s="243"/>
      <c r="H86" s="243"/>
      <c r="I86" s="243"/>
      <c r="J86" s="243"/>
      <c r="K86" s="243"/>
      <c r="L86" s="244"/>
      <c r="M86" s="243" t="s">
        <v>613</v>
      </c>
      <c r="N86" s="247"/>
      <c r="O86" s="247"/>
      <c r="P86" s="247"/>
      <c r="Q86" s="247"/>
      <c r="R86" s="247"/>
      <c r="S86" s="247"/>
      <c r="T86" s="247"/>
      <c r="U86" s="247"/>
      <c r="V86" s="247"/>
      <c r="W86" s="247"/>
      <c r="X86" s="247"/>
      <c r="Y86" s="247"/>
      <c r="Z86" s="247"/>
      <c r="AA86" s="247"/>
      <c r="AB86" s="247"/>
      <c r="AC86" s="247"/>
      <c r="AD86" s="247"/>
      <c r="AE86" s="247"/>
      <c r="AF86" s="247"/>
      <c r="AG86" s="247"/>
      <c r="AH86" s="247"/>
      <c r="AI86" s="247"/>
      <c r="AJ86" s="247"/>
      <c r="AK86" s="247"/>
      <c r="AL86" s="247"/>
      <c r="AM86" s="247"/>
      <c r="AN86" s="247"/>
      <c r="AO86" s="247"/>
      <c r="AP86" s="247"/>
      <c r="AQ86" s="247"/>
      <c r="AR86" s="247"/>
      <c r="AS86" s="247"/>
      <c r="AT86" s="247"/>
      <c r="AU86" s="247"/>
      <c r="AV86" s="247"/>
      <c r="AW86" s="247"/>
      <c r="AX86" s="247"/>
      <c r="AY86" s="247"/>
      <c r="AZ86" s="247"/>
      <c r="BA86" s="247"/>
      <c r="BB86" s="247"/>
      <c r="BC86" s="247"/>
      <c r="BD86" s="247"/>
      <c r="BE86" s="452" t="s">
        <v>475</v>
      </c>
      <c r="BF86" s="452" t="s">
        <v>513</v>
      </c>
      <c r="BG86" s="453"/>
      <c r="BH86" s="452"/>
      <c r="BI86" s="452"/>
      <c r="BJ86" s="453"/>
      <c r="BK86" s="454"/>
    </row>
    <row r="87" spans="1:120" ht="15.75" customHeight="1">
      <c r="A87" s="450"/>
      <c r="B87" s="43" t="s">
        <v>614</v>
      </c>
      <c r="C87" s="243"/>
      <c r="D87" s="243"/>
      <c r="E87" s="243"/>
      <c r="F87" s="243"/>
      <c r="G87" s="243"/>
      <c r="H87" s="243"/>
      <c r="I87" s="243"/>
      <c r="J87" s="243"/>
      <c r="K87" s="243"/>
      <c r="L87" s="244"/>
      <c r="M87" s="243" t="s">
        <v>615</v>
      </c>
      <c r="N87" s="247"/>
      <c r="O87" s="247"/>
      <c r="P87" s="247"/>
      <c r="Q87" s="247"/>
      <c r="R87" s="247"/>
      <c r="S87" s="247"/>
      <c r="T87" s="247"/>
      <c r="U87" s="247"/>
      <c r="V87" s="247"/>
      <c r="W87" s="247"/>
      <c r="X87" s="247"/>
      <c r="Y87" s="247"/>
      <c r="Z87" s="247"/>
      <c r="AA87" s="247"/>
      <c r="AB87" s="247"/>
      <c r="AC87" s="247"/>
      <c r="AD87" s="247"/>
      <c r="AE87" s="247"/>
      <c r="AF87" s="247"/>
      <c r="AG87" s="247"/>
      <c r="AH87" s="247"/>
      <c r="AI87" s="247"/>
      <c r="AJ87" s="247"/>
      <c r="AK87" s="247"/>
      <c r="AL87" s="247"/>
      <c r="AM87" s="247"/>
      <c r="AN87" s="247"/>
      <c r="AO87" s="247"/>
      <c r="AP87" s="247"/>
      <c r="AQ87" s="247"/>
      <c r="AR87" s="247"/>
      <c r="AS87" s="247"/>
      <c r="AT87" s="247"/>
      <c r="AU87" s="247"/>
      <c r="AV87" s="247"/>
      <c r="AW87" s="247"/>
      <c r="AX87" s="247"/>
      <c r="AY87" s="247"/>
      <c r="AZ87" s="247"/>
      <c r="BA87" s="247"/>
      <c r="BB87" s="247"/>
      <c r="BC87" s="247"/>
      <c r="BD87" s="247"/>
      <c r="BE87" s="452" t="s">
        <v>475</v>
      </c>
      <c r="BF87" s="452" t="s">
        <v>467</v>
      </c>
      <c r="BG87" s="453"/>
      <c r="BH87" s="452"/>
      <c r="BI87" s="452"/>
      <c r="BJ87" s="453"/>
      <c r="BK87" s="454"/>
      <c r="BL87" s="1260"/>
      <c r="BM87" s="1261"/>
      <c r="BN87" s="1261"/>
      <c r="BO87" s="1261"/>
      <c r="BP87" s="1261"/>
      <c r="BQ87" s="1261"/>
      <c r="BR87" s="1261"/>
      <c r="BS87" s="1261"/>
      <c r="BT87" s="1261"/>
      <c r="BU87" s="1261"/>
      <c r="BV87" s="1261"/>
      <c r="BW87" s="1261"/>
      <c r="BX87" s="1261"/>
      <c r="BY87" s="1261"/>
      <c r="BZ87" s="1261"/>
      <c r="CA87" s="1261"/>
      <c r="CB87" s="1261"/>
      <c r="CC87" s="1261"/>
      <c r="CD87" s="1261"/>
      <c r="CE87" s="1261"/>
      <c r="CF87" s="1261"/>
      <c r="CG87" s="1261"/>
      <c r="CH87" s="1261"/>
      <c r="CI87" s="1261"/>
      <c r="CJ87" s="1261"/>
      <c r="CK87" s="1261"/>
      <c r="CL87" s="1261"/>
      <c r="CM87" s="1261"/>
      <c r="CN87" s="1261"/>
      <c r="CO87" s="1261"/>
      <c r="CP87" s="1261"/>
      <c r="CQ87" s="1261"/>
      <c r="CR87" s="1261"/>
      <c r="CS87" s="1261"/>
      <c r="CT87" s="1261"/>
      <c r="CU87" s="1261"/>
      <c r="CV87" s="1261"/>
      <c r="CW87" s="1261"/>
      <c r="CX87" s="1261"/>
      <c r="CY87" s="1261"/>
      <c r="CZ87" s="1261"/>
      <c r="DA87" s="1261"/>
      <c r="DB87" s="1261"/>
      <c r="DC87" s="1261"/>
      <c r="DD87" s="1261"/>
      <c r="DE87" s="1261"/>
      <c r="DF87" s="1261"/>
      <c r="DG87" s="1261"/>
      <c r="DH87" s="1261"/>
      <c r="DI87" s="1261"/>
      <c r="DJ87" s="483"/>
    </row>
    <row r="88" spans="1:120" ht="15.75" customHeight="1">
      <c r="A88" s="450"/>
      <c r="B88" s="455" t="s">
        <v>616</v>
      </c>
      <c r="C88" s="243"/>
      <c r="D88" s="243"/>
      <c r="E88" s="243"/>
      <c r="F88" s="243"/>
      <c r="G88" s="243"/>
      <c r="H88" s="243"/>
      <c r="I88" s="243"/>
      <c r="J88" s="243"/>
      <c r="K88" s="243"/>
      <c r="L88" s="244"/>
      <c r="M88" s="243" t="s">
        <v>617</v>
      </c>
      <c r="N88" s="247"/>
      <c r="O88" s="247"/>
      <c r="P88" s="247"/>
      <c r="Q88" s="247"/>
      <c r="R88" s="247"/>
      <c r="S88" s="247"/>
      <c r="T88" s="247"/>
      <c r="U88" s="247"/>
      <c r="V88" s="247"/>
      <c r="W88" s="247"/>
      <c r="X88" s="247"/>
      <c r="Y88" s="247"/>
      <c r="Z88" s="247"/>
      <c r="AA88" s="247"/>
      <c r="AB88" s="247"/>
      <c r="AC88" s="247"/>
      <c r="AD88" s="247"/>
      <c r="AE88" s="247"/>
      <c r="AF88" s="247"/>
      <c r="AG88" s="247"/>
      <c r="AH88" s="247"/>
      <c r="AI88" s="247"/>
      <c r="AJ88" s="247"/>
      <c r="AK88" s="247"/>
      <c r="AL88" s="247"/>
      <c r="AM88" s="247"/>
      <c r="AN88" s="247"/>
      <c r="AO88" s="247"/>
      <c r="AP88" s="247"/>
      <c r="AQ88" s="247"/>
      <c r="AR88" s="247"/>
      <c r="AS88" s="247"/>
      <c r="AT88" s="247"/>
      <c r="AU88" s="247"/>
      <c r="AV88" s="247"/>
      <c r="AW88" s="247"/>
      <c r="AX88" s="247"/>
      <c r="AY88" s="247"/>
      <c r="AZ88" s="247"/>
      <c r="BA88" s="247"/>
      <c r="BB88" s="247"/>
      <c r="BC88" s="247"/>
      <c r="BD88" s="247"/>
      <c r="BE88" s="452" t="s">
        <v>475</v>
      </c>
      <c r="BF88" s="452" t="s">
        <v>513</v>
      </c>
      <c r="BG88" s="453"/>
      <c r="BH88" s="452"/>
      <c r="BI88" s="452"/>
      <c r="BJ88" s="453"/>
      <c r="BK88" s="454"/>
    </row>
    <row r="89" spans="1:120" ht="15.75" customHeight="1">
      <c r="A89" s="450"/>
      <c r="B89" s="43" t="s">
        <v>821</v>
      </c>
      <c r="C89" s="243"/>
      <c r="D89" s="243"/>
      <c r="E89" s="243"/>
      <c r="F89" s="243"/>
      <c r="G89" s="243"/>
      <c r="H89" s="243"/>
      <c r="I89" s="243"/>
      <c r="J89" s="243"/>
      <c r="K89" s="243"/>
      <c r="L89" s="244"/>
      <c r="M89" s="243" t="s">
        <v>825</v>
      </c>
      <c r="N89" s="528"/>
      <c r="O89" s="528"/>
      <c r="P89" s="528"/>
      <c r="Q89" s="528"/>
      <c r="R89" s="528"/>
      <c r="S89" s="528"/>
      <c r="T89" s="528"/>
      <c r="U89" s="528"/>
      <c r="V89" s="528"/>
      <c r="W89" s="528"/>
      <c r="X89" s="528"/>
      <c r="Y89" s="528"/>
      <c r="Z89" s="528"/>
      <c r="AA89" s="528"/>
      <c r="AB89" s="528"/>
      <c r="AC89" s="528"/>
      <c r="AD89" s="528"/>
      <c r="AE89" s="528"/>
      <c r="AF89" s="528"/>
      <c r="AG89" s="528"/>
      <c r="AH89" s="528"/>
      <c r="AI89" s="528"/>
      <c r="AJ89" s="528"/>
      <c r="AK89" s="528"/>
      <c r="AL89" s="528"/>
      <c r="AM89" s="528"/>
      <c r="AN89" s="528"/>
      <c r="AO89" s="528"/>
      <c r="AP89" s="528"/>
      <c r="AQ89" s="528"/>
      <c r="AR89" s="528"/>
      <c r="AS89" s="528"/>
      <c r="AT89" s="528"/>
      <c r="AU89" s="528"/>
      <c r="AV89" s="528"/>
      <c r="AW89" s="528"/>
      <c r="AX89" s="528"/>
      <c r="AY89" s="528"/>
      <c r="AZ89" s="528"/>
      <c r="BA89" s="528"/>
      <c r="BB89" s="528"/>
      <c r="BC89" s="528"/>
      <c r="BD89" s="528"/>
      <c r="BE89" s="453" t="s">
        <v>822</v>
      </c>
      <c r="BF89" s="452" t="s">
        <v>622</v>
      </c>
      <c r="BG89" s="453"/>
      <c r="BH89" s="452"/>
      <c r="BI89" s="452"/>
      <c r="BJ89" s="453"/>
      <c r="BK89" s="454"/>
    </row>
    <row r="90" spans="1:120" ht="15.75" customHeight="1">
      <c r="A90" s="450"/>
      <c r="B90" s="43" t="s">
        <v>826</v>
      </c>
      <c r="C90" s="243"/>
      <c r="D90" s="243"/>
      <c r="E90" s="243"/>
      <c r="F90" s="243"/>
      <c r="G90" s="243"/>
      <c r="H90" s="243"/>
      <c r="I90" s="243"/>
      <c r="J90" s="243"/>
      <c r="K90" s="243"/>
      <c r="L90" s="244"/>
      <c r="M90" s="43" t="s">
        <v>828</v>
      </c>
      <c r="N90" s="247"/>
      <c r="O90" s="247"/>
      <c r="P90" s="247"/>
      <c r="Q90" s="247"/>
      <c r="R90" s="247"/>
      <c r="S90" s="247"/>
      <c r="T90" s="247"/>
      <c r="U90" s="247"/>
      <c r="V90" s="247"/>
      <c r="W90" s="247"/>
      <c r="X90" s="247"/>
      <c r="Y90" s="247"/>
      <c r="Z90" s="247"/>
      <c r="AA90" s="247"/>
      <c r="AB90" s="247"/>
      <c r="AC90" s="247"/>
      <c r="AD90" s="247"/>
      <c r="AE90" s="247"/>
      <c r="AF90" s="247"/>
      <c r="AG90" s="247"/>
      <c r="AH90" s="247"/>
      <c r="AI90" s="247"/>
      <c r="AJ90" s="247"/>
      <c r="AK90" s="247"/>
      <c r="AL90" s="247"/>
      <c r="AM90" s="247"/>
      <c r="AN90" s="247"/>
      <c r="AO90" s="247"/>
      <c r="AP90" s="247"/>
      <c r="AQ90" s="247"/>
      <c r="AR90" s="247"/>
      <c r="AS90" s="247"/>
      <c r="AT90" s="247"/>
      <c r="AU90" s="247"/>
      <c r="AV90" s="247"/>
      <c r="AW90" s="247"/>
      <c r="AX90" s="247"/>
      <c r="AY90" s="247"/>
      <c r="AZ90" s="247"/>
      <c r="BA90" s="247"/>
      <c r="BB90" s="247"/>
      <c r="BC90" s="247"/>
      <c r="BD90" s="247"/>
      <c r="BE90" s="452" t="s">
        <v>475</v>
      </c>
      <c r="BF90" s="452" t="s">
        <v>467</v>
      </c>
      <c r="BG90" s="453"/>
      <c r="BH90" s="452"/>
      <c r="BI90" s="452"/>
      <c r="BJ90" s="453"/>
      <c r="BK90" s="454"/>
    </row>
    <row r="91" spans="1:120" ht="15.75" customHeight="1">
      <c r="A91" s="450"/>
      <c r="B91" s="43" t="s">
        <v>827</v>
      </c>
      <c r="C91" s="243"/>
      <c r="D91" s="243"/>
      <c r="E91" s="243"/>
      <c r="F91" s="243"/>
      <c r="G91" s="243"/>
      <c r="H91" s="243"/>
      <c r="I91" s="243"/>
      <c r="J91" s="243"/>
      <c r="K91" s="243"/>
      <c r="L91" s="244"/>
      <c r="M91" s="43" t="s">
        <v>829</v>
      </c>
      <c r="N91" s="247"/>
      <c r="O91" s="247"/>
      <c r="P91" s="247"/>
      <c r="Q91" s="247"/>
      <c r="R91" s="247"/>
      <c r="S91" s="247"/>
      <c r="T91" s="247"/>
      <c r="U91" s="247"/>
      <c r="V91" s="247"/>
      <c r="W91" s="247"/>
      <c r="X91" s="247"/>
      <c r="Y91" s="247"/>
      <c r="Z91" s="247"/>
      <c r="AA91" s="247"/>
      <c r="AB91" s="247"/>
      <c r="AC91" s="247"/>
      <c r="AD91" s="247"/>
      <c r="AE91" s="247"/>
      <c r="AF91" s="247"/>
      <c r="AG91" s="247"/>
      <c r="AH91" s="247"/>
      <c r="AI91" s="247"/>
      <c r="AJ91" s="247"/>
      <c r="AK91" s="247"/>
      <c r="AL91" s="247"/>
      <c r="AM91" s="247"/>
      <c r="AN91" s="247"/>
      <c r="AO91" s="247"/>
      <c r="AP91" s="247"/>
      <c r="AQ91" s="247"/>
      <c r="AR91" s="247"/>
      <c r="AS91" s="247"/>
      <c r="AT91" s="247"/>
      <c r="AU91" s="247"/>
      <c r="AV91" s="247"/>
      <c r="AW91" s="247"/>
      <c r="AX91" s="247"/>
      <c r="AY91" s="247"/>
      <c r="AZ91" s="247"/>
      <c r="BA91" s="247"/>
      <c r="BB91" s="247"/>
      <c r="BC91" s="247"/>
      <c r="BD91" s="247"/>
      <c r="BE91" s="452" t="s">
        <v>475</v>
      </c>
      <c r="BF91" s="452" t="s">
        <v>467</v>
      </c>
      <c r="BG91" s="453"/>
      <c r="BH91" s="452"/>
      <c r="BI91" s="452"/>
      <c r="BJ91" s="453"/>
      <c r="BK91" s="454"/>
    </row>
    <row r="92" spans="1:120" ht="15.75" customHeight="1">
      <c r="A92" s="450"/>
      <c r="B92" s="43" t="s">
        <v>618</v>
      </c>
      <c r="C92" s="243"/>
      <c r="D92" s="243"/>
      <c r="E92" s="243"/>
      <c r="F92" s="243"/>
      <c r="G92" s="243"/>
      <c r="H92" s="243"/>
      <c r="I92" s="243"/>
      <c r="J92" s="243"/>
      <c r="K92" s="243"/>
      <c r="L92" s="244"/>
      <c r="M92" s="243" t="s">
        <v>619</v>
      </c>
      <c r="N92" s="247"/>
      <c r="O92" s="247"/>
      <c r="P92" s="247"/>
      <c r="Q92" s="247"/>
      <c r="R92" s="247"/>
      <c r="S92" s="247"/>
      <c r="T92" s="247"/>
      <c r="U92" s="247"/>
      <c r="V92" s="247"/>
      <c r="W92" s="247"/>
      <c r="X92" s="247"/>
      <c r="Y92" s="247"/>
      <c r="Z92" s="247"/>
      <c r="AA92" s="247"/>
      <c r="AB92" s="247"/>
      <c r="AC92" s="247"/>
      <c r="AD92" s="247"/>
      <c r="AE92" s="247"/>
      <c r="AF92" s="247"/>
      <c r="AG92" s="247"/>
      <c r="AH92" s="247"/>
      <c r="AI92" s="247"/>
      <c r="AJ92" s="247"/>
      <c r="AK92" s="247"/>
      <c r="AL92" s="247"/>
      <c r="AM92" s="247"/>
      <c r="AN92" s="247"/>
      <c r="AO92" s="247"/>
      <c r="AP92" s="247"/>
      <c r="AQ92" s="247"/>
      <c r="AR92" s="247"/>
      <c r="AS92" s="247"/>
      <c r="AT92" s="247"/>
      <c r="AU92" s="247"/>
      <c r="AV92" s="247"/>
      <c r="AW92" s="247"/>
      <c r="AX92" s="247"/>
      <c r="AY92" s="247"/>
      <c r="AZ92" s="247"/>
      <c r="BA92" s="247"/>
      <c r="BB92" s="247"/>
      <c r="BC92" s="247"/>
      <c r="BD92" s="247"/>
      <c r="BE92" s="452" t="s">
        <v>475</v>
      </c>
      <c r="BF92" s="452" t="s">
        <v>467</v>
      </c>
      <c r="BG92" s="453"/>
      <c r="BH92" s="452"/>
      <c r="BI92" s="452"/>
      <c r="BJ92" s="453"/>
      <c r="BK92" s="454"/>
    </row>
    <row r="93" spans="1:120" s="2" customFormat="1" ht="15.75" customHeight="1">
      <c r="A93" s="450" t="s">
        <v>442</v>
      </c>
      <c r="B93" s="43" t="s">
        <v>364</v>
      </c>
      <c r="C93" s="243"/>
      <c r="D93" s="243"/>
      <c r="E93" s="243"/>
      <c r="F93" s="243"/>
      <c r="G93" s="243"/>
      <c r="H93" s="243"/>
      <c r="I93" s="243"/>
      <c r="J93" s="243"/>
      <c r="K93" s="243"/>
      <c r="L93" s="244"/>
      <c r="M93" s="243" t="s">
        <v>620</v>
      </c>
      <c r="N93" s="247"/>
      <c r="O93" s="247"/>
      <c r="P93" s="247"/>
      <c r="Q93" s="247"/>
      <c r="R93" s="247"/>
      <c r="S93" s="247"/>
      <c r="T93" s="247"/>
      <c r="U93" s="247"/>
      <c r="V93" s="247"/>
      <c r="W93" s="247"/>
      <c r="X93" s="247"/>
      <c r="Y93" s="247"/>
      <c r="Z93" s="247"/>
      <c r="AA93" s="247"/>
      <c r="AB93" s="247"/>
      <c r="AC93" s="247"/>
      <c r="AD93" s="247"/>
      <c r="AE93" s="247"/>
      <c r="AF93" s="247"/>
      <c r="AG93" s="247"/>
      <c r="AH93" s="247"/>
      <c r="AI93" s="247"/>
      <c r="AJ93" s="247"/>
      <c r="AK93" s="247"/>
      <c r="AL93" s="247"/>
      <c r="AM93" s="247"/>
      <c r="AN93" s="247"/>
      <c r="AO93" s="247"/>
      <c r="AP93" s="247"/>
      <c r="AQ93" s="247"/>
      <c r="AR93" s="247"/>
      <c r="AS93" s="247"/>
      <c r="AT93" s="247"/>
      <c r="AU93" s="247"/>
      <c r="AV93" s="247"/>
      <c r="AW93" s="247"/>
      <c r="AX93" s="247"/>
      <c r="AY93" s="247"/>
      <c r="AZ93" s="247"/>
      <c r="BA93" s="247"/>
      <c r="BB93" s="247"/>
      <c r="BC93" s="247"/>
      <c r="BD93" s="247"/>
      <c r="BE93" s="402" t="s">
        <v>621</v>
      </c>
      <c r="BF93" s="403" t="s">
        <v>622</v>
      </c>
      <c r="BG93" s="453"/>
      <c r="BH93" s="452"/>
      <c r="BI93" s="453"/>
      <c r="BJ93" s="453"/>
      <c r="BK93" s="454"/>
    </row>
    <row r="94" spans="1:120" ht="15.75" customHeight="1" thickBot="1">
      <c r="A94" s="450"/>
      <c r="B94" s="43"/>
      <c r="C94" s="243"/>
      <c r="D94" s="243"/>
      <c r="E94" s="243"/>
      <c r="F94" s="243"/>
      <c r="G94" s="243"/>
      <c r="H94" s="243"/>
      <c r="I94" s="243"/>
      <c r="J94" s="243"/>
      <c r="K94" s="243"/>
      <c r="L94" s="244"/>
      <c r="M94" s="243"/>
      <c r="N94" s="247"/>
      <c r="O94" s="247"/>
      <c r="P94" s="247"/>
      <c r="Q94" s="247"/>
      <c r="R94" s="247"/>
      <c r="S94" s="247"/>
      <c r="T94" s="247"/>
      <c r="U94" s="247"/>
      <c r="V94" s="247"/>
      <c r="W94" s="247"/>
      <c r="X94" s="247"/>
      <c r="Y94" s="247"/>
      <c r="Z94" s="247"/>
      <c r="AA94" s="247"/>
      <c r="AB94" s="247"/>
      <c r="AC94" s="247"/>
      <c r="AD94" s="247"/>
      <c r="AE94" s="247"/>
      <c r="AF94" s="247"/>
      <c r="AG94" s="247"/>
      <c r="AH94" s="247"/>
      <c r="AI94" s="247"/>
      <c r="AJ94" s="247"/>
      <c r="AK94" s="247"/>
      <c r="AL94" s="247"/>
      <c r="AM94" s="247"/>
      <c r="AN94" s="247"/>
      <c r="AO94" s="247"/>
      <c r="AP94" s="247"/>
      <c r="AQ94" s="247"/>
      <c r="AR94" s="247"/>
      <c r="AS94" s="247"/>
      <c r="AT94" s="247"/>
      <c r="AU94" s="247"/>
      <c r="AV94" s="247"/>
      <c r="AW94" s="247"/>
      <c r="AX94" s="247"/>
      <c r="AY94" s="247"/>
      <c r="AZ94" s="247"/>
      <c r="BA94" s="247"/>
      <c r="BB94" s="247"/>
      <c r="BC94" s="247"/>
      <c r="BD94" s="247"/>
      <c r="BE94" s="453"/>
      <c r="BF94" s="452"/>
      <c r="BG94" s="453"/>
      <c r="BH94" s="452"/>
      <c r="BI94" s="453"/>
      <c r="BJ94" s="453"/>
      <c r="BK94" s="454"/>
    </row>
    <row r="95" spans="1:120" ht="15.75" customHeight="1">
      <c r="A95" s="30"/>
      <c r="B95" s="31" t="s">
        <v>623</v>
      </c>
      <c r="C95" s="32"/>
      <c r="D95" s="32"/>
      <c r="E95" s="32"/>
      <c r="F95" s="32"/>
      <c r="G95" s="32"/>
      <c r="H95" s="32"/>
      <c r="I95" s="32"/>
      <c r="J95" s="32"/>
      <c r="K95" s="32"/>
      <c r="L95" s="33"/>
      <c r="M95" s="32"/>
      <c r="N95" s="34"/>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5" t="s">
        <v>457</v>
      </c>
      <c r="BF95" s="35" t="s">
        <v>458</v>
      </c>
      <c r="BG95" s="35" t="s">
        <v>459</v>
      </c>
      <c r="BH95" s="35" t="s">
        <v>460</v>
      </c>
      <c r="BI95" s="35" t="s">
        <v>461</v>
      </c>
      <c r="BJ95" s="35" t="s">
        <v>462</v>
      </c>
      <c r="BK95" s="36" t="s">
        <v>463</v>
      </c>
    </row>
    <row r="96" spans="1:120" ht="15.75" customHeight="1">
      <c r="A96" s="456"/>
      <c r="B96" s="43" t="s">
        <v>624</v>
      </c>
      <c r="C96" s="243"/>
      <c r="D96" s="243"/>
      <c r="E96" s="243"/>
      <c r="F96" s="243"/>
      <c r="G96" s="243"/>
      <c r="H96" s="243"/>
      <c r="I96" s="243"/>
      <c r="J96" s="243"/>
      <c r="K96" s="243"/>
      <c r="L96" s="244"/>
      <c r="M96" s="243" t="s">
        <v>625</v>
      </c>
      <c r="N96" s="404"/>
      <c r="O96" s="404"/>
      <c r="P96" s="404"/>
      <c r="Q96" s="404"/>
      <c r="R96" s="404"/>
      <c r="S96" s="404"/>
      <c r="T96" s="404"/>
      <c r="U96" s="404"/>
      <c r="V96" s="404"/>
      <c r="W96" s="404"/>
      <c r="X96" s="404"/>
      <c r="Y96" s="404"/>
      <c r="Z96" s="404"/>
      <c r="AA96" s="404"/>
      <c r="AB96" s="404"/>
      <c r="AC96" s="404"/>
      <c r="AD96" s="404"/>
      <c r="AE96" s="404"/>
      <c r="AF96" s="404"/>
      <c r="AG96" s="404"/>
      <c r="AH96" s="404"/>
      <c r="AI96" s="404"/>
      <c r="AJ96" s="404"/>
      <c r="AK96" s="404"/>
      <c r="AL96" s="404"/>
      <c r="AM96" s="404"/>
      <c r="AN96" s="404"/>
      <c r="AO96" s="404"/>
      <c r="AP96" s="404"/>
      <c r="AQ96" s="404"/>
      <c r="AR96" s="404"/>
      <c r="AS96" s="404"/>
      <c r="AT96" s="404"/>
      <c r="AU96" s="404"/>
      <c r="AV96" s="404"/>
      <c r="AW96" s="404"/>
      <c r="AX96" s="404"/>
      <c r="AY96" s="404"/>
      <c r="AZ96" s="404"/>
      <c r="BA96" s="404"/>
      <c r="BB96" s="404"/>
      <c r="BC96" s="404"/>
      <c r="BD96" s="405"/>
      <c r="BE96" s="402" t="s">
        <v>621</v>
      </c>
      <c r="BF96" s="403" t="s">
        <v>622</v>
      </c>
      <c r="BG96" s="453"/>
      <c r="BH96" s="453"/>
      <c r="BI96" s="453"/>
      <c r="BJ96" s="453"/>
      <c r="BK96" s="454"/>
    </row>
    <row r="97" spans="1:63" ht="15.75" customHeight="1">
      <c r="A97" s="456"/>
      <c r="B97" s="43" t="s">
        <v>626</v>
      </c>
      <c r="C97" s="243"/>
      <c r="D97" s="243"/>
      <c r="E97" s="243"/>
      <c r="F97" s="243"/>
      <c r="G97" s="243"/>
      <c r="H97" s="243"/>
      <c r="I97" s="243"/>
      <c r="J97" s="243"/>
      <c r="K97" s="243"/>
      <c r="L97" s="244"/>
      <c r="M97" s="243" t="s">
        <v>627</v>
      </c>
      <c r="N97" s="404"/>
      <c r="O97" s="404"/>
      <c r="P97" s="404"/>
      <c r="Q97" s="404"/>
      <c r="R97" s="404"/>
      <c r="S97" s="404"/>
      <c r="T97" s="404"/>
      <c r="U97" s="404"/>
      <c r="V97" s="404"/>
      <c r="W97" s="404"/>
      <c r="X97" s="404"/>
      <c r="Y97" s="404"/>
      <c r="Z97" s="404"/>
      <c r="AA97" s="404"/>
      <c r="AB97" s="404"/>
      <c r="AC97" s="404"/>
      <c r="AD97" s="404"/>
      <c r="AE97" s="404"/>
      <c r="AF97" s="404"/>
      <c r="AG97" s="404"/>
      <c r="AH97" s="404"/>
      <c r="AI97" s="404"/>
      <c r="AJ97" s="404"/>
      <c r="AK97" s="404"/>
      <c r="AL97" s="404"/>
      <c r="AM97" s="404"/>
      <c r="AN97" s="404"/>
      <c r="AO97" s="404"/>
      <c r="AP97" s="404"/>
      <c r="AQ97" s="404"/>
      <c r="AR97" s="404"/>
      <c r="AS97" s="404"/>
      <c r="AT97" s="404"/>
      <c r="AU97" s="404"/>
      <c r="AV97" s="404"/>
      <c r="AW97" s="404"/>
      <c r="AX97" s="404"/>
      <c r="AY97" s="404"/>
      <c r="AZ97" s="404"/>
      <c r="BA97" s="404"/>
      <c r="BB97" s="404"/>
      <c r="BC97" s="404"/>
      <c r="BD97" s="405"/>
      <c r="BE97" s="402" t="s">
        <v>621</v>
      </c>
      <c r="BF97" s="403" t="s">
        <v>622</v>
      </c>
      <c r="BG97" s="453"/>
      <c r="BH97" s="453"/>
      <c r="BI97" s="453"/>
      <c r="BJ97" s="453"/>
      <c r="BK97" s="454"/>
    </row>
    <row r="98" spans="1:63" ht="15.75" customHeight="1" thickBot="1">
      <c r="A98" s="457"/>
      <c r="B98" s="455"/>
      <c r="C98" s="245"/>
      <c r="D98" s="245"/>
      <c r="E98" s="245"/>
      <c r="F98" s="245"/>
      <c r="G98" s="245"/>
      <c r="H98" s="245"/>
      <c r="I98" s="245"/>
      <c r="J98" s="245"/>
      <c r="K98" s="245"/>
      <c r="L98" s="246"/>
      <c r="M98" s="245"/>
      <c r="N98" s="245"/>
      <c r="O98" s="245"/>
      <c r="P98" s="245"/>
      <c r="Q98" s="245"/>
      <c r="R98" s="245"/>
      <c r="S98" s="245"/>
      <c r="T98" s="245"/>
      <c r="U98" s="245"/>
      <c r="V98" s="245"/>
      <c r="W98" s="245"/>
      <c r="X98" s="245"/>
      <c r="Y98" s="245"/>
      <c r="Z98" s="245"/>
      <c r="AA98" s="245"/>
      <c r="AB98" s="245"/>
      <c r="AC98" s="245"/>
      <c r="AD98" s="245"/>
      <c r="AE98" s="245"/>
      <c r="AF98" s="245"/>
      <c r="AG98" s="245"/>
      <c r="AH98" s="245"/>
      <c r="AI98" s="245"/>
      <c r="AJ98" s="245"/>
      <c r="AK98" s="245"/>
      <c r="AL98" s="245"/>
      <c r="AM98" s="245"/>
      <c r="AN98" s="245"/>
      <c r="AO98" s="245"/>
      <c r="AP98" s="245"/>
      <c r="AQ98" s="245"/>
      <c r="AR98" s="245"/>
      <c r="AS98" s="245"/>
      <c r="AT98" s="245"/>
      <c r="AU98" s="245"/>
      <c r="AV98" s="245"/>
      <c r="AW98" s="245"/>
      <c r="AX98" s="245"/>
      <c r="AY98" s="245"/>
      <c r="AZ98" s="245"/>
      <c r="BA98" s="245"/>
      <c r="BB98" s="245"/>
      <c r="BC98" s="245"/>
      <c r="BD98" s="245"/>
      <c r="BE98" s="402"/>
      <c r="BF98" s="402"/>
      <c r="BG98" s="402"/>
      <c r="BH98" s="402"/>
      <c r="BI98" s="402"/>
      <c r="BJ98" s="402"/>
      <c r="BK98" s="406"/>
    </row>
    <row r="99" spans="1:63" ht="15.75" customHeight="1">
      <c r="A99" s="30"/>
      <c r="B99" s="31" t="s">
        <v>628</v>
      </c>
      <c r="C99" s="32"/>
      <c r="D99" s="32"/>
      <c r="E99" s="32"/>
      <c r="F99" s="32"/>
      <c r="G99" s="32"/>
      <c r="H99" s="32"/>
      <c r="I99" s="32"/>
      <c r="J99" s="32"/>
      <c r="K99" s="32"/>
      <c r="L99" s="33"/>
      <c r="M99" s="32"/>
      <c r="N99" s="34" t="s">
        <v>456</v>
      </c>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5" t="s">
        <v>457</v>
      </c>
      <c r="BF99" s="35" t="s">
        <v>458</v>
      </c>
      <c r="BG99" s="35" t="s">
        <v>459</v>
      </c>
      <c r="BH99" s="35" t="s">
        <v>460</v>
      </c>
      <c r="BI99" s="35" t="s">
        <v>461</v>
      </c>
      <c r="BJ99" s="35" t="s">
        <v>462</v>
      </c>
      <c r="BK99" s="36" t="s">
        <v>463</v>
      </c>
    </row>
    <row r="100" spans="1:63" ht="15.75" customHeight="1">
      <c r="A100" s="456"/>
      <c r="B100" s="43" t="s">
        <v>629</v>
      </c>
      <c r="C100" s="243"/>
      <c r="D100" s="243"/>
      <c r="E100" s="243"/>
      <c r="F100" s="243"/>
      <c r="G100" s="243"/>
      <c r="H100" s="243"/>
      <c r="I100" s="243"/>
      <c r="J100" s="243"/>
      <c r="K100" s="243"/>
      <c r="L100" s="244"/>
      <c r="M100" s="248" t="s">
        <v>630</v>
      </c>
      <c r="N100" s="243"/>
      <c r="O100" s="243"/>
      <c r="P100" s="243"/>
      <c r="Q100" s="243"/>
      <c r="R100" s="243"/>
      <c r="S100" s="243"/>
      <c r="T100" s="243"/>
      <c r="U100" s="243"/>
      <c r="V100" s="243"/>
      <c r="W100" s="243"/>
      <c r="X100" s="243"/>
      <c r="Y100" s="243"/>
      <c r="Z100" s="243"/>
      <c r="AA100" s="243"/>
      <c r="AB100" s="243"/>
      <c r="AC100" s="243"/>
      <c r="AD100" s="243"/>
      <c r="AE100" s="243"/>
      <c r="AF100" s="243"/>
      <c r="AG100" s="243"/>
      <c r="AH100" s="243"/>
      <c r="AI100" s="243"/>
      <c r="AJ100" s="243"/>
      <c r="AK100" s="243"/>
      <c r="AL100" s="243"/>
      <c r="AM100" s="243"/>
      <c r="AN100" s="243"/>
      <c r="AO100" s="243"/>
      <c r="AP100" s="243"/>
      <c r="AQ100" s="243"/>
      <c r="AR100" s="243"/>
      <c r="AS100" s="243"/>
      <c r="AT100" s="243"/>
      <c r="AU100" s="243"/>
      <c r="AV100" s="243"/>
      <c r="AW100" s="243"/>
      <c r="AX100" s="243"/>
      <c r="AY100" s="243"/>
      <c r="AZ100" s="243"/>
      <c r="BA100" s="243"/>
      <c r="BB100" s="243"/>
      <c r="BC100" s="243"/>
      <c r="BD100" s="244"/>
      <c r="BE100" s="453" t="s">
        <v>631</v>
      </c>
      <c r="BF100" s="452"/>
      <c r="BG100" s="453"/>
      <c r="BH100" s="453"/>
      <c r="BI100" s="453"/>
      <c r="BJ100" s="453"/>
      <c r="BK100" s="454"/>
    </row>
    <row r="101" spans="1:63" ht="15.75" customHeight="1">
      <c r="A101" s="456"/>
      <c r="B101" s="43" t="s">
        <v>632</v>
      </c>
      <c r="C101" s="243"/>
      <c r="D101" s="243"/>
      <c r="E101" s="243"/>
      <c r="F101" s="243"/>
      <c r="G101" s="243"/>
      <c r="H101" s="243"/>
      <c r="I101" s="243"/>
      <c r="J101" s="243"/>
      <c r="K101" s="243"/>
      <c r="L101" s="244"/>
      <c r="M101" s="248" t="s">
        <v>633</v>
      </c>
      <c r="N101" s="243"/>
      <c r="O101" s="243"/>
      <c r="P101" s="243"/>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c r="AT101" s="243"/>
      <c r="AU101" s="243"/>
      <c r="AV101" s="243"/>
      <c r="AW101" s="243"/>
      <c r="AX101" s="243"/>
      <c r="AY101" s="243"/>
      <c r="AZ101" s="243"/>
      <c r="BA101" s="243"/>
      <c r="BB101" s="243"/>
      <c r="BC101" s="243"/>
      <c r="BD101" s="244"/>
      <c r="BE101" s="453" t="s">
        <v>631</v>
      </c>
      <c r="BF101" s="452"/>
      <c r="BG101" s="453"/>
      <c r="BH101" s="453"/>
      <c r="BI101" s="453"/>
      <c r="BJ101" s="453"/>
      <c r="BK101" s="454"/>
    </row>
    <row r="102" spans="1:63" ht="15.75" customHeight="1">
      <c r="A102" s="457"/>
      <c r="B102" s="451" t="s">
        <v>634</v>
      </c>
      <c r="C102" s="245"/>
      <c r="D102" s="245"/>
      <c r="E102" s="245"/>
      <c r="F102" s="245"/>
      <c r="G102" s="245"/>
      <c r="H102" s="245"/>
      <c r="I102" s="245"/>
      <c r="J102" s="245"/>
      <c r="K102" s="245"/>
      <c r="L102" s="246"/>
      <c r="M102" s="248" t="s">
        <v>635</v>
      </c>
      <c r="N102" s="243"/>
      <c r="O102" s="243"/>
      <c r="P102" s="243"/>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243"/>
      <c r="AV102" s="243"/>
      <c r="AW102" s="243"/>
      <c r="AX102" s="243"/>
      <c r="AY102" s="243"/>
      <c r="AZ102" s="243"/>
      <c r="BA102" s="243"/>
      <c r="BB102" s="243"/>
      <c r="BC102" s="243"/>
      <c r="BD102" s="244"/>
      <c r="BE102" s="453" t="s">
        <v>631</v>
      </c>
      <c r="BF102" s="452"/>
      <c r="BG102" s="453"/>
      <c r="BH102" s="453"/>
      <c r="BI102" s="453"/>
      <c r="BJ102" s="453"/>
      <c r="BK102" s="454"/>
    </row>
    <row r="103" spans="1:63" ht="15.75" customHeight="1">
      <c r="A103" s="457"/>
      <c r="B103" s="451" t="s">
        <v>636</v>
      </c>
      <c r="C103" s="245"/>
      <c r="D103" s="245"/>
      <c r="E103" s="245"/>
      <c r="F103" s="245"/>
      <c r="G103" s="245"/>
      <c r="H103" s="245"/>
      <c r="I103" s="245"/>
      <c r="J103" s="245"/>
      <c r="K103" s="245"/>
      <c r="L103" s="246"/>
      <c r="M103" s="248" t="s">
        <v>637</v>
      </c>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4"/>
      <c r="BE103" s="453" t="s">
        <v>631</v>
      </c>
      <c r="BF103" s="452"/>
      <c r="BG103" s="453"/>
      <c r="BH103" s="453"/>
      <c r="BI103" s="453"/>
      <c r="BJ103" s="453"/>
      <c r="BK103" s="454"/>
    </row>
    <row r="104" spans="1:63" ht="15.75" customHeight="1">
      <c r="A104" s="457"/>
      <c r="B104" s="451" t="s">
        <v>638</v>
      </c>
      <c r="C104" s="245"/>
      <c r="D104" s="245"/>
      <c r="E104" s="245"/>
      <c r="F104" s="245"/>
      <c r="G104" s="245"/>
      <c r="H104" s="245"/>
      <c r="I104" s="245"/>
      <c r="J104" s="245"/>
      <c r="K104" s="245"/>
      <c r="L104" s="246"/>
      <c r="M104" s="248" t="s">
        <v>639</v>
      </c>
      <c r="N104" s="243"/>
      <c r="O104" s="243"/>
      <c r="P104" s="243"/>
      <c r="Q104" s="243"/>
      <c r="R104" s="243"/>
      <c r="S104" s="243"/>
      <c r="T104" s="243"/>
      <c r="U104" s="243"/>
      <c r="V104" s="243"/>
      <c r="W104" s="243"/>
      <c r="X104" s="243"/>
      <c r="Y104" s="243"/>
      <c r="Z104" s="243"/>
      <c r="AA104" s="243"/>
      <c r="AB104" s="243"/>
      <c r="AC104" s="243"/>
      <c r="AD104" s="243"/>
      <c r="AE104" s="243"/>
      <c r="AF104" s="243"/>
      <c r="AG104" s="243"/>
      <c r="AH104" s="243"/>
      <c r="AI104" s="243"/>
      <c r="AJ104" s="243"/>
      <c r="AK104" s="243"/>
      <c r="AL104" s="243"/>
      <c r="AM104" s="243"/>
      <c r="AN104" s="243"/>
      <c r="AO104" s="243"/>
      <c r="AP104" s="243"/>
      <c r="AQ104" s="243"/>
      <c r="AR104" s="243"/>
      <c r="AS104" s="243"/>
      <c r="AT104" s="243"/>
      <c r="AU104" s="243"/>
      <c r="AV104" s="243"/>
      <c r="AW104" s="243"/>
      <c r="AX104" s="243"/>
      <c r="AY104" s="243"/>
      <c r="AZ104" s="243"/>
      <c r="BA104" s="243"/>
      <c r="BB104" s="243"/>
      <c r="BC104" s="243"/>
      <c r="BD104" s="244"/>
      <c r="BE104" s="453" t="s">
        <v>631</v>
      </c>
      <c r="BF104" s="452"/>
      <c r="BG104" s="453"/>
      <c r="BH104" s="453"/>
      <c r="BI104" s="453"/>
      <c r="BJ104" s="453"/>
      <c r="BK104" s="454"/>
    </row>
    <row r="105" spans="1:63" ht="15.75" customHeight="1">
      <c r="A105" s="457"/>
      <c r="B105" s="451" t="s">
        <v>640</v>
      </c>
      <c r="C105" s="245"/>
      <c r="D105" s="245"/>
      <c r="E105" s="245"/>
      <c r="F105" s="245"/>
      <c r="G105" s="245"/>
      <c r="H105" s="245"/>
      <c r="I105" s="245"/>
      <c r="J105" s="245"/>
      <c r="K105" s="245"/>
      <c r="L105" s="246"/>
      <c r="M105" s="248" t="s">
        <v>641</v>
      </c>
      <c r="N105" s="243"/>
      <c r="O105" s="243"/>
      <c r="P105" s="243"/>
      <c r="Q105" s="243"/>
      <c r="R105" s="243"/>
      <c r="S105" s="243"/>
      <c r="T105" s="243"/>
      <c r="U105" s="243"/>
      <c r="V105" s="243"/>
      <c r="W105" s="243"/>
      <c r="X105" s="243"/>
      <c r="Y105" s="243"/>
      <c r="Z105" s="243"/>
      <c r="AA105" s="243"/>
      <c r="AB105" s="243"/>
      <c r="AC105" s="243"/>
      <c r="AD105" s="243"/>
      <c r="AE105" s="243"/>
      <c r="AF105" s="243"/>
      <c r="AG105" s="243"/>
      <c r="AH105" s="243"/>
      <c r="AI105" s="243"/>
      <c r="AJ105" s="243"/>
      <c r="AK105" s="243"/>
      <c r="AL105" s="243"/>
      <c r="AM105" s="243"/>
      <c r="AN105" s="243"/>
      <c r="AO105" s="243"/>
      <c r="AP105" s="243"/>
      <c r="AQ105" s="243"/>
      <c r="AR105" s="243"/>
      <c r="AS105" s="243"/>
      <c r="AT105" s="243"/>
      <c r="AU105" s="243"/>
      <c r="AV105" s="243"/>
      <c r="AW105" s="243"/>
      <c r="AX105" s="243"/>
      <c r="AY105" s="243"/>
      <c r="AZ105" s="243"/>
      <c r="BA105" s="243"/>
      <c r="BB105" s="243"/>
      <c r="BC105" s="243"/>
      <c r="BD105" s="244"/>
      <c r="BE105" s="453" t="s">
        <v>631</v>
      </c>
      <c r="BF105" s="452"/>
      <c r="BG105" s="453"/>
      <c r="BH105" s="453"/>
      <c r="BI105" s="453"/>
      <c r="BJ105" s="453"/>
      <c r="BK105" s="454"/>
    </row>
    <row r="106" spans="1:63" ht="15.75" customHeight="1" thickBot="1">
      <c r="A106" s="37"/>
      <c r="B106" s="38"/>
      <c r="C106" s="39"/>
      <c r="D106" s="39"/>
      <c r="E106" s="39"/>
      <c r="F106" s="39"/>
      <c r="G106" s="39"/>
      <c r="H106" s="39"/>
      <c r="I106" s="39"/>
      <c r="J106" s="39"/>
      <c r="K106" s="39"/>
      <c r="L106" s="40"/>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41"/>
      <c r="BF106" s="41"/>
      <c r="BG106" s="41"/>
      <c r="BH106" s="41"/>
      <c r="BI106" s="41"/>
      <c r="BJ106" s="41"/>
      <c r="BK106" s="42"/>
    </row>
  </sheetData>
  <mergeCells count="36">
    <mergeCell ref="BM6:CJ6"/>
    <mergeCell ref="AS1:AY1"/>
    <mergeCell ref="AZ1:BE1"/>
    <mergeCell ref="BF1:BK1"/>
    <mergeCell ref="AS2:AY3"/>
    <mergeCell ref="AZ2:BE3"/>
    <mergeCell ref="BF2:BK3"/>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 ref="BL87:DI87"/>
    <mergeCell ref="BL77:DI77"/>
    <mergeCell ref="BL78:DI78"/>
    <mergeCell ref="BL79:DH79"/>
    <mergeCell ref="BL8:CR8"/>
    <mergeCell ref="BL61:CI61"/>
    <mergeCell ref="BL20:CF20"/>
    <mergeCell ref="BM60:CJ60"/>
    <mergeCell ref="BL49:CG49"/>
    <mergeCell ref="BL50:CH50"/>
    <mergeCell ref="BL83:DI83"/>
    <mergeCell ref="BL30:CF33"/>
    <mergeCell ref="CM61:CX61"/>
    <mergeCell ref="DA61:DV61"/>
  </mergeCells>
  <phoneticPr fontId="9"/>
  <hyperlinks>
    <hyperlink ref="CJ21" r:id="rId1" display="'https://crown-grp.backlog.com/alias/file/27383942" xr:uid="{D0A853B8-2FA3-4824-A108-01AB893392CD}"/>
  </hyperlinks>
  <pageMargins left="0.51181102362204722" right="0.74803149606299213" top="0.70866141732283472" bottom="0.43307086614173229" header="0.51181102362204722" footer="0.19685039370078741"/>
  <pageSetup paperSize="9" scale="31" fitToHeight="0"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I38" sqref="AI38"/>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88"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88" s="4" customFormat="1" ht="15.75" customHeight="1" thickBot="1">
      <c r="A3" s="1220"/>
      <c r="B3" s="1221"/>
      <c r="C3" s="1221"/>
      <c r="D3" s="1221"/>
      <c r="E3" s="1221"/>
      <c r="F3" s="1221"/>
      <c r="G3" s="1221"/>
      <c r="H3" s="1221"/>
      <c r="I3" s="1221"/>
      <c r="J3" s="1222"/>
      <c r="K3" s="1200" t="str">
        <f ca="1">RIGHT(CELL("filename",$A$1),LEN(CELL("filename",$A$1))-FIND("]",CELL("filename",$A$1)))</f>
        <v>引数説明</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88" s="4" customFormat="1" ht="6.75" customHeight="1" thickBot="1">
      <c r="B4" s="5"/>
      <c r="C4" s="6"/>
      <c r="D4" s="6"/>
      <c r="E4" s="6"/>
      <c r="F4" s="7"/>
      <c r="G4" s="7"/>
      <c r="H4" s="7"/>
      <c r="I4" s="7"/>
      <c r="J4" s="6"/>
      <c r="K4" s="7"/>
      <c r="L4" s="7"/>
      <c r="M4" s="7"/>
      <c r="N4" s="7"/>
      <c r="O4" s="7"/>
      <c r="P4" s="7"/>
      <c r="Q4" s="8"/>
    </row>
    <row r="5" spans="1:88" s="7" customFormat="1" ht="14.25">
      <c r="A5" s="84"/>
      <c r="B5" s="44" t="s">
        <v>642</v>
      </c>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6"/>
      <c r="BM5" s="1266"/>
      <c r="BN5" s="1266"/>
      <c r="BO5" s="1266"/>
      <c r="BP5" s="1266"/>
      <c r="BQ5" s="1266"/>
      <c r="BR5" s="1266"/>
      <c r="BS5" s="1266"/>
      <c r="BT5" s="1266"/>
      <c r="BU5" s="1266"/>
      <c r="BV5" s="1266"/>
      <c r="BW5" s="1266"/>
      <c r="BX5" s="1266"/>
      <c r="BY5" s="1266"/>
      <c r="BZ5" s="1266"/>
      <c r="CA5" s="1266"/>
      <c r="CB5" s="1266"/>
      <c r="CC5" s="1266"/>
      <c r="CD5" s="1266"/>
      <c r="CE5" s="1266"/>
      <c r="CF5" s="1266"/>
      <c r="CG5" s="1266"/>
      <c r="CH5" s="1266"/>
      <c r="CI5" s="1266"/>
      <c r="CJ5" s="1266"/>
    </row>
    <row r="6" spans="1:88" ht="15.75" customHeight="1">
      <c r="A6" s="458" t="s">
        <v>460</v>
      </c>
      <c r="B6" s="85" t="s">
        <v>643</v>
      </c>
      <c r="C6" s="433"/>
      <c r="D6" s="433"/>
      <c r="E6" s="433"/>
      <c r="F6" s="433"/>
      <c r="G6" s="433"/>
      <c r="H6" s="433"/>
      <c r="I6" s="433"/>
      <c r="J6" s="433"/>
      <c r="K6" s="433"/>
      <c r="L6" s="434"/>
      <c r="M6" s="433"/>
      <c r="N6" s="435" t="s">
        <v>644</v>
      </c>
      <c r="O6" s="433"/>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6" t="s">
        <v>645</v>
      </c>
      <c r="AT6" s="433"/>
      <c r="AU6" s="433"/>
      <c r="AV6" s="433"/>
      <c r="AW6" s="433"/>
      <c r="AX6" s="433"/>
      <c r="AY6" s="433"/>
      <c r="AZ6" s="433"/>
      <c r="BA6" s="433"/>
      <c r="BB6" s="433"/>
      <c r="BC6" s="433"/>
      <c r="BD6" s="433"/>
      <c r="BE6" s="433"/>
      <c r="BF6" s="433"/>
      <c r="BG6" s="433"/>
      <c r="BH6" s="433"/>
      <c r="BI6" s="433"/>
      <c r="BJ6" s="433"/>
      <c r="BK6" s="437"/>
    </row>
    <row r="7" spans="1:88" ht="15.75" customHeight="1">
      <c r="A7" s="459"/>
      <c r="B7" s="460"/>
      <c r="C7" s="275"/>
      <c r="D7" s="275"/>
      <c r="E7" s="275"/>
      <c r="F7" s="275"/>
      <c r="G7" s="275"/>
      <c r="H7" s="275"/>
      <c r="I7" s="275"/>
      <c r="J7" s="275"/>
      <c r="K7" s="275"/>
      <c r="L7" s="276"/>
      <c r="M7" s="275"/>
      <c r="N7" s="275"/>
      <c r="O7" s="275"/>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461"/>
      <c r="AT7" s="275"/>
      <c r="AU7" s="275"/>
      <c r="AV7" s="275"/>
      <c r="AW7" s="275"/>
      <c r="AX7" s="275"/>
      <c r="AY7" s="275"/>
      <c r="AZ7" s="275"/>
      <c r="BA7" s="275"/>
      <c r="BB7" s="275"/>
      <c r="BC7" s="275"/>
      <c r="BD7" s="275"/>
      <c r="BE7" s="275"/>
      <c r="BF7" s="275"/>
      <c r="BG7" s="275"/>
      <c r="BH7" s="275"/>
      <c r="BI7" s="275"/>
      <c r="BJ7" s="275"/>
      <c r="BK7" s="328"/>
    </row>
    <row r="8" spans="1:88" ht="15.75" customHeight="1">
      <c r="A8" s="459"/>
      <c r="B8" s="460"/>
      <c r="C8" s="275"/>
      <c r="D8" s="275"/>
      <c r="E8" s="275"/>
      <c r="F8" s="275"/>
      <c r="G8" s="275"/>
      <c r="H8" s="275"/>
      <c r="I8" s="275"/>
      <c r="J8" s="275"/>
      <c r="K8" s="275"/>
      <c r="L8" s="276"/>
      <c r="M8" s="275"/>
      <c r="N8" s="275"/>
      <c r="O8" s="275"/>
      <c r="P8" s="275"/>
      <c r="Q8" s="275"/>
      <c r="R8" s="275"/>
      <c r="S8" s="275"/>
      <c r="T8" s="275"/>
      <c r="U8" s="275"/>
      <c r="V8" s="275"/>
      <c r="W8" s="275"/>
      <c r="X8" s="275"/>
      <c r="Y8" s="275"/>
      <c r="Z8" s="275"/>
      <c r="AA8" s="275"/>
      <c r="AB8" s="275"/>
      <c r="AC8" s="275"/>
      <c r="AD8" s="275"/>
      <c r="AE8" s="275"/>
      <c r="AF8" s="275"/>
      <c r="AG8" s="275"/>
      <c r="AH8" s="275"/>
      <c r="AI8" s="275"/>
      <c r="AJ8" s="275"/>
      <c r="AK8" s="275"/>
      <c r="AL8" s="275"/>
      <c r="AM8" s="275"/>
      <c r="AN8" s="275"/>
      <c r="AO8" s="275"/>
      <c r="AP8" s="275"/>
      <c r="AQ8" s="275"/>
      <c r="AR8" s="275"/>
      <c r="AS8" s="461"/>
      <c r="AT8" s="275"/>
      <c r="AU8" s="275"/>
      <c r="AV8" s="275"/>
      <c r="AW8" s="275"/>
      <c r="AX8" s="275"/>
      <c r="AY8" s="275"/>
      <c r="AZ8" s="275"/>
      <c r="BA8" s="275"/>
      <c r="BB8" s="275"/>
      <c r="BC8" s="275"/>
      <c r="BD8" s="275"/>
      <c r="BE8" s="275"/>
      <c r="BF8" s="275"/>
      <c r="BG8" s="275"/>
      <c r="BH8" s="275"/>
      <c r="BI8" s="275"/>
      <c r="BJ8" s="275"/>
      <c r="BK8" s="328"/>
    </row>
    <row r="9" spans="1:88" ht="15.75" customHeight="1">
      <c r="A9" s="462"/>
      <c r="B9" s="3"/>
      <c r="C9" s="247"/>
      <c r="D9" s="247"/>
      <c r="E9" s="247"/>
      <c r="F9" s="247"/>
      <c r="G9" s="247"/>
      <c r="H9" s="247"/>
      <c r="I9" s="247"/>
      <c r="J9" s="247"/>
      <c r="K9" s="247"/>
      <c r="L9" s="263"/>
      <c r="M9" s="275"/>
      <c r="N9" s="275"/>
      <c r="O9" s="275"/>
      <c r="P9" s="275"/>
      <c r="Q9" s="275"/>
      <c r="R9" s="275"/>
      <c r="S9" s="275"/>
      <c r="T9" s="275"/>
      <c r="U9" s="275"/>
      <c r="V9" s="275"/>
      <c r="W9" s="275"/>
      <c r="X9" s="275"/>
      <c r="Y9" s="275"/>
      <c r="Z9" s="275"/>
      <c r="AA9" s="275"/>
      <c r="AB9" s="275"/>
      <c r="AC9" s="275"/>
      <c r="AD9" s="275"/>
      <c r="AE9" s="275"/>
      <c r="AF9" s="275"/>
      <c r="AG9" s="275"/>
      <c r="AH9" s="275"/>
      <c r="AI9" s="275"/>
      <c r="AJ9" s="275"/>
      <c r="AK9" s="275"/>
      <c r="AL9" s="275"/>
      <c r="AM9" s="275"/>
      <c r="AN9" s="275"/>
      <c r="AO9" s="275"/>
      <c r="AP9" s="275"/>
      <c r="AQ9" s="275"/>
      <c r="AR9" s="275"/>
      <c r="AS9" s="461"/>
      <c r="AT9" s="275"/>
      <c r="AU9" s="275"/>
      <c r="AV9" s="275"/>
      <c r="AW9" s="275"/>
      <c r="AX9" s="275"/>
      <c r="AY9" s="275"/>
      <c r="AZ9" s="275"/>
      <c r="BA9" s="275"/>
      <c r="BB9" s="275"/>
      <c r="BC9" s="275"/>
      <c r="BD9" s="275"/>
      <c r="BE9" s="275"/>
      <c r="BF9" s="275"/>
      <c r="BG9" s="275"/>
      <c r="BH9" s="275"/>
      <c r="BI9" s="275"/>
      <c r="BJ9" s="275"/>
      <c r="BK9" s="328"/>
    </row>
    <row r="10" spans="1:88" ht="15.75" customHeight="1">
      <c r="A10" s="462"/>
      <c r="B10" s="3"/>
      <c r="C10" s="247"/>
      <c r="D10" s="247"/>
      <c r="E10" s="247"/>
      <c r="F10" s="247"/>
      <c r="G10" s="247"/>
      <c r="H10" s="247"/>
      <c r="I10" s="247"/>
      <c r="J10" s="247"/>
      <c r="K10" s="247"/>
      <c r="L10" s="263"/>
      <c r="M10" s="275"/>
      <c r="N10" s="275"/>
      <c r="O10" s="275"/>
      <c r="P10" s="275"/>
      <c r="Q10" s="275"/>
      <c r="R10" s="275"/>
      <c r="S10" s="275"/>
      <c r="T10" s="275"/>
      <c r="U10" s="275"/>
      <c r="V10" s="275"/>
      <c r="W10" s="275"/>
      <c r="X10" s="275"/>
      <c r="Y10" s="275"/>
      <c r="Z10" s="275"/>
      <c r="AA10" s="275"/>
      <c r="AB10" s="275"/>
      <c r="AC10" s="275"/>
      <c r="AD10" s="275"/>
      <c r="AE10" s="275"/>
      <c r="AF10" s="275"/>
      <c r="AG10" s="275"/>
      <c r="AH10" s="275"/>
      <c r="AI10" s="275"/>
      <c r="AJ10" s="275"/>
      <c r="AK10" s="275"/>
      <c r="AL10" s="275"/>
      <c r="AM10" s="275"/>
      <c r="AN10" s="275"/>
      <c r="AO10" s="275"/>
      <c r="AP10" s="275"/>
      <c r="AQ10" s="275"/>
      <c r="AR10" s="275"/>
      <c r="AS10" s="461"/>
      <c r="AT10" s="275"/>
      <c r="AU10" s="275"/>
      <c r="AV10" s="275"/>
      <c r="AW10" s="275"/>
      <c r="AX10" s="275"/>
      <c r="AY10" s="275"/>
      <c r="AZ10" s="275"/>
      <c r="BA10" s="275"/>
      <c r="BB10" s="275"/>
      <c r="BC10" s="275"/>
      <c r="BD10" s="275"/>
      <c r="BE10" s="275"/>
      <c r="BF10" s="275"/>
      <c r="BG10" s="275"/>
      <c r="BH10" s="275"/>
      <c r="BI10" s="275"/>
      <c r="BJ10" s="275"/>
      <c r="BK10" s="328"/>
    </row>
    <row r="11" spans="1:88" ht="15.75" customHeight="1">
      <c r="A11" s="462"/>
      <c r="B11" s="3"/>
      <c r="C11" s="247"/>
      <c r="D11" s="247"/>
      <c r="E11" s="247"/>
      <c r="F11" s="247"/>
      <c r="G11" s="247"/>
      <c r="H11" s="247"/>
      <c r="I11" s="247"/>
      <c r="J11" s="247"/>
      <c r="K11" s="247"/>
      <c r="L11" s="263"/>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c r="AM11" s="275"/>
      <c r="AN11" s="275"/>
      <c r="AO11" s="275"/>
      <c r="AP11" s="275"/>
      <c r="AQ11" s="275"/>
      <c r="AR11" s="275"/>
      <c r="AS11" s="461"/>
      <c r="AT11" s="275"/>
      <c r="AU11" s="275"/>
      <c r="AV11" s="275"/>
      <c r="AW11" s="275"/>
      <c r="AX11" s="275"/>
      <c r="AY11" s="275"/>
      <c r="AZ11" s="275"/>
      <c r="BA11" s="275"/>
      <c r="BB11" s="275"/>
      <c r="BC11" s="275"/>
      <c r="BD11" s="275"/>
      <c r="BE11" s="275"/>
      <c r="BF11" s="275"/>
      <c r="BG11" s="275"/>
      <c r="BH11" s="275"/>
      <c r="BI11" s="275"/>
      <c r="BJ11" s="275"/>
      <c r="BK11" s="328"/>
    </row>
    <row r="12" spans="1:88" ht="15.75" customHeight="1">
      <c r="A12" s="462"/>
      <c r="B12" s="3"/>
      <c r="C12" s="247"/>
      <c r="D12" s="247"/>
      <c r="E12" s="247"/>
      <c r="F12" s="247"/>
      <c r="G12" s="247"/>
      <c r="H12" s="247"/>
      <c r="I12" s="247"/>
      <c r="J12" s="247"/>
      <c r="K12" s="247"/>
      <c r="L12" s="263"/>
      <c r="M12" s="275"/>
      <c r="N12" s="275"/>
      <c r="O12" s="275"/>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5"/>
      <c r="AP12" s="275"/>
      <c r="AQ12" s="275"/>
      <c r="AR12" s="275"/>
      <c r="AS12" s="461"/>
      <c r="AT12" s="275"/>
      <c r="AU12" s="275"/>
      <c r="AV12" s="275"/>
      <c r="AW12" s="275"/>
      <c r="AX12" s="275"/>
      <c r="AY12" s="275"/>
      <c r="AZ12" s="275"/>
      <c r="BA12" s="275"/>
      <c r="BB12" s="275"/>
      <c r="BC12" s="275"/>
      <c r="BD12" s="275"/>
      <c r="BE12" s="275"/>
      <c r="BF12" s="275"/>
      <c r="BG12" s="275"/>
      <c r="BH12" s="275"/>
      <c r="BI12" s="275"/>
      <c r="BJ12" s="275"/>
      <c r="BK12" s="328"/>
    </row>
    <row r="13" spans="1:88" ht="15.75" customHeight="1">
      <c r="A13" s="462"/>
      <c r="B13" s="3"/>
      <c r="C13" s="247"/>
      <c r="D13" s="247"/>
      <c r="E13" s="247"/>
      <c r="F13" s="247"/>
      <c r="G13" s="247"/>
      <c r="H13" s="247"/>
      <c r="I13" s="247"/>
      <c r="J13" s="247"/>
      <c r="K13" s="247"/>
      <c r="L13" s="263"/>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461"/>
      <c r="AT13" s="275"/>
      <c r="AU13" s="275"/>
      <c r="AV13" s="275"/>
      <c r="AW13" s="275"/>
      <c r="AX13" s="275"/>
      <c r="AY13" s="275"/>
      <c r="AZ13" s="275"/>
      <c r="BA13" s="275"/>
      <c r="BB13" s="275"/>
      <c r="BC13" s="275"/>
      <c r="BD13" s="275"/>
      <c r="BE13" s="275"/>
      <c r="BF13" s="275"/>
      <c r="BG13" s="275"/>
      <c r="BH13" s="275"/>
      <c r="BI13" s="275"/>
      <c r="BJ13" s="275"/>
      <c r="BK13" s="328"/>
    </row>
    <row r="14" spans="1:88" ht="15.75" customHeight="1">
      <c r="A14" s="462"/>
      <c r="B14" s="3"/>
      <c r="C14" s="247"/>
      <c r="D14" s="247"/>
      <c r="E14" s="247"/>
      <c r="F14" s="247"/>
      <c r="G14" s="247"/>
      <c r="H14" s="247"/>
      <c r="I14" s="247"/>
      <c r="J14" s="247"/>
      <c r="K14" s="247"/>
      <c r="L14" s="263"/>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5"/>
      <c r="AP14" s="275"/>
      <c r="AQ14" s="275"/>
      <c r="AR14" s="275"/>
      <c r="AS14" s="461"/>
      <c r="AT14" s="275"/>
      <c r="AU14" s="275"/>
      <c r="AV14" s="275"/>
      <c r="AW14" s="275"/>
      <c r="AX14" s="275"/>
      <c r="AY14" s="275"/>
      <c r="AZ14" s="275"/>
      <c r="BA14" s="275"/>
      <c r="BB14" s="275"/>
      <c r="BC14" s="275"/>
      <c r="BD14" s="275"/>
      <c r="BE14" s="275"/>
      <c r="BF14" s="275"/>
      <c r="BG14" s="275"/>
      <c r="BH14" s="275"/>
      <c r="BI14" s="275"/>
      <c r="BJ14" s="275"/>
      <c r="BK14" s="328"/>
    </row>
    <row r="15" spans="1:88" ht="15.75" customHeight="1">
      <c r="A15" s="462"/>
      <c r="B15" s="3"/>
      <c r="C15" s="247"/>
      <c r="D15" s="247"/>
      <c r="E15" s="247"/>
      <c r="F15" s="247"/>
      <c r="G15" s="247"/>
      <c r="H15" s="247"/>
      <c r="I15" s="247"/>
      <c r="J15" s="247"/>
      <c r="K15" s="247"/>
      <c r="L15" s="263"/>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5"/>
      <c r="AP15" s="275"/>
      <c r="AQ15" s="275"/>
      <c r="AR15" s="275"/>
      <c r="AS15" s="461"/>
      <c r="AT15" s="275"/>
      <c r="AU15" s="275"/>
      <c r="AV15" s="275"/>
      <c r="AW15" s="275"/>
      <c r="AX15" s="275"/>
      <c r="AY15" s="275"/>
      <c r="AZ15" s="275"/>
      <c r="BA15" s="275"/>
      <c r="BB15" s="275"/>
      <c r="BC15" s="275"/>
      <c r="BD15" s="275"/>
      <c r="BE15" s="275"/>
      <c r="BF15" s="275"/>
      <c r="BG15" s="275"/>
      <c r="BH15" s="275"/>
      <c r="BI15" s="275"/>
      <c r="BJ15" s="275"/>
      <c r="BK15" s="328"/>
    </row>
    <row r="16" spans="1:88" ht="15.75" customHeight="1">
      <c r="A16" s="462"/>
      <c r="B16" s="3"/>
      <c r="C16" s="247"/>
      <c r="D16" s="247"/>
      <c r="E16" s="247"/>
      <c r="F16" s="247"/>
      <c r="G16" s="247"/>
      <c r="H16" s="247"/>
      <c r="I16" s="247"/>
      <c r="J16" s="247"/>
      <c r="K16" s="247"/>
      <c r="L16" s="263"/>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5"/>
      <c r="AP16" s="275"/>
      <c r="AQ16" s="275"/>
      <c r="AR16" s="275"/>
      <c r="AS16" s="461"/>
      <c r="AT16" s="275"/>
      <c r="AU16" s="275"/>
      <c r="AV16" s="275"/>
      <c r="AW16" s="275"/>
      <c r="AX16" s="275"/>
      <c r="AY16" s="275"/>
      <c r="AZ16" s="275"/>
      <c r="BA16" s="275"/>
      <c r="BB16" s="275"/>
      <c r="BC16" s="275"/>
      <c r="BD16" s="275"/>
      <c r="BE16" s="275"/>
      <c r="BF16" s="275"/>
      <c r="BG16" s="275"/>
      <c r="BH16" s="275"/>
      <c r="BI16" s="275"/>
      <c r="BJ16" s="275"/>
      <c r="BK16" s="328"/>
    </row>
    <row r="17" spans="1:63" ht="15.75" customHeight="1">
      <c r="A17" s="462"/>
      <c r="B17" s="3"/>
      <c r="C17" s="247"/>
      <c r="D17" s="247"/>
      <c r="E17" s="247"/>
      <c r="F17" s="247"/>
      <c r="G17" s="247"/>
      <c r="H17" s="247"/>
      <c r="I17" s="247"/>
      <c r="J17" s="247"/>
      <c r="K17" s="247"/>
      <c r="L17" s="263"/>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5"/>
      <c r="AS17" s="461"/>
      <c r="AT17" s="275"/>
      <c r="AU17" s="275"/>
      <c r="AV17" s="275"/>
      <c r="AW17" s="275"/>
      <c r="AX17" s="275"/>
      <c r="AY17" s="275"/>
      <c r="AZ17" s="275"/>
      <c r="BA17" s="275"/>
      <c r="BB17" s="275"/>
      <c r="BC17" s="275"/>
      <c r="BD17" s="275"/>
      <c r="BE17" s="275"/>
      <c r="BF17" s="275"/>
      <c r="BG17" s="275"/>
      <c r="BH17" s="275"/>
      <c r="BI17" s="275"/>
      <c r="BJ17" s="275"/>
      <c r="BK17" s="328"/>
    </row>
    <row r="18" spans="1:63" ht="15.75" customHeight="1">
      <c r="A18" s="462"/>
      <c r="B18" s="3"/>
      <c r="C18" s="247"/>
      <c r="D18" s="247"/>
      <c r="E18" s="247"/>
      <c r="F18" s="247"/>
      <c r="G18" s="247"/>
      <c r="H18" s="247"/>
      <c r="I18" s="247"/>
      <c r="J18" s="247"/>
      <c r="K18" s="247"/>
      <c r="L18" s="263"/>
      <c r="M18" s="247"/>
      <c r="N18" s="247"/>
      <c r="O18" s="247"/>
      <c r="P18" s="247"/>
      <c r="Q18" s="247"/>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64"/>
      <c r="AT18" s="247"/>
      <c r="AU18" s="247"/>
      <c r="AV18" s="247"/>
      <c r="AW18" s="247"/>
      <c r="AX18" s="247"/>
      <c r="AY18" s="247"/>
      <c r="AZ18" s="247"/>
      <c r="BA18" s="247"/>
      <c r="BB18" s="247"/>
      <c r="BC18" s="247"/>
      <c r="BD18" s="247"/>
      <c r="BE18" s="247"/>
      <c r="BF18" s="247"/>
      <c r="BG18" s="247"/>
      <c r="BH18" s="247"/>
      <c r="BI18" s="247"/>
      <c r="BJ18" s="247"/>
      <c r="BK18" s="325"/>
    </row>
    <row r="19" spans="1:63" ht="15.75" customHeight="1">
      <c r="A19" s="462"/>
      <c r="B19" s="3"/>
      <c r="C19" s="247"/>
      <c r="D19" s="247"/>
      <c r="E19" s="247"/>
      <c r="F19" s="247"/>
      <c r="G19" s="247"/>
      <c r="H19" s="247"/>
      <c r="I19" s="247"/>
      <c r="J19" s="247"/>
      <c r="K19" s="247"/>
      <c r="L19" s="263"/>
      <c r="M19" s="247"/>
      <c r="N19" s="247"/>
      <c r="O19" s="247"/>
      <c r="P19" s="247"/>
      <c r="Q19" s="247"/>
      <c r="R19" s="247"/>
      <c r="S19" s="247"/>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247"/>
      <c r="AS19" s="264"/>
      <c r="AT19" s="247"/>
      <c r="AU19" s="247"/>
      <c r="AV19" s="247"/>
      <c r="AW19" s="247"/>
      <c r="AX19" s="247"/>
      <c r="AY19" s="247"/>
      <c r="AZ19" s="247"/>
      <c r="BA19" s="247"/>
      <c r="BB19" s="247"/>
      <c r="BC19" s="247"/>
      <c r="BD19" s="247"/>
      <c r="BE19" s="247"/>
      <c r="BF19" s="247"/>
      <c r="BG19" s="247"/>
      <c r="BH19" s="247"/>
      <c r="BI19" s="247"/>
      <c r="BJ19" s="247"/>
      <c r="BK19" s="325"/>
    </row>
    <row r="20" spans="1:63" ht="15.75" customHeight="1">
      <c r="A20" s="462"/>
      <c r="B20" s="3"/>
      <c r="C20" s="247"/>
      <c r="D20" s="247"/>
      <c r="E20" s="247"/>
      <c r="F20" s="247"/>
      <c r="G20" s="247"/>
      <c r="H20" s="247"/>
      <c r="I20" s="247"/>
      <c r="J20" s="247"/>
      <c r="K20" s="247"/>
      <c r="L20" s="263"/>
      <c r="M20" s="247"/>
      <c r="N20" s="247"/>
      <c r="O20" s="247"/>
      <c r="P20" s="247"/>
      <c r="Q20" s="247"/>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64"/>
      <c r="AT20" s="247"/>
      <c r="AU20" s="247"/>
      <c r="AV20" s="247"/>
      <c r="AW20" s="247"/>
      <c r="AX20" s="247"/>
      <c r="AY20" s="247"/>
      <c r="AZ20" s="247"/>
      <c r="BA20" s="247"/>
      <c r="BB20" s="247"/>
      <c r="BC20" s="247"/>
      <c r="BD20" s="247"/>
      <c r="BE20" s="247"/>
      <c r="BF20" s="247"/>
      <c r="BG20" s="247"/>
      <c r="BH20" s="247"/>
      <c r="BI20" s="247"/>
      <c r="BJ20" s="247"/>
      <c r="BK20" s="325"/>
    </row>
    <row r="21" spans="1:63" ht="15.75" customHeight="1">
      <c r="A21" s="462"/>
      <c r="B21" s="3"/>
      <c r="C21" s="247"/>
      <c r="D21" s="247"/>
      <c r="E21" s="247"/>
      <c r="F21" s="247"/>
      <c r="G21" s="247"/>
      <c r="H21" s="247"/>
      <c r="I21" s="247"/>
      <c r="J21" s="247"/>
      <c r="K21" s="247"/>
      <c r="L21" s="263"/>
      <c r="M21" s="247"/>
      <c r="N21" s="247"/>
      <c r="O21" s="247"/>
      <c r="P21" s="247"/>
      <c r="Q21" s="247"/>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64"/>
      <c r="AT21" s="247"/>
      <c r="AU21" s="247"/>
      <c r="AV21" s="247"/>
      <c r="AW21" s="247"/>
      <c r="AX21" s="247"/>
      <c r="AY21" s="247"/>
      <c r="AZ21" s="247"/>
      <c r="BA21" s="247"/>
      <c r="BB21" s="247"/>
      <c r="BC21" s="247"/>
      <c r="BD21" s="247"/>
      <c r="BE21" s="247"/>
      <c r="BF21" s="247"/>
      <c r="BG21" s="247"/>
      <c r="BH21" s="247"/>
      <c r="BI21" s="247"/>
      <c r="BJ21" s="247"/>
      <c r="BK21" s="325"/>
    </row>
    <row r="22" spans="1:63" ht="15.75" customHeight="1">
      <c r="A22" s="462"/>
      <c r="B22" s="3"/>
      <c r="C22" s="247"/>
      <c r="D22" s="247"/>
      <c r="E22" s="247"/>
      <c r="F22" s="247"/>
      <c r="G22" s="247"/>
      <c r="H22" s="247"/>
      <c r="I22" s="247"/>
      <c r="J22" s="247"/>
      <c r="K22" s="247"/>
      <c r="L22" s="263"/>
      <c r="M22" s="247"/>
      <c r="N22" s="247"/>
      <c r="O22" s="247"/>
      <c r="P22" s="247"/>
      <c r="Q22" s="247"/>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64"/>
      <c r="AT22" s="247"/>
      <c r="AU22" s="247"/>
      <c r="AV22" s="247"/>
      <c r="AW22" s="247"/>
      <c r="AX22" s="247"/>
      <c r="AY22" s="247"/>
      <c r="AZ22" s="247"/>
      <c r="BA22" s="247"/>
      <c r="BB22" s="247"/>
      <c r="BC22" s="247"/>
      <c r="BD22" s="247"/>
      <c r="BE22" s="247"/>
      <c r="BF22" s="247"/>
      <c r="BG22" s="247"/>
      <c r="BH22" s="247"/>
      <c r="BI22" s="247"/>
      <c r="BJ22" s="247"/>
      <c r="BK22" s="325"/>
    </row>
    <row r="23" spans="1:63" ht="15.75" customHeight="1">
      <c r="A23" s="462"/>
      <c r="B23" s="3"/>
      <c r="C23" s="247"/>
      <c r="D23" s="247"/>
      <c r="E23" s="247"/>
      <c r="F23" s="247"/>
      <c r="G23" s="247"/>
      <c r="H23" s="247"/>
      <c r="I23" s="247"/>
      <c r="J23" s="247"/>
      <c r="K23" s="247"/>
      <c r="L23" s="263"/>
      <c r="M23" s="247"/>
      <c r="N23" s="247"/>
      <c r="O23" s="247"/>
      <c r="P23" s="247"/>
      <c r="Q23" s="247"/>
      <c r="R23" s="247"/>
      <c r="S23" s="247"/>
      <c r="T23" s="247"/>
      <c r="U23" s="247"/>
      <c r="V23" s="247"/>
      <c r="W23" s="247"/>
      <c r="X23" s="247"/>
      <c r="Y23" s="247"/>
      <c r="Z23" s="247"/>
      <c r="AA23" s="247"/>
      <c r="AB23" s="247"/>
      <c r="AC23" s="247"/>
      <c r="AD23" s="247"/>
      <c r="AE23" s="247"/>
      <c r="AF23" s="247"/>
      <c r="AG23" s="247"/>
      <c r="AH23" s="247"/>
      <c r="AI23" s="247"/>
      <c r="AJ23" s="247"/>
      <c r="AK23" s="247"/>
      <c r="AL23" s="247"/>
      <c r="AM23" s="247"/>
      <c r="AN23" s="247"/>
      <c r="AO23" s="247"/>
      <c r="AP23" s="247"/>
      <c r="AQ23" s="247"/>
      <c r="AR23" s="247"/>
      <c r="AS23" s="264"/>
      <c r="AT23" s="247"/>
      <c r="AU23" s="247"/>
      <c r="AV23" s="247"/>
      <c r="AW23" s="247"/>
      <c r="AX23" s="247"/>
      <c r="AY23" s="247"/>
      <c r="AZ23" s="247"/>
      <c r="BA23" s="247"/>
      <c r="BB23" s="247"/>
      <c r="BC23" s="247"/>
      <c r="BD23" s="247"/>
      <c r="BE23" s="247"/>
      <c r="BF23" s="247"/>
      <c r="BG23" s="247"/>
      <c r="BH23" s="247"/>
      <c r="BI23" s="247"/>
      <c r="BJ23" s="247"/>
      <c r="BK23" s="325"/>
    </row>
    <row r="24" spans="1:63" ht="15.75" customHeight="1">
      <c r="A24" s="462"/>
      <c r="B24" s="3"/>
      <c r="C24" s="247"/>
      <c r="D24" s="247"/>
      <c r="E24" s="247"/>
      <c r="F24" s="247"/>
      <c r="G24" s="247"/>
      <c r="H24" s="247"/>
      <c r="I24" s="247"/>
      <c r="J24" s="247"/>
      <c r="K24" s="247"/>
      <c r="L24" s="263"/>
      <c r="M24" s="247"/>
      <c r="N24" s="247"/>
      <c r="O24" s="247"/>
      <c r="P24" s="247"/>
      <c r="Q24" s="247"/>
      <c r="R24" s="247"/>
      <c r="S24" s="247"/>
      <c r="T24" s="247"/>
      <c r="U24" s="247"/>
      <c r="V24" s="247"/>
      <c r="W24" s="247"/>
      <c r="X24" s="247"/>
      <c r="Y24" s="247"/>
      <c r="Z24" s="247"/>
      <c r="AA24" s="247"/>
      <c r="AB24" s="247"/>
      <c r="AC24" s="247"/>
      <c r="AD24" s="247"/>
      <c r="AE24" s="247"/>
      <c r="AF24" s="247"/>
      <c r="AG24" s="247"/>
      <c r="AH24" s="247"/>
      <c r="AI24" s="247"/>
      <c r="AJ24" s="247"/>
      <c r="AK24" s="247"/>
      <c r="AL24" s="247"/>
      <c r="AM24" s="247"/>
      <c r="AN24" s="247"/>
      <c r="AO24" s="247"/>
      <c r="AP24" s="247"/>
      <c r="AQ24" s="247"/>
      <c r="AR24" s="247"/>
      <c r="AS24" s="264"/>
      <c r="AT24" s="247"/>
      <c r="AU24" s="247"/>
      <c r="AV24" s="247"/>
      <c r="AW24" s="247"/>
      <c r="AX24" s="247"/>
      <c r="AY24" s="247"/>
      <c r="AZ24" s="247"/>
      <c r="BA24" s="247"/>
      <c r="BB24" s="247"/>
      <c r="BC24" s="247"/>
      <c r="BD24" s="247"/>
      <c r="BE24" s="247"/>
      <c r="BF24" s="247"/>
      <c r="BG24" s="247"/>
      <c r="BH24" s="247"/>
      <c r="BI24" s="247"/>
      <c r="BJ24" s="247"/>
      <c r="BK24" s="325"/>
    </row>
    <row r="25" spans="1:63" ht="15.75" customHeight="1">
      <c r="A25" s="462"/>
      <c r="B25" s="3"/>
      <c r="C25" s="247"/>
      <c r="D25" s="247"/>
      <c r="E25" s="247"/>
      <c r="F25" s="247"/>
      <c r="G25" s="247"/>
      <c r="H25" s="247"/>
      <c r="I25" s="247"/>
      <c r="J25" s="247"/>
      <c r="K25" s="247"/>
      <c r="L25" s="263"/>
      <c r="M25" s="247"/>
      <c r="N25" s="247"/>
      <c r="O25" s="247"/>
      <c r="P25" s="247"/>
      <c r="Q25" s="247"/>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64"/>
      <c r="AT25" s="247"/>
      <c r="AU25" s="247"/>
      <c r="AV25" s="247"/>
      <c r="AW25" s="247"/>
      <c r="AX25" s="247"/>
      <c r="AY25" s="247"/>
      <c r="AZ25" s="247"/>
      <c r="BA25" s="247"/>
      <c r="BB25" s="247"/>
      <c r="BC25" s="247"/>
      <c r="BD25" s="247"/>
      <c r="BE25" s="247"/>
      <c r="BF25" s="247"/>
      <c r="BG25" s="247"/>
      <c r="BH25" s="247"/>
      <c r="BI25" s="247"/>
      <c r="BJ25" s="247"/>
      <c r="BK25" s="325"/>
    </row>
    <row r="26" spans="1:63" ht="15.75" customHeight="1">
      <c r="A26" s="462"/>
      <c r="B26" s="3"/>
      <c r="C26" s="247"/>
      <c r="D26" s="247"/>
      <c r="E26" s="247"/>
      <c r="F26" s="247"/>
      <c r="G26" s="247"/>
      <c r="H26" s="247"/>
      <c r="I26" s="247"/>
      <c r="J26" s="247"/>
      <c r="K26" s="247"/>
      <c r="L26" s="263"/>
      <c r="M26" s="247"/>
      <c r="N26" s="247"/>
      <c r="O26" s="247"/>
      <c r="P26" s="247"/>
      <c r="Q26" s="247"/>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64"/>
      <c r="AT26" s="247"/>
      <c r="AU26" s="247"/>
      <c r="AV26" s="247"/>
      <c r="AW26" s="247"/>
      <c r="AX26" s="247"/>
      <c r="AY26" s="247"/>
      <c r="AZ26" s="247"/>
      <c r="BA26" s="247"/>
      <c r="BB26" s="247"/>
      <c r="BC26" s="247"/>
      <c r="BD26" s="247"/>
      <c r="BE26" s="247"/>
      <c r="BF26" s="247"/>
      <c r="BG26" s="247"/>
      <c r="BH26" s="247"/>
      <c r="BI26" s="247"/>
      <c r="BJ26" s="247"/>
      <c r="BK26" s="325"/>
    </row>
    <row r="27" spans="1:63" ht="15.75" customHeight="1">
      <c r="A27" s="462"/>
      <c r="B27" s="3"/>
      <c r="C27" s="247"/>
      <c r="D27" s="247"/>
      <c r="E27" s="247"/>
      <c r="F27" s="247"/>
      <c r="G27" s="247"/>
      <c r="H27" s="247"/>
      <c r="I27" s="247"/>
      <c r="J27" s="247"/>
      <c r="K27" s="247"/>
      <c r="L27" s="263"/>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64"/>
      <c r="AT27" s="247"/>
      <c r="AU27" s="247"/>
      <c r="AV27" s="247"/>
      <c r="AW27" s="247"/>
      <c r="AX27" s="247"/>
      <c r="AY27" s="247"/>
      <c r="AZ27" s="247"/>
      <c r="BA27" s="247"/>
      <c r="BB27" s="247"/>
      <c r="BC27" s="247"/>
      <c r="BD27" s="247"/>
      <c r="BE27" s="247"/>
      <c r="BF27" s="247"/>
      <c r="BG27" s="247"/>
      <c r="BH27" s="247"/>
      <c r="BI27" s="247"/>
      <c r="BJ27" s="247"/>
      <c r="BK27" s="325"/>
    </row>
    <row r="28" spans="1:63" ht="15.75" customHeight="1">
      <c r="A28" s="462"/>
      <c r="B28" s="3"/>
      <c r="C28" s="247"/>
      <c r="D28" s="247"/>
      <c r="E28" s="247"/>
      <c r="F28" s="247"/>
      <c r="G28" s="247"/>
      <c r="H28" s="247"/>
      <c r="I28" s="247"/>
      <c r="J28" s="247"/>
      <c r="K28" s="247"/>
      <c r="L28" s="263"/>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64"/>
      <c r="AT28" s="247"/>
      <c r="AU28" s="247"/>
      <c r="AV28" s="247"/>
      <c r="AW28" s="247"/>
      <c r="AX28" s="247"/>
      <c r="AY28" s="247"/>
      <c r="AZ28" s="247"/>
      <c r="BA28" s="247"/>
      <c r="BB28" s="247"/>
      <c r="BC28" s="247"/>
      <c r="BD28" s="247"/>
      <c r="BE28" s="247"/>
      <c r="BF28" s="247"/>
      <c r="BG28" s="247"/>
      <c r="BH28" s="247"/>
      <c r="BI28" s="247"/>
      <c r="BJ28" s="247"/>
      <c r="BK28" s="325"/>
    </row>
    <row r="29" spans="1:63" ht="15.75" customHeight="1">
      <c r="A29" s="462"/>
      <c r="B29" s="3"/>
      <c r="C29" s="247"/>
      <c r="D29" s="247"/>
      <c r="E29" s="247"/>
      <c r="F29" s="247"/>
      <c r="G29" s="247"/>
      <c r="H29" s="247"/>
      <c r="I29" s="247"/>
      <c r="J29" s="247"/>
      <c r="K29" s="247"/>
      <c r="L29" s="263"/>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64"/>
      <c r="AT29" s="247"/>
      <c r="AU29" s="247"/>
      <c r="AV29" s="247"/>
      <c r="AW29" s="247"/>
      <c r="AX29" s="247"/>
      <c r="AY29" s="247"/>
      <c r="AZ29" s="247"/>
      <c r="BA29" s="247"/>
      <c r="BB29" s="247"/>
      <c r="BC29" s="247"/>
      <c r="BD29" s="247"/>
      <c r="BE29" s="247"/>
      <c r="BF29" s="247"/>
      <c r="BG29" s="247"/>
      <c r="BH29" s="247"/>
      <c r="BI29" s="247"/>
      <c r="BJ29" s="247"/>
      <c r="BK29" s="325"/>
    </row>
    <row r="30" spans="1:63" ht="15.75" customHeight="1">
      <c r="A30" s="462"/>
      <c r="B30" s="3"/>
      <c r="C30" s="247"/>
      <c r="D30" s="247"/>
      <c r="E30" s="247"/>
      <c r="F30" s="247"/>
      <c r="G30" s="247"/>
      <c r="H30" s="247"/>
      <c r="I30" s="247"/>
      <c r="J30" s="247"/>
      <c r="K30" s="247"/>
      <c r="L30" s="263"/>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64"/>
      <c r="AT30" s="247"/>
      <c r="AU30" s="247"/>
      <c r="AV30" s="247"/>
      <c r="AW30" s="247"/>
      <c r="AX30" s="247"/>
      <c r="AY30" s="247"/>
      <c r="AZ30" s="247"/>
      <c r="BA30" s="247"/>
      <c r="BB30" s="247"/>
      <c r="BC30" s="247"/>
      <c r="BD30" s="247"/>
      <c r="BE30" s="247"/>
      <c r="BF30" s="247"/>
      <c r="BG30" s="247"/>
      <c r="BH30" s="247"/>
      <c r="BI30" s="247"/>
      <c r="BJ30" s="247"/>
      <c r="BK30" s="325"/>
    </row>
    <row r="31" spans="1:63" ht="15.75" customHeight="1">
      <c r="A31" s="462"/>
      <c r="B31" s="3"/>
      <c r="C31" s="247"/>
      <c r="D31" s="247"/>
      <c r="E31" s="247"/>
      <c r="F31" s="247"/>
      <c r="G31" s="247"/>
      <c r="H31" s="247"/>
      <c r="I31" s="247"/>
      <c r="J31" s="247"/>
      <c r="K31" s="247"/>
      <c r="L31" s="263"/>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64"/>
      <c r="AT31" s="247"/>
      <c r="AU31" s="247"/>
      <c r="AV31" s="247"/>
      <c r="AW31" s="247"/>
      <c r="AX31" s="247"/>
      <c r="AY31" s="247"/>
      <c r="AZ31" s="247"/>
      <c r="BA31" s="247"/>
      <c r="BB31" s="247"/>
      <c r="BC31" s="247"/>
      <c r="BD31" s="247"/>
      <c r="BE31" s="247"/>
      <c r="BF31" s="247"/>
      <c r="BG31" s="247"/>
      <c r="BH31" s="247"/>
      <c r="BI31" s="247"/>
      <c r="BJ31" s="247"/>
      <c r="BK31" s="325"/>
    </row>
    <row r="32" spans="1:63" ht="15.75" customHeight="1">
      <c r="A32" s="462"/>
      <c r="B32" s="3"/>
      <c r="C32" s="247"/>
      <c r="D32" s="247"/>
      <c r="E32" s="247"/>
      <c r="F32" s="247"/>
      <c r="G32" s="247"/>
      <c r="H32" s="247"/>
      <c r="I32" s="247"/>
      <c r="J32" s="247"/>
      <c r="K32" s="247"/>
      <c r="L32" s="263"/>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64"/>
      <c r="AT32" s="247"/>
      <c r="AU32" s="247"/>
      <c r="AV32" s="247"/>
      <c r="AW32" s="247"/>
      <c r="AX32" s="247"/>
      <c r="AY32" s="247"/>
      <c r="AZ32" s="247"/>
      <c r="BA32" s="247"/>
      <c r="BB32" s="247"/>
      <c r="BC32" s="247"/>
      <c r="BD32" s="247"/>
      <c r="BE32" s="247"/>
      <c r="BF32" s="247"/>
      <c r="BG32" s="247"/>
      <c r="BH32" s="247"/>
      <c r="BI32" s="247"/>
      <c r="BJ32" s="247"/>
      <c r="BK32" s="325"/>
    </row>
    <row r="33" spans="1:63" ht="15.75" customHeight="1">
      <c r="A33" s="462"/>
      <c r="B33" s="3"/>
      <c r="C33" s="247"/>
      <c r="D33" s="247"/>
      <c r="E33" s="247"/>
      <c r="F33" s="247"/>
      <c r="G33" s="247"/>
      <c r="H33" s="247"/>
      <c r="I33" s="247"/>
      <c r="J33" s="247"/>
      <c r="K33" s="247"/>
      <c r="L33" s="263"/>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64"/>
      <c r="AT33" s="247"/>
      <c r="AU33" s="247"/>
      <c r="AV33" s="247"/>
      <c r="AW33" s="247"/>
      <c r="AX33" s="247"/>
      <c r="AY33" s="247"/>
      <c r="AZ33" s="247"/>
      <c r="BA33" s="247"/>
      <c r="BB33" s="247"/>
      <c r="BC33" s="247"/>
      <c r="BD33" s="247"/>
      <c r="BE33" s="247"/>
      <c r="BF33" s="247"/>
      <c r="BG33" s="247"/>
      <c r="BH33" s="247"/>
      <c r="BI33" s="247"/>
      <c r="BJ33" s="247"/>
      <c r="BK33" s="325"/>
    </row>
    <row r="34" spans="1:63" ht="15.75" customHeight="1">
      <c r="A34" s="462"/>
      <c r="B34" s="3"/>
      <c r="C34" s="247"/>
      <c r="D34" s="247"/>
      <c r="E34" s="247"/>
      <c r="F34" s="247"/>
      <c r="G34" s="247"/>
      <c r="H34" s="247"/>
      <c r="I34" s="247"/>
      <c r="J34" s="247"/>
      <c r="K34" s="247"/>
      <c r="L34" s="263"/>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64"/>
      <c r="AT34" s="247"/>
      <c r="AU34" s="247"/>
      <c r="AV34" s="247"/>
      <c r="AW34" s="247"/>
      <c r="AX34" s="247"/>
      <c r="AY34" s="247"/>
      <c r="AZ34" s="247"/>
      <c r="BA34" s="247"/>
      <c r="BB34" s="247"/>
      <c r="BC34" s="247"/>
      <c r="BD34" s="247"/>
      <c r="BE34" s="247"/>
      <c r="BF34" s="247"/>
      <c r="BG34" s="247"/>
      <c r="BH34" s="247"/>
      <c r="BI34" s="247"/>
      <c r="BJ34" s="247"/>
      <c r="BK34" s="325"/>
    </row>
    <row r="35" spans="1:63" s="1" customFormat="1" ht="15.75" customHeight="1" thickBot="1">
      <c r="A35" s="86"/>
      <c r="B35" s="87"/>
      <c r="C35" s="88"/>
      <c r="D35" s="88"/>
      <c r="E35" s="88"/>
      <c r="F35" s="88"/>
      <c r="G35" s="88"/>
      <c r="H35" s="88"/>
      <c r="I35" s="88"/>
      <c r="J35" s="88"/>
      <c r="K35" s="88"/>
      <c r="L35" s="89"/>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90"/>
      <c r="AT35" s="88"/>
      <c r="AU35" s="88"/>
      <c r="AV35" s="88"/>
      <c r="AW35" s="88"/>
      <c r="AX35" s="88"/>
      <c r="AY35" s="88"/>
      <c r="AZ35" s="88"/>
      <c r="BA35" s="88"/>
      <c r="BB35" s="88"/>
      <c r="BC35" s="88"/>
      <c r="BD35" s="88"/>
      <c r="BE35" s="88"/>
      <c r="BF35" s="88"/>
      <c r="BG35" s="88"/>
      <c r="BH35" s="88"/>
      <c r="BI35" s="88"/>
      <c r="BJ35" s="88"/>
      <c r="BK35" s="91"/>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DI54"/>
  <sheetViews>
    <sheetView showGridLines="0" showZeros="0" view="pageBreakPreview" topLeftCell="A13" zoomScaleNormal="100" zoomScaleSheetLayoutView="100" workbookViewId="0">
      <selection activeCell="AD43" sqref="AD43"/>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29" width="2.125" style="1" customWidth="1"/>
    <col min="30" max="30" width="54" style="1" customWidth="1"/>
    <col min="31" max="62" width="2.125" style="1" customWidth="1"/>
    <col min="63" max="63" width="2.25" style="1" customWidth="1"/>
    <col min="64" max="16384" width="2.125" style="1"/>
  </cols>
  <sheetData>
    <row r="1" spans="1:63" s="13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13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134" customFormat="1" ht="15.75" customHeight="1" thickBot="1">
      <c r="A3" s="1220"/>
      <c r="B3" s="1221"/>
      <c r="C3" s="1221"/>
      <c r="D3" s="1221"/>
      <c r="E3" s="1221"/>
      <c r="F3" s="1221"/>
      <c r="G3" s="1221"/>
      <c r="H3" s="1221"/>
      <c r="I3" s="1221"/>
      <c r="J3" s="1222"/>
      <c r="K3" s="1200" t="str">
        <f ca="1">RIGHT(CELL("filename",$A$1),LEN(CELL("filename",$A$1))-FIND("]",CELL("filename",$A$1)))</f>
        <v>処理概要</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s="134" customFormat="1" ht="6.75" customHeight="1" thickBot="1">
      <c r="B4" s="135"/>
      <c r="C4" s="136"/>
      <c r="D4" s="136"/>
      <c r="E4" s="136"/>
      <c r="F4" s="137"/>
      <c r="G4" s="137"/>
      <c r="H4" s="137"/>
      <c r="I4" s="137"/>
      <c r="J4" s="136"/>
      <c r="K4" s="137"/>
      <c r="L4" s="137"/>
      <c r="M4" s="137"/>
      <c r="N4" s="137"/>
      <c r="O4" s="137"/>
      <c r="P4" s="137"/>
      <c r="Q4" s="138"/>
    </row>
    <row r="5" spans="1:63" ht="15.75" customHeight="1" thickBot="1">
      <c r="A5" s="375" t="s">
        <v>349</v>
      </c>
      <c r="B5" s="376" t="s">
        <v>647</v>
      </c>
      <c r="C5" s="376"/>
      <c r="D5" s="376"/>
      <c r="E5" s="376"/>
      <c r="F5" s="376"/>
      <c r="G5" s="376"/>
      <c r="H5" s="376"/>
      <c r="I5" s="377"/>
      <c r="J5" s="376" t="s">
        <v>648</v>
      </c>
      <c r="K5" s="376"/>
      <c r="L5" s="376"/>
      <c r="M5" s="376"/>
      <c r="N5" s="376"/>
      <c r="O5" s="376"/>
      <c r="P5" s="376"/>
      <c r="Q5" s="376"/>
      <c r="R5" s="376"/>
      <c r="S5" s="376"/>
      <c r="T5" s="376"/>
      <c r="U5" s="376"/>
      <c r="V5" s="376"/>
      <c r="W5" s="376"/>
      <c r="X5" s="376"/>
      <c r="Y5" s="376"/>
      <c r="Z5" s="376"/>
      <c r="AA5" s="376"/>
      <c r="AB5" s="376"/>
      <c r="AC5" s="376"/>
      <c r="AD5" s="376"/>
      <c r="AE5" s="376"/>
      <c r="AF5" s="376"/>
      <c r="AG5" s="376"/>
      <c r="AH5" s="376"/>
      <c r="AI5" s="376"/>
      <c r="AJ5" s="376"/>
      <c r="AK5" s="376"/>
      <c r="AL5" s="376"/>
      <c r="AM5" s="376"/>
      <c r="AN5" s="376"/>
      <c r="AO5" s="376"/>
      <c r="AP5" s="376"/>
      <c r="AQ5" s="376"/>
      <c r="AR5" s="376"/>
      <c r="AS5" s="376"/>
      <c r="AT5" s="376"/>
      <c r="AU5" s="376"/>
      <c r="AV5" s="376"/>
      <c r="AW5" s="376"/>
      <c r="AX5" s="376"/>
      <c r="AY5" s="376"/>
      <c r="AZ5" s="376"/>
      <c r="BA5" s="376"/>
      <c r="BB5" s="376"/>
      <c r="BC5" s="377"/>
      <c r="BD5" s="376" t="s">
        <v>649</v>
      </c>
      <c r="BE5" s="376"/>
      <c r="BF5" s="376"/>
      <c r="BG5" s="376"/>
      <c r="BH5" s="376"/>
      <c r="BI5" s="376"/>
      <c r="BJ5" s="376"/>
      <c r="BK5" s="378"/>
    </row>
    <row r="6" spans="1:63" s="189" customFormat="1" ht="15.75" customHeight="1" thickTop="1">
      <c r="A6" s="379" t="s">
        <v>321</v>
      </c>
      <c r="B6" s="380" t="s">
        <v>650</v>
      </c>
      <c r="C6" s="380"/>
      <c r="D6" s="380"/>
      <c r="E6" s="380"/>
      <c r="F6" s="380"/>
      <c r="G6" s="380"/>
      <c r="H6" s="380"/>
      <c r="I6" s="380"/>
      <c r="J6" s="380"/>
      <c r="K6" s="380"/>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381"/>
      <c r="AQ6" s="381"/>
      <c r="AR6" s="381"/>
      <c r="AS6" s="381"/>
      <c r="AT6" s="381"/>
      <c r="AU6" s="381"/>
      <c r="AV6" s="381"/>
      <c r="AW6" s="381"/>
      <c r="AX6" s="381"/>
      <c r="AY6" s="381"/>
      <c r="AZ6" s="381"/>
      <c r="BA6" s="381"/>
      <c r="BB6" s="381"/>
      <c r="BC6" s="381"/>
      <c r="BD6" s="381"/>
      <c r="BE6" s="381"/>
      <c r="BF6" s="381"/>
      <c r="BG6" s="381"/>
      <c r="BH6" s="381"/>
      <c r="BI6" s="381"/>
      <c r="BJ6" s="381"/>
      <c r="BK6" s="382"/>
    </row>
    <row r="7" spans="1:63" s="189" customFormat="1" ht="15.75" customHeight="1">
      <c r="A7" s="383"/>
      <c r="B7" s="384"/>
      <c r="C7" s="348"/>
      <c r="D7" s="348"/>
      <c r="E7" s="348"/>
      <c r="F7" s="348"/>
      <c r="G7" s="348"/>
      <c r="H7" s="348"/>
      <c r="I7" s="385"/>
      <c r="J7" s="386" t="s">
        <v>654</v>
      </c>
      <c r="K7" s="386"/>
      <c r="L7" s="386"/>
      <c r="M7" s="348"/>
      <c r="N7" s="348"/>
      <c r="O7" s="348"/>
      <c r="P7" s="348"/>
      <c r="Q7" s="348"/>
      <c r="R7" s="348"/>
      <c r="S7" s="348"/>
      <c r="T7" s="348"/>
      <c r="U7" s="348"/>
      <c r="V7" s="348"/>
      <c r="W7" s="348"/>
      <c r="X7" s="348"/>
      <c r="Y7" s="348"/>
      <c r="Z7" s="348"/>
      <c r="AA7" s="348"/>
      <c r="AB7" s="348"/>
      <c r="AC7" s="348"/>
      <c r="AD7" s="348"/>
      <c r="AE7" s="348"/>
      <c r="AF7" s="348"/>
      <c r="AG7" s="348"/>
      <c r="AH7" s="348"/>
      <c r="AI7" s="348"/>
      <c r="AJ7" s="348"/>
      <c r="AK7" s="348"/>
      <c r="AL7" s="348"/>
      <c r="AM7" s="348"/>
      <c r="AN7" s="348"/>
      <c r="AO7" s="348"/>
      <c r="AP7" s="348"/>
      <c r="AQ7" s="348"/>
      <c r="AR7" s="348"/>
      <c r="AS7" s="348"/>
      <c r="AT7" s="348"/>
      <c r="AU7" s="348"/>
      <c r="AV7" s="348"/>
      <c r="AW7" s="348"/>
      <c r="AX7" s="348"/>
      <c r="AY7" s="348"/>
      <c r="AZ7" s="348"/>
      <c r="BA7" s="348"/>
      <c r="BB7" s="348"/>
      <c r="BC7" s="348"/>
      <c r="BD7" s="384"/>
      <c r="BE7" s="348"/>
      <c r="BF7" s="348"/>
      <c r="BG7" s="348"/>
      <c r="BH7" s="348"/>
      <c r="BI7" s="348"/>
      <c r="BJ7" s="348"/>
      <c r="BK7" s="387"/>
    </row>
    <row r="8" spans="1:63" s="189" customFormat="1" ht="15.75" customHeight="1">
      <c r="A8" s="383"/>
      <c r="B8" s="348"/>
      <c r="C8" s="348"/>
      <c r="D8" s="348"/>
      <c r="E8" s="348"/>
      <c r="F8" s="348"/>
      <c r="G8" s="348"/>
      <c r="H8" s="348"/>
      <c r="I8" s="385"/>
      <c r="J8" s="386"/>
      <c r="K8" s="386" t="s">
        <v>650</v>
      </c>
      <c r="L8" s="386"/>
      <c r="M8" s="348"/>
      <c r="N8" s="348"/>
      <c r="O8" s="348"/>
      <c r="P8" s="348"/>
      <c r="Q8" s="348"/>
      <c r="R8" s="348"/>
      <c r="S8" s="348"/>
      <c r="T8" s="348"/>
      <c r="U8" s="348"/>
      <c r="V8" s="348"/>
      <c r="W8" s="348"/>
      <c r="X8" s="348"/>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84"/>
      <c r="BE8" s="348"/>
      <c r="BF8" s="348"/>
      <c r="BG8" s="348"/>
      <c r="BH8" s="348"/>
      <c r="BI8" s="348"/>
      <c r="BJ8" s="348"/>
      <c r="BK8" s="387"/>
    </row>
    <row r="9" spans="1:63" s="189" customFormat="1" ht="15.75" customHeight="1">
      <c r="A9" s="383"/>
      <c r="B9" s="384"/>
      <c r="C9" s="348"/>
      <c r="D9" s="348"/>
      <c r="E9" s="348"/>
      <c r="F9" s="348"/>
      <c r="G9" s="348"/>
      <c r="H9" s="348"/>
      <c r="I9" s="385"/>
      <c r="J9" s="388"/>
      <c r="K9" s="348"/>
      <c r="L9" s="348" t="s">
        <v>216</v>
      </c>
      <c r="M9" s="348"/>
      <c r="N9" s="348"/>
      <c r="O9" s="348"/>
      <c r="P9" s="348"/>
      <c r="Q9" s="348" t="s">
        <v>584</v>
      </c>
      <c r="R9" s="348" t="s">
        <v>655</v>
      </c>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8"/>
      <c r="BD9" s="384"/>
      <c r="BE9" s="348"/>
      <c r="BF9" s="348"/>
      <c r="BG9" s="348"/>
      <c r="BH9" s="348"/>
      <c r="BI9" s="348"/>
      <c r="BJ9" s="348"/>
      <c r="BK9" s="387"/>
    </row>
    <row r="10" spans="1:63" s="189" customFormat="1" ht="15.75" customHeight="1">
      <c r="A10" s="383"/>
      <c r="B10" s="384"/>
      <c r="C10" s="348"/>
      <c r="D10" s="348"/>
      <c r="E10" s="348"/>
      <c r="F10" s="348"/>
      <c r="G10" s="348"/>
      <c r="H10" s="348"/>
      <c r="I10" s="385"/>
      <c r="J10" s="388"/>
      <c r="K10" s="348"/>
      <c r="L10" s="348"/>
      <c r="M10" s="348"/>
      <c r="N10" s="348"/>
      <c r="O10" s="348"/>
      <c r="P10" s="348"/>
      <c r="Q10" s="348"/>
      <c r="R10" s="348" t="s">
        <v>656</v>
      </c>
      <c r="S10" s="348"/>
      <c r="T10" s="348"/>
      <c r="U10" s="348"/>
      <c r="V10" s="348"/>
      <c r="W10" s="348"/>
      <c r="X10" s="348"/>
      <c r="Y10" s="348"/>
      <c r="Z10" s="348"/>
      <c r="AA10" s="348"/>
      <c r="AB10" s="348"/>
      <c r="AC10" s="348"/>
      <c r="AD10" s="348"/>
      <c r="AE10" s="348"/>
      <c r="AF10" s="348"/>
      <c r="AG10" s="348"/>
      <c r="AH10" s="348"/>
      <c r="AI10" s="348"/>
      <c r="AJ10" s="348"/>
      <c r="AK10" s="348"/>
      <c r="AL10" s="348"/>
      <c r="AM10" s="348"/>
      <c r="AN10" s="348"/>
      <c r="AO10" s="348"/>
      <c r="AP10" s="348"/>
      <c r="AQ10" s="348"/>
      <c r="AR10" s="348"/>
      <c r="AS10" s="348"/>
      <c r="AT10" s="348"/>
      <c r="AU10" s="348"/>
      <c r="AV10" s="348"/>
      <c r="AW10" s="348"/>
      <c r="AX10" s="348"/>
      <c r="AY10" s="348"/>
      <c r="AZ10" s="348"/>
      <c r="BA10" s="348"/>
      <c r="BB10" s="348"/>
      <c r="BC10" s="348"/>
      <c r="BD10" s="384"/>
      <c r="BE10" s="348"/>
      <c r="BF10" s="348"/>
      <c r="BG10" s="348"/>
      <c r="BH10" s="348"/>
      <c r="BI10" s="348"/>
      <c r="BJ10" s="348"/>
      <c r="BK10" s="387"/>
    </row>
    <row r="11" spans="1:63" s="189" customFormat="1" ht="15.75" customHeight="1">
      <c r="A11" s="383"/>
      <c r="B11" s="384"/>
      <c r="C11" s="348"/>
      <c r="D11" s="348"/>
      <c r="E11" s="348"/>
      <c r="F11" s="348"/>
      <c r="G11" s="348"/>
      <c r="H11" s="348"/>
      <c r="I11" s="385"/>
      <c r="J11" s="388"/>
      <c r="K11" s="348"/>
      <c r="L11" s="348" t="s">
        <v>657</v>
      </c>
      <c r="M11" s="348"/>
      <c r="N11" s="348"/>
      <c r="O11" s="348"/>
      <c r="P11" s="348"/>
      <c r="Q11" s="348" t="s">
        <v>584</v>
      </c>
      <c r="R11" s="348" t="s">
        <v>658</v>
      </c>
      <c r="S11" s="348"/>
      <c r="T11" s="348"/>
      <c r="U11" s="348"/>
      <c r="V11" s="348"/>
      <c r="W11" s="348"/>
      <c r="X11" s="348"/>
      <c r="Y11" s="348"/>
      <c r="Z11" s="348"/>
      <c r="AA11" s="348"/>
      <c r="AB11" s="348"/>
      <c r="AC11" s="348"/>
      <c r="AD11" s="348"/>
      <c r="AE11" s="348"/>
      <c r="AF11" s="348"/>
      <c r="AG11" s="348"/>
      <c r="AH11" s="348"/>
      <c r="AI11" s="348"/>
      <c r="AJ11" s="348"/>
      <c r="AK11" s="348"/>
      <c r="AL11" s="348"/>
      <c r="AM11" s="348"/>
      <c r="AN11" s="348"/>
      <c r="AO11" s="348"/>
      <c r="AP11" s="348"/>
      <c r="AQ11" s="348"/>
      <c r="AR11" s="348"/>
      <c r="AS11" s="348"/>
      <c r="AT11" s="348"/>
      <c r="AU11" s="348"/>
      <c r="AV11" s="348"/>
      <c r="AW11" s="348"/>
      <c r="AX11" s="348"/>
      <c r="AY11" s="348"/>
      <c r="AZ11" s="348"/>
      <c r="BA11" s="348"/>
      <c r="BB11" s="348"/>
      <c r="BC11" s="348"/>
      <c r="BD11" s="384"/>
      <c r="BE11" s="348"/>
      <c r="BF11" s="348"/>
      <c r="BG11" s="348"/>
      <c r="BH11" s="348"/>
      <c r="BI11" s="348"/>
      <c r="BJ11" s="348"/>
      <c r="BK11" s="387"/>
    </row>
    <row r="12" spans="1:63" s="189" customFormat="1" ht="15.75" customHeight="1">
      <c r="A12" s="383"/>
      <c r="B12" s="384"/>
      <c r="C12" s="348"/>
      <c r="D12" s="348"/>
      <c r="E12" s="348"/>
      <c r="F12" s="348"/>
      <c r="G12" s="348"/>
      <c r="H12" s="348"/>
      <c r="I12" s="385"/>
      <c r="J12" s="388"/>
      <c r="K12" s="348"/>
      <c r="L12" s="348" t="s">
        <v>659</v>
      </c>
      <c r="M12" s="348"/>
      <c r="N12" s="348"/>
      <c r="O12" s="348"/>
      <c r="P12" s="348"/>
      <c r="Q12" s="348" t="s">
        <v>584</v>
      </c>
      <c r="R12" s="348" t="s">
        <v>660</v>
      </c>
      <c r="S12" s="348"/>
      <c r="T12" s="348"/>
      <c r="U12" s="348"/>
      <c r="V12" s="348"/>
      <c r="W12" s="348"/>
      <c r="X12" s="348"/>
      <c r="Y12" s="348"/>
      <c r="Z12" s="348"/>
      <c r="AA12" s="348"/>
      <c r="AB12" s="348"/>
      <c r="AC12" s="348"/>
      <c r="AD12" s="348"/>
      <c r="AE12" s="348"/>
      <c r="AF12" s="348"/>
      <c r="AG12" s="348"/>
      <c r="AH12" s="348"/>
      <c r="AI12" s="348"/>
      <c r="AJ12" s="348"/>
      <c r="AK12" s="348"/>
      <c r="AL12" s="348"/>
      <c r="AM12" s="348"/>
      <c r="AN12" s="348"/>
      <c r="AO12" s="348"/>
      <c r="AP12" s="348"/>
      <c r="AQ12" s="348"/>
      <c r="AR12" s="348"/>
      <c r="AS12" s="348"/>
      <c r="AT12" s="348"/>
      <c r="AU12" s="348"/>
      <c r="AV12" s="348"/>
      <c r="AW12" s="348"/>
      <c r="AX12" s="348"/>
      <c r="AY12" s="348"/>
      <c r="AZ12" s="348"/>
      <c r="BA12" s="348"/>
      <c r="BB12" s="348"/>
      <c r="BC12" s="348"/>
      <c r="BD12" s="384"/>
      <c r="BE12" s="348"/>
      <c r="BF12" s="348"/>
      <c r="BG12" s="348"/>
      <c r="BH12" s="348"/>
      <c r="BI12" s="348"/>
      <c r="BJ12" s="348"/>
      <c r="BK12" s="387"/>
    </row>
    <row r="13" spans="1:63" s="189" customFormat="1" ht="15.75" customHeight="1">
      <c r="A13" s="383"/>
      <c r="B13" s="384"/>
      <c r="C13" s="348"/>
      <c r="D13" s="348"/>
      <c r="E13" s="348"/>
      <c r="F13" s="348"/>
      <c r="G13" s="348"/>
      <c r="H13" s="348"/>
      <c r="I13" s="385"/>
      <c r="J13" s="388"/>
      <c r="K13" s="348"/>
      <c r="L13" s="348" t="s">
        <v>661</v>
      </c>
      <c r="M13" s="348"/>
      <c r="N13" s="348"/>
      <c r="O13" s="348"/>
      <c r="P13" s="348"/>
      <c r="Q13" s="348" t="s">
        <v>584</v>
      </c>
      <c r="R13" s="348" t="s">
        <v>662</v>
      </c>
      <c r="S13" s="348"/>
      <c r="T13" s="348"/>
      <c r="U13" s="348"/>
      <c r="V13" s="348"/>
      <c r="W13" s="348"/>
      <c r="X13" s="348"/>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84" t="s">
        <v>663</v>
      </c>
      <c r="BE13" s="348"/>
      <c r="BF13" s="348"/>
      <c r="BG13" s="348"/>
      <c r="BH13" s="348"/>
      <c r="BI13" s="348"/>
      <c r="BJ13" s="348"/>
      <c r="BK13" s="387"/>
    </row>
    <row r="14" spans="1:63" s="189" customFormat="1" ht="15.75" customHeight="1">
      <c r="A14" s="383"/>
      <c r="B14" s="384"/>
      <c r="C14" s="348"/>
      <c r="D14" s="348"/>
      <c r="E14" s="348"/>
      <c r="F14" s="348"/>
      <c r="G14" s="348"/>
      <c r="H14" s="348"/>
      <c r="I14" s="385"/>
      <c r="J14" s="388"/>
      <c r="K14" s="348"/>
      <c r="L14" s="348"/>
      <c r="M14" s="348"/>
      <c r="N14" s="348"/>
      <c r="O14" s="348"/>
      <c r="P14" s="348"/>
      <c r="Q14" s="348"/>
      <c r="R14" s="348"/>
      <c r="S14" s="348"/>
      <c r="T14" s="348"/>
      <c r="U14" s="348"/>
      <c r="V14" s="348"/>
      <c r="W14" s="348"/>
      <c r="X14" s="348"/>
      <c r="Y14" s="348"/>
      <c r="Z14" s="348"/>
      <c r="AA14" s="348"/>
      <c r="AB14" s="348"/>
      <c r="AC14" s="348"/>
      <c r="AD14" s="348"/>
      <c r="AE14" s="348"/>
      <c r="AF14" s="348"/>
      <c r="AG14" s="348"/>
      <c r="AH14" s="348"/>
      <c r="AI14" s="348"/>
      <c r="AJ14" s="348"/>
      <c r="AK14" s="348"/>
      <c r="AL14" s="348"/>
      <c r="AM14" s="348"/>
      <c r="AN14" s="348"/>
      <c r="AO14" s="348"/>
      <c r="AP14" s="348"/>
      <c r="AQ14" s="348"/>
      <c r="AR14" s="348"/>
      <c r="AS14" s="348"/>
      <c r="AT14" s="348"/>
      <c r="AU14" s="348"/>
      <c r="AV14" s="348"/>
      <c r="AW14" s="348"/>
      <c r="AX14" s="348"/>
      <c r="AY14" s="348"/>
      <c r="AZ14" s="348"/>
      <c r="BA14" s="348"/>
      <c r="BB14" s="348"/>
      <c r="BC14" s="348"/>
      <c r="BD14" s="384"/>
      <c r="BE14" s="348"/>
      <c r="BF14" s="348"/>
      <c r="BG14" s="348"/>
      <c r="BH14" s="348"/>
      <c r="BI14" s="348"/>
      <c r="BJ14" s="348"/>
      <c r="BK14" s="387"/>
    </row>
    <row r="15" spans="1:63" s="189" customFormat="1" ht="15.75" customHeight="1">
      <c r="A15" s="383"/>
      <c r="B15" s="384"/>
      <c r="C15" s="348"/>
      <c r="D15" s="348"/>
      <c r="E15" s="348"/>
      <c r="F15" s="348"/>
      <c r="G15" s="348"/>
      <c r="H15" s="348"/>
      <c r="I15" s="385"/>
      <c r="J15" s="388"/>
      <c r="K15" s="348"/>
      <c r="L15" s="348" t="s">
        <v>664</v>
      </c>
      <c r="M15" s="348"/>
      <c r="N15" s="348"/>
      <c r="O15" s="348"/>
      <c r="P15" s="348"/>
      <c r="Q15" s="348"/>
      <c r="R15" s="348"/>
      <c r="S15" s="348"/>
      <c r="T15" s="348"/>
      <c r="U15" s="348"/>
      <c r="V15" s="348"/>
      <c r="W15" s="348"/>
      <c r="X15" s="348"/>
      <c r="Y15" s="348"/>
      <c r="Z15" s="348"/>
      <c r="AA15" s="348"/>
      <c r="AB15" s="348"/>
      <c r="AC15" s="348"/>
      <c r="AD15" s="348"/>
      <c r="AE15" s="348"/>
      <c r="AF15" s="348"/>
      <c r="AG15" s="348"/>
      <c r="AH15" s="348"/>
      <c r="AI15" s="348"/>
      <c r="AJ15" s="348"/>
      <c r="AK15" s="348"/>
      <c r="AL15" s="348"/>
      <c r="AM15" s="348"/>
      <c r="AN15" s="348"/>
      <c r="AO15" s="348"/>
      <c r="AP15" s="348"/>
      <c r="AQ15" s="348"/>
      <c r="AR15" s="348"/>
      <c r="AS15" s="348"/>
      <c r="AT15" s="348"/>
      <c r="AU15" s="348"/>
      <c r="AV15" s="348"/>
      <c r="AW15" s="348"/>
      <c r="AX15" s="348"/>
      <c r="AY15" s="348"/>
      <c r="AZ15" s="348"/>
      <c r="BA15" s="348"/>
      <c r="BB15" s="348"/>
      <c r="BC15" s="348"/>
      <c r="BD15" s="384"/>
      <c r="BE15" s="348"/>
      <c r="BF15" s="348"/>
      <c r="BG15" s="348"/>
      <c r="BH15" s="348"/>
      <c r="BI15" s="348"/>
      <c r="BJ15" s="348"/>
      <c r="BK15" s="387"/>
    </row>
    <row r="16" spans="1:63" s="189" customFormat="1" ht="15.75" customHeight="1">
      <c r="A16" s="383"/>
      <c r="B16" s="384"/>
      <c r="C16" s="348"/>
      <c r="D16" s="348"/>
      <c r="E16" s="348"/>
      <c r="F16" s="348"/>
      <c r="G16" s="348"/>
      <c r="H16" s="348"/>
      <c r="I16" s="385"/>
      <c r="J16" s="388"/>
      <c r="K16" s="348"/>
      <c r="L16" s="348"/>
      <c r="M16" s="348" t="s">
        <v>665</v>
      </c>
      <c r="N16" s="348"/>
      <c r="O16" s="348"/>
      <c r="P16" s="348"/>
      <c r="Q16" s="348"/>
      <c r="R16" s="348"/>
      <c r="S16" s="348"/>
      <c r="T16" s="348"/>
      <c r="U16" s="348"/>
      <c r="V16" s="348"/>
      <c r="W16" s="348"/>
      <c r="X16" s="348"/>
      <c r="Y16" s="348"/>
      <c r="Z16" s="348"/>
      <c r="AA16" s="348"/>
      <c r="AB16" s="348"/>
      <c r="AC16" s="348" t="s">
        <v>188</v>
      </c>
      <c r="AD16" s="348"/>
      <c r="AE16" s="348" t="s">
        <v>666</v>
      </c>
      <c r="AF16" s="348"/>
      <c r="AG16" s="348"/>
      <c r="AH16" s="348"/>
      <c r="AI16" s="348"/>
      <c r="AJ16" s="348"/>
      <c r="AK16" s="348"/>
      <c r="AL16" s="348"/>
      <c r="AM16" s="348"/>
      <c r="AN16" s="348"/>
      <c r="AO16" s="348"/>
      <c r="AP16" s="348"/>
      <c r="AQ16" s="348"/>
      <c r="AR16" s="348"/>
      <c r="AS16" s="348"/>
      <c r="AT16" s="348"/>
      <c r="AU16" s="348"/>
      <c r="AV16" s="348"/>
      <c r="AW16" s="348"/>
      <c r="AX16" s="348"/>
      <c r="AY16" s="348"/>
      <c r="AZ16" s="348"/>
      <c r="BA16" s="348"/>
      <c r="BB16" s="348"/>
      <c r="BC16" s="348"/>
      <c r="BD16" s="384"/>
      <c r="BE16" s="348"/>
      <c r="BF16" s="348"/>
      <c r="BG16" s="348"/>
      <c r="BH16" s="348"/>
      <c r="BI16" s="348"/>
      <c r="BJ16" s="348"/>
      <c r="BK16" s="387"/>
    </row>
    <row r="17" spans="1:113" s="189" customFormat="1" ht="15.75" customHeight="1">
      <c r="A17" s="383"/>
      <c r="B17" s="384"/>
      <c r="C17" s="348"/>
      <c r="D17" s="348"/>
      <c r="E17" s="348"/>
      <c r="F17" s="348"/>
      <c r="G17" s="348"/>
      <c r="H17" s="348"/>
      <c r="I17" s="385"/>
      <c r="J17" s="388"/>
      <c r="K17" s="348"/>
      <c r="L17" s="348"/>
      <c r="M17" s="348" t="s">
        <v>667</v>
      </c>
      <c r="N17" s="348"/>
      <c r="O17" s="348"/>
      <c r="P17" s="348"/>
      <c r="Q17" s="348"/>
      <c r="R17" s="348"/>
      <c r="S17" s="348"/>
      <c r="T17" s="348"/>
      <c r="U17" s="348"/>
      <c r="V17" s="348"/>
      <c r="W17" s="348"/>
      <c r="X17" s="348"/>
      <c r="Y17" s="348"/>
      <c r="Z17" s="348"/>
      <c r="AA17" s="348"/>
      <c r="AB17" s="348"/>
      <c r="AC17" s="348" t="s">
        <v>188</v>
      </c>
      <c r="AD17" s="348"/>
      <c r="AE17" s="348" t="s">
        <v>668</v>
      </c>
      <c r="AF17" s="348"/>
      <c r="AG17" s="348"/>
      <c r="AH17" s="348"/>
      <c r="AI17" s="348"/>
      <c r="AJ17" s="348"/>
      <c r="AK17" s="348"/>
      <c r="AL17" s="348"/>
      <c r="AM17" s="348"/>
      <c r="AN17" s="348"/>
      <c r="AO17" s="348"/>
      <c r="AP17" s="348"/>
      <c r="AQ17" s="348"/>
      <c r="AR17" s="348"/>
      <c r="AS17" s="348"/>
      <c r="AT17" s="348"/>
      <c r="AU17" s="348"/>
      <c r="AV17" s="348"/>
      <c r="AW17" s="348"/>
      <c r="AX17" s="348"/>
      <c r="AY17" s="348"/>
      <c r="AZ17" s="348"/>
      <c r="BA17" s="348"/>
      <c r="BB17" s="348"/>
      <c r="BC17" s="348"/>
      <c r="BD17" s="384"/>
      <c r="BE17" s="348"/>
      <c r="BF17" s="348"/>
      <c r="BG17" s="348"/>
      <c r="BH17" s="348"/>
      <c r="BI17" s="348"/>
      <c r="BJ17" s="348"/>
      <c r="BK17" s="387"/>
    </row>
    <row r="18" spans="1:113" s="189" customFormat="1" ht="15.75" customHeight="1">
      <c r="A18" s="383"/>
      <c r="B18" s="384"/>
      <c r="C18" s="348"/>
      <c r="D18" s="348"/>
      <c r="E18" s="348"/>
      <c r="F18" s="348"/>
      <c r="G18" s="348"/>
      <c r="H18" s="348"/>
      <c r="I18" s="385"/>
      <c r="J18" s="388"/>
      <c r="K18" s="348"/>
      <c r="L18" s="348"/>
      <c r="M18" s="389" t="s">
        <v>669</v>
      </c>
      <c r="N18" s="348"/>
      <c r="O18" s="348"/>
      <c r="P18" s="348"/>
      <c r="Q18" s="348"/>
      <c r="R18" s="348"/>
      <c r="S18" s="348"/>
      <c r="T18" s="348"/>
      <c r="U18" s="348"/>
      <c r="V18" s="348"/>
      <c r="W18" s="348"/>
      <c r="X18" s="348"/>
      <c r="Y18" s="348"/>
      <c r="Z18" s="348"/>
      <c r="AA18" s="348"/>
      <c r="AB18" s="348"/>
      <c r="AC18" s="348"/>
      <c r="AD18" s="348"/>
      <c r="AE18" s="348"/>
      <c r="AF18" s="348"/>
      <c r="AG18" s="348"/>
      <c r="AH18" s="348"/>
      <c r="AI18" s="348"/>
      <c r="AJ18" s="348"/>
      <c r="AK18" s="348"/>
      <c r="AL18" s="348"/>
      <c r="AM18" s="348"/>
      <c r="AN18" s="348"/>
      <c r="AO18" s="348"/>
      <c r="AP18" s="348"/>
      <c r="AQ18" s="348"/>
      <c r="AR18" s="348"/>
      <c r="AS18" s="348"/>
      <c r="AT18" s="348"/>
      <c r="AU18" s="348"/>
      <c r="AV18" s="348"/>
      <c r="AW18" s="348"/>
      <c r="AX18" s="348"/>
      <c r="AY18" s="348"/>
      <c r="AZ18" s="348"/>
      <c r="BA18" s="348"/>
      <c r="BB18" s="348"/>
      <c r="BC18" s="348"/>
      <c r="BD18" s="384"/>
      <c r="BE18" s="348"/>
      <c r="BF18" s="348"/>
      <c r="BG18" s="348"/>
      <c r="BH18" s="348"/>
      <c r="BI18" s="348"/>
      <c r="BJ18" s="348"/>
      <c r="BK18" s="387"/>
    </row>
    <row r="19" spans="1:113" s="189" customFormat="1" ht="15.75" customHeight="1">
      <c r="A19" s="383"/>
      <c r="B19" s="348"/>
      <c r="C19" s="348"/>
      <c r="D19" s="348"/>
      <c r="E19" s="348"/>
      <c r="F19" s="348"/>
      <c r="G19" s="348"/>
      <c r="H19" s="348"/>
      <c r="I19" s="385"/>
      <c r="J19" s="388"/>
      <c r="K19" s="348"/>
      <c r="L19" s="348"/>
      <c r="M19" s="389"/>
      <c r="N19" s="348"/>
      <c r="O19" s="348"/>
      <c r="P19" s="348"/>
      <c r="Q19" s="348"/>
      <c r="R19" s="348"/>
      <c r="S19" s="348"/>
      <c r="T19" s="348"/>
      <c r="U19" s="348"/>
      <c r="V19" s="348"/>
      <c r="W19" s="348"/>
      <c r="X19" s="348"/>
      <c r="Y19" s="348"/>
      <c r="Z19" s="348"/>
      <c r="AA19" s="348"/>
      <c r="AB19" s="348"/>
      <c r="AC19" s="348"/>
      <c r="AD19" s="348"/>
      <c r="AE19" s="348"/>
      <c r="AF19" s="348"/>
      <c r="AG19" s="348"/>
      <c r="AH19" s="348"/>
      <c r="AI19" s="348"/>
      <c r="AJ19" s="348"/>
      <c r="AK19" s="348"/>
      <c r="AL19" s="348"/>
      <c r="AM19" s="348"/>
      <c r="AN19" s="348"/>
      <c r="AO19" s="348"/>
      <c r="AP19" s="348"/>
      <c r="AQ19" s="348"/>
      <c r="AR19" s="348"/>
      <c r="AS19" s="348"/>
      <c r="AT19" s="348"/>
      <c r="AU19" s="348"/>
      <c r="AV19" s="348"/>
      <c r="AW19" s="348"/>
      <c r="AX19" s="348"/>
      <c r="AY19" s="348"/>
      <c r="AZ19" s="348"/>
      <c r="BA19" s="348"/>
      <c r="BB19" s="348"/>
      <c r="BC19" s="348"/>
      <c r="BD19" s="384"/>
      <c r="BE19" s="348"/>
      <c r="BF19" s="348"/>
      <c r="BG19" s="348"/>
      <c r="BH19" s="348"/>
      <c r="BI19" s="348"/>
      <c r="BJ19" s="348"/>
      <c r="BK19" s="387"/>
    </row>
    <row r="20" spans="1:113" s="189" customFormat="1" ht="15.75" customHeight="1">
      <c r="A20" s="383"/>
      <c r="B20" s="348"/>
      <c r="C20" s="348"/>
      <c r="D20" s="348"/>
      <c r="E20" s="348"/>
      <c r="F20" s="348"/>
      <c r="G20" s="348"/>
      <c r="H20" s="348"/>
      <c r="I20" s="385"/>
      <c r="J20" s="388"/>
      <c r="K20" s="348"/>
      <c r="L20" s="348"/>
      <c r="M20" s="389"/>
      <c r="N20" s="348" t="s">
        <v>670</v>
      </c>
      <c r="O20" s="348"/>
      <c r="P20" s="348"/>
      <c r="Q20" s="348"/>
      <c r="R20" s="348"/>
      <c r="S20" s="348"/>
      <c r="T20" s="348"/>
      <c r="U20" s="348"/>
      <c r="V20" s="348"/>
      <c r="W20" s="348"/>
      <c r="X20" s="348"/>
      <c r="Y20" s="348"/>
      <c r="Z20" s="348"/>
      <c r="AA20" s="348"/>
      <c r="AB20" s="348"/>
      <c r="AC20" s="348"/>
      <c r="AD20" s="348"/>
      <c r="AE20" s="348"/>
      <c r="AF20" s="348"/>
      <c r="AG20" s="348"/>
      <c r="AH20" s="348"/>
      <c r="AI20" s="348"/>
      <c r="AJ20" s="348"/>
      <c r="AK20" s="348"/>
      <c r="AL20" s="348"/>
      <c r="AM20" s="348"/>
      <c r="AN20" s="348"/>
      <c r="AO20" s="348"/>
      <c r="AP20" s="348"/>
      <c r="AQ20" s="348"/>
      <c r="AR20" s="348"/>
      <c r="AS20" s="348"/>
      <c r="AT20" s="348"/>
      <c r="AU20" s="348"/>
      <c r="AV20" s="348"/>
      <c r="AW20" s="348"/>
      <c r="AX20" s="348"/>
      <c r="AY20" s="348"/>
      <c r="AZ20" s="348"/>
      <c r="BA20" s="348"/>
      <c r="BB20" s="348"/>
      <c r="BC20" s="348"/>
      <c r="BD20" s="384"/>
      <c r="BE20" s="348"/>
      <c r="BF20" s="348"/>
      <c r="BG20" s="348"/>
      <c r="BH20" s="348"/>
      <c r="BI20" s="348"/>
      <c r="BJ20" s="348"/>
      <c r="BK20" s="387"/>
      <c r="BN20" s="1175" t="s">
        <v>233</v>
      </c>
      <c r="BO20" s="1175"/>
      <c r="BP20" s="1175"/>
      <c r="BQ20" s="1175"/>
      <c r="BR20" s="1175"/>
      <c r="BS20" s="1175"/>
      <c r="BT20" s="1175"/>
      <c r="BU20" s="1175"/>
      <c r="BV20" s="1175"/>
      <c r="BW20" s="1175"/>
      <c r="BX20" s="1175"/>
      <c r="BY20" s="1175"/>
      <c r="BZ20" s="1175"/>
      <c r="CA20" s="1175"/>
      <c r="CB20" s="1175"/>
      <c r="CC20" s="1175"/>
      <c r="CD20" s="1175"/>
      <c r="CE20" s="1175"/>
      <c r="CF20" s="1175"/>
      <c r="CG20" s="1175"/>
      <c r="CH20" s="1175"/>
      <c r="CI20" s="1175"/>
      <c r="CJ20" s="1175"/>
      <c r="CK20" s="1175"/>
      <c r="CL20" s="1175"/>
      <c r="CM20" s="1175"/>
      <c r="CN20" s="1175"/>
      <c r="CO20" s="1175"/>
      <c r="CP20" s="1175"/>
      <c r="CQ20" s="1175"/>
      <c r="CR20" s="1175"/>
      <c r="CS20" s="1175"/>
      <c r="CT20" s="1175"/>
      <c r="CU20" s="1175"/>
      <c r="CV20" s="1175"/>
      <c r="CW20" s="1175"/>
      <c r="CX20" s="1175"/>
      <c r="CY20" s="1175"/>
      <c r="CZ20" s="1175"/>
      <c r="DA20" s="1175"/>
      <c r="DB20" s="1175"/>
      <c r="DC20" s="1175"/>
      <c r="DD20" s="1175"/>
      <c r="DE20" s="1175"/>
      <c r="DF20" s="1175"/>
      <c r="DG20" s="1175"/>
      <c r="DH20" s="1175"/>
      <c r="DI20" s="1175"/>
    </row>
    <row r="21" spans="1:113" s="189" customFormat="1" ht="15.75" customHeight="1">
      <c r="A21" s="383"/>
      <c r="B21" s="348"/>
      <c r="C21" s="348"/>
      <c r="D21" s="348"/>
      <c r="E21" s="348"/>
      <c r="F21" s="348"/>
      <c r="G21" s="348"/>
      <c r="H21" s="348"/>
      <c r="I21" s="385"/>
      <c r="J21" s="388"/>
      <c r="K21" s="348"/>
      <c r="L21" s="348"/>
      <c r="M21" s="389"/>
      <c r="N21" s="348" t="s">
        <v>671</v>
      </c>
      <c r="O21" s="348"/>
      <c r="P21" s="348"/>
      <c r="Q21" s="348"/>
      <c r="R21" s="348"/>
      <c r="S21" s="348"/>
      <c r="T21" s="348"/>
      <c r="U21" s="348"/>
      <c r="V21" s="348"/>
      <c r="W21" s="348"/>
      <c r="X21" s="348"/>
      <c r="Y21" s="348"/>
      <c r="Z21" s="348"/>
      <c r="AA21" s="348"/>
      <c r="AB21" s="348"/>
      <c r="AC21" s="348"/>
      <c r="AD21" s="348"/>
      <c r="AE21" s="348"/>
      <c r="AF21" s="348"/>
      <c r="AG21" s="348"/>
      <c r="AH21" s="348"/>
      <c r="AI21" s="348"/>
      <c r="AJ21" s="348"/>
      <c r="AK21" s="348"/>
      <c r="AL21" s="348"/>
      <c r="AM21" s="348"/>
      <c r="AN21" s="348"/>
      <c r="AO21" s="348"/>
      <c r="AP21" s="348"/>
      <c r="AQ21" s="348"/>
      <c r="AR21" s="348"/>
      <c r="AS21" s="348"/>
      <c r="AT21" s="348"/>
      <c r="AU21" s="348"/>
      <c r="AV21" s="348"/>
      <c r="AW21" s="348"/>
      <c r="AX21" s="348"/>
      <c r="AY21" s="348"/>
      <c r="AZ21" s="348"/>
      <c r="BA21" s="348"/>
      <c r="BB21" s="348"/>
      <c r="BC21" s="348"/>
      <c r="BD21" s="384"/>
      <c r="BE21" s="348"/>
      <c r="BF21" s="348"/>
      <c r="BG21" s="348"/>
      <c r="BH21" s="348"/>
      <c r="BI21" s="348"/>
      <c r="BJ21" s="348"/>
      <c r="BK21" s="387"/>
      <c r="BN21" s="24"/>
      <c r="BO21" s="483" t="s">
        <v>672</v>
      </c>
      <c r="BP21" s="24"/>
      <c r="BQ21" s="24"/>
      <c r="BR21" s="24"/>
      <c r="BS21" s="24"/>
      <c r="BT21" s="24"/>
      <c r="BU21" s="24"/>
      <c r="BV21" s="24"/>
      <c r="BW21" s="24"/>
      <c r="BX21" s="24"/>
      <c r="BY21" s="24"/>
      <c r="BZ21" s="24"/>
      <c r="CA21" s="24"/>
      <c r="CB21" s="24"/>
      <c r="CC21" s="24"/>
      <c r="CD21" s="24"/>
      <c r="CE21" s="24"/>
      <c r="CF21" s="443" t="s">
        <v>235</v>
      </c>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row>
    <row r="22" spans="1:113" s="189" customFormat="1" ht="15.75" customHeight="1">
      <c r="A22" s="390"/>
      <c r="B22" s="348"/>
      <c r="C22" s="348"/>
      <c r="D22" s="348"/>
      <c r="E22" s="348"/>
      <c r="F22" s="348"/>
      <c r="G22" s="348"/>
      <c r="H22" s="348"/>
      <c r="I22" s="348"/>
      <c r="J22" s="391"/>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3"/>
      <c r="BD22" s="348"/>
      <c r="BE22" s="348"/>
      <c r="BF22" s="348"/>
      <c r="BG22" s="348"/>
      <c r="BH22" s="348"/>
      <c r="BI22" s="348"/>
      <c r="BJ22" s="348"/>
      <c r="BK22" s="387"/>
    </row>
    <row r="23" spans="1:113" s="189" customFormat="1" ht="15.75" customHeight="1">
      <c r="A23" s="383" t="s">
        <v>651</v>
      </c>
      <c r="B23" s="380" t="s">
        <v>652</v>
      </c>
      <c r="C23" s="380"/>
      <c r="D23" s="380"/>
      <c r="E23" s="380"/>
      <c r="F23" s="380"/>
      <c r="G23" s="380"/>
      <c r="H23" s="380"/>
      <c r="I23" s="380"/>
      <c r="J23" s="380"/>
      <c r="K23" s="380"/>
      <c r="L23" s="381"/>
      <c r="M23" s="381"/>
      <c r="N23" s="381"/>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1"/>
      <c r="BK23" s="382"/>
    </row>
    <row r="24" spans="1:113" s="189" customFormat="1" ht="15.75" customHeight="1">
      <c r="A24" s="383"/>
      <c r="B24" s="384"/>
      <c r="C24" s="348"/>
      <c r="D24" s="348"/>
      <c r="E24" s="348"/>
      <c r="F24" s="348"/>
      <c r="G24" s="348"/>
      <c r="H24" s="348"/>
      <c r="I24" s="385"/>
      <c r="J24" s="394" t="s">
        <v>673</v>
      </c>
      <c r="K24" s="347"/>
      <c r="L24" s="347"/>
      <c r="M24" s="347"/>
      <c r="N24" s="347"/>
      <c r="O24" s="347"/>
      <c r="P24" s="347"/>
      <c r="Q24" s="347"/>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8"/>
      <c r="AP24" s="348"/>
      <c r="AQ24" s="348"/>
      <c r="AR24" s="348"/>
      <c r="AS24" s="348"/>
      <c r="AT24" s="348"/>
      <c r="AU24" s="348"/>
      <c r="AV24" s="348"/>
      <c r="AW24" s="348"/>
      <c r="AX24" s="348"/>
      <c r="AY24" s="348"/>
      <c r="AZ24" s="348"/>
      <c r="BA24" s="348"/>
      <c r="BB24" s="348"/>
      <c r="BC24" s="348"/>
      <c r="BD24" s="384"/>
      <c r="BE24" s="348"/>
      <c r="BF24" s="348"/>
      <c r="BG24" s="348"/>
      <c r="BH24" s="348"/>
      <c r="BI24" s="348"/>
      <c r="BJ24" s="348"/>
      <c r="BK24" s="387"/>
    </row>
    <row r="25" spans="1:113" s="189" customFormat="1" ht="15.75" customHeight="1">
      <c r="A25" s="383"/>
      <c r="B25" s="384"/>
      <c r="C25" s="348"/>
      <c r="D25" s="348"/>
      <c r="E25" s="348"/>
      <c r="F25" s="348"/>
      <c r="G25" s="348"/>
      <c r="H25" s="348"/>
      <c r="I25" s="385"/>
      <c r="J25" s="347"/>
      <c r="K25" s="347" t="s">
        <v>674</v>
      </c>
      <c r="L25" s="347"/>
      <c r="M25" s="347"/>
      <c r="N25" s="347"/>
      <c r="O25" s="347"/>
      <c r="P25" s="347"/>
      <c r="Q25" s="347"/>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8"/>
      <c r="AP25" s="348"/>
      <c r="AQ25" s="348"/>
      <c r="AR25" s="348"/>
      <c r="AS25" s="348"/>
      <c r="AT25" s="348"/>
      <c r="AU25" s="348"/>
      <c r="AV25" s="348"/>
      <c r="AW25" s="348"/>
      <c r="AX25" s="348"/>
      <c r="AY25" s="348"/>
      <c r="AZ25" s="348"/>
      <c r="BA25" s="348"/>
      <c r="BB25" s="348"/>
      <c r="BC25" s="348"/>
      <c r="BD25" s="384"/>
      <c r="BE25" s="348"/>
      <c r="BF25" s="348"/>
      <c r="BG25" s="348"/>
      <c r="BH25" s="348"/>
      <c r="BI25" s="348"/>
      <c r="BJ25" s="348"/>
      <c r="BK25" s="387"/>
    </row>
    <row r="26" spans="1:113" s="189" customFormat="1" ht="15.75" customHeight="1">
      <c r="A26" s="383"/>
      <c r="B26" s="384"/>
      <c r="C26" s="348"/>
      <c r="D26" s="348"/>
      <c r="E26" s="348"/>
      <c r="F26" s="348"/>
      <c r="G26" s="348"/>
      <c r="H26" s="348"/>
      <c r="I26" s="385"/>
      <c r="J26" s="347"/>
      <c r="K26" s="347"/>
      <c r="L26" s="347" t="s">
        <v>675</v>
      </c>
      <c r="M26" s="347"/>
      <c r="N26" s="347"/>
      <c r="O26" s="347"/>
      <c r="P26" s="347"/>
      <c r="Q26" s="347"/>
      <c r="R26" s="347"/>
      <c r="S26" s="347"/>
      <c r="T26" s="347"/>
      <c r="U26" s="347" t="s">
        <v>676</v>
      </c>
      <c r="V26" s="347" t="s">
        <v>677</v>
      </c>
      <c r="W26" s="347"/>
      <c r="X26" s="348"/>
      <c r="Y26" s="347"/>
      <c r="Z26" s="347"/>
      <c r="AA26" s="347"/>
      <c r="AB26" s="347"/>
      <c r="AC26" s="347"/>
      <c r="AD26" s="347"/>
      <c r="AE26" s="347"/>
      <c r="AF26" s="347"/>
      <c r="AG26" s="347"/>
      <c r="AH26" s="347"/>
      <c r="AI26" s="347"/>
      <c r="AJ26" s="347"/>
      <c r="AK26" s="347"/>
      <c r="AL26" s="347"/>
      <c r="AM26" s="347"/>
      <c r="AN26" s="347"/>
      <c r="AO26" s="348"/>
      <c r="AP26" s="348"/>
      <c r="AQ26" s="348"/>
      <c r="AR26" s="348"/>
      <c r="AS26" s="348"/>
      <c r="AT26" s="348"/>
      <c r="AU26" s="348"/>
      <c r="AV26" s="348"/>
      <c r="AW26" s="348"/>
      <c r="AX26" s="348"/>
      <c r="AY26" s="348"/>
      <c r="AZ26" s="348"/>
      <c r="BA26" s="348"/>
      <c r="BB26" s="348"/>
      <c r="BC26" s="348"/>
      <c r="BD26" s="384"/>
      <c r="BE26" s="348"/>
      <c r="BF26" s="348"/>
      <c r="BG26" s="348"/>
      <c r="BH26" s="348"/>
      <c r="BI26" s="348"/>
      <c r="BJ26" s="348"/>
      <c r="BK26" s="387"/>
    </row>
    <row r="27" spans="1:113" s="189" customFormat="1" ht="15.75" customHeight="1">
      <c r="A27" s="383"/>
      <c r="B27" s="384"/>
      <c r="C27" s="348"/>
      <c r="D27" s="348"/>
      <c r="E27" s="348"/>
      <c r="F27" s="348"/>
      <c r="G27" s="348"/>
      <c r="H27" s="348"/>
      <c r="I27" s="385"/>
      <c r="J27" s="347"/>
      <c r="K27" s="347"/>
      <c r="L27" s="347"/>
      <c r="M27" s="347"/>
      <c r="N27" s="347"/>
      <c r="O27" s="347"/>
      <c r="P27" s="347"/>
      <c r="Q27" s="347"/>
      <c r="R27" s="347"/>
      <c r="S27" s="347"/>
      <c r="T27" s="347"/>
      <c r="U27" s="347"/>
      <c r="V27" s="347"/>
      <c r="W27" s="347"/>
      <c r="X27" s="348"/>
      <c r="Y27" s="347"/>
      <c r="Z27" s="347"/>
      <c r="AA27" s="347"/>
      <c r="AB27" s="347"/>
      <c r="AC27" s="347"/>
      <c r="AD27" s="347"/>
      <c r="AE27" s="347"/>
      <c r="AF27" s="347"/>
      <c r="AG27" s="347"/>
      <c r="AH27" s="347"/>
      <c r="AI27" s="347"/>
      <c r="AJ27" s="347"/>
      <c r="AK27" s="347"/>
      <c r="AL27" s="347"/>
      <c r="AM27" s="347"/>
      <c r="AN27" s="347"/>
      <c r="AO27" s="348"/>
      <c r="AP27" s="348"/>
      <c r="AQ27" s="348"/>
      <c r="AR27" s="348"/>
      <c r="AS27" s="348"/>
      <c r="AT27" s="348"/>
      <c r="AU27" s="348"/>
      <c r="AV27" s="348"/>
      <c r="AW27" s="348"/>
      <c r="AX27" s="348"/>
      <c r="AY27" s="348"/>
      <c r="AZ27" s="348"/>
      <c r="BA27" s="348"/>
      <c r="BB27" s="348"/>
      <c r="BC27" s="348"/>
      <c r="BD27" s="384"/>
      <c r="BE27" s="348"/>
      <c r="BF27" s="348"/>
      <c r="BG27" s="348"/>
      <c r="BH27" s="348"/>
      <c r="BI27" s="348"/>
      <c r="BJ27" s="348"/>
      <c r="BK27" s="387"/>
    </row>
    <row r="28" spans="1:113" s="189" customFormat="1" ht="15.75" customHeight="1">
      <c r="A28" s="383"/>
      <c r="B28" s="384"/>
      <c r="C28" s="348"/>
      <c r="D28" s="348"/>
      <c r="E28" s="348"/>
      <c r="F28" s="348"/>
      <c r="G28" s="348"/>
      <c r="H28" s="348"/>
      <c r="I28" s="385"/>
      <c r="J28" s="347"/>
      <c r="K28" s="347"/>
      <c r="L28" s="347" t="s">
        <v>678</v>
      </c>
      <c r="M28" s="347"/>
      <c r="N28" s="347"/>
      <c r="O28" s="347"/>
      <c r="P28" s="347"/>
      <c r="Q28" s="347"/>
      <c r="R28" s="347"/>
      <c r="S28" s="347"/>
      <c r="T28" s="347"/>
      <c r="U28" s="347" t="s">
        <v>676</v>
      </c>
      <c r="V28" s="347" t="s">
        <v>679</v>
      </c>
      <c r="W28" s="347"/>
      <c r="X28" s="348"/>
      <c r="Y28" s="347"/>
      <c r="Z28" s="347"/>
      <c r="AA28" s="347"/>
      <c r="AB28" s="347"/>
      <c r="AC28" s="347"/>
      <c r="AD28" s="347"/>
      <c r="AE28" s="347"/>
      <c r="AF28" s="347"/>
      <c r="AG28" s="347"/>
      <c r="AH28" s="347"/>
      <c r="AI28" s="347"/>
      <c r="AJ28" s="347"/>
      <c r="AK28" s="347"/>
      <c r="AL28" s="347"/>
      <c r="AM28" s="347"/>
      <c r="AN28" s="347"/>
      <c r="AO28" s="348"/>
      <c r="AP28" s="348"/>
      <c r="AQ28" s="348"/>
      <c r="AR28" s="348"/>
      <c r="AS28" s="348"/>
      <c r="AT28" s="348"/>
      <c r="AU28" s="348"/>
      <c r="AV28" s="348"/>
      <c r="AW28" s="348"/>
      <c r="AX28" s="348"/>
      <c r="AY28" s="348"/>
      <c r="AZ28" s="348"/>
      <c r="BA28" s="348"/>
      <c r="BB28" s="348"/>
      <c r="BC28" s="348"/>
      <c r="BD28" s="384"/>
      <c r="BE28" s="348"/>
      <c r="BF28" s="348"/>
      <c r="BG28" s="348"/>
      <c r="BH28" s="348"/>
      <c r="BI28" s="348"/>
      <c r="BJ28" s="348"/>
      <c r="BK28" s="387"/>
    </row>
    <row r="29" spans="1:113" s="189" customFormat="1" ht="15.75" customHeight="1">
      <c r="A29" s="383"/>
      <c r="B29" s="384"/>
      <c r="C29" s="348"/>
      <c r="D29" s="348"/>
      <c r="E29" s="348"/>
      <c r="F29" s="348"/>
      <c r="G29" s="348"/>
      <c r="H29" s="348"/>
      <c r="I29" s="385"/>
      <c r="J29" s="347"/>
      <c r="K29" s="347"/>
      <c r="L29" s="347" t="s">
        <v>680</v>
      </c>
      <c r="M29" s="347"/>
      <c r="N29" s="347"/>
      <c r="O29" s="347"/>
      <c r="P29" s="347"/>
      <c r="Q29" s="347"/>
      <c r="R29" s="347"/>
      <c r="S29" s="347"/>
      <c r="T29" s="347"/>
      <c r="U29" s="347"/>
      <c r="V29" s="347"/>
      <c r="W29" s="347" t="s">
        <v>681</v>
      </c>
      <c r="X29" s="348"/>
      <c r="Y29" s="347"/>
      <c r="Z29" s="347"/>
      <c r="AA29" s="347"/>
      <c r="AB29" s="347"/>
      <c r="AC29" s="347"/>
      <c r="AD29" s="347"/>
      <c r="AE29" s="347"/>
      <c r="AF29" s="347"/>
      <c r="AG29" s="347"/>
      <c r="AH29" s="347" t="s">
        <v>416</v>
      </c>
      <c r="AI29" s="349" t="s">
        <v>682</v>
      </c>
      <c r="AJ29" s="347"/>
      <c r="AK29" s="347"/>
      <c r="AL29" s="347"/>
      <c r="AM29" s="347"/>
      <c r="AN29" s="347"/>
      <c r="AO29" s="348"/>
      <c r="AP29" s="348"/>
      <c r="AQ29" s="348"/>
      <c r="AR29" s="348"/>
      <c r="AS29" s="348"/>
      <c r="AT29" s="348"/>
      <c r="AU29" s="348"/>
      <c r="AV29" s="348"/>
      <c r="AW29" s="348"/>
      <c r="AX29" s="348"/>
      <c r="AY29" s="348"/>
      <c r="AZ29" s="348"/>
      <c r="BA29" s="348"/>
      <c r="BB29" s="348"/>
      <c r="BC29" s="348"/>
      <c r="BD29" s="384" t="s">
        <v>683</v>
      </c>
      <c r="BE29" s="348"/>
      <c r="BF29" s="348"/>
      <c r="BG29" s="348"/>
      <c r="BH29" s="348"/>
      <c r="BI29" s="348"/>
      <c r="BJ29" s="348"/>
      <c r="BK29" s="387"/>
    </row>
    <row r="30" spans="1:113" s="189" customFormat="1" ht="15.75" customHeight="1">
      <c r="A30" s="383"/>
      <c r="B30" s="384"/>
      <c r="C30" s="348"/>
      <c r="D30" s="348"/>
      <c r="E30" s="348"/>
      <c r="F30" s="348"/>
      <c r="G30" s="348"/>
      <c r="H30" s="348"/>
      <c r="I30" s="385"/>
      <c r="J30" s="347"/>
      <c r="K30" s="347"/>
      <c r="L30" s="347"/>
      <c r="M30" s="347"/>
      <c r="N30" s="347"/>
      <c r="O30" s="347"/>
      <c r="P30" s="347"/>
      <c r="Q30" s="347"/>
      <c r="R30" s="347"/>
      <c r="S30" s="347"/>
      <c r="T30" s="347"/>
      <c r="U30" s="347"/>
      <c r="V30" s="347"/>
      <c r="W30" s="347"/>
      <c r="X30" s="348"/>
      <c r="Y30" s="347"/>
      <c r="Z30" s="347"/>
      <c r="AA30" s="347"/>
      <c r="AB30" s="347"/>
      <c r="AC30" s="347"/>
      <c r="AD30" s="347"/>
      <c r="AE30" s="347"/>
      <c r="AF30" s="347"/>
      <c r="AG30" s="347"/>
      <c r="AH30" s="347"/>
      <c r="AI30" s="349"/>
      <c r="AJ30" s="347"/>
      <c r="AK30" s="347"/>
      <c r="AL30" s="347"/>
      <c r="AM30" s="347"/>
      <c r="AN30" s="347"/>
      <c r="AO30" s="348"/>
      <c r="AP30" s="348"/>
      <c r="AQ30" s="348"/>
      <c r="AR30" s="348"/>
      <c r="AS30" s="348"/>
      <c r="AT30" s="348"/>
      <c r="AU30" s="348"/>
      <c r="AV30" s="348"/>
      <c r="AW30" s="348"/>
      <c r="AX30" s="348"/>
      <c r="AY30" s="348"/>
      <c r="AZ30" s="348"/>
      <c r="BA30" s="348"/>
      <c r="BB30" s="348"/>
      <c r="BC30" s="348"/>
      <c r="BD30" s="384"/>
      <c r="BE30" s="348"/>
      <c r="BF30" s="348"/>
      <c r="BG30" s="348"/>
      <c r="BH30" s="348"/>
      <c r="BI30" s="348"/>
      <c r="BJ30" s="348"/>
      <c r="BK30" s="387"/>
    </row>
    <row r="31" spans="1:113" s="189" customFormat="1" ht="15.75" customHeight="1">
      <c r="A31" s="383"/>
      <c r="B31" s="384"/>
      <c r="C31" s="348"/>
      <c r="D31" s="348"/>
      <c r="E31" s="348"/>
      <c r="F31" s="348"/>
      <c r="G31" s="348"/>
      <c r="H31" s="348"/>
      <c r="I31" s="385"/>
      <c r="J31" s="347"/>
      <c r="K31" s="347"/>
      <c r="L31" s="347" t="s">
        <v>678</v>
      </c>
      <c r="M31" s="347"/>
      <c r="N31" s="347"/>
      <c r="O31" s="347"/>
      <c r="P31" s="347"/>
      <c r="Q31" s="347"/>
      <c r="R31" s="347"/>
      <c r="S31" s="347"/>
      <c r="T31" s="347"/>
      <c r="U31" s="347" t="s">
        <v>676</v>
      </c>
      <c r="V31" s="347" t="s">
        <v>684</v>
      </c>
      <c r="W31" s="347"/>
      <c r="X31" s="348"/>
      <c r="Y31" s="347"/>
      <c r="Z31" s="347"/>
      <c r="AA31" s="347"/>
      <c r="AB31" s="347"/>
      <c r="AC31" s="347"/>
      <c r="AD31" s="347"/>
      <c r="AE31" s="347"/>
      <c r="AF31" s="347"/>
      <c r="AG31" s="347"/>
      <c r="AH31" s="347"/>
      <c r="AI31" s="347"/>
      <c r="AJ31" s="347"/>
      <c r="AK31" s="347"/>
      <c r="AL31" s="347"/>
      <c r="AM31" s="347"/>
      <c r="AN31" s="347"/>
      <c r="AO31" s="348"/>
      <c r="AP31" s="348"/>
      <c r="AQ31" s="348"/>
      <c r="AR31" s="348"/>
      <c r="AS31" s="348"/>
      <c r="AT31" s="348"/>
      <c r="AU31" s="348"/>
      <c r="AV31" s="348"/>
      <c r="AW31" s="348"/>
      <c r="AX31" s="348"/>
      <c r="AY31" s="348"/>
      <c r="AZ31" s="348"/>
      <c r="BA31" s="348"/>
      <c r="BB31" s="348"/>
      <c r="BC31" s="348"/>
      <c r="BD31" s="384" t="s">
        <v>663</v>
      </c>
      <c r="BE31" s="348"/>
      <c r="BF31" s="348"/>
      <c r="BG31" s="348"/>
      <c r="BH31" s="348"/>
      <c r="BI31" s="348"/>
      <c r="BJ31" s="348"/>
      <c r="BK31" s="387"/>
    </row>
    <row r="32" spans="1:113" s="189" customFormat="1" ht="15.75" customHeight="1">
      <c r="A32" s="383"/>
      <c r="B32" s="384"/>
      <c r="C32" s="348"/>
      <c r="D32" s="348"/>
      <c r="E32" s="348"/>
      <c r="F32" s="348"/>
      <c r="G32" s="348"/>
      <c r="H32" s="348"/>
      <c r="I32" s="385"/>
      <c r="J32" s="347"/>
      <c r="K32" s="347"/>
      <c r="L32" s="347"/>
      <c r="M32" s="347"/>
      <c r="N32" s="347"/>
      <c r="O32" s="347"/>
      <c r="P32" s="347"/>
      <c r="Q32" s="347"/>
      <c r="R32" s="347"/>
      <c r="S32" s="347"/>
      <c r="T32" s="347"/>
      <c r="U32" s="347"/>
      <c r="V32" s="395"/>
      <c r="W32" s="395" t="s">
        <v>685</v>
      </c>
      <c r="X32" s="348"/>
      <c r="Y32" s="347"/>
      <c r="Z32" s="347"/>
      <c r="AA32" s="347"/>
      <c r="AB32" s="347"/>
      <c r="AC32" s="347"/>
      <c r="AD32" s="347"/>
      <c r="AE32" s="347"/>
      <c r="AF32" s="347"/>
      <c r="AG32" s="347"/>
      <c r="AH32" s="347"/>
      <c r="AI32" s="347"/>
      <c r="AJ32" s="347"/>
      <c r="AK32" s="347"/>
      <c r="AL32" s="347"/>
      <c r="AM32" s="347"/>
      <c r="AN32" s="347"/>
      <c r="AO32" s="348"/>
      <c r="AP32" s="348"/>
      <c r="AQ32" s="348"/>
      <c r="AR32" s="348"/>
      <c r="AS32" s="348"/>
      <c r="AT32" s="348"/>
      <c r="AU32" s="348"/>
      <c r="AV32" s="348"/>
      <c r="AW32" s="348"/>
      <c r="AX32" s="348"/>
      <c r="AY32" s="348"/>
      <c r="AZ32" s="348"/>
      <c r="BA32" s="348"/>
      <c r="BB32" s="348"/>
      <c r="BC32" s="348"/>
      <c r="BD32" s="384"/>
      <c r="BE32" s="348"/>
      <c r="BF32" s="348"/>
      <c r="BG32" s="348"/>
      <c r="BH32" s="348"/>
      <c r="BI32" s="348"/>
      <c r="BJ32" s="348"/>
      <c r="BK32" s="387"/>
    </row>
    <row r="33" spans="1:67" s="189" customFormat="1" ht="15.75" customHeight="1">
      <c r="A33" s="383"/>
      <c r="B33" s="384"/>
      <c r="C33" s="348"/>
      <c r="D33" s="348"/>
      <c r="E33" s="348"/>
      <c r="F33" s="348"/>
      <c r="G33" s="348"/>
      <c r="H33" s="348"/>
      <c r="I33" s="385"/>
      <c r="J33" s="347"/>
      <c r="K33" s="347"/>
      <c r="L33" s="347"/>
      <c r="M33" s="347"/>
      <c r="N33" s="347"/>
      <c r="O33" s="347"/>
      <c r="P33" s="347"/>
      <c r="Q33" s="347"/>
      <c r="R33" s="347"/>
      <c r="S33" s="347"/>
      <c r="T33" s="347"/>
      <c r="U33" s="347"/>
      <c r="V33" s="395"/>
      <c r="W33" s="396" t="s">
        <v>686</v>
      </c>
      <c r="X33" s="348"/>
      <c r="Y33" s="347"/>
      <c r="Z33" s="347"/>
      <c r="AA33" s="347"/>
      <c r="AB33" s="347"/>
      <c r="AC33" s="347"/>
      <c r="AD33" s="347"/>
      <c r="AE33" s="347"/>
      <c r="AF33" s="347"/>
      <c r="AG33" s="347"/>
      <c r="AH33" s="347"/>
      <c r="AI33" s="347"/>
      <c r="AJ33" s="347"/>
      <c r="AK33" s="347"/>
      <c r="AL33" s="347"/>
      <c r="AM33" s="347"/>
      <c r="AN33" s="347"/>
      <c r="AO33" s="348"/>
      <c r="AP33" s="348"/>
      <c r="AQ33" s="348"/>
      <c r="AR33" s="348"/>
      <c r="AS33" s="348"/>
      <c r="AT33" s="348"/>
      <c r="AU33" s="348"/>
      <c r="AV33" s="348"/>
      <c r="AW33" s="348"/>
      <c r="AX33" s="348"/>
      <c r="AY33" s="348"/>
      <c r="AZ33" s="348"/>
      <c r="BA33" s="348"/>
      <c r="BB33" s="348"/>
      <c r="BC33" s="348"/>
      <c r="BD33" s="384" t="s">
        <v>687</v>
      </c>
      <c r="BE33" s="348"/>
      <c r="BF33" s="348"/>
      <c r="BG33" s="348"/>
      <c r="BH33" s="348"/>
      <c r="BI33" s="348"/>
      <c r="BJ33" s="348"/>
      <c r="BK33" s="387"/>
    </row>
    <row r="34" spans="1:67" s="189" customFormat="1" ht="15.75" customHeight="1">
      <c r="A34" s="383"/>
      <c r="B34" s="384"/>
      <c r="C34" s="348"/>
      <c r="D34" s="348"/>
      <c r="E34" s="348"/>
      <c r="F34" s="348"/>
      <c r="G34" s="348"/>
      <c r="H34" s="348"/>
      <c r="I34" s="385"/>
      <c r="J34" s="347"/>
      <c r="K34" s="347"/>
      <c r="L34" s="347"/>
      <c r="M34" s="347"/>
      <c r="N34" s="347"/>
      <c r="O34" s="347"/>
      <c r="P34" s="347"/>
      <c r="Q34" s="347"/>
      <c r="R34" s="347"/>
      <c r="S34" s="347"/>
      <c r="T34" s="347"/>
      <c r="U34" s="347"/>
      <c r="V34" s="395"/>
      <c r="W34" s="396"/>
      <c r="X34" s="348"/>
      <c r="Y34" s="347"/>
      <c r="Z34" s="347"/>
      <c r="AA34" s="347"/>
      <c r="AB34" s="347"/>
      <c r="AC34" s="347"/>
      <c r="AD34" s="347"/>
      <c r="AE34" s="347"/>
      <c r="AF34" s="347"/>
      <c r="AG34" s="347"/>
      <c r="AH34" s="347"/>
      <c r="AI34" s="347"/>
      <c r="AJ34" s="347"/>
      <c r="AK34" s="347"/>
      <c r="AL34" s="347"/>
      <c r="AM34" s="347"/>
      <c r="AN34" s="347"/>
      <c r="AO34" s="348"/>
      <c r="AP34" s="348"/>
      <c r="AQ34" s="348"/>
      <c r="AR34" s="348"/>
      <c r="AS34" s="348"/>
      <c r="AT34" s="348"/>
      <c r="AU34" s="348"/>
      <c r="AV34" s="348"/>
      <c r="AW34" s="348"/>
      <c r="AX34" s="348"/>
      <c r="AY34" s="348"/>
      <c r="AZ34" s="348"/>
      <c r="BA34" s="348"/>
      <c r="BB34" s="348"/>
      <c r="BC34" s="348"/>
      <c r="BD34" s="384"/>
      <c r="BE34" s="348"/>
      <c r="BF34" s="348"/>
      <c r="BG34" s="348"/>
      <c r="BH34" s="348"/>
      <c r="BI34" s="348"/>
      <c r="BJ34" s="348"/>
      <c r="BK34" s="387"/>
    </row>
    <row r="35" spans="1:67" s="189" customFormat="1" ht="15.75" customHeight="1">
      <c r="A35" s="383"/>
      <c r="B35" s="384"/>
      <c r="C35" s="348"/>
      <c r="D35" s="348"/>
      <c r="E35" s="348"/>
      <c r="F35" s="348"/>
      <c r="G35" s="348"/>
      <c r="H35" s="348"/>
      <c r="I35" s="385"/>
      <c r="J35" s="347"/>
      <c r="K35" s="347"/>
      <c r="L35" s="347" t="s">
        <v>688</v>
      </c>
      <c r="M35" s="347"/>
      <c r="N35" s="347"/>
      <c r="O35" s="347"/>
      <c r="P35" s="347"/>
      <c r="Q35" s="347"/>
      <c r="R35" s="347"/>
      <c r="S35" s="347"/>
      <c r="T35" s="347"/>
      <c r="U35" s="347" t="s">
        <v>676</v>
      </c>
      <c r="V35" s="347" t="s">
        <v>637</v>
      </c>
      <c r="W35" s="347"/>
      <c r="X35" s="348"/>
      <c r="Y35" s="347"/>
      <c r="Z35" s="347"/>
      <c r="AA35" s="347"/>
      <c r="AB35" s="347"/>
      <c r="AC35" s="347"/>
      <c r="AD35" s="347"/>
      <c r="AE35" s="347"/>
      <c r="AF35" s="347"/>
      <c r="AG35" s="347"/>
      <c r="AH35" s="347"/>
      <c r="AI35" s="347"/>
      <c r="AJ35" s="347"/>
      <c r="AK35" s="347"/>
      <c r="AL35" s="347"/>
      <c r="AM35" s="347"/>
      <c r="AN35" s="347"/>
      <c r="AO35" s="348"/>
      <c r="AP35" s="348"/>
      <c r="AQ35" s="348"/>
      <c r="AR35" s="348"/>
      <c r="AS35" s="348"/>
      <c r="AT35" s="348"/>
      <c r="AU35" s="348"/>
      <c r="AV35" s="348"/>
      <c r="AW35" s="348"/>
      <c r="AX35" s="348"/>
      <c r="AY35" s="348"/>
      <c r="AZ35" s="348"/>
      <c r="BA35" s="348"/>
      <c r="BB35" s="348"/>
      <c r="BC35" s="348"/>
      <c r="BD35" s="384"/>
      <c r="BE35" s="348"/>
      <c r="BF35" s="348"/>
      <c r="BG35" s="348"/>
      <c r="BH35" s="348"/>
      <c r="BI35" s="348"/>
      <c r="BJ35" s="348"/>
      <c r="BK35" s="387"/>
    </row>
    <row r="36" spans="1:67" s="189" customFormat="1" ht="15.75" customHeight="1">
      <c r="A36" s="383"/>
      <c r="B36" s="384"/>
      <c r="C36" s="348"/>
      <c r="D36" s="348"/>
      <c r="E36" s="348"/>
      <c r="F36" s="348"/>
      <c r="G36" s="348"/>
      <c r="H36" s="348"/>
      <c r="I36" s="385"/>
      <c r="J36" s="347"/>
      <c r="K36" s="347"/>
      <c r="L36" s="347"/>
      <c r="M36" s="347"/>
      <c r="N36" s="347"/>
      <c r="O36" s="347"/>
      <c r="P36" s="347"/>
      <c r="Q36" s="347"/>
      <c r="R36" s="347"/>
      <c r="S36" s="347"/>
      <c r="T36" s="347"/>
      <c r="U36" s="347"/>
      <c r="V36" s="395"/>
      <c r="W36" s="395" t="s">
        <v>689</v>
      </c>
      <c r="X36" s="348"/>
      <c r="Y36" s="347"/>
      <c r="Z36" s="347"/>
      <c r="AA36" s="347"/>
      <c r="AB36" s="347"/>
      <c r="AC36" s="347"/>
      <c r="AD36" s="347"/>
      <c r="AE36" s="347"/>
      <c r="AF36" s="347"/>
      <c r="AG36" s="347"/>
      <c r="AH36" s="347"/>
      <c r="AI36" s="347"/>
      <c r="AJ36" s="347"/>
      <c r="AK36" s="347"/>
      <c r="AL36" s="347"/>
      <c r="AM36" s="347"/>
      <c r="AN36" s="347"/>
      <c r="AO36" s="348"/>
      <c r="AP36" s="348"/>
      <c r="AQ36" s="348"/>
      <c r="AR36" s="348"/>
      <c r="AS36" s="348"/>
      <c r="AT36" s="348"/>
      <c r="AU36" s="348"/>
      <c r="AV36" s="348"/>
      <c r="AW36" s="348"/>
      <c r="AX36" s="348"/>
      <c r="AY36" s="348"/>
      <c r="AZ36" s="348"/>
      <c r="BA36" s="348"/>
      <c r="BB36" s="348"/>
      <c r="BC36" s="348"/>
      <c r="BD36" s="384"/>
      <c r="BE36" s="348"/>
      <c r="BF36" s="348"/>
      <c r="BG36" s="348"/>
      <c r="BH36" s="348"/>
      <c r="BI36" s="348"/>
      <c r="BJ36" s="348"/>
      <c r="BK36" s="387"/>
    </row>
    <row r="37" spans="1:67" s="189" customFormat="1" ht="15.75" customHeight="1">
      <c r="A37" s="383"/>
      <c r="B37" s="384"/>
      <c r="C37" s="348"/>
      <c r="D37" s="348"/>
      <c r="E37" s="348"/>
      <c r="F37" s="348"/>
      <c r="G37" s="348"/>
      <c r="H37" s="348"/>
      <c r="I37" s="385"/>
      <c r="J37" s="347"/>
      <c r="K37" s="347"/>
      <c r="L37" s="347"/>
      <c r="M37" s="347"/>
      <c r="N37" s="347"/>
      <c r="O37" s="347"/>
      <c r="P37" s="347"/>
      <c r="Q37" s="347"/>
      <c r="R37" s="347"/>
      <c r="S37" s="347"/>
      <c r="T37" s="347"/>
      <c r="U37" s="347"/>
      <c r="V37" s="395"/>
      <c r="W37" s="396" t="s">
        <v>690</v>
      </c>
      <c r="X37" s="348"/>
      <c r="Y37" s="347"/>
      <c r="Z37" s="347"/>
      <c r="AA37" s="347"/>
      <c r="AB37" s="347"/>
      <c r="AC37" s="347"/>
      <c r="AD37" s="347"/>
      <c r="AE37" s="347"/>
      <c r="AF37" s="347"/>
      <c r="AG37" s="347"/>
      <c r="AH37" s="347"/>
      <c r="AI37" s="347"/>
      <c r="AJ37" s="347"/>
      <c r="AK37" s="347"/>
      <c r="AL37" s="347"/>
      <c r="AM37" s="347"/>
      <c r="AN37" s="347"/>
      <c r="AO37" s="348"/>
      <c r="AP37" s="348"/>
      <c r="AQ37" s="348"/>
      <c r="AR37" s="348"/>
      <c r="AS37" s="348"/>
      <c r="AT37" s="348"/>
      <c r="AU37" s="348"/>
      <c r="AV37" s="348"/>
      <c r="AW37" s="348"/>
      <c r="AX37" s="348"/>
      <c r="AY37" s="348"/>
      <c r="AZ37" s="348"/>
      <c r="BA37" s="348"/>
      <c r="BB37" s="348"/>
      <c r="BC37" s="348"/>
      <c r="BD37" s="384" t="s">
        <v>691</v>
      </c>
      <c r="BE37" s="348"/>
      <c r="BF37" s="348"/>
      <c r="BG37" s="348"/>
      <c r="BH37" s="348"/>
      <c r="BI37" s="348"/>
      <c r="BJ37" s="348"/>
      <c r="BK37" s="387"/>
    </row>
    <row r="38" spans="1:67" s="189" customFormat="1" ht="15.75" customHeight="1">
      <c r="A38" s="383"/>
      <c r="B38" s="384"/>
      <c r="C38" s="348"/>
      <c r="D38" s="348"/>
      <c r="E38" s="348"/>
      <c r="F38" s="348"/>
      <c r="G38" s="348"/>
      <c r="H38" s="348"/>
      <c r="I38" s="385"/>
      <c r="J38" s="347"/>
      <c r="K38" s="347"/>
      <c r="L38" s="347"/>
      <c r="M38" s="347"/>
      <c r="N38" s="347"/>
      <c r="O38" s="347"/>
      <c r="P38" s="347"/>
      <c r="Q38" s="347"/>
      <c r="R38" s="347"/>
      <c r="S38" s="347"/>
      <c r="T38" s="347"/>
      <c r="U38" s="346" t="s">
        <v>692</v>
      </c>
      <c r="V38" s="347"/>
      <c r="W38" s="347"/>
      <c r="X38" s="348"/>
      <c r="Y38" s="347"/>
      <c r="Z38" s="347"/>
      <c r="AA38" s="347"/>
      <c r="AB38" s="347"/>
      <c r="AC38" s="347"/>
      <c r="AD38" s="347"/>
      <c r="AE38" s="347"/>
      <c r="AF38" s="347"/>
      <c r="AG38" s="347"/>
      <c r="AH38" s="347"/>
      <c r="AI38" s="347"/>
      <c r="AJ38" s="347"/>
      <c r="AK38" s="347"/>
      <c r="AL38" s="347"/>
      <c r="AM38" s="347"/>
      <c r="AN38" s="347"/>
      <c r="AO38" s="348"/>
      <c r="AP38" s="348"/>
      <c r="AQ38" s="348"/>
      <c r="AR38" s="348"/>
      <c r="AS38" s="348"/>
      <c r="AT38" s="348"/>
      <c r="AU38" s="348"/>
      <c r="AV38" s="348"/>
      <c r="AW38" s="348"/>
      <c r="AX38" s="348"/>
      <c r="AY38" s="348"/>
      <c r="AZ38" s="348"/>
      <c r="BA38" s="348"/>
      <c r="BB38" s="348"/>
      <c r="BC38" s="348"/>
      <c r="BD38" s="384"/>
      <c r="BE38" s="348"/>
      <c r="BF38" s="348"/>
      <c r="BG38" s="348"/>
      <c r="BH38" s="348"/>
      <c r="BI38" s="348"/>
      <c r="BJ38" s="348"/>
      <c r="BK38" s="387"/>
    </row>
    <row r="39" spans="1:67" s="189" customFormat="1" ht="15.75" customHeight="1">
      <c r="A39" s="383"/>
      <c r="B39" s="384"/>
      <c r="C39" s="348"/>
      <c r="D39" s="348"/>
      <c r="E39" s="348"/>
      <c r="F39" s="348"/>
      <c r="G39" s="348"/>
      <c r="H39" s="348"/>
      <c r="I39" s="385"/>
      <c r="J39" s="347"/>
      <c r="K39" s="347"/>
      <c r="L39" s="347"/>
      <c r="M39" s="347"/>
      <c r="N39" s="347"/>
      <c r="O39" s="347"/>
      <c r="P39" s="347"/>
      <c r="Q39" s="347"/>
      <c r="R39" s="347"/>
      <c r="S39" s="347"/>
      <c r="T39" s="347"/>
      <c r="U39" s="347"/>
      <c r="V39" s="395"/>
      <c r="W39" s="396"/>
      <c r="X39" s="348"/>
      <c r="Y39" s="347"/>
      <c r="Z39" s="347"/>
      <c r="AA39" s="347"/>
      <c r="AB39" s="347"/>
      <c r="AC39" s="347"/>
      <c r="AD39" s="347"/>
      <c r="AE39" s="347"/>
      <c r="AF39" s="347"/>
      <c r="AG39" s="347"/>
      <c r="AH39" s="347"/>
      <c r="AI39" s="347"/>
      <c r="AJ39" s="347"/>
      <c r="AK39" s="347"/>
      <c r="AL39" s="347"/>
      <c r="AM39" s="347"/>
      <c r="AN39" s="347"/>
      <c r="AO39" s="348"/>
      <c r="AP39" s="348"/>
      <c r="AQ39" s="348"/>
      <c r="AR39" s="348"/>
      <c r="AS39" s="348"/>
      <c r="AT39" s="348"/>
      <c r="AU39" s="348"/>
      <c r="AV39" s="348"/>
      <c r="AW39" s="348"/>
      <c r="AX39" s="348"/>
      <c r="AY39" s="348"/>
      <c r="AZ39" s="348"/>
      <c r="BA39" s="348"/>
      <c r="BB39" s="348"/>
      <c r="BC39" s="348"/>
      <c r="BD39" s="384"/>
      <c r="BE39" s="348"/>
      <c r="BF39" s="348"/>
      <c r="BG39" s="348"/>
      <c r="BH39" s="348"/>
      <c r="BI39" s="348"/>
      <c r="BJ39" s="348"/>
      <c r="BK39" s="387"/>
    </row>
    <row r="40" spans="1:67" s="189" customFormat="1" ht="15.75" customHeight="1">
      <c r="A40" s="383"/>
      <c r="B40" s="384"/>
      <c r="C40" s="348"/>
      <c r="D40" s="348"/>
      <c r="E40" s="348"/>
      <c r="F40" s="348"/>
      <c r="G40" s="348"/>
      <c r="H40" s="348"/>
      <c r="I40" s="385"/>
      <c r="J40" s="347"/>
      <c r="K40" s="347"/>
      <c r="L40" s="348" t="s">
        <v>638</v>
      </c>
      <c r="M40" s="347"/>
      <c r="N40" s="347"/>
      <c r="O40" s="347"/>
      <c r="P40" s="347"/>
      <c r="Q40" s="347"/>
      <c r="R40" s="347"/>
      <c r="S40" s="347"/>
      <c r="T40" s="347"/>
      <c r="U40" s="347" t="s">
        <v>676</v>
      </c>
      <c r="V40" s="347" t="s">
        <v>639</v>
      </c>
      <c r="W40" s="347"/>
      <c r="X40" s="348"/>
      <c r="Y40" s="347"/>
      <c r="Z40" s="347"/>
      <c r="AA40" s="347"/>
      <c r="AB40" s="347"/>
      <c r="AC40" s="347"/>
      <c r="AD40" s="347"/>
      <c r="AE40" s="347"/>
      <c r="AF40" s="347"/>
      <c r="AG40" s="347"/>
      <c r="AH40" s="347"/>
      <c r="AI40" s="347"/>
      <c r="AJ40" s="347"/>
      <c r="AK40" s="347"/>
      <c r="AL40" s="347"/>
      <c r="AM40" s="347"/>
      <c r="AN40" s="347"/>
      <c r="AO40" s="348"/>
      <c r="AP40" s="348"/>
      <c r="AQ40" s="348"/>
      <c r="AR40" s="348"/>
      <c r="AS40" s="348"/>
      <c r="AT40" s="348"/>
      <c r="AU40" s="348"/>
      <c r="AV40" s="348"/>
      <c r="AW40" s="348"/>
      <c r="AX40" s="348"/>
      <c r="AY40" s="348"/>
      <c r="AZ40" s="348"/>
      <c r="BA40" s="348"/>
      <c r="BB40" s="348"/>
      <c r="BC40" s="348"/>
      <c r="BD40" s="384" t="s">
        <v>693</v>
      </c>
      <c r="BE40" s="348"/>
      <c r="BF40" s="348"/>
      <c r="BG40" s="348"/>
      <c r="BH40" s="348"/>
      <c r="BI40" s="348"/>
      <c r="BJ40" s="348"/>
      <c r="BK40" s="387"/>
    </row>
    <row r="41" spans="1:67" s="189" customFormat="1" ht="15.75" customHeight="1">
      <c r="A41" s="383"/>
      <c r="B41" s="384"/>
      <c r="C41" s="348"/>
      <c r="D41" s="348"/>
      <c r="E41" s="348"/>
      <c r="F41" s="348"/>
      <c r="G41" s="348"/>
      <c r="H41" s="348"/>
      <c r="I41" s="385"/>
      <c r="J41" s="347"/>
      <c r="K41" s="347"/>
      <c r="L41" s="347"/>
      <c r="M41" s="347"/>
      <c r="N41" s="347"/>
      <c r="O41" s="347"/>
      <c r="P41" s="347"/>
      <c r="Q41" s="347"/>
      <c r="R41" s="347"/>
      <c r="S41" s="347"/>
      <c r="T41" s="347"/>
      <c r="U41" s="346" t="s">
        <v>694</v>
      </c>
      <c r="V41" s="347"/>
      <c r="W41" s="347"/>
      <c r="X41" s="347"/>
      <c r="Y41" s="347"/>
      <c r="Z41" s="347"/>
      <c r="AA41" s="347"/>
      <c r="AB41" s="347"/>
      <c r="AC41" s="347"/>
      <c r="AD41" s="347"/>
      <c r="AE41" s="347"/>
      <c r="AF41" s="347"/>
      <c r="AG41" s="347"/>
      <c r="AH41" s="347"/>
      <c r="AI41" s="347"/>
      <c r="AJ41" s="347"/>
      <c r="AK41" s="347"/>
      <c r="AL41" s="347"/>
      <c r="AM41" s="347"/>
      <c r="AN41" s="347"/>
      <c r="AO41" s="348"/>
      <c r="AP41" s="348"/>
      <c r="AQ41" s="348"/>
      <c r="AR41" s="348"/>
      <c r="AS41" s="348"/>
      <c r="AT41" s="348"/>
      <c r="AU41" s="348"/>
      <c r="AV41" s="348"/>
      <c r="AW41" s="348"/>
      <c r="AX41" s="348"/>
      <c r="AY41" s="348"/>
      <c r="AZ41" s="348"/>
      <c r="BA41" s="348"/>
      <c r="BB41" s="348"/>
      <c r="BC41" s="348"/>
      <c r="BD41" s="384"/>
      <c r="BE41" s="348"/>
      <c r="BF41" s="348"/>
      <c r="BG41" s="348"/>
      <c r="BH41" s="348"/>
      <c r="BI41" s="348"/>
      <c r="BJ41" s="348"/>
      <c r="BK41" s="387"/>
    </row>
    <row r="42" spans="1:67" s="189" customFormat="1" ht="15.75" customHeight="1">
      <c r="A42" s="383"/>
      <c r="B42" s="384"/>
      <c r="C42" s="348"/>
      <c r="D42" s="348"/>
      <c r="E42" s="348"/>
      <c r="F42" s="348"/>
      <c r="G42" s="348"/>
      <c r="H42" s="348"/>
      <c r="I42" s="385"/>
      <c r="J42" s="347"/>
      <c r="K42" s="347"/>
      <c r="L42" s="347"/>
      <c r="M42" s="347"/>
      <c r="N42" s="347"/>
      <c r="O42" s="347"/>
      <c r="P42" s="347"/>
      <c r="Q42" s="347"/>
      <c r="R42" s="347"/>
      <c r="S42" s="347"/>
      <c r="T42" s="347"/>
      <c r="U42" s="346" t="s">
        <v>695</v>
      </c>
      <c r="V42" s="347"/>
      <c r="W42" s="347"/>
      <c r="X42" s="347"/>
      <c r="Y42" s="347"/>
      <c r="Z42" s="347"/>
      <c r="AA42" s="347"/>
      <c r="AB42" s="347"/>
      <c r="AC42" s="347"/>
      <c r="AD42" s="347"/>
      <c r="AE42" s="347"/>
      <c r="AF42" s="347"/>
      <c r="AG42" s="347"/>
      <c r="AH42" s="347"/>
      <c r="AI42" s="347"/>
      <c r="AJ42" s="347"/>
      <c r="AK42" s="347"/>
      <c r="AL42" s="347"/>
      <c r="AM42" s="347"/>
      <c r="AN42" s="347"/>
      <c r="AO42" s="348"/>
      <c r="AP42" s="348"/>
      <c r="AQ42" s="348"/>
      <c r="AR42" s="348"/>
      <c r="AS42" s="348"/>
      <c r="AT42" s="348"/>
      <c r="AU42" s="348"/>
      <c r="AV42" s="348"/>
      <c r="AW42" s="348"/>
      <c r="AX42" s="348"/>
      <c r="AY42" s="348"/>
      <c r="AZ42" s="348"/>
      <c r="BA42" s="348"/>
      <c r="BB42" s="348"/>
      <c r="BC42" s="348"/>
      <c r="BD42" s="384"/>
      <c r="BE42" s="348"/>
      <c r="BF42" s="348"/>
      <c r="BG42" s="348"/>
      <c r="BH42" s="348"/>
      <c r="BI42" s="348"/>
      <c r="BJ42" s="348"/>
      <c r="BK42" s="387"/>
      <c r="BM42" s="518" t="s">
        <v>492</v>
      </c>
    </row>
    <row r="43" spans="1:67" s="189" customFormat="1" ht="15.75" customHeight="1">
      <c r="A43" s="383"/>
      <c r="B43" s="384"/>
      <c r="C43" s="348"/>
      <c r="D43" s="348"/>
      <c r="E43" s="348"/>
      <c r="F43" s="348"/>
      <c r="G43" s="348"/>
      <c r="H43" s="348"/>
      <c r="I43" s="385"/>
      <c r="J43" s="347"/>
      <c r="K43" s="347"/>
      <c r="L43" s="347"/>
      <c r="M43" s="347"/>
      <c r="N43" s="347"/>
      <c r="O43" s="347"/>
      <c r="P43" s="347"/>
      <c r="Q43" s="347"/>
      <c r="R43" s="347"/>
      <c r="S43" s="347"/>
      <c r="T43" s="347"/>
      <c r="U43" s="346"/>
      <c r="V43" s="347"/>
      <c r="W43" s="347"/>
      <c r="X43" s="347"/>
      <c r="Y43" s="347"/>
      <c r="Z43" s="347"/>
      <c r="AA43" s="347"/>
      <c r="AB43" s="347"/>
      <c r="AC43" s="347"/>
      <c r="AD43" s="347"/>
      <c r="AE43" s="347"/>
      <c r="AF43" s="347"/>
      <c r="AG43" s="347"/>
      <c r="AH43" s="347"/>
      <c r="AI43" s="347"/>
      <c r="AJ43" s="347"/>
      <c r="AK43" s="347"/>
      <c r="AL43" s="347"/>
      <c r="AM43" s="347"/>
      <c r="AN43" s="347"/>
      <c r="AO43" s="348"/>
      <c r="AP43" s="348"/>
      <c r="AQ43" s="348"/>
      <c r="AR43" s="348"/>
      <c r="AS43" s="348"/>
      <c r="AT43" s="348"/>
      <c r="AU43" s="348"/>
      <c r="AV43" s="348"/>
      <c r="AW43" s="348"/>
      <c r="AX43" s="348"/>
      <c r="AY43" s="348"/>
      <c r="AZ43" s="348"/>
      <c r="BA43" s="348"/>
      <c r="BB43" s="348"/>
      <c r="BC43" s="348"/>
      <c r="BD43" s="384"/>
      <c r="BE43" s="348"/>
      <c r="BF43" s="348"/>
      <c r="BG43" s="348"/>
      <c r="BH43" s="348"/>
      <c r="BI43" s="348"/>
      <c r="BJ43" s="348"/>
      <c r="BK43" s="387"/>
      <c r="BN43" s="519" t="s">
        <v>696</v>
      </c>
    </row>
    <row r="44" spans="1:67" s="189" customFormat="1" ht="15.75" customHeight="1">
      <c r="A44" s="383"/>
      <c r="B44" s="384"/>
      <c r="C44" s="348"/>
      <c r="D44" s="348"/>
      <c r="E44" s="348"/>
      <c r="F44" s="348"/>
      <c r="G44" s="348"/>
      <c r="H44" s="348"/>
      <c r="I44" s="385"/>
      <c r="J44" s="347"/>
      <c r="K44" s="347"/>
      <c r="L44" s="347" t="s">
        <v>697</v>
      </c>
      <c r="M44" s="347"/>
      <c r="N44" s="347"/>
      <c r="O44" s="347"/>
      <c r="P44" s="347"/>
      <c r="Q44" s="347"/>
      <c r="R44" s="347"/>
      <c r="S44" s="347"/>
      <c r="T44" s="347"/>
      <c r="U44" s="347" t="s">
        <v>676</v>
      </c>
      <c r="V44" s="347" t="s">
        <v>698</v>
      </c>
      <c r="W44" s="347"/>
      <c r="X44" s="348"/>
      <c r="Y44" s="347"/>
      <c r="Z44" s="347"/>
      <c r="AA44" s="347"/>
      <c r="AB44" s="347"/>
      <c r="AC44" s="347"/>
      <c r="AD44" s="347"/>
      <c r="AE44" s="347"/>
      <c r="AF44" s="347"/>
      <c r="AG44" s="347"/>
      <c r="AH44" s="347"/>
      <c r="AI44" s="347"/>
      <c r="AJ44" s="347"/>
      <c r="AK44" s="347"/>
      <c r="AL44" s="347"/>
      <c r="AM44" s="347"/>
      <c r="AN44" s="347"/>
      <c r="AO44" s="348"/>
      <c r="AP44" s="348"/>
      <c r="AQ44" s="348"/>
      <c r="AR44" s="348"/>
      <c r="AS44" s="348"/>
      <c r="AT44" s="348"/>
      <c r="AU44" s="348"/>
      <c r="AV44" s="348"/>
      <c r="AW44" s="348"/>
      <c r="AX44" s="348"/>
      <c r="AY44" s="348"/>
      <c r="AZ44" s="348"/>
      <c r="BA44" s="348"/>
      <c r="BB44" s="348"/>
      <c r="BC44" s="348"/>
      <c r="BD44" s="384"/>
      <c r="BE44" s="348"/>
      <c r="BF44" s="348"/>
      <c r="BG44" s="348"/>
      <c r="BH44" s="348"/>
      <c r="BI44" s="348"/>
      <c r="BJ44" s="348"/>
      <c r="BK44" s="387"/>
      <c r="BN44" s="519"/>
      <c r="BO44" s="483" t="s">
        <v>699</v>
      </c>
    </row>
    <row r="45" spans="1:67" s="189" customFormat="1" ht="15.75" customHeight="1">
      <c r="A45" s="383"/>
      <c r="B45" s="384"/>
      <c r="C45" s="348"/>
      <c r="D45" s="348"/>
      <c r="E45" s="348"/>
      <c r="F45" s="348"/>
      <c r="G45" s="348"/>
      <c r="H45" s="348"/>
      <c r="I45" s="385"/>
      <c r="J45" s="347"/>
      <c r="K45" s="347"/>
      <c r="L45" s="347"/>
      <c r="M45" s="347"/>
      <c r="N45" s="347"/>
      <c r="O45" s="347"/>
      <c r="P45" s="347"/>
      <c r="Q45" s="347"/>
      <c r="R45" s="347"/>
      <c r="S45" s="347"/>
      <c r="T45" s="347"/>
      <c r="U45" s="347"/>
      <c r="V45" s="395"/>
      <c r="W45" s="395" t="s">
        <v>700</v>
      </c>
      <c r="X45" s="348"/>
      <c r="Y45" s="347"/>
      <c r="Z45" s="347"/>
      <c r="AA45" s="347"/>
      <c r="AB45" s="347"/>
      <c r="AC45" s="347"/>
      <c r="AD45" s="347"/>
      <c r="AE45" s="347"/>
      <c r="AF45" s="347"/>
      <c r="AG45" s="347"/>
      <c r="AH45" s="347"/>
      <c r="AI45" s="347"/>
      <c r="AJ45" s="347"/>
      <c r="AK45" s="347"/>
      <c r="AL45" s="347"/>
      <c r="AM45" s="347"/>
      <c r="AN45" s="347"/>
      <c r="AO45" s="348"/>
      <c r="AP45" s="348"/>
      <c r="AQ45" s="348"/>
      <c r="AR45" s="348"/>
      <c r="AS45" s="348"/>
      <c r="AT45" s="348"/>
      <c r="AU45" s="348"/>
      <c r="AV45" s="348"/>
      <c r="AW45" s="348"/>
      <c r="AX45" s="348"/>
      <c r="AY45" s="348"/>
      <c r="AZ45" s="348"/>
      <c r="BA45" s="348"/>
      <c r="BB45" s="348"/>
      <c r="BC45" s="348"/>
      <c r="BD45" s="384"/>
      <c r="BE45" s="348"/>
      <c r="BF45" s="348"/>
      <c r="BG45" s="348"/>
      <c r="BH45" s="348"/>
      <c r="BI45" s="348"/>
      <c r="BJ45" s="348"/>
      <c r="BK45" s="387"/>
    </row>
    <row r="46" spans="1:67" s="189" customFormat="1" ht="15.75" customHeight="1">
      <c r="A46" s="383"/>
      <c r="B46" s="384"/>
      <c r="C46" s="348"/>
      <c r="D46" s="348"/>
      <c r="E46" s="348"/>
      <c r="F46" s="348"/>
      <c r="G46" s="348"/>
      <c r="H46" s="348"/>
      <c r="I46" s="385"/>
      <c r="J46" s="347"/>
      <c r="K46" s="347"/>
      <c r="L46" s="347"/>
      <c r="M46" s="347"/>
      <c r="N46" s="347"/>
      <c r="O46" s="347"/>
      <c r="P46" s="347"/>
      <c r="Q46" s="347"/>
      <c r="R46" s="347"/>
      <c r="S46" s="347"/>
      <c r="T46" s="347"/>
      <c r="U46" s="347"/>
      <c r="V46" s="395"/>
      <c r="W46" s="396" t="s">
        <v>701</v>
      </c>
      <c r="X46" s="348"/>
      <c r="Y46" s="347"/>
      <c r="Z46" s="347"/>
      <c r="AA46" s="347"/>
      <c r="AB46" s="347"/>
      <c r="AC46" s="347"/>
      <c r="AD46" s="347"/>
      <c r="AE46" s="347"/>
      <c r="AF46" s="347"/>
      <c r="AG46" s="347"/>
      <c r="AH46" s="347"/>
      <c r="AI46" s="347"/>
      <c r="AJ46" s="347"/>
      <c r="AK46" s="347"/>
      <c r="AL46" s="347"/>
      <c r="AM46" s="347"/>
      <c r="AN46" s="347"/>
      <c r="AO46" s="348"/>
      <c r="AP46" s="348"/>
      <c r="AQ46" s="348"/>
      <c r="AR46" s="348"/>
      <c r="AS46" s="348"/>
      <c r="AT46" s="348"/>
      <c r="AU46" s="348"/>
      <c r="AV46" s="348"/>
      <c r="AW46" s="348"/>
      <c r="AX46" s="348"/>
      <c r="AY46" s="348"/>
      <c r="AZ46" s="348"/>
      <c r="BA46" s="348"/>
      <c r="BB46" s="348"/>
      <c r="BC46" s="348"/>
      <c r="BD46" s="384" t="s">
        <v>702</v>
      </c>
      <c r="BE46" s="348"/>
      <c r="BF46" s="348"/>
      <c r="BG46" s="348"/>
      <c r="BH46" s="348"/>
      <c r="BI46" s="348"/>
      <c r="BJ46" s="348"/>
      <c r="BK46" s="387"/>
      <c r="BN46" s="519" t="s">
        <v>703</v>
      </c>
    </row>
    <row r="47" spans="1:67" s="189" customFormat="1" ht="15.75" customHeight="1">
      <c r="A47" s="383"/>
      <c r="B47" s="384"/>
      <c r="C47" s="348"/>
      <c r="D47" s="348"/>
      <c r="E47" s="348"/>
      <c r="F47" s="348"/>
      <c r="G47" s="348"/>
      <c r="H47" s="348"/>
      <c r="I47" s="385"/>
      <c r="J47" s="347"/>
      <c r="K47" s="347"/>
      <c r="L47" s="347"/>
      <c r="M47" s="347"/>
      <c r="N47" s="347"/>
      <c r="O47" s="347"/>
      <c r="P47" s="347"/>
      <c r="Q47" s="347"/>
      <c r="R47" s="347"/>
      <c r="S47" s="347"/>
      <c r="T47" s="347"/>
      <c r="U47" s="346" t="s">
        <v>704</v>
      </c>
      <c r="V47" s="347"/>
      <c r="W47" s="347"/>
      <c r="X47" s="348"/>
      <c r="Y47" s="347"/>
      <c r="Z47" s="347"/>
      <c r="AA47" s="347"/>
      <c r="AB47" s="347"/>
      <c r="AC47" s="347"/>
      <c r="AD47" s="347"/>
      <c r="AE47" s="347"/>
      <c r="AF47" s="347"/>
      <c r="AG47" s="347"/>
      <c r="AH47" s="347"/>
      <c r="AI47" s="347"/>
      <c r="AJ47" s="347"/>
      <c r="AK47" s="347"/>
      <c r="AL47" s="347"/>
      <c r="AM47" s="347"/>
      <c r="AN47" s="347"/>
      <c r="AO47" s="348"/>
      <c r="AP47" s="348"/>
      <c r="AQ47" s="348"/>
      <c r="AR47" s="348"/>
      <c r="AS47" s="348"/>
      <c r="AT47" s="348"/>
      <c r="AU47" s="348"/>
      <c r="AV47" s="348"/>
      <c r="AW47" s="348"/>
      <c r="AX47" s="348"/>
      <c r="AY47" s="348"/>
      <c r="AZ47" s="348"/>
      <c r="BA47" s="348"/>
      <c r="BB47" s="348"/>
      <c r="BC47" s="348"/>
      <c r="BD47" s="384" t="s">
        <v>705</v>
      </c>
      <c r="BE47" s="348"/>
      <c r="BF47" s="348"/>
      <c r="BG47" s="348"/>
      <c r="BH47" s="348"/>
      <c r="BI47" s="348"/>
      <c r="BJ47" s="348"/>
      <c r="BK47" s="387"/>
    </row>
    <row r="48" spans="1:67" s="189" customFormat="1" ht="15.75" customHeight="1">
      <c r="A48" s="383"/>
      <c r="B48" s="384"/>
      <c r="C48" s="348"/>
      <c r="D48" s="348"/>
      <c r="E48" s="348"/>
      <c r="F48" s="348"/>
      <c r="G48" s="348"/>
      <c r="H48" s="348"/>
      <c r="I48" s="385"/>
      <c r="J48" s="347"/>
      <c r="K48" s="347"/>
      <c r="L48" s="347"/>
      <c r="M48" s="347"/>
      <c r="N48" s="347"/>
      <c r="O48" s="347"/>
      <c r="P48" s="347"/>
      <c r="Q48" s="347"/>
      <c r="R48" s="347"/>
      <c r="S48" s="347"/>
      <c r="T48" s="347"/>
      <c r="U48" s="347"/>
      <c r="V48" s="347"/>
      <c r="W48" s="347"/>
      <c r="X48" s="348"/>
      <c r="Y48" s="347"/>
      <c r="Z48" s="347"/>
      <c r="AA48" s="347"/>
      <c r="AB48" s="347"/>
      <c r="AC48" s="347"/>
      <c r="AD48" s="347"/>
      <c r="AE48" s="347"/>
      <c r="AF48" s="347"/>
      <c r="AG48" s="347"/>
      <c r="AH48" s="347"/>
      <c r="AI48" s="347"/>
      <c r="AJ48" s="347"/>
      <c r="AK48" s="347"/>
      <c r="AL48" s="347"/>
      <c r="AM48" s="347"/>
      <c r="AN48" s="347"/>
      <c r="AO48" s="348"/>
      <c r="AP48" s="348"/>
      <c r="AQ48" s="348"/>
      <c r="AR48" s="348"/>
      <c r="AS48" s="348"/>
      <c r="AT48" s="348"/>
      <c r="AU48" s="348"/>
      <c r="AV48" s="348"/>
      <c r="AW48" s="348"/>
      <c r="AX48" s="348"/>
      <c r="AY48" s="348"/>
      <c r="AZ48" s="348"/>
      <c r="BA48" s="348"/>
      <c r="BB48" s="348"/>
      <c r="BC48" s="348"/>
      <c r="BD48" s="384"/>
      <c r="BE48" s="348"/>
      <c r="BF48" s="348"/>
      <c r="BG48" s="348"/>
      <c r="BH48" s="348"/>
      <c r="BI48" s="348"/>
      <c r="BJ48" s="348"/>
      <c r="BK48" s="387"/>
    </row>
    <row r="49" spans="1:71" s="189" customFormat="1" ht="15.75" customHeight="1">
      <c r="A49" s="383"/>
      <c r="B49" s="384"/>
      <c r="C49" s="348"/>
      <c r="D49" s="348"/>
      <c r="E49" s="348"/>
      <c r="F49" s="348"/>
      <c r="G49" s="348"/>
      <c r="H49" s="348"/>
      <c r="I49" s="385"/>
      <c r="J49" s="347"/>
      <c r="K49" s="347"/>
      <c r="L49" s="347" t="s">
        <v>706</v>
      </c>
      <c r="M49" s="347"/>
      <c r="N49" s="347"/>
      <c r="O49" s="347"/>
      <c r="P49" s="347"/>
      <c r="Q49" s="347"/>
      <c r="R49" s="347"/>
      <c r="S49" s="347"/>
      <c r="T49" s="347"/>
      <c r="U49" s="347" t="s">
        <v>676</v>
      </c>
      <c r="V49" s="347" t="s">
        <v>707</v>
      </c>
      <c r="W49" s="347"/>
      <c r="X49" s="348"/>
      <c r="Y49" s="347"/>
      <c r="Z49" s="347"/>
      <c r="AA49" s="347"/>
      <c r="AB49" s="347"/>
      <c r="AC49" s="347"/>
      <c r="AD49" s="347"/>
      <c r="AE49" s="347"/>
      <c r="AF49" s="347"/>
      <c r="AG49" s="347"/>
      <c r="AH49" s="347"/>
      <c r="AI49" s="347"/>
      <c r="AJ49" s="347"/>
      <c r="AK49" s="347"/>
      <c r="AL49" s="347"/>
      <c r="AM49" s="347"/>
      <c r="AN49" s="347"/>
      <c r="AO49" s="348"/>
      <c r="AP49" s="348"/>
      <c r="AQ49" s="348"/>
      <c r="AR49" s="348"/>
      <c r="AS49" s="348"/>
      <c r="AT49" s="348"/>
      <c r="AU49" s="348"/>
      <c r="AV49" s="348"/>
      <c r="AW49" s="348"/>
      <c r="AX49" s="348"/>
      <c r="AY49" s="348"/>
      <c r="AZ49" s="348"/>
      <c r="BA49" s="348"/>
      <c r="BB49" s="348"/>
      <c r="BC49" s="348"/>
      <c r="BD49" s="384"/>
      <c r="BE49" s="348"/>
      <c r="BF49" s="348"/>
      <c r="BG49" s="348"/>
      <c r="BH49" s="348"/>
      <c r="BI49" s="348"/>
      <c r="BJ49" s="348"/>
      <c r="BK49" s="387"/>
    </row>
    <row r="50" spans="1:71" s="189" customFormat="1" ht="15.75" customHeight="1">
      <c r="A50" s="383"/>
      <c r="B50" s="384"/>
      <c r="C50" s="348"/>
      <c r="D50" s="348"/>
      <c r="E50" s="348"/>
      <c r="F50" s="348"/>
      <c r="G50" s="348"/>
      <c r="H50" s="348"/>
      <c r="I50" s="385"/>
      <c r="J50" s="347"/>
      <c r="K50" s="347"/>
      <c r="L50" s="347"/>
      <c r="M50" s="347"/>
      <c r="N50" s="347"/>
      <c r="O50" s="347"/>
      <c r="P50" s="347"/>
      <c r="Q50" s="347"/>
      <c r="R50" s="347"/>
      <c r="S50" s="347"/>
      <c r="T50" s="347"/>
      <c r="U50" s="347"/>
      <c r="V50" s="395"/>
      <c r="W50" s="395" t="s">
        <v>700</v>
      </c>
      <c r="X50" s="348"/>
      <c r="Y50" s="347"/>
      <c r="Z50" s="347"/>
      <c r="AA50" s="347"/>
      <c r="AB50" s="347"/>
      <c r="AC50" s="347"/>
      <c r="AD50" s="347"/>
      <c r="AE50" s="347"/>
      <c r="AF50" s="347"/>
      <c r="AG50" s="347"/>
      <c r="AH50" s="347"/>
      <c r="AI50" s="347"/>
      <c r="AJ50" s="347"/>
      <c r="AK50" s="347"/>
      <c r="AL50" s="347"/>
      <c r="AM50" s="347"/>
      <c r="AN50" s="347"/>
      <c r="AO50" s="348"/>
      <c r="AP50" s="348"/>
      <c r="AQ50" s="348"/>
      <c r="AR50" s="348"/>
      <c r="AS50" s="348"/>
      <c r="AT50" s="348"/>
      <c r="AU50" s="348"/>
      <c r="AV50" s="348"/>
      <c r="AW50" s="348"/>
      <c r="AX50" s="348"/>
      <c r="AY50" s="348"/>
      <c r="AZ50" s="348"/>
      <c r="BA50" s="348"/>
      <c r="BB50" s="348"/>
      <c r="BC50" s="348"/>
      <c r="BD50" s="384"/>
      <c r="BE50" s="348"/>
      <c r="BF50" s="348"/>
      <c r="BG50" s="348"/>
      <c r="BH50" s="348"/>
      <c r="BI50" s="348"/>
      <c r="BJ50" s="348"/>
      <c r="BK50" s="387"/>
      <c r="BO50" s="483" t="s">
        <v>708</v>
      </c>
    </row>
    <row r="51" spans="1:71" s="189" customFormat="1" ht="15.75" customHeight="1">
      <c r="A51" s="383"/>
      <c r="B51" s="384"/>
      <c r="C51" s="348"/>
      <c r="D51" s="348"/>
      <c r="E51" s="348"/>
      <c r="F51" s="348"/>
      <c r="G51" s="348"/>
      <c r="H51" s="348"/>
      <c r="I51" s="385"/>
      <c r="J51" s="347"/>
      <c r="K51" s="347"/>
      <c r="L51" s="347"/>
      <c r="M51" s="347"/>
      <c r="N51" s="347"/>
      <c r="O51" s="347"/>
      <c r="P51" s="347"/>
      <c r="Q51" s="347"/>
      <c r="R51" s="347"/>
      <c r="S51" s="347"/>
      <c r="T51" s="347"/>
      <c r="U51" s="347"/>
      <c r="V51" s="395"/>
      <c r="W51" s="396" t="s">
        <v>701</v>
      </c>
      <c r="X51" s="348"/>
      <c r="Y51" s="347"/>
      <c r="Z51" s="347"/>
      <c r="AA51" s="347"/>
      <c r="AB51" s="347"/>
      <c r="AC51" s="347"/>
      <c r="AD51" s="347"/>
      <c r="AE51" s="347"/>
      <c r="AF51" s="347"/>
      <c r="AG51" s="347"/>
      <c r="AH51" s="347"/>
      <c r="AI51" s="347"/>
      <c r="AJ51" s="347"/>
      <c r="AK51" s="347"/>
      <c r="AL51" s="347"/>
      <c r="AM51" s="347"/>
      <c r="AN51" s="347"/>
      <c r="AO51" s="348"/>
      <c r="AP51" s="348"/>
      <c r="AQ51" s="348"/>
      <c r="AR51" s="348"/>
      <c r="AS51" s="348"/>
      <c r="AT51" s="348"/>
      <c r="AU51" s="348"/>
      <c r="AV51" s="348"/>
      <c r="AW51" s="348"/>
      <c r="AX51" s="348"/>
      <c r="AY51" s="348"/>
      <c r="AZ51" s="348"/>
      <c r="BA51" s="348"/>
      <c r="BB51" s="348"/>
      <c r="BC51" s="348"/>
      <c r="BD51" s="384" t="s">
        <v>702</v>
      </c>
      <c r="BE51" s="348"/>
      <c r="BF51" s="348"/>
      <c r="BG51" s="348"/>
      <c r="BH51" s="348"/>
      <c r="BI51" s="348"/>
      <c r="BJ51" s="348"/>
      <c r="BK51" s="387"/>
      <c r="BS51" s="443" t="s">
        <v>235</v>
      </c>
    </row>
    <row r="52" spans="1:71" s="189" customFormat="1" ht="15.75" customHeight="1">
      <c r="A52" s="383"/>
      <c r="B52" s="384"/>
      <c r="C52" s="348"/>
      <c r="D52" s="348"/>
      <c r="E52" s="348"/>
      <c r="F52" s="348"/>
      <c r="G52" s="348"/>
      <c r="H52" s="348"/>
      <c r="I52" s="385"/>
      <c r="J52" s="347"/>
      <c r="K52" s="347"/>
      <c r="L52" s="347"/>
      <c r="M52" s="347"/>
      <c r="N52" s="347"/>
      <c r="O52" s="347"/>
      <c r="P52" s="347"/>
      <c r="Q52" s="347"/>
      <c r="R52" s="347"/>
      <c r="S52" s="347"/>
      <c r="T52" s="347"/>
      <c r="U52" s="346" t="s">
        <v>709</v>
      </c>
      <c r="V52" s="347"/>
      <c r="W52" s="347"/>
      <c r="X52" s="347"/>
      <c r="Y52" s="347"/>
      <c r="Z52" s="347"/>
      <c r="AA52" s="347"/>
      <c r="AB52" s="347"/>
      <c r="AC52" s="347"/>
      <c r="AD52" s="347"/>
      <c r="AE52" s="347"/>
      <c r="AF52" s="347"/>
      <c r="AG52" s="347"/>
      <c r="AH52" s="347"/>
      <c r="AI52" s="347"/>
      <c r="AJ52" s="347"/>
      <c r="AK52" s="347"/>
      <c r="AL52" s="347"/>
      <c r="AM52" s="347"/>
      <c r="AN52" s="347"/>
      <c r="AO52" s="348"/>
      <c r="AP52" s="348"/>
      <c r="AQ52" s="348"/>
      <c r="AR52" s="348"/>
      <c r="AS52" s="348"/>
      <c r="AT52" s="348"/>
      <c r="AU52" s="348"/>
      <c r="AV52" s="348"/>
      <c r="AW52" s="348"/>
      <c r="AX52" s="348"/>
      <c r="AY52" s="348"/>
      <c r="AZ52" s="348"/>
      <c r="BA52" s="348"/>
      <c r="BB52" s="348"/>
      <c r="BC52" s="348"/>
      <c r="BD52" s="384"/>
      <c r="BE52" s="348"/>
      <c r="BF52" s="348"/>
      <c r="BG52" s="348"/>
      <c r="BH52" s="348"/>
      <c r="BI52" s="348"/>
      <c r="BJ52" s="348"/>
      <c r="BK52" s="387"/>
    </row>
    <row r="53" spans="1:71" s="189" customFormat="1" ht="15.75" customHeight="1">
      <c r="A53" s="383"/>
      <c r="B53" s="384"/>
      <c r="C53" s="348"/>
      <c r="D53" s="348"/>
      <c r="E53" s="348"/>
      <c r="F53" s="348"/>
      <c r="G53" s="348"/>
      <c r="H53" s="348"/>
      <c r="I53" s="385"/>
      <c r="J53" s="347"/>
      <c r="K53" s="347"/>
      <c r="L53" s="347"/>
      <c r="M53" s="347"/>
      <c r="N53" s="347"/>
      <c r="O53" s="347"/>
      <c r="P53" s="347"/>
      <c r="Q53" s="347"/>
      <c r="R53" s="347"/>
      <c r="S53" s="347"/>
      <c r="T53" s="347"/>
      <c r="U53" s="346" t="s">
        <v>710</v>
      </c>
      <c r="V53" s="347"/>
      <c r="W53" s="347"/>
      <c r="X53" s="347"/>
      <c r="Y53" s="347"/>
      <c r="Z53" s="347"/>
      <c r="AA53" s="347"/>
      <c r="AB53" s="347"/>
      <c r="AC53" s="347"/>
      <c r="AD53" s="347"/>
      <c r="AE53" s="347"/>
      <c r="AF53" s="347"/>
      <c r="AG53" s="347"/>
      <c r="AH53" s="347"/>
      <c r="AI53" s="347"/>
      <c r="AJ53" s="347"/>
      <c r="AK53" s="347"/>
      <c r="AL53" s="347"/>
      <c r="AM53" s="347"/>
      <c r="AN53" s="347"/>
      <c r="AO53" s="348"/>
      <c r="AP53" s="348"/>
      <c r="AQ53" s="348"/>
      <c r="AR53" s="348"/>
      <c r="AS53" s="348"/>
      <c r="AT53" s="348"/>
      <c r="AU53" s="348"/>
      <c r="AV53" s="348"/>
      <c r="AW53" s="348"/>
      <c r="AX53" s="348"/>
      <c r="AY53" s="348"/>
      <c r="AZ53" s="348"/>
      <c r="BA53" s="348"/>
      <c r="BB53" s="348"/>
      <c r="BC53" s="348"/>
      <c r="BD53" s="384"/>
      <c r="BE53" s="348"/>
      <c r="BF53" s="348"/>
      <c r="BG53" s="348"/>
      <c r="BH53" s="348"/>
      <c r="BI53" s="348"/>
      <c r="BJ53" s="348"/>
      <c r="BK53" s="387"/>
    </row>
    <row r="54" spans="1:71" ht="15.75" customHeight="1" thickBot="1">
      <c r="A54" s="397"/>
      <c r="B54" s="398"/>
      <c r="C54" s="399"/>
      <c r="D54" s="399"/>
      <c r="E54" s="399"/>
      <c r="F54" s="399"/>
      <c r="G54" s="399"/>
      <c r="H54" s="399"/>
      <c r="I54" s="400"/>
      <c r="J54" s="399"/>
      <c r="K54" s="399"/>
      <c r="L54" s="399"/>
      <c r="M54" s="399"/>
      <c r="N54" s="399"/>
      <c r="O54" s="399"/>
      <c r="P54" s="399"/>
      <c r="Q54" s="399"/>
      <c r="R54" s="399"/>
      <c r="S54" s="399"/>
      <c r="T54" s="399"/>
      <c r="U54" s="399"/>
      <c r="V54" s="399"/>
      <c r="W54" s="399"/>
      <c r="X54" s="399"/>
      <c r="Y54" s="399"/>
      <c r="Z54" s="399"/>
      <c r="AA54" s="399"/>
      <c r="AB54" s="399"/>
      <c r="AC54" s="399"/>
      <c r="AD54" s="399"/>
      <c r="AE54" s="399"/>
      <c r="AF54" s="399"/>
      <c r="AG54" s="399"/>
      <c r="AH54" s="399"/>
      <c r="AI54" s="399"/>
      <c r="AJ54" s="399"/>
      <c r="AK54" s="399"/>
      <c r="AL54" s="399"/>
      <c r="AM54" s="399"/>
      <c r="AN54" s="399"/>
      <c r="AO54" s="399"/>
      <c r="AP54" s="399"/>
      <c r="AQ54" s="399"/>
      <c r="AR54" s="399"/>
      <c r="AS54" s="399"/>
      <c r="AT54" s="399"/>
      <c r="AU54" s="399"/>
      <c r="AV54" s="399"/>
      <c r="AW54" s="399"/>
      <c r="AX54" s="399"/>
      <c r="AY54" s="399"/>
      <c r="AZ54" s="399"/>
      <c r="BA54" s="399"/>
      <c r="BB54" s="399"/>
      <c r="BC54" s="399"/>
      <c r="BD54" s="398"/>
      <c r="BE54" s="399"/>
      <c r="BF54" s="399"/>
      <c r="BG54" s="399"/>
      <c r="BH54" s="399"/>
      <c r="BI54" s="399"/>
      <c r="BJ54" s="399"/>
      <c r="BK54" s="401"/>
    </row>
  </sheetData>
  <mergeCells count="22">
    <mergeCell ref="AJ1:AR1"/>
    <mergeCell ref="BF2:BK3"/>
    <mergeCell ref="K3:T3"/>
    <mergeCell ref="U3:Y3"/>
    <mergeCell ref="Z3:AD3"/>
    <mergeCell ref="AE3:AR3"/>
    <mergeCell ref="BN20:DI20"/>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s>
  <phoneticPr fontId="9"/>
  <pageMargins left="0.51181102362204722" right="0.74803149606299213" top="0.70866141732283472" bottom="0.43307086614173229" header="0.51181102362204722" footer="0.19685039370078741"/>
  <pageSetup paperSize="9" scale="72" fitToHeight="0" orientation="landscape"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zoomScaleNormal="100" zoomScaleSheetLayoutView="85" workbookViewId="0">
      <pane ySplit="4" topLeftCell="A5" activePane="bottomLeft" state="frozen"/>
      <selection activeCell="C45" sqref="C45:H45"/>
      <selection pane="bottomLeft" activeCell="A44" sqref="A44"/>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4" customFormat="1" ht="15.75" customHeight="1" thickBot="1">
      <c r="A3" s="1220"/>
      <c r="B3" s="1221"/>
      <c r="C3" s="1221"/>
      <c r="D3" s="1221"/>
      <c r="E3" s="1221"/>
      <c r="F3" s="1221"/>
      <c r="G3" s="1221"/>
      <c r="H3" s="1221"/>
      <c r="I3" s="1221"/>
      <c r="J3" s="1222"/>
      <c r="K3" s="1200" t="str">
        <f ca="1">RIGHT(CELL("filename",$A$1),LEN(CELL("filename",$A$1))-FIND("]",CELL("filename",$A$1)))</f>
        <v>処理・サービス関連図</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s="4" customFormat="1" ht="6.75" customHeight="1">
      <c r="B4" s="5"/>
      <c r="C4" s="6"/>
      <c r="D4" s="6"/>
      <c r="E4" s="6"/>
      <c r="F4" s="7"/>
      <c r="G4" s="7"/>
      <c r="H4" s="7"/>
      <c r="I4" s="7"/>
      <c r="J4" s="6"/>
      <c r="K4" s="7"/>
      <c r="L4" s="7"/>
      <c r="M4" s="7"/>
      <c r="N4" s="7"/>
      <c r="O4" s="7"/>
      <c r="P4" s="7"/>
      <c r="Q4" s="8"/>
    </row>
    <row r="7" spans="1:63" ht="15.75" customHeight="1">
      <c r="C7" s="167" t="s">
        <v>711</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9"/>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tabColor rgb="FFFFFF00"/>
    <pageSetUpPr fitToPage="1"/>
  </sheetPr>
  <dimension ref="A1:CW316"/>
  <sheetViews>
    <sheetView showGridLines="0" showZeros="0" tabSelected="1" view="pageBreakPreview" zoomScaleNormal="100" zoomScaleSheetLayoutView="100" workbookViewId="0">
      <selection sqref="A1:J3"/>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3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4" s="13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4" s="134" customFormat="1" ht="15.75" customHeight="1" thickBot="1">
      <c r="A3" s="1220"/>
      <c r="B3" s="1221"/>
      <c r="C3" s="1221"/>
      <c r="D3" s="1221"/>
      <c r="E3" s="1221"/>
      <c r="F3" s="1221"/>
      <c r="G3" s="1221"/>
      <c r="H3" s="1221"/>
      <c r="I3" s="1221"/>
      <c r="J3" s="1222"/>
      <c r="K3" s="1200" t="str">
        <f ca="1">RIGHT(CELL("filename",$A$1),LEN(CELL("filename",$A$1))-FIND("]",CELL("filename",$A$1)))</f>
        <v>処理詳細</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4" s="134" customFormat="1" ht="6.75" customHeight="1" thickBot="1">
      <c r="B4" s="135"/>
      <c r="C4" s="136"/>
      <c r="D4" s="136"/>
      <c r="E4" s="136"/>
      <c r="F4" s="137"/>
      <c r="G4" s="137"/>
      <c r="H4" s="137"/>
      <c r="I4" s="137"/>
      <c r="J4" s="136"/>
      <c r="K4" s="137"/>
      <c r="L4" s="137"/>
      <c r="M4" s="137"/>
      <c r="N4" s="137"/>
      <c r="O4" s="137"/>
      <c r="P4" s="137"/>
      <c r="Q4" s="138"/>
    </row>
    <row r="5" spans="1:64" ht="15.75" customHeight="1" thickBot="1">
      <c r="A5" s="180" t="s">
        <v>646</v>
      </c>
      <c r="B5" s="181" t="s">
        <v>647</v>
      </c>
      <c r="C5" s="181"/>
      <c r="D5" s="181"/>
      <c r="E5" s="181"/>
      <c r="F5" s="181"/>
      <c r="G5" s="181"/>
      <c r="H5" s="181"/>
      <c r="I5" s="182"/>
      <c r="J5" s="181" t="s">
        <v>648</v>
      </c>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2"/>
      <c r="BD5" s="181" t="s">
        <v>649</v>
      </c>
      <c r="BE5" s="181"/>
      <c r="BF5" s="181"/>
      <c r="BG5" s="181"/>
      <c r="BH5" s="181"/>
      <c r="BI5" s="181"/>
      <c r="BJ5" s="181"/>
      <c r="BK5" s="183"/>
      <c r="BL5" s="144"/>
    </row>
    <row r="6" spans="1:64" s="189" customFormat="1" ht="15.75" customHeight="1" thickTop="1">
      <c r="A6" s="184" t="s">
        <v>321</v>
      </c>
      <c r="B6" s="185" t="s">
        <v>650</v>
      </c>
      <c r="C6" s="185"/>
      <c r="D6" s="185"/>
      <c r="E6" s="185"/>
      <c r="F6" s="185"/>
      <c r="G6" s="185"/>
      <c r="H6" s="185"/>
      <c r="I6" s="185"/>
      <c r="J6" s="185"/>
      <c r="K6" s="185"/>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7"/>
      <c r="BL6" s="188"/>
    </row>
    <row r="7" spans="1:64" s="189" customFormat="1" ht="15.75" customHeight="1">
      <c r="A7" s="190"/>
      <c r="B7" s="191"/>
      <c r="I7" s="192"/>
      <c r="J7" s="529" t="s">
        <v>831</v>
      </c>
      <c r="K7" s="529"/>
      <c r="L7" s="529" t="s">
        <v>832</v>
      </c>
      <c r="M7" s="530"/>
      <c r="N7" s="530"/>
      <c r="O7" s="530"/>
      <c r="BD7" s="191"/>
      <c r="BK7" s="193"/>
    </row>
    <row r="8" spans="1:64" s="189" customFormat="1" ht="15.75" customHeight="1">
      <c r="A8" s="190"/>
      <c r="B8" s="191"/>
      <c r="I8" s="192"/>
      <c r="BD8" s="191"/>
      <c r="BK8" s="193"/>
    </row>
    <row r="9" spans="1:64" s="189" customFormat="1" ht="15.75" customHeight="1">
      <c r="A9" s="194"/>
      <c r="J9" s="195"/>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7"/>
      <c r="BK9" s="193"/>
    </row>
    <row r="10" spans="1:64" s="189" customFormat="1" ht="15.75" customHeight="1">
      <c r="A10" s="190" t="s">
        <v>651</v>
      </c>
      <c r="B10" s="185" t="s">
        <v>652</v>
      </c>
      <c r="C10" s="185"/>
      <c r="D10" s="185"/>
      <c r="E10" s="185"/>
      <c r="F10" s="185"/>
      <c r="G10" s="185"/>
      <c r="H10" s="185"/>
      <c r="I10" s="185"/>
      <c r="J10" s="185"/>
      <c r="K10" s="185"/>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7"/>
      <c r="BL10" s="188"/>
    </row>
    <row r="11" spans="1:64" s="189" customFormat="1" ht="15.75" customHeight="1">
      <c r="A11" s="190"/>
      <c r="B11" s="191"/>
      <c r="I11" s="192"/>
      <c r="J11" s="529" t="s">
        <v>833</v>
      </c>
      <c r="K11" s="529"/>
      <c r="L11" s="529" t="s">
        <v>832</v>
      </c>
      <c r="M11" s="529"/>
      <c r="N11" s="529"/>
      <c r="O11" s="529"/>
      <c r="P11" s="529"/>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9"/>
      <c r="AP11" s="199"/>
      <c r="AQ11" s="199"/>
      <c r="AR11" s="199"/>
      <c r="BD11" s="191"/>
      <c r="BK11" s="193"/>
    </row>
    <row r="12" spans="1:64" s="189" customFormat="1" ht="15.75" customHeight="1">
      <c r="A12" s="190"/>
      <c r="B12" s="191"/>
      <c r="I12" s="192"/>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9"/>
      <c r="AP12" s="199"/>
      <c r="AQ12" s="199"/>
      <c r="AR12" s="199"/>
      <c r="BD12" s="191"/>
      <c r="BK12" s="193"/>
    </row>
    <row r="13" spans="1:64" s="189" customFormat="1" ht="15.75" customHeight="1">
      <c r="A13" s="190"/>
      <c r="B13" s="191"/>
      <c r="I13" s="192"/>
      <c r="J13" s="535" t="s">
        <v>947</v>
      </c>
      <c r="K13" s="198"/>
      <c r="L13" s="198" t="s">
        <v>948</v>
      </c>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9"/>
      <c r="AP13" s="199"/>
      <c r="AQ13" s="199"/>
      <c r="AR13" s="199"/>
      <c r="BD13" s="191"/>
      <c r="BK13" s="193"/>
    </row>
    <row r="14" spans="1:64" s="189" customFormat="1" ht="15.75" customHeight="1">
      <c r="A14" s="190"/>
      <c r="B14" s="191"/>
      <c r="I14" s="192"/>
      <c r="J14" s="535"/>
      <c r="K14" s="198"/>
      <c r="L14" s="198" t="s">
        <v>949</v>
      </c>
      <c r="M14" s="198"/>
      <c r="N14" s="198"/>
      <c r="O14" s="198" t="s">
        <v>950</v>
      </c>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9"/>
      <c r="AP14" s="199"/>
      <c r="AQ14" s="199"/>
      <c r="AR14" s="199"/>
      <c r="BD14" s="191"/>
      <c r="BK14" s="193"/>
    </row>
    <row r="15" spans="1:64" s="189" customFormat="1" ht="15.75" customHeight="1">
      <c r="A15" s="190"/>
      <c r="B15" s="191"/>
      <c r="I15" s="192"/>
      <c r="J15" s="535"/>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9"/>
      <c r="AP15" s="199"/>
      <c r="AQ15" s="199"/>
      <c r="AR15" s="199"/>
      <c r="BD15" s="191"/>
      <c r="BK15" s="193"/>
    </row>
    <row r="16" spans="1:64" s="189" customFormat="1" ht="15.75" customHeight="1">
      <c r="A16" s="190"/>
      <c r="B16" s="191"/>
      <c r="I16" s="192"/>
      <c r="J16" s="535"/>
      <c r="K16" s="198"/>
      <c r="L16" s="198" t="s">
        <v>951</v>
      </c>
      <c r="M16" s="198"/>
      <c r="N16" s="198"/>
      <c r="O16" s="198" t="s">
        <v>952</v>
      </c>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9"/>
      <c r="AP16" s="199"/>
      <c r="AQ16" s="199"/>
      <c r="AR16" s="199"/>
      <c r="BD16" s="191"/>
      <c r="BK16" s="193"/>
    </row>
    <row r="17" spans="1:64" s="189" customFormat="1" ht="15.75" customHeight="1">
      <c r="A17" s="190"/>
      <c r="B17" s="191"/>
      <c r="I17" s="192"/>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9"/>
      <c r="AP17" s="199"/>
      <c r="AQ17" s="199"/>
      <c r="AR17" s="199"/>
      <c r="BD17" s="191"/>
      <c r="BK17" s="193"/>
    </row>
    <row r="18" spans="1:64" s="189" customFormat="1" ht="15.75" customHeight="1">
      <c r="A18" s="190"/>
      <c r="B18" s="191"/>
      <c r="I18" s="192"/>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9"/>
      <c r="AP18" s="199"/>
      <c r="AQ18" s="199"/>
      <c r="AR18" s="199"/>
      <c r="BD18" s="191"/>
      <c r="BK18" s="193"/>
    </row>
    <row r="19" spans="1:64" s="189" customFormat="1" ht="15.75" customHeight="1">
      <c r="A19" s="190" t="s">
        <v>653</v>
      </c>
      <c r="B19" s="185" t="s">
        <v>715</v>
      </c>
      <c r="C19" s="185"/>
      <c r="D19" s="185"/>
      <c r="E19" s="185"/>
      <c r="F19" s="185"/>
      <c r="G19" s="185"/>
      <c r="H19" s="185"/>
      <c r="I19" s="185"/>
      <c r="J19" s="185"/>
      <c r="K19" s="185"/>
      <c r="L19" s="186"/>
      <c r="M19" s="186"/>
      <c r="N19" s="186"/>
      <c r="O19" s="18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c r="BB19" s="186"/>
      <c r="BC19" s="186"/>
      <c r="BD19" s="186"/>
      <c r="BE19" s="186"/>
      <c r="BF19" s="186"/>
      <c r="BG19" s="186"/>
      <c r="BH19" s="186"/>
      <c r="BI19" s="186"/>
      <c r="BJ19" s="186"/>
      <c r="BK19" s="187"/>
      <c r="BL19" s="188"/>
    </row>
    <row r="20" spans="1:64" ht="15.75" customHeight="1">
      <c r="B20" s="201"/>
      <c r="I20" s="202"/>
      <c r="J20" s="529" t="s">
        <v>834</v>
      </c>
      <c r="K20" s="529"/>
      <c r="L20" s="529" t="s">
        <v>835</v>
      </c>
      <c r="M20" s="529"/>
      <c r="N20" s="529"/>
      <c r="O20" s="529"/>
      <c r="P20" s="529"/>
      <c r="Q20" s="529"/>
      <c r="R20" s="529"/>
      <c r="S20" s="529"/>
      <c r="T20" s="531"/>
      <c r="U20" s="532"/>
      <c r="V20" s="530"/>
      <c r="W20" s="529"/>
      <c r="X20" s="529"/>
      <c r="Y20" s="529"/>
      <c r="Z20" s="529"/>
      <c r="AA20" s="529"/>
      <c r="AB20" s="529"/>
      <c r="AC20" s="529"/>
      <c r="AD20" s="529"/>
      <c r="AE20" s="529"/>
      <c r="AF20" s="529"/>
      <c r="AG20" s="529"/>
      <c r="AH20" s="529"/>
      <c r="AI20" s="529"/>
      <c r="AJ20" s="529"/>
      <c r="AK20" s="533"/>
      <c r="AL20" s="533"/>
      <c r="AM20" s="533"/>
      <c r="BD20" s="201"/>
      <c r="BK20" s="193"/>
      <c r="BL20" s="189"/>
    </row>
    <row r="21" spans="1:64" ht="15.75" customHeight="1">
      <c r="B21" s="201"/>
      <c r="I21" s="202"/>
      <c r="J21" s="529"/>
      <c r="K21" s="529"/>
      <c r="L21" s="529" t="s">
        <v>839</v>
      </c>
      <c r="M21" s="529"/>
      <c r="N21" s="529"/>
      <c r="O21" s="529"/>
      <c r="P21" s="529"/>
      <c r="Q21" s="529"/>
      <c r="R21" s="529"/>
      <c r="S21" s="534"/>
      <c r="T21" s="529"/>
      <c r="U21" s="529"/>
      <c r="V21" s="529"/>
      <c r="W21" s="529"/>
      <c r="X21" s="529"/>
      <c r="Y21" s="529"/>
      <c r="Z21" s="529"/>
      <c r="AA21" s="529"/>
      <c r="AB21" s="529"/>
      <c r="AC21" s="529"/>
      <c r="AD21" s="529"/>
      <c r="AE21" s="529"/>
      <c r="AF21" s="529"/>
      <c r="AG21" s="529"/>
      <c r="AH21" s="529"/>
      <c r="AI21" s="529"/>
      <c r="AJ21" s="529"/>
      <c r="AK21" s="529"/>
      <c r="AL21" s="529"/>
      <c r="AM21" s="529"/>
      <c r="BD21" s="201"/>
      <c r="BK21" s="193"/>
      <c r="BL21" s="189"/>
    </row>
    <row r="22" spans="1:64" ht="15.75" customHeight="1">
      <c r="B22" s="201"/>
      <c r="I22" s="202"/>
      <c r="J22" s="529"/>
      <c r="K22" s="529"/>
      <c r="L22" s="529"/>
      <c r="M22" s="529" t="s">
        <v>836</v>
      </c>
      <c r="N22" s="529" t="s">
        <v>840</v>
      </c>
      <c r="O22" s="529"/>
      <c r="P22" s="529"/>
      <c r="Q22" s="529"/>
      <c r="R22" s="529"/>
      <c r="S22" s="534"/>
      <c r="T22" s="529"/>
      <c r="U22" s="529"/>
      <c r="V22" s="529"/>
      <c r="W22" s="529"/>
      <c r="X22" s="529"/>
      <c r="Y22" s="529"/>
      <c r="Z22" s="529"/>
      <c r="AA22" s="529"/>
      <c r="AB22" s="529"/>
      <c r="AC22" s="529"/>
      <c r="AD22" s="529"/>
      <c r="AE22" s="529"/>
      <c r="AF22" s="529"/>
      <c r="AG22" s="529"/>
      <c r="AH22" s="529"/>
      <c r="AI22" s="529"/>
      <c r="AJ22" s="529"/>
      <c r="AK22" s="529"/>
      <c r="AL22" s="529"/>
      <c r="AM22" s="529"/>
      <c r="BD22" s="201"/>
      <c r="BK22" s="193"/>
      <c r="BL22" s="189"/>
    </row>
    <row r="23" spans="1:64" ht="15.75" customHeight="1">
      <c r="B23" s="201"/>
      <c r="I23" s="202"/>
      <c r="J23" s="529"/>
      <c r="K23" s="529"/>
      <c r="L23" s="529"/>
      <c r="M23" s="529"/>
      <c r="N23" s="529" t="s">
        <v>837</v>
      </c>
      <c r="O23" s="529"/>
      <c r="P23" s="529"/>
      <c r="Q23" s="529"/>
      <c r="R23" s="529"/>
      <c r="S23" s="534"/>
      <c r="T23" s="529"/>
      <c r="U23" s="529"/>
      <c r="V23" s="529"/>
      <c r="W23" s="529"/>
      <c r="X23" s="529"/>
      <c r="Y23" s="529"/>
      <c r="Z23" s="529"/>
      <c r="AA23" s="529"/>
      <c r="AB23" s="529"/>
      <c r="AC23" s="529"/>
      <c r="AD23" s="529"/>
      <c r="AE23" s="529"/>
      <c r="AF23" s="529"/>
      <c r="AG23" s="529"/>
      <c r="AH23" s="529"/>
      <c r="AI23" s="529"/>
      <c r="AJ23" s="529"/>
      <c r="AK23" s="529"/>
      <c r="AL23" s="529"/>
      <c r="AM23" s="529"/>
      <c r="BD23" s="201"/>
      <c r="BK23" s="193"/>
      <c r="BL23" s="189"/>
    </row>
    <row r="24" spans="1:64" ht="15.75" customHeight="1">
      <c r="B24" s="201"/>
      <c r="I24" s="202"/>
      <c r="BD24" s="201"/>
      <c r="BK24" s="193"/>
      <c r="BL24" s="189"/>
    </row>
    <row r="25" spans="1:64" ht="15.75" customHeight="1">
      <c r="B25" s="201"/>
      <c r="I25" s="202"/>
      <c r="L25" s="529" t="s">
        <v>841</v>
      </c>
      <c r="M25" s="529"/>
      <c r="N25" s="529"/>
      <c r="O25" s="529"/>
      <c r="P25" s="529"/>
      <c r="Q25" s="529"/>
      <c r="R25" s="529"/>
      <c r="S25" s="534"/>
      <c r="T25" s="529"/>
      <c r="U25" s="529"/>
      <c r="V25" s="529"/>
      <c r="W25" s="529"/>
      <c r="X25" s="529"/>
      <c r="Y25" s="529"/>
      <c r="Z25" s="529"/>
      <c r="AA25" s="529"/>
      <c r="AB25" s="529"/>
      <c r="AC25" s="529"/>
      <c r="AD25" s="529"/>
      <c r="AE25" s="529"/>
      <c r="AF25" s="529"/>
      <c r="AG25" s="529"/>
      <c r="AH25" s="529"/>
      <c r="AI25" s="529"/>
      <c r="AJ25" s="529"/>
      <c r="AK25" s="529"/>
      <c r="AL25" s="529"/>
      <c r="AM25" s="529"/>
      <c r="BD25" s="201"/>
    </row>
    <row r="26" spans="1:64" ht="15.75" customHeight="1">
      <c r="B26" s="201"/>
      <c r="I26" s="202"/>
      <c r="L26" s="529"/>
      <c r="M26" s="529" t="s">
        <v>836</v>
      </c>
      <c r="N26" s="529" t="s">
        <v>842</v>
      </c>
      <c r="O26" s="529"/>
      <c r="P26" s="529"/>
      <c r="Q26" s="529"/>
      <c r="R26" s="529"/>
      <c r="S26" s="534"/>
      <c r="T26" s="529"/>
      <c r="U26" s="529"/>
      <c r="V26" s="529"/>
      <c r="W26" s="529"/>
      <c r="X26" s="529"/>
      <c r="Y26" s="529"/>
      <c r="Z26" s="529"/>
      <c r="AA26" s="529"/>
      <c r="AB26" s="529"/>
      <c r="AC26" s="529"/>
      <c r="AD26" s="529"/>
      <c r="AE26" s="529"/>
      <c r="AF26" s="529"/>
      <c r="AG26" s="529"/>
      <c r="AH26" s="529"/>
      <c r="AI26" s="529"/>
      <c r="AJ26" s="529"/>
      <c r="AK26" s="529"/>
      <c r="AL26" s="529"/>
      <c r="AM26" s="529"/>
      <c r="BD26" s="201"/>
    </row>
    <row r="27" spans="1:64" ht="15.75" customHeight="1">
      <c r="B27" s="201"/>
      <c r="I27" s="202"/>
      <c r="L27" s="529"/>
      <c r="M27" s="529"/>
      <c r="N27" s="529" t="s">
        <v>837</v>
      </c>
      <c r="O27" s="529"/>
      <c r="P27" s="529"/>
      <c r="Q27" s="529"/>
      <c r="R27" s="529"/>
      <c r="S27" s="534"/>
      <c r="T27" s="529"/>
      <c r="U27" s="529"/>
      <c r="V27" s="529"/>
      <c r="W27" s="529"/>
      <c r="X27" s="529"/>
      <c r="Y27" s="529"/>
      <c r="Z27" s="529"/>
      <c r="AA27" s="529"/>
      <c r="AB27" s="529"/>
      <c r="AC27" s="529"/>
      <c r="AD27" s="529"/>
      <c r="AE27" s="529"/>
      <c r="AF27" s="529"/>
      <c r="AG27" s="529"/>
      <c r="AH27" s="529"/>
      <c r="AI27" s="529"/>
      <c r="AJ27" s="529"/>
      <c r="AK27" s="529"/>
      <c r="AL27" s="529"/>
      <c r="AM27" s="529"/>
      <c r="BD27" s="201"/>
    </row>
    <row r="28" spans="1:64" ht="15.75" customHeight="1">
      <c r="B28" s="201"/>
      <c r="I28" s="202"/>
      <c r="BD28" s="201"/>
    </row>
    <row r="29" spans="1:64" ht="15.75" customHeight="1">
      <c r="B29" s="201"/>
      <c r="I29" s="202"/>
      <c r="L29" s="529" t="s">
        <v>843</v>
      </c>
      <c r="M29" s="529"/>
      <c r="N29" s="529"/>
      <c r="O29" s="529"/>
      <c r="P29" s="529"/>
      <c r="Q29" s="529"/>
      <c r="R29" s="529"/>
      <c r="S29" s="534"/>
      <c r="T29" s="529"/>
      <c r="U29" s="529"/>
      <c r="V29" s="529"/>
      <c r="W29" s="529"/>
      <c r="X29" s="529"/>
      <c r="Y29" s="529"/>
      <c r="Z29" s="529"/>
      <c r="AA29" s="529"/>
      <c r="AB29" s="529"/>
      <c r="AC29" s="529"/>
      <c r="AD29" s="529"/>
      <c r="AE29" s="529"/>
      <c r="AF29" s="529"/>
      <c r="AG29" s="529"/>
      <c r="AH29" s="529"/>
      <c r="AI29" s="529"/>
      <c r="AJ29" s="529"/>
      <c r="AK29" s="529"/>
      <c r="AL29" s="529"/>
      <c r="AM29" s="529"/>
      <c r="BD29" s="201"/>
    </row>
    <row r="30" spans="1:64" ht="15.75" customHeight="1">
      <c r="B30" s="201"/>
      <c r="I30" s="202"/>
      <c r="L30" s="529"/>
      <c r="M30" s="529" t="s">
        <v>836</v>
      </c>
      <c r="N30" s="529" t="s">
        <v>844</v>
      </c>
      <c r="O30" s="529"/>
      <c r="P30" s="529"/>
      <c r="Q30" s="529"/>
      <c r="R30" s="529"/>
      <c r="S30" s="534"/>
      <c r="T30" s="529"/>
      <c r="U30" s="529"/>
      <c r="V30" s="529"/>
      <c r="W30" s="529"/>
      <c r="X30" s="529"/>
      <c r="Y30" s="529"/>
      <c r="Z30" s="529"/>
      <c r="AA30" s="529"/>
      <c r="AB30" s="529"/>
      <c r="AC30" s="529"/>
      <c r="AD30" s="529"/>
      <c r="AE30" s="529"/>
      <c r="AF30" s="529"/>
      <c r="AG30" s="529"/>
      <c r="AH30" s="529"/>
      <c r="AI30" s="529"/>
      <c r="AJ30" s="529"/>
      <c r="AK30" s="529"/>
      <c r="AL30" s="529"/>
      <c r="AM30" s="529"/>
      <c r="BD30" s="201"/>
    </row>
    <row r="31" spans="1:64" ht="15.75" customHeight="1">
      <c r="B31" s="201"/>
      <c r="I31" s="202"/>
      <c r="L31" s="529"/>
      <c r="M31" s="529"/>
      <c r="N31" s="529" t="s">
        <v>837</v>
      </c>
      <c r="O31" s="529"/>
      <c r="P31" s="529"/>
      <c r="Q31" s="529"/>
      <c r="R31" s="529"/>
      <c r="S31" s="534"/>
      <c r="T31" s="529"/>
      <c r="U31" s="529"/>
      <c r="V31" s="529"/>
      <c r="W31" s="529"/>
      <c r="X31" s="529"/>
      <c r="Y31" s="529"/>
      <c r="Z31" s="529"/>
      <c r="AA31" s="529"/>
      <c r="AB31" s="529"/>
      <c r="AC31" s="529"/>
      <c r="AD31" s="529"/>
      <c r="AE31" s="529"/>
      <c r="AF31" s="529"/>
      <c r="AG31" s="529"/>
      <c r="AH31" s="529"/>
      <c r="AI31" s="529"/>
      <c r="AJ31" s="529"/>
      <c r="AK31" s="529"/>
      <c r="AL31" s="529"/>
      <c r="AM31" s="529"/>
      <c r="BD31" s="201"/>
    </row>
    <row r="32" spans="1:64" ht="15.75" customHeight="1">
      <c r="B32" s="201"/>
      <c r="I32" s="202"/>
      <c r="BD32" s="201"/>
    </row>
    <row r="33" spans="2:56" ht="15.75" customHeight="1">
      <c r="B33" s="201"/>
      <c r="I33" s="202"/>
      <c r="L33" s="529" t="s">
        <v>845</v>
      </c>
      <c r="M33" s="529"/>
      <c r="N33" s="529"/>
      <c r="O33" s="529"/>
      <c r="P33" s="529"/>
      <c r="Q33" s="529"/>
      <c r="R33" s="529"/>
      <c r="S33" s="534"/>
      <c r="T33" s="529"/>
      <c r="U33" s="529"/>
      <c r="V33" s="529"/>
      <c r="W33" s="529"/>
      <c r="X33" s="529"/>
      <c r="Y33" s="529"/>
      <c r="Z33" s="529"/>
      <c r="AA33" s="529"/>
      <c r="AB33" s="529"/>
      <c r="AC33" s="529"/>
      <c r="AD33" s="529"/>
      <c r="AE33" s="529"/>
      <c r="AF33" s="529"/>
      <c r="AG33" s="529"/>
      <c r="AH33" s="529"/>
      <c r="AI33" s="529"/>
      <c r="AJ33" s="529"/>
      <c r="AK33" s="529"/>
      <c r="AL33" s="529"/>
      <c r="AM33" s="529"/>
      <c r="BD33" s="201"/>
    </row>
    <row r="34" spans="2:56" ht="15.75" customHeight="1">
      <c r="B34" s="201"/>
      <c r="I34" s="202"/>
      <c r="L34" s="529"/>
      <c r="M34" s="529" t="s">
        <v>836</v>
      </c>
      <c r="N34" s="529" t="s">
        <v>846</v>
      </c>
      <c r="O34" s="529"/>
      <c r="P34" s="529"/>
      <c r="Q34" s="529"/>
      <c r="R34" s="529"/>
      <c r="S34" s="534"/>
      <c r="T34" s="529"/>
      <c r="U34" s="529"/>
      <c r="V34" s="529"/>
      <c r="W34" s="529"/>
      <c r="X34" s="529"/>
      <c r="Y34" s="529"/>
      <c r="Z34" s="529"/>
      <c r="AA34" s="529"/>
      <c r="AB34" s="529"/>
      <c r="AC34" s="529"/>
      <c r="AD34" s="529"/>
      <c r="AE34" s="529"/>
      <c r="AF34" s="529"/>
      <c r="AG34" s="529"/>
      <c r="AH34" s="529"/>
      <c r="AI34" s="529"/>
      <c r="AJ34" s="529"/>
      <c r="AK34" s="529"/>
      <c r="AL34" s="529"/>
      <c r="AM34" s="529"/>
      <c r="BD34" s="201"/>
    </row>
    <row r="35" spans="2:56" ht="15.75" customHeight="1">
      <c r="B35" s="201"/>
      <c r="I35" s="202"/>
      <c r="L35" s="529"/>
      <c r="M35" s="529"/>
      <c r="N35" s="529" t="s">
        <v>837</v>
      </c>
      <c r="O35" s="529"/>
      <c r="P35" s="529"/>
      <c r="Q35" s="529"/>
      <c r="R35" s="529"/>
      <c r="S35" s="534"/>
      <c r="T35" s="529"/>
      <c r="U35" s="529"/>
      <c r="V35" s="529"/>
      <c r="W35" s="529"/>
      <c r="X35" s="529"/>
      <c r="Y35" s="529"/>
      <c r="Z35" s="529"/>
      <c r="AA35" s="529"/>
      <c r="AB35" s="529"/>
      <c r="AC35" s="529"/>
      <c r="AD35" s="529"/>
      <c r="AE35" s="529"/>
      <c r="AF35" s="529"/>
      <c r="AG35" s="529"/>
      <c r="AH35" s="529"/>
      <c r="AI35" s="529"/>
      <c r="AJ35" s="529"/>
      <c r="AK35" s="529"/>
      <c r="AL35" s="529"/>
      <c r="AM35" s="529"/>
      <c r="BD35" s="201"/>
    </row>
    <row r="36" spans="2:56" ht="15.75" customHeight="1">
      <c r="B36" s="201"/>
      <c r="I36" s="202"/>
      <c r="BD36" s="201"/>
    </row>
    <row r="37" spans="2:56" ht="15.75" customHeight="1">
      <c r="B37" s="201"/>
      <c r="I37" s="202"/>
      <c r="L37" s="529" t="s">
        <v>847</v>
      </c>
      <c r="M37" s="529"/>
      <c r="N37" s="529"/>
      <c r="O37" s="529"/>
      <c r="P37" s="529"/>
      <c r="Q37" s="529"/>
      <c r="R37" s="529"/>
      <c r="S37" s="534"/>
      <c r="T37" s="529"/>
      <c r="U37" s="529"/>
      <c r="V37" s="529"/>
      <c r="W37" s="529"/>
      <c r="X37" s="529"/>
      <c r="Y37" s="529"/>
      <c r="Z37" s="529"/>
      <c r="AA37" s="529"/>
      <c r="AB37" s="529"/>
      <c r="AC37" s="529"/>
      <c r="AD37" s="529"/>
      <c r="AE37" s="529"/>
      <c r="AF37" s="529"/>
      <c r="AG37" s="529"/>
      <c r="AH37" s="529"/>
      <c r="AI37" s="529"/>
      <c r="AJ37" s="529"/>
      <c r="AK37" s="529"/>
      <c r="AL37" s="529"/>
      <c r="AM37" s="529"/>
      <c r="BD37" s="201"/>
    </row>
    <row r="38" spans="2:56" ht="15.75" customHeight="1">
      <c r="B38" s="201"/>
      <c r="I38" s="202"/>
      <c r="L38" s="529"/>
      <c r="M38" s="529" t="s">
        <v>836</v>
      </c>
      <c r="N38" s="529" t="s">
        <v>848</v>
      </c>
      <c r="O38" s="529"/>
      <c r="P38" s="529"/>
      <c r="Q38" s="529"/>
      <c r="R38" s="529"/>
      <c r="S38" s="534"/>
      <c r="T38" s="529"/>
      <c r="U38" s="529"/>
      <c r="V38" s="529"/>
      <c r="W38" s="529"/>
      <c r="X38" s="529"/>
      <c r="Y38" s="529"/>
      <c r="Z38" s="529"/>
      <c r="AA38" s="529"/>
      <c r="AB38" s="529"/>
      <c r="AC38" s="529"/>
      <c r="AD38" s="529"/>
      <c r="AE38" s="529"/>
      <c r="AF38" s="529"/>
      <c r="AG38" s="529"/>
      <c r="AH38" s="529"/>
      <c r="AI38" s="529"/>
      <c r="AJ38" s="529"/>
      <c r="AK38" s="529"/>
      <c r="AL38" s="529"/>
      <c r="AM38" s="529"/>
      <c r="BD38" s="201"/>
    </row>
    <row r="39" spans="2:56" ht="15.75" customHeight="1">
      <c r="B39" s="201"/>
      <c r="I39" s="202"/>
      <c r="L39" s="529"/>
      <c r="M39" s="529"/>
      <c r="N39" s="529" t="s">
        <v>837</v>
      </c>
      <c r="O39" s="529"/>
      <c r="P39" s="529"/>
      <c r="Q39" s="529"/>
      <c r="R39" s="529"/>
      <c r="S39" s="534"/>
      <c r="T39" s="529"/>
      <c r="U39" s="529"/>
      <c r="V39" s="529"/>
      <c r="W39" s="529"/>
      <c r="X39" s="529"/>
      <c r="Y39" s="529"/>
      <c r="Z39" s="529"/>
      <c r="AA39" s="529"/>
      <c r="AB39" s="529"/>
      <c r="AC39" s="529"/>
      <c r="AD39" s="529"/>
      <c r="AE39" s="529"/>
      <c r="AF39" s="529"/>
      <c r="AG39" s="529"/>
      <c r="AH39" s="529"/>
      <c r="AI39" s="529"/>
      <c r="AJ39" s="529"/>
      <c r="AK39" s="529"/>
      <c r="AL39" s="529"/>
      <c r="AM39" s="529"/>
      <c r="BD39" s="201"/>
    </row>
    <row r="40" spans="2:56" ht="15.75" customHeight="1">
      <c r="B40" s="201"/>
      <c r="I40" s="202"/>
      <c r="BD40" s="201"/>
    </row>
    <row r="41" spans="2:56" ht="15.75" customHeight="1">
      <c r="B41" s="201"/>
      <c r="I41" s="202"/>
      <c r="L41" s="529" t="s">
        <v>849</v>
      </c>
      <c r="M41" s="529"/>
      <c r="N41" s="529"/>
      <c r="O41" s="529"/>
      <c r="P41" s="529"/>
      <c r="Q41" s="529"/>
      <c r="R41" s="529"/>
      <c r="S41" s="534"/>
      <c r="T41" s="529"/>
      <c r="U41" s="529"/>
      <c r="V41" s="529"/>
      <c r="W41" s="529"/>
      <c r="X41" s="529"/>
      <c r="Y41" s="529"/>
      <c r="Z41" s="529"/>
      <c r="AA41" s="529"/>
      <c r="AB41" s="529"/>
      <c r="AC41" s="529"/>
      <c r="AD41" s="529"/>
      <c r="AE41" s="529"/>
      <c r="AF41" s="529"/>
      <c r="AG41" s="529"/>
      <c r="AH41" s="529"/>
      <c r="AI41" s="529"/>
      <c r="AJ41" s="529"/>
      <c r="AK41" s="529"/>
      <c r="AL41" s="529"/>
      <c r="AM41" s="529"/>
      <c r="BD41" s="201"/>
    </row>
    <row r="42" spans="2:56" ht="15.75" customHeight="1">
      <c r="B42" s="201"/>
      <c r="I42" s="202"/>
      <c r="L42" s="529"/>
      <c r="M42" s="529" t="s">
        <v>836</v>
      </c>
      <c r="N42" s="529" t="s">
        <v>850</v>
      </c>
      <c r="O42" s="529"/>
      <c r="P42" s="529"/>
      <c r="Q42" s="529"/>
      <c r="R42" s="529"/>
      <c r="S42" s="534"/>
      <c r="T42" s="529"/>
      <c r="U42" s="529"/>
      <c r="V42" s="529"/>
      <c r="W42" s="529"/>
      <c r="X42" s="529"/>
      <c r="Y42" s="529"/>
      <c r="Z42" s="529"/>
      <c r="AA42" s="529"/>
      <c r="AB42" s="529"/>
      <c r="AC42" s="529"/>
      <c r="AD42" s="529"/>
      <c r="AE42" s="529"/>
      <c r="AF42" s="529"/>
      <c r="AG42" s="529"/>
      <c r="AH42" s="529"/>
      <c r="AI42" s="529"/>
      <c r="AJ42" s="529"/>
      <c r="AK42" s="529"/>
      <c r="AL42" s="529"/>
      <c r="AM42" s="529"/>
      <c r="BD42" s="201"/>
    </row>
    <row r="43" spans="2:56" ht="15.75" customHeight="1">
      <c r="B43" s="201"/>
      <c r="I43" s="202"/>
      <c r="L43" s="529"/>
      <c r="M43" s="529"/>
      <c r="N43" s="529" t="s">
        <v>837</v>
      </c>
      <c r="O43" s="529"/>
      <c r="P43" s="529"/>
      <c r="Q43" s="529"/>
      <c r="R43" s="529"/>
      <c r="S43" s="534"/>
      <c r="T43" s="529"/>
      <c r="U43" s="529"/>
      <c r="V43" s="529"/>
      <c r="W43" s="529"/>
      <c r="X43" s="529"/>
      <c r="Y43" s="529"/>
      <c r="Z43" s="529"/>
      <c r="AA43" s="529"/>
      <c r="AB43" s="529"/>
      <c r="AC43" s="529"/>
      <c r="AD43" s="529"/>
      <c r="AE43" s="529"/>
      <c r="AF43" s="529"/>
      <c r="AG43" s="529"/>
      <c r="AH43" s="529"/>
      <c r="AI43" s="529"/>
      <c r="AJ43" s="529"/>
      <c r="AK43" s="529"/>
      <c r="AL43" s="529"/>
      <c r="AM43" s="529"/>
      <c r="BD43" s="201"/>
    </row>
    <row r="44" spans="2:56" ht="15.75" customHeight="1">
      <c r="B44" s="201"/>
      <c r="I44" s="202"/>
      <c r="BD44" s="201"/>
    </row>
    <row r="45" spans="2:56" ht="15.75" customHeight="1">
      <c r="B45" s="201"/>
      <c r="I45" s="202"/>
      <c r="L45" s="529" t="s">
        <v>851</v>
      </c>
      <c r="M45" s="529"/>
      <c r="N45" s="529"/>
      <c r="O45" s="529"/>
      <c r="P45" s="529"/>
      <c r="Q45" s="529"/>
      <c r="R45" s="529"/>
      <c r="S45" s="534"/>
      <c r="T45" s="529"/>
      <c r="U45" s="529"/>
      <c r="V45" s="529"/>
      <c r="W45" s="529"/>
      <c r="X45" s="529"/>
      <c r="Y45" s="529"/>
      <c r="Z45" s="529"/>
      <c r="AA45" s="529"/>
      <c r="AB45" s="529"/>
      <c r="AC45" s="529"/>
      <c r="AD45" s="529"/>
      <c r="AE45" s="529"/>
      <c r="AF45" s="529"/>
      <c r="AG45" s="529"/>
      <c r="AH45" s="529"/>
      <c r="AI45" s="529"/>
      <c r="AJ45" s="529"/>
      <c r="AK45" s="529"/>
      <c r="AL45" s="529"/>
      <c r="AM45" s="529"/>
      <c r="BD45" s="201"/>
    </row>
    <row r="46" spans="2:56" ht="15.75" customHeight="1">
      <c r="B46" s="201"/>
      <c r="I46" s="202"/>
      <c r="L46" s="529"/>
      <c r="M46" s="529" t="s">
        <v>836</v>
      </c>
      <c r="N46" s="529" t="s">
        <v>852</v>
      </c>
      <c r="O46" s="529"/>
      <c r="P46" s="529"/>
      <c r="Q46" s="529"/>
      <c r="R46" s="529"/>
      <c r="S46" s="534"/>
      <c r="T46" s="529"/>
      <c r="U46" s="529"/>
      <c r="V46" s="529"/>
      <c r="W46" s="529"/>
      <c r="X46" s="529"/>
      <c r="Y46" s="529"/>
      <c r="Z46" s="529"/>
      <c r="AA46" s="529"/>
      <c r="AB46" s="529"/>
      <c r="AC46" s="529"/>
      <c r="AD46" s="529"/>
      <c r="AE46" s="529"/>
      <c r="AF46" s="529"/>
      <c r="AG46" s="529"/>
      <c r="AH46" s="529"/>
      <c r="AI46" s="529"/>
      <c r="AJ46" s="529"/>
      <c r="AK46" s="529"/>
      <c r="AL46" s="529"/>
      <c r="AM46" s="529"/>
      <c r="BD46" s="201"/>
    </row>
    <row r="47" spans="2:56" ht="15.75" customHeight="1">
      <c r="B47" s="201"/>
      <c r="I47" s="202"/>
      <c r="L47" s="529"/>
      <c r="M47" s="529"/>
      <c r="N47" s="529" t="s">
        <v>837</v>
      </c>
      <c r="O47" s="529"/>
      <c r="P47" s="529"/>
      <c r="Q47" s="529"/>
      <c r="R47" s="529"/>
      <c r="S47" s="534"/>
      <c r="T47" s="529"/>
      <c r="U47" s="529"/>
      <c r="V47" s="529"/>
      <c r="W47" s="529"/>
      <c r="X47" s="529"/>
      <c r="Y47" s="529"/>
      <c r="Z47" s="529"/>
      <c r="AA47" s="529"/>
      <c r="AB47" s="529"/>
      <c r="AC47" s="529"/>
      <c r="AD47" s="529"/>
      <c r="AE47" s="529"/>
      <c r="AF47" s="529"/>
      <c r="AG47" s="529"/>
      <c r="AH47" s="529"/>
      <c r="AI47" s="529"/>
      <c r="AJ47" s="529"/>
      <c r="AK47" s="529"/>
      <c r="AL47" s="529"/>
      <c r="AM47" s="529"/>
      <c r="BD47" s="201"/>
    </row>
    <row r="48" spans="2:56" ht="15.75" customHeight="1">
      <c r="B48" s="201"/>
      <c r="I48" s="202"/>
      <c r="BD48" s="201"/>
    </row>
    <row r="49" spans="2:56" ht="15.75" customHeight="1">
      <c r="B49" s="201"/>
      <c r="I49" s="202"/>
      <c r="L49" s="529" t="s">
        <v>854</v>
      </c>
      <c r="M49" s="529"/>
      <c r="N49" s="529"/>
      <c r="O49" s="529"/>
      <c r="P49" s="529"/>
      <c r="Q49" s="529"/>
      <c r="R49" s="529"/>
      <c r="S49" s="534"/>
      <c r="T49" s="529"/>
      <c r="U49" s="529"/>
      <c r="V49" s="529"/>
      <c r="W49" s="529"/>
      <c r="X49" s="529"/>
      <c r="Y49" s="529"/>
      <c r="Z49" s="529"/>
      <c r="AA49" s="529"/>
      <c r="AB49" s="529"/>
      <c r="AC49" s="529"/>
      <c r="AD49" s="529"/>
      <c r="AE49" s="529"/>
      <c r="AF49" s="529"/>
      <c r="AG49" s="529"/>
      <c r="AH49" s="529"/>
      <c r="AI49" s="529"/>
      <c r="AJ49" s="529"/>
      <c r="AK49" s="529"/>
      <c r="AL49" s="529"/>
      <c r="AM49" s="529"/>
      <c r="BD49" s="201"/>
    </row>
    <row r="50" spans="2:56" ht="15.75" customHeight="1">
      <c r="B50" s="201"/>
      <c r="I50" s="202"/>
      <c r="L50" s="529"/>
      <c r="M50" s="529" t="s">
        <v>836</v>
      </c>
      <c r="N50" s="529" t="s">
        <v>855</v>
      </c>
      <c r="O50" s="529"/>
      <c r="P50" s="529"/>
      <c r="Q50" s="529"/>
      <c r="R50" s="529"/>
      <c r="S50" s="534"/>
      <c r="T50" s="529"/>
      <c r="U50" s="529"/>
      <c r="V50" s="529"/>
      <c r="W50" s="529"/>
      <c r="X50" s="529"/>
      <c r="Y50" s="529"/>
      <c r="Z50" s="529"/>
      <c r="AA50" s="529"/>
      <c r="AB50" s="529"/>
      <c r="AC50" s="529"/>
      <c r="AD50" s="529"/>
      <c r="AE50" s="529"/>
      <c r="AF50" s="529"/>
      <c r="AG50" s="529"/>
      <c r="AH50" s="529"/>
      <c r="AI50" s="529"/>
      <c r="AJ50" s="529"/>
      <c r="AK50" s="529"/>
      <c r="AL50" s="529"/>
      <c r="AM50" s="529"/>
      <c r="BD50" s="201"/>
    </row>
    <row r="51" spans="2:56" ht="15.75" customHeight="1">
      <c r="B51" s="201"/>
      <c r="I51" s="202"/>
      <c r="L51" s="529"/>
      <c r="M51" s="529"/>
      <c r="N51" s="529" t="s">
        <v>837</v>
      </c>
      <c r="O51" s="529"/>
      <c r="P51" s="529"/>
      <c r="Q51" s="529"/>
      <c r="R51" s="529"/>
      <c r="S51" s="534"/>
      <c r="T51" s="529"/>
      <c r="U51" s="529"/>
      <c r="V51" s="529"/>
      <c r="W51" s="529"/>
      <c r="X51" s="529"/>
      <c r="Y51" s="529"/>
      <c r="Z51" s="529"/>
      <c r="AA51" s="529"/>
      <c r="AB51" s="529"/>
      <c r="AC51" s="529"/>
      <c r="AD51" s="529"/>
      <c r="AE51" s="529"/>
      <c r="AF51" s="529"/>
      <c r="AG51" s="529"/>
      <c r="AH51" s="529"/>
      <c r="AI51" s="529"/>
      <c r="AJ51" s="529"/>
      <c r="AK51" s="529"/>
      <c r="AL51" s="529"/>
      <c r="AM51" s="529"/>
      <c r="BD51" s="201"/>
    </row>
    <row r="52" spans="2:56" ht="15.75" customHeight="1">
      <c r="B52" s="201"/>
      <c r="I52" s="202"/>
      <c r="BD52" s="201"/>
    </row>
    <row r="53" spans="2:56" ht="15.75" customHeight="1">
      <c r="B53" s="201"/>
      <c r="I53" s="202"/>
      <c r="L53" s="529" t="s">
        <v>857</v>
      </c>
      <c r="M53" s="529"/>
      <c r="N53" s="529"/>
      <c r="O53" s="529"/>
      <c r="P53" s="529"/>
      <c r="Q53" s="529"/>
      <c r="R53" s="529"/>
      <c r="S53" s="534"/>
      <c r="T53" s="529"/>
      <c r="U53" s="529"/>
      <c r="V53" s="529"/>
      <c r="W53" s="529"/>
      <c r="X53" s="529"/>
      <c r="Y53" s="529"/>
      <c r="Z53" s="529"/>
      <c r="AA53" s="529"/>
      <c r="AB53" s="529"/>
      <c r="AC53" s="529"/>
      <c r="AD53" s="529"/>
      <c r="AE53" s="529"/>
      <c r="AF53" s="529"/>
      <c r="AG53" s="529"/>
      <c r="AH53" s="529"/>
      <c r="AI53" s="529"/>
      <c r="AJ53" s="529"/>
      <c r="AK53" s="529"/>
      <c r="AL53" s="529"/>
      <c r="AM53" s="529"/>
      <c r="BD53" s="201"/>
    </row>
    <row r="54" spans="2:56" ht="15.75" customHeight="1">
      <c r="B54" s="201"/>
      <c r="I54" s="202"/>
      <c r="L54" s="529"/>
      <c r="M54" s="529" t="s">
        <v>836</v>
      </c>
      <c r="N54" s="529" t="s">
        <v>858</v>
      </c>
      <c r="O54" s="529"/>
      <c r="P54" s="529"/>
      <c r="Q54" s="529"/>
      <c r="R54" s="529"/>
      <c r="S54" s="534"/>
      <c r="T54" s="529"/>
      <c r="U54" s="529"/>
      <c r="V54" s="529"/>
      <c r="W54" s="529"/>
      <c r="X54" s="529"/>
      <c r="Y54" s="529"/>
      <c r="Z54" s="529"/>
      <c r="AA54" s="529"/>
      <c r="AB54" s="529"/>
      <c r="AC54" s="529"/>
      <c r="AD54" s="529"/>
      <c r="AE54" s="529"/>
      <c r="AF54" s="529"/>
      <c r="AG54" s="529"/>
      <c r="AH54" s="529"/>
      <c r="AI54" s="529"/>
      <c r="AJ54" s="529"/>
      <c r="AK54" s="529"/>
      <c r="AL54" s="529"/>
      <c r="AM54" s="529"/>
      <c r="BD54" s="201"/>
    </row>
    <row r="55" spans="2:56" ht="15.75" customHeight="1">
      <c r="B55" s="201"/>
      <c r="I55" s="202"/>
      <c r="L55" s="529"/>
      <c r="M55" s="529"/>
      <c r="N55" s="529" t="s">
        <v>837</v>
      </c>
      <c r="O55" s="529"/>
      <c r="P55" s="529"/>
      <c r="Q55" s="529"/>
      <c r="R55" s="529"/>
      <c r="S55" s="534"/>
      <c r="T55" s="529"/>
      <c r="U55" s="529"/>
      <c r="V55" s="529"/>
      <c r="W55" s="529"/>
      <c r="X55" s="529"/>
      <c r="Y55" s="529"/>
      <c r="Z55" s="529"/>
      <c r="AA55" s="529"/>
      <c r="AB55" s="529"/>
      <c r="AC55" s="529"/>
      <c r="AD55" s="529"/>
      <c r="AE55" s="529"/>
      <c r="AF55" s="529"/>
      <c r="AG55" s="529"/>
      <c r="AH55" s="529"/>
      <c r="AI55" s="529"/>
      <c r="AJ55" s="529"/>
      <c r="AK55" s="529"/>
      <c r="AL55" s="529"/>
      <c r="AM55" s="529"/>
      <c r="BD55" s="201"/>
    </row>
    <row r="56" spans="2:56" ht="15.75" customHeight="1">
      <c r="B56" s="201"/>
      <c r="I56" s="202"/>
      <c r="BD56" s="201"/>
    </row>
    <row r="57" spans="2:56" ht="15.75" customHeight="1">
      <c r="B57" s="201"/>
      <c r="I57" s="202"/>
      <c r="L57" s="529" t="s">
        <v>860</v>
      </c>
      <c r="M57" s="529"/>
      <c r="N57" s="529"/>
      <c r="O57" s="529"/>
      <c r="P57" s="529"/>
      <c r="Q57" s="529"/>
      <c r="R57" s="529"/>
      <c r="S57" s="534"/>
      <c r="T57" s="529"/>
      <c r="U57" s="529"/>
      <c r="V57" s="529"/>
      <c r="W57" s="529"/>
      <c r="X57" s="529"/>
      <c r="Y57" s="529"/>
      <c r="Z57" s="529"/>
      <c r="AA57" s="529"/>
      <c r="AB57" s="529"/>
      <c r="AC57" s="529"/>
      <c r="AD57" s="529"/>
      <c r="AE57" s="529"/>
      <c r="AF57" s="529"/>
      <c r="AG57" s="529"/>
      <c r="AH57" s="529"/>
      <c r="AI57" s="529"/>
      <c r="AJ57" s="529"/>
      <c r="AK57" s="529"/>
      <c r="AL57" s="529"/>
      <c r="AM57" s="529"/>
      <c r="BD57" s="201"/>
    </row>
    <row r="58" spans="2:56" ht="15.75" customHeight="1">
      <c r="B58" s="201"/>
      <c r="I58" s="202"/>
      <c r="L58" s="529"/>
      <c r="M58" s="529" t="s">
        <v>836</v>
      </c>
      <c r="N58" s="529" t="s">
        <v>861</v>
      </c>
      <c r="O58" s="529"/>
      <c r="P58" s="529"/>
      <c r="Q58" s="529"/>
      <c r="R58" s="529"/>
      <c r="S58" s="534"/>
      <c r="T58" s="529"/>
      <c r="U58" s="529"/>
      <c r="V58" s="529"/>
      <c r="W58" s="529"/>
      <c r="X58" s="529"/>
      <c r="Y58" s="529"/>
      <c r="Z58" s="529"/>
      <c r="AA58" s="529"/>
      <c r="AB58" s="529"/>
      <c r="AC58" s="529"/>
      <c r="AD58" s="529"/>
      <c r="AE58" s="529"/>
      <c r="AF58" s="529"/>
      <c r="AG58" s="529"/>
      <c r="AH58" s="529"/>
      <c r="AI58" s="529"/>
      <c r="AJ58" s="529"/>
      <c r="AK58" s="529"/>
      <c r="AL58" s="529"/>
      <c r="AM58" s="529"/>
      <c r="BD58" s="201"/>
    </row>
    <row r="59" spans="2:56" ht="15.75" customHeight="1">
      <c r="B59" s="201"/>
      <c r="I59" s="202"/>
      <c r="L59" s="529"/>
      <c r="M59" s="529"/>
      <c r="N59" s="529" t="s">
        <v>837</v>
      </c>
      <c r="O59" s="529"/>
      <c r="P59" s="529"/>
      <c r="Q59" s="529"/>
      <c r="R59" s="529"/>
      <c r="S59" s="534"/>
      <c r="T59" s="529"/>
      <c r="U59" s="529"/>
      <c r="V59" s="529"/>
      <c r="W59" s="529"/>
      <c r="X59" s="529"/>
      <c r="Y59" s="529"/>
      <c r="Z59" s="529"/>
      <c r="AA59" s="529"/>
      <c r="AB59" s="529"/>
      <c r="AC59" s="529"/>
      <c r="AD59" s="529"/>
      <c r="AE59" s="529"/>
      <c r="AF59" s="529"/>
      <c r="AG59" s="529"/>
      <c r="AH59" s="529"/>
      <c r="AI59" s="529"/>
      <c r="AJ59" s="529"/>
      <c r="AK59" s="529"/>
      <c r="AL59" s="529"/>
      <c r="AM59" s="529"/>
      <c r="BD59" s="201"/>
    </row>
    <row r="60" spans="2:56" ht="15.75" customHeight="1">
      <c r="B60" s="201"/>
      <c r="I60" s="202"/>
      <c r="BD60" s="201"/>
    </row>
    <row r="61" spans="2:56" ht="15.75" customHeight="1">
      <c r="B61" s="201"/>
      <c r="I61" s="202"/>
      <c r="L61" s="529" t="s">
        <v>862</v>
      </c>
      <c r="M61" s="529"/>
      <c r="N61" s="529"/>
      <c r="O61" s="529"/>
      <c r="P61" s="529"/>
      <c r="Q61" s="529"/>
      <c r="R61" s="529"/>
      <c r="S61" s="534"/>
      <c r="T61" s="529"/>
      <c r="U61" s="529"/>
      <c r="V61" s="529"/>
      <c r="W61" s="529"/>
      <c r="X61" s="529"/>
      <c r="Y61" s="529"/>
      <c r="Z61" s="529"/>
      <c r="AA61" s="529"/>
      <c r="AB61" s="529"/>
      <c r="AC61" s="529"/>
      <c r="AD61" s="529"/>
      <c r="AE61" s="529"/>
      <c r="AF61" s="529"/>
      <c r="AG61" s="529"/>
      <c r="AH61" s="529"/>
      <c r="AI61" s="529"/>
      <c r="AJ61" s="529"/>
      <c r="AK61" s="529"/>
      <c r="AL61" s="529"/>
      <c r="AM61" s="529"/>
      <c r="BD61" s="201"/>
    </row>
    <row r="62" spans="2:56" ht="15.75" customHeight="1">
      <c r="B62" s="201"/>
      <c r="I62" s="202"/>
      <c r="L62" s="529"/>
      <c r="M62" s="529" t="s">
        <v>836</v>
      </c>
      <c r="N62" s="529" t="s">
        <v>863</v>
      </c>
      <c r="O62" s="529"/>
      <c r="P62" s="529"/>
      <c r="Q62" s="529"/>
      <c r="R62" s="529"/>
      <c r="S62" s="534"/>
      <c r="T62" s="529"/>
      <c r="U62" s="529"/>
      <c r="V62" s="529"/>
      <c r="W62" s="529"/>
      <c r="X62" s="529"/>
      <c r="Y62" s="529"/>
      <c r="Z62" s="529"/>
      <c r="AA62" s="529"/>
      <c r="AB62" s="529"/>
      <c r="AC62" s="529"/>
      <c r="AD62" s="529"/>
      <c r="AE62" s="529"/>
      <c r="AF62" s="529"/>
      <c r="AG62" s="529"/>
      <c r="AH62" s="529"/>
      <c r="AI62" s="529"/>
      <c r="AJ62" s="529"/>
      <c r="AK62" s="529"/>
      <c r="AL62" s="529"/>
      <c r="AM62" s="529"/>
      <c r="BD62" s="201"/>
    </row>
    <row r="63" spans="2:56" ht="15.75" customHeight="1">
      <c r="B63" s="201"/>
      <c r="I63" s="202"/>
      <c r="L63" s="529"/>
      <c r="M63" s="529"/>
      <c r="N63" s="529" t="s">
        <v>837</v>
      </c>
      <c r="O63" s="529"/>
      <c r="P63" s="529"/>
      <c r="Q63" s="529"/>
      <c r="R63" s="529"/>
      <c r="S63" s="534"/>
      <c r="T63" s="529"/>
      <c r="U63" s="529"/>
      <c r="V63" s="529"/>
      <c r="W63" s="529"/>
      <c r="X63" s="529"/>
      <c r="Y63" s="529"/>
      <c r="Z63" s="529"/>
      <c r="AA63" s="529"/>
      <c r="AB63" s="529"/>
      <c r="AC63" s="529"/>
      <c r="AD63" s="529"/>
      <c r="AE63" s="529"/>
      <c r="AF63" s="529"/>
      <c r="AG63" s="529"/>
      <c r="AH63" s="529"/>
      <c r="AI63" s="529"/>
      <c r="AJ63" s="529"/>
      <c r="AK63" s="529"/>
      <c r="AL63" s="529"/>
      <c r="AM63" s="529"/>
      <c r="BD63" s="201"/>
    </row>
    <row r="64" spans="2:56" ht="15.75" customHeight="1">
      <c r="B64" s="201"/>
      <c r="I64" s="202"/>
      <c r="BD64" s="201"/>
    </row>
    <row r="65" spans="1:64" customFormat="1" ht="15.75" customHeight="1">
      <c r="A65" s="190"/>
      <c r="B65" s="189"/>
      <c r="C65" s="189"/>
      <c r="D65" s="189"/>
      <c r="E65" s="189"/>
      <c r="F65" s="189"/>
      <c r="G65" s="189"/>
      <c r="H65" s="189"/>
      <c r="I65" s="192"/>
      <c r="J65" s="535" t="s">
        <v>864</v>
      </c>
      <c r="K65" s="535"/>
      <c r="L65" s="535" t="s">
        <v>865</v>
      </c>
      <c r="M65" s="535"/>
      <c r="N65" s="535"/>
      <c r="O65" s="535"/>
      <c r="P65" s="535"/>
      <c r="Q65" s="535"/>
      <c r="R65" s="535"/>
      <c r="S65" s="536"/>
      <c r="T65" s="535"/>
      <c r="U65" s="535"/>
      <c r="V65" s="535"/>
      <c r="W65" s="189"/>
      <c r="X65" s="535"/>
      <c r="Y65" s="535"/>
      <c r="Z65" s="535"/>
      <c r="AA65" s="535"/>
      <c r="AB65" s="535"/>
      <c r="AC65" s="535"/>
      <c r="AD65" s="535"/>
      <c r="AE65" s="535"/>
      <c r="AF65" s="535"/>
      <c r="AG65" s="535"/>
      <c r="AH65" s="535"/>
      <c r="AI65" s="535"/>
      <c r="AJ65" s="535"/>
      <c r="AK65" s="535"/>
      <c r="AL65" s="535"/>
      <c r="AM65" s="535"/>
      <c r="AN65" s="189"/>
      <c r="AO65" s="189"/>
      <c r="AP65" s="189"/>
      <c r="AQ65" s="189"/>
      <c r="AR65" s="189"/>
      <c r="AS65" s="189"/>
      <c r="AT65" s="535"/>
      <c r="AU65" s="535"/>
      <c r="AV65" s="535"/>
      <c r="AW65" s="189"/>
      <c r="AX65" s="189"/>
      <c r="AY65" s="189"/>
      <c r="AZ65" s="189"/>
      <c r="BA65" s="189"/>
      <c r="BB65" s="189"/>
      <c r="BC65" s="1"/>
      <c r="BD65" s="201"/>
      <c r="BE65" s="189"/>
      <c r="BF65" s="189"/>
      <c r="BG65" s="189"/>
      <c r="BH65" s="189"/>
      <c r="BI65" s="189"/>
      <c r="BJ65" s="189"/>
      <c r="BK65" s="193"/>
      <c r="BL65" s="189"/>
    </row>
    <row r="66" spans="1:64" customFormat="1" ht="15.75" customHeight="1">
      <c r="A66" s="190"/>
      <c r="B66" s="191"/>
      <c r="C66" s="189"/>
      <c r="D66" s="189"/>
      <c r="E66" s="189"/>
      <c r="F66" s="189"/>
      <c r="G66" s="189"/>
      <c r="H66" s="189"/>
      <c r="I66" s="192"/>
      <c r="J66" s="535"/>
      <c r="K66" s="535"/>
      <c r="L66" s="535" t="s">
        <v>866</v>
      </c>
      <c r="M66" s="535"/>
      <c r="N66" s="535"/>
      <c r="O66" s="535"/>
      <c r="P66" s="535"/>
      <c r="Q66" s="535"/>
      <c r="R66" s="535"/>
      <c r="S66" s="535"/>
      <c r="T66" s="1"/>
      <c r="U66" s="1"/>
      <c r="V66" s="189"/>
      <c r="W66" s="535"/>
      <c r="X66" s="535"/>
      <c r="Y66" s="535"/>
      <c r="Z66" s="535"/>
      <c r="AA66" s="535"/>
      <c r="AB66" s="535"/>
      <c r="AC66" s="535"/>
      <c r="AD66" s="535"/>
      <c r="AE66" s="535"/>
      <c r="AF66" s="535"/>
      <c r="AG66" s="535"/>
      <c r="AH66" s="535"/>
      <c r="AI66" s="535"/>
      <c r="AJ66" s="535"/>
      <c r="AK66" s="535"/>
      <c r="AL66" s="535"/>
      <c r="AM66" s="536"/>
      <c r="AN66" s="189"/>
      <c r="AO66" s="189"/>
      <c r="AP66" s="189"/>
      <c r="AQ66" s="189"/>
      <c r="AR66" s="189"/>
      <c r="AS66" s="189"/>
      <c r="AT66" s="535"/>
      <c r="AU66" s="535"/>
      <c r="AV66" s="535"/>
      <c r="AW66" s="189"/>
      <c r="AX66" s="189"/>
      <c r="AY66" s="189"/>
      <c r="AZ66" s="189"/>
      <c r="BA66" s="189"/>
      <c r="BB66" s="189"/>
      <c r="BC66" s="1"/>
      <c r="BD66" s="201"/>
      <c r="BE66" s="189"/>
      <c r="BF66" s="189"/>
      <c r="BG66" s="189"/>
      <c r="BH66" s="189"/>
      <c r="BI66" s="189"/>
      <c r="BJ66" s="189"/>
      <c r="BK66" s="193"/>
      <c r="BL66" s="189"/>
    </row>
    <row r="67" spans="1:64" customFormat="1" ht="15.75" customHeight="1">
      <c r="A67" s="190"/>
      <c r="B67" s="191"/>
      <c r="C67" s="189"/>
      <c r="D67" s="189"/>
      <c r="E67" s="189"/>
      <c r="F67" s="189"/>
      <c r="G67" s="189"/>
      <c r="H67" s="189"/>
      <c r="I67" s="192"/>
      <c r="J67" s="535"/>
      <c r="K67" s="535"/>
      <c r="L67" s="535" t="s">
        <v>867</v>
      </c>
      <c r="M67" s="535"/>
      <c r="N67" s="535"/>
      <c r="O67" s="535"/>
      <c r="P67" s="535"/>
      <c r="Q67" s="535"/>
      <c r="R67" s="535"/>
      <c r="S67" s="535"/>
      <c r="T67" s="1"/>
      <c r="U67" s="537"/>
      <c r="V67" s="189"/>
      <c r="W67" s="535"/>
      <c r="X67" s="535"/>
      <c r="Y67" s="535"/>
      <c r="Z67" s="535"/>
      <c r="AA67" s="535"/>
      <c r="AB67" s="535"/>
      <c r="AC67" s="535"/>
      <c r="AD67" s="535"/>
      <c r="AE67" s="535"/>
      <c r="AF67" s="535"/>
      <c r="AG67" s="535"/>
      <c r="AH67" s="535"/>
      <c r="AI67" s="535"/>
      <c r="AJ67" s="535"/>
      <c r="AK67" s="535"/>
      <c r="AL67" s="535"/>
      <c r="AM67" s="536"/>
      <c r="AN67" s="189"/>
      <c r="AO67" s="189"/>
      <c r="AP67" s="189"/>
      <c r="AQ67" s="189"/>
      <c r="AR67" s="189"/>
      <c r="AS67" s="189"/>
      <c r="AT67" s="535"/>
      <c r="AU67" s="535"/>
      <c r="AV67" s="535"/>
      <c r="AW67" s="189"/>
      <c r="AX67" s="189"/>
      <c r="AY67" s="189"/>
      <c r="AZ67" s="189"/>
      <c r="BA67" s="189"/>
      <c r="BB67" s="189"/>
      <c r="BC67" s="1"/>
      <c r="BD67" s="201"/>
      <c r="BE67" s="189"/>
      <c r="BF67" s="189"/>
      <c r="BG67" s="189"/>
      <c r="BH67" s="189"/>
      <c r="BI67" s="189"/>
      <c r="BJ67" s="189"/>
      <c r="BK67" s="193"/>
      <c r="BL67" s="189"/>
    </row>
    <row r="68" spans="1:64" ht="15.75" customHeight="1">
      <c r="B68" s="201"/>
      <c r="I68" s="202"/>
      <c r="L68" s="529"/>
      <c r="M68" s="529"/>
      <c r="N68" s="529"/>
      <c r="O68" s="529"/>
      <c r="P68" s="529"/>
      <c r="Q68" s="529"/>
      <c r="R68" s="529"/>
      <c r="S68" s="534"/>
      <c r="T68" s="529"/>
      <c r="U68" s="529"/>
      <c r="V68" s="529"/>
      <c r="W68" s="529"/>
      <c r="X68" s="529"/>
      <c r="Y68" s="529"/>
      <c r="Z68" s="529"/>
      <c r="AA68" s="529"/>
      <c r="AB68" s="529"/>
      <c r="AC68" s="529"/>
      <c r="AD68" s="529"/>
      <c r="AE68" s="529"/>
      <c r="AF68" s="529"/>
      <c r="AG68" s="529"/>
      <c r="AH68" s="529"/>
      <c r="AI68" s="529"/>
      <c r="AJ68" s="529"/>
      <c r="AK68" s="529"/>
      <c r="AL68" s="529"/>
      <c r="AM68" s="529"/>
      <c r="BD68" s="201"/>
      <c r="BK68" s="193"/>
      <c r="BL68" s="189"/>
    </row>
    <row r="69" spans="1:64" ht="15.75" customHeight="1">
      <c r="B69" s="201"/>
      <c r="I69" s="202"/>
      <c r="L69" s="529"/>
      <c r="M69" s="529" t="s">
        <v>836</v>
      </c>
      <c r="N69" s="529" t="s">
        <v>868</v>
      </c>
      <c r="O69" s="529"/>
      <c r="P69" s="529"/>
      <c r="Q69" s="529"/>
      <c r="R69" s="529"/>
      <c r="S69" s="534"/>
      <c r="T69" s="529"/>
      <c r="U69" s="529"/>
      <c r="V69" s="529"/>
      <c r="W69" s="529"/>
      <c r="X69" s="529"/>
      <c r="Y69" s="529"/>
      <c r="Z69" s="529"/>
      <c r="AA69" s="529"/>
      <c r="AB69" s="529"/>
      <c r="AC69" s="529"/>
      <c r="AD69" s="529"/>
      <c r="AE69" s="529"/>
      <c r="AF69" s="529"/>
      <c r="AG69" s="529"/>
      <c r="AH69" s="529"/>
      <c r="AI69" s="529"/>
      <c r="AJ69" s="529"/>
      <c r="AK69" s="529"/>
      <c r="AL69" s="529"/>
      <c r="AM69" s="529"/>
      <c r="BD69" s="201"/>
      <c r="BK69" s="193"/>
      <c r="BL69" s="189"/>
    </row>
    <row r="70" spans="1:64" ht="15.75" customHeight="1">
      <c r="B70" s="201"/>
      <c r="I70" s="202"/>
      <c r="L70" s="529"/>
      <c r="M70" s="529"/>
      <c r="N70" s="529" t="s">
        <v>837</v>
      </c>
      <c r="O70" s="529"/>
      <c r="P70" s="529"/>
      <c r="Q70" s="529"/>
      <c r="R70" s="529"/>
      <c r="S70" s="534"/>
      <c r="T70" s="529"/>
      <c r="U70" s="529"/>
      <c r="V70" s="529"/>
      <c r="W70" s="529"/>
      <c r="X70" s="529"/>
      <c r="Y70" s="529"/>
      <c r="Z70" s="529"/>
      <c r="AA70" s="529"/>
      <c r="AB70" s="529"/>
      <c r="AC70" s="529"/>
      <c r="AD70" s="529"/>
      <c r="AE70" s="529"/>
      <c r="AF70" s="529"/>
      <c r="AG70" s="529"/>
      <c r="AH70" s="529"/>
      <c r="AI70" s="529"/>
      <c r="AJ70" s="529"/>
      <c r="AK70" s="529"/>
      <c r="AL70" s="529"/>
      <c r="AM70" s="529"/>
      <c r="BD70" s="201"/>
      <c r="BK70" s="193"/>
      <c r="BL70" s="189"/>
    </row>
    <row r="71" spans="1:64" ht="15.75" customHeight="1">
      <c r="B71" s="201"/>
      <c r="I71" s="202"/>
      <c r="BD71" s="201"/>
    </row>
    <row r="72" spans="1:64" customFormat="1" ht="15.75" customHeight="1">
      <c r="A72" s="190"/>
      <c r="B72" s="189"/>
      <c r="C72" s="189"/>
      <c r="D72" s="189"/>
      <c r="E72" s="189"/>
      <c r="F72" s="189"/>
      <c r="G72" s="189"/>
      <c r="H72" s="189"/>
      <c r="I72" s="192"/>
      <c r="J72" s="535" t="s">
        <v>869</v>
      </c>
      <c r="K72" s="535"/>
      <c r="L72" s="535" t="s">
        <v>872</v>
      </c>
      <c r="M72" s="535"/>
      <c r="N72" s="535"/>
      <c r="O72" s="535"/>
      <c r="P72" s="535"/>
      <c r="Q72" s="535"/>
      <c r="R72" s="535"/>
      <c r="S72" s="536"/>
      <c r="T72" s="535"/>
      <c r="U72" s="535"/>
      <c r="V72" s="535"/>
      <c r="W72" s="189"/>
      <c r="X72" s="535"/>
      <c r="Y72" s="535"/>
      <c r="Z72" s="535"/>
      <c r="AA72" s="535"/>
      <c r="AB72" s="535"/>
      <c r="AC72" s="535"/>
      <c r="AD72" s="535"/>
      <c r="AE72" s="535"/>
      <c r="AF72" s="535"/>
      <c r="AG72" s="535"/>
      <c r="AH72" s="535"/>
      <c r="AI72" s="535"/>
      <c r="AJ72" s="535"/>
      <c r="AK72" s="535"/>
      <c r="AL72" s="535"/>
      <c r="AM72" s="535"/>
      <c r="AN72" s="189"/>
      <c r="AO72" s="189"/>
      <c r="AP72" s="189"/>
      <c r="AQ72" s="189"/>
      <c r="AR72" s="189"/>
      <c r="AS72" s="189"/>
      <c r="AT72" s="535"/>
      <c r="AU72" s="535"/>
      <c r="AV72" s="535"/>
      <c r="AW72" s="189"/>
      <c r="AX72" s="189"/>
      <c r="AY72" s="189"/>
      <c r="AZ72" s="189"/>
      <c r="BA72" s="189"/>
      <c r="BB72" s="189"/>
      <c r="BC72" s="1"/>
      <c r="BD72" s="201"/>
      <c r="BE72" s="189"/>
      <c r="BF72" s="189"/>
      <c r="BG72" s="189"/>
      <c r="BH72" s="189"/>
      <c r="BI72" s="189"/>
      <c r="BJ72" s="189"/>
      <c r="BK72" s="193"/>
      <c r="BL72" s="189"/>
    </row>
    <row r="73" spans="1:64" customFormat="1" ht="15.75" customHeight="1">
      <c r="A73" s="190"/>
      <c r="B73" s="191"/>
      <c r="C73" s="189"/>
      <c r="D73" s="189"/>
      <c r="E73" s="189"/>
      <c r="F73" s="189"/>
      <c r="G73" s="189"/>
      <c r="H73" s="189"/>
      <c r="I73" s="192"/>
      <c r="J73" s="535"/>
      <c r="K73" s="535"/>
      <c r="L73" s="535" t="s">
        <v>873</v>
      </c>
      <c r="M73" s="535"/>
      <c r="N73" s="535"/>
      <c r="O73" s="535"/>
      <c r="P73" s="535"/>
      <c r="Q73" s="535"/>
      <c r="R73" s="535"/>
      <c r="S73" s="535"/>
      <c r="T73" s="1"/>
      <c r="U73" s="1"/>
      <c r="V73" s="189"/>
      <c r="W73" s="535"/>
      <c r="X73" s="535"/>
      <c r="Y73" s="535"/>
      <c r="Z73" s="535"/>
      <c r="AA73" s="535"/>
      <c r="AB73" s="535"/>
      <c r="AC73" s="535"/>
      <c r="AD73" s="535"/>
      <c r="AE73" s="535"/>
      <c r="AF73" s="535"/>
      <c r="AG73" s="535"/>
      <c r="AH73" s="535"/>
      <c r="AI73" s="535"/>
      <c r="AJ73" s="535"/>
      <c r="AK73" s="535"/>
      <c r="AL73" s="535"/>
      <c r="AM73" s="536"/>
      <c r="AN73" s="189"/>
      <c r="AO73" s="189"/>
      <c r="AP73" s="189"/>
      <c r="AQ73" s="189"/>
      <c r="AR73" s="189"/>
      <c r="AS73" s="189"/>
      <c r="AT73" s="535"/>
      <c r="AU73" s="535"/>
      <c r="AV73" s="535"/>
      <c r="AW73" s="189"/>
      <c r="AX73" s="189"/>
      <c r="AY73" s="189"/>
      <c r="AZ73" s="189"/>
      <c r="BA73" s="189"/>
      <c r="BB73" s="189"/>
      <c r="BC73" s="1"/>
      <c r="BD73" s="201"/>
      <c r="BE73" s="189"/>
      <c r="BF73" s="189"/>
      <c r="BG73" s="189"/>
      <c r="BH73" s="189"/>
      <c r="BI73" s="189"/>
      <c r="BJ73" s="189"/>
      <c r="BK73" s="193"/>
      <c r="BL73" s="189"/>
    </row>
    <row r="74" spans="1:64" customFormat="1" ht="15.75" customHeight="1">
      <c r="A74" s="190"/>
      <c r="B74" s="191"/>
      <c r="C74" s="189"/>
      <c r="D74" s="189"/>
      <c r="E74" s="189"/>
      <c r="F74" s="189"/>
      <c r="G74" s="189"/>
      <c r="H74" s="189"/>
      <c r="I74" s="192"/>
      <c r="J74" s="535"/>
      <c r="K74" s="535"/>
      <c r="L74" s="535" t="s">
        <v>874</v>
      </c>
      <c r="M74" s="535"/>
      <c r="N74" s="535"/>
      <c r="O74" s="535"/>
      <c r="P74" s="535"/>
      <c r="Q74" s="535"/>
      <c r="R74" s="535"/>
      <c r="S74" s="535"/>
      <c r="T74" s="1"/>
      <c r="U74" s="537"/>
      <c r="V74" s="189"/>
      <c r="W74" s="535"/>
      <c r="X74" s="535"/>
      <c r="Y74" s="535"/>
      <c r="Z74" s="535"/>
      <c r="AA74" s="535"/>
      <c r="AB74" s="535"/>
      <c r="AC74" s="535"/>
      <c r="AD74" s="535"/>
      <c r="AE74" s="535"/>
      <c r="AF74" s="535"/>
      <c r="AG74" s="535"/>
      <c r="AH74" s="535"/>
      <c r="AI74" s="535"/>
      <c r="AJ74" s="535"/>
      <c r="AK74" s="535"/>
      <c r="AL74" s="535"/>
      <c r="AM74" s="536"/>
      <c r="AN74" s="189"/>
      <c r="AO74" s="189"/>
      <c r="AP74" s="189"/>
      <c r="AQ74" s="189"/>
      <c r="AR74" s="189"/>
      <c r="AS74" s="189"/>
      <c r="AT74" s="535"/>
      <c r="AU74" s="535"/>
      <c r="AV74" s="535"/>
      <c r="AW74" s="189"/>
      <c r="AX74" s="189"/>
      <c r="AY74" s="189"/>
      <c r="AZ74" s="189"/>
      <c r="BA74" s="189"/>
      <c r="BB74" s="189"/>
      <c r="BC74" s="1"/>
      <c r="BD74" s="201"/>
      <c r="BE74" s="189"/>
      <c r="BF74" s="189"/>
      <c r="BG74" s="189"/>
      <c r="BH74" s="189"/>
      <c r="BI74" s="189"/>
      <c r="BJ74" s="189"/>
      <c r="BK74" s="193"/>
      <c r="BL74" s="189"/>
    </row>
    <row r="75" spans="1:64" ht="15.75" customHeight="1">
      <c r="B75" s="201"/>
      <c r="I75" s="202"/>
      <c r="L75" s="529"/>
      <c r="M75" s="529"/>
      <c r="N75" s="529"/>
      <c r="O75" s="529"/>
      <c r="P75" s="529"/>
      <c r="Q75" s="529"/>
      <c r="R75" s="529"/>
      <c r="S75" s="534"/>
      <c r="T75" s="529"/>
      <c r="U75" s="529"/>
      <c r="V75" s="529"/>
      <c r="W75" s="529"/>
      <c r="X75" s="529"/>
      <c r="Y75" s="529"/>
      <c r="Z75" s="529"/>
      <c r="AA75" s="529"/>
      <c r="AB75" s="529"/>
      <c r="AC75" s="529"/>
      <c r="AD75" s="529"/>
      <c r="AE75" s="529"/>
      <c r="AF75" s="529"/>
      <c r="AG75" s="529"/>
      <c r="AH75" s="529"/>
      <c r="AI75" s="529"/>
      <c r="AJ75" s="529"/>
      <c r="AK75" s="529"/>
      <c r="AL75" s="529"/>
      <c r="AM75" s="529"/>
      <c r="BD75" s="201"/>
      <c r="BK75" s="193"/>
      <c r="BL75" s="189"/>
    </row>
    <row r="76" spans="1:64" ht="15.75" customHeight="1">
      <c r="B76" s="201"/>
      <c r="I76" s="202"/>
      <c r="L76" s="529"/>
      <c r="M76" s="529" t="s">
        <v>836</v>
      </c>
      <c r="N76" s="529" t="s">
        <v>875</v>
      </c>
      <c r="O76" s="529"/>
      <c r="P76" s="529"/>
      <c r="Q76" s="529"/>
      <c r="R76" s="529"/>
      <c r="S76" s="534"/>
      <c r="T76" s="529"/>
      <c r="U76" s="529"/>
      <c r="V76" s="529"/>
      <c r="W76" s="529"/>
      <c r="X76" s="529"/>
      <c r="Y76" s="529"/>
      <c r="Z76" s="529"/>
      <c r="AA76" s="529"/>
      <c r="AB76" s="529"/>
      <c r="AC76" s="529"/>
      <c r="AD76" s="529"/>
      <c r="AE76" s="529"/>
      <c r="AF76" s="529"/>
      <c r="AG76" s="529"/>
      <c r="AH76" s="529"/>
      <c r="AI76" s="529"/>
      <c r="AJ76" s="529"/>
      <c r="AK76" s="529"/>
      <c r="AL76" s="529"/>
      <c r="AM76" s="529"/>
      <c r="BD76" s="201"/>
      <c r="BK76" s="193"/>
      <c r="BL76" s="189"/>
    </row>
    <row r="77" spans="1:64" ht="15.75" customHeight="1">
      <c r="B77" s="201"/>
      <c r="I77" s="202"/>
      <c r="L77" s="529"/>
      <c r="M77" s="529"/>
      <c r="N77" s="529" t="s">
        <v>837</v>
      </c>
      <c r="O77" s="529"/>
      <c r="P77" s="529"/>
      <c r="Q77" s="529"/>
      <c r="R77" s="529"/>
      <c r="S77" s="534"/>
      <c r="T77" s="529"/>
      <c r="U77" s="529"/>
      <c r="V77" s="529"/>
      <c r="W77" s="529"/>
      <c r="X77" s="529"/>
      <c r="Y77" s="529"/>
      <c r="Z77" s="529"/>
      <c r="AA77" s="529"/>
      <c r="AB77" s="529"/>
      <c r="AC77" s="529"/>
      <c r="AD77" s="529"/>
      <c r="AE77" s="529"/>
      <c r="AF77" s="529"/>
      <c r="AG77" s="529"/>
      <c r="AH77" s="529"/>
      <c r="AI77" s="529"/>
      <c r="AJ77" s="529"/>
      <c r="AK77" s="529"/>
      <c r="AL77" s="529"/>
      <c r="AM77" s="529"/>
      <c r="BD77" s="201"/>
      <c r="BK77" s="193"/>
      <c r="BL77" s="189"/>
    </row>
    <row r="78" spans="1:64" ht="15.75" customHeight="1">
      <c r="B78" s="201"/>
      <c r="I78" s="202"/>
      <c r="BD78" s="201"/>
    </row>
    <row r="79" spans="1:64" customFormat="1" ht="15.75" customHeight="1">
      <c r="A79" s="190"/>
      <c r="B79" s="189"/>
      <c r="C79" s="189"/>
      <c r="D79" s="189"/>
      <c r="E79" s="189"/>
      <c r="F79" s="189"/>
      <c r="G79" s="189"/>
      <c r="H79" s="189"/>
      <c r="I79" s="192"/>
      <c r="J79" s="535" t="s">
        <v>870</v>
      </c>
      <c r="K79" s="535"/>
      <c r="L79" s="535" t="s">
        <v>876</v>
      </c>
      <c r="M79" s="535"/>
      <c r="N79" s="535"/>
      <c r="O79" s="535"/>
      <c r="P79" s="535"/>
      <c r="Q79" s="535"/>
      <c r="R79" s="535"/>
      <c r="S79" s="536"/>
      <c r="T79" s="535"/>
      <c r="U79" s="535"/>
      <c r="V79" s="535"/>
      <c r="W79" s="189"/>
      <c r="X79" s="535"/>
      <c r="Y79" s="535"/>
      <c r="Z79" s="535"/>
      <c r="AA79" s="535"/>
      <c r="AB79" s="535"/>
      <c r="AC79" s="535"/>
      <c r="AD79" s="535"/>
      <c r="AE79" s="535"/>
      <c r="AF79" s="535"/>
      <c r="AG79" s="535"/>
      <c r="AH79" s="535"/>
      <c r="AI79" s="535"/>
      <c r="AJ79" s="535"/>
      <c r="AK79" s="535"/>
      <c r="AL79" s="535"/>
      <c r="AM79" s="535"/>
      <c r="AN79" s="189"/>
      <c r="AO79" s="189"/>
      <c r="AP79" s="189"/>
      <c r="AQ79" s="189"/>
      <c r="AR79" s="189"/>
      <c r="AS79" s="189"/>
      <c r="AT79" s="535"/>
      <c r="AU79" s="535"/>
      <c r="AV79" s="535"/>
      <c r="AW79" s="189"/>
      <c r="AX79" s="189"/>
      <c r="AY79" s="189"/>
      <c r="AZ79" s="189"/>
      <c r="BA79" s="189"/>
      <c r="BB79" s="189"/>
      <c r="BC79" s="1"/>
      <c r="BD79" s="201"/>
      <c r="BE79" s="189"/>
      <c r="BF79" s="189"/>
      <c r="BG79" s="189"/>
      <c r="BH79" s="189"/>
      <c r="BI79" s="189"/>
      <c r="BJ79" s="189"/>
      <c r="BK79" s="193"/>
      <c r="BL79" s="189"/>
    </row>
    <row r="80" spans="1:64" customFormat="1" ht="15.75" customHeight="1">
      <c r="A80" s="190"/>
      <c r="B80" s="191"/>
      <c r="C80" s="189"/>
      <c r="D80" s="189"/>
      <c r="E80" s="189"/>
      <c r="F80" s="189"/>
      <c r="G80" s="189"/>
      <c r="H80" s="189"/>
      <c r="I80" s="192"/>
      <c r="J80" s="535"/>
      <c r="K80" s="535"/>
      <c r="L80" s="535" t="s">
        <v>877</v>
      </c>
      <c r="M80" s="535"/>
      <c r="N80" s="535"/>
      <c r="O80" s="535"/>
      <c r="P80" s="535"/>
      <c r="Q80" s="535"/>
      <c r="R80" s="535"/>
      <c r="S80" s="535"/>
      <c r="T80" s="1"/>
      <c r="U80" s="1"/>
      <c r="V80" s="189"/>
      <c r="W80" s="535"/>
      <c r="X80" s="535"/>
      <c r="Y80" s="535"/>
      <c r="Z80" s="535"/>
      <c r="AA80" s="535"/>
      <c r="AB80" s="535"/>
      <c r="AC80" s="535"/>
      <c r="AD80" s="535"/>
      <c r="AE80" s="535"/>
      <c r="AF80" s="535"/>
      <c r="AG80" s="535"/>
      <c r="AH80" s="535"/>
      <c r="AI80" s="535"/>
      <c r="AJ80" s="535"/>
      <c r="AK80" s="535"/>
      <c r="AL80" s="535"/>
      <c r="AM80" s="536"/>
      <c r="AN80" s="189"/>
      <c r="AO80" s="189"/>
      <c r="AP80" s="189"/>
      <c r="AQ80" s="189"/>
      <c r="AR80" s="189"/>
      <c r="AS80" s="189"/>
      <c r="AT80" s="535"/>
      <c r="AU80" s="535"/>
      <c r="AV80" s="535"/>
      <c r="AW80" s="189"/>
      <c r="AX80" s="189"/>
      <c r="AY80" s="189"/>
      <c r="AZ80" s="189"/>
      <c r="BA80" s="189"/>
      <c r="BB80" s="189"/>
      <c r="BC80" s="1"/>
      <c r="BD80" s="201"/>
      <c r="BE80" s="189"/>
      <c r="BF80" s="189"/>
      <c r="BG80" s="189"/>
      <c r="BH80" s="189"/>
      <c r="BI80" s="189"/>
      <c r="BJ80" s="189"/>
      <c r="BK80" s="193"/>
      <c r="BL80" s="189"/>
    </row>
    <row r="81" spans="1:64" customFormat="1" ht="15.75" customHeight="1">
      <c r="A81" s="190"/>
      <c r="B81" s="191"/>
      <c r="C81" s="189"/>
      <c r="D81" s="189"/>
      <c r="E81" s="189"/>
      <c r="F81" s="189"/>
      <c r="G81" s="189"/>
      <c r="H81" s="189"/>
      <c r="I81" s="192"/>
      <c r="J81" s="535"/>
      <c r="K81" s="535"/>
      <c r="L81" s="535" t="s">
        <v>878</v>
      </c>
      <c r="M81" s="535"/>
      <c r="N81" s="535"/>
      <c r="O81" s="535"/>
      <c r="P81" s="535"/>
      <c r="Q81" s="535"/>
      <c r="R81" s="535"/>
      <c r="S81" s="535"/>
      <c r="T81" s="1"/>
      <c r="U81" s="537"/>
      <c r="V81" s="189"/>
      <c r="W81" s="535"/>
      <c r="X81" s="535"/>
      <c r="Y81" s="535"/>
      <c r="Z81" s="535"/>
      <c r="AA81" s="535"/>
      <c r="AB81" s="535"/>
      <c r="AC81" s="535"/>
      <c r="AD81" s="535"/>
      <c r="AE81" s="535"/>
      <c r="AF81" s="535"/>
      <c r="AG81" s="535"/>
      <c r="AH81" s="535"/>
      <c r="AI81" s="535"/>
      <c r="AJ81" s="535"/>
      <c r="AK81" s="535"/>
      <c r="AL81" s="535"/>
      <c r="AM81" s="536"/>
      <c r="AN81" s="189"/>
      <c r="AO81" s="189"/>
      <c r="AP81" s="189"/>
      <c r="AQ81" s="189"/>
      <c r="AR81" s="189"/>
      <c r="AS81" s="189"/>
      <c r="AT81" s="535"/>
      <c r="AU81" s="535"/>
      <c r="AV81" s="535"/>
      <c r="AW81" s="189"/>
      <c r="AX81" s="189"/>
      <c r="AY81" s="189"/>
      <c r="AZ81" s="189"/>
      <c r="BA81" s="189"/>
      <c r="BB81" s="189"/>
      <c r="BC81" s="1"/>
      <c r="BD81" s="201"/>
      <c r="BE81" s="189"/>
      <c r="BF81" s="189"/>
      <c r="BG81" s="189"/>
      <c r="BH81" s="189"/>
      <c r="BI81" s="189"/>
      <c r="BJ81" s="189"/>
      <c r="BK81" s="193"/>
      <c r="BL81" s="189"/>
    </row>
    <row r="82" spans="1:64" ht="15.75" customHeight="1">
      <c r="B82" s="201"/>
      <c r="I82" s="202"/>
      <c r="L82" s="529"/>
      <c r="M82" s="529"/>
      <c r="N82" s="529"/>
      <c r="O82" s="529"/>
      <c r="P82" s="529"/>
      <c r="Q82" s="529"/>
      <c r="R82" s="529"/>
      <c r="S82" s="534"/>
      <c r="T82" s="529"/>
      <c r="U82" s="529"/>
      <c r="V82" s="529"/>
      <c r="W82" s="529"/>
      <c r="X82" s="529"/>
      <c r="Y82" s="529"/>
      <c r="Z82" s="529"/>
      <c r="AA82" s="529"/>
      <c r="AB82" s="529"/>
      <c r="AC82" s="529"/>
      <c r="AD82" s="529"/>
      <c r="AE82" s="529"/>
      <c r="AF82" s="529"/>
      <c r="AG82" s="529"/>
      <c r="AH82" s="529"/>
      <c r="AI82" s="529"/>
      <c r="AJ82" s="529"/>
      <c r="AK82" s="529"/>
      <c r="AL82" s="529"/>
      <c r="AM82" s="529"/>
      <c r="BD82" s="201"/>
      <c r="BK82" s="193"/>
      <c r="BL82" s="189"/>
    </row>
    <row r="83" spans="1:64" ht="15.75" customHeight="1">
      <c r="B83" s="201"/>
      <c r="I83" s="202"/>
      <c r="L83" s="529"/>
      <c r="M83" s="529" t="s">
        <v>836</v>
      </c>
      <c r="N83" s="529" t="s">
        <v>879</v>
      </c>
      <c r="O83" s="529"/>
      <c r="P83" s="529"/>
      <c r="Q83" s="529"/>
      <c r="R83" s="529"/>
      <c r="S83" s="534"/>
      <c r="T83" s="529"/>
      <c r="U83" s="529"/>
      <c r="V83" s="529"/>
      <c r="W83" s="529"/>
      <c r="X83" s="529"/>
      <c r="Y83" s="529"/>
      <c r="Z83" s="529"/>
      <c r="AA83" s="529"/>
      <c r="AB83" s="529"/>
      <c r="AC83" s="529"/>
      <c r="AD83" s="529"/>
      <c r="AE83" s="529"/>
      <c r="AF83" s="529"/>
      <c r="AG83" s="529"/>
      <c r="AH83" s="529"/>
      <c r="AI83" s="529"/>
      <c r="AJ83" s="529"/>
      <c r="AK83" s="529"/>
      <c r="AL83" s="529"/>
      <c r="AM83" s="529"/>
      <c r="BD83" s="201"/>
      <c r="BK83" s="193"/>
      <c r="BL83" s="189"/>
    </row>
    <row r="84" spans="1:64" ht="15.75" customHeight="1">
      <c r="B84" s="201"/>
      <c r="I84" s="202"/>
      <c r="L84" s="529"/>
      <c r="M84" s="529"/>
      <c r="N84" s="529" t="s">
        <v>837</v>
      </c>
      <c r="O84" s="529"/>
      <c r="P84" s="529"/>
      <c r="Q84" s="529"/>
      <c r="R84" s="529"/>
      <c r="S84" s="534"/>
      <c r="T84" s="529"/>
      <c r="U84" s="529"/>
      <c r="V84" s="529"/>
      <c r="W84" s="529"/>
      <c r="X84" s="529"/>
      <c r="Y84" s="529"/>
      <c r="Z84" s="529"/>
      <c r="AA84" s="529"/>
      <c r="AB84" s="529"/>
      <c r="AC84" s="529"/>
      <c r="AD84" s="529"/>
      <c r="AE84" s="529"/>
      <c r="AF84" s="529"/>
      <c r="AG84" s="529"/>
      <c r="AH84" s="529"/>
      <c r="AI84" s="529"/>
      <c r="AJ84" s="529"/>
      <c r="AK84" s="529"/>
      <c r="AL84" s="529"/>
      <c r="AM84" s="529"/>
      <c r="BD84" s="201"/>
      <c r="BK84" s="193"/>
      <c r="BL84" s="189"/>
    </row>
    <row r="85" spans="1:64" ht="15.75" customHeight="1">
      <c r="B85" s="201"/>
      <c r="I85" s="202"/>
      <c r="BD85" s="201"/>
    </row>
    <row r="86" spans="1:64" ht="15.75" customHeight="1">
      <c r="B86" s="201"/>
      <c r="I86" s="202"/>
      <c r="J86" s="535" t="s">
        <v>884</v>
      </c>
      <c r="K86" s="535"/>
      <c r="L86" s="535" t="s">
        <v>880</v>
      </c>
      <c r="M86" s="535"/>
      <c r="N86" s="535"/>
      <c r="O86" s="535"/>
      <c r="P86" s="535"/>
      <c r="Q86" s="535"/>
      <c r="R86" s="535"/>
      <c r="S86" s="536"/>
      <c r="T86" s="535"/>
      <c r="U86" s="535"/>
      <c r="V86" s="535"/>
      <c r="W86" s="189"/>
      <c r="X86" s="535"/>
      <c r="Y86" s="535"/>
      <c r="Z86" s="535"/>
      <c r="AA86" s="535"/>
      <c r="AB86" s="535"/>
      <c r="AC86" s="535"/>
      <c r="AD86" s="535"/>
      <c r="AE86" s="535"/>
      <c r="AF86" s="535"/>
      <c r="AG86" s="535"/>
      <c r="AH86" s="535"/>
      <c r="AI86" s="535"/>
      <c r="AJ86" s="535"/>
      <c r="AK86" s="535"/>
      <c r="AL86" s="535"/>
      <c r="AM86" s="535"/>
      <c r="AN86" s="189"/>
      <c r="AO86" s="189"/>
      <c r="AP86" s="189"/>
      <c r="AQ86" s="189"/>
      <c r="AR86" s="189"/>
      <c r="AS86" s="189"/>
      <c r="BD86" s="201"/>
    </row>
    <row r="87" spans="1:64" ht="15.75" customHeight="1">
      <c r="B87" s="201"/>
      <c r="I87" s="202"/>
      <c r="J87" s="535"/>
      <c r="K87" s="535"/>
      <c r="L87" s="535" t="s">
        <v>881</v>
      </c>
      <c r="M87" s="535"/>
      <c r="N87" s="535"/>
      <c r="O87" s="535"/>
      <c r="P87" s="535"/>
      <c r="Q87" s="535"/>
      <c r="R87" s="535"/>
      <c r="S87" s="535"/>
      <c r="V87" s="189"/>
      <c r="W87" s="535"/>
      <c r="X87" s="535"/>
      <c r="Y87" s="535"/>
      <c r="Z87" s="535"/>
      <c r="AA87" s="535"/>
      <c r="AB87" s="535"/>
      <c r="AC87" s="535"/>
      <c r="AD87" s="535"/>
      <c r="AE87" s="535"/>
      <c r="AF87" s="535"/>
      <c r="AG87" s="535"/>
      <c r="AH87" s="535"/>
      <c r="AI87" s="535"/>
      <c r="AJ87" s="535"/>
      <c r="AK87" s="535"/>
      <c r="AL87" s="535"/>
      <c r="AM87" s="536"/>
      <c r="AN87" s="189"/>
      <c r="AO87" s="189"/>
      <c r="AP87" s="189"/>
      <c r="AQ87" s="189"/>
      <c r="AR87" s="189"/>
      <c r="AS87" s="189"/>
      <c r="BD87" s="201"/>
    </row>
    <row r="88" spans="1:64" ht="15.75" customHeight="1">
      <c r="B88" s="201"/>
      <c r="I88" s="202"/>
      <c r="J88" s="535"/>
      <c r="K88" s="535"/>
      <c r="L88" s="535" t="s">
        <v>882</v>
      </c>
      <c r="M88" s="535"/>
      <c r="N88" s="535"/>
      <c r="O88" s="535"/>
      <c r="P88" s="535"/>
      <c r="Q88" s="535"/>
      <c r="R88" s="535"/>
      <c r="S88" s="535"/>
      <c r="U88" s="537"/>
      <c r="V88" s="189"/>
      <c r="W88" s="535"/>
      <c r="X88" s="535"/>
      <c r="Y88" s="535"/>
      <c r="Z88" s="535"/>
      <c r="AA88" s="535"/>
      <c r="AB88" s="535"/>
      <c r="AC88" s="535"/>
      <c r="AD88" s="535"/>
      <c r="AE88" s="535"/>
      <c r="AF88" s="535"/>
      <c r="AG88" s="535"/>
      <c r="AH88" s="535"/>
      <c r="AI88" s="535"/>
      <c r="AJ88" s="535"/>
      <c r="AK88" s="535"/>
      <c r="AL88" s="535"/>
      <c r="AM88" s="536"/>
      <c r="AN88" s="189"/>
      <c r="AO88" s="189"/>
      <c r="AP88" s="189"/>
      <c r="AQ88" s="189"/>
      <c r="AR88" s="189"/>
      <c r="AS88" s="189"/>
      <c r="BD88" s="201"/>
    </row>
    <row r="89" spans="1:64" ht="15.75" customHeight="1">
      <c r="B89" s="201"/>
      <c r="I89" s="202"/>
      <c r="L89" s="529"/>
      <c r="M89" s="529"/>
      <c r="N89" s="529"/>
      <c r="O89" s="529"/>
      <c r="P89" s="529"/>
      <c r="Q89" s="529"/>
      <c r="R89" s="529"/>
      <c r="S89" s="534"/>
      <c r="T89" s="529"/>
      <c r="U89" s="529"/>
      <c r="V89" s="529"/>
      <c r="W89" s="529"/>
      <c r="X89" s="529"/>
      <c r="Y89" s="529"/>
      <c r="Z89" s="529"/>
      <c r="AA89" s="529"/>
      <c r="AB89" s="529"/>
      <c r="AC89" s="529"/>
      <c r="AD89" s="529"/>
      <c r="AE89" s="529"/>
      <c r="AF89" s="529"/>
      <c r="AG89" s="529"/>
      <c r="AH89" s="529"/>
      <c r="AI89" s="529"/>
      <c r="AJ89" s="529"/>
      <c r="AK89" s="529"/>
      <c r="AL89" s="529"/>
      <c r="AM89" s="529"/>
      <c r="BD89" s="201"/>
    </row>
    <row r="90" spans="1:64" ht="15.75" customHeight="1">
      <c r="B90" s="201"/>
      <c r="I90" s="202"/>
      <c r="L90" s="529"/>
      <c r="M90" s="529" t="s">
        <v>836</v>
      </c>
      <c r="N90" s="529" t="s">
        <v>883</v>
      </c>
      <c r="O90" s="529"/>
      <c r="P90" s="529"/>
      <c r="Q90" s="529"/>
      <c r="R90" s="529"/>
      <c r="S90" s="534"/>
      <c r="T90" s="529"/>
      <c r="U90" s="529"/>
      <c r="V90" s="529"/>
      <c r="W90" s="529"/>
      <c r="X90" s="529"/>
      <c r="Y90" s="529"/>
      <c r="Z90" s="529"/>
      <c r="AA90" s="529"/>
      <c r="AB90" s="529"/>
      <c r="AC90" s="529"/>
      <c r="AD90" s="529"/>
      <c r="AE90" s="529"/>
      <c r="AF90" s="529"/>
      <c r="AG90" s="529"/>
      <c r="AH90" s="529"/>
      <c r="AI90" s="529"/>
      <c r="AJ90" s="529"/>
      <c r="AK90" s="529"/>
      <c r="AL90" s="529"/>
      <c r="AM90" s="529"/>
      <c r="BD90" s="201"/>
    </row>
    <row r="91" spans="1:64" ht="15.75" customHeight="1">
      <c r="B91" s="201"/>
      <c r="I91" s="202"/>
      <c r="L91" s="529"/>
      <c r="M91" s="529"/>
      <c r="N91" s="529" t="s">
        <v>837</v>
      </c>
      <c r="O91" s="529"/>
      <c r="P91" s="529"/>
      <c r="Q91" s="529"/>
      <c r="R91" s="529"/>
      <c r="S91" s="534"/>
      <c r="T91" s="529"/>
      <c r="U91" s="529"/>
      <c r="V91" s="529"/>
      <c r="W91" s="529"/>
      <c r="X91" s="529"/>
      <c r="Y91" s="529"/>
      <c r="Z91" s="529"/>
      <c r="AA91" s="529"/>
      <c r="AB91" s="529"/>
      <c r="AC91" s="529"/>
      <c r="AD91" s="529"/>
      <c r="AE91" s="529"/>
      <c r="AF91" s="529"/>
      <c r="AG91" s="529"/>
      <c r="AH91" s="529"/>
      <c r="AI91" s="529"/>
      <c r="AJ91" s="529"/>
      <c r="AK91" s="529"/>
      <c r="AL91" s="529"/>
      <c r="AM91" s="529"/>
      <c r="BD91" s="201"/>
    </row>
    <row r="92" spans="1:64" ht="15.75" customHeight="1">
      <c r="B92" s="201"/>
      <c r="I92" s="202"/>
      <c r="BD92" s="201"/>
    </row>
    <row r="93" spans="1:64" ht="15.75" customHeight="1">
      <c r="B93" s="201"/>
      <c r="I93" s="202"/>
      <c r="J93" s="535" t="s">
        <v>889</v>
      </c>
      <c r="K93" s="535"/>
      <c r="L93" s="535" t="s">
        <v>885</v>
      </c>
      <c r="M93" s="535"/>
      <c r="N93" s="535"/>
      <c r="O93" s="535"/>
      <c r="P93" s="535"/>
      <c r="Q93" s="535"/>
      <c r="R93" s="535"/>
      <c r="S93" s="536"/>
      <c r="T93" s="535"/>
      <c r="U93" s="535"/>
      <c r="V93" s="535"/>
      <c r="W93" s="189"/>
      <c r="X93" s="535"/>
      <c r="Y93" s="535"/>
      <c r="Z93" s="535"/>
      <c r="AA93" s="535"/>
      <c r="AB93" s="535"/>
      <c r="AC93" s="535"/>
      <c r="AD93" s="535"/>
      <c r="AE93" s="535"/>
      <c r="AF93" s="535"/>
      <c r="AG93" s="535"/>
      <c r="AH93" s="535"/>
      <c r="AI93" s="535"/>
      <c r="AJ93" s="535"/>
      <c r="AK93" s="535"/>
      <c r="AL93" s="535"/>
      <c r="AM93" s="535"/>
      <c r="AN93" s="189"/>
      <c r="AO93" s="189"/>
      <c r="AP93" s="189"/>
      <c r="AQ93" s="189"/>
      <c r="AR93" s="189"/>
      <c r="AS93" s="189"/>
      <c r="BD93" s="201"/>
    </row>
    <row r="94" spans="1:64" ht="15.75" customHeight="1">
      <c r="B94" s="201"/>
      <c r="I94" s="202"/>
      <c r="J94" s="535"/>
      <c r="K94" s="535"/>
      <c r="L94" s="535" t="s">
        <v>886</v>
      </c>
      <c r="M94" s="535"/>
      <c r="N94" s="535"/>
      <c r="O94" s="535"/>
      <c r="P94" s="535"/>
      <c r="Q94" s="535"/>
      <c r="R94" s="535"/>
      <c r="S94" s="535"/>
      <c r="V94" s="189"/>
      <c r="W94" s="535"/>
      <c r="X94" s="535"/>
      <c r="Y94" s="535"/>
      <c r="Z94" s="535"/>
      <c r="AA94" s="535"/>
      <c r="AB94" s="535"/>
      <c r="AC94" s="535"/>
      <c r="AD94" s="535"/>
      <c r="AE94" s="535"/>
      <c r="AF94" s="535"/>
      <c r="AG94" s="535"/>
      <c r="AH94" s="535"/>
      <c r="AI94" s="535"/>
      <c r="AJ94" s="535"/>
      <c r="AK94" s="535"/>
      <c r="AL94" s="535"/>
      <c r="AM94" s="536"/>
      <c r="AN94" s="189"/>
      <c r="AO94" s="189"/>
      <c r="AP94" s="189"/>
      <c r="AQ94" s="189"/>
      <c r="AR94" s="189"/>
      <c r="AS94" s="189"/>
      <c r="BD94" s="201"/>
    </row>
    <row r="95" spans="1:64" ht="15.75" customHeight="1">
      <c r="B95" s="201"/>
      <c r="I95" s="202"/>
      <c r="J95" s="535"/>
      <c r="K95" s="535"/>
      <c r="L95" s="535" t="s">
        <v>887</v>
      </c>
      <c r="M95" s="535"/>
      <c r="N95" s="535"/>
      <c r="O95" s="535"/>
      <c r="P95" s="535"/>
      <c r="Q95" s="535"/>
      <c r="R95" s="535"/>
      <c r="S95" s="535"/>
      <c r="U95" s="537"/>
      <c r="V95" s="189"/>
      <c r="W95" s="535"/>
      <c r="X95" s="535"/>
      <c r="Y95" s="535"/>
      <c r="Z95" s="535"/>
      <c r="AA95" s="535"/>
      <c r="AB95" s="535"/>
      <c r="AC95" s="535"/>
      <c r="AD95" s="535"/>
      <c r="AE95" s="535"/>
      <c r="AF95" s="535"/>
      <c r="AG95" s="535"/>
      <c r="AH95" s="535"/>
      <c r="AI95" s="535"/>
      <c r="AJ95" s="535"/>
      <c r="AK95" s="535"/>
      <c r="AL95" s="535"/>
      <c r="AM95" s="536"/>
      <c r="AN95" s="189"/>
      <c r="AO95" s="189"/>
      <c r="AP95" s="189"/>
      <c r="AQ95" s="189"/>
      <c r="AR95" s="189"/>
      <c r="AS95" s="189"/>
      <c r="BD95" s="201"/>
    </row>
    <row r="96" spans="1:64" ht="15.75" customHeight="1">
      <c r="B96" s="201"/>
      <c r="I96" s="202"/>
      <c r="L96" s="529"/>
      <c r="M96" s="529"/>
      <c r="N96" s="529"/>
      <c r="O96" s="529"/>
      <c r="P96" s="529"/>
      <c r="Q96" s="529"/>
      <c r="R96" s="529"/>
      <c r="S96" s="534"/>
      <c r="T96" s="529"/>
      <c r="U96" s="529"/>
      <c r="V96" s="529"/>
      <c r="W96" s="529"/>
      <c r="X96" s="529"/>
      <c r="Y96" s="529"/>
      <c r="Z96" s="529"/>
      <c r="AA96" s="529"/>
      <c r="AB96" s="529"/>
      <c r="AC96" s="529"/>
      <c r="AD96" s="529"/>
      <c r="AE96" s="529"/>
      <c r="AF96" s="529"/>
      <c r="AG96" s="529"/>
      <c r="AH96" s="529"/>
      <c r="AI96" s="529"/>
      <c r="AJ96" s="529"/>
      <c r="AK96" s="529"/>
      <c r="AL96" s="529"/>
      <c r="AM96" s="529"/>
      <c r="BD96" s="201"/>
    </row>
    <row r="97" spans="2:56" ht="15.75" customHeight="1">
      <c r="B97" s="201"/>
      <c r="I97" s="202"/>
      <c r="L97" s="529"/>
      <c r="M97" s="529" t="s">
        <v>836</v>
      </c>
      <c r="N97" s="529" t="s">
        <v>888</v>
      </c>
      <c r="O97" s="529"/>
      <c r="P97" s="529"/>
      <c r="Q97" s="529"/>
      <c r="R97" s="529"/>
      <c r="S97" s="534"/>
      <c r="T97" s="529"/>
      <c r="U97" s="529"/>
      <c r="V97" s="529"/>
      <c r="W97" s="529"/>
      <c r="X97" s="529"/>
      <c r="Y97" s="529"/>
      <c r="Z97" s="529"/>
      <c r="AA97" s="529"/>
      <c r="AB97" s="529"/>
      <c r="AC97" s="529"/>
      <c r="AD97" s="529"/>
      <c r="AE97" s="529"/>
      <c r="AF97" s="529"/>
      <c r="AG97" s="529"/>
      <c r="AH97" s="529"/>
      <c r="AI97" s="529"/>
      <c r="AJ97" s="529"/>
      <c r="AK97" s="529"/>
      <c r="AL97" s="529"/>
      <c r="AM97" s="529"/>
      <c r="BD97" s="201"/>
    </row>
    <row r="98" spans="2:56" ht="15.75" customHeight="1">
      <c r="B98" s="201"/>
      <c r="I98" s="202"/>
      <c r="L98" s="529"/>
      <c r="M98" s="529"/>
      <c r="N98" s="529" t="s">
        <v>837</v>
      </c>
      <c r="O98" s="529"/>
      <c r="P98" s="529"/>
      <c r="Q98" s="529"/>
      <c r="R98" s="529"/>
      <c r="S98" s="534"/>
      <c r="T98" s="529"/>
      <c r="U98" s="529"/>
      <c r="V98" s="529"/>
      <c r="W98" s="529"/>
      <c r="X98" s="529"/>
      <c r="Y98" s="529"/>
      <c r="Z98" s="529"/>
      <c r="AA98" s="529"/>
      <c r="AB98" s="529"/>
      <c r="AC98" s="529"/>
      <c r="AD98" s="529"/>
      <c r="AE98" s="529"/>
      <c r="AF98" s="529"/>
      <c r="AG98" s="529"/>
      <c r="AH98" s="529"/>
      <c r="AI98" s="529"/>
      <c r="AJ98" s="529"/>
      <c r="AK98" s="529"/>
      <c r="AL98" s="529"/>
      <c r="AM98" s="529"/>
      <c r="BD98" s="201"/>
    </row>
    <row r="99" spans="2:56" ht="15.75" customHeight="1">
      <c r="B99" s="201"/>
      <c r="I99" s="202"/>
      <c r="BD99" s="201"/>
    </row>
    <row r="100" spans="2:56" ht="15.75" customHeight="1">
      <c r="B100" s="201"/>
      <c r="I100" s="202"/>
      <c r="J100" s="535" t="s">
        <v>894</v>
      </c>
      <c r="K100" s="535"/>
      <c r="L100" s="535" t="s">
        <v>890</v>
      </c>
      <c r="M100" s="535"/>
      <c r="N100" s="535"/>
      <c r="O100" s="535"/>
      <c r="P100" s="535"/>
      <c r="Q100" s="535"/>
      <c r="R100" s="535"/>
      <c r="S100" s="536"/>
      <c r="T100" s="535"/>
      <c r="U100" s="535"/>
      <c r="V100" s="535"/>
      <c r="W100" s="189"/>
      <c r="X100" s="535"/>
      <c r="Y100" s="535"/>
      <c r="Z100" s="535"/>
      <c r="AA100" s="535"/>
      <c r="AB100" s="535"/>
      <c r="AC100" s="535"/>
      <c r="AD100" s="535"/>
      <c r="AE100" s="535"/>
      <c r="AF100" s="535"/>
      <c r="AG100" s="535"/>
      <c r="AH100" s="535"/>
      <c r="AI100" s="535"/>
      <c r="AJ100" s="535"/>
      <c r="AK100" s="535"/>
      <c r="AL100" s="535"/>
      <c r="AM100" s="535"/>
      <c r="AN100" s="189"/>
      <c r="AO100" s="189"/>
      <c r="AP100" s="189"/>
      <c r="AQ100" s="189"/>
      <c r="AR100" s="189"/>
      <c r="AS100" s="189"/>
      <c r="BD100" s="201"/>
    </row>
    <row r="101" spans="2:56" ht="15.75" customHeight="1">
      <c r="B101" s="201"/>
      <c r="I101" s="202"/>
      <c r="J101" s="535"/>
      <c r="K101" s="535"/>
      <c r="L101" s="535" t="s">
        <v>891</v>
      </c>
      <c r="M101" s="535"/>
      <c r="N101" s="535"/>
      <c r="O101" s="535"/>
      <c r="P101" s="535"/>
      <c r="Q101" s="535"/>
      <c r="R101" s="535"/>
      <c r="S101" s="535"/>
      <c r="V101" s="189"/>
      <c r="W101" s="535"/>
      <c r="X101" s="535"/>
      <c r="Y101" s="535"/>
      <c r="Z101" s="535"/>
      <c r="AA101" s="535"/>
      <c r="AB101" s="535"/>
      <c r="AC101" s="535"/>
      <c r="AD101" s="535"/>
      <c r="AE101" s="535"/>
      <c r="AF101" s="535"/>
      <c r="AG101" s="535"/>
      <c r="AH101" s="535"/>
      <c r="AI101" s="535"/>
      <c r="AJ101" s="535"/>
      <c r="AK101" s="535"/>
      <c r="AL101" s="535"/>
      <c r="AM101" s="536"/>
      <c r="AN101" s="189"/>
      <c r="AO101" s="189"/>
      <c r="AP101" s="189"/>
      <c r="AQ101" s="189"/>
      <c r="AR101" s="189"/>
      <c r="AS101" s="189"/>
      <c r="BD101" s="201"/>
    </row>
    <row r="102" spans="2:56" ht="15.75" customHeight="1">
      <c r="B102" s="201"/>
      <c r="I102" s="202"/>
      <c r="J102" s="535"/>
      <c r="K102" s="535"/>
      <c r="L102" s="535" t="s">
        <v>892</v>
      </c>
      <c r="M102" s="535"/>
      <c r="N102" s="535"/>
      <c r="O102" s="535"/>
      <c r="P102" s="535"/>
      <c r="Q102" s="535"/>
      <c r="R102" s="535"/>
      <c r="S102" s="535"/>
      <c r="U102" s="537"/>
      <c r="V102" s="189"/>
      <c r="W102" s="535"/>
      <c r="X102" s="535"/>
      <c r="Y102" s="535"/>
      <c r="Z102" s="535"/>
      <c r="AA102" s="535"/>
      <c r="AB102" s="535"/>
      <c r="AC102" s="535"/>
      <c r="AD102" s="535"/>
      <c r="AE102" s="535"/>
      <c r="AF102" s="535"/>
      <c r="AG102" s="535"/>
      <c r="AH102" s="535"/>
      <c r="AI102" s="535"/>
      <c r="AJ102" s="535"/>
      <c r="AK102" s="535"/>
      <c r="AL102" s="535"/>
      <c r="AM102" s="536"/>
      <c r="AN102" s="189"/>
      <c r="AO102" s="189"/>
      <c r="AP102" s="189"/>
      <c r="AQ102" s="189"/>
      <c r="AR102" s="189"/>
      <c r="AS102" s="189"/>
      <c r="BD102" s="201"/>
    </row>
    <row r="103" spans="2:56" ht="15.75" customHeight="1">
      <c r="B103" s="201"/>
      <c r="I103" s="202"/>
      <c r="L103" s="529"/>
      <c r="M103" s="529"/>
      <c r="N103" s="529"/>
      <c r="O103" s="529"/>
      <c r="P103" s="529"/>
      <c r="Q103" s="529"/>
      <c r="R103" s="529"/>
      <c r="S103" s="534"/>
      <c r="T103" s="529"/>
      <c r="U103" s="529"/>
      <c r="V103" s="529"/>
      <c r="W103" s="529"/>
      <c r="X103" s="529"/>
      <c r="Y103" s="529"/>
      <c r="Z103" s="529"/>
      <c r="AA103" s="529"/>
      <c r="AB103" s="529"/>
      <c r="AC103" s="529"/>
      <c r="AD103" s="529"/>
      <c r="AE103" s="529"/>
      <c r="AF103" s="529"/>
      <c r="AG103" s="529"/>
      <c r="AH103" s="529"/>
      <c r="AI103" s="529"/>
      <c r="AJ103" s="529"/>
      <c r="AK103" s="529"/>
      <c r="AL103" s="529"/>
      <c r="AM103" s="529"/>
      <c r="BD103" s="201"/>
    </row>
    <row r="104" spans="2:56" ht="15.75" customHeight="1">
      <c r="B104" s="201"/>
      <c r="I104" s="202"/>
      <c r="L104" s="529"/>
      <c r="M104" s="529" t="s">
        <v>836</v>
      </c>
      <c r="N104" s="529" t="s">
        <v>893</v>
      </c>
      <c r="O104" s="529"/>
      <c r="P104" s="529"/>
      <c r="Q104" s="529"/>
      <c r="R104" s="529"/>
      <c r="S104" s="534"/>
      <c r="T104" s="529"/>
      <c r="U104" s="529"/>
      <c r="V104" s="529"/>
      <c r="W104" s="529"/>
      <c r="X104" s="529"/>
      <c r="Y104" s="529"/>
      <c r="Z104" s="529"/>
      <c r="AA104" s="529"/>
      <c r="AB104" s="529"/>
      <c r="AC104" s="529"/>
      <c r="AD104" s="529"/>
      <c r="AE104" s="529"/>
      <c r="AF104" s="529"/>
      <c r="AG104" s="529"/>
      <c r="AH104" s="529"/>
      <c r="AI104" s="529"/>
      <c r="AJ104" s="529"/>
      <c r="AK104" s="529"/>
      <c r="AL104" s="529"/>
      <c r="AM104" s="529"/>
      <c r="BD104" s="201"/>
    </row>
    <row r="105" spans="2:56" ht="15.75" customHeight="1">
      <c r="B105" s="201"/>
      <c r="I105" s="202"/>
      <c r="L105" s="529"/>
      <c r="M105" s="529"/>
      <c r="N105" s="529" t="s">
        <v>837</v>
      </c>
      <c r="O105" s="529"/>
      <c r="P105" s="529"/>
      <c r="Q105" s="529"/>
      <c r="R105" s="529"/>
      <c r="S105" s="534"/>
      <c r="T105" s="529"/>
      <c r="U105" s="529"/>
      <c r="V105" s="529"/>
      <c r="W105" s="529"/>
      <c r="X105" s="529"/>
      <c r="Y105" s="529"/>
      <c r="Z105" s="529"/>
      <c r="AA105" s="529"/>
      <c r="AB105" s="529"/>
      <c r="AC105" s="529"/>
      <c r="AD105" s="529"/>
      <c r="AE105" s="529"/>
      <c r="AF105" s="529"/>
      <c r="AG105" s="529"/>
      <c r="AH105" s="529"/>
      <c r="AI105" s="529"/>
      <c r="AJ105" s="529"/>
      <c r="AK105" s="529"/>
      <c r="AL105" s="529"/>
      <c r="AM105" s="529"/>
      <c r="BD105" s="201"/>
    </row>
    <row r="106" spans="2:56" ht="15.75" customHeight="1">
      <c r="B106" s="201"/>
      <c r="I106" s="202"/>
      <c r="BD106" s="201"/>
    </row>
    <row r="107" spans="2:56" ht="15.75" customHeight="1">
      <c r="B107" s="201"/>
      <c r="I107" s="202"/>
      <c r="J107" s="535" t="s">
        <v>899</v>
      </c>
      <c r="K107" s="535"/>
      <c r="L107" s="535" t="s">
        <v>895</v>
      </c>
      <c r="M107" s="535"/>
      <c r="N107" s="535"/>
      <c r="O107" s="535"/>
      <c r="P107" s="535"/>
      <c r="Q107" s="535"/>
      <c r="R107" s="535"/>
      <c r="S107" s="536"/>
      <c r="T107" s="535"/>
      <c r="U107" s="535"/>
      <c r="V107" s="535"/>
      <c r="W107" s="189"/>
      <c r="X107" s="535"/>
      <c r="Y107" s="535"/>
      <c r="Z107" s="535"/>
      <c r="AA107" s="535"/>
      <c r="AB107" s="535"/>
      <c r="AC107" s="535"/>
      <c r="AD107" s="535"/>
      <c r="AE107" s="535"/>
      <c r="AF107" s="535"/>
      <c r="AG107" s="535"/>
      <c r="AH107" s="535"/>
      <c r="AI107" s="535"/>
      <c r="AJ107" s="535"/>
      <c r="AK107" s="535"/>
      <c r="AL107" s="535"/>
      <c r="AM107" s="535"/>
      <c r="AN107" s="189"/>
      <c r="AO107" s="189"/>
      <c r="AP107" s="189"/>
      <c r="AQ107" s="189"/>
      <c r="AR107" s="189"/>
      <c r="AS107" s="189"/>
      <c r="BD107" s="201"/>
    </row>
    <row r="108" spans="2:56" ht="15.75" customHeight="1">
      <c r="B108" s="201"/>
      <c r="I108" s="202"/>
      <c r="J108" s="535"/>
      <c r="K108" s="535"/>
      <c r="L108" s="535" t="s">
        <v>896</v>
      </c>
      <c r="M108" s="535"/>
      <c r="N108" s="535"/>
      <c r="O108" s="535"/>
      <c r="P108" s="535"/>
      <c r="Q108" s="535"/>
      <c r="R108" s="535"/>
      <c r="S108" s="535"/>
      <c r="V108" s="189"/>
      <c r="W108" s="535"/>
      <c r="X108" s="535"/>
      <c r="Y108" s="535"/>
      <c r="Z108" s="535"/>
      <c r="AA108" s="535"/>
      <c r="AB108" s="535"/>
      <c r="AC108" s="535"/>
      <c r="AD108" s="535"/>
      <c r="AE108" s="535"/>
      <c r="AF108" s="535"/>
      <c r="AG108" s="535"/>
      <c r="AH108" s="535"/>
      <c r="AI108" s="535"/>
      <c r="AJ108" s="535"/>
      <c r="AK108" s="535"/>
      <c r="AL108" s="535"/>
      <c r="AM108" s="536"/>
      <c r="AN108" s="189"/>
      <c r="AO108" s="189"/>
      <c r="AP108" s="189"/>
      <c r="AQ108" s="189"/>
      <c r="AR108" s="189"/>
      <c r="AS108" s="189"/>
      <c r="BD108" s="201"/>
    </row>
    <row r="109" spans="2:56" ht="15.75" customHeight="1">
      <c r="B109" s="201"/>
      <c r="I109" s="202"/>
      <c r="J109" s="535"/>
      <c r="K109" s="535"/>
      <c r="L109" s="535" t="s">
        <v>897</v>
      </c>
      <c r="M109" s="535"/>
      <c r="N109" s="535"/>
      <c r="O109" s="535"/>
      <c r="P109" s="535"/>
      <c r="Q109" s="535"/>
      <c r="R109" s="535"/>
      <c r="S109" s="535"/>
      <c r="U109" s="537"/>
      <c r="V109" s="189"/>
      <c r="W109" s="535"/>
      <c r="X109" s="535"/>
      <c r="Y109" s="535"/>
      <c r="Z109" s="535"/>
      <c r="AA109" s="535"/>
      <c r="AB109" s="535"/>
      <c r="AC109" s="535"/>
      <c r="AD109" s="535"/>
      <c r="AE109" s="535"/>
      <c r="AF109" s="535"/>
      <c r="AG109" s="535"/>
      <c r="AH109" s="535"/>
      <c r="AI109" s="535"/>
      <c r="AJ109" s="535"/>
      <c r="AK109" s="535"/>
      <c r="AL109" s="535"/>
      <c r="AM109" s="536"/>
      <c r="AN109" s="189"/>
      <c r="AO109" s="189"/>
      <c r="AP109" s="189"/>
      <c r="AQ109" s="189"/>
      <c r="AR109" s="189"/>
      <c r="AS109" s="189"/>
      <c r="BD109" s="201"/>
    </row>
    <row r="110" spans="2:56" ht="15.75" customHeight="1">
      <c r="B110" s="201"/>
      <c r="I110" s="202"/>
      <c r="J110" s="535"/>
      <c r="L110" s="529"/>
      <c r="M110" s="529"/>
      <c r="N110" s="529"/>
      <c r="O110" s="529"/>
      <c r="P110" s="529"/>
      <c r="Q110" s="529"/>
      <c r="R110" s="529"/>
      <c r="S110" s="534"/>
      <c r="T110" s="529"/>
      <c r="U110" s="529"/>
      <c r="V110" s="529"/>
      <c r="W110" s="529"/>
      <c r="X110" s="529"/>
      <c r="Y110" s="529"/>
      <c r="Z110" s="529"/>
      <c r="AA110" s="529"/>
      <c r="AB110" s="529"/>
      <c r="AC110" s="529"/>
      <c r="AD110" s="529"/>
      <c r="AE110" s="529"/>
      <c r="AF110" s="529"/>
      <c r="AG110" s="529"/>
      <c r="AH110" s="529"/>
      <c r="AI110" s="529"/>
      <c r="AJ110" s="529"/>
      <c r="AK110" s="529"/>
      <c r="AL110" s="529"/>
      <c r="AM110" s="529"/>
      <c r="BD110" s="201"/>
    </row>
    <row r="111" spans="2:56" ht="15.75" customHeight="1">
      <c r="B111" s="201"/>
      <c r="I111" s="202"/>
      <c r="L111" s="529"/>
      <c r="M111" s="529" t="s">
        <v>836</v>
      </c>
      <c r="N111" s="529" t="s">
        <v>898</v>
      </c>
      <c r="O111" s="529"/>
      <c r="P111" s="529"/>
      <c r="Q111" s="529"/>
      <c r="R111" s="529"/>
      <c r="S111" s="534"/>
      <c r="T111" s="529"/>
      <c r="U111" s="529"/>
      <c r="V111" s="529"/>
      <c r="W111" s="529"/>
      <c r="X111" s="529"/>
      <c r="Y111" s="529"/>
      <c r="Z111" s="529"/>
      <c r="AA111" s="529"/>
      <c r="AB111" s="529"/>
      <c r="AC111" s="529"/>
      <c r="AD111" s="529"/>
      <c r="AE111" s="529"/>
      <c r="AF111" s="529"/>
      <c r="AG111" s="529"/>
      <c r="AH111" s="529"/>
      <c r="AI111" s="529"/>
      <c r="AJ111" s="529"/>
      <c r="AK111" s="529"/>
      <c r="AL111" s="529"/>
      <c r="AM111" s="529"/>
      <c r="BD111" s="201"/>
    </row>
    <row r="112" spans="2:56" ht="15.75" customHeight="1">
      <c r="B112" s="201"/>
      <c r="I112" s="202"/>
      <c r="L112" s="529"/>
      <c r="M112" s="529"/>
      <c r="N112" s="529" t="s">
        <v>837</v>
      </c>
      <c r="O112" s="529"/>
      <c r="P112" s="529"/>
      <c r="Q112" s="529"/>
      <c r="R112" s="529"/>
      <c r="S112" s="534"/>
      <c r="T112" s="529"/>
      <c r="U112" s="529"/>
      <c r="V112" s="529"/>
      <c r="W112" s="529"/>
      <c r="X112" s="529"/>
      <c r="Y112" s="529"/>
      <c r="Z112" s="529"/>
      <c r="AA112" s="529"/>
      <c r="AB112" s="529"/>
      <c r="AC112" s="529"/>
      <c r="AD112" s="529"/>
      <c r="AE112" s="529"/>
      <c r="AF112" s="529"/>
      <c r="AG112" s="529"/>
      <c r="AH112" s="529"/>
      <c r="AI112" s="529"/>
      <c r="AJ112" s="529"/>
      <c r="AK112" s="529"/>
      <c r="AL112" s="529"/>
      <c r="AM112" s="529"/>
      <c r="BD112" s="201"/>
    </row>
    <row r="113" spans="2:56" ht="15.75" customHeight="1">
      <c r="B113" s="201"/>
      <c r="I113" s="202"/>
      <c r="J113" s="535"/>
      <c r="BD113" s="201"/>
    </row>
    <row r="114" spans="2:56" ht="15.75" customHeight="1">
      <c r="B114" s="201"/>
      <c r="I114" s="202"/>
      <c r="J114" s="535" t="s">
        <v>904</v>
      </c>
      <c r="K114" s="535"/>
      <c r="L114" s="535" t="s">
        <v>900</v>
      </c>
      <c r="M114" s="535"/>
      <c r="N114" s="535"/>
      <c r="O114" s="535"/>
      <c r="P114" s="535"/>
      <c r="Q114" s="535"/>
      <c r="R114" s="535"/>
      <c r="S114" s="536"/>
      <c r="T114" s="535"/>
      <c r="U114" s="535"/>
      <c r="V114" s="535"/>
      <c r="W114" s="189"/>
      <c r="X114" s="535"/>
      <c r="Y114" s="535"/>
      <c r="Z114" s="535"/>
      <c r="AA114" s="535"/>
      <c r="AB114" s="535"/>
      <c r="AC114" s="535"/>
      <c r="AD114" s="535"/>
      <c r="AE114" s="535"/>
      <c r="AF114" s="535"/>
      <c r="AG114" s="535"/>
      <c r="AH114" s="535"/>
      <c r="AI114" s="535"/>
      <c r="AJ114" s="535"/>
      <c r="AK114" s="535"/>
      <c r="AL114" s="535"/>
      <c r="AM114" s="535"/>
      <c r="AN114" s="189"/>
      <c r="AO114" s="189"/>
      <c r="AP114" s="189"/>
      <c r="AQ114" s="189"/>
      <c r="AR114" s="189"/>
      <c r="AS114" s="189"/>
      <c r="BD114" s="201"/>
    </row>
    <row r="115" spans="2:56" ht="15.75" customHeight="1">
      <c r="B115" s="201"/>
      <c r="I115" s="202"/>
      <c r="J115" s="535"/>
      <c r="K115" s="535"/>
      <c r="L115" s="535" t="s">
        <v>901</v>
      </c>
      <c r="M115" s="535"/>
      <c r="N115" s="535"/>
      <c r="O115" s="535"/>
      <c r="P115" s="535"/>
      <c r="Q115" s="535"/>
      <c r="R115" s="535"/>
      <c r="S115" s="535"/>
      <c r="V115" s="189"/>
      <c r="W115" s="535"/>
      <c r="X115" s="535"/>
      <c r="Y115" s="535"/>
      <c r="Z115" s="535"/>
      <c r="AA115" s="535"/>
      <c r="AB115" s="535"/>
      <c r="AC115" s="535"/>
      <c r="AD115" s="535"/>
      <c r="AE115" s="535"/>
      <c r="AF115" s="535"/>
      <c r="AG115" s="535"/>
      <c r="AH115" s="535"/>
      <c r="AI115" s="535"/>
      <c r="AJ115" s="535"/>
      <c r="AK115" s="535"/>
      <c r="AL115" s="535"/>
      <c r="AM115" s="536"/>
      <c r="AN115" s="189"/>
      <c r="AO115" s="189"/>
      <c r="AP115" s="189"/>
      <c r="AQ115" s="189"/>
      <c r="AR115" s="189"/>
      <c r="AS115" s="189"/>
      <c r="BD115" s="201"/>
    </row>
    <row r="116" spans="2:56" ht="15.75" customHeight="1">
      <c r="B116" s="201"/>
      <c r="I116" s="202"/>
      <c r="K116" s="535"/>
      <c r="L116" s="535" t="s">
        <v>902</v>
      </c>
      <c r="M116" s="535"/>
      <c r="N116" s="535"/>
      <c r="O116" s="535"/>
      <c r="P116" s="535"/>
      <c r="Q116" s="535"/>
      <c r="R116" s="535"/>
      <c r="S116" s="535"/>
      <c r="U116" s="537"/>
      <c r="V116" s="189"/>
      <c r="W116" s="535"/>
      <c r="X116" s="535"/>
      <c r="Y116" s="535"/>
      <c r="Z116" s="535"/>
      <c r="AA116" s="535"/>
      <c r="AB116" s="535"/>
      <c r="AC116" s="535"/>
      <c r="AD116" s="535"/>
      <c r="AE116" s="535"/>
      <c r="AF116" s="535"/>
      <c r="AG116" s="535"/>
      <c r="AH116" s="535"/>
      <c r="AI116" s="535"/>
      <c r="AJ116" s="535"/>
      <c r="AK116" s="535"/>
      <c r="AL116" s="535"/>
      <c r="AM116" s="536"/>
      <c r="AN116" s="189"/>
      <c r="AO116" s="189"/>
      <c r="AP116" s="189"/>
      <c r="AQ116" s="189"/>
      <c r="AR116" s="189"/>
      <c r="AS116" s="189"/>
      <c r="BD116" s="201"/>
    </row>
    <row r="117" spans="2:56" ht="15.75" customHeight="1">
      <c r="B117" s="201"/>
      <c r="I117" s="202"/>
      <c r="L117" s="529"/>
      <c r="M117" s="529"/>
      <c r="N117" s="529"/>
      <c r="O117" s="529"/>
      <c r="P117" s="529"/>
      <c r="Q117" s="529"/>
      <c r="R117" s="529"/>
      <c r="S117" s="534"/>
      <c r="T117" s="529"/>
      <c r="U117" s="529"/>
      <c r="V117" s="529"/>
      <c r="W117" s="529"/>
      <c r="X117" s="529"/>
      <c r="Y117" s="529"/>
      <c r="Z117" s="529"/>
      <c r="AA117" s="529"/>
      <c r="AB117" s="529"/>
      <c r="AC117" s="529"/>
      <c r="AD117" s="529"/>
      <c r="AE117" s="529"/>
      <c r="AF117" s="529"/>
      <c r="AG117" s="529"/>
      <c r="AH117" s="529"/>
      <c r="AI117" s="529"/>
      <c r="AJ117" s="529"/>
      <c r="AK117" s="529"/>
      <c r="AL117" s="529"/>
      <c r="AM117" s="529"/>
      <c r="BD117" s="201"/>
    </row>
    <row r="118" spans="2:56" ht="15.75" customHeight="1">
      <c r="B118" s="201"/>
      <c r="I118" s="202"/>
      <c r="L118" s="529"/>
      <c r="M118" s="529" t="s">
        <v>836</v>
      </c>
      <c r="N118" s="529" t="s">
        <v>903</v>
      </c>
      <c r="O118" s="529"/>
      <c r="P118" s="529"/>
      <c r="Q118" s="529"/>
      <c r="R118" s="529"/>
      <c r="S118" s="534"/>
      <c r="T118" s="529"/>
      <c r="U118" s="529"/>
      <c r="V118" s="529"/>
      <c r="W118" s="529"/>
      <c r="X118" s="529"/>
      <c r="Y118" s="529"/>
      <c r="Z118" s="529"/>
      <c r="AA118" s="529"/>
      <c r="AB118" s="529"/>
      <c r="AC118" s="529"/>
      <c r="AD118" s="529"/>
      <c r="AE118" s="529"/>
      <c r="AF118" s="529"/>
      <c r="AG118" s="529"/>
      <c r="AH118" s="529"/>
      <c r="AI118" s="529"/>
      <c r="AJ118" s="529"/>
      <c r="AK118" s="529"/>
      <c r="AL118" s="529"/>
      <c r="AM118" s="529"/>
      <c r="BD118" s="201"/>
    </row>
    <row r="119" spans="2:56" ht="15.75" customHeight="1">
      <c r="B119" s="201"/>
      <c r="I119" s="202"/>
      <c r="L119" s="529"/>
      <c r="M119" s="529"/>
      <c r="N119" s="529" t="s">
        <v>837</v>
      </c>
      <c r="O119" s="529"/>
      <c r="P119" s="529"/>
      <c r="Q119" s="529"/>
      <c r="R119" s="529"/>
      <c r="S119" s="534"/>
      <c r="T119" s="529"/>
      <c r="U119" s="529"/>
      <c r="V119" s="529"/>
      <c r="W119" s="529"/>
      <c r="X119" s="529"/>
      <c r="Y119" s="529"/>
      <c r="Z119" s="529"/>
      <c r="AA119" s="529"/>
      <c r="AB119" s="529"/>
      <c r="AC119" s="529"/>
      <c r="AD119" s="529"/>
      <c r="AE119" s="529"/>
      <c r="AF119" s="529"/>
      <c r="AG119" s="529"/>
      <c r="AH119" s="529"/>
      <c r="AI119" s="529"/>
      <c r="AJ119" s="529"/>
      <c r="AK119" s="529"/>
      <c r="AL119" s="529"/>
      <c r="AM119" s="529"/>
      <c r="BD119" s="201"/>
    </row>
    <row r="120" spans="2:56" ht="15.75" customHeight="1">
      <c r="B120" s="201"/>
      <c r="I120" s="202"/>
      <c r="J120" s="535" t="s">
        <v>909</v>
      </c>
      <c r="BD120" s="201"/>
    </row>
    <row r="121" spans="2:56" ht="15.75" customHeight="1">
      <c r="B121" s="201"/>
      <c r="I121" s="202"/>
      <c r="J121" s="535"/>
      <c r="K121" s="535"/>
      <c r="L121" s="535" t="s">
        <v>905</v>
      </c>
      <c r="M121" s="535"/>
      <c r="N121" s="535"/>
      <c r="O121" s="535"/>
      <c r="P121" s="535"/>
      <c r="Q121" s="535"/>
      <c r="R121" s="535"/>
      <c r="S121" s="536"/>
      <c r="T121" s="535"/>
      <c r="U121" s="535"/>
      <c r="V121" s="535"/>
      <c r="W121" s="189"/>
      <c r="X121" s="535"/>
      <c r="Y121" s="535"/>
      <c r="Z121" s="535"/>
      <c r="AA121" s="535"/>
      <c r="AB121" s="535"/>
      <c r="AC121" s="535"/>
      <c r="AD121" s="535"/>
      <c r="AE121" s="535"/>
      <c r="AF121" s="535"/>
      <c r="AG121" s="535"/>
      <c r="AH121" s="535"/>
      <c r="AI121" s="535"/>
      <c r="AJ121" s="535"/>
      <c r="AK121" s="535"/>
      <c r="AL121" s="535"/>
      <c r="AM121" s="535"/>
      <c r="AN121" s="189"/>
      <c r="AO121" s="189"/>
      <c r="AP121" s="189"/>
      <c r="AQ121" s="189"/>
      <c r="AR121" s="189"/>
      <c r="AS121" s="189"/>
      <c r="BD121" s="201"/>
    </row>
    <row r="122" spans="2:56" ht="15.75" customHeight="1">
      <c r="B122" s="201"/>
      <c r="I122" s="202"/>
      <c r="J122" s="535"/>
      <c r="K122" s="535"/>
      <c r="L122" s="535" t="s">
        <v>906</v>
      </c>
      <c r="M122" s="535"/>
      <c r="N122" s="535"/>
      <c r="O122" s="535"/>
      <c r="P122" s="535"/>
      <c r="Q122" s="535"/>
      <c r="R122" s="535"/>
      <c r="S122" s="535"/>
      <c r="V122" s="189"/>
      <c r="W122" s="535"/>
      <c r="X122" s="535"/>
      <c r="Y122" s="535"/>
      <c r="Z122" s="535"/>
      <c r="AA122" s="535"/>
      <c r="AB122" s="535"/>
      <c r="AC122" s="535"/>
      <c r="AD122" s="535"/>
      <c r="AE122" s="535"/>
      <c r="AF122" s="535"/>
      <c r="AG122" s="535"/>
      <c r="AH122" s="535"/>
      <c r="AI122" s="535"/>
      <c r="AJ122" s="535"/>
      <c r="AK122" s="535"/>
      <c r="AL122" s="535"/>
      <c r="AM122" s="536"/>
      <c r="AN122" s="189"/>
      <c r="AO122" s="189"/>
      <c r="AP122" s="189"/>
      <c r="AQ122" s="189"/>
      <c r="AR122" s="189"/>
      <c r="AS122" s="189"/>
      <c r="BD122" s="201"/>
    </row>
    <row r="123" spans="2:56" ht="15.75" customHeight="1">
      <c r="B123" s="201"/>
      <c r="I123" s="202"/>
      <c r="K123" s="535"/>
      <c r="L123" s="535" t="s">
        <v>907</v>
      </c>
      <c r="M123" s="535"/>
      <c r="N123" s="535"/>
      <c r="O123" s="535"/>
      <c r="P123" s="535"/>
      <c r="Q123" s="535"/>
      <c r="R123" s="535"/>
      <c r="S123" s="535"/>
      <c r="U123" s="537"/>
      <c r="V123" s="189"/>
      <c r="W123" s="535"/>
      <c r="X123" s="535"/>
      <c r="Y123" s="535"/>
      <c r="Z123" s="535"/>
      <c r="AA123" s="535"/>
      <c r="AB123" s="535"/>
      <c r="AC123" s="535"/>
      <c r="AD123" s="535"/>
      <c r="AE123" s="535"/>
      <c r="AF123" s="535"/>
      <c r="AG123" s="535"/>
      <c r="AH123" s="535"/>
      <c r="AI123" s="535"/>
      <c r="AJ123" s="535"/>
      <c r="AK123" s="535"/>
      <c r="AL123" s="535"/>
      <c r="AM123" s="536"/>
      <c r="AN123" s="189"/>
      <c r="AO123" s="189"/>
      <c r="AP123" s="189"/>
      <c r="AQ123" s="189"/>
      <c r="AR123" s="189"/>
      <c r="AS123" s="189"/>
      <c r="BD123" s="201"/>
    </row>
    <row r="124" spans="2:56" ht="15.75" customHeight="1">
      <c r="B124" s="201"/>
      <c r="I124" s="202"/>
      <c r="K124" s="535"/>
      <c r="L124" s="535"/>
      <c r="M124" s="535"/>
      <c r="N124" s="535"/>
      <c r="O124" s="535"/>
      <c r="P124" s="535"/>
      <c r="Q124" s="535"/>
      <c r="R124" s="535"/>
      <c r="S124" s="535"/>
      <c r="U124" s="537"/>
      <c r="V124" s="189"/>
      <c r="W124" s="535"/>
      <c r="X124" s="535"/>
      <c r="Y124" s="535"/>
      <c r="Z124" s="535"/>
      <c r="AA124" s="535"/>
      <c r="AB124" s="535"/>
      <c r="AC124" s="535"/>
      <c r="AD124" s="535"/>
      <c r="AE124" s="535"/>
      <c r="AF124" s="535"/>
      <c r="AG124" s="535"/>
      <c r="AH124" s="535"/>
      <c r="AI124" s="535"/>
      <c r="AJ124" s="535"/>
      <c r="AK124" s="535"/>
      <c r="AL124" s="535"/>
      <c r="AM124" s="536"/>
      <c r="AN124" s="189"/>
      <c r="AO124" s="189"/>
      <c r="AP124" s="189"/>
      <c r="AQ124" s="189"/>
      <c r="AR124" s="189"/>
      <c r="AS124" s="189"/>
      <c r="BD124" s="201"/>
    </row>
    <row r="125" spans="2:56" ht="15.75" customHeight="1">
      <c r="B125" s="201"/>
      <c r="I125" s="202"/>
      <c r="L125" s="529"/>
      <c r="M125" s="529" t="s">
        <v>836</v>
      </c>
      <c r="N125" s="529" t="s">
        <v>908</v>
      </c>
      <c r="O125" s="529"/>
      <c r="P125" s="529"/>
      <c r="Q125" s="529"/>
      <c r="R125" s="529"/>
      <c r="S125" s="534"/>
      <c r="T125" s="529"/>
      <c r="U125" s="529"/>
      <c r="V125" s="529"/>
      <c r="W125" s="529"/>
      <c r="X125" s="529"/>
      <c r="Y125" s="529"/>
      <c r="Z125" s="529"/>
      <c r="AA125" s="529"/>
      <c r="AB125" s="529"/>
      <c r="AC125" s="529"/>
      <c r="AD125" s="529"/>
      <c r="AE125" s="529"/>
      <c r="AF125" s="529"/>
      <c r="AG125" s="529"/>
      <c r="AH125" s="529"/>
      <c r="AI125" s="529"/>
      <c r="AJ125" s="529"/>
      <c r="AK125" s="529"/>
      <c r="AL125" s="529"/>
      <c r="AM125" s="529"/>
      <c r="BD125" s="201"/>
    </row>
    <row r="126" spans="2:56" ht="15.75" customHeight="1">
      <c r="B126" s="201"/>
      <c r="I126" s="202"/>
      <c r="L126" s="529"/>
      <c r="M126" s="529"/>
      <c r="N126" s="529" t="s">
        <v>837</v>
      </c>
      <c r="O126" s="529"/>
      <c r="P126" s="529"/>
      <c r="Q126" s="529"/>
      <c r="R126" s="529"/>
      <c r="S126" s="534"/>
      <c r="T126" s="529"/>
      <c r="U126" s="529"/>
      <c r="V126" s="529"/>
      <c r="W126" s="529"/>
      <c r="X126" s="529"/>
      <c r="Y126" s="529"/>
      <c r="Z126" s="529"/>
      <c r="AA126" s="529"/>
      <c r="AB126" s="529"/>
      <c r="AC126" s="529"/>
      <c r="AD126" s="529"/>
      <c r="AE126" s="529"/>
      <c r="AF126" s="529"/>
      <c r="AG126" s="529"/>
      <c r="AH126" s="529"/>
      <c r="AI126" s="529"/>
      <c r="AJ126" s="529"/>
      <c r="AK126" s="529"/>
      <c r="AL126" s="529"/>
      <c r="AM126" s="529"/>
      <c r="BD126" s="201"/>
    </row>
    <row r="127" spans="2:56" ht="15.75" customHeight="1">
      <c r="B127" s="201"/>
      <c r="I127" s="202"/>
      <c r="J127" s="535" t="s">
        <v>914</v>
      </c>
      <c r="K127" s="535"/>
      <c r="L127" s="535" t="s">
        <v>910</v>
      </c>
      <c r="M127" s="535"/>
      <c r="N127" s="535"/>
      <c r="O127" s="535"/>
      <c r="P127" s="535"/>
      <c r="Q127" s="535"/>
      <c r="R127" s="535"/>
      <c r="S127" s="536"/>
      <c r="T127" s="535"/>
      <c r="U127" s="535"/>
      <c r="V127" s="535"/>
      <c r="W127" s="189"/>
      <c r="X127" s="535"/>
      <c r="Y127" s="535"/>
      <c r="Z127" s="535"/>
      <c r="AA127" s="535"/>
      <c r="AB127" s="535"/>
      <c r="AC127" s="535"/>
      <c r="AD127" s="535"/>
      <c r="AE127" s="535"/>
      <c r="AF127" s="535"/>
      <c r="AG127" s="535"/>
      <c r="AH127" s="535"/>
      <c r="AI127" s="535"/>
      <c r="AJ127" s="535"/>
      <c r="AK127" s="535"/>
      <c r="AL127" s="535"/>
      <c r="AM127" s="535"/>
      <c r="AN127" s="189"/>
      <c r="AO127" s="189"/>
      <c r="AP127" s="189"/>
      <c r="AQ127" s="189"/>
      <c r="AR127" s="189"/>
      <c r="AS127" s="189"/>
      <c r="BD127" s="201"/>
    </row>
    <row r="128" spans="2:56" ht="15.75" customHeight="1">
      <c r="B128" s="201"/>
      <c r="I128" s="202"/>
      <c r="J128" s="535"/>
      <c r="K128" s="535"/>
      <c r="L128" s="535" t="s">
        <v>911</v>
      </c>
      <c r="M128" s="535"/>
      <c r="N128" s="535"/>
      <c r="O128" s="535"/>
      <c r="P128" s="535"/>
      <c r="Q128" s="535"/>
      <c r="R128" s="535"/>
      <c r="S128" s="535"/>
      <c r="V128" s="189"/>
      <c r="W128" s="535"/>
      <c r="X128" s="535"/>
      <c r="Y128" s="535"/>
      <c r="Z128" s="535"/>
      <c r="AA128" s="535"/>
      <c r="AB128" s="535"/>
      <c r="AC128" s="535"/>
      <c r="AD128" s="535"/>
      <c r="AE128" s="535"/>
      <c r="AF128" s="535"/>
      <c r="AG128" s="535"/>
      <c r="AH128" s="535"/>
      <c r="AI128" s="535"/>
      <c r="AJ128" s="535"/>
      <c r="AK128" s="535"/>
      <c r="AL128" s="535"/>
      <c r="AM128" s="536"/>
      <c r="AN128" s="189"/>
      <c r="AO128" s="189"/>
      <c r="AP128" s="189"/>
      <c r="AQ128" s="189"/>
      <c r="AR128" s="189"/>
      <c r="AS128" s="189"/>
      <c r="BD128" s="201"/>
    </row>
    <row r="129" spans="2:56" ht="15.75" customHeight="1">
      <c r="B129" s="201"/>
      <c r="I129" s="202"/>
      <c r="J129" s="535"/>
      <c r="K129" s="535"/>
      <c r="L129" s="535" t="s">
        <v>912</v>
      </c>
      <c r="M129" s="535"/>
      <c r="N129" s="535"/>
      <c r="O129" s="535"/>
      <c r="P129" s="535"/>
      <c r="Q129" s="535"/>
      <c r="R129" s="535"/>
      <c r="S129" s="535"/>
      <c r="U129" s="537"/>
      <c r="V129" s="189"/>
      <c r="W129" s="535"/>
      <c r="X129" s="535"/>
      <c r="Y129" s="535"/>
      <c r="Z129" s="535"/>
      <c r="AA129" s="535"/>
      <c r="AB129" s="535"/>
      <c r="AC129" s="535"/>
      <c r="AD129" s="535"/>
      <c r="AE129" s="535"/>
      <c r="AF129" s="535"/>
      <c r="AG129" s="535"/>
      <c r="AH129" s="535"/>
      <c r="AI129" s="535"/>
      <c r="AJ129" s="535"/>
      <c r="AK129" s="535"/>
      <c r="AL129" s="535"/>
      <c r="AM129" s="536"/>
      <c r="AN129" s="189"/>
      <c r="AO129" s="189"/>
      <c r="AP129" s="189"/>
      <c r="AQ129" s="189"/>
      <c r="AR129" s="189"/>
      <c r="AS129" s="189"/>
      <c r="BD129" s="201"/>
    </row>
    <row r="130" spans="2:56" ht="15.75" customHeight="1">
      <c r="B130" s="201"/>
      <c r="I130" s="202"/>
      <c r="BD130" s="201"/>
    </row>
    <row r="131" spans="2:56" ht="15.75" customHeight="1">
      <c r="B131" s="201"/>
      <c r="I131" s="202"/>
      <c r="L131" s="529"/>
      <c r="M131" s="529" t="s">
        <v>836</v>
      </c>
      <c r="N131" s="529" t="s">
        <v>913</v>
      </c>
      <c r="O131" s="529"/>
      <c r="P131" s="529"/>
      <c r="Q131" s="529"/>
      <c r="R131" s="529"/>
      <c r="S131" s="534"/>
      <c r="T131" s="529"/>
      <c r="U131" s="529"/>
      <c r="V131" s="529"/>
      <c r="W131" s="529"/>
      <c r="X131" s="529"/>
      <c r="Y131" s="529"/>
      <c r="Z131" s="529"/>
      <c r="AA131" s="529"/>
      <c r="AB131" s="529"/>
      <c r="AC131" s="529"/>
      <c r="AD131" s="529"/>
      <c r="AE131" s="529"/>
      <c r="AF131" s="529"/>
      <c r="AG131" s="529"/>
      <c r="AH131" s="529"/>
      <c r="AI131" s="529"/>
      <c r="AJ131" s="529"/>
      <c r="AK131" s="529"/>
      <c r="AL131" s="529"/>
      <c r="AM131" s="529"/>
      <c r="BD131" s="201"/>
    </row>
    <row r="132" spans="2:56" ht="15.75" customHeight="1">
      <c r="B132" s="201"/>
      <c r="I132" s="202"/>
      <c r="L132" s="529"/>
      <c r="M132" s="529"/>
      <c r="N132" s="529" t="s">
        <v>837</v>
      </c>
      <c r="O132" s="529"/>
      <c r="P132" s="529"/>
      <c r="Q132" s="529"/>
      <c r="R132" s="529"/>
      <c r="S132" s="534"/>
      <c r="T132" s="529"/>
      <c r="U132" s="529"/>
      <c r="V132" s="529"/>
      <c r="W132" s="529"/>
      <c r="X132" s="529"/>
      <c r="Y132" s="529"/>
      <c r="Z132" s="529"/>
      <c r="AA132" s="529"/>
      <c r="AB132" s="529"/>
      <c r="AC132" s="529"/>
      <c r="AD132" s="529"/>
      <c r="AE132" s="529"/>
      <c r="AF132" s="529"/>
      <c r="AG132" s="529"/>
      <c r="AH132" s="529"/>
      <c r="AI132" s="529"/>
      <c r="AJ132" s="529"/>
      <c r="AK132" s="529"/>
      <c r="AL132" s="529"/>
      <c r="AM132" s="529"/>
      <c r="BD132" s="201"/>
    </row>
    <row r="133" spans="2:56" ht="15.75" customHeight="1">
      <c r="B133" s="201"/>
      <c r="I133" s="202"/>
      <c r="BD133" s="201"/>
    </row>
    <row r="134" spans="2:56" ht="15.75" customHeight="1">
      <c r="B134" s="201"/>
      <c r="I134" s="202"/>
      <c r="J134" s="535" t="s">
        <v>919</v>
      </c>
      <c r="K134" s="535"/>
      <c r="L134" s="535" t="s">
        <v>915</v>
      </c>
      <c r="M134" s="535"/>
      <c r="N134" s="535"/>
      <c r="O134" s="535"/>
      <c r="P134" s="535"/>
      <c r="Q134" s="535"/>
      <c r="R134" s="535"/>
      <c r="S134" s="536"/>
      <c r="T134" s="535"/>
      <c r="U134" s="535"/>
      <c r="V134" s="535"/>
      <c r="W134" s="189"/>
      <c r="X134" s="535"/>
      <c r="Y134" s="535"/>
      <c r="Z134" s="535"/>
      <c r="AA134" s="535"/>
      <c r="AB134" s="535"/>
      <c r="AC134" s="535"/>
      <c r="AD134" s="535"/>
      <c r="AE134" s="535"/>
      <c r="AF134" s="535"/>
      <c r="AG134" s="535"/>
      <c r="AH134" s="535"/>
      <c r="AI134" s="535"/>
      <c r="AJ134" s="535"/>
      <c r="AK134" s="535"/>
      <c r="AL134" s="535"/>
      <c r="AM134" s="535"/>
      <c r="AN134" s="189"/>
      <c r="AO134" s="189"/>
      <c r="AP134" s="189"/>
      <c r="AQ134" s="189"/>
      <c r="AR134" s="189"/>
      <c r="AS134" s="189"/>
      <c r="BD134" s="201"/>
    </row>
    <row r="135" spans="2:56" ht="15.75" customHeight="1">
      <c r="B135" s="201"/>
      <c r="I135" s="202"/>
      <c r="J135" s="535"/>
      <c r="K135" s="535"/>
      <c r="L135" s="535" t="s">
        <v>916</v>
      </c>
      <c r="M135" s="535"/>
      <c r="N135" s="535"/>
      <c r="O135" s="535"/>
      <c r="P135" s="535"/>
      <c r="Q135" s="535"/>
      <c r="R135" s="535"/>
      <c r="S135" s="535"/>
      <c r="V135" s="189"/>
      <c r="W135" s="535"/>
      <c r="X135" s="535"/>
      <c r="Y135" s="535"/>
      <c r="Z135" s="535"/>
      <c r="AA135" s="535"/>
      <c r="AB135" s="535"/>
      <c r="AC135" s="535"/>
      <c r="AD135" s="535"/>
      <c r="AE135" s="535"/>
      <c r="AF135" s="535"/>
      <c r="AG135" s="535"/>
      <c r="AH135" s="535"/>
      <c r="AI135" s="535"/>
      <c r="AJ135" s="535"/>
      <c r="AK135" s="535"/>
      <c r="AL135" s="535"/>
      <c r="AM135" s="536"/>
      <c r="AN135" s="189"/>
      <c r="AO135" s="189"/>
      <c r="AP135" s="189"/>
      <c r="AQ135" s="189"/>
      <c r="AR135" s="189"/>
      <c r="AS135" s="189"/>
      <c r="BD135" s="201"/>
    </row>
    <row r="136" spans="2:56" ht="15.75" customHeight="1">
      <c r="B136" s="201"/>
      <c r="I136" s="202"/>
      <c r="J136" s="535"/>
      <c r="K136" s="535"/>
      <c r="L136" s="535" t="s">
        <v>917</v>
      </c>
      <c r="M136" s="535"/>
      <c r="N136" s="535"/>
      <c r="O136" s="535"/>
      <c r="P136" s="535"/>
      <c r="Q136" s="535"/>
      <c r="R136" s="535"/>
      <c r="S136" s="535"/>
      <c r="U136" s="537"/>
      <c r="V136" s="189"/>
      <c r="W136" s="535"/>
      <c r="X136" s="535"/>
      <c r="Y136" s="535"/>
      <c r="Z136" s="535"/>
      <c r="AA136" s="535"/>
      <c r="AB136" s="535"/>
      <c r="AC136" s="535"/>
      <c r="AD136" s="535"/>
      <c r="AE136" s="535"/>
      <c r="AF136" s="535"/>
      <c r="AG136" s="535"/>
      <c r="AH136" s="535"/>
      <c r="AI136" s="535"/>
      <c r="AJ136" s="535"/>
      <c r="AK136" s="535"/>
      <c r="AL136" s="535"/>
      <c r="AM136" s="536"/>
      <c r="AN136" s="189"/>
      <c r="AO136" s="189"/>
      <c r="AP136" s="189"/>
      <c r="AQ136" s="189"/>
      <c r="AR136" s="189"/>
      <c r="AS136" s="189"/>
      <c r="BD136" s="201"/>
    </row>
    <row r="137" spans="2:56" ht="15.75" customHeight="1">
      <c r="B137" s="201"/>
      <c r="I137" s="202"/>
      <c r="J137" s="535"/>
      <c r="L137" s="529"/>
      <c r="M137" s="529"/>
      <c r="N137" s="529"/>
      <c r="O137" s="529"/>
      <c r="P137" s="529"/>
      <c r="Q137" s="529"/>
      <c r="R137" s="529"/>
      <c r="S137" s="534"/>
      <c r="T137" s="529"/>
      <c r="U137" s="529"/>
      <c r="V137" s="529"/>
      <c r="W137" s="529"/>
      <c r="X137" s="529"/>
      <c r="Y137" s="529"/>
      <c r="Z137" s="529"/>
      <c r="AA137" s="529"/>
      <c r="AB137" s="529"/>
      <c r="AC137" s="529"/>
      <c r="AD137" s="529"/>
      <c r="AE137" s="529"/>
      <c r="AF137" s="529"/>
      <c r="AG137" s="529"/>
      <c r="AH137" s="529"/>
      <c r="AI137" s="529"/>
      <c r="AJ137" s="529"/>
      <c r="AK137" s="529"/>
      <c r="AL137" s="529"/>
      <c r="AM137" s="529"/>
      <c r="BD137" s="201"/>
    </row>
    <row r="138" spans="2:56" ht="15.75" customHeight="1">
      <c r="B138" s="201"/>
      <c r="I138" s="202"/>
      <c r="L138" s="529"/>
      <c r="M138" s="529" t="s">
        <v>836</v>
      </c>
      <c r="N138" s="529" t="s">
        <v>918</v>
      </c>
      <c r="O138" s="529"/>
      <c r="P138" s="529"/>
      <c r="Q138" s="529"/>
      <c r="R138" s="529"/>
      <c r="S138" s="534"/>
      <c r="T138" s="529"/>
      <c r="U138" s="529"/>
      <c r="V138" s="529"/>
      <c r="W138" s="529"/>
      <c r="X138" s="529"/>
      <c r="Y138" s="529"/>
      <c r="Z138" s="529"/>
      <c r="AA138" s="529"/>
      <c r="AB138" s="529"/>
      <c r="AC138" s="529"/>
      <c r="AD138" s="529"/>
      <c r="AE138" s="529"/>
      <c r="AF138" s="529"/>
      <c r="AG138" s="529"/>
      <c r="AH138" s="529"/>
      <c r="AI138" s="529"/>
      <c r="AJ138" s="529"/>
      <c r="AK138" s="529"/>
      <c r="AL138" s="529"/>
      <c r="AM138" s="529"/>
      <c r="BD138" s="201"/>
    </row>
    <row r="139" spans="2:56" ht="15.75" customHeight="1">
      <c r="B139" s="201"/>
      <c r="I139" s="202"/>
      <c r="L139" s="529"/>
      <c r="M139" s="529"/>
      <c r="N139" s="529" t="s">
        <v>837</v>
      </c>
      <c r="O139" s="529"/>
      <c r="P139" s="529"/>
      <c r="Q139" s="529"/>
      <c r="R139" s="529"/>
      <c r="S139" s="534"/>
      <c r="T139" s="529"/>
      <c r="U139" s="529"/>
      <c r="V139" s="529"/>
      <c r="W139" s="529"/>
      <c r="X139" s="529"/>
      <c r="Y139" s="529"/>
      <c r="Z139" s="529"/>
      <c r="AA139" s="529"/>
      <c r="AB139" s="529"/>
      <c r="AC139" s="529"/>
      <c r="AD139" s="529"/>
      <c r="AE139" s="529"/>
      <c r="AF139" s="529"/>
      <c r="AG139" s="529"/>
      <c r="AH139" s="529"/>
      <c r="AI139" s="529"/>
      <c r="AJ139" s="529"/>
      <c r="AK139" s="529"/>
      <c r="AL139" s="529"/>
      <c r="AM139" s="529"/>
      <c r="BD139" s="201"/>
    </row>
    <row r="140" spans="2:56" ht="15.75" customHeight="1">
      <c r="B140" s="201"/>
      <c r="I140" s="202"/>
      <c r="BD140" s="201"/>
    </row>
    <row r="141" spans="2:56" ht="15.75" customHeight="1">
      <c r="B141" s="201"/>
      <c r="I141" s="202"/>
      <c r="J141" s="535" t="s">
        <v>924</v>
      </c>
      <c r="K141" s="535"/>
      <c r="L141" s="535" t="s">
        <v>920</v>
      </c>
      <c r="M141" s="535"/>
      <c r="N141" s="535"/>
      <c r="O141" s="535"/>
      <c r="P141" s="535"/>
      <c r="Q141" s="535"/>
      <c r="R141" s="535"/>
      <c r="S141" s="536"/>
      <c r="T141" s="535"/>
      <c r="U141" s="535"/>
      <c r="V141" s="535"/>
      <c r="W141" s="189"/>
      <c r="X141" s="535"/>
      <c r="Y141" s="535"/>
      <c r="Z141" s="535"/>
      <c r="AA141" s="535"/>
      <c r="AB141" s="535"/>
      <c r="AC141" s="535"/>
      <c r="AD141" s="535"/>
      <c r="AE141" s="535"/>
      <c r="AF141" s="535"/>
      <c r="AG141" s="535"/>
      <c r="AH141" s="535"/>
      <c r="AI141" s="535"/>
      <c r="AJ141" s="535"/>
      <c r="AK141" s="535"/>
      <c r="AL141" s="535"/>
      <c r="AM141" s="535"/>
      <c r="AN141" s="189"/>
      <c r="AO141" s="189"/>
      <c r="AP141" s="189"/>
      <c r="AQ141" s="189"/>
      <c r="AR141" s="189"/>
      <c r="AS141" s="189"/>
      <c r="BD141" s="201"/>
    </row>
    <row r="142" spans="2:56" ht="15.75" customHeight="1">
      <c r="B142" s="201"/>
      <c r="I142" s="202"/>
      <c r="J142" s="535"/>
      <c r="K142" s="535"/>
      <c r="L142" s="535" t="s">
        <v>921</v>
      </c>
      <c r="M142" s="535"/>
      <c r="N142" s="535"/>
      <c r="O142" s="535"/>
      <c r="P142" s="535"/>
      <c r="Q142" s="535"/>
      <c r="R142" s="535"/>
      <c r="S142" s="535"/>
      <c r="V142" s="189"/>
      <c r="W142" s="535"/>
      <c r="X142" s="535"/>
      <c r="Y142" s="535"/>
      <c r="Z142" s="535"/>
      <c r="AA142" s="535"/>
      <c r="AB142" s="535"/>
      <c r="AC142" s="535"/>
      <c r="AD142" s="535"/>
      <c r="AE142" s="535"/>
      <c r="AF142" s="535"/>
      <c r="AG142" s="535"/>
      <c r="AH142" s="535"/>
      <c r="AI142" s="535"/>
      <c r="AJ142" s="535"/>
      <c r="AK142" s="535"/>
      <c r="AL142" s="535"/>
      <c r="AM142" s="536"/>
      <c r="AN142" s="189"/>
      <c r="AO142" s="189"/>
      <c r="AP142" s="189"/>
      <c r="AQ142" s="189"/>
      <c r="AR142" s="189"/>
      <c r="AS142" s="189"/>
      <c r="BD142" s="201"/>
    </row>
    <row r="143" spans="2:56" ht="15.75" customHeight="1">
      <c r="B143" s="201"/>
      <c r="I143" s="202"/>
      <c r="J143" s="535"/>
      <c r="K143" s="535"/>
      <c r="L143" s="535" t="s">
        <v>922</v>
      </c>
      <c r="M143" s="535"/>
      <c r="N143" s="535"/>
      <c r="O143" s="535"/>
      <c r="P143" s="535"/>
      <c r="Q143" s="535"/>
      <c r="R143" s="535"/>
      <c r="S143" s="535"/>
      <c r="U143" s="537"/>
      <c r="V143" s="189"/>
      <c r="W143" s="535"/>
      <c r="X143" s="535"/>
      <c r="Y143" s="535"/>
      <c r="Z143" s="535"/>
      <c r="AA143" s="535"/>
      <c r="AB143" s="535"/>
      <c r="AC143" s="535"/>
      <c r="AD143" s="535"/>
      <c r="AE143" s="535"/>
      <c r="AF143" s="535"/>
      <c r="AG143" s="535"/>
      <c r="AH143" s="535"/>
      <c r="AI143" s="535"/>
      <c r="AJ143" s="535"/>
      <c r="AK143" s="535"/>
      <c r="AL143" s="535"/>
      <c r="AM143" s="536"/>
      <c r="AN143" s="189"/>
      <c r="AO143" s="189"/>
      <c r="AP143" s="189"/>
      <c r="AQ143" s="189"/>
      <c r="AR143" s="189"/>
      <c r="AS143" s="189"/>
      <c r="BD143" s="201"/>
    </row>
    <row r="144" spans="2:56" ht="15.75" customHeight="1">
      <c r="B144" s="201"/>
      <c r="I144" s="202"/>
      <c r="J144" s="535"/>
      <c r="L144" s="529"/>
      <c r="M144" s="529"/>
      <c r="N144" s="529"/>
      <c r="O144" s="529"/>
      <c r="P144" s="529"/>
      <c r="Q144" s="529"/>
      <c r="R144" s="529"/>
      <c r="S144" s="534"/>
      <c r="T144" s="529"/>
      <c r="U144" s="529"/>
      <c r="V144" s="529"/>
      <c r="W144" s="529"/>
      <c r="X144" s="529"/>
      <c r="Y144" s="529"/>
      <c r="Z144" s="529"/>
      <c r="AA144" s="529"/>
      <c r="AB144" s="529"/>
      <c r="AC144" s="529"/>
      <c r="AD144" s="529"/>
      <c r="AE144" s="529"/>
      <c r="AF144" s="529"/>
      <c r="AG144" s="529"/>
      <c r="AH144" s="529"/>
      <c r="AI144" s="529"/>
      <c r="AJ144" s="529"/>
      <c r="AK144" s="529"/>
      <c r="AL144" s="529"/>
      <c r="AM144" s="529"/>
      <c r="BD144" s="201"/>
    </row>
    <row r="145" spans="2:56" ht="15.75" customHeight="1">
      <c r="B145" s="201"/>
      <c r="I145" s="202"/>
      <c r="L145" s="529"/>
      <c r="M145" s="529" t="s">
        <v>836</v>
      </c>
      <c r="N145" s="529" t="s">
        <v>923</v>
      </c>
      <c r="O145" s="529"/>
      <c r="P145" s="529"/>
      <c r="Q145" s="529"/>
      <c r="R145" s="529"/>
      <c r="S145" s="534"/>
      <c r="T145" s="529"/>
      <c r="U145" s="529"/>
      <c r="V145" s="529"/>
      <c r="W145" s="529"/>
      <c r="X145" s="529"/>
      <c r="Y145" s="529"/>
      <c r="Z145" s="529"/>
      <c r="AA145" s="529"/>
      <c r="AB145" s="529"/>
      <c r="AC145" s="529"/>
      <c r="AD145" s="529"/>
      <c r="AE145" s="529"/>
      <c r="AF145" s="529"/>
      <c r="AG145" s="529"/>
      <c r="AH145" s="529"/>
      <c r="AI145" s="529"/>
      <c r="AJ145" s="529"/>
      <c r="AK145" s="529"/>
      <c r="AL145" s="529"/>
      <c r="AM145" s="529"/>
      <c r="BD145" s="201"/>
    </row>
    <row r="146" spans="2:56" ht="15.75" customHeight="1">
      <c r="B146" s="201"/>
      <c r="I146" s="202"/>
      <c r="L146" s="529"/>
      <c r="M146" s="529"/>
      <c r="N146" s="529" t="s">
        <v>837</v>
      </c>
      <c r="O146" s="529"/>
      <c r="P146" s="529"/>
      <c r="Q146" s="529"/>
      <c r="R146" s="529"/>
      <c r="S146" s="534"/>
      <c r="T146" s="529"/>
      <c r="U146" s="529"/>
      <c r="V146" s="529"/>
      <c r="W146" s="529"/>
      <c r="X146" s="529"/>
      <c r="Y146" s="529"/>
      <c r="Z146" s="529"/>
      <c r="AA146" s="529"/>
      <c r="AB146" s="529"/>
      <c r="AC146" s="529"/>
      <c r="AD146" s="529"/>
      <c r="AE146" s="529"/>
      <c r="AF146" s="529"/>
      <c r="AG146" s="529"/>
      <c r="AH146" s="529"/>
      <c r="AI146" s="529"/>
      <c r="AJ146" s="529"/>
      <c r="AK146" s="529"/>
      <c r="AL146" s="529"/>
      <c r="AM146" s="529"/>
      <c r="BD146" s="201"/>
    </row>
    <row r="147" spans="2:56" ht="15.75" customHeight="1">
      <c r="B147" s="201"/>
      <c r="I147" s="202"/>
      <c r="BD147" s="201"/>
    </row>
    <row r="148" spans="2:56" ht="15.75" customHeight="1">
      <c r="B148" s="201"/>
      <c r="I148" s="202"/>
      <c r="J148" s="535" t="s">
        <v>929</v>
      </c>
      <c r="K148" s="535"/>
      <c r="L148" s="535" t="s">
        <v>925</v>
      </c>
      <c r="M148" s="535"/>
      <c r="N148" s="535"/>
      <c r="O148" s="535"/>
      <c r="P148" s="535"/>
      <c r="Q148" s="535"/>
      <c r="R148" s="535"/>
      <c r="S148" s="536"/>
      <c r="T148" s="535"/>
      <c r="U148" s="535"/>
      <c r="V148" s="535"/>
      <c r="W148" s="189"/>
      <c r="X148" s="535"/>
      <c r="Y148" s="535"/>
      <c r="Z148" s="535"/>
      <c r="AA148" s="535"/>
      <c r="AB148" s="535"/>
      <c r="AC148" s="535"/>
      <c r="AD148" s="535"/>
      <c r="AE148" s="535"/>
      <c r="AF148" s="535"/>
      <c r="AG148" s="535"/>
      <c r="AH148" s="535"/>
      <c r="AI148" s="535"/>
      <c r="AJ148" s="535"/>
      <c r="AK148" s="535"/>
      <c r="AL148" s="535"/>
      <c r="AM148" s="535"/>
      <c r="AN148" s="189"/>
      <c r="AO148" s="189"/>
      <c r="AP148" s="189"/>
      <c r="AQ148" s="189"/>
      <c r="AR148" s="189"/>
      <c r="AS148" s="189"/>
      <c r="BD148" s="201"/>
    </row>
    <row r="149" spans="2:56" ht="15.75" customHeight="1">
      <c r="B149" s="201"/>
      <c r="I149" s="202"/>
      <c r="J149" s="535"/>
      <c r="K149" s="535"/>
      <c r="L149" s="535" t="s">
        <v>926</v>
      </c>
      <c r="M149" s="535"/>
      <c r="N149" s="535"/>
      <c r="O149" s="535"/>
      <c r="P149" s="535"/>
      <c r="Q149" s="535"/>
      <c r="R149" s="535"/>
      <c r="S149" s="535"/>
      <c r="V149" s="189"/>
      <c r="W149" s="535"/>
      <c r="X149" s="535"/>
      <c r="Y149" s="535"/>
      <c r="Z149" s="535"/>
      <c r="AA149" s="535"/>
      <c r="AB149" s="535"/>
      <c r="AC149" s="535"/>
      <c r="AD149" s="535"/>
      <c r="AE149" s="535"/>
      <c r="AF149" s="535"/>
      <c r="AG149" s="535"/>
      <c r="AH149" s="535"/>
      <c r="AI149" s="535"/>
      <c r="AJ149" s="535"/>
      <c r="AK149" s="535"/>
      <c r="AL149" s="535"/>
      <c r="AM149" s="536"/>
      <c r="AN149" s="189"/>
      <c r="AO149" s="189"/>
      <c r="AP149" s="189"/>
      <c r="AQ149" s="189"/>
      <c r="AR149" s="189"/>
      <c r="AS149" s="189"/>
      <c r="BD149" s="201"/>
    </row>
    <row r="150" spans="2:56" ht="15.75" customHeight="1">
      <c r="B150" s="201"/>
      <c r="I150" s="202"/>
      <c r="J150" s="535"/>
      <c r="K150" s="535"/>
      <c r="L150" s="535" t="s">
        <v>927</v>
      </c>
      <c r="M150" s="535"/>
      <c r="N150" s="535"/>
      <c r="O150" s="535"/>
      <c r="P150" s="535"/>
      <c r="Q150" s="535"/>
      <c r="R150" s="535"/>
      <c r="S150" s="535"/>
      <c r="U150" s="537"/>
      <c r="V150" s="189"/>
      <c r="W150" s="535"/>
      <c r="X150" s="535"/>
      <c r="Y150" s="535"/>
      <c r="Z150" s="535"/>
      <c r="AA150" s="535"/>
      <c r="AB150" s="535"/>
      <c r="AC150" s="535"/>
      <c r="AD150" s="535"/>
      <c r="AE150" s="535"/>
      <c r="AF150" s="535"/>
      <c r="AG150" s="535"/>
      <c r="AH150" s="535"/>
      <c r="AI150" s="535"/>
      <c r="AJ150" s="535"/>
      <c r="AK150" s="535"/>
      <c r="AL150" s="535"/>
      <c r="AM150" s="536"/>
      <c r="AN150" s="189"/>
      <c r="AO150" s="189"/>
      <c r="AP150" s="189"/>
      <c r="AQ150" s="189"/>
      <c r="AR150" s="189"/>
      <c r="AS150" s="189"/>
      <c r="BD150" s="201"/>
    </row>
    <row r="151" spans="2:56" ht="15.75" customHeight="1">
      <c r="B151" s="201"/>
      <c r="I151" s="202"/>
      <c r="J151" s="535"/>
      <c r="K151" s="535"/>
      <c r="L151" s="535"/>
      <c r="M151" s="535"/>
      <c r="N151" s="535"/>
      <c r="O151" s="535"/>
      <c r="P151" s="535"/>
      <c r="Q151" s="535"/>
      <c r="R151" s="535"/>
      <c r="S151" s="535"/>
      <c r="U151" s="537"/>
      <c r="V151" s="189"/>
      <c r="W151" s="535"/>
      <c r="X151" s="535"/>
      <c r="Y151" s="535"/>
      <c r="Z151" s="535"/>
      <c r="AA151" s="535"/>
      <c r="AB151" s="535"/>
      <c r="AC151" s="535"/>
      <c r="AD151" s="535"/>
      <c r="AE151" s="535"/>
      <c r="AF151" s="535"/>
      <c r="AG151" s="535"/>
      <c r="AH151" s="535"/>
      <c r="AI151" s="535"/>
      <c r="AJ151" s="535"/>
      <c r="AK151" s="535"/>
      <c r="AL151" s="535"/>
      <c r="AM151" s="536"/>
      <c r="AN151" s="189"/>
      <c r="AO151" s="189"/>
      <c r="AP151" s="189"/>
      <c r="AQ151" s="189"/>
      <c r="AR151" s="189"/>
      <c r="AS151" s="189"/>
      <c r="BD151" s="201"/>
    </row>
    <row r="152" spans="2:56" ht="15.75" customHeight="1">
      <c r="B152" s="201"/>
      <c r="I152" s="202"/>
      <c r="L152" s="529"/>
      <c r="M152" s="529" t="s">
        <v>836</v>
      </c>
      <c r="N152" s="529" t="s">
        <v>928</v>
      </c>
      <c r="O152" s="529"/>
      <c r="P152" s="529"/>
      <c r="Q152" s="529"/>
      <c r="R152" s="529"/>
      <c r="S152" s="534"/>
      <c r="T152" s="529"/>
      <c r="U152" s="529"/>
      <c r="V152" s="529"/>
      <c r="W152" s="529"/>
      <c r="X152" s="529"/>
      <c r="Y152" s="529"/>
      <c r="Z152" s="529"/>
      <c r="AA152" s="529"/>
      <c r="AB152" s="529"/>
      <c r="AC152" s="529"/>
      <c r="AD152" s="529"/>
      <c r="AE152" s="529"/>
      <c r="AF152" s="529"/>
      <c r="AG152" s="529"/>
      <c r="AH152" s="529"/>
      <c r="AI152" s="529"/>
      <c r="AJ152" s="529"/>
      <c r="AK152" s="529"/>
      <c r="AL152" s="529"/>
      <c r="AM152" s="529"/>
      <c r="BD152" s="201"/>
    </row>
    <row r="153" spans="2:56" ht="15.75" customHeight="1">
      <c r="B153" s="201"/>
      <c r="I153" s="202"/>
      <c r="L153" s="529"/>
      <c r="M153" s="529"/>
      <c r="N153" s="529" t="s">
        <v>837</v>
      </c>
      <c r="O153" s="529"/>
      <c r="P153" s="529"/>
      <c r="Q153" s="529"/>
      <c r="R153" s="529"/>
      <c r="S153" s="534"/>
      <c r="T153" s="529"/>
      <c r="U153" s="529"/>
      <c r="V153" s="529"/>
      <c r="W153" s="529"/>
      <c r="X153" s="529"/>
      <c r="Y153" s="529"/>
      <c r="Z153" s="529"/>
      <c r="AA153" s="529"/>
      <c r="AB153" s="529"/>
      <c r="AC153" s="529"/>
      <c r="AD153" s="529"/>
      <c r="AE153" s="529"/>
      <c r="AF153" s="529"/>
      <c r="AG153" s="529"/>
      <c r="AH153" s="529"/>
      <c r="AI153" s="529"/>
      <c r="AJ153" s="529"/>
      <c r="AK153" s="529"/>
      <c r="AL153" s="529"/>
      <c r="AM153" s="529"/>
      <c r="BD153" s="201"/>
    </row>
    <row r="154" spans="2:56" ht="15.75" customHeight="1">
      <c r="B154" s="201"/>
      <c r="I154" s="202"/>
      <c r="BD154" s="201"/>
    </row>
    <row r="155" spans="2:56" ht="15.75" customHeight="1">
      <c r="B155" s="201"/>
      <c r="I155" s="202"/>
      <c r="J155" s="535" t="s">
        <v>934</v>
      </c>
      <c r="K155" s="535"/>
      <c r="L155" s="535" t="s">
        <v>930</v>
      </c>
      <c r="M155" s="535"/>
      <c r="N155" s="535"/>
      <c r="O155" s="535"/>
      <c r="P155" s="535"/>
      <c r="Q155" s="535"/>
      <c r="R155" s="535"/>
      <c r="S155" s="536"/>
      <c r="T155" s="535"/>
      <c r="U155" s="535"/>
      <c r="V155" s="535"/>
      <c r="W155" s="189"/>
      <c r="X155" s="535"/>
      <c r="Y155" s="535"/>
      <c r="Z155" s="535"/>
      <c r="AA155" s="535"/>
      <c r="AB155" s="535"/>
      <c r="AC155" s="535"/>
      <c r="AD155" s="535"/>
      <c r="AE155" s="535"/>
      <c r="AF155" s="535"/>
      <c r="AG155" s="535"/>
      <c r="AH155" s="535"/>
      <c r="AI155" s="535"/>
      <c r="AJ155" s="535"/>
      <c r="AK155" s="535"/>
      <c r="AL155" s="535"/>
      <c r="AM155" s="535"/>
      <c r="AN155" s="189"/>
      <c r="AO155" s="189"/>
      <c r="AP155" s="189"/>
      <c r="AQ155" s="189"/>
      <c r="AR155" s="189"/>
      <c r="AS155" s="189"/>
      <c r="BD155" s="201"/>
    </row>
    <row r="156" spans="2:56" ht="15.75" customHeight="1">
      <c r="B156" s="201"/>
      <c r="I156" s="202"/>
      <c r="J156" s="535"/>
      <c r="K156" s="535"/>
      <c r="L156" s="535" t="s">
        <v>931</v>
      </c>
      <c r="M156" s="535"/>
      <c r="N156" s="535"/>
      <c r="O156" s="535"/>
      <c r="P156" s="535"/>
      <c r="Q156" s="535"/>
      <c r="R156" s="535"/>
      <c r="S156" s="535"/>
      <c r="V156" s="189"/>
      <c r="W156" s="535"/>
      <c r="X156" s="535"/>
      <c r="Y156" s="535"/>
      <c r="Z156" s="535"/>
      <c r="AA156" s="535"/>
      <c r="AB156" s="535"/>
      <c r="AC156" s="535"/>
      <c r="AD156" s="535"/>
      <c r="AE156" s="535"/>
      <c r="AF156" s="535"/>
      <c r="AG156" s="535"/>
      <c r="AH156" s="535"/>
      <c r="AI156" s="535"/>
      <c r="AJ156" s="535"/>
      <c r="AK156" s="535"/>
      <c r="AL156" s="535"/>
      <c r="AM156" s="536"/>
      <c r="AN156" s="189"/>
      <c r="AO156" s="189"/>
      <c r="AP156" s="189"/>
      <c r="AQ156" s="189"/>
      <c r="AR156" s="189"/>
      <c r="AS156" s="189"/>
      <c r="BD156" s="201"/>
    </row>
    <row r="157" spans="2:56" ht="15.75" customHeight="1">
      <c r="B157" s="201"/>
      <c r="I157" s="202"/>
      <c r="J157" s="535"/>
      <c r="K157" s="535"/>
      <c r="L157" s="535" t="s">
        <v>932</v>
      </c>
      <c r="M157" s="535"/>
      <c r="N157" s="535"/>
      <c r="O157" s="535"/>
      <c r="P157" s="535"/>
      <c r="Q157" s="535"/>
      <c r="R157" s="535"/>
      <c r="S157" s="535"/>
      <c r="U157" s="537"/>
      <c r="V157" s="189"/>
      <c r="W157" s="535"/>
      <c r="X157" s="535"/>
      <c r="Y157" s="535"/>
      <c r="Z157" s="535"/>
      <c r="AA157" s="535"/>
      <c r="AB157" s="535"/>
      <c r="AC157" s="535"/>
      <c r="AD157" s="535"/>
      <c r="AE157" s="535"/>
      <c r="AF157" s="535"/>
      <c r="AG157" s="535"/>
      <c r="AH157" s="535"/>
      <c r="AI157" s="535"/>
      <c r="AJ157" s="535"/>
      <c r="AK157" s="535"/>
      <c r="AL157" s="535"/>
      <c r="AM157" s="536"/>
      <c r="AN157" s="189"/>
      <c r="AO157" s="189"/>
      <c r="AP157" s="189"/>
      <c r="AQ157" s="189"/>
      <c r="AR157" s="189"/>
      <c r="AS157" s="189"/>
      <c r="BD157" s="201"/>
    </row>
    <row r="158" spans="2:56" ht="15.75" customHeight="1">
      <c r="B158" s="201"/>
      <c r="I158" s="202"/>
      <c r="J158" s="535"/>
      <c r="K158" s="535"/>
      <c r="L158" s="535"/>
      <c r="M158" s="535"/>
      <c r="N158" s="535"/>
      <c r="O158" s="535"/>
      <c r="P158" s="535"/>
      <c r="Q158" s="535"/>
      <c r="R158" s="535"/>
      <c r="S158" s="535"/>
      <c r="U158" s="537"/>
      <c r="V158" s="189"/>
      <c r="W158" s="535"/>
      <c r="X158" s="535"/>
      <c r="Y158" s="535"/>
      <c r="Z158" s="535"/>
      <c r="AA158" s="535"/>
      <c r="AB158" s="535"/>
      <c r="AC158" s="535"/>
      <c r="AD158" s="535"/>
      <c r="AE158" s="535"/>
      <c r="AF158" s="535"/>
      <c r="AG158" s="535"/>
      <c r="AH158" s="535"/>
      <c r="AI158" s="535"/>
      <c r="AJ158" s="535"/>
      <c r="AK158" s="535"/>
      <c r="AL158" s="535"/>
      <c r="AM158" s="536"/>
      <c r="AN158" s="189"/>
      <c r="AO158" s="189"/>
      <c r="AP158" s="189"/>
      <c r="AQ158" s="189"/>
      <c r="AR158" s="189"/>
      <c r="AS158" s="189"/>
      <c r="BD158" s="201"/>
    </row>
    <row r="159" spans="2:56" ht="15.75" customHeight="1">
      <c r="B159" s="201"/>
      <c r="I159" s="202"/>
      <c r="L159" s="529"/>
      <c r="M159" s="529" t="s">
        <v>836</v>
      </c>
      <c r="N159" s="529" t="s">
        <v>933</v>
      </c>
      <c r="O159" s="529"/>
      <c r="P159" s="529"/>
      <c r="Q159" s="529"/>
      <c r="R159" s="529"/>
      <c r="S159" s="534"/>
      <c r="T159" s="529"/>
      <c r="U159" s="529"/>
      <c r="V159" s="529"/>
      <c r="W159" s="529"/>
      <c r="X159" s="529"/>
      <c r="Y159" s="529"/>
      <c r="Z159" s="529"/>
      <c r="AA159" s="529"/>
      <c r="AB159" s="529"/>
      <c r="AC159" s="529"/>
      <c r="AD159" s="529"/>
      <c r="AE159" s="529"/>
      <c r="AF159" s="529"/>
      <c r="AG159" s="529"/>
      <c r="AH159" s="529"/>
      <c r="AI159" s="529"/>
      <c r="AJ159" s="529"/>
      <c r="AK159" s="529"/>
      <c r="AL159" s="529"/>
      <c r="AM159" s="529"/>
      <c r="BD159" s="201"/>
    </row>
    <row r="160" spans="2:56" ht="15.75" customHeight="1">
      <c r="B160" s="201"/>
      <c r="I160" s="202"/>
      <c r="L160" s="529"/>
      <c r="M160" s="529"/>
      <c r="N160" s="529" t="s">
        <v>837</v>
      </c>
      <c r="O160" s="529"/>
      <c r="P160" s="529"/>
      <c r="Q160" s="529"/>
      <c r="R160" s="529"/>
      <c r="S160" s="534"/>
      <c r="T160" s="529"/>
      <c r="U160" s="529"/>
      <c r="V160" s="529"/>
      <c r="W160" s="529"/>
      <c r="X160" s="529"/>
      <c r="Y160" s="529"/>
      <c r="Z160" s="529"/>
      <c r="AA160" s="529"/>
      <c r="AB160" s="529"/>
      <c r="AC160" s="529"/>
      <c r="AD160" s="529"/>
      <c r="AE160" s="529"/>
      <c r="AF160" s="529"/>
      <c r="AG160" s="529"/>
      <c r="AH160" s="529"/>
      <c r="AI160" s="529"/>
      <c r="AJ160" s="529"/>
      <c r="AK160" s="529"/>
      <c r="AL160" s="529"/>
      <c r="AM160" s="529"/>
      <c r="BD160" s="201"/>
    </row>
    <row r="161" spans="2:64" ht="15.75" customHeight="1">
      <c r="B161" s="201"/>
      <c r="I161" s="202"/>
      <c r="BD161" s="201"/>
    </row>
    <row r="162" spans="2:64" ht="15.75" customHeight="1">
      <c r="B162" s="201"/>
      <c r="I162" s="202"/>
      <c r="J162" s="535" t="s">
        <v>939</v>
      </c>
      <c r="K162" s="535"/>
      <c r="L162" s="535" t="s">
        <v>935</v>
      </c>
      <c r="M162" s="535"/>
      <c r="N162" s="535"/>
      <c r="O162" s="535"/>
      <c r="P162" s="535"/>
      <c r="Q162" s="535"/>
      <c r="R162" s="535"/>
      <c r="S162" s="536"/>
      <c r="T162" s="535"/>
      <c r="U162" s="535"/>
      <c r="V162" s="535"/>
      <c r="W162" s="189"/>
      <c r="X162" s="535"/>
      <c r="Y162" s="535"/>
      <c r="Z162" s="535"/>
      <c r="AA162" s="535"/>
      <c r="AB162" s="535"/>
      <c r="AC162" s="535"/>
      <c r="AD162" s="535"/>
      <c r="AE162" s="535"/>
      <c r="AF162" s="535"/>
      <c r="AG162" s="535"/>
      <c r="AH162" s="535"/>
      <c r="AI162" s="535"/>
      <c r="AJ162" s="535"/>
      <c r="AK162" s="535"/>
      <c r="AL162" s="535"/>
      <c r="AM162" s="535"/>
      <c r="AN162" s="189"/>
      <c r="AO162" s="189"/>
      <c r="AP162" s="189"/>
      <c r="AQ162" s="189"/>
      <c r="AR162" s="189"/>
      <c r="AS162" s="189"/>
      <c r="BD162" s="201"/>
    </row>
    <row r="163" spans="2:64" ht="15.75" customHeight="1">
      <c r="B163" s="201"/>
      <c r="I163" s="202"/>
      <c r="J163" s="535"/>
      <c r="K163" s="535"/>
      <c r="L163" s="535" t="s">
        <v>936</v>
      </c>
      <c r="M163" s="535"/>
      <c r="N163" s="535"/>
      <c r="O163" s="535"/>
      <c r="P163" s="535"/>
      <c r="Q163" s="535"/>
      <c r="R163" s="535"/>
      <c r="S163" s="535"/>
      <c r="V163" s="189"/>
      <c r="W163" s="535"/>
      <c r="X163" s="535"/>
      <c r="Y163" s="535"/>
      <c r="Z163" s="535"/>
      <c r="AA163" s="535"/>
      <c r="AB163" s="535"/>
      <c r="AC163" s="535"/>
      <c r="AD163" s="535"/>
      <c r="AE163" s="535"/>
      <c r="AF163" s="535"/>
      <c r="AG163" s="535"/>
      <c r="AH163" s="535"/>
      <c r="AI163" s="535"/>
      <c r="AJ163" s="535"/>
      <c r="AK163" s="535"/>
      <c r="AL163" s="535"/>
      <c r="AM163" s="536"/>
      <c r="AN163" s="189"/>
      <c r="AO163" s="189"/>
      <c r="AP163" s="189"/>
      <c r="AQ163" s="189"/>
      <c r="AR163" s="189"/>
      <c r="AS163" s="189"/>
      <c r="BD163" s="201"/>
    </row>
    <row r="164" spans="2:64" ht="15.75" customHeight="1">
      <c r="B164" s="201"/>
      <c r="I164" s="202"/>
      <c r="J164" s="535"/>
      <c r="K164" s="535"/>
      <c r="L164" s="535" t="s">
        <v>937</v>
      </c>
      <c r="M164" s="535"/>
      <c r="N164" s="535"/>
      <c r="O164" s="535"/>
      <c r="P164" s="535"/>
      <c r="Q164" s="535"/>
      <c r="R164" s="535"/>
      <c r="S164" s="535"/>
      <c r="U164" s="537"/>
      <c r="V164" s="189"/>
      <c r="W164" s="535"/>
      <c r="X164" s="535"/>
      <c r="Y164" s="535"/>
      <c r="Z164" s="535"/>
      <c r="AA164" s="535"/>
      <c r="AB164" s="535"/>
      <c r="AC164" s="535"/>
      <c r="AD164" s="535"/>
      <c r="AE164" s="535"/>
      <c r="AF164" s="535"/>
      <c r="AG164" s="535"/>
      <c r="AH164" s="535"/>
      <c r="AI164" s="535"/>
      <c r="AJ164" s="535"/>
      <c r="AK164" s="535"/>
      <c r="AL164" s="535"/>
      <c r="AM164" s="536"/>
      <c r="AN164" s="189"/>
      <c r="AO164" s="189"/>
      <c r="AP164" s="189"/>
      <c r="AQ164" s="189"/>
      <c r="AR164" s="189"/>
      <c r="AS164" s="189"/>
      <c r="BD164" s="201"/>
    </row>
    <row r="165" spans="2:64" ht="15.75" customHeight="1">
      <c r="B165" s="201"/>
      <c r="I165" s="202"/>
      <c r="L165" s="529"/>
      <c r="M165" s="529"/>
      <c r="N165" s="529"/>
      <c r="O165" s="529"/>
      <c r="P165" s="529"/>
      <c r="Q165" s="529"/>
      <c r="R165" s="529"/>
      <c r="S165" s="534"/>
      <c r="T165" s="529"/>
      <c r="U165" s="529"/>
      <c r="V165" s="529"/>
      <c r="W165" s="529"/>
      <c r="X165" s="529"/>
      <c r="Y165" s="529"/>
      <c r="Z165" s="529"/>
      <c r="AA165" s="529"/>
      <c r="AB165" s="529"/>
      <c r="AC165" s="529"/>
      <c r="AD165" s="529"/>
      <c r="AE165" s="529"/>
      <c r="AF165" s="529"/>
      <c r="AG165" s="529"/>
      <c r="AH165" s="529"/>
      <c r="AI165" s="529"/>
      <c r="AJ165" s="529"/>
      <c r="AK165" s="529"/>
      <c r="AL165" s="529"/>
      <c r="AM165" s="529"/>
      <c r="BD165" s="201"/>
    </row>
    <row r="166" spans="2:64" ht="15.75" customHeight="1">
      <c r="B166" s="201"/>
      <c r="I166" s="202"/>
      <c r="L166" s="529"/>
      <c r="M166" s="529" t="s">
        <v>836</v>
      </c>
      <c r="N166" s="529" t="s">
        <v>938</v>
      </c>
      <c r="O166" s="529"/>
      <c r="P166" s="529"/>
      <c r="Q166" s="529"/>
      <c r="R166" s="529"/>
      <c r="S166" s="534"/>
      <c r="T166" s="529"/>
      <c r="U166" s="529"/>
      <c r="V166" s="529"/>
      <c r="W166" s="529"/>
      <c r="X166" s="529"/>
      <c r="Y166" s="529"/>
      <c r="Z166" s="529"/>
      <c r="AA166" s="529"/>
      <c r="AB166" s="529"/>
      <c r="AC166" s="529"/>
      <c r="AD166" s="529"/>
      <c r="AE166" s="529"/>
      <c r="AF166" s="529"/>
      <c r="AG166" s="529"/>
      <c r="AH166" s="529"/>
      <c r="AI166" s="529"/>
      <c r="AJ166" s="529"/>
      <c r="AK166" s="529"/>
      <c r="AL166" s="529"/>
      <c r="AM166" s="529"/>
      <c r="BD166" s="201"/>
    </row>
    <row r="167" spans="2:64" ht="15.75" customHeight="1">
      <c r="B167" s="201"/>
      <c r="I167" s="202"/>
      <c r="L167" s="529"/>
      <c r="M167" s="529"/>
      <c r="N167" s="529" t="s">
        <v>837</v>
      </c>
      <c r="O167" s="529"/>
      <c r="P167" s="529"/>
      <c r="Q167" s="529"/>
      <c r="R167" s="529"/>
      <c r="S167" s="534"/>
      <c r="T167" s="529"/>
      <c r="U167" s="529"/>
      <c r="V167" s="529"/>
      <c r="W167" s="529"/>
      <c r="X167" s="529"/>
      <c r="Y167" s="529"/>
      <c r="Z167" s="529"/>
      <c r="AA167" s="529"/>
      <c r="AB167" s="529"/>
      <c r="AC167" s="529"/>
      <c r="AD167" s="529"/>
      <c r="AE167" s="529"/>
      <c r="AF167" s="529"/>
      <c r="AG167" s="529"/>
      <c r="AH167" s="529"/>
      <c r="AI167" s="529"/>
      <c r="AJ167" s="529"/>
      <c r="AK167" s="529"/>
      <c r="AL167" s="529"/>
      <c r="AM167" s="529"/>
      <c r="BD167" s="201"/>
    </row>
    <row r="168" spans="2:64" ht="15.75" customHeight="1">
      <c r="B168" s="201"/>
      <c r="I168" s="202"/>
      <c r="BD168" s="201"/>
    </row>
    <row r="169" spans="2:64" ht="15.75" customHeight="1">
      <c r="B169" s="201"/>
      <c r="I169" s="202"/>
      <c r="J169" s="535" t="s">
        <v>944</v>
      </c>
      <c r="L169" s="1" t="s">
        <v>940</v>
      </c>
      <c r="BD169" s="201"/>
    </row>
    <row r="170" spans="2:64" ht="15.75" customHeight="1">
      <c r="B170" s="201"/>
      <c r="I170" s="202"/>
      <c r="L170" s="1" t="s">
        <v>945</v>
      </c>
      <c r="O170" s="535" t="s">
        <v>941</v>
      </c>
      <c r="BD170" s="201"/>
    </row>
    <row r="171" spans="2:64" ht="15.75" customHeight="1">
      <c r="B171" s="201"/>
      <c r="I171" s="202"/>
      <c r="O171" s="535" t="s">
        <v>942</v>
      </c>
      <c r="BD171" s="384" t="s">
        <v>683</v>
      </c>
    </row>
    <row r="172" spans="2:64" ht="15.75" customHeight="1">
      <c r="B172" s="201"/>
      <c r="I172" s="202"/>
      <c r="BD172" s="201"/>
    </row>
    <row r="173" spans="2:64" ht="15.75" customHeight="1">
      <c r="B173" s="201"/>
      <c r="I173" s="202"/>
      <c r="L173" s="535" t="s">
        <v>946</v>
      </c>
      <c r="M173" s="535"/>
      <c r="O173" s="535" t="s">
        <v>662</v>
      </c>
      <c r="P173" s="535"/>
      <c r="Q173" s="535"/>
      <c r="R173" s="535"/>
      <c r="S173" s="536"/>
      <c r="T173" s="535"/>
      <c r="U173" s="535"/>
      <c r="V173" s="535"/>
      <c r="W173" s="189"/>
      <c r="X173" s="535"/>
      <c r="Y173" s="535"/>
      <c r="Z173" s="535"/>
      <c r="AA173" s="535"/>
      <c r="AB173" s="535"/>
      <c r="AC173" s="535"/>
      <c r="AD173" s="535"/>
      <c r="AE173" s="535"/>
      <c r="AF173" s="535"/>
      <c r="AG173" s="535"/>
      <c r="AH173" s="535"/>
      <c r="AI173" s="535"/>
      <c r="AJ173" s="535"/>
      <c r="AK173" s="535"/>
      <c r="AL173" s="535"/>
      <c r="AM173" s="189"/>
      <c r="AN173" s="189"/>
      <c r="AO173" s="189"/>
      <c r="AP173" s="189"/>
      <c r="AQ173" s="189"/>
      <c r="AR173" s="189"/>
      <c r="AS173" s="189"/>
      <c r="AT173" s="189"/>
      <c r="AU173" s="189"/>
      <c r="AV173" s="189"/>
      <c r="AW173" s="189"/>
      <c r="AX173" s="189"/>
      <c r="AY173" s="189"/>
      <c r="AZ173" s="189"/>
      <c r="BA173" s="189"/>
      <c r="BB173" s="189"/>
      <c r="BC173" s="189"/>
      <c r="BD173" s="191"/>
      <c r="BE173" s="189"/>
      <c r="BF173" s="189"/>
      <c r="BG173" s="189"/>
      <c r="BH173" s="189"/>
    </row>
    <row r="174" spans="2:64" ht="15.75" customHeight="1">
      <c r="B174" s="201"/>
      <c r="I174" s="202"/>
      <c r="L174" s="536"/>
      <c r="M174" s="535"/>
      <c r="O174" s="535" t="s">
        <v>943</v>
      </c>
      <c r="P174" s="535"/>
      <c r="Q174" s="535"/>
      <c r="R174" s="535"/>
      <c r="S174" s="538"/>
      <c r="T174" s="535"/>
      <c r="U174" s="535"/>
      <c r="V174" s="535"/>
      <c r="W174" s="535"/>
      <c r="X174" s="535"/>
      <c r="Y174" s="535"/>
      <c r="Z174" s="535"/>
      <c r="AA174" s="535"/>
      <c r="AB174" s="535"/>
      <c r="AC174" s="535"/>
      <c r="AD174" s="535"/>
      <c r="AE174" s="535"/>
      <c r="AF174" s="535"/>
      <c r="AG174" s="535"/>
      <c r="AH174" s="535"/>
      <c r="AI174" s="535"/>
      <c r="AJ174" s="535"/>
      <c r="AK174" s="535"/>
      <c r="AL174" s="536"/>
      <c r="AM174" s="189"/>
      <c r="AN174" s="189"/>
      <c r="AO174" s="189"/>
      <c r="AP174" s="189"/>
      <c r="AQ174" s="189"/>
      <c r="AR174" s="189"/>
      <c r="AS174" s="189"/>
      <c r="AT174" s="189"/>
      <c r="AU174" s="189"/>
      <c r="AV174" s="189"/>
      <c r="AW174" s="189"/>
      <c r="AX174" s="189"/>
      <c r="AY174" s="189"/>
      <c r="AZ174" s="189"/>
      <c r="BA174" s="189"/>
      <c r="BB174" s="189"/>
      <c r="BC174" s="189"/>
      <c r="BD174" s="191"/>
      <c r="BE174" s="189"/>
      <c r="BF174" s="189"/>
      <c r="BG174" s="189"/>
      <c r="BH174" s="189"/>
    </row>
    <row r="175" spans="2:64" ht="15.75" customHeight="1">
      <c r="B175" s="201"/>
      <c r="I175" s="202"/>
      <c r="L175" s="536"/>
      <c r="M175" s="535"/>
      <c r="O175" s="535" t="s">
        <v>954</v>
      </c>
      <c r="P175" s="535"/>
      <c r="Q175" s="535"/>
      <c r="R175" s="535"/>
      <c r="S175" s="538"/>
      <c r="T175" s="535"/>
      <c r="U175" s="535"/>
      <c r="V175" s="535"/>
      <c r="W175" s="535"/>
      <c r="X175" s="535"/>
      <c r="Y175" s="535"/>
      <c r="Z175" s="535"/>
      <c r="AA175" s="535"/>
      <c r="AB175" s="535"/>
      <c r="AC175" s="535"/>
      <c r="AD175" s="535"/>
      <c r="AE175" s="535"/>
      <c r="AF175" s="535"/>
      <c r="AG175" s="535"/>
      <c r="AH175" s="535"/>
      <c r="AI175" s="535"/>
      <c r="AJ175" s="535"/>
      <c r="AK175" s="535"/>
      <c r="AL175" s="536"/>
      <c r="AM175" s="189"/>
      <c r="AN175" s="189"/>
      <c r="AO175" s="189"/>
      <c r="AP175" s="189"/>
      <c r="AQ175" s="189"/>
      <c r="AR175" s="189"/>
      <c r="AS175" s="189"/>
      <c r="AT175" s="189"/>
      <c r="AU175" s="189"/>
      <c r="AV175" s="189"/>
      <c r="AW175" s="189"/>
      <c r="AX175" s="189"/>
      <c r="AY175" s="189"/>
      <c r="AZ175" s="189"/>
      <c r="BA175" s="189"/>
      <c r="BB175" s="189"/>
      <c r="BC175" s="189"/>
      <c r="BD175" s="191" t="s">
        <v>687</v>
      </c>
      <c r="BE175" s="189"/>
      <c r="BF175" s="189"/>
      <c r="BG175" s="189"/>
      <c r="BH175" s="189"/>
    </row>
    <row r="176" spans="2:64" ht="15.75" customHeight="1">
      <c r="B176" s="201"/>
      <c r="I176" s="202"/>
      <c r="L176" s="536"/>
      <c r="M176" s="535"/>
      <c r="O176" s="591"/>
      <c r="P176" s="591" t="s">
        <v>1187</v>
      </c>
      <c r="Q176" s="591" t="s">
        <v>1188</v>
      </c>
      <c r="R176" s="591"/>
      <c r="S176" s="600"/>
      <c r="T176" s="591"/>
      <c r="U176" s="591"/>
      <c r="V176" s="591"/>
      <c r="W176" s="591"/>
      <c r="X176" s="591"/>
      <c r="Y176" s="591"/>
      <c r="Z176" s="591"/>
      <c r="AA176" s="591"/>
      <c r="AB176" s="591"/>
      <c r="AC176" s="591"/>
      <c r="AD176" s="591"/>
      <c r="AE176" s="591"/>
      <c r="AF176" s="591"/>
      <c r="AG176" s="591"/>
      <c r="AH176" s="591"/>
      <c r="AI176" s="591"/>
      <c r="AJ176" s="591"/>
      <c r="AK176" s="591"/>
      <c r="AL176" s="557"/>
      <c r="AM176" s="519"/>
      <c r="AN176" s="519"/>
      <c r="AO176" s="519"/>
      <c r="AP176" s="519"/>
      <c r="AQ176" s="519"/>
      <c r="AR176" s="519"/>
      <c r="AS176" s="519"/>
      <c r="AT176" s="519"/>
      <c r="AU176" s="519"/>
      <c r="AV176" s="519"/>
      <c r="AW176" s="519"/>
      <c r="AX176" s="519"/>
      <c r="AY176" s="519"/>
      <c r="AZ176" s="519"/>
      <c r="BA176" s="519"/>
      <c r="BB176" s="519"/>
      <c r="BC176" s="519"/>
      <c r="BD176" s="601"/>
      <c r="BE176" s="519"/>
      <c r="BF176" s="519"/>
      <c r="BG176" s="519"/>
      <c r="BH176" s="519"/>
      <c r="BI176" s="519"/>
      <c r="BK176" s="193"/>
      <c r="BL176" s="189"/>
    </row>
    <row r="177" spans="2:64" ht="15.75" customHeight="1">
      <c r="B177" s="201"/>
      <c r="I177" s="202"/>
      <c r="O177" s="537"/>
      <c r="P177" s="537"/>
      <c r="Q177" s="537" t="s">
        <v>1189</v>
      </c>
      <c r="R177" s="537"/>
      <c r="S177" s="537"/>
      <c r="T177" s="537"/>
      <c r="U177" s="537"/>
      <c r="V177" s="537"/>
      <c r="W177" s="537"/>
      <c r="X177" s="537"/>
      <c r="Y177" s="537"/>
      <c r="Z177" s="537"/>
      <c r="AA177" s="537"/>
      <c r="AB177" s="537"/>
      <c r="AC177" s="537"/>
      <c r="AD177" s="537"/>
      <c r="AE177" s="537"/>
      <c r="AF177" s="537"/>
      <c r="AG177" s="537"/>
      <c r="AH177" s="537"/>
      <c r="AI177" s="537"/>
      <c r="AJ177" s="537"/>
      <c r="AK177" s="537"/>
      <c r="AL177" s="537"/>
      <c r="AM177" s="537"/>
      <c r="AN177" s="537"/>
      <c r="AO177" s="537"/>
      <c r="AP177" s="537"/>
      <c r="AQ177" s="537"/>
      <c r="AR177" s="537"/>
      <c r="AS177" s="537"/>
      <c r="AT177" s="537"/>
      <c r="AU177" s="537"/>
      <c r="AV177" s="537"/>
      <c r="AW177" s="537"/>
      <c r="AX177" s="537"/>
      <c r="AY177" s="537"/>
      <c r="AZ177" s="537"/>
      <c r="BA177" s="537"/>
      <c r="BB177" s="537"/>
      <c r="BC177" s="537"/>
      <c r="BD177" s="602"/>
      <c r="BE177" s="537"/>
      <c r="BF177" s="537"/>
      <c r="BG177" s="537"/>
      <c r="BH177" s="537"/>
      <c r="BI177" s="537"/>
      <c r="BK177" s="193"/>
      <c r="BL177" s="189"/>
    </row>
    <row r="178" spans="2:64" ht="15.75" customHeight="1">
      <c r="B178" s="201"/>
      <c r="I178" s="202"/>
      <c r="O178" s="537"/>
      <c r="P178" s="537"/>
      <c r="Q178" s="537" t="s">
        <v>1190</v>
      </c>
      <c r="R178" s="537"/>
      <c r="S178" s="537"/>
      <c r="T178" s="537"/>
      <c r="U178" s="537"/>
      <c r="V178" s="537"/>
      <c r="W178" s="537"/>
      <c r="X178" s="537"/>
      <c r="Y178" s="537"/>
      <c r="Z178" s="537"/>
      <c r="AA178" s="537"/>
      <c r="AB178" s="537"/>
      <c r="AC178" s="537"/>
      <c r="AD178" s="537"/>
      <c r="AE178" s="537"/>
      <c r="AF178" s="537"/>
      <c r="AG178" s="537"/>
      <c r="AH178" s="537"/>
      <c r="AI178" s="537"/>
      <c r="AJ178" s="537"/>
      <c r="AK178" s="537"/>
      <c r="AL178" s="537"/>
      <c r="AM178" s="537"/>
      <c r="AN178" s="537"/>
      <c r="AO178" s="537"/>
      <c r="AP178" s="537"/>
      <c r="AQ178" s="537"/>
      <c r="AR178" s="537"/>
      <c r="AS178" s="537"/>
      <c r="AT178" s="537"/>
      <c r="AU178" s="537"/>
      <c r="AV178" s="537"/>
      <c r="AW178" s="537"/>
      <c r="AX178" s="537"/>
      <c r="AY178" s="537"/>
      <c r="AZ178" s="537"/>
      <c r="BA178" s="537"/>
      <c r="BB178" s="537"/>
      <c r="BC178" s="537"/>
      <c r="BD178" s="601" t="s">
        <v>1197</v>
      </c>
      <c r="BE178" s="537"/>
      <c r="BF178" s="537"/>
      <c r="BG178" s="537"/>
      <c r="BH178" s="537"/>
      <c r="BI178" s="537"/>
      <c r="BK178" s="193"/>
      <c r="BL178" s="189"/>
    </row>
    <row r="179" spans="2:64" ht="15.75" customHeight="1">
      <c r="B179" s="201"/>
      <c r="I179" s="202"/>
      <c r="O179" s="537"/>
      <c r="P179" s="537"/>
      <c r="Q179" s="537"/>
      <c r="R179" s="537"/>
      <c r="S179" s="537" t="s">
        <v>1182</v>
      </c>
      <c r="T179" s="537"/>
      <c r="U179" s="537"/>
      <c r="V179" s="537"/>
      <c r="W179" s="537"/>
      <c r="X179" s="537"/>
      <c r="Y179" s="537"/>
      <c r="Z179" s="537"/>
      <c r="AA179" s="537"/>
      <c r="AB179" s="537"/>
      <c r="AC179" s="537"/>
      <c r="AD179" s="537"/>
      <c r="AE179" s="537"/>
      <c r="AF179" s="537"/>
      <c r="AG179" s="537"/>
      <c r="AH179" s="537"/>
      <c r="AI179" s="537"/>
      <c r="AJ179" s="537"/>
      <c r="AK179" s="537"/>
      <c r="AL179" s="537"/>
      <c r="AM179" s="537"/>
      <c r="AN179" s="537"/>
      <c r="AO179" s="537"/>
      <c r="AP179" s="537"/>
      <c r="AQ179" s="537"/>
      <c r="AR179" s="537"/>
      <c r="AS179" s="537"/>
      <c r="AT179" s="537"/>
      <c r="AU179" s="537"/>
      <c r="AV179" s="537"/>
      <c r="AW179" s="537"/>
      <c r="AX179" s="537"/>
      <c r="AY179" s="537"/>
      <c r="AZ179" s="537"/>
      <c r="BA179" s="537"/>
      <c r="BB179" s="537"/>
      <c r="BC179" s="537"/>
      <c r="BD179" s="602"/>
      <c r="BE179" s="537"/>
      <c r="BF179" s="537"/>
      <c r="BG179" s="537"/>
      <c r="BH179" s="537"/>
      <c r="BI179" s="537"/>
      <c r="BK179" s="193"/>
      <c r="BL179" s="189"/>
    </row>
    <row r="180" spans="2:64" ht="15.75" customHeight="1">
      <c r="B180" s="201"/>
      <c r="I180" s="202"/>
      <c r="O180" s="537"/>
      <c r="P180" s="537"/>
      <c r="Q180" s="537"/>
      <c r="R180" s="537"/>
      <c r="S180" s="537"/>
      <c r="T180" s="537"/>
      <c r="U180" s="537"/>
      <c r="V180" s="537"/>
      <c r="W180" s="537"/>
      <c r="X180" s="537"/>
      <c r="Y180" s="537"/>
      <c r="Z180" s="537"/>
      <c r="AA180" s="537"/>
      <c r="AB180" s="537"/>
      <c r="AC180" s="537"/>
      <c r="AD180" s="537"/>
      <c r="AE180" s="537"/>
      <c r="AF180" s="537"/>
      <c r="AG180" s="537"/>
      <c r="AH180" s="537"/>
      <c r="AI180" s="537"/>
      <c r="AJ180" s="537"/>
      <c r="AK180" s="537"/>
      <c r="AL180" s="537"/>
      <c r="AM180" s="537"/>
      <c r="AN180" s="537"/>
      <c r="AO180" s="537"/>
      <c r="AP180" s="537"/>
      <c r="AQ180" s="537"/>
      <c r="AR180" s="537"/>
      <c r="AS180" s="537"/>
      <c r="AT180" s="537"/>
      <c r="AU180" s="537"/>
      <c r="AV180" s="537"/>
      <c r="AW180" s="537"/>
      <c r="AX180" s="537"/>
      <c r="AY180" s="537"/>
      <c r="AZ180" s="537"/>
      <c r="BA180" s="537"/>
      <c r="BB180" s="537"/>
      <c r="BC180" s="537"/>
      <c r="BD180" s="602"/>
      <c r="BE180" s="537"/>
      <c r="BF180" s="537"/>
      <c r="BG180" s="537"/>
      <c r="BH180" s="537"/>
      <c r="BI180" s="537"/>
      <c r="BK180" s="193"/>
      <c r="BL180" s="189"/>
    </row>
    <row r="181" spans="2:64" ht="15.75" customHeight="1">
      <c r="B181" s="201"/>
      <c r="I181" s="202"/>
      <c r="O181" s="537"/>
      <c r="P181" s="537" t="s">
        <v>1192</v>
      </c>
      <c r="Q181" s="537" t="s">
        <v>1193</v>
      </c>
      <c r="R181" s="537"/>
      <c r="S181" s="537"/>
      <c r="T181" s="537"/>
      <c r="U181" s="537"/>
      <c r="V181" s="537"/>
      <c r="W181" s="537"/>
      <c r="X181" s="537"/>
      <c r="Y181" s="537"/>
      <c r="Z181" s="537"/>
      <c r="AA181" s="537"/>
      <c r="AB181" s="537"/>
      <c r="AC181" s="537"/>
      <c r="AD181" s="537"/>
      <c r="AE181" s="537"/>
      <c r="AF181" s="537"/>
      <c r="AG181" s="537"/>
      <c r="AH181" s="537"/>
      <c r="AI181" s="537"/>
      <c r="AJ181" s="537"/>
      <c r="AK181" s="537"/>
      <c r="AL181" s="537"/>
      <c r="AM181" s="537"/>
      <c r="AN181" s="537"/>
      <c r="AO181" s="537"/>
      <c r="AP181" s="537"/>
      <c r="AQ181" s="537"/>
      <c r="AR181" s="537"/>
      <c r="AS181" s="537"/>
      <c r="AT181" s="537"/>
      <c r="AU181" s="537"/>
      <c r="AV181" s="537"/>
      <c r="AW181" s="537"/>
      <c r="AX181" s="537"/>
      <c r="AY181" s="537"/>
      <c r="AZ181" s="537"/>
      <c r="BA181" s="537"/>
      <c r="BB181" s="537"/>
      <c r="BC181" s="537"/>
      <c r="BD181" s="602"/>
      <c r="BE181" s="537"/>
      <c r="BF181" s="537"/>
      <c r="BG181" s="537"/>
      <c r="BH181" s="537"/>
      <c r="BI181" s="537"/>
      <c r="BK181" s="193"/>
      <c r="BL181" s="189"/>
    </row>
    <row r="182" spans="2:64" ht="15.75" customHeight="1">
      <c r="B182" s="201"/>
      <c r="I182" s="202"/>
      <c r="O182" s="537"/>
      <c r="P182" s="537"/>
      <c r="Q182" s="537" t="s">
        <v>1194</v>
      </c>
      <c r="R182" s="537"/>
      <c r="S182" s="537"/>
      <c r="T182" s="537"/>
      <c r="U182" s="537"/>
      <c r="V182" s="537"/>
      <c r="W182" s="537"/>
      <c r="X182" s="537"/>
      <c r="Y182" s="537"/>
      <c r="Z182" s="537"/>
      <c r="AA182" s="537"/>
      <c r="AB182" s="537"/>
      <c r="AC182" s="537"/>
      <c r="AD182" s="537"/>
      <c r="AE182" s="537"/>
      <c r="AF182" s="537"/>
      <c r="AG182" s="537"/>
      <c r="AH182" s="537"/>
      <c r="AI182" s="537"/>
      <c r="AJ182" s="537"/>
      <c r="AK182" s="537"/>
      <c r="AL182" s="537"/>
      <c r="AM182" s="537"/>
      <c r="AN182" s="537"/>
      <c r="AO182" s="537"/>
      <c r="AP182" s="537"/>
      <c r="AQ182" s="537"/>
      <c r="AR182" s="537"/>
      <c r="AS182" s="537"/>
      <c r="AT182" s="537"/>
      <c r="AU182" s="537"/>
      <c r="AV182" s="537"/>
      <c r="AW182" s="537"/>
      <c r="AX182" s="537"/>
      <c r="AY182" s="537"/>
      <c r="AZ182" s="537"/>
      <c r="BA182" s="537"/>
      <c r="BB182" s="537"/>
      <c r="BC182" s="537"/>
      <c r="BD182" s="602"/>
      <c r="BE182" s="537"/>
      <c r="BF182" s="537"/>
      <c r="BG182" s="537"/>
      <c r="BH182" s="537"/>
      <c r="BI182" s="537"/>
      <c r="BK182" s="193"/>
      <c r="BL182" s="189"/>
    </row>
    <row r="183" spans="2:64" ht="15.75" customHeight="1">
      <c r="B183" s="201"/>
      <c r="I183" s="202"/>
      <c r="O183" s="537"/>
      <c r="P183" s="537"/>
      <c r="Q183" s="537" t="s">
        <v>1195</v>
      </c>
      <c r="R183" s="537"/>
      <c r="S183" s="537"/>
      <c r="T183" s="537"/>
      <c r="U183" s="537"/>
      <c r="V183" s="537"/>
      <c r="W183" s="537"/>
      <c r="X183" s="537"/>
      <c r="Y183" s="537"/>
      <c r="Z183" s="537"/>
      <c r="AA183" s="537"/>
      <c r="AB183" s="537"/>
      <c r="AC183" s="537"/>
      <c r="AD183" s="537"/>
      <c r="AE183" s="537"/>
      <c r="AF183" s="537"/>
      <c r="AG183" s="537"/>
      <c r="AH183" s="537"/>
      <c r="AI183" s="537"/>
      <c r="AJ183" s="537"/>
      <c r="AK183" s="537"/>
      <c r="AL183" s="537"/>
      <c r="AM183" s="537"/>
      <c r="AN183" s="537"/>
      <c r="AO183" s="537"/>
      <c r="AP183" s="537"/>
      <c r="AQ183" s="537"/>
      <c r="AR183" s="537"/>
      <c r="AS183" s="537"/>
      <c r="AT183" s="537"/>
      <c r="AU183" s="537"/>
      <c r="AV183" s="537"/>
      <c r="AW183" s="537"/>
      <c r="AX183" s="537"/>
      <c r="AY183" s="537"/>
      <c r="AZ183" s="537"/>
      <c r="BA183" s="537"/>
      <c r="BB183" s="537"/>
      <c r="BC183" s="537"/>
      <c r="BD183" s="601" t="s">
        <v>1191</v>
      </c>
      <c r="BE183" s="537"/>
      <c r="BF183" s="537"/>
      <c r="BG183" s="537"/>
      <c r="BH183" s="537"/>
      <c r="BI183" s="537"/>
      <c r="BK183" s="193"/>
      <c r="BL183" s="189"/>
    </row>
    <row r="184" spans="2:64" ht="15.75" customHeight="1">
      <c r="B184" s="201"/>
      <c r="I184" s="202"/>
      <c r="O184" s="537"/>
      <c r="P184" s="537"/>
      <c r="Q184" s="537"/>
      <c r="R184" s="537"/>
      <c r="S184" s="537" t="s">
        <v>1196</v>
      </c>
      <c r="T184" s="537"/>
      <c r="U184" s="537"/>
      <c r="V184" s="537"/>
      <c r="W184" s="537"/>
      <c r="X184" s="537"/>
      <c r="Y184" s="537"/>
      <c r="Z184" s="537"/>
      <c r="AA184" s="537"/>
      <c r="AB184" s="537"/>
      <c r="AC184" s="537"/>
      <c r="AD184" s="537"/>
      <c r="AE184" s="537"/>
      <c r="AF184" s="537"/>
      <c r="AG184" s="537"/>
      <c r="AH184" s="537"/>
      <c r="AI184" s="537"/>
      <c r="AJ184" s="537"/>
      <c r="AK184" s="537"/>
      <c r="AL184" s="537"/>
      <c r="AM184" s="537"/>
      <c r="AN184" s="537"/>
      <c r="AO184" s="537"/>
      <c r="AP184" s="537"/>
      <c r="AQ184" s="537"/>
      <c r="AR184" s="537"/>
      <c r="AS184" s="537"/>
      <c r="AT184" s="537"/>
      <c r="AU184" s="537"/>
      <c r="AV184" s="537"/>
      <c r="AW184" s="537"/>
      <c r="AX184" s="537"/>
      <c r="AY184" s="537"/>
      <c r="AZ184" s="537"/>
      <c r="BA184" s="537"/>
      <c r="BB184" s="537"/>
      <c r="BC184" s="537"/>
      <c r="BD184" s="602"/>
      <c r="BE184" s="537"/>
      <c r="BF184" s="537"/>
      <c r="BG184" s="537"/>
      <c r="BH184" s="537"/>
      <c r="BI184" s="537"/>
      <c r="BK184" s="193"/>
      <c r="BL184" s="189"/>
    </row>
    <row r="185" spans="2:64" ht="15.75" customHeight="1">
      <c r="B185" s="201"/>
      <c r="I185" s="202"/>
      <c r="BD185" s="201"/>
    </row>
    <row r="186" spans="2:64" ht="15.75" customHeight="1">
      <c r="B186" s="201"/>
      <c r="I186" s="202"/>
      <c r="O186" s="535" t="s">
        <v>962</v>
      </c>
      <c r="P186" s="536"/>
      <c r="Q186" s="535"/>
      <c r="R186" s="535"/>
      <c r="S186" s="535"/>
      <c r="T186" s="535"/>
      <c r="U186" s="535"/>
      <c r="V186" s="535"/>
      <c r="W186" s="535"/>
      <c r="X186" s="535"/>
      <c r="Y186" s="535"/>
      <c r="Z186" s="535"/>
      <c r="AA186" s="535"/>
      <c r="AB186" s="535"/>
      <c r="AC186" s="535"/>
      <c r="AD186" s="535"/>
      <c r="AE186" s="535"/>
      <c r="AF186" s="535"/>
      <c r="AG186" s="535"/>
      <c r="AH186" s="535"/>
      <c r="AI186" s="535"/>
      <c r="AJ186" s="535"/>
      <c r="AK186" s="535"/>
      <c r="AL186" s="535"/>
      <c r="AM186" s="535"/>
      <c r="AN186" s="535"/>
      <c r="AO186" s="536"/>
      <c r="BD186" s="201"/>
    </row>
    <row r="187" spans="2:64" ht="15.75" customHeight="1">
      <c r="B187" s="201"/>
      <c r="I187" s="202"/>
      <c r="O187" s="535"/>
      <c r="P187" s="535"/>
      <c r="Q187" s="535" t="s">
        <v>955</v>
      </c>
      <c r="R187" s="535"/>
      <c r="S187" s="535"/>
      <c r="T187" s="535"/>
      <c r="U187" s="535"/>
      <c r="V187" s="535"/>
      <c r="W187" s="535"/>
      <c r="X187" s="535"/>
      <c r="Y187" s="535"/>
      <c r="Z187" s="535"/>
      <c r="AA187" s="535"/>
      <c r="AB187" s="535"/>
      <c r="AC187" s="535"/>
      <c r="AD187" s="535"/>
      <c r="AE187" s="535"/>
      <c r="AF187" s="535"/>
      <c r="AG187" s="535"/>
      <c r="AH187" s="535"/>
      <c r="AI187" s="535"/>
      <c r="AJ187" s="535"/>
      <c r="AK187" s="535"/>
      <c r="AL187" s="535"/>
      <c r="AM187" s="535"/>
      <c r="AN187" s="535"/>
      <c r="AO187" s="536"/>
      <c r="BD187" s="201"/>
    </row>
    <row r="188" spans="2:64" ht="15.75" customHeight="1">
      <c r="B188" s="201"/>
      <c r="I188" s="202"/>
      <c r="O188" s="535"/>
      <c r="P188" s="535"/>
      <c r="Q188" s="536"/>
      <c r="R188" s="535"/>
      <c r="S188" s="535" t="s">
        <v>956</v>
      </c>
      <c r="T188" s="535" t="s">
        <v>971</v>
      </c>
      <c r="U188" s="535"/>
      <c r="V188" s="535"/>
      <c r="W188" s="535"/>
      <c r="X188" s="535"/>
      <c r="Y188" s="535"/>
      <c r="Z188" s="535"/>
      <c r="AA188" s="535"/>
      <c r="AB188" s="535"/>
      <c r="AC188" s="535" t="s">
        <v>957</v>
      </c>
      <c r="AD188" s="535"/>
      <c r="AE188" s="535"/>
      <c r="AF188" s="535"/>
      <c r="AG188" s="535"/>
      <c r="AH188" s="535"/>
      <c r="AI188" s="535"/>
      <c r="AJ188" s="535"/>
      <c r="AK188" s="535"/>
      <c r="AL188" s="535"/>
      <c r="AM188" s="535"/>
      <c r="AN188" s="535"/>
      <c r="AO188" s="535"/>
      <c r="BD188" s="201"/>
    </row>
    <row r="189" spans="2:64" ht="15.75" customHeight="1">
      <c r="B189" s="201"/>
      <c r="I189" s="202"/>
      <c r="O189" s="535"/>
      <c r="P189" s="535"/>
      <c r="Q189" s="536"/>
      <c r="R189" s="535"/>
      <c r="S189" s="535" t="s">
        <v>956</v>
      </c>
      <c r="T189" s="535" t="s">
        <v>972</v>
      </c>
      <c r="U189" s="535"/>
      <c r="V189" s="535"/>
      <c r="W189" s="535"/>
      <c r="X189" s="535"/>
      <c r="Y189" s="535"/>
      <c r="Z189" s="535"/>
      <c r="AA189" s="535"/>
      <c r="AB189" s="535"/>
      <c r="AC189" s="535" t="s">
        <v>959</v>
      </c>
      <c r="AD189" s="535"/>
      <c r="AE189" s="535"/>
      <c r="AF189" s="535"/>
      <c r="AG189" s="535"/>
      <c r="AH189" s="535"/>
      <c r="AI189" s="535"/>
      <c r="AJ189" s="535"/>
      <c r="AK189" s="535"/>
      <c r="AL189" s="535"/>
      <c r="AM189" s="535"/>
      <c r="AN189" s="535"/>
      <c r="AO189" s="536"/>
      <c r="BD189" s="201"/>
    </row>
    <row r="190" spans="2:64" ht="15.75" customHeight="1">
      <c r="B190" s="201"/>
      <c r="I190" s="202"/>
      <c r="O190" s="535"/>
      <c r="P190" s="535"/>
      <c r="Q190" s="536"/>
      <c r="R190" s="535"/>
      <c r="S190" s="535" t="s">
        <v>956</v>
      </c>
      <c r="T190" s="535" t="s">
        <v>973</v>
      </c>
      <c r="U190" s="535"/>
      <c r="V190" s="535"/>
      <c r="W190" s="535"/>
      <c r="X190" s="535"/>
      <c r="Y190" s="535"/>
      <c r="Z190" s="535"/>
      <c r="AA190" s="535"/>
      <c r="AB190" s="535"/>
      <c r="AC190" s="535" t="s">
        <v>960</v>
      </c>
      <c r="AD190" s="535"/>
      <c r="AE190" s="535"/>
      <c r="AF190" s="535"/>
      <c r="AG190" s="535"/>
      <c r="AH190" s="535"/>
      <c r="AI190" s="535"/>
      <c r="AJ190" s="535"/>
      <c r="AK190" s="535"/>
      <c r="AL190" s="535"/>
      <c r="AM190" s="535"/>
      <c r="AN190" s="535"/>
      <c r="AO190" s="536"/>
      <c r="BD190" s="201"/>
    </row>
    <row r="191" spans="2:64" ht="15.75" customHeight="1">
      <c r="B191" s="201"/>
      <c r="I191" s="202"/>
      <c r="O191" s="535"/>
      <c r="P191" s="535"/>
      <c r="Q191" s="536"/>
      <c r="R191" s="535"/>
      <c r="S191" s="535" t="s">
        <v>956</v>
      </c>
      <c r="T191" s="535" t="s">
        <v>975</v>
      </c>
      <c r="U191" s="535"/>
      <c r="V191" s="535"/>
      <c r="W191" s="535"/>
      <c r="X191" s="535"/>
      <c r="Y191" s="535"/>
      <c r="Z191" s="535"/>
      <c r="AA191" s="535"/>
      <c r="AB191" s="535"/>
      <c r="AC191" s="535" t="s">
        <v>976</v>
      </c>
      <c r="AD191" s="535"/>
      <c r="AE191" s="535"/>
      <c r="AF191" s="535"/>
      <c r="AG191" s="535"/>
      <c r="AH191" s="535"/>
      <c r="AI191" s="535"/>
      <c r="AJ191" s="535"/>
      <c r="AK191" s="535"/>
      <c r="AL191" s="535"/>
      <c r="AM191" s="535"/>
      <c r="AN191" s="535"/>
      <c r="AO191" s="536"/>
      <c r="BD191" s="201"/>
    </row>
    <row r="192" spans="2:64" ht="15.75" customHeight="1">
      <c r="B192" s="201"/>
      <c r="I192" s="202"/>
      <c r="O192" s="535"/>
      <c r="P192" s="535"/>
      <c r="Q192" s="536"/>
      <c r="R192" s="535"/>
      <c r="S192" s="535" t="s">
        <v>956</v>
      </c>
      <c r="T192" s="535" t="s">
        <v>958</v>
      </c>
      <c r="U192" s="535"/>
      <c r="V192" s="535"/>
      <c r="W192" s="535"/>
      <c r="X192" s="535"/>
      <c r="Y192" s="535"/>
      <c r="Z192" s="535"/>
      <c r="AA192" s="535"/>
      <c r="AB192" s="535"/>
      <c r="AC192" s="535" t="s">
        <v>981</v>
      </c>
      <c r="AD192" s="535"/>
      <c r="AE192" s="535"/>
      <c r="AF192" s="535"/>
      <c r="AG192" s="535"/>
      <c r="AH192" s="535"/>
      <c r="AI192" s="535"/>
      <c r="AJ192" s="535"/>
      <c r="AK192" s="535"/>
      <c r="AL192" s="535"/>
      <c r="AM192" s="535"/>
      <c r="AN192" s="535"/>
      <c r="AO192" s="536"/>
      <c r="BD192" s="201"/>
    </row>
    <row r="193" spans="2:64" ht="15.75" customHeight="1">
      <c r="B193" s="201"/>
      <c r="I193" s="202"/>
      <c r="O193" s="535"/>
      <c r="P193" s="535"/>
      <c r="Q193" s="536"/>
      <c r="R193" s="535"/>
      <c r="S193" s="535" t="s">
        <v>956</v>
      </c>
      <c r="T193" s="535" t="s">
        <v>983</v>
      </c>
      <c r="U193" s="535"/>
      <c r="V193" s="535"/>
      <c r="W193" s="535"/>
      <c r="X193" s="535"/>
      <c r="Y193" s="535"/>
      <c r="Z193" s="535"/>
      <c r="AA193" s="535"/>
      <c r="AB193" s="535"/>
      <c r="AC193" s="535" t="s">
        <v>984</v>
      </c>
      <c r="AD193" s="535"/>
      <c r="AE193" s="535"/>
      <c r="AF193" s="535"/>
      <c r="AG193" s="535"/>
      <c r="AH193" s="535"/>
      <c r="AI193" s="535"/>
      <c r="AJ193" s="535"/>
      <c r="AK193" s="535"/>
      <c r="AL193" s="535"/>
      <c r="AM193" s="535"/>
      <c r="AN193" s="535"/>
      <c r="AO193" s="536"/>
      <c r="BD193" s="201"/>
    </row>
    <row r="194" spans="2:64" ht="15.75" customHeight="1">
      <c r="B194" s="201"/>
      <c r="I194" s="202"/>
      <c r="O194" s="535"/>
      <c r="P194" s="535"/>
      <c r="Q194" s="535"/>
      <c r="R194" s="535"/>
      <c r="S194" s="535"/>
      <c r="T194" s="535"/>
      <c r="U194" s="535"/>
      <c r="V194" s="535"/>
      <c r="W194" s="535"/>
      <c r="X194" s="535"/>
      <c r="Y194" s="535"/>
      <c r="Z194" s="535"/>
      <c r="AA194" s="535"/>
      <c r="AB194" s="535"/>
      <c r="AC194" s="535"/>
      <c r="AD194" s="535"/>
      <c r="AE194" s="535"/>
      <c r="AF194" s="535"/>
      <c r="AG194" s="535"/>
      <c r="AH194" s="535"/>
      <c r="AI194" s="535"/>
      <c r="AJ194" s="535"/>
      <c r="AK194" s="535"/>
      <c r="AL194" s="535"/>
      <c r="AM194" s="535"/>
      <c r="AN194" s="535"/>
      <c r="AO194" s="535"/>
      <c r="BD194" s="201"/>
    </row>
    <row r="195" spans="2:64" ht="15.75" customHeight="1">
      <c r="B195" s="201"/>
      <c r="I195" s="202"/>
      <c r="O195" s="535"/>
      <c r="P195" s="535"/>
      <c r="Q195" s="535" t="s">
        <v>961</v>
      </c>
      <c r="R195" s="535"/>
      <c r="S195" s="535"/>
      <c r="T195" s="535"/>
      <c r="U195" s="535"/>
      <c r="V195" s="535"/>
      <c r="W195" s="535"/>
      <c r="X195" s="535"/>
      <c r="Y195" s="535"/>
      <c r="Z195" s="535"/>
      <c r="AA195" s="535"/>
      <c r="AB195" s="535"/>
      <c r="AC195" s="535"/>
      <c r="AD195" s="535"/>
      <c r="AE195" s="535"/>
      <c r="AF195" s="535"/>
      <c r="AG195" s="535"/>
      <c r="AH195" s="535"/>
      <c r="AI195" s="535"/>
      <c r="AJ195" s="535"/>
      <c r="AK195" s="535"/>
      <c r="AL195" s="535"/>
      <c r="AM195" s="535"/>
      <c r="AN195" s="535"/>
      <c r="AO195" s="535"/>
      <c r="BD195" s="201"/>
    </row>
    <row r="196" spans="2:64" ht="15.75" customHeight="1">
      <c r="B196" s="201"/>
      <c r="I196" s="202"/>
      <c r="O196" s="535"/>
      <c r="P196" s="535"/>
      <c r="Q196" s="535"/>
      <c r="R196" s="535" t="s">
        <v>987</v>
      </c>
      <c r="S196" s="535"/>
      <c r="T196" s="535"/>
      <c r="U196" s="535"/>
      <c r="V196" s="535"/>
      <c r="W196" s="535"/>
      <c r="X196" s="535"/>
      <c r="Y196" s="535"/>
      <c r="Z196" s="535"/>
      <c r="AA196" s="535"/>
      <c r="AB196" s="535"/>
      <c r="AC196" s="535"/>
      <c r="AD196" s="535"/>
      <c r="AE196" s="535"/>
      <c r="AF196" s="535"/>
      <c r="AG196" s="535"/>
      <c r="AH196" s="535"/>
      <c r="AI196" s="535"/>
      <c r="AJ196" s="535"/>
      <c r="AK196" s="535"/>
      <c r="AL196" s="535"/>
      <c r="AM196" s="535"/>
      <c r="AN196" s="535"/>
      <c r="AO196" s="535"/>
      <c r="BD196" s="201"/>
    </row>
    <row r="197" spans="2:64" ht="15.75" customHeight="1">
      <c r="B197" s="201"/>
      <c r="I197" s="202"/>
      <c r="R197" s="535" t="s">
        <v>974</v>
      </c>
      <c r="S197" s="535"/>
      <c r="T197" s="535"/>
      <c r="U197" s="535"/>
      <c r="V197" s="535"/>
      <c r="W197" s="535"/>
      <c r="X197" s="535"/>
      <c r="Y197" s="535"/>
      <c r="Z197" s="535"/>
      <c r="AA197" s="535"/>
      <c r="AB197" s="535"/>
      <c r="AC197" s="535"/>
      <c r="AD197" s="535"/>
      <c r="AE197" s="535"/>
      <c r="AF197" s="535"/>
      <c r="AG197" s="535"/>
      <c r="AH197" s="535"/>
      <c r="AI197" s="535"/>
      <c r="AJ197" s="535"/>
      <c r="AK197" s="535"/>
      <c r="AL197" s="535"/>
      <c r="AM197" s="535"/>
      <c r="AN197" s="535"/>
      <c r="AO197" s="535"/>
      <c r="BD197" s="201"/>
    </row>
    <row r="198" spans="2:64" ht="15.75" customHeight="1">
      <c r="B198" s="201"/>
      <c r="I198" s="202"/>
      <c r="R198" s="535" t="s">
        <v>977</v>
      </c>
      <c r="S198" s="535"/>
      <c r="T198" s="535"/>
      <c r="U198" s="535"/>
      <c r="V198" s="535"/>
      <c r="W198" s="535"/>
      <c r="X198" s="535"/>
      <c r="Y198" s="535"/>
      <c r="Z198" s="535"/>
      <c r="AA198" s="535"/>
      <c r="AB198" s="535"/>
      <c r="AC198" s="535"/>
      <c r="AD198" s="535"/>
      <c r="AE198" s="535"/>
      <c r="AF198" s="535"/>
      <c r="AG198" s="535"/>
      <c r="AH198" s="535"/>
      <c r="AI198" s="535"/>
      <c r="AJ198" s="535"/>
      <c r="AK198" s="535"/>
      <c r="AL198" s="535"/>
      <c r="AM198" s="535"/>
      <c r="AN198" s="535"/>
      <c r="AO198" s="535"/>
      <c r="BD198" s="201"/>
    </row>
    <row r="199" spans="2:64" ht="15.75" customHeight="1">
      <c r="B199" s="201"/>
      <c r="I199" s="202"/>
      <c r="R199" s="1" t="s">
        <v>978</v>
      </c>
      <c r="BD199" s="201"/>
    </row>
    <row r="200" spans="2:64" ht="15.75" customHeight="1">
      <c r="B200" s="201"/>
      <c r="I200" s="202"/>
      <c r="R200" s="1" t="s">
        <v>982</v>
      </c>
      <c r="BD200" s="201"/>
    </row>
    <row r="201" spans="2:64" ht="15.75" customHeight="1">
      <c r="B201" s="201"/>
      <c r="I201" s="202"/>
      <c r="R201" s="589" t="s">
        <v>985</v>
      </c>
      <c r="S201" s="589"/>
      <c r="T201" s="589"/>
      <c r="U201" s="589"/>
      <c r="V201" s="589"/>
      <c r="W201" s="589"/>
      <c r="X201" s="589"/>
      <c r="Y201" s="589"/>
      <c r="Z201" s="589"/>
      <c r="AA201" s="589"/>
      <c r="AB201" s="589"/>
      <c r="AC201" s="589"/>
      <c r="AD201" s="589"/>
      <c r="AE201" s="589"/>
      <c r="AF201" s="589"/>
      <c r="AG201" s="589"/>
      <c r="AH201" s="589"/>
      <c r="AI201" s="589"/>
      <c r="AJ201" s="589"/>
      <c r="AK201" s="589"/>
      <c r="AL201" s="589"/>
      <c r="BD201" s="201"/>
    </row>
    <row r="202" spans="2:64" ht="15.75" customHeight="1">
      <c r="B202" s="201"/>
      <c r="I202" s="202"/>
      <c r="O202" s="535"/>
      <c r="P202" s="535"/>
      <c r="Q202" s="535"/>
      <c r="R202" s="590"/>
      <c r="S202" s="535"/>
      <c r="T202" s="535"/>
      <c r="U202" s="535"/>
      <c r="V202" s="535"/>
      <c r="W202" s="535"/>
      <c r="X202" s="535"/>
      <c r="Y202" s="535"/>
      <c r="Z202" s="535"/>
      <c r="AA202" s="535"/>
      <c r="AB202" s="535"/>
      <c r="AC202" s="535"/>
      <c r="AD202" s="535"/>
      <c r="AE202" s="535"/>
      <c r="AF202" s="535"/>
      <c r="AG202" s="535"/>
      <c r="AH202" s="535"/>
      <c r="AI202" s="535"/>
      <c r="AJ202" s="535"/>
      <c r="AK202" s="535"/>
      <c r="AL202" s="535"/>
      <c r="AM202" s="535"/>
      <c r="AN202" s="535"/>
      <c r="AO202" s="535"/>
      <c r="AP202" s="535"/>
      <c r="AQ202" s="535"/>
      <c r="AR202" s="535"/>
      <c r="AS202" s="535"/>
      <c r="AT202" s="189"/>
      <c r="AU202" s="189"/>
      <c r="BD202" s="201"/>
      <c r="BK202" s="193"/>
      <c r="BL202" s="189"/>
    </row>
    <row r="203" spans="2:64" ht="15.75" customHeight="1">
      <c r="B203" s="201"/>
      <c r="I203" s="202"/>
      <c r="O203" s="535"/>
      <c r="P203" s="535"/>
      <c r="Q203" s="535"/>
      <c r="R203" s="591" t="s">
        <v>1177</v>
      </c>
      <c r="S203" s="591"/>
      <c r="T203" s="591"/>
      <c r="U203" s="591"/>
      <c r="V203" s="591"/>
      <c r="W203" s="591"/>
      <c r="X203" s="591"/>
      <c r="Y203" s="591"/>
      <c r="Z203" s="591"/>
      <c r="AA203" s="591"/>
      <c r="AB203" s="591"/>
      <c r="AC203" s="591"/>
      <c r="AD203" s="591"/>
      <c r="AE203" s="591"/>
      <c r="AF203" s="591"/>
      <c r="AG203" s="591"/>
      <c r="AH203" s="591"/>
      <c r="AI203" s="591"/>
      <c r="AJ203" s="591"/>
      <c r="AK203" s="591"/>
      <c r="AL203" s="591"/>
      <c r="AM203" s="591"/>
      <c r="AN203" s="535"/>
      <c r="AO203" s="535"/>
      <c r="AP203" s="535"/>
      <c r="AQ203" s="535"/>
      <c r="AR203" s="535"/>
      <c r="AS203" s="535"/>
      <c r="AT203" s="189"/>
      <c r="AU203" s="189"/>
      <c r="BD203" s="201"/>
      <c r="BK203" s="193"/>
      <c r="BL203" s="189"/>
    </row>
    <row r="204" spans="2:64" ht="15.75" customHeight="1">
      <c r="B204" s="201"/>
      <c r="I204" s="202"/>
      <c r="O204" s="535"/>
      <c r="P204" s="535"/>
      <c r="Q204" s="535"/>
      <c r="R204" s="591" t="s">
        <v>1178</v>
      </c>
      <c r="S204" s="591"/>
      <c r="T204" s="591"/>
      <c r="U204" s="591"/>
      <c r="V204" s="591"/>
      <c r="W204" s="591"/>
      <c r="X204" s="591"/>
      <c r="Y204" s="591"/>
      <c r="Z204" s="591"/>
      <c r="AA204" s="591"/>
      <c r="AB204" s="591"/>
      <c r="AC204" s="591"/>
      <c r="AD204" s="591"/>
      <c r="AE204" s="591"/>
      <c r="AF204" s="591"/>
      <c r="AG204" s="591"/>
      <c r="AH204" s="591"/>
      <c r="AI204" s="591"/>
      <c r="AJ204" s="591"/>
      <c r="AK204" s="591"/>
      <c r="AL204" s="591"/>
      <c r="AM204" s="591"/>
      <c r="AN204" s="535"/>
      <c r="AO204" s="535"/>
      <c r="AP204" s="535"/>
      <c r="AQ204" s="535"/>
      <c r="AR204" s="535"/>
      <c r="AS204" s="535"/>
      <c r="AT204" s="189"/>
      <c r="AU204" s="189"/>
      <c r="BD204" s="201"/>
      <c r="BK204" s="193"/>
      <c r="BL204" s="189"/>
    </row>
    <row r="205" spans="2:64" ht="15.75" customHeight="1">
      <c r="B205" s="201"/>
      <c r="I205" s="202"/>
      <c r="O205" s="535"/>
      <c r="P205" s="535"/>
      <c r="Q205" s="535"/>
      <c r="R205" s="591" t="s">
        <v>1179</v>
      </c>
      <c r="S205" s="591"/>
      <c r="T205" s="591"/>
      <c r="U205" s="591"/>
      <c r="V205" s="591"/>
      <c r="W205" s="591"/>
      <c r="X205" s="591"/>
      <c r="Y205" s="591"/>
      <c r="Z205" s="591"/>
      <c r="AA205" s="591"/>
      <c r="AB205" s="591"/>
      <c r="AC205" s="591"/>
      <c r="AD205" s="591"/>
      <c r="AE205" s="591"/>
      <c r="AF205" s="591"/>
      <c r="AG205" s="591"/>
      <c r="AH205" s="591"/>
      <c r="AI205" s="591"/>
      <c r="AJ205" s="591"/>
      <c r="AK205" s="591"/>
      <c r="AL205" s="591"/>
      <c r="AM205" s="591"/>
      <c r="AN205" s="535"/>
      <c r="AO205" s="535"/>
      <c r="AP205" s="535"/>
      <c r="AQ205" s="535"/>
      <c r="AR205" s="535"/>
      <c r="AS205" s="535"/>
      <c r="AT205" s="189"/>
      <c r="AU205" s="189"/>
      <c r="BD205" s="201"/>
      <c r="BK205" s="193"/>
      <c r="BL205" s="189"/>
    </row>
    <row r="206" spans="2:64" ht="15.75" customHeight="1">
      <c r="B206" s="201"/>
      <c r="I206" s="202"/>
      <c r="O206" s="535"/>
      <c r="P206" s="535"/>
      <c r="Q206" s="535"/>
      <c r="R206" s="591" t="s">
        <v>1180</v>
      </c>
      <c r="S206" s="591"/>
      <c r="T206" s="591"/>
      <c r="U206" s="591"/>
      <c r="V206" s="591"/>
      <c r="W206" s="591"/>
      <c r="X206" s="591"/>
      <c r="Y206" s="591"/>
      <c r="Z206" s="591"/>
      <c r="AA206" s="591"/>
      <c r="AB206" s="591"/>
      <c r="AC206" s="591"/>
      <c r="AD206" s="591"/>
      <c r="AE206" s="591"/>
      <c r="AF206" s="591"/>
      <c r="AG206" s="591"/>
      <c r="AH206" s="591"/>
      <c r="AI206" s="591"/>
      <c r="AJ206" s="591"/>
      <c r="AK206" s="591"/>
      <c r="AL206" s="591"/>
      <c r="AM206" s="591"/>
      <c r="AN206" s="535"/>
      <c r="AO206" s="535"/>
      <c r="AP206" s="535"/>
      <c r="AQ206" s="535"/>
      <c r="AR206" s="535"/>
      <c r="AS206" s="535"/>
      <c r="AT206" s="189"/>
      <c r="AU206" s="189"/>
      <c r="BD206" s="201"/>
      <c r="BK206" s="193"/>
      <c r="BL206" s="189"/>
    </row>
    <row r="207" spans="2:64" ht="15.75" customHeight="1">
      <c r="B207" s="201"/>
      <c r="I207" s="202"/>
      <c r="O207" s="535"/>
      <c r="P207" s="535"/>
      <c r="Q207" s="535"/>
      <c r="R207" s="591" t="s">
        <v>1181</v>
      </c>
      <c r="S207" s="591"/>
      <c r="T207" s="591"/>
      <c r="U207" s="591"/>
      <c r="V207" s="591"/>
      <c r="W207" s="591"/>
      <c r="X207" s="591"/>
      <c r="Y207" s="591"/>
      <c r="Z207" s="591"/>
      <c r="AA207" s="591"/>
      <c r="AB207" s="591"/>
      <c r="AC207" s="591"/>
      <c r="AD207" s="591"/>
      <c r="AE207" s="591"/>
      <c r="AF207" s="591"/>
      <c r="AG207" s="591"/>
      <c r="AH207" s="591"/>
      <c r="AI207" s="591"/>
      <c r="AJ207" s="591"/>
      <c r="AK207" s="591"/>
      <c r="AL207" s="591"/>
      <c r="AM207" s="591"/>
      <c r="AN207" s="535"/>
      <c r="AO207" s="535"/>
      <c r="AP207" s="535"/>
      <c r="AQ207" s="535"/>
      <c r="AR207" s="535"/>
      <c r="AS207" s="535"/>
      <c r="AT207" s="189"/>
      <c r="AU207" s="189"/>
      <c r="BD207" s="201"/>
      <c r="BK207" s="193"/>
      <c r="BL207" s="189"/>
    </row>
    <row r="208" spans="2:64" ht="15.75" customHeight="1">
      <c r="B208" s="201"/>
      <c r="I208" s="202"/>
      <c r="BD208" s="201"/>
    </row>
    <row r="209" spans="2:56" ht="15.75" customHeight="1">
      <c r="B209" s="201"/>
      <c r="I209" s="202"/>
      <c r="Q209" s="535" t="s">
        <v>986</v>
      </c>
      <c r="BD209" s="201"/>
    </row>
    <row r="210" spans="2:56" ht="15.75" customHeight="1">
      <c r="B210" s="201"/>
      <c r="I210" s="202"/>
      <c r="R210" s="550" t="s">
        <v>988</v>
      </c>
      <c r="S210" s="550"/>
      <c r="T210" s="550"/>
      <c r="U210" s="550"/>
      <c r="V210" s="550"/>
      <c r="W210" s="550"/>
      <c r="X210" s="550"/>
      <c r="Y210" s="550"/>
      <c r="Z210" s="550"/>
      <c r="AA210" s="550"/>
      <c r="AB210" s="550"/>
      <c r="AC210" s="550"/>
      <c r="AD210" s="550"/>
      <c r="AE210" s="550" t="s">
        <v>1026</v>
      </c>
      <c r="AF210" s="550"/>
      <c r="AG210" s="550"/>
      <c r="AH210" s="550"/>
      <c r="AI210" s="550" t="s">
        <v>1027</v>
      </c>
      <c r="AJ210" s="550"/>
      <c r="AK210" s="550"/>
      <c r="AL210" s="550"/>
      <c r="AM210" s="550"/>
      <c r="AN210" s="550"/>
      <c r="BD210" s="201"/>
    </row>
    <row r="211" spans="2:56" ht="15.75" customHeight="1">
      <c r="B211" s="201"/>
      <c r="I211" s="202"/>
      <c r="R211" s="550" t="s">
        <v>989</v>
      </c>
      <c r="S211" s="550"/>
      <c r="T211" s="550"/>
      <c r="U211" s="550"/>
      <c r="V211" s="550"/>
      <c r="W211" s="550"/>
      <c r="X211" s="550"/>
      <c r="Y211" s="550"/>
      <c r="Z211" s="550"/>
      <c r="AA211" s="550"/>
      <c r="AB211" s="550"/>
      <c r="AC211" s="550"/>
      <c r="AD211" s="550"/>
      <c r="AE211" s="550" t="s">
        <v>1026</v>
      </c>
      <c r="AF211" s="550"/>
      <c r="AG211" s="550"/>
      <c r="AH211" s="550"/>
      <c r="AI211" s="550" t="s">
        <v>1029</v>
      </c>
      <c r="AJ211" s="550"/>
      <c r="AK211" s="550"/>
      <c r="AL211" s="550"/>
      <c r="AM211" s="550"/>
      <c r="AN211" s="550"/>
      <c r="AO211" s="550"/>
      <c r="BD211" s="201"/>
    </row>
    <row r="212" spans="2:56" ht="15.75" customHeight="1">
      <c r="B212" s="201"/>
      <c r="I212" s="202"/>
      <c r="R212" s="1" t="s">
        <v>990</v>
      </c>
      <c r="AE212" s="1" t="s">
        <v>1139</v>
      </c>
      <c r="AI212" s="1" t="s">
        <v>1030</v>
      </c>
      <c r="BD212" s="201"/>
    </row>
    <row r="213" spans="2:56" ht="15.75" customHeight="1">
      <c r="B213" s="201"/>
      <c r="I213" s="202"/>
      <c r="R213" s="1" t="s">
        <v>991</v>
      </c>
      <c r="AE213" s="1" t="s">
        <v>1139</v>
      </c>
      <c r="AI213" s="1" t="s">
        <v>1031</v>
      </c>
      <c r="BD213" s="201"/>
    </row>
    <row r="214" spans="2:56" ht="15.75" customHeight="1">
      <c r="B214" s="201"/>
      <c r="I214" s="202"/>
      <c r="R214" s="1" t="s">
        <v>1079</v>
      </c>
      <c r="AE214" s="1" t="s">
        <v>1080</v>
      </c>
      <c r="AI214" s="1" t="s">
        <v>1032</v>
      </c>
      <c r="BD214" s="201"/>
    </row>
    <row r="215" spans="2:56" ht="15.75" customHeight="1">
      <c r="B215" s="201"/>
      <c r="I215" s="202"/>
      <c r="R215" s="1" t="s">
        <v>1079</v>
      </c>
      <c r="AE215" s="1" t="s">
        <v>1081</v>
      </c>
      <c r="AI215" s="1" t="s">
        <v>1033</v>
      </c>
      <c r="BD215" s="201"/>
    </row>
    <row r="216" spans="2:56" ht="15.75" customHeight="1">
      <c r="B216" s="201"/>
      <c r="I216" s="202"/>
      <c r="R216" s="1" t="s">
        <v>992</v>
      </c>
      <c r="AE216" s="1" t="s">
        <v>1026</v>
      </c>
      <c r="AI216" s="1" t="s">
        <v>1034</v>
      </c>
      <c r="BD216" s="201"/>
    </row>
    <row r="217" spans="2:56" ht="15.75" customHeight="1">
      <c r="B217" s="201"/>
      <c r="I217" s="202"/>
      <c r="R217" s="1" t="s">
        <v>993</v>
      </c>
      <c r="AE217" s="1" t="s">
        <v>1026</v>
      </c>
      <c r="AI217" s="1" t="s">
        <v>1035</v>
      </c>
      <c r="BD217" s="201"/>
    </row>
    <row r="218" spans="2:56" ht="15.75" customHeight="1">
      <c r="B218" s="201"/>
      <c r="I218" s="202"/>
      <c r="R218" s="1" t="s">
        <v>994</v>
      </c>
      <c r="AE218" s="1" t="s">
        <v>1026</v>
      </c>
      <c r="AI218" s="1" t="s">
        <v>1036</v>
      </c>
      <c r="BD218" s="201"/>
    </row>
    <row r="219" spans="2:56" ht="15.75" customHeight="1">
      <c r="B219" s="201"/>
      <c r="I219" s="202"/>
      <c r="R219" s="1" t="s">
        <v>995</v>
      </c>
      <c r="AE219" s="1" t="s">
        <v>1026</v>
      </c>
      <c r="AI219" s="1" t="s">
        <v>1037</v>
      </c>
      <c r="BD219" s="201"/>
    </row>
    <row r="220" spans="2:56" ht="15.75" customHeight="1">
      <c r="B220" s="201"/>
      <c r="I220" s="202"/>
      <c r="R220" s="1" t="s">
        <v>996</v>
      </c>
      <c r="AE220" s="1" t="s">
        <v>1026</v>
      </c>
      <c r="AI220" s="1" t="s">
        <v>1038</v>
      </c>
      <c r="BD220" s="201"/>
    </row>
    <row r="221" spans="2:56" ht="15.75" customHeight="1">
      <c r="B221" s="201"/>
      <c r="I221" s="202"/>
      <c r="R221" s="1" t="s">
        <v>997</v>
      </c>
      <c r="AE221" s="1" t="s">
        <v>1026</v>
      </c>
      <c r="AI221" s="1" t="s">
        <v>1039</v>
      </c>
      <c r="BD221" s="201"/>
    </row>
    <row r="222" spans="2:56" ht="15.75" customHeight="1">
      <c r="B222" s="201"/>
      <c r="I222" s="202"/>
      <c r="R222" s="1" t="s">
        <v>998</v>
      </c>
      <c r="AE222" s="1" t="s">
        <v>1026</v>
      </c>
      <c r="AI222" s="1" t="s">
        <v>1040</v>
      </c>
      <c r="BD222" s="201"/>
    </row>
    <row r="223" spans="2:56" ht="15.75" customHeight="1">
      <c r="B223" s="201"/>
      <c r="I223" s="202"/>
      <c r="R223" s="1" t="s">
        <v>999</v>
      </c>
      <c r="AE223" s="1" t="s">
        <v>1026</v>
      </c>
      <c r="AI223" s="1" t="s">
        <v>1041</v>
      </c>
      <c r="BD223" s="201"/>
    </row>
    <row r="224" spans="2:56" ht="15.75" customHeight="1">
      <c r="B224" s="201"/>
      <c r="I224" s="202"/>
      <c r="R224" s="1" t="s">
        <v>1000</v>
      </c>
      <c r="AE224" s="1" t="s">
        <v>1026</v>
      </c>
      <c r="AI224" s="1" t="s">
        <v>1042</v>
      </c>
      <c r="BD224" s="201"/>
    </row>
    <row r="225" spans="2:56" ht="15.75" customHeight="1">
      <c r="B225" s="201"/>
      <c r="I225" s="202"/>
      <c r="R225" s="1" t="s">
        <v>1001</v>
      </c>
      <c r="AE225" s="1" t="s">
        <v>1026</v>
      </c>
      <c r="AI225" s="1" t="s">
        <v>1043</v>
      </c>
      <c r="BD225" s="201"/>
    </row>
    <row r="226" spans="2:56" ht="15.75" customHeight="1">
      <c r="B226" s="201"/>
      <c r="I226" s="202"/>
      <c r="R226" s="1" t="s">
        <v>1002</v>
      </c>
      <c r="AE226" s="1" t="s">
        <v>1026</v>
      </c>
      <c r="AI226" s="1" t="s">
        <v>1044</v>
      </c>
      <c r="BD226" s="201"/>
    </row>
    <row r="227" spans="2:56" ht="15.75" customHeight="1">
      <c r="B227" s="201"/>
      <c r="I227" s="202"/>
      <c r="R227" s="1" t="s">
        <v>1003</v>
      </c>
      <c r="AE227" s="1" t="s">
        <v>1026</v>
      </c>
      <c r="AI227" s="1" t="s">
        <v>1045</v>
      </c>
      <c r="BD227" s="201"/>
    </row>
    <row r="228" spans="2:56" ht="15.75" customHeight="1">
      <c r="B228" s="201"/>
      <c r="I228" s="202"/>
      <c r="R228" s="1" t="s">
        <v>1004</v>
      </c>
      <c r="AE228" s="1" t="s">
        <v>1026</v>
      </c>
      <c r="AI228" s="1" t="s">
        <v>1046</v>
      </c>
      <c r="BD228" s="201"/>
    </row>
    <row r="229" spans="2:56" ht="15.75" customHeight="1">
      <c r="B229" s="201"/>
      <c r="I229" s="202"/>
      <c r="R229" s="1" t="s">
        <v>1005</v>
      </c>
      <c r="AE229" s="1" t="s">
        <v>1026</v>
      </c>
      <c r="AI229" s="1" t="s">
        <v>1047</v>
      </c>
      <c r="BD229" s="201"/>
    </row>
    <row r="230" spans="2:56" ht="15.75" customHeight="1">
      <c r="B230" s="201"/>
      <c r="I230" s="202"/>
      <c r="R230" s="1" t="s">
        <v>1006</v>
      </c>
      <c r="AE230" s="1" t="s">
        <v>1026</v>
      </c>
      <c r="AI230" s="1" t="s">
        <v>1048</v>
      </c>
      <c r="BD230" s="201"/>
    </row>
    <row r="231" spans="2:56" ht="15.75" customHeight="1">
      <c r="B231" s="201"/>
      <c r="I231" s="202"/>
      <c r="R231" s="1" t="s">
        <v>1007</v>
      </c>
      <c r="AE231" s="1" t="s">
        <v>1026</v>
      </c>
      <c r="AI231" s="1" t="s">
        <v>1049</v>
      </c>
      <c r="BD231" s="201"/>
    </row>
    <row r="232" spans="2:56" ht="15.75" customHeight="1">
      <c r="B232" s="201"/>
      <c r="I232" s="202"/>
      <c r="R232" s="1" t="s">
        <v>1008</v>
      </c>
      <c r="AE232" s="1" t="s">
        <v>1026</v>
      </c>
      <c r="AI232" s="1" t="s">
        <v>1050</v>
      </c>
      <c r="BD232" s="201"/>
    </row>
    <row r="233" spans="2:56" ht="15.75" customHeight="1">
      <c r="B233" s="201"/>
      <c r="I233" s="202"/>
      <c r="R233" s="1" t="s">
        <v>1009</v>
      </c>
      <c r="AE233" s="1" t="s">
        <v>1026</v>
      </c>
      <c r="AI233" s="1" t="s">
        <v>1051</v>
      </c>
      <c r="BD233" s="201"/>
    </row>
    <row r="234" spans="2:56" ht="15.75" customHeight="1">
      <c r="B234" s="201"/>
      <c r="I234" s="202"/>
      <c r="R234" s="1" t="s">
        <v>1010</v>
      </c>
      <c r="AE234" s="1" t="s">
        <v>1026</v>
      </c>
      <c r="AI234" s="1" t="s">
        <v>1052</v>
      </c>
      <c r="BD234" s="201"/>
    </row>
    <row r="235" spans="2:56" ht="15.75" customHeight="1">
      <c r="B235" s="201"/>
      <c r="I235" s="202"/>
      <c r="R235" s="1" t="s">
        <v>1011</v>
      </c>
      <c r="AE235" s="1" t="s">
        <v>1026</v>
      </c>
      <c r="AI235" s="1" t="s">
        <v>1053</v>
      </c>
      <c r="BD235" s="201"/>
    </row>
    <row r="236" spans="2:56" ht="15.75" customHeight="1">
      <c r="B236" s="201"/>
      <c r="I236" s="202"/>
      <c r="R236" s="1" t="s">
        <v>1012</v>
      </c>
      <c r="AE236" s="1" t="s">
        <v>1026</v>
      </c>
      <c r="AI236" s="1" t="s">
        <v>1054</v>
      </c>
      <c r="BD236" s="201"/>
    </row>
    <row r="237" spans="2:56" ht="15.75" customHeight="1">
      <c r="B237" s="201"/>
      <c r="I237" s="202"/>
      <c r="R237" s="1" t="s">
        <v>1013</v>
      </c>
      <c r="AE237" s="1" t="s">
        <v>1026</v>
      </c>
      <c r="AI237" s="1" t="s">
        <v>1055</v>
      </c>
      <c r="BD237" s="201"/>
    </row>
    <row r="238" spans="2:56" ht="15.75" customHeight="1">
      <c r="B238" s="201"/>
      <c r="I238" s="202"/>
      <c r="R238" s="1" t="s">
        <v>1014</v>
      </c>
      <c r="AE238" s="1" t="s">
        <v>1026</v>
      </c>
      <c r="AI238" s="1" t="s">
        <v>1056</v>
      </c>
      <c r="BD238" s="201"/>
    </row>
    <row r="239" spans="2:56" ht="15.75" customHeight="1">
      <c r="B239" s="201"/>
      <c r="I239" s="202"/>
      <c r="R239" s="1" t="s">
        <v>1015</v>
      </c>
      <c r="AE239" s="1" t="s">
        <v>1026</v>
      </c>
      <c r="AI239" s="1" t="s">
        <v>1057</v>
      </c>
      <c r="BD239" s="201"/>
    </row>
    <row r="240" spans="2:56" ht="15.75" customHeight="1">
      <c r="B240" s="201"/>
      <c r="I240" s="202"/>
      <c r="R240" s="1" t="s">
        <v>1078</v>
      </c>
      <c r="AE240" s="1" t="s">
        <v>1080</v>
      </c>
      <c r="AI240" s="1" t="s">
        <v>1058</v>
      </c>
      <c r="BD240" s="201"/>
    </row>
    <row r="241" spans="2:56" ht="15.75" customHeight="1">
      <c r="B241" s="201"/>
      <c r="I241" s="202"/>
      <c r="R241" s="1" t="s">
        <v>1078</v>
      </c>
      <c r="AE241" s="1" t="s">
        <v>1081</v>
      </c>
      <c r="AI241" s="1" t="s">
        <v>1059</v>
      </c>
      <c r="BD241" s="201"/>
    </row>
    <row r="242" spans="2:56" ht="15.75" customHeight="1">
      <c r="B242" s="201"/>
      <c r="I242" s="202"/>
      <c r="R242" s="1" t="s">
        <v>1016</v>
      </c>
      <c r="AE242" s="1" t="s">
        <v>1026</v>
      </c>
      <c r="AI242" s="1" t="s">
        <v>1060</v>
      </c>
      <c r="BD242" s="201"/>
    </row>
    <row r="243" spans="2:56" ht="15.75" customHeight="1">
      <c r="B243" s="201"/>
      <c r="I243" s="202"/>
      <c r="R243" s="1" t="s">
        <v>1017</v>
      </c>
      <c r="AE243" s="1" t="s">
        <v>1026</v>
      </c>
      <c r="AI243" s="1" t="s">
        <v>1061</v>
      </c>
      <c r="BD243" s="201"/>
    </row>
    <row r="244" spans="2:56" ht="15.75" customHeight="1">
      <c r="B244" s="201"/>
      <c r="I244" s="202"/>
      <c r="R244" s="1" t="s">
        <v>1018</v>
      </c>
      <c r="AE244" s="1" t="s">
        <v>1139</v>
      </c>
      <c r="AI244" s="1" t="s">
        <v>1062</v>
      </c>
      <c r="BD244" s="201"/>
    </row>
    <row r="245" spans="2:56" ht="15.75" customHeight="1">
      <c r="B245" s="201"/>
      <c r="I245" s="202"/>
      <c r="R245" s="1" t="s">
        <v>1019</v>
      </c>
      <c r="AE245" s="1" t="s">
        <v>1139</v>
      </c>
      <c r="AI245" s="1" t="s">
        <v>1063</v>
      </c>
      <c r="BD245" s="201"/>
    </row>
    <row r="246" spans="2:56" ht="15.75" customHeight="1">
      <c r="B246" s="201"/>
      <c r="I246" s="202"/>
      <c r="R246" s="1" t="s">
        <v>1020</v>
      </c>
      <c r="AE246" s="1" t="s">
        <v>1139</v>
      </c>
      <c r="AI246" s="1" t="s">
        <v>1064</v>
      </c>
      <c r="BD246" s="201"/>
    </row>
    <row r="247" spans="2:56" ht="15.75" customHeight="1">
      <c r="B247" s="201"/>
      <c r="I247" s="202"/>
      <c r="R247" s="1" t="s">
        <v>1021</v>
      </c>
      <c r="AE247" s="1" t="s">
        <v>1139</v>
      </c>
      <c r="AI247" s="1" t="s">
        <v>1065</v>
      </c>
      <c r="BD247" s="201"/>
    </row>
    <row r="248" spans="2:56" ht="15.75" customHeight="1">
      <c r="B248" s="201"/>
      <c r="I248" s="202"/>
      <c r="R248" s="1" t="s">
        <v>1022</v>
      </c>
      <c r="AE248" s="1" t="s">
        <v>1139</v>
      </c>
      <c r="AI248" s="1" t="s">
        <v>1066</v>
      </c>
      <c r="BD248" s="201"/>
    </row>
    <row r="249" spans="2:56" ht="15.75" customHeight="1">
      <c r="B249" s="201"/>
      <c r="I249" s="202"/>
      <c r="R249" s="1" t="s">
        <v>1023</v>
      </c>
      <c r="AE249" s="1" t="s">
        <v>1139</v>
      </c>
      <c r="AI249" s="1" t="s">
        <v>1067</v>
      </c>
      <c r="BD249" s="201"/>
    </row>
    <row r="250" spans="2:56" ht="15.75" customHeight="1">
      <c r="B250" s="201"/>
      <c r="I250" s="202"/>
      <c r="R250" s="1" t="s">
        <v>1086</v>
      </c>
      <c r="AE250" s="1" t="s">
        <v>1139</v>
      </c>
      <c r="AI250" s="1" t="s">
        <v>1068</v>
      </c>
      <c r="BD250" s="201"/>
    </row>
    <row r="251" spans="2:56" ht="15.75" customHeight="1">
      <c r="B251" s="201"/>
      <c r="I251" s="202"/>
      <c r="R251" s="1" t="s">
        <v>1084</v>
      </c>
      <c r="AE251" s="1" t="s">
        <v>1026</v>
      </c>
      <c r="AI251" s="1" t="s">
        <v>1028</v>
      </c>
      <c r="BD251" s="201"/>
    </row>
    <row r="252" spans="2:56" ht="15.75" customHeight="1">
      <c r="B252" s="201"/>
      <c r="I252" s="202"/>
      <c r="R252" s="1" t="s">
        <v>1077</v>
      </c>
      <c r="AE252" s="1" t="s">
        <v>1080</v>
      </c>
      <c r="AI252" s="1" t="s">
        <v>1069</v>
      </c>
      <c r="BD252" s="201"/>
    </row>
    <row r="253" spans="2:56" ht="15.75" customHeight="1">
      <c r="B253" s="201"/>
      <c r="I253" s="202"/>
      <c r="R253" s="1" t="s">
        <v>1077</v>
      </c>
      <c r="AE253" s="1" t="s">
        <v>1081</v>
      </c>
      <c r="AI253" s="1" t="s">
        <v>1070</v>
      </c>
      <c r="BD253" s="201"/>
    </row>
    <row r="254" spans="2:56" ht="15.75" customHeight="1">
      <c r="B254" s="201"/>
      <c r="I254" s="202"/>
      <c r="R254" s="1" t="s">
        <v>1076</v>
      </c>
      <c r="AE254" s="1" t="s">
        <v>1080</v>
      </c>
      <c r="AI254" s="1" t="s">
        <v>1071</v>
      </c>
      <c r="BD254" s="201"/>
    </row>
    <row r="255" spans="2:56" ht="15.75" customHeight="1">
      <c r="B255" s="201"/>
      <c r="I255" s="202"/>
      <c r="R255" s="1" t="s">
        <v>1076</v>
      </c>
      <c r="AE255" s="1" t="s">
        <v>1081</v>
      </c>
      <c r="AI255" s="1" t="s">
        <v>1072</v>
      </c>
      <c r="BD255" s="201"/>
    </row>
    <row r="256" spans="2:56" ht="15.75" customHeight="1">
      <c r="B256" s="201"/>
      <c r="I256" s="202"/>
      <c r="R256" s="1" t="s">
        <v>1024</v>
      </c>
      <c r="AE256" s="1" t="s">
        <v>1139</v>
      </c>
      <c r="AI256" s="1" t="s">
        <v>1073</v>
      </c>
      <c r="BD256" s="201"/>
    </row>
    <row r="257" spans="1:101" ht="15.75" customHeight="1">
      <c r="B257" s="201"/>
      <c r="I257" s="202"/>
      <c r="R257" s="1" t="s">
        <v>1025</v>
      </c>
      <c r="AE257" s="1" t="s">
        <v>1139</v>
      </c>
      <c r="AI257" s="1" t="s">
        <v>1074</v>
      </c>
      <c r="BD257" s="201"/>
    </row>
    <row r="258" spans="1:101" ht="15.75" customHeight="1">
      <c r="B258" s="201"/>
      <c r="I258" s="202"/>
      <c r="R258" s="1" t="s">
        <v>1083</v>
      </c>
      <c r="AE258" s="1" t="s">
        <v>1026</v>
      </c>
      <c r="AI258" s="1" t="s">
        <v>1075</v>
      </c>
      <c r="BD258" s="201"/>
    </row>
    <row r="259" spans="1:101" ht="15.75" customHeight="1">
      <c r="B259" s="201"/>
      <c r="I259" s="202"/>
      <c r="BD259" s="201"/>
    </row>
    <row r="260" spans="1:101" ht="15.75" customHeight="1">
      <c r="B260" s="201"/>
      <c r="I260" s="202"/>
      <c r="Q260" s="1" t="s">
        <v>1082</v>
      </c>
      <c r="BD260" s="201"/>
    </row>
    <row r="261" spans="1:101" ht="15.75" customHeight="1">
      <c r="B261" s="201"/>
      <c r="I261" s="202"/>
      <c r="R261" s="1" t="s">
        <v>1091</v>
      </c>
      <c r="BD261" s="201"/>
    </row>
    <row r="262" spans="1:101" ht="15.75" customHeight="1">
      <c r="B262" s="201"/>
      <c r="I262" s="202"/>
      <c r="R262" s="1" t="s">
        <v>1090</v>
      </c>
      <c r="BD262" s="201"/>
    </row>
    <row r="263" spans="1:101" ht="15.75" customHeight="1">
      <c r="B263" s="201"/>
      <c r="I263" s="202"/>
      <c r="R263" s="1" t="s">
        <v>1087</v>
      </c>
      <c r="BD263" s="201"/>
    </row>
    <row r="264" spans="1:101" ht="15.75" customHeight="1">
      <c r="B264" s="201"/>
      <c r="I264" s="202"/>
      <c r="R264" s="1" t="s">
        <v>1088</v>
      </c>
      <c r="BD264" s="201"/>
    </row>
    <row r="265" spans="1:101" ht="15.75" customHeight="1">
      <c r="B265" s="201"/>
      <c r="I265" s="202"/>
      <c r="R265" s="1" t="s">
        <v>1089</v>
      </c>
      <c r="BD265" s="201"/>
    </row>
    <row r="266" spans="1:101" ht="15.75" customHeight="1">
      <c r="B266" s="201"/>
      <c r="I266" s="202"/>
      <c r="BD266" s="201"/>
    </row>
    <row r="267" spans="1:101" customFormat="1" ht="15.75" customHeight="1">
      <c r="A267" s="551">
        <v>4</v>
      </c>
      <c r="B267" s="185" t="s">
        <v>1092</v>
      </c>
      <c r="C267" s="186"/>
      <c r="D267" s="186"/>
      <c r="E267" s="186"/>
      <c r="F267" s="186"/>
      <c r="G267" s="186"/>
      <c r="H267" s="186"/>
      <c r="I267" s="186"/>
      <c r="J267" s="186" t="s">
        <v>1093</v>
      </c>
      <c r="K267" s="186"/>
      <c r="L267" s="186"/>
      <c r="M267" s="186"/>
      <c r="N267" s="186"/>
      <c r="O267" s="186"/>
      <c r="P267" s="186"/>
      <c r="Q267" s="186"/>
      <c r="R267" s="186"/>
      <c r="S267" s="186"/>
      <c r="T267" s="186"/>
      <c r="U267" s="186"/>
      <c r="V267" s="186"/>
      <c r="W267" s="186"/>
      <c r="X267" s="186"/>
      <c r="Y267" s="186"/>
      <c r="Z267" s="186"/>
      <c r="AA267" s="186"/>
      <c r="AB267" s="186"/>
      <c r="AC267" s="186"/>
      <c r="AD267" s="186"/>
      <c r="AE267" s="186"/>
      <c r="AF267" s="186"/>
      <c r="AG267" s="186"/>
      <c r="AH267" s="186"/>
      <c r="AI267" s="186"/>
      <c r="AJ267" s="186"/>
      <c r="AK267" s="186"/>
      <c r="AL267" s="186"/>
      <c r="AM267" s="186"/>
      <c r="AN267" s="186"/>
      <c r="AO267" s="186"/>
      <c r="AP267" s="186"/>
      <c r="AQ267" s="186"/>
      <c r="AR267" s="186"/>
      <c r="AS267" s="186"/>
      <c r="AT267" s="186"/>
      <c r="AU267" s="186"/>
      <c r="AV267" s="186"/>
      <c r="AW267" s="186"/>
      <c r="AX267" s="186"/>
      <c r="AY267" s="186"/>
      <c r="AZ267" s="186"/>
      <c r="BA267" s="186"/>
      <c r="BB267" s="186"/>
      <c r="BC267" s="186"/>
      <c r="BD267" s="186"/>
      <c r="BE267" s="186"/>
      <c r="BF267" s="186"/>
      <c r="BG267" s="186"/>
      <c r="BH267" s="186"/>
      <c r="BI267" s="186"/>
      <c r="BJ267" s="186"/>
      <c r="BK267" s="187"/>
      <c r="BM267" s="552"/>
      <c r="BN267" s="552"/>
      <c r="BO267" s="552"/>
      <c r="BP267" s="553"/>
      <c r="BQ267" s="553"/>
      <c r="BR267" s="553"/>
      <c r="BS267" s="553"/>
      <c r="BT267" s="553"/>
      <c r="BU267" s="553"/>
      <c r="BV267" s="553"/>
      <c r="BW267" s="553"/>
      <c r="BX267" s="553"/>
      <c r="BY267" s="553"/>
      <c r="BZ267" s="553"/>
      <c r="CA267" s="553"/>
      <c r="CB267" s="553"/>
      <c r="CC267" s="553"/>
      <c r="CD267" s="553"/>
      <c r="CE267" s="553"/>
      <c r="CF267" s="553"/>
      <c r="CG267" s="553"/>
      <c r="CH267" s="553"/>
      <c r="CI267" s="553"/>
      <c r="CJ267" s="553"/>
      <c r="CK267" s="553"/>
      <c r="CL267" s="553"/>
      <c r="CM267" s="553"/>
      <c r="CN267" s="553"/>
      <c r="CO267" s="553"/>
      <c r="CP267" s="553"/>
      <c r="CQ267" s="553"/>
      <c r="CR267" s="553"/>
      <c r="CS267" s="553"/>
      <c r="CT267" s="553"/>
      <c r="CU267" s="553"/>
      <c r="CV267" s="553"/>
      <c r="CW267" s="553"/>
    </row>
    <row r="268" spans="1:101" customFormat="1" ht="15.75" customHeight="1">
      <c r="A268" s="554"/>
      <c r="B268" s="201"/>
      <c r="C268" s="1"/>
      <c r="D268" s="1"/>
      <c r="E268" s="1"/>
      <c r="F268" s="1"/>
      <c r="G268" s="1"/>
      <c r="H268" s="1"/>
      <c r="I268" s="202"/>
      <c r="J268" s="535" t="s">
        <v>1094</v>
      </c>
      <c r="K268" s="535"/>
      <c r="L268" s="535" t="s">
        <v>1095</v>
      </c>
      <c r="M268" s="535"/>
      <c r="N268" s="535"/>
      <c r="O268" s="535"/>
      <c r="P268" s="535"/>
      <c r="Q268" s="535"/>
      <c r="R268" s="535"/>
      <c r="S268" s="535"/>
      <c r="T268" s="535"/>
      <c r="U268" s="535"/>
      <c r="V268" s="535"/>
      <c r="W268" s="535"/>
      <c r="X268" s="535"/>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202"/>
      <c r="BD268" s="1"/>
      <c r="BE268" s="1"/>
      <c r="BF268" s="1"/>
      <c r="BG268" s="1"/>
      <c r="BH268" s="1"/>
      <c r="BI268" s="1"/>
      <c r="BJ268" s="1"/>
      <c r="BK268" s="92"/>
      <c r="BM268" s="552"/>
      <c r="BN268" s="552"/>
      <c r="BO268" s="552"/>
      <c r="BP268" s="553"/>
      <c r="BQ268" s="553"/>
      <c r="BR268" s="553"/>
      <c r="BS268" s="553"/>
      <c r="BT268" s="553"/>
      <c r="BU268" s="553"/>
      <c r="BV268" s="553"/>
      <c r="BW268" s="553"/>
      <c r="BX268" s="553"/>
      <c r="BY268" s="553"/>
      <c r="BZ268" s="553"/>
      <c r="CA268" s="553"/>
      <c r="CB268" s="553"/>
      <c r="CC268" s="553"/>
      <c r="CD268" s="553"/>
      <c r="CE268" s="553"/>
      <c r="CF268" s="553"/>
      <c r="CG268" s="553"/>
      <c r="CH268" s="553"/>
      <c r="CI268" s="553"/>
      <c r="CJ268" s="553"/>
      <c r="CK268" s="553"/>
      <c r="CL268" s="552"/>
      <c r="CM268" s="552"/>
      <c r="CN268" s="552"/>
      <c r="CO268" s="552"/>
      <c r="CP268" s="552"/>
      <c r="CQ268" s="552"/>
      <c r="CR268" s="552"/>
      <c r="CS268" s="552"/>
      <c r="CT268" s="552"/>
      <c r="CU268" s="552"/>
      <c r="CV268" s="552"/>
      <c r="CW268" s="552"/>
    </row>
    <row r="269" spans="1:101" customFormat="1" ht="15.75" customHeight="1">
      <c r="A269" s="554"/>
      <c r="B269" s="201"/>
      <c r="C269" s="1"/>
      <c r="D269" s="1"/>
      <c r="E269" s="1"/>
      <c r="F269" s="1"/>
      <c r="G269" s="1"/>
      <c r="H269" s="1"/>
      <c r="I269" s="202"/>
      <c r="J269" s="535"/>
      <c r="K269" s="535"/>
      <c r="L269" s="535" t="s">
        <v>1096</v>
      </c>
      <c r="M269" s="535"/>
      <c r="N269" s="535"/>
      <c r="O269" s="535"/>
      <c r="P269" s="535"/>
      <c r="Q269" s="535"/>
      <c r="R269" s="535"/>
      <c r="S269" s="535"/>
      <c r="T269" s="535"/>
      <c r="U269" s="535"/>
      <c r="V269" s="535"/>
      <c r="W269" s="535"/>
      <c r="X269" s="535"/>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202"/>
      <c r="BD269" s="1"/>
      <c r="BE269" s="1"/>
      <c r="BF269" s="1"/>
      <c r="BG269" s="1"/>
      <c r="BH269" s="1"/>
      <c r="BI269" s="1"/>
      <c r="BJ269" s="1"/>
      <c r="BK269" s="92"/>
      <c r="BM269" s="552"/>
      <c r="BN269" s="552"/>
      <c r="BO269" s="552"/>
      <c r="BP269" s="553"/>
      <c r="BQ269" s="553"/>
      <c r="BR269" s="553"/>
      <c r="BS269" s="553"/>
      <c r="BT269" s="553"/>
      <c r="BU269" s="553"/>
      <c r="BV269" s="553"/>
      <c r="BW269" s="553"/>
      <c r="BX269" s="553"/>
      <c r="BY269" s="553"/>
      <c r="BZ269" s="553"/>
      <c r="CA269" s="553"/>
      <c r="CB269" s="553"/>
      <c r="CC269" s="553"/>
      <c r="CD269" s="553"/>
      <c r="CE269" s="553"/>
      <c r="CF269" s="553"/>
      <c r="CG269" s="553"/>
      <c r="CH269" s="553"/>
      <c r="CI269" s="553"/>
      <c r="CJ269" s="553"/>
      <c r="CK269" s="553"/>
      <c r="CL269" s="552"/>
      <c r="CM269" s="552"/>
      <c r="CN269" s="552"/>
      <c r="CO269" s="552"/>
      <c r="CP269" s="552"/>
      <c r="CQ269" s="552"/>
      <c r="CR269" s="552"/>
      <c r="CS269" s="552"/>
      <c r="CT269" s="552"/>
      <c r="CU269" s="552"/>
      <c r="CV269" s="552"/>
      <c r="CW269" s="552"/>
    </row>
    <row r="270" spans="1:101" customFormat="1" ht="15.75" customHeight="1">
      <c r="A270" s="554"/>
      <c r="B270" s="201"/>
      <c r="C270" s="1"/>
      <c r="D270" s="1"/>
      <c r="E270" s="1"/>
      <c r="F270" s="1"/>
      <c r="G270" s="1"/>
      <c r="H270" s="1"/>
      <c r="I270" s="202"/>
      <c r="J270" s="555"/>
      <c r="K270" s="536"/>
      <c r="L270" s="536"/>
      <c r="M270" s="536"/>
      <c r="N270" s="536"/>
      <c r="O270" s="536"/>
      <c r="P270" s="536"/>
      <c r="Q270" s="536"/>
      <c r="R270" s="536"/>
      <c r="S270" s="536"/>
      <c r="T270" s="536"/>
      <c r="U270" s="536"/>
      <c r="V270" s="536"/>
      <c r="W270" s="536"/>
      <c r="X270" s="536"/>
      <c r="Y270" s="536"/>
      <c r="Z270" s="536"/>
      <c r="AA270" s="536"/>
      <c r="AB270" s="536"/>
      <c r="AC270" s="536"/>
      <c r="AD270" s="536"/>
      <c r="AE270" s="536"/>
      <c r="AF270" s="536"/>
      <c r="AG270" s="1"/>
      <c r="AH270" s="1"/>
      <c r="AI270" s="1"/>
      <c r="AJ270" s="1"/>
      <c r="AK270" s="1"/>
      <c r="AL270" s="1"/>
      <c r="AM270" s="1"/>
      <c r="AN270" s="1"/>
      <c r="AO270" s="1"/>
      <c r="AP270" s="1"/>
      <c r="AQ270" s="1"/>
      <c r="AR270" s="1"/>
      <c r="AS270" s="1"/>
      <c r="AT270" s="1"/>
      <c r="AU270" s="1"/>
      <c r="AV270" s="1"/>
      <c r="AW270" s="1"/>
      <c r="AX270" s="1"/>
      <c r="AY270" s="1"/>
      <c r="AZ270" s="1"/>
      <c r="BA270" s="1"/>
      <c r="BB270" s="1"/>
      <c r="BC270" s="202"/>
      <c r="BD270" s="1"/>
      <c r="BE270" s="1"/>
      <c r="BF270" s="1"/>
      <c r="BG270" s="1"/>
      <c r="BH270" s="1"/>
      <c r="BI270" s="1"/>
      <c r="BJ270" s="1"/>
      <c r="BK270" s="92"/>
      <c r="BM270" s="552"/>
      <c r="BN270" s="552"/>
      <c r="BO270" s="552"/>
      <c r="BP270" s="553"/>
      <c r="BQ270" s="553"/>
      <c r="BR270" s="553"/>
      <c r="BS270" s="553"/>
      <c r="BT270" s="553"/>
      <c r="BU270" s="553"/>
      <c r="BV270" s="553"/>
      <c r="BW270" s="553"/>
      <c r="BX270" s="553"/>
      <c r="BY270" s="553"/>
      <c r="BZ270" s="553"/>
      <c r="CA270" s="553"/>
      <c r="CB270" s="552"/>
      <c r="CC270" s="552"/>
      <c r="CD270" s="552"/>
      <c r="CE270" s="552"/>
      <c r="CF270" s="552"/>
      <c r="CG270" s="552"/>
      <c r="CH270" s="552"/>
      <c r="CI270" s="552"/>
      <c r="CJ270" s="552"/>
      <c r="CK270" s="552"/>
      <c r="CL270" s="552"/>
      <c r="CM270" s="552"/>
      <c r="CN270" s="552"/>
      <c r="CO270" s="552"/>
      <c r="CP270" s="552"/>
      <c r="CQ270" s="552"/>
      <c r="CR270" s="552"/>
      <c r="CS270" s="552"/>
      <c r="CT270" s="552"/>
      <c r="CU270" s="552"/>
      <c r="CV270" s="552"/>
      <c r="CW270" s="552"/>
    </row>
    <row r="271" spans="1:101" customFormat="1" ht="15.75" customHeight="1">
      <c r="A271" s="554"/>
      <c r="B271" s="201"/>
      <c r="C271" s="1"/>
      <c r="D271" s="1"/>
      <c r="E271" s="1"/>
      <c r="F271" s="1"/>
      <c r="G271" s="1"/>
      <c r="H271" s="1"/>
      <c r="I271" s="202"/>
      <c r="J271" s="555"/>
      <c r="K271" s="536"/>
      <c r="L271" s="536"/>
      <c r="M271" s="536"/>
      <c r="N271" s="536"/>
      <c r="O271" s="536"/>
      <c r="P271" s="536"/>
      <c r="Q271" s="536"/>
      <c r="R271" s="536"/>
      <c r="S271" s="536"/>
      <c r="T271" s="536"/>
      <c r="U271" s="536"/>
      <c r="V271" s="536"/>
      <c r="W271" s="536"/>
      <c r="X271" s="536"/>
      <c r="Y271" s="536"/>
      <c r="Z271" s="536"/>
      <c r="AA271" s="536"/>
      <c r="AB271" s="536"/>
      <c r="AC271" s="536"/>
      <c r="AD271" s="536"/>
      <c r="AE271" s="536"/>
      <c r="AF271" s="536"/>
      <c r="AG271" s="1"/>
      <c r="AH271" s="1"/>
      <c r="AI271" s="1"/>
      <c r="AJ271" s="1"/>
      <c r="AK271" s="1"/>
      <c r="AL271" s="1"/>
      <c r="AM271" s="1"/>
      <c r="AN271" s="1"/>
      <c r="AO271" s="1"/>
      <c r="AP271" s="1"/>
      <c r="AQ271" s="1"/>
      <c r="AR271" s="1"/>
      <c r="AS271" s="1"/>
      <c r="AT271" s="1"/>
      <c r="AU271" s="1"/>
      <c r="AV271" s="1"/>
      <c r="AW271" s="1"/>
      <c r="AX271" s="1"/>
      <c r="AY271" s="1"/>
      <c r="AZ271" s="1"/>
      <c r="BA271" s="1"/>
      <c r="BB271" s="1"/>
      <c r="BC271" s="202"/>
      <c r="BD271" s="1"/>
      <c r="BE271" s="1"/>
      <c r="BF271" s="1"/>
      <c r="BG271" s="1"/>
      <c r="BH271" s="1"/>
      <c r="BI271" s="1"/>
      <c r="BJ271" s="1"/>
      <c r="BK271" s="92"/>
      <c r="BM271" s="552"/>
      <c r="BN271" s="552"/>
      <c r="BO271" s="552"/>
      <c r="BP271" s="553"/>
      <c r="BQ271" s="553"/>
      <c r="BR271" s="553"/>
      <c r="BS271" s="553"/>
      <c r="BT271" s="553"/>
      <c r="BU271" s="553"/>
      <c r="BV271" s="553"/>
      <c r="BW271" s="553"/>
      <c r="BX271" s="553"/>
      <c r="BY271" s="553"/>
      <c r="BZ271" s="553"/>
      <c r="CA271" s="553"/>
      <c r="CB271" s="552"/>
      <c r="CC271" s="552"/>
      <c r="CD271" s="552"/>
      <c r="CE271" s="552"/>
      <c r="CF271" s="552"/>
      <c r="CG271" s="552"/>
      <c r="CH271" s="552"/>
      <c r="CI271" s="552"/>
      <c r="CJ271" s="552"/>
      <c r="CK271" s="552"/>
      <c r="CL271" s="552"/>
      <c r="CM271" s="552"/>
      <c r="CN271" s="552"/>
      <c r="CO271" s="552"/>
      <c r="CP271" s="552"/>
      <c r="CQ271" s="552"/>
      <c r="CR271" s="552"/>
      <c r="CS271" s="552"/>
      <c r="CT271" s="552"/>
      <c r="CU271" s="552"/>
      <c r="CV271" s="552"/>
      <c r="CW271" s="552"/>
    </row>
    <row r="272" spans="1:101" customFormat="1" ht="15.75" customHeight="1">
      <c r="A272" s="551">
        <v>5</v>
      </c>
      <c r="B272" s="185" t="s">
        <v>1097</v>
      </c>
      <c r="C272" s="186"/>
      <c r="D272" s="186"/>
      <c r="E272" s="186"/>
      <c r="F272" s="186"/>
      <c r="G272" s="186"/>
      <c r="H272" s="186"/>
      <c r="I272" s="186"/>
      <c r="J272" s="186" t="s">
        <v>1098</v>
      </c>
      <c r="K272" s="186"/>
      <c r="L272" s="186"/>
      <c r="M272" s="186"/>
      <c r="N272" s="186"/>
      <c r="O272" s="186"/>
      <c r="P272" s="186"/>
      <c r="Q272" s="186"/>
      <c r="R272" s="186"/>
      <c r="S272" s="186"/>
      <c r="T272" s="186"/>
      <c r="U272" s="186"/>
      <c r="V272" s="186"/>
      <c r="W272" s="186"/>
      <c r="X272" s="186"/>
      <c r="Y272" s="186"/>
      <c r="Z272" s="186"/>
      <c r="AA272" s="186"/>
      <c r="AB272" s="186"/>
      <c r="AC272" s="186"/>
      <c r="AD272" s="186"/>
      <c r="AE272" s="186"/>
      <c r="AF272" s="186"/>
      <c r="AG272" s="186"/>
      <c r="AH272" s="186"/>
      <c r="AI272" s="186"/>
      <c r="AJ272" s="186"/>
      <c r="AK272" s="186"/>
      <c r="AL272" s="186"/>
      <c r="AM272" s="186"/>
      <c r="AN272" s="186"/>
      <c r="AO272" s="186"/>
      <c r="AP272" s="186"/>
      <c r="AQ272" s="186"/>
      <c r="AR272" s="186"/>
      <c r="AS272" s="186"/>
      <c r="AT272" s="186"/>
      <c r="AU272" s="186"/>
      <c r="AV272" s="186"/>
      <c r="AW272" s="186"/>
      <c r="AX272" s="186"/>
      <c r="AY272" s="186"/>
      <c r="AZ272" s="186"/>
      <c r="BA272" s="186"/>
      <c r="BB272" s="186"/>
      <c r="BC272" s="186"/>
      <c r="BD272" s="186"/>
      <c r="BE272" s="186"/>
      <c r="BF272" s="186"/>
      <c r="BG272" s="186"/>
      <c r="BH272" s="186"/>
      <c r="BI272" s="186"/>
      <c r="BJ272" s="186"/>
      <c r="BK272" s="187"/>
      <c r="BM272" s="552"/>
      <c r="BN272" s="552"/>
      <c r="BO272" s="552"/>
      <c r="BP272" s="553"/>
      <c r="BQ272" s="553"/>
      <c r="BR272" s="553"/>
      <c r="BS272" s="553"/>
      <c r="BT272" s="553"/>
      <c r="BU272" s="553"/>
      <c r="BV272" s="553"/>
      <c r="BW272" s="553"/>
      <c r="BX272" s="553"/>
      <c r="BY272" s="553"/>
      <c r="BZ272" s="553"/>
      <c r="CA272" s="553"/>
      <c r="CB272" s="553"/>
      <c r="CC272" s="553"/>
      <c r="CD272" s="553"/>
      <c r="CE272" s="553"/>
      <c r="CF272" s="553"/>
      <c r="CG272" s="553"/>
      <c r="CH272" s="553"/>
      <c r="CI272" s="553"/>
      <c r="CJ272" s="553"/>
      <c r="CK272" s="553"/>
      <c r="CL272" s="553"/>
      <c r="CM272" s="553"/>
      <c r="CN272" s="553"/>
      <c r="CO272" s="553"/>
      <c r="CP272" s="553"/>
      <c r="CQ272" s="553"/>
      <c r="CR272" s="553"/>
      <c r="CS272" s="553"/>
      <c r="CT272" s="553"/>
      <c r="CU272" s="553"/>
      <c r="CV272" s="553"/>
      <c r="CW272" s="553"/>
    </row>
    <row r="273" spans="1:101" customFormat="1" ht="15.75" customHeight="1">
      <c r="A273" s="554"/>
      <c r="B273" s="201"/>
      <c r="C273" s="1"/>
      <c r="D273" s="1"/>
      <c r="E273" s="1"/>
      <c r="F273" s="1"/>
      <c r="G273" s="1"/>
      <c r="H273" s="1"/>
      <c r="I273" s="202"/>
      <c r="J273" s="555" t="s">
        <v>1099</v>
      </c>
      <c r="K273" s="536"/>
      <c r="L273" s="536" t="s">
        <v>1100</v>
      </c>
      <c r="M273" s="536"/>
      <c r="N273" s="536"/>
      <c r="O273" s="536"/>
      <c r="P273" s="536"/>
      <c r="Q273" s="536"/>
      <c r="R273" s="536"/>
      <c r="S273" s="536"/>
      <c r="T273" s="536"/>
      <c r="U273" s="536"/>
      <c r="V273" s="536"/>
      <c r="W273" s="536"/>
      <c r="X273" s="536"/>
      <c r="Y273" s="536"/>
      <c r="Z273" s="536"/>
      <c r="AA273" s="536"/>
      <c r="AB273" s="536"/>
      <c r="AC273" s="536"/>
      <c r="AD273" s="536"/>
      <c r="AE273" s="536"/>
      <c r="AF273" s="536"/>
      <c r="AG273" s="1"/>
      <c r="AH273" s="1"/>
      <c r="AI273" s="1"/>
      <c r="AJ273" s="1"/>
      <c r="AK273" s="1"/>
      <c r="AL273" s="1"/>
      <c r="AM273" s="1"/>
      <c r="AN273" s="1"/>
      <c r="AO273" s="1"/>
      <c r="AP273" s="1"/>
      <c r="AQ273" s="1"/>
      <c r="AR273" s="1"/>
      <c r="AS273" s="1"/>
      <c r="AT273" s="1"/>
      <c r="AU273" s="1"/>
      <c r="AV273" s="1"/>
      <c r="AW273" s="1"/>
      <c r="AX273" s="1"/>
      <c r="AY273" s="1"/>
      <c r="AZ273" s="1"/>
      <c r="BA273" s="1"/>
      <c r="BB273" s="1"/>
      <c r="BC273" s="202"/>
      <c r="BD273" s="1"/>
      <c r="BE273" s="1"/>
      <c r="BF273" s="1"/>
      <c r="BG273" s="1"/>
      <c r="BH273" s="1"/>
      <c r="BI273" s="1"/>
      <c r="BJ273" s="1"/>
      <c r="BK273" s="92"/>
      <c r="BM273" s="552"/>
      <c r="BN273" s="552"/>
      <c r="BO273" s="552"/>
      <c r="BP273" s="553"/>
      <c r="BQ273" s="553"/>
      <c r="BR273" s="553"/>
      <c r="BS273" s="553"/>
      <c r="BT273" s="553"/>
      <c r="BU273" s="553"/>
      <c r="BV273" s="553"/>
      <c r="BW273" s="553"/>
      <c r="BX273" s="553"/>
      <c r="BY273" s="553"/>
      <c r="BZ273" s="553"/>
      <c r="CA273" s="553"/>
      <c r="CB273" s="552"/>
      <c r="CC273" s="552"/>
      <c r="CD273" s="552"/>
      <c r="CE273" s="552"/>
      <c r="CF273" s="552"/>
      <c r="CG273" s="552"/>
      <c r="CH273" s="552"/>
      <c r="CI273" s="552"/>
      <c r="CJ273" s="552"/>
      <c r="CK273" s="552"/>
      <c r="CL273" s="552"/>
      <c r="CM273" s="552"/>
      <c r="CN273" s="552"/>
      <c r="CO273" s="552"/>
      <c r="CP273" s="552"/>
      <c r="CQ273" s="552"/>
      <c r="CR273" s="552"/>
      <c r="CS273" s="552"/>
      <c r="CT273" s="552"/>
      <c r="CU273" s="552"/>
      <c r="CV273" s="552"/>
      <c r="CW273" s="552"/>
    </row>
    <row r="274" spans="1:101" customFormat="1" ht="15.75" customHeight="1">
      <c r="A274" s="554"/>
      <c r="B274" s="201"/>
      <c r="C274" s="1"/>
      <c r="D274" s="1"/>
      <c r="E274" s="1"/>
      <c r="F274" s="1"/>
      <c r="G274" s="1"/>
      <c r="H274" s="1"/>
      <c r="I274" s="202"/>
      <c r="J274" s="555"/>
      <c r="K274" s="536"/>
      <c r="L274" s="556" t="s">
        <v>1113</v>
      </c>
      <c r="M274" s="536"/>
      <c r="N274" s="536"/>
      <c r="O274" s="536"/>
      <c r="P274" s="536"/>
      <c r="Q274" s="536"/>
      <c r="R274" s="536"/>
      <c r="S274" s="536"/>
      <c r="T274" s="536"/>
      <c r="U274" s="536"/>
      <c r="V274" s="536"/>
      <c r="W274" s="536"/>
      <c r="X274" s="536"/>
      <c r="Y274" s="536"/>
      <c r="Z274" s="536"/>
      <c r="AA274" s="536"/>
      <c r="AB274" s="536"/>
      <c r="AC274" s="536"/>
      <c r="AD274" s="536"/>
      <c r="AE274" s="536"/>
      <c r="AF274" s="536"/>
      <c r="AG274" s="1"/>
      <c r="AH274" s="1"/>
      <c r="AI274" s="1"/>
      <c r="AJ274" s="1"/>
      <c r="AK274" s="1"/>
      <c r="AL274" s="1"/>
      <c r="AM274" s="1"/>
      <c r="AN274" s="1"/>
      <c r="AO274" s="1"/>
      <c r="AP274" s="1"/>
      <c r="AQ274" s="1"/>
      <c r="AR274" s="1"/>
      <c r="AS274" s="1"/>
      <c r="AT274" s="1"/>
      <c r="AU274" s="1"/>
      <c r="AV274" s="1"/>
      <c r="AW274" s="1"/>
      <c r="AX274" s="1"/>
      <c r="AY274" s="1"/>
      <c r="AZ274" s="1"/>
      <c r="BA274" s="1"/>
      <c r="BB274" s="1"/>
      <c r="BC274" s="202"/>
      <c r="BD274" s="1"/>
      <c r="BE274" s="1"/>
      <c r="BF274" s="1"/>
      <c r="BG274" s="1"/>
      <c r="BH274" s="1"/>
      <c r="BI274" s="1"/>
      <c r="BJ274" s="1"/>
      <c r="BK274" s="92"/>
      <c r="BM274" s="552"/>
      <c r="BN274" s="552"/>
      <c r="BO274" s="552"/>
      <c r="BP274" s="553"/>
      <c r="BQ274" s="553"/>
      <c r="BR274" s="553"/>
      <c r="BS274" s="553"/>
      <c r="BT274" s="553"/>
      <c r="BU274" s="553"/>
      <c r="BV274" s="553"/>
      <c r="BW274" s="553"/>
      <c r="BX274" s="553"/>
      <c r="BY274" s="553"/>
      <c r="BZ274" s="553"/>
      <c r="CA274" s="553"/>
      <c r="CB274" s="552"/>
      <c r="CC274" s="552"/>
      <c r="CD274" s="552"/>
      <c r="CE274" s="552"/>
      <c r="CF274" s="552"/>
      <c r="CG274" s="552"/>
      <c r="CH274" s="552"/>
      <c r="CI274" s="552"/>
      <c r="CJ274" s="552"/>
      <c r="CK274" s="552"/>
      <c r="CL274" s="552"/>
      <c r="CM274" s="552"/>
      <c r="CN274" s="552"/>
      <c r="CO274" s="552"/>
      <c r="CP274" s="552"/>
      <c r="CQ274" s="552"/>
      <c r="CR274" s="552"/>
      <c r="CS274" s="552"/>
      <c r="CT274" s="552"/>
      <c r="CU274" s="552"/>
      <c r="CV274" s="552"/>
      <c r="CW274" s="552"/>
    </row>
    <row r="275" spans="1:101" customFormat="1" ht="15.75" customHeight="1">
      <c r="A275" s="554"/>
      <c r="B275" s="201"/>
      <c r="C275" s="1"/>
      <c r="D275" s="1"/>
      <c r="E275" s="1"/>
      <c r="F275" s="1"/>
      <c r="G275" s="1"/>
      <c r="H275" s="1"/>
      <c r="I275" s="202"/>
      <c r="J275" s="555"/>
      <c r="K275" s="536"/>
      <c r="L275" s="536"/>
      <c r="M275" s="536"/>
      <c r="N275" s="536"/>
      <c r="O275" s="536"/>
      <c r="P275" s="536"/>
      <c r="Q275" s="536"/>
      <c r="R275" s="536"/>
      <c r="S275" s="536"/>
      <c r="T275" s="536"/>
      <c r="U275" s="536"/>
      <c r="V275" s="536"/>
      <c r="W275" s="536"/>
      <c r="X275" s="536"/>
      <c r="Y275" s="536"/>
      <c r="Z275" s="536"/>
      <c r="AA275" s="536"/>
      <c r="AB275" s="536"/>
      <c r="AC275" s="536"/>
      <c r="AD275" s="536"/>
      <c r="AE275" s="536"/>
      <c r="AF275" s="536"/>
      <c r="AG275" s="1"/>
      <c r="AH275" s="1"/>
      <c r="AI275" s="1"/>
      <c r="AJ275" s="1"/>
      <c r="AK275" s="1"/>
      <c r="AL275" s="1"/>
      <c r="AM275" s="1"/>
      <c r="AN275" s="1"/>
      <c r="AO275" s="1"/>
      <c r="AP275" s="1"/>
      <c r="AQ275" s="1"/>
      <c r="AR275" s="1"/>
      <c r="AS275" s="1"/>
      <c r="AT275" s="1"/>
      <c r="AU275" s="1"/>
      <c r="AV275" s="1"/>
      <c r="AW275" s="1"/>
      <c r="AX275" s="1"/>
      <c r="AY275" s="1"/>
      <c r="AZ275" s="1"/>
      <c r="BA275" s="1"/>
      <c r="BB275" s="1"/>
      <c r="BC275" s="202"/>
      <c r="BD275" s="1"/>
      <c r="BE275" s="1"/>
      <c r="BF275" s="1"/>
      <c r="BG275" s="1"/>
      <c r="BH275" s="1"/>
      <c r="BI275" s="1"/>
      <c r="BJ275" s="1"/>
      <c r="BK275" s="92"/>
      <c r="BM275" s="552"/>
      <c r="BN275" s="552"/>
      <c r="BO275" s="552"/>
      <c r="BP275" s="553"/>
      <c r="BQ275" s="553"/>
      <c r="BR275" s="553"/>
      <c r="BS275" s="553"/>
      <c r="BT275" s="553"/>
      <c r="BU275" s="553"/>
      <c r="BV275" s="553"/>
      <c r="BW275" s="553"/>
      <c r="BX275" s="553"/>
      <c r="BY275" s="553"/>
      <c r="BZ275" s="553"/>
      <c r="CA275" s="553"/>
      <c r="CB275" s="552"/>
      <c r="CC275" s="552"/>
      <c r="CD275" s="552"/>
      <c r="CE275" s="552"/>
      <c r="CF275" s="552"/>
      <c r="CG275" s="552"/>
      <c r="CH275" s="552"/>
      <c r="CI275" s="552"/>
      <c r="CJ275" s="552"/>
      <c r="CK275" s="552"/>
      <c r="CL275" s="552"/>
      <c r="CM275" s="552"/>
      <c r="CN275" s="552"/>
      <c r="CO275" s="552"/>
      <c r="CP275" s="552"/>
      <c r="CQ275" s="552"/>
      <c r="CR275" s="552"/>
      <c r="CS275" s="552"/>
      <c r="CT275" s="552"/>
      <c r="CU275" s="552"/>
      <c r="CV275" s="552"/>
      <c r="CW275" s="552"/>
    </row>
    <row r="276" spans="1:101" ht="15.75" customHeight="1">
      <c r="B276" s="201"/>
      <c r="I276" s="202"/>
      <c r="BD276" s="201"/>
      <c r="BK276" s="92"/>
      <c r="BL276"/>
    </row>
    <row r="277" spans="1:101" customFormat="1" ht="15.75" customHeight="1">
      <c r="A277" s="551">
        <v>6</v>
      </c>
      <c r="B277" s="185" t="s">
        <v>1108</v>
      </c>
      <c r="C277" s="186"/>
      <c r="D277" s="186"/>
      <c r="E277" s="186"/>
      <c r="F277" s="186"/>
      <c r="G277" s="186"/>
      <c r="H277" s="186"/>
      <c r="I277" s="186"/>
      <c r="J277" s="186" t="s">
        <v>1109</v>
      </c>
      <c r="K277" s="186"/>
      <c r="L277" s="186"/>
      <c r="M277" s="186"/>
      <c r="N277" s="186"/>
      <c r="O277" s="186"/>
      <c r="P277" s="186"/>
      <c r="Q277" s="186"/>
      <c r="R277" s="186"/>
      <c r="S277" s="186"/>
      <c r="T277" s="186"/>
      <c r="U277" s="186"/>
      <c r="V277" s="186"/>
      <c r="W277" s="186"/>
      <c r="X277" s="186"/>
      <c r="Y277" s="186"/>
      <c r="Z277" s="186"/>
      <c r="AA277" s="186"/>
      <c r="AB277" s="186"/>
      <c r="AC277" s="186"/>
      <c r="AD277" s="186"/>
      <c r="AE277" s="186"/>
      <c r="AF277" s="186"/>
      <c r="AG277" s="186"/>
      <c r="AH277" s="186"/>
      <c r="AI277" s="186"/>
      <c r="AJ277" s="186"/>
      <c r="AK277" s="186"/>
      <c r="AL277" s="186"/>
      <c r="AM277" s="186"/>
      <c r="AN277" s="186"/>
      <c r="AO277" s="186"/>
      <c r="AP277" s="186"/>
      <c r="AQ277" s="186"/>
      <c r="AR277" s="186"/>
      <c r="AS277" s="186"/>
      <c r="AT277" s="186"/>
      <c r="AU277" s="186"/>
      <c r="AV277" s="186"/>
      <c r="AW277" s="186"/>
      <c r="AX277" s="186"/>
      <c r="AY277" s="186"/>
      <c r="AZ277" s="186"/>
      <c r="BA277" s="186"/>
      <c r="BB277" s="186"/>
      <c r="BC277" s="186"/>
      <c r="BD277" s="186"/>
      <c r="BE277" s="186"/>
      <c r="BF277" s="186"/>
      <c r="BG277" s="186"/>
      <c r="BH277" s="186"/>
      <c r="BI277" s="186"/>
      <c r="BJ277" s="186"/>
      <c r="BK277" s="187"/>
      <c r="BM277" s="557"/>
      <c r="BN277" s="552"/>
      <c r="BO277" s="552"/>
      <c r="BP277" s="552"/>
      <c r="BQ277" s="552"/>
      <c r="BR277" s="552"/>
      <c r="BS277" s="552"/>
      <c r="BT277" s="552"/>
      <c r="BU277" s="552"/>
      <c r="BV277" s="552"/>
      <c r="BW277" s="552"/>
      <c r="BX277" s="552"/>
      <c r="BY277" s="552"/>
      <c r="BZ277" s="552"/>
      <c r="CA277" s="552"/>
      <c r="CB277" s="552"/>
      <c r="CC277" s="552"/>
      <c r="CD277" s="552"/>
      <c r="CE277" s="552"/>
      <c r="CF277" s="552"/>
      <c r="CG277" s="552"/>
      <c r="CH277" s="552"/>
      <c r="CI277" s="552"/>
      <c r="CJ277" s="552"/>
      <c r="CK277" s="552"/>
      <c r="CL277" s="552"/>
      <c r="CM277" s="552"/>
      <c r="CN277" s="552"/>
      <c r="CO277" s="552"/>
      <c r="CP277" s="552"/>
      <c r="CQ277" s="552"/>
      <c r="CR277" s="552"/>
      <c r="CS277" s="552"/>
      <c r="CT277" s="552"/>
      <c r="CU277" s="552"/>
      <c r="CV277" s="552"/>
      <c r="CW277" s="552"/>
    </row>
    <row r="278" spans="1:101" customFormat="1" ht="15.75" customHeight="1">
      <c r="A278" s="190"/>
      <c r="B278" s="191"/>
      <c r="C278" s="189"/>
      <c r="D278" s="189"/>
      <c r="E278" s="189"/>
      <c r="F278" s="189"/>
      <c r="G278" s="189"/>
      <c r="H278" s="189"/>
      <c r="I278" s="192"/>
      <c r="J278" s="535" t="s">
        <v>1103</v>
      </c>
      <c r="K278" s="535"/>
      <c r="L278" s="535" t="s">
        <v>1111</v>
      </c>
      <c r="M278" s="535"/>
      <c r="N278" s="535"/>
      <c r="O278" s="535"/>
      <c r="P278" s="535"/>
      <c r="Q278" s="535"/>
      <c r="R278" s="535"/>
      <c r="S278" s="535"/>
      <c r="T278" s="535"/>
      <c r="U278" s="535"/>
      <c r="V278" s="535"/>
      <c r="W278" s="535"/>
      <c r="X278" s="535"/>
      <c r="Y278" s="535"/>
      <c r="Z278" s="535"/>
      <c r="AA278" s="535"/>
      <c r="AB278" s="535"/>
      <c r="AC278" s="535"/>
      <c r="AD278" s="535"/>
      <c r="AE278" s="535"/>
      <c r="AF278" s="535"/>
      <c r="AG278" s="535"/>
      <c r="AH278" s="535"/>
      <c r="AI278" s="535"/>
      <c r="AJ278" s="535"/>
      <c r="AK278" s="535"/>
      <c r="AL278" s="535"/>
      <c r="AM278" s="535"/>
      <c r="AN278" s="535"/>
      <c r="AO278" s="189"/>
      <c r="AP278" s="189"/>
      <c r="AQ278" s="189"/>
      <c r="AR278" s="536"/>
      <c r="AS278" s="536"/>
      <c r="AT278" s="189"/>
      <c r="AU278" s="189"/>
      <c r="AV278" s="189"/>
      <c r="AW278" s="189"/>
      <c r="AX278" s="189"/>
      <c r="AY278" s="189"/>
      <c r="AZ278" s="189"/>
      <c r="BA278" s="189"/>
      <c r="BB278" s="189"/>
      <c r="BC278" s="189"/>
      <c r="BD278" s="191"/>
      <c r="BE278" s="189"/>
      <c r="BF278" s="189"/>
      <c r="BG278" s="189"/>
      <c r="BH278" s="189"/>
      <c r="BI278" s="189"/>
      <c r="BJ278" s="189"/>
      <c r="BK278" s="193"/>
    </row>
    <row r="279" spans="1:101" customFormat="1" ht="15.75" customHeight="1">
      <c r="A279" s="190"/>
      <c r="B279" s="191"/>
      <c r="C279" s="189"/>
      <c r="D279" s="189"/>
      <c r="E279" s="189"/>
      <c r="F279" s="189"/>
      <c r="G279" s="189"/>
      <c r="H279" s="189"/>
      <c r="I279" s="192"/>
      <c r="J279" s="535"/>
      <c r="K279" s="535"/>
      <c r="L279" s="535" t="s">
        <v>1112</v>
      </c>
      <c r="M279" s="535"/>
      <c r="N279" s="535"/>
      <c r="O279" s="535"/>
      <c r="P279" s="535"/>
      <c r="Q279" s="535"/>
      <c r="R279" s="535"/>
      <c r="S279" s="535"/>
      <c r="T279" s="535"/>
      <c r="U279" s="535"/>
      <c r="V279" s="535"/>
      <c r="W279" s="535"/>
      <c r="X279" s="535"/>
      <c r="Y279" s="535"/>
      <c r="Z279" s="535"/>
      <c r="AA279" s="535"/>
      <c r="AB279" s="535"/>
      <c r="AC279" s="535"/>
      <c r="AD279" s="535"/>
      <c r="AE279" s="535"/>
      <c r="AF279" s="535"/>
      <c r="AG279" s="535"/>
      <c r="AH279" s="535"/>
      <c r="AI279" s="535"/>
      <c r="AJ279" s="535"/>
      <c r="AK279" s="535"/>
      <c r="AL279" s="535"/>
      <c r="AM279" s="535"/>
      <c r="AN279" s="535"/>
      <c r="AO279" s="189"/>
      <c r="AP279" s="189"/>
      <c r="AQ279" s="189"/>
      <c r="AR279" s="536"/>
      <c r="AS279" s="536"/>
      <c r="AT279" s="189"/>
      <c r="AU279" s="189"/>
      <c r="AV279" s="189"/>
      <c r="AW279" s="189"/>
      <c r="AX279" s="189"/>
      <c r="AY279" s="189"/>
      <c r="AZ279" s="189"/>
      <c r="BA279" s="189"/>
      <c r="BB279" s="189"/>
      <c r="BC279" s="189"/>
      <c r="BD279" s="191" t="s">
        <v>691</v>
      </c>
      <c r="BE279" s="189"/>
      <c r="BF279" s="189"/>
      <c r="BG279" s="189"/>
      <c r="BH279" s="189"/>
      <c r="BI279" s="189"/>
      <c r="BJ279" s="189"/>
      <c r="BK279" s="193"/>
    </row>
    <row r="280" spans="1:101" customFormat="1" ht="15.75" customHeight="1">
      <c r="A280" s="190"/>
      <c r="B280" s="191"/>
      <c r="C280" s="189"/>
      <c r="D280" s="189"/>
      <c r="E280" s="189"/>
      <c r="F280" s="189"/>
      <c r="G280" s="189"/>
      <c r="H280" s="189"/>
      <c r="I280" s="192"/>
      <c r="J280" s="535"/>
      <c r="K280" s="535"/>
      <c r="L280" s="535"/>
      <c r="M280" s="535"/>
      <c r="N280" s="535"/>
      <c r="O280" s="535"/>
      <c r="P280" s="535"/>
      <c r="Q280" s="535"/>
      <c r="R280" s="535"/>
      <c r="S280" s="535"/>
      <c r="T280" s="535"/>
      <c r="U280" s="535"/>
      <c r="V280" s="535"/>
      <c r="W280" s="535"/>
      <c r="X280" s="535"/>
      <c r="Y280" s="535"/>
      <c r="Z280" s="535"/>
      <c r="AA280" s="535"/>
      <c r="AB280" s="535"/>
      <c r="AC280" s="535"/>
      <c r="AD280" s="535"/>
      <c r="AE280" s="535"/>
      <c r="AF280" s="535"/>
      <c r="AG280" s="535"/>
      <c r="AH280" s="535"/>
      <c r="AI280" s="535"/>
      <c r="AJ280" s="535"/>
      <c r="AK280" s="535"/>
      <c r="AL280" s="535"/>
      <c r="AM280" s="189"/>
      <c r="AN280" s="189"/>
      <c r="AO280" s="189"/>
      <c r="AP280" s="189"/>
      <c r="AQ280" s="189"/>
      <c r="AR280" s="536"/>
      <c r="AS280" s="536"/>
      <c r="AT280" s="189"/>
      <c r="AU280" s="189"/>
      <c r="AV280" s="189"/>
      <c r="AW280" s="189"/>
      <c r="AX280" s="189"/>
      <c r="AY280" s="189"/>
      <c r="AZ280" s="189"/>
      <c r="BA280" s="189"/>
      <c r="BB280" s="189"/>
      <c r="BC280" s="189"/>
      <c r="BD280" s="191"/>
      <c r="BE280" s="189"/>
      <c r="BF280" s="189"/>
      <c r="BG280" s="189"/>
      <c r="BH280" s="189"/>
      <c r="BI280" s="189"/>
      <c r="BJ280" s="189"/>
      <c r="BK280" s="193"/>
    </row>
    <row r="281" spans="1:101" customFormat="1" ht="15.75" customHeight="1">
      <c r="A281" s="190"/>
      <c r="B281" s="191"/>
      <c r="C281" s="189"/>
      <c r="D281" s="189"/>
      <c r="E281" s="189"/>
      <c r="F281" s="189"/>
      <c r="G281" s="189"/>
      <c r="H281" s="189"/>
      <c r="I281" s="192"/>
      <c r="J281" s="535" t="s">
        <v>1104</v>
      </c>
      <c r="K281" s="535"/>
      <c r="L281" s="535" t="s">
        <v>1110</v>
      </c>
      <c r="M281" s="535"/>
      <c r="N281" s="535"/>
      <c r="O281" s="535"/>
      <c r="P281" s="535"/>
      <c r="Q281" s="535"/>
      <c r="R281" s="535"/>
      <c r="S281" s="535"/>
      <c r="T281" s="535"/>
      <c r="U281" s="535"/>
      <c r="V281" s="535"/>
      <c r="W281" s="535"/>
      <c r="X281" s="535"/>
      <c r="Y281" s="535"/>
      <c r="Z281" s="535"/>
      <c r="AA281" s="535"/>
      <c r="AB281" s="535"/>
      <c r="AC281" s="535"/>
      <c r="AD281" s="535"/>
      <c r="AE281" s="535"/>
      <c r="AF281" s="189"/>
      <c r="AG281" s="189"/>
      <c r="AH281" s="189"/>
      <c r="AI281" s="189"/>
      <c r="AJ281" s="535"/>
      <c r="AK281" s="535"/>
      <c r="AL281" s="535"/>
      <c r="AM281" s="535"/>
      <c r="AN281" s="535"/>
      <c r="AO281" s="535"/>
      <c r="AP281" s="535"/>
      <c r="AQ281" s="535"/>
      <c r="AR281" s="536"/>
      <c r="AS281" s="536"/>
      <c r="AT281" s="535"/>
      <c r="AU281" s="189"/>
      <c r="AV281" s="189"/>
      <c r="AW281" s="189"/>
      <c r="AX281" s="189"/>
      <c r="AY281" s="189"/>
      <c r="AZ281" s="189"/>
      <c r="BA281" s="189"/>
      <c r="BB281" s="189"/>
      <c r="BC281" s="189"/>
      <c r="BD281" s="191"/>
      <c r="BE281" s="189"/>
      <c r="BF281" s="189"/>
      <c r="BG281" s="189"/>
      <c r="BH281" s="189"/>
      <c r="BI281" s="189"/>
      <c r="BJ281" s="189"/>
      <c r="BK281" s="193"/>
    </row>
    <row r="282" spans="1:101" customFormat="1" ht="15.75" customHeight="1">
      <c r="A282" s="190"/>
      <c r="B282" s="191"/>
      <c r="C282" s="189"/>
      <c r="D282" s="189"/>
      <c r="E282" s="189"/>
      <c r="F282" s="189"/>
      <c r="G282" s="189"/>
      <c r="H282" s="189"/>
      <c r="I282" s="192"/>
      <c r="J282" s="535"/>
      <c r="K282" s="535"/>
      <c r="L282" s="535"/>
      <c r="M282" s="535"/>
      <c r="N282" s="535"/>
      <c r="O282" s="535"/>
      <c r="P282" s="535"/>
      <c r="Q282" s="535"/>
      <c r="R282" s="535"/>
      <c r="S282" s="535"/>
      <c r="T282" s="535"/>
      <c r="U282" s="535"/>
      <c r="V282" s="535"/>
      <c r="W282" s="535"/>
      <c r="X282" s="535"/>
      <c r="Y282" s="535"/>
      <c r="Z282" s="535"/>
      <c r="AA282" s="535"/>
      <c r="AB282" s="535"/>
      <c r="AC282" s="535"/>
      <c r="AD282" s="535"/>
      <c r="AE282" s="535"/>
      <c r="AF282" s="535"/>
      <c r="AG282" s="535"/>
      <c r="AH282" s="535"/>
      <c r="AI282" s="535"/>
      <c r="AJ282" s="535"/>
      <c r="AK282" s="535"/>
      <c r="AL282" s="535"/>
      <c r="AM282" s="535"/>
      <c r="AN282" s="535"/>
      <c r="AO282" s="535"/>
      <c r="AP282" s="535"/>
      <c r="AQ282" s="535"/>
      <c r="AR282" s="536"/>
      <c r="AS282" s="536"/>
      <c r="AT282" s="535"/>
      <c r="AU282" s="189"/>
      <c r="AV282" s="189"/>
      <c r="AW282" s="189"/>
      <c r="AX282" s="189"/>
      <c r="AY282" s="189"/>
      <c r="AZ282" s="189"/>
      <c r="BA282" s="189"/>
      <c r="BB282" s="189"/>
      <c r="BC282" s="189"/>
      <c r="BD282" s="191"/>
      <c r="BE282" s="189"/>
      <c r="BF282" s="189"/>
      <c r="BG282" s="189"/>
      <c r="BH282" s="189"/>
      <c r="BI282" s="189"/>
      <c r="BJ282" s="189"/>
      <c r="BK282" s="193"/>
    </row>
    <row r="283" spans="1:101" customFormat="1" ht="15.75" customHeight="1">
      <c r="A283" s="190"/>
      <c r="B283" s="191"/>
      <c r="C283" s="189"/>
      <c r="D283" s="189"/>
      <c r="E283" s="189"/>
      <c r="F283" s="189"/>
      <c r="G283" s="189"/>
      <c r="H283" s="189"/>
      <c r="I283" s="192"/>
      <c r="J283" s="535"/>
      <c r="K283" s="535"/>
      <c r="L283" s="535" t="s">
        <v>1114</v>
      </c>
      <c r="M283" s="535"/>
      <c r="N283" s="535"/>
      <c r="O283" s="535"/>
      <c r="P283" s="535"/>
      <c r="Q283" s="535"/>
      <c r="R283" s="535"/>
      <c r="S283" s="535"/>
      <c r="T283" s="535"/>
      <c r="U283" s="535"/>
      <c r="V283" s="535"/>
      <c r="W283" s="535"/>
      <c r="X283" s="535"/>
      <c r="Y283" s="535"/>
      <c r="Z283" s="535"/>
      <c r="AA283" s="535"/>
      <c r="AB283" s="535"/>
      <c r="AC283" s="535"/>
      <c r="AD283" s="535"/>
      <c r="AE283" s="535"/>
      <c r="AF283" s="535"/>
      <c r="AG283" s="535"/>
      <c r="AH283" s="535"/>
      <c r="AI283" s="535"/>
      <c r="AJ283" s="535"/>
      <c r="AK283" s="535"/>
      <c r="AL283" s="535"/>
      <c r="AM283" s="535"/>
      <c r="AN283" s="535"/>
      <c r="AO283" s="535"/>
      <c r="AP283" s="535"/>
      <c r="AQ283" s="535"/>
      <c r="AR283" s="536"/>
      <c r="AS283" s="536"/>
      <c r="AT283" s="535"/>
      <c r="AU283" s="189"/>
      <c r="AV283" s="189"/>
      <c r="AW283" s="189"/>
      <c r="AX283" s="189"/>
      <c r="AY283" s="189"/>
      <c r="AZ283" s="189"/>
      <c r="BA283" s="189"/>
      <c r="BB283" s="189"/>
      <c r="BC283" s="189"/>
      <c r="BD283" s="191"/>
      <c r="BE283" s="189"/>
      <c r="BF283" s="189"/>
      <c r="BG283" s="189"/>
      <c r="BH283" s="189"/>
      <c r="BI283" s="189"/>
      <c r="BJ283" s="189"/>
      <c r="BK283" s="193"/>
    </row>
    <row r="284" spans="1:101" customFormat="1" ht="15.75" customHeight="1">
      <c r="A284" s="190"/>
      <c r="B284" s="191"/>
      <c r="C284" s="189"/>
      <c r="D284" s="189"/>
      <c r="E284" s="189"/>
      <c r="F284" s="189"/>
      <c r="G284" s="189"/>
      <c r="H284" s="189"/>
      <c r="I284" s="192"/>
      <c r="J284" s="535"/>
      <c r="K284" s="535"/>
      <c r="L284" s="535"/>
      <c r="S284" s="535"/>
      <c r="T284" s="535"/>
      <c r="U284" s="535"/>
      <c r="V284" s="535"/>
      <c r="W284" s="535"/>
      <c r="X284" s="535"/>
      <c r="Y284" s="535"/>
      <c r="Z284" s="535"/>
      <c r="AA284" s="535"/>
      <c r="AB284" s="535"/>
      <c r="AC284" s="535"/>
      <c r="AD284" s="535"/>
      <c r="AE284" s="535"/>
      <c r="AF284" s="535"/>
      <c r="AG284" s="535"/>
      <c r="AH284" s="535"/>
      <c r="AI284" s="535"/>
      <c r="AJ284" s="535"/>
      <c r="AK284" s="535"/>
      <c r="AL284" s="535"/>
      <c r="AM284" s="189"/>
      <c r="AN284" s="189"/>
      <c r="AO284" s="189"/>
      <c r="AP284" s="189"/>
      <c r="AQ284" s="189"/>
      <c r="AR284" s="536"/>
      <c r="AS284" s="536"/>
      <c r="AT284" s="189"/>
      <c r="AU284" s="189"/>
      <c r="AV284" s="189"/>
      <c r="AW284" s="189"/>
      <c r="AX284" s="189"/>
      <c r="AY284" s="189"/>
      <c r="AZ284" s="189"/>
      <c r="BA284" s="189"/>
      <c r="BB284" s="189"/>
      <c r="BC284" s="189"/>
      <c r="BD284" s="191"/>
      <c r="BE284" s="189"/>
      <c r="BF284" s="189"/>
      <c r="BG284" s="189"/>
      <c r="BH284" s="189"/>
      <c r="BI284" s="189"/>
      <c r="BJ284" s="189"/>
      <c r="BK284" s="193"/>
    </row>
    <row r="285" spans="1:101" ht="15.75" customHeight="1">
      <c r="B285" s="201"/>
      <c r="I285" s="202"/>
      <c r="BD285" s="201"/>
    </row>
    <row r="286" spans="1:101" customFormat="1" ht="15.75" customHeight="1">
      <c r="A286" s="551">
        <v>7</v>
      </c>
      <c r="B286" s="185" t="s">
        <v>1101</v>
      </c>
      <c r="C286" s="186"/>
      <c r="D286" s="186"/>
      <c r="E286" s="186"/>
      <c r="F286" s="186"/>
      <c r="G286" s="186"/>
      <c r="H286" s="186"/>
      <c r="I286" s="186"/>
      <c r="J286" s="186" t="s">
        <v>1102</v>
      </c>
      <c r="K286" s="186"/>
      <c r="L286" s="186"/>
      <c r="M286" s="186"/>
      <c r="N286" s="186"/>
      <c r="O286" s="186"/>
      <c r="P286" s="186"/>
      <c r="Q286" s="186"/>
      <c r="R286" s="186"/>
      <c r="S286" s="186"/>
      <c r="T286" s="186"/>
      <c r="U286" s="186"/>
      <c r="V286" s="186"/>
      <c r="W286" s="186"/>
      <c r="X286" s="186"/>
      <c r="Y286" s="186"/>
      <c r="Z286" s="186"/>
      <c r="AA286" s="186"/>
      <c r="AB286" s="186"/>
      <c r="AC286" s="186"/>
      <c r="AD286" s="186"/>
      <c r="AE286" s="186"/>
      <c r="AF286" s="186"/>
      <c r="AG286" s="186"/>
      <c r="AH286" s="186"/>
      <c r="AI286" s="186"/>
      <c r="AJ286" s="186"/>
      <c r="AK286" s="186"/>
      <c r="AL286" s="186"/>
      <c r="AM286" s="186"/>
      <c r="AN286" s="186"/>
      <c r="AO286" s="186"/>
      <c r="AP286" s="186"/>
      <c r="AQ286" s="186"/>
      <c r="AR286" s="186"/>
      <c r="AS286" s="186"/>
      <c r="AT286" s="186"/>
      <c r="AU286" s="186"/>
      <c r="AV286" s="186"/>
      <c r="AW286" s="186"/>
      <c r="AX286" s="186"/>
      <c r="AY286" s="186"/>
      <c r="AZ286" s="186"/>
      <c r="BA286" s="186"/>
      <c r="BB286" s="186"/>
      <c r="BC286" s="186"/>
      <c r="BD286" s="186"/>
      <c r="BE286" s="186"/>
      <c r="BF286" s="186"/>
      <c r="BG286" s="186"/>
      <c r="BH286" s="186"/>
      <c r="BI286" s="186"/>
      <c r="BJ286" s="186"/>
      <c r="BK286" s="187"/>
      <c r="BM286" s="557"/>
      <c r="BN286" s="552"/>
      <c r="BO286" s="552"/>
      <c r="BP286" s="552"/>
      <c r="BQ286" s="552"/>
      <c r="BR286" s="552"/>
      <c r="BS286" s="552"/>
      <c r="BT286" s="552"/>
      <c r="BU286" s="552"/>
      <c r="BV286" s="552"/>
      <c r="BW286" s="552"/>
      <c r="BX286" s="552"/>
      <c r="BY286" s="552"/>
      <c r="BZ286" s="552"/>
      <c r="CA286" s="552"/>
      <c r="CB286" s="552"/>
      <c r="CC286" s="552"/>
      <c r="CD286" s="552"/>
      <c r="CE286" s="552"/>
      <c r="CF286" s="552"/>
      <c r="CG286" s="552"/>
      <c r="CH286" s="552"/>
      <c r="CI286" s="552"/>
      <c r="CJ286" s="552"/>
      <c r="CK286" s="552"/>
      <c r="CL286" s="552"/>
      <c r="CM286" s="552"/>
      <c r="CN286" s="552"/>
      <c r="CO286" s="552"/>
      <c r="CP286" s="552"/>
      <c r="CQ286" s="552"/>
      <c r="CR286" s="552"/>
      <c r="CS286" s="552"/>
      <c r="CT286" s="552"/>
      <c r="CU286" s="552"/>
      <c r="CV286" s="552"/>
      <c r="CW286" s="552"/>
    </row>
    <row r="287" spans="1:101" customFormat="1" ht="15.75" customHeight="1">
      <c r="A287" s="190"/>
      <c r="B287" s="191"/>
      <c r="C287" s="189"/>
      <c r="D287" s="189"/>
      <c r="E287" s="189"/>
      <c r="F287" s="189"/>
      <c r="G287" s="189"/>
      <c r="H287" s="189"/>
      <c r="I287" s="192"/>
      <c r="J287" s="535" t="s">
        <v>1115</v>
      </c>
      <c r="K287" s="535"/>
      <c r="L287" s="535" t="s">
        <v>1117</v>
      </c>
      <c r="M287" s="535"/>
      <c r="N287" s="535"/>
      <c r="O287" s="535"/>
      <c r="P287" s="535"/>
      <c r="Q287" s="535"/>
      <c r="R287" s="535"/>
      <c r="S287" s="535"/>
      <c r="T287" s="535"/>
      <c r="U287" s="535"/>
      <c r="V287" s="535"/>
      <c r="W287" s="535"/>
      <c r="X287" s="535"/>
      <c r="Y287" s="535"/>
      <c r="Z287" s="535"/>
      <c r="AA287" s="535"/>
      <c r="AB287" s="535"/>
      <c r="AC287" s="535"/>
      <c r="AD287" s="535"/>
      <c r="AE287" s="535"/>
      <c r="AF287" s="535"/>
      <c r="AG287" s="535"/>
      <c r="AH287" s="535"/>
      <c r="AI287" s="535"/>
      <c r="AJ287" s="535"/>
      <c r="AK287" s="535"/>
      <c r="AL287" s="535"/>
      <c r="AM287" s="535"/>
      <c r="AN287" s="535"/>
      <c r="AO287" s="189"/>
      <c r="AP287" s="189"/>
      <c r="AQ287" s="189"/>
      <c r="AR287" s="536"/>
      <c r="AS287" s="536"/>
      <c r="AT287" s="189"/>
      <c r="AU287" s="189"/>
      <c r="AV287" s="189"/>
      <c r="AW287" s="189"/>
      <c r="AX287" s="189"/>
      <c r="AY287" s="189"/>
      <c r="AZ287" s="189"/>
      <c r="BA287" s="189"/>
      <c r="BB287" s="189"/>
      <c r="BC287" s="189"/>
      <c r="BD287" s="191"/>
      <c r="BE287" s="189"/>
      <c r="BF287" s="189"/>
      <c r="BG287" s="189"/>
      <c r="BH287" s="189"/>
      <c r="BI287" s="189"/>
      <c r="BJ287" s="189"/>
      <c r="BK287" s="193"/>
    </row>
    <row r="288" spans="1:101" customFormat="1" ht="15.75" customHeight="1">
      <c r="A288" s="190"/>
      <c r="B288" s="191"/>
      <c r="C288" s="189"/>
      <c r="D288" s="189"/>
      <c r="E288" s="189"/>
      <c r="F288" s="189"/>
      <c r="G288" s="189"/>
      <c r="H288" s="189"/>
      <c r="I288" s="192"/>
      <c r="J288" s="535"/>
      <c r="K288" s="535"/>
      <c r="L288" s="535"/>
      <c r="M288" s="535"/>
      <c r="N288" s="535"/>
      <c r="O288" s="535"/>
      <c r="P288" s="535"/>
      <c r="Q288" s="535"/>
      <c r="R288" s="535"/>
      <c r="S288" s="535"/>
      <c r="T288" s="535"/>
      <c r="U288" s="535"/>
      <c r="V288" s="535"/>
      <c r="W288" s="535"/>
      <c r="X288" s="535"/>
      <c r="Y288" s="535"/>
      <c r="Z288" s="535"/>
      <c r="AA288" s="535"/>
      <c r="AB288" s="535"/>
      <c r="AC288" s="535"/>
      <c r="AD288" s="535"/>
      <c r="AE288" s="535"/>
      <c r="AF288" s="535"/>
      <c r="AG288" s="535"/>
      <c r="AH288" s="535"/>
      <c r="AI288" s="535"/>
      <c r="AJ288" s="535"/>
      <c r="AK288" s="535"/>
      <c r="AL288" s="535"/>
      <c r="AM288" s="535"/>
      <c r="AN288" s="535"/>
      <c r="AO288" s="189"/>
      <c r="AP288" s="189"/>
      <c r="AQ288" s="189"/>
      <c r="AR288" s="536"/>
      <c r="AS288" s="536"/>
      <c r="AT288" s="189"/>
      <c r="AU288" s="189"/>
      <c r="AV288" s="189"/>
      <c r="AW288" s="189"/>
      <c r="AX288" s="189"/>
      <c r="AY288" s="189"/>
      <c r="AZ288" s="189"/>
      <c r="BA288" s="189"/>
      <c r="BB288" s="189"/>
      <c r="BC288" s="189"/>
      <c r="BD288" s="191"/>
      <c r="BE288" s="189"/>
      <c r="BF288" s="189"/>
      <c r="BG288" s="189"/>
      <c r="BH288" s="189"/>
      <c r="BI288" s="189"/>
      <c r="BJ288" s="189"/>
      <c r="BK288" s="193"/>
    </row>
    <row r="289" spans="1:101" customFormat="1" ht="15.75" customHeight="1">
      <c r="A289" s="190"/>
      <c r="B289" s="191"/>
      <c r="C289" s="189"/>
      <c r="D289" s="189"/>
      <c r="E289" s="189"/>
      <c r="F289" s="189"/>
      <c r="G289" s="189"/>
      <c r="H289" s="189"/>
      <c r="I289" s="192"/>
      <c r="J289" s="535" t="s">
        <v>1116</v>
      </c>
      <c r="K289" s="535"/>
      <c r="L289" s="535" t="s">
        <v>1105</v>
      </c>
      <c r="M289" s="535"/>
      <c r="N289" s="535"/>
      <c r="O289" s="535"/>
      <c r="P289" s="535"/>
      <c r="Q289" s="535"/>
      <c r="R289" s="535"/>
      <c r="S289" s="535"/>
      <c r="T289" s="535"/>
      <c r="U289" s="535"/>
      <c r="V289" s="535"/>
      <c r="W289" s="535"/>
      <c r="X289" s="535"/>
      <c r="Y289" s="535"/>
      <c r="Z289" s="535"/>
      <c r="AA289" s="535"/>
      <c r="AB289" s="535"/>
      <c r="AC289" s="535"/>
      <c r="AD289" s="535"/>
      <c r="AE289" s="535"/>
      <c r="AF289" s="189"/>
      <c r="AG289" s="189"/>
      <c r="AH289" s="189"/>
      <c r="AI289" s="189"/>
      <c r="AJ289" s="535"/>
      <c r="AK289" s="535"/>
      <c r="AL289" s="535"/>
      <c r="AM289" s="189"/>
      <c r="AN289" s="189"/>
      <c r="AO289" s="189"/>
      <c r="AP289" s="189"/>
      <c r="AQ289" s="189"/>
      <c r="AR289" s="536"/>
      <c r="AS289" s="536"/>
      <c r="AT289" s="189"/>
      <c r="AU289" s="189"/>
      <c r="AV289" s="189"/>
      <c r="AW289" s="189"/>
      <c r="AX289" s="189"/>
      <c r="AY289" s="189"/>
      <c r="AZ289" s="189"/>
      <c r="BA289" s="189"/>
      <c r="BB289" s="189"/>
      <c r="BC289" s="189"/>
      <c r="BD289" s="191"/>
      <c r="BE289" s="189"/>
      <c r="BF289" s="189"/>
      <c r="BG289" s="189"/>
      <c r="BH289" s="189"/>
      <c r="BI289" s="189"/>
      <c r="BJ289" s="189"/>
      <c r="BK289" s="193"/>
    </row>
    <row r="290" spans="1:101" customFormat="1" ht="15.75" customHeight="1">
      <c r="A290" s="190"/>
      <c r="B290" s="191"/>
      <c r="C290" s="189"/>
      <c r="D290" s="189"/>
      <c r="E290" s="189"/>
      <c r="F290" s="189"/>
      <c r="G290" s="189"/>
      <c r="H290" s="189"/>
      <c r="I290" s="192"/>
      <c r="J290" s="535"/>
      <c r="K290" s="535"/>
      <c r="L290" s="535" t="s">
        <v>1106</v>
      </c>
      <c r="M290" s="535"/>
      <c r="N290" s="535"/>
      <c r="O290" s="535"/>
      <c r="P290" s="535"/>
      <c r="Q290" s="535"/>
      <c r="R290" s="535"/>
      <c r="S290" s="535"/>
      <c r="T290" s="535"/>
      <c r="U290" s="535"/>
      <c r="V290" s="535"/>
      <c r="W290" s="535"/>
      <c r="X290" s="535"/>
      <c r="Y290" s="535"/>
      <c r="Z290" s="535"/>
      <c r="AA290" s="535"/>
      <c r="AB290" s="535"/>
      <c r="AC290" s="535"/>
      <c r="AD290" s="535"/>
      <c r="AE290" s="535"/>
      <c r="AF290" s="535"/>
      <c r="AG290" s="535"/>
      <c r="AH290" s="535"/>
      <c r="AI290" s="535"/>
      <c r="AJ290" s="535"/>
      <c r="AK290" s="535"/>
      <c r="AL290" s="535"/>
      <c r="AM290" s="535"/>
      <c r="AN290" s="535"/>
      <c r="AO290" s="535"/>
      <c r="AP290" s="535"/>
      <c r="AQ290" s="535"/>
      <c r="AR290" s="536"/>
      <c r="AS290" s="536"/>
      <c r="AT290" s="535"/>
      <c r="AU290" s="189"/>
      <c r="AV290" s="189"/>
      <c r="AW290" s="189"/>
      <c r="AX290" s="189"/>
      <c r="AY290" s="189"/>
      <c r="AZ290" s="189"/>
      <c r="BA290" s="189"/>
      <c r="BB290" s="189"/>
      <c r="BC290" s="189"/>
      <c r="BD290" s="191"/>
      <c r="BE290" s="189"/>
      <c r="BF290" s="189"/>
      <c r="BG290" s="189"/>
      <c r="BH290" s="189"/>
      <c r="BI290" s="189"/>
      <c r="BJ290" s="189"/>
      <c r="BK290" s="193"/>
    </row>
    <row r="291" spans="1:101" customFormat="1" ht="15.75" customHeight="1">
      <c r="A291" s="190"/>
      <c r="B291" s="191"/>
      <c r="C291" s="189"/>
      <c r="D291" s="189"/>
      <c r="E291" s="189"/>
      <c r="F291" s="189"/>
      <c r="G291" s="189"/>
      <c r="H291" s="189"/>
      <c r="I291" s="192"/>
      <c r="J291" s="535"/>
      <c r="K291" s="535"/>
      <c r="L291" s="535" t="s">
        <v>1107</v>
      </c>
      <c r="M291" s="535"/>
      <c r="N291" s="535"/>
      <c r="O291" s="535"/>
      <c r="P291" s="535"/>
      <c r="Q291" s="535"/>
      <c r="R291" s="535"/>
      <c r="S291" s="535"/>
      <c r="T291" s="535"/>
      <c r="U291" s="535"/>
      <c r="V291" s="535"/>
      <c r="W291" s="535"/>
      <c r="X291" s="535"/>
      <c r="Y291" s="535"/>
      <c r="Z291" s="535"/>
      <c r="AA291" s="535"/>
      <c r="AB291" s="535"/>
      <c r="AC291" s="535"/>
      <c r="AD291" s="535"/>
      <c r="AE291" s="535"/>
      <c r="AF291" s="535"/>
      <c r="AG291" s="535"/>
      <c r="AH291" s="535"/>
      <c r="AI291" s="535"/>
      <c r="AJ291" s="535"/>
      <c r="AK291" s="535"/>
      <c r="AL291" s="535"/>
      <c r="AM291" s="535"/>
      <c r="AN291" s="535"/>
      <c r="AO291" s="535"/>
      <c r="AP291" s="535"/>
      <c r="AQ291" s="535"/>
      <c r="AR291" s="536"/>
      <c r="AS291" s="536"/>
      <c r="AT291" s="535"/>
      <c r="AU291" s="189"/>
      <c r="AV291" s="189"/>
      <c r="AW291" s="189"/>
      <c r="AX291" s="189"/>
      <c r="AY291" s="189"/>
      <c r="AZ291" s="189"/>
      <c r="BA291" s="189"/>
      <c r="BB291" s="189"/>
      <c r="BC291" s="189"/>
      <c r="BD291" s="191"/>
      <c r="BE291" s="189"/>
      <c r="BF291" s="189"/>
      <c r="BG291" s="189"/>
      <c r="BH291" s="189"/>
      <c r="BI291" s="189"/>
      <c r="BJ291" s="189"/>
      <c r="BK291" s="193"/>
    </row>
    <row r="292" spans="1:101" customFormat="1" ht="15.75" customHeight="1">
      <c r="A292" s="190"/>
      <c r="B292" s="191"/>
      <c r="C292" s="189"/>
      <c r="D292" s="189"/>
      <c r="E292" s="189"/>
      <c r="F292" s="189"/>
      <c r="G292" s="189"/>
      <c r="H292" s="189"/>
      <c r="I292" s="192"/>
      <c r="J292" s="535"/>
      <c r="K292" s="535"/>
      <c r="L292" s="535"/>
      <c r="M292" s="535" t="s">
        <v>1118</v>
      </c>
      <c r="N292" s="535"/>
      <c r="O292" s="535"/>
      <c r="P292" s="535"/>
      <c r="Q292" s="535"/>
      <c r="S292" s="535"/>
      <c r="T292" s="535"/>
      <c r="U292" s="535"/>
      <c r="V292" s="535"/>
      <c r="W292" s="535"/>
      <c r="X292" s="535"/>
      <c r="Y292" s="535"/>
      <c r="Z292" s="535"/>
      <c r="AA292" s="535"/>
      <c r="AB292" s="535"/>
      <c r="AC292" s="535"/>
      <c r="AD292" s="535"/>
      <c r="AE292" s="535"/>
      <c r="AF292" s="535"/>
      <c r="AG292" s="535"/>
      <c r="AH292" s="535"/>
      <c r="AI292" s="535"/>
      <c r="AJ292" s="535"/>
      <c r="AK292" s="535"/>
      <c r="AL292" s="535"/>
      <c r="AM292" s="535"/>
      <c r="AN292" s="535"/>
      <c r="AO292" s="535"/>
      <c r="AP292" s="535"/>
      <c r="AQ292" s="535"/>
      <c r="AR292" s="536"/>
      <c r="AS292" s="536"/>
      <c r="AT292" s="535"/>
      <c r="AU292" s="189"/>
      <c r="AV292" s="189"/>
      <c r="AW292" s="189"/>
      <c r="AX292" s="189"/>
      <c r="AY292" s="189"/>
      <c r="AZ292" s="189"/>
      <c r="BA292" s="189"/>
      <c r="BB292" s="189"/>
      <c r="BC292" s="189"/>
      <c r="BD292" s="191" t="s">
        <v>693</v>
      </c>
      <c r="BE292" s="189"/>
      <c r="BF292" s="189"/>
      <c r="BG292" s="189"/>
      <c r="BH292" s="189"/>
      <c r="BI292" s="189"/>
      <c r="BJ292" s="189"/>
      <c r="BK292" s="193"/>
    </row>
    <row r="293" spans="1:101" ht="15.75" customHeight="1">
      <c r="B293" s="201"/>
      <c r="I293" s="202"/>
      <c r="BD293" s="201"/>
      <c r="BJ293" s="189"/>
      <c r="BK293" s="193"/>
      <c r="BL293" s="189"/>
    </row>
    <row r="294" spans="1:101" ht="15.75" customHeight="1">
      <c r="B294" s="201"/>
      <c r="I294" s="202"/>
      <c r="BD294" s="201"/>
      <c r="BJ294" s="189"/>
      <c r="BK294" s="193"/>
      <c r="BL294" s="189"/>
    </row>
    <row r="295" spans="1:101" customFormat="1" ht="15.75" customHeight="1">
      <c r="A295" s="551">
        <v>8</v>
      </c>
      <c r="B295" s="185" t="s">
        <v>1119</v>
      </c>
      <c r="C295" s="186"/>
      <c r="D295" s="186"/>
      <c r="E295" s="186"/>
      <c r="F295" s="186"/>
      <c r="G295" s="186"/>
      <c r="H295" s="186"/>
      <c r="I295" s="186"/>
      <c r="J295" s="186" t="s">
        <v>1120</v>
      </c>
      <c r="K295" s="186"/>
      <c r="L295" s="186"/>
      <c r="M295" s="186"/>
      <c r="N295" s="186"/>
      <c r="O295" s="186"/>
      <c r="P295" s="186"/>
      <c r="Q295" s="186"/>
      <c r="R295" s="186"/>
      <c r="S295" s="186"/>
      <c r="T295" s="186"/>
      <c r="U295" s="186"/>
      <c r="V295" s="186"/>
      <c r="W295" s="186"/>
      <c r="X295" s="186"/>
      <c r="Y295" s="186"/>
      <c r="Z295" s="186"/>
      <c r="AA295" s="186"/>
      <c r="AB295" s="186"/>
      <c r="AC295" s="186"/>
      <c r="AD295" s="186"/>
      <c r="AE295" s="186"/>
      <c r="AF295" s="186"/>
      <c r="AG295" s="186"/>
      <c r="AH295" s="186"/>
      <c r="AI295" s="186"/>
      <c r="AJ295" s="186"/>
      <c r="AK295" s="186"/>
      <c r="AL295" s="186"/>
      <c r="AM295" s="186"/>
      <c r="AN295" s="186"/>
      <c r="AO295" s="186"/>
      <c r="AP295" s="186"/>
      <c r="AQ295" s="186"/>
      <c r="AR295" s="186"/>
      <c r="AS295" s="186"/>
      <c r="AT295" s="186"/>
      <c r="AU295" s="186"/>
      <c r="AV295" s="186"/>
      <c r="AW295" s="186"/>
      <c r="AX295" s="186"/>
      <c r="AY295" s="186"/>
      <c r="AZ295" s="186"/>
      <c r="BA295" s="186"/>
      <c r="BB295" s="186"/>
      <c r="BC295" s="186"/>
      <c r="BD295" s="186"/>
      <c r="BE295" s="186"/>
      <c r="BF295" s="186"/>
      <c r="BG295" s="186"/>
      <c r="BH295" s="186"/>
      <c r="BI295" s="186"/>
      <c r="BJ295" s="186"/>
      <c r="BK295" s="187"/>
      <c r="BM295" s="557"/>
      <c r="BN295" s="552"/>
      <c r="BO295" s="552"/>
      <c r="BP295" s="552"/>
      <c r="BQ295" s="552"/>
      <c r="BR295" s="552"/>
      <c r="BS295" s="552"/>
      <c r="BT295" s="552"/>
      <c r="BU295" s="552"/>
      <c r="BV295" s="552"/>
      <c r="BW295" s="552"/>
      <c r="BX295" s="552"/>
      <c r="BY295" s="552"/>
      <c r="BZ295" s="552"/>
      <c r="CA295" s="552"/>
      <c r="CB295" s="552"/>
      <c r="CC295" s="552"/>
      <c r="CD295" s="552"/>
      <c r="CE295" s="552"/>
      <c r="CF295" s="552"/>
      <c r="CG295" s="552"/>
      <c r="CH295" s="552"/>
      <c r="CI295" s="552"/>
      <c r="CJ295" s="552"/>
      <c r="CK295" s="552"/>
      <c r="CL295" s="552"/>
      <c r="CM295" s="552"/>
      <c r="CN295" s="552"/>
      <c r="CO295" s="552"/>
      <c r="CP295" s="552"/>
      <c r="CQ295" s="552"/>
      <c r="CR295" s="552"/>
      <c r="CS295" s="552"/>
      <c r="CT295" s="552"/>
      <c r="CU295" s="552"/>
      <c r="CV295" s="552"/>
      <c r="CW295" s="552"/>
    </row>
    <row r="296" spans="1:101" customFormat="1" ht="15.75" customHeight="1">
      <c r="A296" s="190"/>
      <c r="B296" s="191"/>
      <c r="C296" s="189"/>
      <c r="D296" s="189"/>
      <c r="E296" s="189"/>
      <c r="F296" s="189"/>
      <c r="G296" s="189"/>
      <c r="H296" s="189"/>
      <c r="I296" s="192"/>
      <c r="J296" s="535" t="s">
        <v>1121</v>
      </c>
      <c r="K296" s="535"/>
      <c r="L296" s="535" t="s">
        <v>698</v>
      </c>
      <c r="M296" s="535"/>
      <c r="N296" s="189"/>
      <c r="O296" s="535"/>
      <c r="P296" s="535"/>
      <c r="Q296" s="535"/>
      <c r="R296" s="535"/>
      <c r="S296" s="535"/>
      <c r="T296" s="535"/>
      <c r="U296" s="535"/>
      <c r="V296" s="535"/>
      <c r="W296" s="535"/>
      <c r="X296" s="535"/>
      <c r="Y296" s="535"/>
      <c r="Z296" s="535"/>
      <c r="AA296" s="535"/>
      <c r="AB296" s="535"/>
      <c r="AC296" s="535"/>
      <c r="AD296" s="535"/>
      <c r="AE296" s="189"/>
      <c r="AF296" s="189"/>
      <c r="AG296" s="189"/>
      <c r="AH296" s="189"/>
      <c r="AI296" s="189"/>
      <c r="AJ296" s="189"/>
      <c r="AK296" s="536"/>
      <c r="AL296" s="189"/>
      <c r="AM296" s="535"/>
      <c r="AN296" s="535"/>
      <c r="AO296" s="189"/>
      <c r="AP296" s="189"/>
      <c r="AQ296" s="189"/>
      <c r="AR296" s="189"/>
      <c r="AS296" s="189"/>
      <c r="AT296" s="189"/>
      <c r="AU296" s="189"/>
      <c r="AV296" s="189"/>
      <c r="AW296" s="189"/>
      <c r="AX296" s="189"/>
      <c r="AY296" s="189"/>
      <c r="AZ296" s="189"/>
      <c r="BA296" s="189"/>
      <c r="BB296" s="189"/>
      <c r="BC296" s="189"/>
      <c r="BD296" s="191"/>
      <c r="BE296" s="189"/>
      <c r="BF296" s="189"/>
      <c r="BG296" s="189"/>
      <c r="BH296" s="189"/>
      <c r="BI296" s="189"/>
      <c r="BJ296" s="189"/>
      <c r="BK296" s="193"/>
    </row>
    <row r="297" spans="1:101" customFormat="1" ht="15.75" customHeight="1">
      <c r="A297" s="190"/>
      <c r="B297" s="191"/>
      <c r="C297" s="189"/>
      <c r="D297" s="189"/>
      <c r="E297" s="189"/>
      <c r="F297" s="189"/>
      <c r="G297" s="189"/>
      <c r="H297" s="189"/>
      <c r="I297" s="192"/>
      <c r="J297" s="535"/>
      <c r="K297" s="535"/>
      <c r="L297" s="535"/>
      <c r="M297" s="535" t="s">
        <v>1130</v>
      </c>
      <c r="N297" s="189"/>
      <c r="O297" s="535"/>
      <c r="P297" s="535"/>
      <c r="Q297" s="535"/>
      <c r="R297" s="535"/>
      <c r="S297" s="535"/>
      <c r="T297" s="535"/>
      <c r="U297" s="535"/>
      <c r="V297" s="535"/>
      <c r="W297" s="535"/>
      <c r="X297" s="535"/>
      <c r="Y297" s="535"/>
      <c r="Z297" s="535"/>
      <c r="AA297" s="535"/>
      <c r="AB297" s="535"/>
      <c r="AC297" s="535"/>
      <c r="AD297" s="535"/>
      <c r="AE297" s="189"/>
      <c r="AF297" s="189"/>
      <c r="AG297" s="189"/>
      <c r="AH297" s="189"/>
      <c r="AI297" s="189"/>
      <c r="AJ297" s="189"/>
      <c r="AK297" s="536"/>
      <c r="AL297" s="189"/>
      <c r="AM297" s="535"/>
      <c r="AN297" s="535"/>
      <c r="AO297" s="189"/>
      <c r="AP297" s="189"/>
      <c r="AQ297" s="189"/>
      <c r="AR297" s="189"/>
      <c r="AS297" s="189"/>
      <c r="AT297" s="189"/>
      <c r="AU297" s="189"/>
      <c r="AV297" s="189"/>
      <c r="AW297" s="189"/>
      <c r="AX297" s="189"/>
      <c r="AY297" s="189"/>
      <c r="AZ297" s="189"/>
      <c r="BA297" s="189"/>
      <c r="BB297" s="189"/>
      <c r="BC297" s="189"/>
      <c r="BD297" s="191"/>
      <c r="BE297" s="189"/>
      <c r="BF297" s="189"/>
      <c r="BG297" s="189"/>
      <c r="BH297" s="189"/>
      <c r="BI297" s="189"/>
      <c r="BJ297" s="189"/>
      <c r="BK297" s="193"/>
    </row>
    <row r="298" spans="1:101" customFormat="1" ht="15.75" customHeight="1">
      <c r="A298" s="558"/>
      <c r="B298" s="191"/>
      <c r="C298" s="189"/>
      <c r="D298" s="189"/>
      <c r="E298" s="189"/>
      <c r="F298" s="189"/>
      <c r="G298" s="189"/>
      <c r="H298" s="189"/>
      <c r="I298" s="192"/>
      <c r="J298" s="535"/>
      <c r="K298" s="535"/>
      <c r="L298" s="535"/>
      <c r="M298" s="535"/>
      <c r="N298" s="189"/>
      <c r="O298" s="535"/>
      <c r="P298" s="535"/>
      <c r="Q298" s="535"/>
      <c r="R298" s="535"/>
      <c r="S298" s="535"/>
      <c r="T298" s="535"/>
      <c r="U298" s="535"/>
      <c r="V298" s="535"/>
      <c r="W298" s="535"/>
      <c r="X298" s="535"/>
      <c r="Y298" s="535"/>
      <c r="Z298" s="535"/>
      <c r="AA298" s="535"/>
      <c r="AB298" s="535"/>
      <c r="AC298" s="535"/>
      <c r="AD298" s="535"/>
      <c r="AE298" s="189"/>
      <c r="AF298" s="189"/>
      <c r="AG298" s="189"/>
      <c r="AH298" s="189"/>
      <c r="AI298" s="189"/>
      <c r="AJ298" s="189"/>
      <c r="AK298" s="536"/>
      <c r="AL298" s="189"/>
      <c r="AM298" s="535"/>
      <c r="AN298" s="535"/>
      <c r="AO298" s="189"/>
      <c r="AP298" s="189"/>
      <c r="AQ298" s="189"/>
      <c r="AR298" s="189"/>
      <c r="AS298" s="189"/>
      <c r="AT298" s="189"/>
      <c r="AU298" s="189"/>
      <c r="AV298" s="189"/>
      <c r="AW298" s="189"/>
      <c r="AX298" s="189"/>
      <c r="AY298" s="189"/>
      <c r="AZ298" s="189"/>
      <c r="BA298" s="189"/>
      <c r="BB298" s="189"/>
      <c r="BC298" s="189"/>
      <c r="BD298" s="191"/>
      <c r="BE298" s="189"/>
      <c r="BF298" s="189"/>
      <c r="BG298" s="189"/>
      <c r="BH298" s="189"/>
      <c r="BI298" s="189"/>
      <c r="BJ298" s="189"/>
      <c r="BK298" s="189"/>
    </row>
    <row r="299" spans="1:101" ht="15.75" customHeight="1">
      <c r="B299" s="201"/>
      <c r="I299" s="202"/>
      <c r="M299" s="1" t="s">
        <v>700</v>
      </c>
      <c r="BD299" s="201"/>
    </row>
    <row r="300" spans="1:101" ht="15.75" customHeight="1">
      <c r="B300" s="201"/>
      <c r="I300" s="202"/>
      <c r="M300" s="1" t="s">
        <v>701</v>
      </c>
      <c r="BD300" s="201" t="s">
        <v>1122</v>
      </c>
    </row>
    <row r="301" spans="1:101" ht="15.75" customHeight="1">
      <c r="B301" s="201"/>
      <c r="I301" s="202"/>
      <c r="BD301" s="201"/>
    </row>
    <row r="302" spans="1:101" ht="15.75" customHeight="1">
      <c r="B302" s="201"/>
      <c r="I302" s="202"/>
      <c r="L302" s="535" t="s">
        <v>1123</v>
      </c>
      <c r="M302" s="535"/>
      <c r="N302" s="535"/>
      <c r="O302" s="535"/>
      <c r="P302" s="535"/>
      <c r="Q302" s="535"/>
      <c r="R302" s="535"/>
      <c r="S302" s="535"/>
      <c r="T302" s="535"/>
      <c r="U302" s="535"/>
      <c r="V302" s="535"/>
      <c r="W302" s="535"/>
      <c r="X302" s="535"/>
      <c r="Y302" s="535"/>
      <c r="BD302" s="201"/>
    </row>
    <row r="303" spans="1:101" ht="15.75" customHeight="1">
      <c r="B303" s="201"/>
      <c r="I303" s="202"/>
      <c r="BD303" s="201"/>
    </row>
    <row r="304" spans="1:101" ht="15.75" customHeight="1">
      <c r="B304" s="201"/>
      <c r="I304" s="202"/>
      <c r="BD304" s="201"/>
    </row>
    <row r="305" spans="1:101" customFormat="1" ht="15.75" customHeight="1">
      <c r="A305" s="551">
        <v>9</v>
      </c>
      <c r="B305" s="185" t="s">
        <v>640</v>
      </c>
      <c r="C305" s="186"/>
      <c r="D305" s="186"/>
      <c r="E305" s="186"/>
      <c r="F305" s="186"/>
      <c r="G305" s="186"/>
      <c r="H305" s="186"/>
      <c r="I305" s="186"/>
      <c r="J305" s="186" t="s">
        <v>1124</v>
      </c>
      <c r="K305" s="186"/>
      <c r="L305" s="186"/>
      <c r="M305" s="186"/>
      <c r="N305" s="186"/>
      <c r="O305" s="186"/>
      <c r="P305" s="186"/>
      <c r="Q305" s="186"/>
      <c r="R305" s="186"/>
      <c r="S305" s="186"/>
      <c r="T305" s="186"/>
      <c r="U305" s="186"/>
      <c r="V305" s="186"/>
      <c r="W305" s="186"/>
      <c r="X305" s="186"/>
      <c r="Y305" s="186"/>
      <c r="Z305" s="186"/>
      <c r="AA305" s="186"/>
      <c r="AB305" s="186"/>
      <c r="AC305" s="186"/>
      <c r="AD305" s="186"/>
      <c r="AE305" s="186"/>
      <c r="AF305" s="186"/>
      <c r="AG305" s="186"/>
      <c r="AH305" s="186"/>
      <c r="AI305" s="186"/>
      <c r="AJ305" s="186"/>
      <c r="AK305" s="186"/>
      <c r="AL305" s="186"/>
      <c r="AM305" s="186"/>
      <c r="AN305" s="186"/>
      <c r="AO305" s="186"/>
      <c r="AP305" s="186"/>
      <c r="AQ305" s="186"/>
      <c r="AR305" s="186"/>
      <c r="AS305" s="186"/>
      <c r="AT305" s="186"/>
      <c r="AU305" s="186"/>
      <c r="AV305" s="186"/>
      <c r="AW305" s="186"/>
      <c r="AX305" s="186"/>
      <c r="AY305" s="186"/>
      <c r="AZ305" s="186"/>
      <c r="BA305" s="186"/>
      <c r="BB305" s="186"/>
      <c r="BC305" s="186"/>
      <c r="BD305" s="186"/>
      <c r="BE305" s="186"/>
      <c r="BF305" s="186"/>
      <c r="BG305" s="186"/>
      <c r="BH305" s="186"/>
      <c r="BI305" s="186"/>
      <c r="BJ305" s="186"/>
      <c r="BK305" s="187"/>
      <c r="BM305" s="557"/>
      <c r="BN305" s="552"/>
      <c r="BO305" s="552"/>
      <c r="BP305" s="552"/>
      <c r="BQ305" s="552"/>
      <c r="BR305" s="552"/>
      <c r="BS305" s="552"/>
      <c r="BT305" s="552"/>
      <c r="BU305" s="552"/>
      <c r="BV305" s="552"/>
      <c r="BW305" s="552"/>
      <c r="BX305" s="552"/>
      <c r="BY305" s="552"/>
      <c r="BZ305" s="552"/>
      <c r="CA305" s="552"/>
      <c r="CB305" s="552"/>
      <c r="CC305" s="552"/>
      <c r="CD305" s="552"/>
      <c r="CE305" s="552"/>
      <c r="CF305" s="552"/>
      <c r="CG305" s="552"/>
      <c r="CH305" s="552"/>
      <c r="CI305" s="552"/>
      <c r="CJ305" s="552"/>
      <c r="CK305" s="552"/>
      <c r="CL305" s="552"/>
      <c r="CM305" s="552"/>
      <c r="CN305" s="552"/>
      <c r="CO305" s="552"/>
      <c r="CP305" s="552"/>
      <c r="CQ305" s="552"/>
      <c r="CR305" s="552"/>
      <c r="CS305" s="552"/>
      <c r="CT305" s="552"/>
      <c r="CU305" s="552"/>
      <c r="CV305" s="552"/>
      <c r="CW305" s="552"/>
    </row>
    <row r="306" spans="1:101" ht="15.75" customHeight="1">
      <c r="B306" s="201"/>
      <c r="I306" s="202"/>
      <c r="J306" s="535" t="s">
        <v>1125</v>
      </c>
      <c r="K306" s="535"/>
      <c r="L306" s="535" t="s">
        <v>1126</v>
      </c>
      <c r="M306" s="535"/>
      <c r="N306" s="189"/>
      <c r="O306" s="535"/>
      <c r="P306" s="535"/>
      <c r="Q306" s="535"/>
      <c r="R306" s="535"/>
      <c r="S306" s="535"/>
      <c r="T306" s="535"/>
      <c r="U306" s="535"/>
      <c r="V306" s="535"/>
      <c r="W306" s="535"/>
      <c r="X306" s="535"/>
      <c r="Y306" s="535"/>
      <c r="Z306" s="535"/>
      <c r="AA306" s="535"/>
      <c r="AB306" s="535"/>
      <c r="AC306" s="535"/>
      <c r="AD306" s="535"/>
      <c r="AE306" s="189"/>
      <c r="AF306" s="189"/>
      <c r="AG306" s="189"/>
      <c r="AH306" s="189"/>
      <c r="AI306" s="189"/>
      <c r="AJ306" s="189"/>
      <c r="AK306" s="536"/>
      <c r="AL306" s="189"/>
      <c r="AM306" s="535"/>
      <c r="AN306" s="535"/>
      <c r="AO306" s="189"/>
      <c r="AP306" s="189"/>
      <c r="AQ306" s="189"/>
      <c r="AR306" s="189"/>
      <c r="AS306" s="189"/>
      <c r="AT306" s="189"/>
      <c r="AU306" s="189"/>
      <c r="AV306" s="189"/>
      <c r="AW306" s="189"/>
      <c r="AX306" s="189"/>
      <c r="AY306" s="189"/>
      <c r="AZ306" s="189"/>
      <c r="BA306" s="189"/>
      <c r="BB306" s="189"/>
      <c r="BC306" s="189"/>
      <c r="BD306" s="191"/>
      <c r="BE306" s="189"/>
      <c r="BF306" s="189"/>
      <c r="BG306" s="189"/>
      <c r="BH306" s="189"/>
      <c r="BI306" s="189"/>
      <c r="BJ306" s="189"/>
      <c r="BK306" s="92"/>
      <c r="BL306"/>
    </row>
    <row r="307" spans="1:101" ht="15.75" customHeight="1">
      <c r="B307" s="201"/>
      <c r="I307" s="202"/>
      <c r="J307" s="535"/>
      <c r="K307" s="535"/>
      <c r="L307" s="535"/>
      <c r="M307" s="535" t="s">
        <v>1127</v>
      </c>
      <c r="N307" s="189"/>
      <c r="O307" s="535"/>
      <c r="P307" s="535"/>
      <c r="Q307" s="535"/>
      <c r="R307" s="535"/>
      <c r="S307" s="535"/>
      <c r="T307" s="535"/>
      <c r="U307" s="535"/>
      <c r="V307" s="535"/>
      <c r="W307" s="535"/>
      <c r="X307" s="535"/>
      <c r="Y307" s="535"/>
      <c r="Z307" s="535"/>
      <c r="AA307" s="535"/>
      <c r="AB307" s="535"/>
      <c r="AC307" s="535"/>
      <c r="AD307" s="535"/>
      <c r="AE307" s="189"/>
      <c r="AF307" s="189"/>
      <c r="AG307" s="189"/>
      <c r="AH307" s="189"/>
      <c r="AI307" s="189"/>
      <c r="AJ307" s="189"/>
      <c r="AK307" s="536"/>
      <c r="AL307" s="189"/>
      <c r="AM307" s="535"/>
      <c r="AN307" s="535"/>
      <c r="AO307" s="189"/>
      <c r="AP307" s="189"/>
      <c r="AQ307" s="189"/>
      <c r="AR307" s="189"/>
      <c r="AS307" s="189"/>
      <c r="AT307" s="189"/>
      <c r="AU307" s="189"/>
      <c r="AV307" s="189"/>
      <c r="AW307" s="189"/>
      <c r="AX307" s="189"/>
      <c r="AY307" s="189"/>
      <c r="AZ307" s="189"/>
      <c r="BA307" s="189"/>
      <c r="BB307" s="189"/>
      <c r="BC307" s="189"/>
      <c r="BD307" s="191"/>
      <c r="BE307" s="189"/>
      <c r="BF307" s="189"/>
      <c r="BG307" s="189"/>
      <c r="BH307" s="189"/>
      <c r="BI307" s="189"/>
      <c r="BJ307" s="189"/>
      <c r="BK307" s="92"/>
      <c r="BL307"/>
    </row>
    <row r="308" spans="1:101" ht="15.75" customHeight="1">
      <c r="B308" s="201"/>
      <c r="I308" s="202"/>
      <c r="J308" s="535"/>
      <c r="K308" s="535"/>
      <c r="L308" s="535"/>
      <c r="M308" s="535"/>
      <c r="N308" s="189"/>
      <c r="O308" s="535"/>
      <c r="P308" s="535"/>
      <c r="Q308" s="535"/>
      <c r="R308" s="535"/>
      <c r="S308" s="535"/>
      <c r="T308" s="535"/>
      <c r="U308" s="535"/>
      <c r="V308" s="535"/>
      <c r="W308" s="535"/>
      <c r="X308" s="535"/>
      <c r="Y308" s="535"/>
      <c r="Z308" s="535"/>
      <c r="AA308" s="535"/>
      <c r="AB308" s="535"/>
      <c r="AC308" s="535"/>
      <c r="AD308" s="535"/>
      <c r="AE308" s="189"/>
      <c r="AF308" s="189"/>
      <c r="AG308" s="189"/>
      <c r="AH308" s="189"/>
      <c r="AI308" s="189"/>
      <c r="AJ308" s="189"/>
      <c r="AK308" s="536"/>
      <c r="AL308" s="189"/>
      <c r="AM308" s="535"/>
      <c r="AN308" s="535"/>
      <c r="AO308" s="189"/>
      <c r="AP308" s="189"/>
      <c r="AQ308" s="189"/>
      <c r="AR308" s="189"/>
      <c r="AS308" s="189"/>
      <c r="AT308" s="189"/>
      <c r="AU308" s="189"/>
      <c r="AV308" s="189"/>
      <c r="AW308" s="189"/>
      <c r="AX308" s="189"/>
      <c r="AY308" s="189"/>
      <c r="AZ308" s="189"/>
      <c r="BA308" s="189"/>
      <c r="BB308" s="189"/>
      <c r="BC308" s="189"/>
      <c r="BD308" s="191"/>
      <c r="BE308" s="189"/>
      <c r="BF308" s="189"/>
      <c r="BG308" s="189"/>
      <c r="BH308" s="189"/>
      <c r="BI308" s="189"/>
      <c r="BJ308" s="189"/>
      <c r="BK308" s="92"/>
      <c r="BL308"/>
    </row>
    <row r="309" spans="1:101" ht="15.75" customHeight="1">
      <c r="B309" s="201"/>
      <c r="I309" s="202"/>
      <c r="J309" s="535"/>
      <c r="K309" s="535"/>
      <c r="M309" s="1" t="s">
        <v>1128</v>
      </c>
      <c r="N309" s="189"/>
      <c r="O309" s="535"/>
      <c r="P309" s="535"/>
      <c r="Q309" s="535"/>
      <c r="R309" s="535"/>
      <c r="S309" s="535"/>
      <c r="T309" s="535"/>
      <c r="U309" s="535"/>
      <c r="V309" s="535"/>
      <c r="W309" s="535"/>
      <c r="X309" s="535"/>
      <c r="Y309" s="535"/>
      <c r="Z309" s="535"/>
      <c r="AA309" s="535"/>
      <c r="AB309" s="535"/>
      <c r="AC309" s="535"/>
      <c r="AD309" s="535"/>
      <c r="AE309" s="189"/>
      <c r="AF309" s="189"/>
      <c r="AG309" s="189"/>
      <c r="AH309" s="189"/>
      <c r="AI309" s="189"/>
      <c r="AJ309" s="189"/>
      <c r="AK309" s="536"/>
      <c r="AL309" s="189"/>
      <c r="AM309" s="535"/>
      <c r="AN309" s="535"/>
      <c r="AO309" s="189"/>
      <c r="AP309" s="189"/>
      <c r="AQ309" s="189"/>
      <c r="AR309" s="189"/>
      <c r="AS309" s="189"/>
      <c r="AT309" s="189"/>
      <c r="AU309" s="189"/>
      <c r="AV309" s="189"/>
      <c r="AW309" s="189"/>
      <c r="AX309" s="189"/>
      <c r="AY309" s="189"/>
      <c r="AZ309" s="189"/>
      <c r="BA309" s="189"/>
      <c r="BB309" s="189"/>
      <c r="BC309" s="189"/>
      <c r="BD309" s="201" t="s">
        <v>1122</v>
      </c>
      <c r="BE309" s="189"/>
      <c r="BF309" s="189"/>
      <c r="BG309" s="189"/>
      <c r="BH309" s="189"/>
      <c r="BI309" s="189"/>
      <c r="BJ309" s="189"/>
      <c r="BK309" s="92"/>
      <c r="BL309"/>
    </row>
    <row r="310" spans="1:101" ht="15.75" customHeight="1">
      <c r="B310" s="201"/>
      <c r="I310" s="202"/>
      <c r="J310" s="535"/>
      <c r="K310" s="535"/>
      <c r="M310" s="1" t="s">
        <v>1129</v>
      </c>
      <c r="N310" s="189"/>
      <c r="O310" s="535"/>
      <c r="P310" s="535"/>
      <c r="Q310" s="535"/>
      <c r="R310" s="535"/>
      <c r="S310" s="535"/>
      <c r="T310" s="535"/>
      <c r="U310" s="535"/>
      <c r="V310" s="535"/>
      <c r="W310" s="535"/>
      <c r="X310" s="535"/>
      <c r="Y310" s="535"/>
      <c r="Z310" s="535"/>
      <c r="AA310" s="535"/>
      <c r="AB310" s="535"/>
      <c r="AC310" s="535"/>
      <c r="AD310" s="535"/>
      <c r="AE310" s="189"/>
      <c r="AF310" s="189"/>
      <c r="AG310" s="189"/>
      <c r="AH310" s="189"/>
      <c r="AI310" s="189"/>
      <c r="AJ310" s="189"/>
      <c r="AK310" s="536"/>
      <c r="AL310" s="189"/>
      <c r="AM310" s="535"/>
      <c r="AN310" s="535"/>
      <c r="AO310" s="189"/>
      <c r="AP310" s="189"/>
      <c r="AQ310" s="189"/>
      <c r="AR310" s="189"/>
      <c r="AS310" s="189"/>
      <c r="AT310" s="189"/>
      <c r="AU310" s="189"/>
      <c r="AV310" s="189"/>
      <c r="AW310" s="189"/>
      <c r="AX310" s="189"/>
      <c r="AY310" s="189"/>
      <c r="AZ310" s="189"/>
      <c r="BA310" s="189"/>
      <c r="BB310" s="189"/>
      <c r="BC310" s="189"/>
      <c r="BD310" s="191"/>
      <c r="BE310" s="189"/>
      <c r="BF310" s="189"/>
      <c r="BG310" s="189"/>
      <c r="BH310" s="189"/>
      <c r="BI310" s="189"/>
      <c r="BJ310" s="189"/>
      <c r="BK310" s="92"/>
      <c r="BL310"/>
    </row>
    <row r="311" spans="1:101" ht="15.75" customHeight="1">
      <c r="B311" s="201"/>
      <c r="I311" s="202"/>
      <c r="J311" s="535"/>
      <c r="K311" s="535"/>
      <c r="L311" s="536"/>
      <c r="M311" s="536"/>
      <c r="N311" s="536"/>
      <c r="O311" s="536"/>
      <c r="P311" s="536"/>
      <c r="Q311" s="536"/>
      <c r="R311" s="536"/>
      <c r="S311" s="536"/>
      <c r="T311" s="536"/>
      <c r="U311" s="536"/>
      <c r="V311" s="536"/>
      <c r="W311" s="536"/>
      <c r="X311" s="536"/>
      <c r="Y311" s="536"/>
      <c r="Z311" s="536"/>
      <c r="AA311" s="536"/>
      <c r="AB311" s="536"/>
      <c r="AC311" s="536"/>
      <c r="AD311" s="536"/>
      <c r="AE311" s="536"/>
      <c r="AF311" s="536"/>
      <c r="AG311" s="536"/>
      <c r="AH311" s="189"/>
      <c r="AI311" s="189"/>
      <c r="AJ311" s="189"/>
      <c r="AK311" s="189"/>
      <c r="AL311" s="189"/>
      <c r="AM311" s="535"/>
      <c r="AN311" s="535"/>
      <c r="AO311" s="189"/>
      <c r="AP311" s="189"/>
      <c r="AQ311" s="189"/>
      <c r="AR311" s="189"/>
      <c r="AS311" s="189"/>
      <c r="AT311" s="189"/>
      <c r="AU311" s="189"/>
      <c r="AV311" s="189"/>
      <c r="AW311" s="189"/>
      <c r="AX311" s="189"/>
      <c r="AY311" s="189"/>
      <c r="AZ311" s="189"/>
      <c r="BA311" s="189"/>
      <c r="BB311" s="189"/>
      <c r="BC311" s="189"/>
      <c r="BD311" s="191"/>
      <c r="BE311" s="189"/>
      <c r="BF311" s="189"/>
      <c r="BG311" s="189"/>
      <c r="BH311" s="189"/>
      <c r="BI311" s="189"/>
      <c r="BJ311" s="189"/>
      <c r="BK311" s="92"/>
      <c r="BL311"/>
    </row>
    <row r="312" spans="1:101" ht="15.75" customHeight="1">
      <c r="B312" s="201"/>
      <c r="I312" s="202"/>
      <c r="J312" s="535"/>
      <c r="K312" s="535"/>
      <c r="L312" s="535" t="s">
        <v>709</v>
      </c>
      <c r="M312" s="535"/>
      <c r="N312" s="535"/>
      <c r="O312" s="535"/>
      <c r="P312" s="535"/>
      <c r="Q312" s="535"/>
      <c r="R312" s="535"/>
      <c r="S312" s="535"/>
      <c r="T312" s="535"/>
      <c r="U312" s="535"/>
      <c r="V312" s="535"/>
      <c r="W312" s="535"/>
      <c r="X312" s="535"/>
      <c r="Y312" s="535"/>
      <c r="Z312" s="535"/>
      <c r="AA312" s="535"/>
      <c r="AB312" s="535"/>
      <c r="AC312" s="535"/>
      <c r="AD312" s="535"/>
      <c r="AE312" s="535"/>
      <c r="AF312" s="189"/>
      <c r="AG312" s="189"/>
      <c r="AH312" s="189"/>
      <c r="AI312" s="189"/>
      <c r="AJ312" s="189"/>
      <c r="AK312" s="189"/>
      <c r="AL312" s="189"/>
      <c r="AM312" s="535"/>
      <c r="AN312" s="535"/>
      <c r="AO312" s="189"/>
      <c r="AP312" s="189"/>
      <c r="AQ312" s="189"/>
      <c r="AR312" s="189"/>
      <c r="AS312" s="189"/>
      <c r="AT312" s="189"/>
      <c r="AU312" s="189"/>
      <c r="AV312" s="189"/>
      <c r="AW312" s="189"/>
      <c r="AX312" s="189"/>
      <c r="AY312" s="189"/>
      <c r="AZ312" s="189"/>
      <c r="BA312" s="189"/>
      <c r="BB312" s="189"/>
      <c r="BC312" s="189"/>
      <c r="BD312" s="191"/>
      <c r="BE312" s="189"/>
      <c r="BF312" s="189"/>
      <c r="BG312" s="189"/>
      <c r="BH312" s="189"/>
      <c r="BI312" s="189"/>
      <c r="BJ312" s="189"/>
      <c r="BK312" s="92"/>
      <c r="BL312"/>
    </row>
    <row r="313" spans="1:101" ht="15.75" customHeight="1">
      <c r="B313" s="201"/>
      <c r="I313" s="202"/>
      <c r="J313" s="535"/>
      <c r="K313" s="535"/>
      <c r="L313" s="535" t="s">
        <v>710</v>
      </c>
      <c r="M313" s="535"/>
      <c r="N313" s="535"/>
      <c r="O313" s="535"/>
      <c r="P313" s="535"/>
      <c r="Q313" s="535"/>
      <c r="R313" s="535"/>
      <c r="S313" s="535"/>
      <c r="T313" s="535"/>
      <c r="U313" s="535"/>
      <c r="V313" s="535"/>
      <c r="W313" s="535"/>
      <c r="X313" s="535"/>
      <c r="Y313" s="535"/>
      <c r="Z313" s="535"/>
      <c r="AA313" s="535"/>
      <c r="AB313" s="535"/>
      <c r="AC313" s="535"/>
      <c r="AD313" s="535"/>
      <c r="AE313" s="535"/>
      <c r="AF313" s="189"/>
      <c r="AG313" s="189"/>
      <c r="AH313" s="535"/>
      <c r="AI313" s="535"/>
      <c r="AJ313" s="535"/>
      <c r="AK313" s="535"/>
      <c r="AL313" s="535"/>
      <c r="AM313" s="535"/>
      <c r="AN313" s="535"/>
      <c r="AO313" s="189"/>
      <c r="AP313" s="189"/>
      <c r="AQ313" s="189"/>
      <c r="AR313" s="189"/>
      <c r="AS313" s="189"/>
      <c r="AT313" s="189"/>
      <c r="AU313" s="189"/>
      <c r="AV313" s="189"/>
      <c r="AW313" s="189"/>
      <c r="AX313" s="189"/>
      <c r="AY313" s="189"/>
      <c r="AZ313" s="189"/>
      <c r="BA313" s="189"/>
      <c r="BB313" s="189"/>
      <c r="BC313" s="189"/>
      <c r="BD313" s="191"/>
      <c r="BE313" s="189"/>
      <c r="BF313" s="189"/>
      <c r="BG313" s="189"/>
      <c r="BH313" s="189"/>
      <c r="BI313" s="189"/>
      <c r="BJ313" s="189"/>
      <c r="BK313" s="92"/>
      <c r="BL313"/>
    </row>
    <row r="314" spans="1:101" ht="15.75" customHeight="1">
      <c r="B314" s="201"/>
      <c r="I314" s="202"/>
      <c r="BD314" s="201"/>
    </row>
    <row r="315" spans="1:101" ht="15.75" customHeight="1">
      <c r="B315" s="201"/>
      <c r="I315" s="202"/>
      <c r="BD315" s="201"/>
    </row>
    <row r="316" spans="1:101" ht="15.75" customHeight="1">
      <c r="B316" s="201"/>
      <c r="I316" s="202"/>
      <c r="BD316" s="20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8B17-91B4-4733-90C6-216850B0D3DE}">
  <sheetPr>
    <tabColor rgb="FFFFFF00"/>
  </sheetPr>
  <dimension ref="B2:U93"/>
  <sheetViews>
    <sheetView showGridLines="0" workbookViewId="0">
      <selection activeCell="U102" sqref="U102"/>
    </sheetView>
  </sheetViews>
  <sheetFormatPr defaultColWidth="2.875" defaultRowHeight="13.5"/>
  <sheetData>
    <row r="2" spans="2:21">
      <c r="B2" s="563"/>
      <c r="C2" s="564"/>
      <c r="D2" s="564"/>
      <c r="E2" s="564"/>
      <c r="F2" s="564"/>
      <c r="G2" s="564"/>
      <c r="H2" s="564"/>
      <c r="I2" s="564"/>
      <c r="J2" s="565" t="s">
        <v>1140</v>
      </c>
      <c r="K2" s="564"/>
      <c r="L2" s="564"/>
      <c r="M2" s="565"/>
      <c r="N2" s="566"/>
      <c r="O2" s="567" t="s">
        <v>715</v>
      </c>
      <c r="P2" s="568"/>
      <c r="S2" t="s">
        <v>1141</v>
      </c>
      <c r="U2" t="s">
        <v>1142</v>
      </c>
    </row>
    <row r="3" spans="2:21">
      <c r="B3" s="569" t="s">
        <v>1143</v>
      </c>
      <c r="C3" s="570"/>
      <c r="D3" s="570"/>
      <c r="E3" s="570"/>
      <c r="F3" s="570"/>
      <c r="G3" s="570"/>
      <c r="H3" s="570"/>
      <c r="I3" s="570"/>
      <c r="J3" s="571"/>
      <c r="K3" s="570"/>
      <c r="L3" s="570"/>
      <c r="M3" s="571"/>
      <c r="N3" s="572"/>
      <c r="O3" s="573"/>
      <c r="P3" s="574"/>
      <c r="S3" t="s">
        <v>247</v>
      </c>
      <c r="U3" t="s">
        <v>1144</v>
      </c>
    </row>
    <row r="4" spans="2:21">
      <c r="B4" s="575" t="s">
        <v>1154</v>
      </c>
      <c r="C4" s="576"/>
      <c r="D4" s="577"/>
      <c r="E4" s="576"/>
      <c r="F4" s="578"/>
      <c r="G4" s="579" t="s">
        <v>1145</v>
      </c>
      <c r="H4" s="580"/>
      <c r="I4" s="580"/>
      <c r="J4" s="581"/>
      <c r="K4" s="580"/>
      <c r="L4" s="580"/>
      <c r="M4" s="581"/>
      <c r="N4" s="582"/>
      <c r="O4" s="588" t="s">
        <v>1174</v>
      </c>
      <c r="P4" s="583"/>
      <c r="S4" s="584" t="s">
        <v>1147</v>
      </c>
      <c r="U4" t="s">
        <v>1148</v>
      </c>
    </row>
    <row r="5" spans="2:21">
      <c r="B5" s="585"/>
      <c r="C5" s="189"/>
      <c r="D5" s="530"/>
      <c r="E5" s="189"/>
      <c r="F5" s="192"/>
      <c r="G5" s="575" t="s">
        <v>468</v>
      </c>
      <c r="H5" s="576"/>
      <c r="I5" s="576"/>
      <c r="J5" s="577"/>
      <c r="K5" s="576"/>
      <c r="L5" s="576"/>
      <c r="M5" s="577"/>
      <c r="N5" s="582"/>
      <c r="O5" s="588" t="s">
        <v>1146</v>
      </c>
      <c r="P5" s="583"/>
      <c r="S5" t="s">
        <v>1149</v>
      </c>
      <c r="U5" t="s">
        <v>1150</v>
      </c>
    </row>
    <row r="6" spans="2:21">
      <c r="B6" s="585"/>
      <c r="C6" s="189"/>
      <c r="D6" s="530"/>
      <c r="E6" s="189"/>
      <c r="F6" s="192"/>
      <c r="G6" s="575" t="s">
        <v>471</v>
      </c>
      <c r="H6" s="576"/>
      <c r="I6" s="576"/>
      <c r="J6" s="577"/>
      <c r="K6" s="576"/>
      <c r="L6" s="576"/>
      <c r="M6" s="577"/>
      <c r="N6" s="582"/>
      <c r="O6" s="588" t="s">
        <v>1146</v>
      </c>
      <c r="P6" s="583"/>
      <c r="S6" t="s">
        <v>1151</v>
      </c>
      <c r="U6" t="s">
        <v>1152</v>
      </c>
    </row>
    <row r="7" spans="2:21">
      <c r="B7" s="585"/>
      <c r="C7" s="189"/>
      <c r="D7" s="530"/>
      <c r="E7" s="189"/>
      <c r="F7" s="192"/>
      <c r="G7" s="575" t="s">
        <v>1155</v>
      </c>
      <c r="H7" s="576"/>
      <c r="I7" s="576"/>
      <c r="J7" s="577"/>
      <c r="K7" s="576"/>
      <c r="L7" s="576"/>
      <c r="M7" s="577"/>
      <c r="N7" s="582"/>
      <c r="O7" s="588" t="s">
        <v>1146</v>
      </c>
      <c r="P7" s="583"/>
    </row>
    <row r="8" spans="2:21">
      <c r="B8" s="585"/>
      <c r="C8" s="189"/>
      <c r="D8" s="530"/>
      <c r="E8" s="189"/>
      <c r="F8" s="192"/>
      <c r="G8" s="575" t="s">
        <v>1156</v>
      </c>
      <c r="H8" s="576"/>
      <c r="I8" s="576"/>
      <c r="J8" s="577"/>
      <c r="K8" s="576"/>
      <c r="L8" s="576"/>
      <c r="M8" s="577"/>
      <c r="N8" s="582"/>
      <c r="O8" s="588" t="s">
        <v>1146</v>
      </c>
      <c r="P8" s="583"/>
    </row>
    <row r="9" spans="2:21">
      <c r="B9" s="585"/>
      <c r="C9" s="189"/>
      <c r="D9" s="530"/>
      <c r="E9" s="189"/>
      <c r="F9" s="192"/>
      <c r="G9" s="575" t="s">
        <v>1157</v>
      </c>
      <c r="H9" s="576"/>
      <c r="I9" s="576"/>
      <c r="J9" s="577"/>
      <c r="K9" s="576"/>
      <c r="L9" s="576"/>
      <c r="M9" s="577"/>
      <c r="N9" s="582"/>
      <c r="O9" s="588" t="s">
        <v>1146</v>
      </c>
      <c r="P9" s="583"/>
    </row>
    <row r="10" spans="2:21">
      <c r="B10" s="585"/>
      <c r="C10" s="189"/>
      <c r="D10" s="530"/>
      <c r="E10" s="189"/>
      <c r="F10" s="192"/>
      <c r="G10" s="575" t="s">
        <v>1158</v>
      </c>
      <c r="H10" s="576"/>
      <c r="I10" s="576"/>
      <c r="J10" s="577"/>
      <c r="K10" s="576"/>
      <c r="L10" s="576"/>
      <c r="M10" s="577"/>
      <c r="N10" s="582"/>
      <c r="O10" s="588" t="s">
        <v>1146</v>
      </c>
      <c r="P10" s="583"/>
    </row>
    <row r="11" spans="2:21">
      <c r="B11" s="585"/>
      <c r="C11" s="189"/>
      <c r="D11" s="189"/>
      <c r="E11" s="189"/>
      <c r="F11" s="192"/>
      <c r="G11" s="586" t="s">
        <v>1159</v>
      </c>
      <c r="H11" s="580"/>
      <c r="I11" s="580"/>
      <c r="J11" s="581"/>
      <c r="K11" s="580"/>
      <c r="L11" s="580"/>
      <c r="M11" s="581"/>
      <c r="N11" s="582"/>
      <c r="O11" s="588" t="s">
        <v>1146</v>
      </c>
      <c r="P11" s="583"/>
    </row>
    <row r="12" spans="2:21">
      <c r="B12" s="585"/>
      <c r="C12" s="189"/>
      <c r="D12" s="189"/>
      <c r="E12" s="189"/>
      <c r="F12" s="192"/>
      <c r="G12" s="586" t="s">
        <v>1160</v>
      </c>
      <c r="H12" s="580"/>
      <c r="I12" s="580"/>
      <c r="J12" s="581"/>
      <c r="K12" s="580"/>
      <c r="L12" s="580"/>
      <c r="M12" s="581"/>
      <c r="N12" s="582"/>
      <c r="O12" s="588" t="s">
        <v>1146</v>
      </c>
      <c r="P12" s="583"/>
    </row>
    <row r="13" spans="2:21">
      <c r="B13" s="585"/>
      <c r="C13" s="189"/>
      <c r="D13" s="189"/>
      <c r="E13" s="189"/>
      <c r="F13" s="192"/>
      <c r="G13" s="586" t="s">
        <v>488</v>
      </c>
      <c r="H13" s="580"/>
      <c r="I13" s="580"/>
      <c r="J13" s="581"/>
      <c r="K13" s="580"/>
      <c r="L13" s="580"/>
      <c r="M13" s="581"/>
      <c r="N13" s="582"/>
      <c r="O13" s="588" t="s">
        <v>1146</v>
      </c>
      <c r="P13" s="583"/>
    </row>
    <row r="14" spans="2:21">
      <c r="B14" s="585"/>
      <c r="C14" s="189"/>
      <c r="D14" s="189"/>
      <c r="E14" s="189"/>
      <c r="F14" s="192"/>
      <c r="G14" s="586" t="s">
        <v>490</v>
      </c>
      <c r="H14" s="580"/>
      <c r="I14" s="580"/>
      <c r="J14" s="581"/>
      <c r="K14" s="580"/>
      <c r="L14" s="580"/>
      <c r="M14" s="581"/>
      <c r="N14" s="582"/>
      <c r="O14" s="588" t="s">
        <v>1146</v>
      </c>
      <c r="P14" s="583"/>
    </row>
    <row r="15" spans="2:21">
      <c r="B15" s="585"/>
      <c r="C15" s="189"/>
      <c r="D15" s="189"/>
      <c r="E15" s="189"/>
      <c r="F15" s="192"/>
      <c r="G15" s="586" t="s">
        <v>1161</v>
      </c>
      <c r="H15" s="580"/>
      <c r="I15" s="580"/>
      <c r="J15" s="581"/>
      <c r="K15" s="580"/>
      <c r="L15" s="580"/>
      <c r="M15" s="581"/>
      <c r="N15" s="582"/>
      <c r="O15" s="588" t="s">
        <v>1146</v>
      </c>
      <c r="P15" s="583"/>
    </row>
    <row r="16" spans="2:21">
      <c r="B16" s="585"/>
      <c r="C16" s="189"/>
      <c r="D16" s="189"/>
      <c r="E16" s="189"/>
      <c r="F16" s="192"/>
      <c r="G16" s="586" t="s">
        <v>496</v>
      </c>
      <c r="H16" s="580"/>
      <c r="I16" s="580"/>
      <c r="J16" s="581"/>
      <c r="K16" s="580"/>
      <c r="L16" s="580"/>
      <c r="M16" s="581"/>
      <c r="N16" s="582"/>
      <c r="O16" s="588" t="s">
        <v>1146</v>
      </c>
      <c r="P16" s="583"/>
    </row>
    <row r="17" spans="2:16">
      <c r="B17" s="585"/>
      <c r="C17" s="189"/>
      <c r="D17" s="189"/>
      <c r="E17" s="189"/>
      <c r="F17" s="192"/>
      <c r="G17" s="586" t="s">
        <v>500</v>
      </c>
      <c r="H17" s="580"/>
      <c r="I17" s="580"/>
      <c r="J17" s="581"/>
      <c r="K17" s="580"/>
      <c r="L17" s="580"/>
      <c r="M17" s="581"/>
      <c r="N17" s="582"/>
      <c r="O17" s="588" t="s">
        <v>1146</v>
      </c>
      <c r="P17" s="583"/>
    </row>
    <row r="18" spans="2:16">
      <c r="B18" s="585"/>
      <c r="C18" s="189"/>
      <c r="D18" s="189"/>
      <c r="E18" s="189"/>
      <c r="F18" s="192"/>
      <c r="G18" s="586" t="s">
        <v>503</v>
      </c>
      <c r="H18" s="580"/>
      <c r="I18" s="580"/>
      <c r="J18" s="581"/>
      <c r="K18" s="580"/>
      <c r="L18" s="580"/>
      <c r="M18" s="581"/>
      <c r="N18" s="582"/>
      <c r="O18" s="588" t="s">
        <v>1146</v>
      </c>
      <c r="P18" s="583"/>
    </row>
    <row r="19" spans="2:16">
      <c r="B19" s="585"/>
      <c r="C19" s="189"/>
      <c r="D19" s="189"/>
      <c r="E19" s="189"/>
      <c r="F19" s="192"/>
      <c r="G19" s="586" t="s">
        <v>505</v>
      </c>
      <c r="H19" s="580"/>
      <c r="I19" s="580"/>
      <c r="J19" s="581"/>
      <c r="K19" s="580"/>
      <c r="L19" s="580"/>
      <c r="M19" s="581"/>
      <c r="N19" s="582"/>
      <c r="O19" s="588" t="s">
        <v>1146</v>
      </c>
      <c r="P19" s="583"/>
    </row>
    <row r="20" spans="2:16">
      <c r="B20" s="585"/>
      <c r="C20" s="189"/>
      <c r="D20" s="189"/>
      <c r="E20" s="189"/>
      <c r="F20" s="192"/>
      <c r="G20" s="586" t="s">
        <v>1162</v>
      </c>
      <c r="H20" s="580"/>
      <c r="I20" s="580"/>
      <c r="J20" s="581"/>
      <c r="K20" s="580"/>
      <c r="L20" s="580"/>
      <c r="M20" s="581"/>
      <c r="N20" s="582"/>
      <c r="O20" s="588" t="s">
        <v>1146</v>
      </c>
      <c r="P20" s="583"/>
    </row>
    <row r="21" spans="2:16">
      <c r="B21" s="585"/>
      <c r="C21" s="189"/>
      <c r="D21" s="189"/>
      <c r="E21" s="189"/>
      <c r="F21" s="192"/>
      <c r="G21" s="586" t="s">
        <v>506</v>
      </c>
      <c r="H21" s="580"/>
      <c r="I21" s="580"/>
      <c r="J21" s="581"/>
      <c r="K21" s="580"/>
      <c r="L21" s="580"/>
      <c r="M21" s="581"/>
      <c r="N21" s="582"/>
      <c r="O21" s="588" t="s">
        <v>1146</v>
      </c>
      <c r="P21" s="583"/>
    </row>
    <row r="22" spans="2:16">
      <c r="B22" s="585"/>
      <c r="C22" s="189"/>
      <c r="D22" s="189"/>
      <c r="E22" s="189"/>
      <c r="F22" s="192"/>
      <c r="G22" s="586" t="s">
        <v>507</v>
      </c>
      <c r="H22" s="580"/>
      <c r="I22" s="580"/>
      <c r="J22" s="581"/>
      <c r="K22" s="580"/>
      <c r="L22" s="580"/>
      <c r="M22" s="581"/>
      <c r="N22" s="582"/>
      <c r="O22" s="588" t="s">
        <v>1146</v>
      </c>
      <c r="P22" s="583"/>
    </row>
    <row r="23" spans="2:16">
      <c r="B23" s="585"/>
      <c r="C23" s="189"/>
      <c r="D23" s="189"/>
      <c r="E23" s="189"/>
      <c r="F23" s="192"/>
      <c r="G23" s="586" t="s">
        <v>508</v>
      </c>
      <c r="H23" s="580"/>
      <c r="I23" s="580"/>
      <c r="J23" s="581"/>
      <c r="K23" s="580"/>
      <c r="L23" s="580"/>
      <c r="M23" s="581"/>
      <c r="N23" s="582"/>
      <c r="O23" s="588" t="s">
        <v>1146</v>
      </c>
      <c r="P23" s="583"/>
    </row>
    <row r="24" spans="2:16">
      <c r="B24" s="585"/>
      <c r="C24" s="189"/>
      <c r="D24" s="189"/>
      <c r="E24" s="189"/>
      <c r="F24" s="192"/>
      <c r="G24" s="586" t="s">
        <v>509</v>
      </c>
      <c r="H24" s="580"/>
      <c r="I24" s="580"/>
      <c r="J24" s="581"/>
      <c r="K24" s="580"/>
      <c r="L24" s="580"/>
      <c r="M24" s="581"/>
      <c r="N24" s="582"/>
      <c r="O24" s="588" t="s">
        <v>1146</v>
      </c>
      <c r="P24" s="583"/>
    </row>
    <row r="25" spans="2:16">
      <c r="B25" s="585"/>
      <c r="C25" s="189"/>
      <c r="D25" s="189"/>
      <c r="E25" s="189"/>
      <c r="F25" s="192"/>
      <c r="G25" s="586" t="s">
        <v>1163</v>
      </c>
      <c r="H25" s="580"/>
      <c r="I25" s="580"/>
      <c r="J25" s="581"/>
      <c r="K25" s="580"/>
      <c r="L25" s="580"/>
      <c r="M25" s="581"/>
      <c r="N25" s="582"/>
      <c r="O25" s="588" t="s">
        <v>1146</v>
      </c>
      <c r="P25" s="583"/>
    </row>
    <row r="26" spans="2:16">
      <c r="B26" s="585"/>
      <c r="C26" s="189"/>
      <c r="D26" s="189"/>
      <c r="E26" s="189"/>
      <c r="F26" s="192"/>
      <c r="G26" s="586" t="s">
        <v>511</v>
      </c>
      <c r="H26" s="580"/>
      <c r="I26" s="580"/>
      <c r="J26" s="581"/>
      <c r="K26" s="580"/>
      <c r="L26" s="580"/>
      <c r="M26" s="581"/>
      <c r="N26" s="582"/>
      <c r="O26" s="588" t="s">
        <v>1146</v>
      </c>
      <c r="P26" s="583"/>
    </row>
    <row r="27" spans="2:16">
      <c r="B27" s="585"/>
      <c r="C27" s="189"/>
      <c r="D27" s="189"/>
      <c r="E27" s="189"/>
      <c r="F27" s="192"/>
      <c r="G27" s="586" t="s">
        <v>514</v>
      </c>
      <c r="H27" s="580"/>
      <c r="I27" s="580"/>
      <c r="J27" s="581"/>
      <c r="K27" s="580"/>
      <c r="L27" s="580"/>
      <c r="M27" s="581"/>
      <c r="N27" s="582"/>
      <c r="O27" s="588" t="s">
        <v>1146</v>
      </c>
      <c r="P27" s="583"/>
    </row>
    <row r="28" spans="2:16">
      <c r="B28" s="585"/>
      <c r="C28" s="189"/>
      <c r="D28" s="189"/>
      <c r="E28" s="189"/>
      <c r="F28" s="192"/>
      <c r="G28" s="586" t="s">
        <v>517</v>
      </c>
      <c r="H28" s="580"/>
      <c r="I28" s="580"/>
      <c r="J28" s="581"/>
      <c r="K28" s="580"/>
      <c r="L28" s="580"/>
      <c r="M28" s="581"/>
      <c r="N28" s="582"/>
      <c r="O28" s="588" t="s">
        <v>1146</v>
      </c>
      <c r="P28" s="583"/>
    </row>
    <row r="29" spans="2:16">
      <c r="B29" s="585"/>
      <c r="C29" s="189"/>
      <c r="D29" s="189"/>
      <c r="E29" s="189"/>
      <c r="F29" s="192"/>
      <c r="G29" s="586" t="s">
        <v>520</v>
      </c>
      <c r="H29" s="580"/>
      <c r="I29" s="580"/>
      <c r="J29" s="581"/>
      <c r="K29" s="580"/>
      <c r="L29" s="580"/>
      <c r="M29" s="581"/>
      <c r="N29" s="582"/>
      <c r="O29" s="588" t="s">
        <v>1146</v>
      </c>
      <c r="P29" s="583"/>
    </row>
    <row r="30" spans="2:16">
      <c r="B30" s="575" t="s">
        <v>1164</v>
      </c>
      <c r="C30" s="576"/>
      <c r="D30" s="576"/>
      <c r="E30" s="576"/>
      <c r="F30" s="578"/>
      <c r="G30" s="586" t="s">
        <v>1165</v>
      </c>
      <c r="H30" s="580"/>
      <c r="I30" s="580"/>
      <c r="J30" s="581"/>
      <c r="K30" s="580"/>
      <c r="L30" s="580"/>
      <c r="M30" s="581"/>
      <c r="N30" s="582"/>
      <c r="O30" s="588" t="s">
        <v>1146</v>
      </c>
      <c r="P30" s="583"/>
    </row>
    <row r="31" spans="2:16">
      <c r="B31" s="585"/>
      <c r="C31" s="189"/>
      <c r="D31" s="189"/>
      <c r="E31" s="189"/>
      <c r="F31" s="192"/>
      <c r="G31" s="586" t="s">
        <v>527</v>
      </c>
      <c r="H31" s="580"/>
      <c r="I31" s="580"/>
      <c r="J31" s="581"/>
      <c r="K31" s="580"/>
      <c r="L31" s="580"/>
      <c r="M31" s="581"/>
      <c r="N31" s="582"/>
      <c r="O31" s="588" t="s">
        <v>1146</v>
      </c>
      <c r="P31" s="583"/>
    </row>
    <row r="32" spans="2:16">
      <c r="B32" s="585"/>
      <c r="C32" s="189"/>
      <c r="D32" s="189"/>
      <c r="E32" s="189"/>
      <c r="F32" s="192"/>
      <c r="G32" s="586" t="s">
        <v>528</v>
      </c>
      <c r="H32" s="580"/>
      <c r="I32" s="580"/>
      <c r="J32" s="581"/>
      <c r="K32" s="580"/>
      <c r="L32" s="580"/>
      <c r="M32" s="581"/>
      <c r="N32" s="582"/>
      <c r="O32" s="588" t="s">
        <v>1146</v>
      </c>
      <c r="P32" s="583"/>
    </row>
    <row r="33" spans="2:16">
      <c r="B33" s="585"/>
      <c r="C33" s="189"/>
      <c r="D33" s="189"/>
      <c r="E33" s="189"/>
      <c r="F33" s="192"/>
      <c r="G33" s="586" t="s">
        <v>1166</v>
      </c>
      <c r="H33" s="580"/>
      <c r="I33" s="580"/>
      <c r="J33" s="581"/>
      <c r="K33" s="580"/>
      <c r="L33" s="580"/>
      <c r="M33" s="581"/>
      <c r="N33" s="582"/>
      <c r="O33" s="588" t="s">
        <v>1146</v>
      </c>
      <c r="P33" s="583"/>
    </row>
    <row r="34" spans="2:16">
      <c r="B34" s="585"/>
      <c r="C34" s="189"/>
      <c r="D34" s="189"/>
      <c r="E34" s="189"/>
      <c r="F34" s="192"/>
      <c r="G34" s="586" t="s">
        <v>1167</v>
      </c>
      <c r="H34" s="580"/>
      <c r="I34" s="580"/>
      <c r="J34" s="581"/>
      <c r="K34" s="580"/>
      <c r="L34" s="580"/>
      <c r="M34" s="581"/>
      <c r="N34" s="582"/>
      <c r="O34" s="588" t="s">
        <v>1146</v>
      </c>
      <c r="P34" s="583"/>
    </row>
    <row r="35" spans="2:16">
      <c r="B35" s="585"/>
      <c r="C35" s="189"/>
      <c r="D35" s="189"/>
      <c r="E35" s="189"/>
      <c r="F35" s="192"/>
      <c r="G35" s="586" t="s">
        <v>531</v>
      </c>
      <c r="H35" s="580"/>
      <c r="I35" s="580"/>
      <c r="J35" s="581"/>
      <c r="K35" s="580"/>
      <c r="L35" s="580"/>
      <c r="M35" s="581"/>
      <c r="N35" s="582"/>
      <c r="O35" s="588" t="s">
        <v>1146</v>
      </c>
      <c r="P35" s="583"/>
    </row>
    <row r="36" spans="2:16">
      <c r="B36" s="585"/>
      <c r="C36" s="189"/>
      <c r="D36" s="189"/>
      <c r="E36" s="189"/>
      <c r="F36" s="192"/>
      <c r="G36" s="586" t="s">
        <v>532</v>
      </c>
      <c r="H36" s="580"/>
      <c r="I36" s="580"/>
      <c r="J36" s="581"/>
      <c r="K36" s="580"/>
      <c r="L36" s="580"/>
      <c r="M36" s="581"/>
      <c r="N36" s="582"/>
      <c r="O36" s="588" t="s">
        <v>1146</v>
      </c>
      <c r="P36" s="583"/>
    </row>
    <row r="37" spans="2:16">
      <c r="B37" s="585"/>
      <c r="C37" s="189"/>
      <c r="D37" s="189"/>
      <c r="E37" s="189"/>
      <c r="F37" s="192"/>
      <c r="G37" s="586" t="s">
        <v>1168</v>
      </c>
      <c r="H37" s="580"/>
      <c r="I37" s="580"/>
      <c r="J37" s="581"/>
      <c r="K37" s="580"/>
      <c r="L37" s="580"/>
      <c r="M37" s="581"/>
      <c r="N37" s="582"/>
      <c r="O37" s="588" t="s">
        <v>1146</v>
      </c>
      <c r="P37" s="583"/>
    </row>
    <row r="38" spans="2:16">
      <c r="B38" s="585"/>
      <c r="C38" s="189"/>
      <c r="D38" s="189"/>
      <c r="E38" s="189"/>
      <c r="F38" s="192"/>
      <c r="G38" s="586" t="s">
        <v>1169</v>
      </c>
      <c r="H38" s="580"/>
      <c r="I38" s="580"/>
      <c r="J38" s="581"/>
      <c r="K38" s="580"/>
      <c r="L38" s="580"/>
      <c r="M38" s="581"/>
      <c r="N38" s="582"/>
      <c r="O38" s="588" t="s">
        <v>1146</v>
      </c>
      <c r="P38" s="583"/>
    </row>
    <row r="39" spans="2:16">
      <c r="B39" s="585"/>
      <c r="C39" s="189"/>
      <c r="D39" s="189"/>
      <c r="E39" s="189"/>
      <c r="F39" s="192"/>
      <c r="G39" s="586" t="s">
        <v>1170</v>
      </c>
      <c r="H39" s="580"/>
      <c r="I39" s="580"/>
      <c r="J39" s="581"/>
      <c r="K39" s="580"/>
      <c r="L39" s="580"/>
      <c r="M39" s="581"/>
      <c r="N39" s="582"/>
      <c r="O39" s="588" t="s">
        <v>1146</v>
      </c>
      <c r="P39" s="583"/>
    </row>
    <row r="40" spans="2:16">
      <c r="B40" s="585"/>
      <c r="C40" s="189"/>
      <c r="D40" s="189"/>
      <c r="E40" s="189"/>
      <c r="F40" s="192"/>
      <c r="G40" s="586" t="s">
        <v>535</v>
      </c>
      <c r="H40" s="580"/>
      <c r="I40" s="580"/>
      <c r="J40" s="581"/>
      <c r="K40" s="580"/>
      <c r="L40" s="580"/>
      <c r="M40" s="581"/>
      <c r="N40" s="582"/>
      <c r="O40" s="588" t="s">
        <v>1146</v>
      </c>
      <c r="P40" s="583"/>
    </row>
    <row r="41" spans="2:16">
      <c r="B41" s="585"/>
      <c r="C41" s="189"/>
      <c r="D41" s="189"/>
      <c r="E41" s="189"/>
      <c r="F41" s="192"/>
      <c r="G41" s="586" t="s">
        <v>537</v>
      </c>
      <c r="H41" s="580"/>
      <c r="I41" s="580"/>
      <c r="J41" s="581"/>
      <c r="K41" s="580"/>
      <c r="L41" s="580"/>
      <c r="M41" s="581"/>
      <c r="N41" s="582"/>
      <c r="O41" s="588" t="s">
        <v>1146</v>
      </c>
      <c r="P41" s="583"/>
    </row>
    <row r="42" spans="2:16">
      <c r="B42" s="585"/>
      <c r="C42" s="189"/>
      <c r="D42" s="189"/>
      <c r="E42" s="189"/>
      <c r="F42" s="192"/>
      <c r="G42" s="586" t="s">
        <v>353</v>
      </c>
      <c r="H42" s="580"/>
      <c r="I42" s="580"/>
      <c r="J42" s="581"/>
      <c r="K42" s="580"/>
      <c r="L42" s="580"/>
      <c r="M42" s="581"/>
      <c r="N42" s="582"/>
      <c r="O42" s="588" t="s">
        <v>1146</v>
      </c>
      <c r="P42" s="583"/>
    </row>
    <row r="43" spans="2:16">
      <c r="B43" s="585"/>
      <c r="C43" s="189"/>
      <c r="D43" s="189"/>
      <c r="E43" s="189"/>
      <c r="F43" s="192"/>
      <c r="G43" s="586" t="s">
        <v>540</v>
      </c>
      <c r="H43" s="580"/>
      <c r="I43" s="580"/>
      <c r="J43" s="581"/>
      <c r="K43" s="580"/>
      <c r="L43" s="580"/>
      <c r="M43" s="581"/>
      <c r="N43" s="582"/>
      <c r="O43" s="588" t="s">
        <v>1146</v>
      </c>
      <c r="P43" s="583"/>
    </row>
    <row r="44" spans="2:16">
      <c r="B44" s="585"/>
      <c r="C44" s="189"/>
      <c r="D44" s="189"/>
      <c r="E44" s="189"/>
      <c r="F44" s="192"/>
      <c r="G44" s="586" t="s">
        <v>1171</v>
      </c>
      <c r="H44" s="580"/>
      <c r="I44" s="580"/>
      <c r="J44" s="581"/>
      <c r="K44" s="580"/>
      <c r="L44" s="580"/>
      <c r="M44" s="581"/>
      <c r="N44" s="582"/>
      <c r="O44" s="588" t="s">
        <v>1146</v>
      </c>
      <c r="P44" s="583"/>
    </row>
    <row r="45" spans="2:16">
      <c r="B45" s="585"/>
      <c r="C45" s="189"/>
      <c r="D45" s="189"/>
      <c r="E45" s="189"/>
      <c r="F45" s="192"/>
      <c r="G45" s="586" t="s">
        <v>1172</v>
      </c>
      <c r="H45" s="580"/>
      <c r="I45" s="580"/>
      <c r="J45" s="581"/>
      <c r="K45" s="580"/>
      <c r="L45" s="580"/>
      <c r="M45" s="581"/>
      <c r="N45" s="582"/>
      <c r="O45" s="588" t="s">
        <v>1146</v>
      </c>
      <c r="P45" s="583"/>
    </row>
    <row r="46" spans="2:16">
      <c r="B46" s="585"/>
      <c r="C46" s="189"/>
      <c r="D46" s="189"/>
      <c r="E46" s="189"/>
      <c r="F46" s="192"/>
      <c r="G46" s="586" t="s">
        <v>1173</v>
      </c>
      <c r="H46" s="580"/>
      <c r="I46" s="580"/>
      <c r="J46" s="581"/>
      <c r="K46" s="580"/>
      <c r="L46" s="580"/>
      <c r="M46" s="581"/>
      <c r="N46" s="582"/>
      <c r="O46" s="588" t="s">
        <v>1146</v>
      </c>
      <c r="P46" s="583"/>
    </row>
    <row r="47" spans="2:16">
      <c r="B47" s="585"/>
      <c r="C47" s="189"/>
      <c r="D47" s="189"/>
      <c r="E47" s="189"/>
      <c r="F47" s="192"/>
      <c r="G47" s="586" t="s">
        <v>546</v>
      </c>
      <c r="H47" s="580"/>
      <c r="I47" s="580"/>
      <c r="J47" s="581"/>
      <c r="K47" s="580"/>
      <c r="L47" s="580"/>
      <c r="M47" s="581"/>
      <c r="N47" s="582"/>
      <c r="O47" s="588" t="s">
        <v>1146</v>
      </c>
      <c r="P47" s="583"/>
    </row>
    <row r="48" spans="2:16">
      <c r="B48" s="585"/>
      <c r="C48" s="189"/>
      <c r="D48" s="189"/>
      <c r="E48" s="189"/>
      <c r="F48" s="192"/>
      <c r="G48" s="586" t="s">
        <v>548</v>
      </c>
      <c r="H48" s="580"/>
      <c r="I48" s="580"/>
      <c r="J48" s="581"/>
      <c r="K48" s="580"/>
      <c r="L48" s="580"/>
      <c r="M48" s="581"/>
      <c r="N48" s="582"/>
      <c r="O48" s="588" t="s">
        <v>1146</v>
      </c>
      <c r="P48" s="583"/>
    </row>
    <row r="49" spans="2:16">
      <c r="B49" s="585"/>
      <c r="C49" s="189"/>
      <c r="D49" s="189"/>
      <c r="E49" s="189"/>
      <c r="F49" s="192"/>
      <c r="G49" s="586" t="s">
        <v>306</v>
      </c>
      <c r="H49" s="580"/>
      <c r="I49" s="580"/>
      <c r="J49" s="581"/>
      <c r="K49" s="580"/>
      <c r="L49" s="580"/>
      <c r="M49" s="581"/>
      <c r="N49" s="582"/>
      <c r="O49" s="588" t="s">
        <v>1146</v>
      </c>
      <c r="P49" s="583"/>
    </row>
    <row r="50" spans="2:16">
      <c r="B50" s="585"/>
      <c r="C50" s="189"/>
      <c r="D50" s="189"/>
      <c r="E50" s="189"/>
      <c r="F50" s="192"/>
      <c r="G50" s="586" t="s">
        <v>319</v>
      </c>
      <c r="H50" s="580"/>
      <c r="I50" s="580"/>
      <c r="J50" s="581"/>
      <c r="K50" s="580"/>
      <c r="L50" s="580"/>
      <c r="M50" s="581"/>
      <c r="N50" s="582"/>
      <c r="O50" s="588" t="s">
        <v>1146</v>
      </c>
      <c r="P50" s="583"/>
    </row>
    <row r="51" spans="2:16">
      <c r="B51" s="585"/>
      <c r="C51" s="189"/>
      <c r="D51" s="189"/>
      <c r="E51" s="189"/>
      <c r="F51" s="192"/>
      <c r="G51" s="586" t="s">
        <v>552</v>
      </c>
      <c r="H51" s="580"/>
      <c r="I51" s="580"/>
      <c r="J51" s="581"/>
      <c r="K51" s="580"/>
      <c r="L51" s="580"/>
      <c r="M51" s="581"/>
      <c r="N51" s="582"/>
      <c r="O51" s="588" t="s">
        <v>1146</v>
      </c>
      <c r="P51" s="583"/>
    </row>
    <row r="52" spans="2:16">
      <c r="B52" s="585"/>
      <c r="C52" s="189"/>
      <c r="D52" s="189"/>
      <c r="E52" s="189"/>
      <c r="F52" s="192"/>
      <c r="G52" s="586" t="s">
        <v>554</v>
      </c>
      <c r="H52" s="580"/>
      <c r="I52" s="580"/>
      <c r="J52" s="581"/>
      <c r="K52" s="580"/>
      <c r="L52" s="580"/>
      <c r="M52" s="581"/>
      <c r="N52" s="582"/>
      <c r="O52" s="588" t="s">
        <v>1146</v>
      </c>
      <c r="P52" s="583"/>
    </row>
    <row r="53" spans="2:16">
      <c r="B53" s="585"/>
      <c r="C53" s="189"/>
      <c r="D53" s="189"/>
      <c r="E53" s="189"/>
      <c r="F53" s="192"/>
      <c r="G53" s="586" t="s">
        <v>556</v>
      </c>
      <c r="H53" s="580"/>
      <c r="I53" s="580"/>
      <c r="J53" s="581"/>
      <c r="K53" s="580"/>
      <c r="L53" s="580"/>
      <c r="M53" s="581"/>
      <c r="N53" s="582"/>
      <c r="O53" s="588" t="s">
        <v>1146</v>
      </c>
      <c r="P53" s="583"/>
    </row>
    <row r="54" spans="2:16">
      <c r="B54" s="575" t="s">
        <v>558</v>
      </c>
      <c r="C54" s="576"/>
      <c r="D54" s="576"/>
      <c r="E54" s="576"/>
      <c r="F54" s="578"/>
      <c r="G54" s="586" t="s">
        <v>349</v>
      </c>
      <c r="H54" s="580"/>
      <c r="I54" s="580"/>
      <c r="J54" s="581"/>
      <c r="K54" s="580"/>
      <c r="L54" s="580"/>
      <c r="M54" s="581"/>
      <c r="N54" s="582"/>
      <c r="O54" s="588" t="s">
        <v>1147</v>
      </c>
      <c r="P54" s="583"/>
    </row>
    <row r="55" spans="2:16">
      <c r="B55" s="585"/>
      <c r="C55" s="189"/>
      <c r="D55" s="189"/>
      <c r="E55" s="189"/>
      <c r="F55" s="192"/>
      <c r="G55" s="586" t="s">
        <v>468</v>
      </c>
      <c r="H55" s="580"/>
      <c r="I55" s="580"/>
      <c r="J55" s="581"/>
      <c r="K55" s="580"/>
      <c r="L55" s="580"/>
      <c r="M55" s="581"/>
      <c r="N55" s="582"/>
      <c r="O55" s="588" t="s">
        <v>1147</v>
      </c>
      <c r="P55" s="583"/>
    </row>
    <row r="56" spans="2:16">
      <c r="B56" s="585"/>
      <c r="C56" s="189"/>
      <c r="D56" s="189"/>
      <c r="E56" s="189"/>
      <c r="F56" s="192"/>
      <c r="G56" s="586" t="s">
        <v>563</v>
      </c>
      <c r="H56" s="580"/>
      <c r="I56" s="580"/>
      <c r="J56" s="581"/>
      <c r="K56" s="580"/>
      <c r="L56" s="580"/>
      <c r="M56" s="581"/>
      <c r="N56" s="582"/>
      <c r="O56" s="588" t="s">
        <v>1147</v>
      </c>
      <c r="P56" s="583"/>
    </row>
    <row r="57" spans="2:16">
      <c r="B57" s="585"/>
      <c r="C57" s="189"/>
      <c r="D57" s="189"/>
      <c r="E57" s="189"/>
      <c r="F57" s="192"/>
      <c r="G57" s="586" t="s">
        <v>565</v>
      </c>
      <c r="H57" s="580"/>
      <c r="I57" s="580"/>
      <c r="J57" s="581"/>
      <c r="K57" s="580"/>
      <c r="L57" s="580"/>
      <c r="M57" s="581"/>
      <c r="N57" s="582"/>
      <c r="O57" s="588" t="s">
        <v>1147</v>
      </c>
      <c r="P57" s="583"/>
    </row>
    <row r="58" spans="2:16">
      <c r="B58" s="585"/>
      <c r="C58" s="189"/>
      <c r="D58" s="189"/>
      <c r="E58" s="189"/>
      <c r="F58" s="192"/>
      <c r="G58" s="586" t="s">
        <v>567</v>
      </c>
      <c r="H58" s="580"/>
      <c r="I58" s="580"/>
      <c r="J58" s="581"/>
      <c r="K58" s="580"/>
      <c r="L58" s="580"/>
      <c r="M58" s="581"/>
      <c r="N58" s="582"/>
      <c r="O58" s="588" t="s">
        <v>1147</v>
      </c>
      <c r="P58" s="583"/>
    </row>
    <row r="59" spans="2:16">
      <c r="B59" s="585"/>
      <c r="C59" s="189"/>
      <c r="D59" s="189"/>
      <c r="E59" s="189"/>
      <c r="F59" s="192"/>
      <c r="G59" s="586" t="s">
        <v>353</v>
      </c>
      <c r="H59" s="580"/>
      <c r="I59" s="580"/>
      <c r="J59" s="581"/>
      <c r="K59" s="580"/>
      <c r="L59" s="580"/>
      <c r="M59" s="581"/>
      <c r="N59" s="582"/>
      <c r="O59" s="588" t="s">
        <v>1147</v>
      </c>
      <c r="P59" s="583"/>
    </row>
    <row r="60" spans="2:16">
      <c r="B60" s="585"/>
      <c r="C60" s="189"/>
      <c r="D60" s="189"/>
      <c r="E60" s="189"/>
      <c r="F60" s="192"/>
      <c r="G60" s="586" t="s">
        <v>354</v>
      </c>
      <c r="H60" s="580"/>
      <c r="I60" s="580"/>
      <c r="J60" s="581"/>
      <c r="K60" s="580"/>
      <c r="L60" s="580"/>
      <c r="M60" s="581"/>
      <c r="N60" s="582"/>
      <c r="O60" s="588" t="s">
        <v>1147</v>
      </c>
      <c r="P60" s="583"/>
    </row>
    <row r="61" spans="2:16">
      <c r="B61" s="585"/>
      <c r="C61" s="189"/>
      <c r="D61" s="189"/>
      <c r="E61" s="189"/>
      <c r="F61" s="192"/>
      <c r="G61" s="586" t="s">
        <v>728</v>
      </c>
      <c r="H61" s="580"/>
      <c r="I61" s="580"/>
      <c r="J61" s="581"/>
      <c r="K61" s="580"/>
      <c r="L61" s="580"/>
      <c r="M61" s="581"/>
      <c r="N61" s="582"/>
      <c r="O61" s="588" t="s">
        <v>1147</v>
      </c>
      <c r="P61" s="583"/>
    </row>
    <row r="62" spans="2:16">
      <c r="B62" s="585"/>
      <c r="C62" s="189"/>
      <c r="D62" s="189"/>
      <c r="E62" s="189"/>
      <c r="F62" s="192"/>
      <c r="G62" s="586" t="s">
        <v>729</v>
      </c>
      <c r="H62" s="580"/>
      <c r="I62" s="580"/>
      <c r="J62" s="581"/>
      <c r="K62" s="580"/>
      <c r="L62" s="580"/>
      <c r="M62" s="581"/>
      <c r="N62" s="582"/>
      <c r="O62" s="588" t="s">
        <v>1147</v>
      </c>
      <c r="P62" s="583"/>
    </row>
    <row r="63" spans="2:16">
      <c r="B63" s="585"/>
      <c r="C63" s="189"/>
      <c r="D63" s="189"/>
      <c r="E63" s="189"/>
      <c r="F63" s="192"/>
      <c r="G63" s="586" t="s">
        <v>577</v>
      </c>
      <c r="H63" s="580"/>
      <c r="I63" s="580"/>
      <c r="J63" s="581"/>
      <c r="K63" s="580"/>
      <c r="L63" s="580"/>
      <c r="M63" s="581"/>
      <c r="N63" s="582"/>
      <c r="O63" s="588" t="s">
        <v>1147</v>
      </c>
      <c r="P63" s="583"/>
    </row>
    <row r="64" spans="2:16">
      <c r="B64" s="585"/>
      <c r="C64" s="189"/>
      <c r="D64" s="189"/>
      <c r="E64" s="189"/>
      <c r="F64" s="192"/>
      <c r="G64" s="586" t="s">
        <v>311</v>
      </c>
      <c r="H64" s="580"/>
      <c r="I64" s="580"/>
      <c r="J64" s="581"/>
      <c r="K64" s="580"/>
      <c r="L64" s="580"/>
      <c r="M64" s="581"/>
      <c r="N64" s="582"/>
      <c r="O64" s="588" t="s">
        <v>1147</v>
      </c>
      <c r="P64" s="583"/>
    </row>
    <row r="65" spans="2:16">
      <c r="B65" s="585"/>
      <c r="C65" s="189"/>
      <c r="D65" s="189"/>
      <c r="E65" s="189"/>
      <c r="F65" s="192"/>
      <c r="G65" s="586" t="s">
        <v>580</v>
      </c>
      <c r="H65" s="580"/>
      <c r="I65" s="580"/>
      <c r="J65" s="581"/>
      <c r="K65" s="580"/>
      <c r="L65" s="580"/>
      <c r="M65" s="581"/>
      <c r="N65" s="582"/>
      <c r="O65" s="588" t="s">
        <v>1147</v>
      </c>
      <c r="P65" s="583"/>
    </row>
    <row r="66" spans="2:16">
      <c r="B66" s="585"/>
      <c r="C66" s="189"/>
      <c r="D66" s="189"/>
      <c r="E66" s="189"/>
      <c r="F66" s="192"/>
      <c r="G66" s="586" t="s">
        <v>730</v>
      </c>
      <c r="H66" s="580"/>
      <c r="I66" s="580"/>
      <c r="J66" s="581"/>
      <c r="K66" s="580"/>
      <c r="L66" s="580"/>
      <c r="M66" s="581"/>
      <c r="N66" s="582"/>
      <c r="O66" s="588" t="s">
        <v>1147</v>
      </c>
      <c r="P66" s="583"/>
    </row>
    <row r="67" spans="2:16">
      <c r="B67" s="585"/>
      <c r="C67" s="189"/>
      <c r="D67" s="189"/>
      <c r="E67" s="189"/>
      <c r="F67" s="192"/>
      <c r="G67" s="586" t="s">
        <v>731</v>
      </c>
      <c r="H67" s="580"/>
      <c r="I67" s="580"/>
      <c r="J67" s="581"/>
      <c r="K67" s="580"/>
      <c r="L67" s="580"/>
      <c r="M67" s="581"/>
      <c r="N67" s="582"/>
      <c r="O67" s="588" t="s">
        <v>1147</v>
      </c>
      <c r="P67" s="583"/>
    </row>
    <row r="68" spans="2:16">
      <c r="B68" s="585"/>
      <c r="C68" s="189"/>
      <c r="D68" s="189"/>
      <c r="E68" s="189"/>
      <c r="F68" s="192"/>
      <c r="G68" s="586" t="s">
        <v>246</v>
      </c>
      <c r="H68" s="580"/>
      <c r="I68" s="580"/>
      <c r="J68" s="581"/>
      <c r="K68" s="580"/>
      <c r="L68" s="580"/>
      <c r="M68" s="581"/>
      <c r="N68" s="582"/>
      <c r="O68" s="588" t="s">
        <v>1147</v>
      </c>
      <c r="P68" s="583"/>
    </row>
    <row r="69" spans="2:16">
      <c r="B69" s="585"/>
      <c r="C69" s="189"/>
      <c r="D69" s="189"/>
      <c r="E69" s="189"/>
      <c r="F69" s="192"/>
      <c r="G69" s="586" t="s">
        <v>589</v>
      </c>
      <c r="H69" s="580"/>
      <c r="I69" s="580"/>
      <c r="J69" s="581"/>
      <c r="K69" s="580"/>
      <c r="L69" s="580"/>
      <c r="M69" s="581"/>
      <c r="N69" s="582"/>
      <c r="O69" s="588" t="s">
        <v>1147</v>
      </c>
      <c r="P69" s="583"/>
    </row>
    <row r="70" spans="2:16">
      <c r="B70" s="585"/>
      <c r="C70" s="189"/>
      <c r="D70" s="189"/>
      <c r="E70" s="189"/>
      <c r="F70" s="192"/>
      <c r="G70" s="586" t="s">
        <v>593</v>
      </c>
      <c r="H70" s="580"/>
      <c r="I70" s="580"/>
      <c r="J70" s="581"/>
      <c r="K70" s="580"/>
      <c r="L70" s="580"/>
      <c r="M70" s="581"/>
      <c r="N70" s="582"/>
      <c r="O70" s="588" t="s">
        <v>1147</v>
      </c>
      <c r="P70" s="583"/>
    </row>
    <row r="71" spans="2:16">
      <c r="B71" s="585"/>
      <c r="C71" s="189"/>
      <c r="D71" s="189"/>
      <c r="E71" s="189"/>
      <c r="F71" s="192"/>
      <c r="G71" s="586" t="s">
        <v>596</v>
      </c>
      <c r="H71" s="580"/>
      <c r="I71" s="580"/>
      <c r="J71" s="581"/>
      <c r="K71" s="580"/>
      <c r="L71" s="580"/>
      <c r="M71" s="581"/>
      <c r="N71" s="582"/>
      <c r="O71" s="588" t="s">
        <v>1147</v>
      </c>
      <c r="P71" s="583"/>
    </row>
    <row r="72" spans="2:16">
      <c r="B72" s="585"/>
      <c r="C72" s="189"/>
      <c r="D72" s="189"/>
      <c r="E72" s="189"/>
      <c r="F72" s="192"/>
      <c r="G72" s="586" t="s">
        <v>599</v>
      </c>
      <c r="H72" s="580"/>
      <c r="I72" s="580"/>
      <c r="J72" s="581"/>
      <c r="K72" s="580"/>
      <c r="L72" s="580"/>
      <c r="M72" s="581"/>
      <c r="N72" s="582"/>
      <c r="O72" s="588" t="s">
        <v>1147</v>
      </c>
      <c r="P72" s="583"/>
    </row>
    <row r="73" spans="2:16">
      <c r="B73" s="585"/>
      <c r="C73" s="189"/>
      <c r="D73" s="189"/>
      <c r="E73" s="189"/>
      <c r="F73" s="192"/>
      <c r="G73" s="586" t="s">
        <v>738</v>
      </c>
      <c r="H73" s="580"/>
      <c r="I73" s="580"/>
      <c r="J73" s="581"/>
      <c r="K73" s="580"/>
      <c r="L73" s="580"/>
      <c r="M73" s="581"/>
      <c r="N73" s="582"/>
      <c r="O73" s="588" t="s">
        <v>1147</v>
      </c>
      <c r="P73" s="583"/>
    </row>
    <row r="74" spans="2:16">
      <c r="B74" s="585"/>
      <c r="C74" s="189"/>
      <c r="D74" s="189"/>
      <c r="E74" s="189"/>
      <c r="F74" s="192"/>
      <c r="G74" s="586" t="s">
        <v>739</v>
      </c>
      <c r="H74" s="580"/>
      <c r="I74" s="580"/>
      <c r="J74" s="581"/>
      <c r="K74" s="580"/>
      <c r="L74" s="580"/>
      <c r="M74" s="581"/>
      <c r="N74" s="582"/>
      <c r="O74" s="588" t="s">
        <v>1147</v>
      </c>
      <c r="P74" s="583"/>
    </row>
    <row r="75" spans="2:16">
      <c r="B75" s="585"/>
      <c r="C75" s="189"/>
      <c r="D75" s="189"/>
      <c r="E75" s="189"/>
      <c r="F75" s="192"/>
      <c r="G75" s="586" t="s">
        <v>606</v>
      </c>
      <c r="H75" s="580"/>
      <c r="I75" s="580"/>
      <c r="J75" s="581"/>
      <c r="K75" s="580"/>
      <c r="L75" s="580"/>
      <c r="M75" s="581"/>
      <c r="N75" s="582"/>
      <c r="O75" s="588" t="s">
        <v>1147</v>
      </c>
      <c r="P75" s="583"/>
    </row>
    <row r="76" spans="2:16">
      <c r="B76" s="585"/>
      <c r="C76" s="189"/>
      <c r="D76" s="189"/>
      <c r="E76" s="189"/>
      <c r="F76" s="192"/>
      <c r="G76" s="586" t="s">
        <v>302</v>
      </c>
      <c r="H76" s="580"/>
      <c r="I76" s="580"/>
      <c r="J76" s="581"/>
      <c r="K76" s="580"/>
      <c r="L76" s="580"/>
      <c r="M76" s="581"/>
      <c r="N76" s="582"/>
      <c r="O76" s="588" t="s">
        <v>1147</v>
      </c>
      <c r="P76" s="583"/>
    </row>
    <row r="77" spans="2:16">
      <c r="B77" s="585"/>
      <c r="C77" s="189"/>
      <c r="D77" s="189"/>
      <c r="E77" s="189"/>
      <c r="F77" s="192"/>
      <c r="G77" s="586" t="s">
        <v>611</v>
      </c>
      <c r="H77" s="580"/>
      <c r="I77" s="580"/>
      <c r="J77" s="581"/>
      <c r="K77" s="580"/>
      <c r="L77" s="580"/>
      <c r="M77" s="581"/>
      <c r="N77" s="582"/>
      <c r="O77" s="588" t="s">
        <v>1147</v>
      </c>
      <c r="P77" s="583"/>
    </row>
    <row r="78" spans="2:16">
      <c r="B78" s="585"/>
      <c r="C78" s="189"/>
      <c r="D78" s="189"/>
      <c r="E78" s="189"/>
      <c r="F78" s="192"/>
      <c r="G78" s="586" t="s">
        <v>318</v>
      </c>
      <c r="H78" s="580"/>
      <c r="I78" s="580"/>
      <c r="J78" s="581"/>
      <c r="K78" s="580"/>
      <c r="L78" s="580"/>
      <c r="M78" s="581"/>
      <c r="N78" s="582"/>
      <c r="O78" s="588" t="s">
        <v>1147</v>
      </c>
      <c r="P78" s="583"/>
    </row>
    <row r="79" spans="2:16">
      <c r="B79" s="585"/>
      <c r="C79" s="189"/>
      <c r="D79" s="189"/>
      <c r="E79" s="189"/>
      <c r="F79" s="192"/>
      <c r="G79" s="586" t="s">
        <v>614</v>
      </c>
      <c r="H79" s="580"/>
      <c r="I79" s="580"/>
      <c r="J79" s="581"/>
      <c r="K79" s="580"/>
      <c r="L79" s="580"/>
      <c r="M79" s="581"/>
      <c r="N79" s="582"/>
      <c r="O79" s="588" t="s">
        <v>1147</v>
      </c>
      <c r="P79" s="583"/>
    </row>
    <row r="80" spans="2:16">
      <c r="B80" s="585"/>
      <c r="C80" s="189"/>
      <c r="D80" s="189"/>
      <c r="E80" s="189"/>
      <c r="F80" s="192"/>
      <c r="G80" s="586" t="s">
        <v>616</v>
      </c>
      <c r="H80" s="580"/>
      <c r="I80" s="580"/>
      <c r="J80" s="581"/>
      <c r="K80" s="580"/>
      <c r="L80" s="580"/>
      <c r="M80" s="581"/>
      <c r="N80" s="582"/>
      <c r="O80" s="588" t="s">
        <v>1147</v>
      </c>
      <c r="P80" s="583"/>
    </row>
    <row r="81" spans="2:16">
      <c r="B81" s="585"/>
      <c r="C81" s="189"/>
      <c r="D81" s="189"/>
      <c r="E81" s="189"/>
      <c r="F81" s="192"/>
      <c r="G81" s="586" t="s">
        <v>821</v>
      </c>
      <c r="H81" s="580"/>
      <c r="I81" s="580"/>
      <c r="J81" s="581"/>
      <c r="K81" s="580"/>
      <c r="L81" s="580"/>
      <c r="M81" s="581"/>
      <c r="N81" s="582"/>
      <c r="O81" s="588" t="s">
        <v>1147</v>
      </c>
      <c r="P81" s="583"/>
    </row>
    <row r="82" spans="2:16">
      <c r="B82" s="585"/>
      <c r="C82" s="189"/>
      <c r="D82" s="189"/>
      <c r="E82" s="189"/>
      <c r="F82" s="192"/>
      <c r="G82" s="586" t="s">
        <v>306</v>
      </c>
      <c r="H82" s="580"/>
      <c r="I82" s="580"/>
      <c r="J82" s="581"/>
      <c r="K82" s="580"/>
      <c r="L82" s="580"/>
      <c r="M82" s="581"/>
      <c r="N82" s="582"/>
      <c r="O82" s="588" t="s">
        <v>1147</v>
      </c>
      <c r="P82" s="583"/>
    </row>
    <row r="83" spans="2:16">
      <c r="B83" s="585"/>
      <c r="C83" s="189"/>
      <c r="D83" s="189"/>
      <c r="E83" s="189"/>
      <c r="F83" s="192"/>
      <c r="G83" s="586" t="s">
        <v>319</v>
      </c>
      <c r="H83" s="580"/>
      <c r="I83" s="580"/>
      <c r="J83" s="581"/>
      <c r="K83" s="580"/>
      <c r="L83" s="580"/>
      <c r="M83" s="581"/>
      <c r="N83" s="582"/>
      <c r="O83" s="588" t="s">
        <v>1147</v>
      </c>
      <c r="P83" s="583"/>
    </row>
    <row r="84" spans="2:16">
      <c r="B84" s="585"/>
      <c r="C84" s="189"/>
      <c r="D84" s="189"/>
      <c r="E84" s="189"/>
      <c r="F84" s="192"/>
      <c r="G84" s="586" t="s">
        <v>618</v>
      </c>
      <c r="H84" s="580"/>
      <c r="I84" s="580"/>
      <c r="J84" s="581"/>
      <c r="K84" s="580"/>
      <c r="L84" s="580"/>
      <c r="M84" s="581"/>
      <c r="N84" s="582"/>
      <c r="O84" s="588" t="s">
        <v>1147</v>
      </c>
      <c r="P84" s="583"/>
    </row>
    <row r="85" spans="2:16">
      <c r="B85" s="585"/>
      <c r="C85" s="189"/>
      <c r="D85" s="189"/>
      <c r="E85" s="189"/>
      <c r="F85" s="192"/>
      <c r="G85" s="586" t="s">
        <v>364</v>
      </c>
      <c r="H85" s="580"/>
      <c r="I85" s="580"/>
      <c r="J85" s="581"/>
      <c r="K85" s="580"/>
      <c r="L85" s="580"/>
      <c r="M85" s="581"/>
      <c r="N85" s="582"/>
      <c r="O85" s="588" t="s">
        <v>1146</v>
      </c>
      <c r="P85" s="583"/>
    </row>
    <row r="86" spans="2:16">
      <c r="B86" s="575" t="s">
        <v>623</v>
      </c>
      <c r="C86" s="576"/>
      <c r="D86" s="576"/>
      <c r="E86" s="576"/>
      <c r="F86" s="578"/>
      <c r="G86" s="586" t="s">
        <v>624</v>
      </c>
      <c r="H86" s="580"/>
      <c r="I86" s="580"/>
      <c r="J86" s="581"/>
      <c r="K86" s="580"/>
      <c r="L86" s="580"/>
      <c r="M86" s="581"/>
      <c r="N86" s="582"/>
      <c r="O86" s="588" t="s">
        <v>1146</v>
      </c>
      <c r="P86" s="583"/>
    </row>
    <row r="87" spans="2:16">
      <c r="B87" s="585"/>
      <c r="C87" s="189"/>
      <c r="D87" s="189"/>
      <c r="E87" s="189"/>
      <c r="F87" s="192"/>
      <c r="G87" s="586" t="s">
        <v>626</v>
      </c>
      <c r="H87" s="580"/>
      <c r="I87" s="580"/>
      <c r="J87" s="581"/>
      <c r="K87" s="580"/>
      <c r="L87" s="580"/>
      <c r="M87" s="581"/>
      <c r="N87" s="582"/>
      <c r="O87" s="588" t="s">
        <v>1146</v>
      </c>
      <c r="P87" s="583"/>
    </row>
    <row r="88" spans="2:16">
      <c r="B88" s="575" t="s">
        <v>628</v>
      </c>
      <c r="C88" s="576"/>
      <c r="D88" s="576"/>
      <c r="E88" s="576"/>
      <c r="F88" s="578"/>
      <c r="G88" s="586" t="s">
        <v>1092</v>
      </c>
      <c r="H88" s="580"/>
      <c r="I88" s="580"/>
      <c r="J88" s="581"/>
      <c r="K88" s="580"/>
      <c r="L88" s="580"/>
      <c r="M88" s="581"/>
      <c r="N88" s="582"/>
      <c r="O88" s="588" t="s">
        <v>1146</v>
      </c>
      <c r="P88" s="583"/>
    </row>
    <row r="89" spans="2:16">
      <c r="B89" s="585"/>
      <c r="C89" s="189"/>
      <c r="D89" s="189"/>
      <c r="E89" s="189"/>
      <c r="F89" s="192"/>
      <c r="G89" s="586" t="s">
        <v>632</v>
      </c>
      <c r="H89" s="580"/>
      <c r="I89" s="580"/>
      <c r="J89" s="581"/>
      <c r="K89" s="580"/>
      <c r="L89" s="580"/>
      <c r="M89" s="581"/>
      <c r="N89" s="582"/>
      <c r="O89" s="588" t="s">
        <v>1146</v>
      </c>
      <c r="P89" s="583"/>
    </row>
    <row r="90" spans="2:16">
      <c r="B90" s="585"/>
      <c r="C90" s="189"/>
      <c r="D90" s="189"/>
      <c r="E90" s="189"/>
      <c r="F90" s="192"/>
      <c r="G90" s="586" t="s">
        <v>634</v>
      </c>
      <c r="H90" s="580"/>
      <c r="I90" s="580"/>
      <c r="J90" s="581"/>
      <c r="K90" s="580"/>
      <c r="L90" s="580"/>
      <c r="M90" s="581"/>
      <c r="N90" s="582"/>
      <c r="O90" s="588" t="s">
        <v>1146</v>
      </c>
      <c r="P90" s="583"/>
    </row>
    <row r="91" spans="2:16">
      <c r="B91" s="585"/>
      <c r="C91" s="189"/>
      <c r="D91" s="189"/>
      <c r="E91" s="189"/>
      <c r="F91" s="192"/>
      <c r="G91" s="586" t="s">
        <v>636</v>
      </c>
      <c r="H91" s="580"/>
      <c r="I91" s="580"/>
      <c r="J91" s="581"/>
      <c r="K91" s="580"/>
      <c r="L91" s="580"/>
      <c r="M91" s="581"/>
      <c r="N91" s="582"/>
      <c r="O91" s="588" t="s">
        <v>1146</v>
      </c>
      <c r="P91" s="583"/>
    </row>
    <row r="92" spans="2:16">
      <c r="B92" s="585"/>
      <c r="C92" s="189"/>
      <c r="D92" s="189"/>
      <c r="E92" s="189"/>
      <c r="F92" s="192"/>
      <c r="G92" s="586" t="s">
        <v>1101</v>
      </c>
      <c r="H92" s="580"/>
      <c r="I92" s="580"/>
      <c r="J92" s="581"/>
      <c r="K92" s="580"/>
      <c r="L92" s="580"/>
      <c r="M92" s="581"/>
      <c r="N92" s="582"/>
      <c r="O92" s="588" t="s">
        <v>1146</v>
      </c>
      <c r="P92" s="583"/>
    </row>
    <row r="93" spans="2:16">
      <c r="B93" s="587"/>
      <c r="C93" s="196"/>
      <c r="D93" s="196"/>
      <c r="E93" s="196"/>
      <c r="F93" s="197"/>
      <c r="G93" s="586" t="s">
        <v>1153</v>
      </c>
      <c r="H93" s="580"/>
      <c r="I93" s="580"/>
      <c r="J93" s="581"/>
      <c r="K93" s="580"/>
      <c r="L93" s="580"/>
      <c r="M93" s="581"/>
      <c r="N93" s="582"/>
      <c r="O93" s="588" t="s">
        <v>1146</v>
      </c>
      <c r="P93" s="583"/>
    </row>
  </sheetData>
  <phoneticPr fontId="9"/>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tabColor rgb="FFFFFF00"/>
    <pageSetUpPr fitToPage="1"/>
  </sheetPr>
  <dimension ref="A1:CL41"/>
  <sheetViews>
    <sheetView showGridLines="0" showZeros="0" zoomScaleNormal="100" zoomScaleSheetLayoutView="85" workbookViewId="0">
      <pane ySplit="4" topLeftCell="A5" activePane="bottomLeft" state="frozen"/>
      <selection activeCell="C45" sqref="C45:H45"/>
      <selection pane="bottomLeft" activeCell="AE11" sqref="AE11"/>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11.875" style="24" customWidth="1"/>
    <col min="64" max="66" width="2.125" style="24" customWidth="1"/>
    <col min="67" max="16384" width="2.125" style="24"/>
  </cols>
  <sheetData>
    <row r="1" spans="1:63"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4" customFormat="1" ht="15.75" customHeight="1" thickBot="1">
      <c r="A3" s="1220"/>
      <c r="B3" s="1221"/>
      <c r="C3" s="1221"/>
      <c r="D3" s="1221"/>
      <c r="E3" s="1221"/>
      <c r="F3" s="1221"/>
      <c r="G3" s="1221"/>
      <c r="H3" s="1221"/>
      <c r="I3" s="1221"/>
      <c r="J3" s="1222"/>
      <c r="K3" s="1200" t="str">
        <f ca="1">RIGHT(CELL("filename",$A$1),LEN(CELL("filename",$A$1))-FIND("]",CELL("filename",$A$1)))</f>
        <v>検索入出力仕様</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s="4" customFormat="1" ht="6.75" customHeight="1" thickBot="1">
      <c r="B4" s="5"/>
      <c r="C4" s="6"/>
      <c r="D4" s="6"/>
      <c r="E4" s="6"/>
      <c r="F4" s="7"/>
      <c r="G4" s="7"/>
      <c r="H4" s="7"/>
      <c r="I4" s="7"/>
      <c r="J4" s="6"/>
      <c r="K4" s="7"/>
      <c r="L4" s="7"/>
      <c r="M4" s="7"/>
      <c r="N4" s="7"/>
      <c r="O4" s="7"/>
      <c r="P4" s="7"/>
      <c r="Q4" s="8"/>
    </row>
    <row r="5" spans="1:63" ht="15.75" customHeight="1">
      <c r="A5" s="95" t="s">
        <v>349</v>
      </c>
      <c r="B5" s="96"/>
      <c r="C5" s="96"/>
      <c r="D5" s="96"/>
      <c r="E5" s="97"/>
      <c r="F5" s="98"/>
      <c r="G5" s="99">
        <v>1</v>
      </c>
      <c r="H5" s="100"/>
      <c r="I5" s="101"/>
      <c r="J5" s="101"/>
      <c r="K5" s="101"/>
      <c r="L5" s="101"/>
      <c r="M5" s="101"/>
      <c r="N5" s="101"/>
      <c r="O5" s="101"/>
      <c r="P5" s="101"/>
      <c r="Q5" s="101"/>
      <c r="R5" s="102"/>
      <c r="S5" s="103" t="s">
        <v>189</v>
      </c>
      <c r="T5" s="104"/>
      <c r="U5" s="104"/>
      <c r="V5" s="104"/>
      <c r="W5" s="104"/>
      <c r="X5" s="104"/>
      <c r="Y5" s="105"/>
      <c r="Z5" s="106" t="s">
        <v>632</v>
      </c>
      <c r="AA5" s="106"/>
      <c r="AB5" s="106"/>
      <c r="AC5" s="106"/>
      <c r="AD5" s="101"/>
      <c r="AE5" s="106"/>
      <c r="AF5" s="106"/>
      <c r="AG5" s="106"/>
      <c r="AH5" s="107" t="s">
        <v>712</v>
      </c>
      <c r="AI5" s="104"/>
      <c r="AJ5" s="105"/>
      <c r="AK5" s="106" t="s">
        <v>713</v>
      </c>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463" t="s">
        <v>714</v>
      </c>
      <c r="B6" s="251"/>
      <c r="C6" s="251"/>
      <c r="D6" s="252"/>
      <c r="E6" s="253" t="s">
        <v>715</v>
      </c>
      <c r="F6" s="254"/>
      <c r="G6" s="254"/>
      <c r="H6" s="255"/>
      <c r="I6" s="255"/>
      <c r="J6" s="255"/>
      <c r="K6" s="255"/>
      <c r="L6" s="256"/>
      <c r="M6" s="256"/>
      <c r="N6" s="256"/>
      <c r="O6" s="256"/>
      <c r="P6" s="256"/>
      <c r="Q6" s="256"/>
      <c r="R6" s="256"/>
      <c r="S6" s="464" t="s">
        <v>716</v>
      </c>
      <c r="T6" s="251"/>
      <c r="U6" s="251"/>
      <c r="V6" s="251"/>
      <c r="W6" s="251"/>
      <c r="X6" s="251"/>
      <c r="Y6" s="257"/>
      <c r="Z6" s="256" t="s">
        <v>1085</v>
      </c>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98"/>
    </row>
    <row r="7" spans="1:63" ht="15.75" customHeight="1">
      <c r="A7" s="115" t="s">
        <v>349</v>
      </c>
      <c r="B7" s="116"/>
      <c r="C7" s="259" t="s">
        <v>717</v>
      </c>
      <c r="D7" s="260"/>
      <c r="E7" s="117"/>
      <c r="F7" s="117"/>
      <c r="G7" s="117"/>
      <c r="H7" s="117"/>
      <c r="I7" s="117"/>
      <c r="J7" s="117"/>
      <c r="K7" s="117"/>
      <c r="L7" s="117"/>
      <c r="M7" s="117"/>
      <c r="N7" s="117"/>
      <c r="O7" s="117"/>
      <c r="P7" s="117"/>
      <c r="Q7" s="117"/>
      <c r="R7" s="117"/>
      <c r="S7" s="117"/>
      <c r="T7" s="117"/>
      <c r="U7" s="117"/>
      <c r="V7" s="259" t="s">
        <v>718</v>
      </c>
      <c r="W7" s="260"/>
      <c r="X7" s="117"/>
      <c r="Y7" s="117"/>
      <c r="Z7" s="117"/>
      <c r="AA7" s="117"/>
      <c r="AB7" s="117"/>
      <c r="AC7" s="117"/>
      <c r="AD7" s="117"/>
      <c r="AE7" s="117"/>
      <c r="AF7" s="116"/>
      <c r="AG7" s="116"/>
      <c r="AH7" s="116"/>
      <c r="AI7" s="116"/>
      <c r="AJ7" s="116"/>
      <c r="AK7" s="116"/>
      <c r="AL7" s="116"/>
      <c r="AM7" s="116"/>
      <c r="AN7" s="116"/>
      <c r="AO7" s="116"/>
      <c r="AP7" s="116"/>
      <c r="AQ7" s="465" t="s">
        <v>644</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1"/>
      <c r="C8" s="120" t="s">
        <v>719</v>
      </c>
      <c r="D8" s="93" t="s">
        <v>720</v>
      </c>
      <c r="E8" s="94"/>
      <c r="F8" s="94"/>
      <c r="G8" s="94"/>
      <c r="H8" s="94"/>
      <c r="I8" s="94"/>
      <c r="J8" s="121"/>
      <c r="K8" s="93" t="s">
        <v>643</v>
      </c>
      <c r="L8" s="94"/>
      <c r="M8" s="94"/>
      <c r="N8" s="94"/>
      <c r="O8" s="94"/>
      <c r="P8" s="94"/>
      <c r="Q8" s="94"/>
      <c r="R8" s="94"/>
      <c r="S8" s="94"/>
      <c r="T8" s="94"/>
      <c r="U8" s="121"/>
      <c r="V8" s="120" t="s">
        <v>719</v>
      </c>
      <c r="W8" s="93" t="s">
        <v>720</v>
      </c>
      <c r="X8" s="94"/>
      <c r="Y8" s="94"/>
      <c r="Z8" s="94"/>
      <c r="AA8" s="94"/>
      <c r="AB8" s="94"/>
      <c r="AC8" s="94"/>
      <c r="AD8" s="94"/>
      <c r="AE8" s="121"/>
      <c r="AF8" s="93" t="s">
        <v>643</v>
      </c>
      <c r="AG8" s="94"/>
      <c r="AH8" s="94"/>
      <c r="AI8" s="94"/>
      <c r="AJ8" s="94"/>
      <c r="AK8" s="94"/>
      <c r="AL8" s="94"/>
      <c r="AM8" s="94"/>
      <c r="AN8" s="94"/>
      <c r="AO8" s="94"/>
      <c r="AP8" s="121"/>
      <c r="AQ8" s="122"/>
      <c r="AR8" s="261"/>
      <c r="AS8" s="261"/>
      <c r="AT8" s="261"/>
      <c r="AU8" s="261"/>
      <c r="AV8" s="261"/>
      <c r="AW8" s="261"/>
      <c r="AX8" s="261"/>
      <c r="AY8" s="261"/>
      <c r="AZ8" s="261"/>
      <c r="BA8" s="261"/>
      <c r="BB8" s="261"/>
      <c r="BC8" s="261"/>
      <c r="BD8" s="261"/>
      <c r="BE8" s="261"/>
      <c r="BF8" s="261"/>
      <c r="BG8" s="261"/>
      <c r="BH8" s="261"/>
      <c r="BI8" s="261"/>
      <c r="BJ8" s="261"/>
      <c r="BK8" s="123"/>
    </row>
    <row r="9" spans="1:63" ht="15.75" customHeight="1" thickTop="1">
      <c r="A9" s="1273">
        <v>1</v>
      </c>
      <c r="B9" s="1274"/>
      <c r="C9" s="129" t="s">
        <v>721</v>
      </c>
      <c r="D9" s="130" t="s">
        <v>558</v>
      </c>
      <c r="E9" s="131"/>
      <c r="F9" s="131"/>
      <c r="G9" s="131"/>
      <c r="H9" s="131"/>
      <c r="I9" s="131"/>
      <c r="J9" s="132"/>
      <c r="K9" s="130" t="s">
        <v>349</v>
      </c>
      <c r="L9" s="131"/>
      <c r="M9" s="131"/>
      <c r="N9" s="131"/>
      <c r="O9" s="131"/>
      <c r="P9" s="131"/>
      <c r="Q9" s="131"/>
      <c r="R9" s="131"/>
      <c r="S9" s="131"/>
      <c r="T9" s="131"/>
      <c r="U9" s="132"/>
      <c r="V9" s="133"/>
      <c r="W9" s="130"/>
      <c r="X9" s="131"/>
      <c r="Y9" s="131"/>
      <c r="Z9" s="131"/>
      <c r="AA9" s="131"/>
      <c r="AB9" s="131"/>
      <c r="AC9" s="131"/>
      <c r="AD9" s="131"/>
      <c r="AE9" s="132"/>
      <c r="AF9" s="130" t="s">
        <v>722</v>
      </c>
      <c r="AG9" s="131"/>
      <c r="AH9" s="131"/>
      <c r="AI9" s="131"/>
      <c r="AJ9" s="131"/>
      <c r="AK9" s="131"/>
      <c r="AL9" s="131"/>
      <c r="AM9" s="131"/>
      <c r="AN9" s="131"/>
      <c r="AO9" s="131"/>
      <c r="AP9" s="132"/>
      <c r="AQ9" s="130"/>
      <c r="AR9" s="131"/>
      <c r="AS9" s="131"/>
      <c r="AT9" s="131"/>
      <c r="AU9" s="131"/>
      <c r="AV9" s="131"/>
      <c r="AW9" s="131"/>
      <c r="AX9" s="131"/>
      <c r="AY9" s="131"/>
      <c r="AZ9" s="131"/>
      <c r="BA9" s="131"/>
      <c r="BB9" s="131"/>
      <c r="BC9" s="131"/>
      <c r="BD9" s="131"/>
      <c r="BE9" s="131"/>
      <c r="BF9" s="131"/>
      <c r="BG9" s="131"/>
      <c r="BH9" s="131"/>
      <c r="BI9" s="131"/>
      <c r="BJ9" s="131"/>
      <c r="BK9" s="274"/>
    </row>
    <row r="10" spans="1:63" ht="15.75" customHeight="1">
      <c r="A10" s="1269">
        <v>2</v>
      </c>
      <c r="B10" s="1270"/>
      <c r="C10" s="262" t="s">
        <v>723</v>
      </c>
      <c r="D10" s="264" t="s">
        <v>558</v>
      </c>
      <c r="E10" s="247"/>
      <c r="F10" s="247"/>
      <c r="G10" s="247"/>
      <c r="H10" s="247"/>
      <c r="I10" s="247"/>
      <c r="J10" s="263"/>
      <c r="K10" s="461" t="s">
        <v>468</v>
      </c>
      <c r="L10" s="247"/>
      <c r="M10" s="247"/>
      <c r="N10" s="247"/>
      <c r="O10" s="247"/>
      <c r="P10" s="247"/>
      <c r="Q10" s="247"/>
      <c r="R10" s="247"/>
      <c r="S10" s="247"/>
      <c r="T10" s="247"/>
      <c r="U10" s="263"/>
      <c r="V10" s="265" t="s">
        <v>475</v>
      </c>
      <c r="W10" s="264" t="s">
        <v>964</v>
      </c>
      <c r="X10" s="247"/>
      <c r="Y10" s="247"/>
      <c r="Z10" s="247"/>
      <c r="AA10" s="247"/>
      <c r="AB10" s="247"/>
      <c r="AC10" s="247"/>
      <c r="AD10" s="247"/>
      <c r="AE10" s="263"/>
      <c r="AF10" s="461" t="s">
        <v>727</v>
      </c>
      <c r="AG10" s="247"/>
      <c r="AH10" s="247"/>
      <c r="AI10" s="539" t="s">
        <v>965</v>
      </c>
      <c r="AJ10" s="247"/>
      <c r="AK10" s="247"/>
      <c r="AL10" s="247"/>
      <c r="AM10" s="247"/>
      <c r="AN10" s="247"/>
      <c r="AO10" s="247"/>
      <c r="AP10" s="263"/>
      <c r="AQ10" s="266"/>
      <c r="AR10" s="267"/>
      <c r="AS10" s="267"/>
      <c r="AT10" s="267"/>
      <c r="AU10" s="267"/>
      <c r="AV10" s="267"/>
      <c r="AW10" s="267"/>
      <c r="AX10" s="267"/>
      <c r="AY10" s="267"/>
      <c r="AZ10" s="267"/>
      <c r="BA10" s="267"/>
      <c r="BB10" s="267"/>
      <c r="BC10" s="267"/>
      <c r="BD10" s="267"/>
      <c r="BE10" s="267"/>
      <c r="BF10" s="267"/>
      <c r="BG10" s="267"/>
      <c r="BH10" s="267"/>
      <c r="BI10" s="267"/>
      <c r="BJ10" s="267"/>
      <c r="BK10" s="268"/>
    </row>
    <row r="11" spans="1:63" ht="15.75" customHeight="1">
      <c r="A11" s="1269">
        <v>3</v>
      </c>
      <c r="B11" s="1270"/>
      <c r="C11" s="262" t="s">
        <v>723</v>
      </c>
      <c r="D11" s="264" t="s">
        <v>558</v>
      </c>
      <c r="E11" s="247"/>
      <c r="F11" s="247"/>
      <c r="G11" s="247"/>
      <c r="H11" s="247"/>
      <c r="I11" s="247"/>
      <c r="J11" s="263"/>
      <c r="K11" s="461" t="s">
        <v>563</v>
      </c>
      <c r="L11" s="247"/>
      <c r="M11" s="247"/>
      <c r="N11" s="247"/>
      <c r="O11" s="247"/>
      <c r="P11" s="247"/>
      <c r="Q11" s="247"/>
      <c r="R11" s="247"/>
      <c r="S11" s="247"/>
      <c r="T11" s="247"/>
      <c r="U11" s="263"/>
      <c r="V11" s="265" t="s">
        <v>475</v>
      </c>
      <c r="W11" s="264" t="s">
        <v>725</v>
      </c>
      <c r="X11" s="247"/>
      <c r="Y11" s="247"/>
      <c r="Z11" s="247"/>
      <c r="AA11" s="247"/>
      <c r="AB11" s="247"/>
      <c r="AC11" s="247"/>
      <c r="AD11" s="247"/>
      <c r="AE11" s="263"/>
      <c r="AF11" s="461" t="s">
        <v>963</v>
      </c>
      <c r="AG11" s="247"/>
      <c r="AH11" s="247"/>
      <c r="AI11" s="247"/>
      <c r="AJ11" s="247"/>
      <c r="AK11" s="247"/>
      <c r="AL11" s="247"/>
      <c r="AM11" s="247"/>
      <c r="AN11" s="247"/>
      <c r="AO11" s="247"/>
      <c r="AP11" s="263"/>
      <c r="AQ11" s="266" t="s">
        <v>726</v>
      </c>
      <c r="AR11" s="267"/>
      <c r="AS11" s="267"/>
      <c r="AT11" s="267"/>
      <c r="AU11" s="267"/>
      <c r="AV11" s="267"/>
      <c r="AW11" s="267"/>
      <c r="AX11" s="267"/>
      <c r="AY11" s="267"/>
      <c r="AZ11" s="267"/>
      <c r="BA11" s="267"/>
      <c r="BB11" s="267"/>
      <c r="BC11" s="267"/>
      <c r="BD11" s="267"/>
      <c r="BE11" s="267"/>
      <c r="BF11" s="267"/>
      <c r="BG11" s="267"/>
      <c r="BH11" s="267"/>
      <c r="BI11" s="267"/>
      <c r="BJ11" s="267"/>
      <c r="BK11" s="268"/>
    </row>
    <row r="12" spans="1:63" ht="15.75" customHeight="1">
      <c r="A12" s="1269">
        <v>4</v>
      </c>
      <c r="B12" s="1270"/>
      <c r="C12" s="262" t="s">
        <v>723</v>
      </c>
      <c r="D12" s="264" t="s">
        <v>558</v>
      </c>
      <c r="E12" s="247"/>
      <c r="F12" s="247"/>
      <c r="G12" s="247"/>
      <c r="H12" s="247"/>
      <c r="I12" s="247"/>
      <c r="J12" s="263"/>
      <c r="K12" s="461" t="s">
        <v>565</v>
      </c>
      <c r="L12" s="247"/>
      <c r="M12" s="247"/>
      <c r="N12" s="247"/>
      <c r="O12" s="247"/>
      <c r="P12" s="247"/>
      <c r="Q12" s="247"/>
      <c r="R12" s="247"/>
      <c r="S12" s="247"/>
      <c r="T12" s="247"/>
      <c r="U12" s="263"/>
      <c r="V12" s="265" t="s">
        <v>475</v>
      </c>
      <c r="W12" s="439" t="s">
        <v>727</v>
      </c>
      <c r="X12" s="247"/>
      <c r="Y12" s="247"/>
      <c r="Z12" s="539" t="s">
        <v>979</v>
      </c>
      <c r="AB12" s="247"/>
      <c r="AC12" s="247"/>
      <c r="AD12" s="247"/>
      <c r="AE12" s="263"/>
      <c r="AF12" s="549" t="s">
        <v>565</v>
      </c>
      <c r="AG12" s="247"/>
      <c r="AH12" s="247"/>
      <c r="AI12" s="247"/>
      <c r="AJ12" s="539" t="s">
        <v>980</v>
      </c>
      <c r="AK12" s="247"/>
      <c r="AL12" s="247"/>
      <c r="AM12" s="247"/>
      <c r="AN12" s="247"/>
      <c r="AO12" s="247"/>
      <c r="AP12" s="263"/>
      <c r="AQ12" s="266"/>
      <c r="AR12" s="267"/>
      <c r="AS12" s="267"/>
      <c r="AT12" s="267"/>
      <c r="AU12" s="267"/>
      <c r="AV12" s="267"/>
      <c r="AW12" s="267"/>
      <c r="AX12" s="267"/>
      <c r="AY12" s="267"/>
      <c r="AZ12" s="267"/>
      <c r="BA12" s="267"/>
      <c r="BB12" s="267"/>
      <c r="BC12" s="267"/>
      <c r="BD12" s="267"/>
      <c r="BE12" s="267"/>
      <c r="BF12" s="267"/>
      <c r="BG12" s="267"/>
      <c r="BH12" s="267"/>
      <c r="BI12" s="267"/>
      <c r="BJ12" s="267"/>
      <c r="BK12" s="268"/>
    </row>
    <row r="13" spans="1:63" ht="15.75" customHeight="1">
      <c r="A13" s="1269">
        <v>5</v>
      </c>
      <c r="B13" s="1270"/>
      <c r="C13" s="262" t="s">
        <v>723</v>
      </c>
      <c r="D13" s="264" t="s">
        <v>558</v>
      </c>
      <c r="E13" s="247"/>
      <c r="F13" s="247"/>
      <c r="G13" s="247"/>
      <c r="H13" s="247"/>
      <c r="I13" s="247"/>
      <c r="J13" s="263"/>
      <c r="K13" s="461" t="s">
        <v>567</v>
      </c>
      <c r="L13" s="247"/>
      <c r="M13" s="247"/>
      <c r="N13" s="247"/>
      <c r="O13" s="247"/>
      <c r="P13" s="247"/>
      <c r="Q13" s="247"/>
      <c r="R13" s="247"/>
      <c r="S13" s="247"/>
      <c r="T13" s="247"/>
      <c r="U13" s="263"/>
      <c r="V13" s="265" t="s">
        <v>475</v>
      </c>
      <c r="W13" s="264" t="s">
        <v>350</v>
      </c>
      <c r="X13" s="247"/>
      <c r="Y13" s="247"/>
      <c r="Z13" s="247"/>
      <c r="AA13" s="247"/>
      <c r="AB13" s="247"/>
      <c r="AC13" s="247"/>
      <c r="AD13" s="247"/>
      <c r="AE13" s="263"/>
      <c r="AF13" s="461" t="s">
        <v>567</v>
      </c>
      <c r="AG13" s="247"/>
      <c r="AH13" s="247"/>
      <c r="AI13" s="247"/>
      <c r="AJ13" s="247"/>
      <c r="AK13" s="247"/>
      <c r="AL13" s="247"/>
      <c r="AM13" s="247"/>
      <c r="AN13" s="247"/>
      <c r="AO13" s="247"/>
      <c r="AP13" s="263"/>
      <c r="AQ13" s="266"/>
      <c r="AR13" s="267"/>
      <c r="AS13" s="267"/>
      <c r="AT13" s="267"/>
      <c r="AU13" s="267"/>
      <c r="AV13" s="267"/>
      <c r="AW13" s="267"/>
      <c r="AX13" s="267"/>
      <c r="AY13" s="267"/>
      <c r="AZ13" s="267"/>
      <c r="BA13" s="267"/>
      <c r="BB13" s="267"/>
      <c r="BC13" s="267"/>
      <c r="BD13" s="267"/>
      <c r="BE13" s="267"/>
      <c r="BF13" s="267"/>
      <c r="BG13" s="267"/>
      <c r="BH13" s="267"/>
      <c r="BI13" s="267"/>
      <c r="BJ13" s="267"/>
      <c r="BK13" s="268"/>
    </row>
    <row r="14" spans="1:63" ht="15.75" customHeight="1">
      <c r="A14" s="1269">
        <v>6</v>
      </c>
      <c r="B14" s="1270"/>
      <c r="C14" s="262" t="s">
        <v>723</v>
      </c>
      <c r="D14" s="264" t="s">
        <v>558</v>
      </c>
      <c r="E14" s="247"/>
      <c r="F14" s="247"/>
      <c r="G14" s="247"/>
      <c r="H14" s="247"/>
      <c r="I14" s="247"/>
      <c r="J14" s="263"/>
      <c r="K14" s="461" t="s">
        <v>353</v>
      </c>
      <c r="L14" s="247"/>
      <c r="M14" s="247"/>
      <c r="N14" s="247"/>
      <c r="O14" s="247"/>
      <c r="P14" s="247"/>
      <c r="Q14" s="247"/>
      <c r="R14" s="247"/>
      <c r="S14" s="247"/>
      <c r="T14" s="247"/>
      <c r="U14" s="263"/>
      <c r="V14" s="265" t="s">
        <v>475</v>
      </c>
      <c r="W14" s="264" t="s">
        <v>1134</v>
      </c>
      <c r="X14" s="247"/>
      <c r="Y14" s="247"/>
      <c r="Z14" s="247"/>
      <c r="AA14" s="247"/>
      <c r="AB14" s="247"/>
      <c r="AC14" s="247"/>
      <c r="AD14" s="247"/>
      <c r="AE14" s="263"/>
      <c r="AF14" s="559" t="s">
        <v>353</v>
      </c>
      <c r="AG14" s="560"/>
      <c r="AH14" s="560"/>
      <c r="AI14" s="560"/>
      <c r="AJ14" s="560"/>
      <c r="AK14" s="560"/>
      <c r="AL14" s="560"/>
      <c r="AM14" s="560"/>
      <c r="AN14" s="560"/>
      <c r="AO14" s="560"/>
      <c r="AP14" s="561"/>
      <c r="AQ14" s="266"/>
      <c r="AR14" s="267"/>
      <c r="AS14" s="267"/>
      <c r="AT14" s="267"/>
      <c r="AU14" s="267"/>
      <c r="AV14" s="267"/>
      <c r="AW14" s="267"/>
      <c r="AX14" s="267"/>
      <c r="AY14" s="267"/>
      <c r="AZ14" s="267"/>
      <c r="BA14" s="267"/>
      <c r="BB14" s="267"/>
      <c r="BC14" s="267"/>
      <c r="BD14" s="267"/>
      <c r="BE14" s="267"/>
      <c r="BF14" s="267"/>
      <c r="BG14" s="267"/>
      <c r="BH14" s="267"/>
      <c r="BI14" s="267"/>
      <c r="BJ14" s="267"/>
      <c r="BK14" s="268"/>
    </row>
    <row r="15" spans="1:63" ht="15.75" customHeight="1">
      <c r="A15" s="1269">
        <v>7</v>
      </c>
      <c r="B15" s="1270"/>
      <c r="C15" s="262" t="s">
        <v>723</v>
      </c>
      <c r="D15" s="264" t="s">
        <v>558</v>
      </c>
      <c r="E15" s="247"/>
      <c r="F15" s="247"/>
      <c r="G15" s="247"/>
      <c r="H15" s="247"/>
      <c r="I15" s="247"/>
      <c r="J15" s="263"/>
      <c r="K15" s="461" t="s">
        <v>354</v>
      </c>
      <c r="L15" s="247"/>
      <c r="M15" s="247"/>
      <c r="N15" s="247"/>
      <c r="O15" s="247"/>
      <c r="P15" s="247"/>
      <c r="Q15" s="247"/>
      <c r="R15" s="247"/>
      <c r="S15" s="247"/>
      <c r="T15" s="247"/>
      <c r="U15" s="263"/>
      <c r="V15" s="265" t="s">
        <v>475</v>
      </c>
      <c r="W15" s="264" t="s">
        <v>724</v>
      </c>
      <c r="X15" s="247"/>
      <c r="Y15" s="247"/>
      <c r="Z15" s="247"/>
      <c r="AA15" s="247"/>
      <c r="AB15" s="247"/>
      <c r="AC15" s="247"/>
      <c r="AD15" s="247"/>
      <c r="AE15" s="263"/>
      <c r="AF15" s="461" t="s">
        <v>294</v>
      </c>
      <c r="AG15" s="247"/>
      <c r="AH15" s="247"/>
      <c r="AI15" s="247"/>
      <c r="AJ15" s="247"/>
      <c r="AK15" s="247"/>
      <c r="AL15" s="247"/>
      <c r="AM15" s="247"/>
      <c r="AN15" s="247"/>
      <c r="AO15" s="247"/>
      <c r="AP15" s="263"/>
      <c r="AQ15" s="266"/>
      <c r="AR15" s="267"/>
      <c r="AS15" s="267"/>
      <c r="AT15" s="267"/>
      <c r="AU15" s="267"/>
      <c r="AV15" s="267"/>
      <c r="AW15" s="267"/>
      <c r="AX15" s="267"/>
      <c r="AY15" s="267"/>
      <c r="AZ15" s="267"/>
      <c r="BA15" s="267"/>
      <c r="BB15" s="267"/>
      <c r="BC15" s="267"/>
      <c r="BD15" s="267"/>
      <c r="BE15" s="267"/>
      <c r="BF15" s="267"/>
      <c r="BG15" s="267"/>
      <c r="BH15" s="267"/>
      <c r="BI15" s="267"/>
      <c r="BJ15" s="267"/>
      <c r="BK15" s="268"/>
    </row>
    <row r="16" spans="1:63" ht="15.75" customHeight="1">
      <c r="A16" s="1269">
        <v>8</v>
      </c>
      <c r="B16" s="1270"/>
      <c r="C16" s="262" t="s">
        <v>723</v>
      </c>
      <c r="D16" s="264" t="s">
        <v>558</v>
      </c>
      <c r="E16" s="247"/>
      <c r="F16" s="247"/>
      <c r="G16" s="247"/>
      <c r="H16" s="247"/>
      <c r="I16" s="247"/>
      <c r="J16" s="263"/>
      <c r="K16" s="461" t="s">
        <v>728</v>
      </c>
      <c r="L16" s="247"/>
      <c r="M16" s="247"/>
      <c r="N16" s="247"/>
      <c r="O16" s="247"/>
      <c r="P16" s="247"/>
      <c r="Q16" s="247"/>
      <c r="R16" s="247"/>
      <c r="S16" s="247"/>
      <c r="T16" s="247"/>
      <c r="U16" s="263"/>
      <c r="V16" s="265" t="s">
        <v>475</v>
      </c>
      <c r="W16" s="264" t="s">
        <v>724</v>
      </c>
      <c r="X16" s="247"/>
      <c r="Y16" s="247"/>
      <c r="Z16" s="247"/>
      <c r="AA16" s="247"/>
      <c r="AB16" s="247"/>
      <c r="AC16" s="247"/>
      <c r="AD16" s="247"/>
      <c r="AE16" s="263"/>
      <c r="AF16" s="461" t="s">
        <v>728</v>
      </c>
      <c r="AG16" s="247"/>
      <c r="AH16" s="247"/>
      <c r="AI16" s="247"/>
      <c r="AJ16" s="247"/>
      <c r="AK16" s="247"/>
      <c r="AL16" s="247"/>
      <c r="AM16" s="247"/>
      <c r="AN16" s="247"/>
      <c r="AO16" s="247"/>
      <c r="AP16" s="263"/>
      <c r="AQ16" s="266"/>
      <c r="AR16" s="267"/>
      <c r="AS16" s="267"/>
      <c r="AT16" s="267"/>
      <c r="AU16" s="267"/>
      <c r="AV16" s="267"/>
      <c r="AW16" s="267"/>
      <c r="AX16" s="267"/>
      <c r="AY16" s="267"/>
      <c r="AZ16" s="267"/>
      <c r="BA16" s="267"/>
      <c r="BB16" s="267"/>
      <c r="BC16" s="267"/>
      <c r="BD16" s="267"/>
      <c r="BE16" s="267"/>
      <c r="BF16" s="267"/>
      <c r="BG16" s="267"/>
      <c r="BH16" s="267"/>
      <c r="BI16" s="267"/>
      <c r="BJ16" s="267"/>
      <c r="BK16" s="268"/>
    </row>
    <row r="17" spans="1:64" ht="15.75" customHeight="1">
      <c r="A17" s="1269">
        <v>9</v>
      </c>
      <c r="B17" s="1270"/>
      <c r="C17" s="262" t="s">
        <v>723</v>
      </c>
      <c r="D17" s="264" t="s">
        <v>558</v>
      </c>
      <c r="E17" s="247"/>
      <c r="F17" s="247"/>
      <c r="G17" s="247"/>
      <c r="H17" s="247"/>
      <c r="I17" s="247"/>
      <c r="J17" s="263"/>
      <c r="K17" s="461" t="s">
        <v>729</v>
      </c>
      <c r="L17" s="247"/>
      <c r="M17" s="247"/>
      <c r="N17" s="247"/>
      <c r="O17" s="247"/>
      <c r="P17" s="247"/>
      <c r="Q17" s="247"/>
      <c r="R17" s="247"/>
      <c r="S17" s="247"/>
      <c r="T17" s="247"/>
      <c r="U17" s="263"/>
      <c r="V17" s="265" t="s">
        <v>475</v>
      </c>
      <c r="W17" s="562" t="s">
        <v>724</v>
      </c>
      <c r="X17" s="560"/>
      <c r="Y17" s="560"/>
      <c r="Z17" s="560"/>
      <c r="AA17" s="560"/>
      <c r="AB17" s="560"/>
      <c r="AC17" s="560"/>
      <c r="AD17" s="560"/>
      <c r="AE17" s="561"/>
      <c r="AF17" s="559" t="s">
        <v>729</v>
      </c>
      <c r="AG17" s="560"/>
      <c r="AH17" s="560"/>
      <c r="AI17" s="560"/>
      <c r="AJ17" s="560"/>
      <c r="AK17" s="560"/>
      <c r="AL17" s="560"/>
      <c r="AM17" s="560"/>
      <c r="AN17" s="560"/>
      <c r="AO17" s="560"/>
      <c r="AP17" s="561"/>
      <c r="AQ17" s="266"/>
      <c r="AR17" s="267"/>
      <c r="AS17" s="267"/>
      <c r="AT17" s="267"/>
      <c r="AU17" s="267"/>
      <c r="AV17" s="267"/>
      <c r="AW17" s="267"/>
      <c r="AX17" s="267"/>
      <c r="AY17" s="267"/>
      <c r="AZ17" s="267"/>
      <c r="BA17" s="267"/>
      <c r="BB17" s="267"/>
      <c r="BC17" s="267"/>
      <c r="BD17" s="267"/>
      <c r="BE17" s="267"/>
      <c r="BF17" s="267"/>
      <c r="BG17" s="267"/>
      <c r="BH17" s="267"/>
      <c r="BI17" s="267"/>
      <c r="BJ17" s="267"/>
      <c r="BK17" s="268"/>
    </row>
    <row r="18" spans="1:64" ht="15.75" customHeight="1">
      <c r="A18" s="1269">
        <v>10</v>
      </c>
      <c r="B18" s="1270"/>
      <c r="C18" s="262" t="s">
        <v>723</v>
      </c>
      <c r="D18" s="264" t="s">
        <v>558</v>
      </c>
      <c r="E18" s="247"/>
      <c r="F18" s="247"/>
      <c r="G18" s="247"/>
      <c r="H18" s="247"/>
      <c r="I18" s="247"/>
      <c r="J18" s="263"/>
      <c r="K18" s="461" t="s">
        <v>577</v>
      </c>
      <c r="L18" s="247"/>
      <c r="M18" s="247"/>
      <c r="N18" s="247"/>
      <c r="O18" s="247"/>
      <c r="P18" s="247"/>
      <c r="Q18" s="247"/>
      <c r="R18" s="247"/>
      <c r="S18" s="247"/>
      <c r="T18" s="247"/>
      <c r="U18" s="263"/>
      <c r="V18" s="265" t="s">
        <v>475</v>
      </c>
      <c r="W18" s="264" t="s">
        <v>1134</v>
      </c>
      <c r="X18" s="247"/>
      <c r="Y18" s="247"/>
      <c r="Z18" s="247"/>
      <c r="AA18" s="247"/>
      <c r="AB18" s="247"/>
      <c r="AC18" s="247"/>
      <c r="AD18" s="247"/>
      <c r="AE18" s="263"/>
      <c r="AF18" s="461" t="s">
        <v>577</v>
      </c>
      <c r="AG18" s="247"/>
      <c r="AH18" s="247"/>
      <c r="AI18" s="247"/>
      <c r="AJ18" s="247"/>
      <c r="AK18" s="247"/>
      <c r="AL18" s="247"/>
      <c r="AM18" s="247"/>
      <c r="AN18" s="247"/>
      <c r="AO18" s="247"/>
      <c r="AP18" s="263"/>
      <c r="AQ18" s="266"/>
      <c r="AR18" s="267"/>
      <c r="AS18" s="267"/>
      <c r="AT18" s="267"/>
      <c r="AU18" s="267"/>
      <c r="AV18" s="267"/>
      <c r="AW18" s="267"/>
      <c r="AX18" s="267"/>
      <c r="AY18" s="267"/>
      <c r="AZ18" s="267"/>
      <c r="BA18" s="267"/>
      <c r="BB18" s="267"/>
      <c r="BC18" s="267"/>
      <c r="BD18" s="267"/>
      <c r="BE18" s="267"/>
      <c r="BF18" s="267"/>
      <c r="BG18" s="267"/>
      <c r="BH18" s="267"/>
      <c r="BI18" s="267"/>
      <c r="BJ18" s="267"/>
      <c r="BK18" s="268"/>
    </row>
    <row r="19" spans="1:64" ht="15.75" customHeight="1">
      <c r="A19" s="1269">
        <v>11</v>
      </c>
      <c r="B19" s="1270"/>
      <c r="C19" s="262" t="s">
        <v>723</v>
      </c>
      <c r="D19" s="264" t="s">
        <v>558</v>
      </c>
      <c r="E19" s="247"/>
      <c r="F19" s="247"/>
      <c r="G19" s="247"/>
      <c r="H19" s="247"/>
      <c r="I19" s="247"/>
      <c r="J19" s="263"/>
      <c r="K19" s="461" t="s">
        <v>311</v>
      </c>
      <c r="L19" s="247"/>
      <c r="M19" s="247"/>
      <c r="N19" s="247"/>
      <c r="O19" s="247"/>
      <c r="P19" s="247"/>
      <c r="Q19" s="247"/>
      <c r="R19" s="247"/>
      <c r="S19" s="247"/>
      <c r="T19" s="247"/>
      <c r="U19" s="263"/>
      <c r="V19" s="265" t="s">
        <v>475</v>
      </c>
      <c r="W19" s="439" t="s">
        <v>724</v>
      </c>
      <c r="X19" s="247"/>
      <c r="Y19" s="247"/>
      <c r="Z19" s="247"/>
      <c r="AA19" s="247"/>
      <c r="AB19" s="247"/>
      <c r="AC19" s="247"/>
      <c r="AD19" s="247"/>
      <c r="AE19" s="263"/>
      <c r="AF19" s="461" t="s">
        <v>311</v>
      </c>
      <c r="AG19" s="247"/>
      <c r="AH19" s="247"/>
      <c r="AI19" s="247"/>
      <c r="AJ19" s="247"/>
      <c r="AK19" s="247"/>
      <c r="AL19" s="247"/>
      <c r="AM19" s="247"/>
      <c r="AN19" s="247"/>
      <c r="AO19" s="247"/>
      <c r="AP19" s="263"/>
      <c r="AQ19" s="266"/>
      <c r="AR19" s="267"/>
      <c r="AS19" s="267"/>
      <c r="AT19" s="267"/>
      <c r="AU19" s="267"/>
      <c r="AV19" s="267"/>
      <c r="AW19" s="267"/>
      <c r="AX19" s="267"/>
      <c r="AY19" s="267"/>
      <c r="AZ19" s="267"/>
      <c r="BA19" s="267"/>
      <c r="BB19" s="267"/>
      <c r="BC19" s="267"/>
      <c r="BD19" s="267"/>
      <c r="BE19" s="267"/>
      <c r="BF19" s="267"/>
      <c r="BG19" s="267"/>
      <c r="BH19" s="267"/>
      <c r="BI19" s="267"/>
      <c r="BJ19" s="267"/>
      <c r="BK19" s="268"/>
    </row>
    <row r="20" spans="1:64" ht="15.75" customHeight="1">
      <c r="A20" s="1269">
        <v>12</v>
      </c>
      <c r="B20" s="1270"/>
      <c r="C20" s="262" t="s">
        <v>723</v>
      </c>
      <c r="D20" s="264" t="s">
        <v>558</v>
      </c>
      <c r="E20" s="247"/>
      <c r="F20" s="247"/>
      <c r="G20" s="247"/>
      <c r="H20" s="247"/>
      <c r="I20" s="247"/>
      <c r="J20" s="263"/>
      <c r="K20" s="461" t="s">
        <v>580</v>
      </c>
      <c r="L20" s="247"/>
      <c r="M20" s="247"/>
      <c r="N20" s="247"/>
      <c r="O20" s="247"/>
      <c r="P20" s="247"/>
      <c r="Q20" s="247"/>
      <c r="R20" s="247"/>
      <c r="S20" s="247"/>
      <c r="T20" s="247"/>
      <c r="U20" s="263"/>
      <c r="V20" s="265" t="s">
        <v>475</v>
      </c>
      <c r="W20" s="264" t="s">
        <v>724</v>
      </c>
      <c r="X20" s="247"/>
      <c r="Y20" s="247"/>
      <c r="Z20" s="247"/>
      <c r="AA20" s="247"/>
      <c r="AB20" s="247"/>
      <c r="AC20" s="247"/>
      <c r="AD20" s="247"/>
      <c r="AE20" s="263"/>
      <c r="AF20" s="461" t="s">
        <v>580</v>
      </c>
      <c r="AG20" s="247"/>
      <c r="AH20" s="247"/>
      <c r="AI20" s="247"/>
      <c r="AJ20" s="247"/>
      <c r="AK20" s="247"/>
      <c r="AL20" s="247"/>
      <c r="AM20" s="247"/>
      <c r="AN20" s="247"/>
      <c r="AO20" s="247"/>
      <c r="AP20" s="263"/>
      <c r="AQ20" s="266"/>
      <c r="AR20" s="267"/>
      <c r="AS20" s="267"/>
      <c r="AT20" s="267"/>
      <c r="AU20" s="267"/>
      <c r="AV20" s="267"/>
      <c r="AW20" s="267"/>
      <c r="AX20" s="267"/>
      <c r="AY20" s="267"/>
      <c r="AZ20" s="267"/>
      <c r="BA20" s="267"/>
      <c r="BB20" s="267"/>
      <c r="BC20" s="267"/>
      <c r="BD20" s="267"/>
      <c r="BE20" s="267"/>
      <c r="BF20" s="267"/>
      <c r="BG20" s="267"/>
      <c r="BH20" s="267"/>
      <c r="BI20" s="267"/>
      <c r="BJ20" s="267"/>
      <c r="BK20" s="268"/>
    </row>
    <row r="21" spans="1:64" ht="15.75" customHeight="1">
      <c r="A21" s="1269">
        <v>13</v>
      </c>
      <c r="B21" s="1270"/>
      <c r="C21" s="262" t="s">
        <v>723</v>
      </c>
      <c r="D21" s="264" t="s">
        <v>558</v>
      </c>
      <c r="E21" s="247"/>
      <c r="F21" s="247"/>
      <c r="G21" s="247"/>
      <c r="H21" s="247"/>
      <c r="I21" s="247"/>
      <c r="J21" s="263"/>
      <c r="K21" s="461" t="s">
        <v>730</v>
      </c>
      <c r="L21" s="247"/>
      <c r="M21" s="247"/>
      <c r="N21" s="247"/>
      <c r="O21" s="247"/>
      <c r="P21" s="247"/>
      <c r="Q21" s="247"/>
      <c r="R21" s="247"/>
      <c r="S21" s="247"/>
      <c r="T21" s="247"/>
      <c r="U21" s="263"/>
      <c r="V21" s="265" t="s">
        <v>475</v>
      </c>
      <c r="W21" s="264" t="s">
        <v>724</v>
      </c>
      <c r="X21" s="247"/>
      <c r="Y21" s="247"/>
      <c r="Z21" s="247"/>
      <c r="AA21" s="247"/>
      <c r="AB21" s="247"/>
      <c r="AC21" s="247"/>
      <c r="AD21" s="247"/>
      <c r="AE21" s="263"/>
      <c r="AF21" s="461" t="s">
        <v>730</v>
      </c>
      <c r="AG21" s="247"/>
      <c r="AH21" s="247"/>
      <c r="AI21" s="247"/>
      <c r="AJ21" s="247"/>
      <c r="AK21" s="247"/>
      <c r="AL21" s="247"/>
      <c r="AM21" s="247"/>
      <c r="AN21" s="247"/>
      <c r="AO21" s="247"/>
      <c r="AP21" s="263"/>
      <c r="AQ21" s="266"/>
      <c r="AR21" s="267"/>
      <c r="AS21" s="267"/>
      <c r="AT21" s="267"/>
      <c r="AU21" s="267"/>
      <c r="AV21" s="267"/>
      <c r="AW21" s="267"/>
      <c r="AX21" s="267"/>
      <c r="AY21" s="267"/>
      <c r="AZ21" s="267"/>
      <c r="BA21" s="267"/>
      <c r="BB21" s="267"/>
      <c r="BC21" s="267"/>
      <c r="BD21" s="267"/>
      <c r="BE21" s="267"/>
      <c r="BF21" s="267"/>
      <c r="BG21" s="267"/>
      <c r="BH21" s="267"/>
      <c r="BI21" s="267"/>
      <c r="BJ21" s="267"/>
      <c r="BK21" s="268"/>
    </row>
    <row r="22" spans="1:64" ht="15.75" customHeight="1">
      <c r="A22" s="1269">
        <v>14</v>
      </c>
      <c r="B22" s="1270"/>
      <c r="C22" s="262" t="s">
        <v>723</v>
      </c>
      <c r="D22" s="264" t="s">
        <v>558</v>
      </c>
      <c r="E22" s="247"/>
      <c r="F22" s="247"/>
      <c r="G22" s="247"/>
      <c r="H22" s="247"/>
      <c r="I22" s="247"/>
      <c r="J22" s="263"/>
      <c r="K22" s="461" t="s">
        <v>297</v>
      </c>
      <c r="L22" s="247"/>
      <c r="M22" s="247"/>
      <c r="N22" s="247"/>
      <c r="O22" s="247"/>
      <c r="P22" s="247"/>
      <c r="Q22" s="247"/>
      <c r="R22" s="247"/>
      <c r="S22" s="247"/>
      <c r="T22" s="247"/>
      <c r="U22" s="263"/>
      <c r="V22" s="265"/>
      <c r="W22" s="264"/>
      <c r="X22" s="247"/>
      <c r="Y22" s="247"/>
      <c r="Z22" s="247"/>
      <c r="AA22" s="247"/>
      <c r="AB22" s="247"/>
      <c r="AC22" s="247"/>
      <c r="AD22" s="247"/>
      <c r="AE22" s="263"/>
      <c r="AF22" s="461" t="s">
        <v>297</v>
      </c>
      <c r="AG22" s="247"/>
      <c r="AH22" s="247"/>
      <c r="AI22" s="247"/>
      <c r="AJ22" s="247"/>
      <c r="AK22" s="247"/>
      <c r="AL22" s="247"/>
      <c r="AM22" s="247"/>
      <c r="AN22" s="247"/>
      <c r="AO22" s="247"/>
      <c r="AP22" s="263"/>
      <c r="AQ22" s="520" t="s">
        <v>732</v>
      </c>
      <c r="AR22" s="521"/>
      <c r="AS22" s="267"/>
      <c r="AT22" s="267"/>
      <c r="AU22" s="267"/>
      <c r="AV22" s="267"/>
      <c r="AW22" s="267"/>
      <c r="AX22" s="267"/>
      <c r="AY22" s="267"/>
      <c r="AZ22" s="267"/>
      <c r="BA22" s="267"/>
      <c r="BB22" s="267"/>
      <c r="BC22" s="267"/>
      <c r="BD22" s="267"/>
      <c r="BE22" s="267"/>
      <c r="BF22" s="267"/>
      <c r="BG22" s="267"/>
      <c r="BH22" s="267"/>
      <c r="BI22" s="267"/>
      <c r="BJ22" s="267"/>
      <c r="BK22" s="268"/>
    </row>
    <row r="23" spans="1:64" ht="15.75" customHeight="1">
      <c r="A23" s="1269">
        <v>15</v>
      </c>
      <c r="B23" s="1270"/>
      <c r="C23" s="262" t="s">
        <v>723</v>
      </c>
      <c r="D23" s="264" t="s">
        <v>558</v>
      </c>
      <c r="E23" s="247"/>
      <c r="F23" s="247"/>
      <c r="G23" s="247"/>
      <c r="H23" s="247"/>
      <c r="I23" s="247"/>
      <c r="J23" s="263"/>
      <c r="K23" s="461" t="s">
        <v>246</v>
      </c>
      <c r="L23" s="247"/>
      <c r="M23" s="247"/>
      <c r="N23" s="247"/>
      <c r="O23" s="247"/>
      <c r="P23" s="247"/>
      <c r="Q23" s="247"/>
      <c r="R23" s="247"/>
      <c r="S23" s="247"/>
      <c r="T23" s="247"/>
      <c r="U23" s="263"/>
      <c r="V23" s="265" t="s">
        <v>475</v>
      </c>
      <c r="W23" s="264" t="s">
        <v>724</v>
      </c>
      <c r="X23" s="247"/>
      <c r="Y23" s="247"/>
      <c r="Z23" s="247"/>
      <c r="AA23" s="247"/>
      <c r="AB23" s="247"/>
      <c r="AC23" s="247"/>
      <c r="AD23" s="247"/>
      <c r="AE23" s="263"/>
      <c r="AF23" s="461" t="s">
        <v>246</v>
      </c>
      <c r="AG23" s="247"/>
      <c r="AH23" s="247"/>
      <c r="AI23" s="247"/>
      <c r="AJ23" s="247"/>
      <c r="AK23" s="247"/>
      <c r="AL23" s="247"/>
      <c r="AM23" s="247"/>
      <c r="AN23" s="247"/>
      <c r="AO23" s="247"/>
      <c r="AP23" s="263"/>
      <c r="AQ23" s="520"/>
      <c r="AR23" s="521"/>
      <c r="AS23" s="267"/>
      <c r="AT23" s="267"/>
      <c r="AU23" s="267"/>
      <c r="AV23" s="267"/>
      <c r="AW23" s="267"/>
      <c r="AX23" s="267"/>
      <c r="AY23" s="267"/>
      <c r="AZ23" s="267"/>
      <c r="BA23" s="267"/>
      <c r="BB23" s="267"/>
      <c r="BC23" s="267"/>
      <c r="BD23" s="267"/>
      <c r="BE23" s="267"/>
      <c r="BF23" s="267"/>
      <c r="BG23" s="267"/>
      <c r="BH23" s="267"/>
      <c r="BI23" s="267"/>
      <c r="BJ23" s="267"/>
      <c r="BK23" s="268"/>
    </row>
    <row r="24" spans="1:64" ht="15.75" customHeight="1">
      <c r="A24" s="1269">
        <v>16</v>
      </c>
      <c r="B24" s="1270"/>
      <c r="C24" s="262" t="s">
        <v>723</v>
      </c>
      <c r="D24" s="264" t="s">
        <v>558</v>
      </c>
      <c r="E24" s="247"/>
      <c r="F24" s="247"/>
      <c r="G24" s="247"/>
      <c r="H24" s="247"/>
      <c r="I24" s="247"/>
      <c r="J24" s="263"/>
      <c r="K24" s="461" t="s">
        <v>589</v>
      </c>
      <c r="L24" s="247"/>
      <c r="M24" s="247"/>
      <c r="N24" s="247"/>
      <c r="O24" s="247"/>
      <c r="P24" s="247"/>
      <c r="Q24" s="247"/>
      <c r="R24" s="247"/>
      <c r="S24" s="247"/>
      <c r="T24" s="247"/>
      <c r="U24" s="263"/>
      <c r="V24" s="265" t="s">
        <v>475</v>
      </c>
      <c r="W24" s="264" t="s">
        <v>724</v>
      </c>
      <c r="X24" s="247"/>
      <c r="Y24" s="247"/>
      <c r="Z24" s="247"/>
      <c r="AA24" s="247"/>
      <c r="AB24" s="247"/>
      <c r="AC24" s="247"/>
      <c r="AD24" s="247"/>
      <c r="AE24" s="263"/>
      <c r="AF24" s="461" t="s">
        <v>589</v>
      </c>
      <c r="AG24" s="247"/>
      <c r="AH24" s="247"/>
      <c r="AI24" s="247"/>
      <c r="AJ24" s="247"/>
      <c r="AK24" s="247"/>
      <c r="AL24" s="247"/>
      <c r="AM24" s="247"/>
      <c r="AN24" s="247"/>
      <c r="AO24" s="247"/>
      <c r="AP24" s="263"/>
      <c r="AQ24" s="520" t="s">
        <v>733</v>
      </c>
      <c r="AR24" s="521"/>
      <c r="AS24" s="267"/>
      <c r="AT24" s="267"/>
      <c r="AU24" s="267"/>
      <c r="AV24" s="267"/>
      <c r="AW24" s="267"/>
      <c r="AX24" s="267"/>
      <c r="AY24" s="267"/>
      <c r="AZ24" s="267"/>
      <c r="BA24" s="267"/>
      <c r="BB24" s="267"/>
      <c r="BC24" s="267"/>
      <c r="BD24" s="267"/>
      <c r="BE24" s="267"/>
      <c r="BF24" s="267"/>
      <c r="BG24" s="267"/>
      <c r="BH24" s="267"/>
      <c r="BI24" s="267"/>
      <c r="BJ24" s="267"/>
      <c r="BK24" s="268"/>
    </row>
    <row r="25" spans="1:64" ht="15.75" customHeight="1">
      <c r="A25" s="1269">
        <v>17</v>
      </c>
      <c r="B25" s="1270"/>
      <c r="C25" s="262" t="s">
        <v>723</v>
      </c>
      <c r="D25" s="264" t="s">
        <v>558</v>
      </c>
      <c r="E25" s="247"/>
      <c r="F25" s="247"/>
      <c r="G25" s="247"/>
      <c r="H25" s="247"/>
      <c r="I25" s="247"/>
      <c r="J25" s="263"/>
      <c r="K25" s="461" t="s">
        <v>593</v>
      </c>
      <c r="L25" s="247"/>
      <c r="M25" s="247"/>
      <c r="N25" s="247"/>
      <c r="O25" s="247"/>
      <c r="P25" s="247"/>
      <c r="Q25" s="247"/>
      <c r="R25" s="247"/>
      <c r="S25" s="247"/>
      <c r="T25" s="247"/>
      <c r="U25" s="263"/>
      <c r="V25" s="265" t="s">
        <v>475</v>
      </c>
      <c r="W25" s="264" t="s">
        <v>724</v>
      </c>
      <c r="X25" s="247"/>
      <c r="Y25" s="247"/>
      <c r="Z25" s="247"/>
      <c r="AA25" s="247"/>
      <c r="AB25" s="247"/>
      <c r="AC25" s="247"/>
      <c r="AD25" s="247"/>
      <c r="AE25" s="263"/>
      <c r="AF25" s="461" t="s">
        <v>593</v>
      </c>
      <c r="AG25" s="247"/>
      <c r="AH25" s="247"/>
      <c r="AI25" s="247"/>
      <c r="AJ25" s="247"/>
      <c r="AK25" s="247"/>
      <c r="AL25" s="247"/>
      <c r="AM25" s="247"/>
      <c r="AN25" s="247"/>
      <c r="AO25" s="247"/>
      <c r="AP25" s="263"/>
      <c r="AQ25" s="520" t="s">
        <v>734</v>
      </c>
      <c r="AR25" s="521"/>
      <c r="AS25" s="267"/>
      <c r="AT25" s="267"/>
      <c r="AU25" s="267"/>
      <c r="AV25" s="267"/>
      <c r="AW25" s="267"/>
      <c r="AX25" s="267"/>
      <c r="AY25" s="267"/>
      <c r="AZ25" s="267"/>
      <c r="BA25" s="267"/>
      <c r="BB25" s="267"/>
      <c r="BC25" s="267"/>
      <c r="BD25" s="267"/>
      <c r="BE25" s="267"/>
      <c r="BF25" s="267"/>
      <c r="BG25" s="267"/>
      <c r="BH25" s="267"/>
      <c r="BI25" s="267"/>
      <c r="BJ25" s="267"/>
      <c r="BK25" s="268"/>
    </row>
    <row r="26" spans="1:64" ht="15.75" customHeight="1">
      <c r="A26" s="1269">
        <v>18</v>
      </c>
      <c r="B26" s="1270"/>
      <c r="C26" s="262" t="s">
        <v>723</v>
      </c>
      <c r="D26" s="264" t="s">
        <v>558</v>
      </c>
      <c r="E26" s="247"/>
      <c r="F26" s="247"/>
      <c r="G26" s="247"/>
      <c r="H26" s="247"/>
      <c r="I26" s="247"/>
      <c r="J26" s="263"/>
      <c r="K26" s="461" t="s">
        <v>596</v>
      </c>
      <c r="L26" s="247"/>
      <c r="M26" s="247"/>
      <c r="N26" s="247"/>
      <c r="O26" s="247"/>
      <c r="P26" s="247"/>
      <c r="Q26" s="247"/>
      <c r="R26" s="247"/>
      <c r="S26" s="247"/>
      <c r="T26" s="247"/>
      <c r="U26" s="263"/>
      <c r="V26" s="265" t="s">
        <v>475</v>
      </c>
      <c r="W26" s="264" t="s">
        <v>724</v>
      </c>
      <c r="X26" s="247"/>
      <c r="Y26" s="247"/>
      <c r="Z26" s="247"/>
      <c r="AA26" s="247"/>
      <c r="AB26" s="247"/>
      <c r="AC26" s="247"/>
      <c r="AD26" s="247"/>
      <c r="AE26" s="263"/>
      <c r="AF26" s="461" t="s">
        <v>596</v>
      </c>
      <c r="AG26" s="247"/>
      <c r="AH26" s="247"/>
      <c r="AI26" s="247"/>
      <c r="AJ26" s="247"/>
      <c r="AK26" s="247"/>
      <c r="AL26" s="247"/>
      <c r="AM26" s="247"/>
      <c r="AN26" s="247"/>
      <c r="AO26" s="247"/>
      <c r="AP26" s="263"/>
      <c r="AQ26" s="520" t="s">
        <v>735</v>
      </c>
      <c r="AR26" s="521"/>
      <c r="AS26" s="267"/>
      <c r="AT26" s="267"/>
      <c r="AU26" s="267"/>
      <c r="AV26" s="267"/>
      <c r="AW26" s="267"/>
      <c r="AX26" s="267"/>
      <c r="AY26" s="267"/>
      <c r="AZ26" s="267"/>
      <c r="BA26" s="267"/>
      <c r="BB26" s="267"/>
      <c r="BC26" s="267"/>
      <c r="BD26" s="267"/>
      <c r="BE26" s="267"/>
      <c r="BF26" s="267"/>
      <c r="BG26" s="267"/>
      <c r="BH26" s="267"/>
      <c r="BI26" s="267"/>
      <c r="BJ26" s="267"/>
      <c r="BK26" s="268"/>
    </row>
    <row r="27" spans="1:64" ht="15.75" customHeight="1">
      <c r="A27" s="1269">
        <v>19</v>
      </c>
      <c r="B27" s="1270"/>
      <c r="C27" s="262" t="s">
        <v>723</v>
      </c>
      <c r="D27" s="264" t="s">
        <v>558</v>
      </c>
      <c r="E27" s="247"/>
      <c r="F27" s="247"/>
      <c r="G27" s="247"/>
      <c r="H27" s="247"/>
      <c r="I27" s="247"/>
      <c r="J27" s="263"/>
      <c r="K27" s="461" t="s">
        <v>736</v>
      </c>
      <c r="L27" s="247"/>
      <c r="M27" s="247"/>
      <c r="N27" s="247"/>
      <c r="O27" s="247"/>
      <c r="P27" s="247"/>
      <c r="Q27" s="247"/>
      <c r="R27" s="247"/>
      <c r="S27" s="247"/>
      <c r="T27" s="247"/>
      <c r="U27" s="263"/>
      <c r="V27" s="265" t="s">
        <v>475</v>
      </c>
      <c r="W27" s="439" t="s">
        <v>724</v>
      </c>
      <c r="X27" s="247"/>
      <c r="Y27" s="247"/>
      <c r="Z27" s="247"/>
      <c r="AA27" s="247"/>
      <c r="AB27" s="539" t="s">
        <v>966</v>
      </c>
      <c r="AC27" s="247"/>
      <c r="AD27" s="247"/>
      <c r="AE27" s="263"/>
      <c r="AF27" s="546" t="s">
        <v>736</v>
      </c>
      <c r="AG27" s="541"/>
      <c r="AH27" s="541"/>
      <c r="AI27" s="541"/>
      <c r="AJ27" s="548" t="s">
        <v>967</v>
      </c>
      <c r="AK27" s="541"/>
      <c r="AL27" s="541"/>
      <c r="AM27" s="541"/>
      <c r="AN27" s="541"/>
      <c r="AO27" s="541"/>
      <c r="AP27" s="542"/>
      <c r="AQ27" s="547" t="s">
        <v>737</v>
      </c>
      <c r="AR27" s="543"/>
      <c r="AS27" s="544"/>
      <c r="AT27" s="544"/>
      <c r="AU27" s="544"/>
      <c r="AV27" s="544"/>
      <c r="AW27" s="544"/>
      <c r="AX27" s="544"/>
      <c r="AY27" s="544"/>
      <c r="AZ27" s="544"/>
      <c r="BA27" s="544"/>
      <c r="BB27" s="544"/>
      <c r="BC27" s="544"/>
      <c r="BD27" s="544"/>
      <c r="BE27" s="544"/>
      <c r="BF27" s="544"/>
      <c r="BG27" s="544"/>
      <c r="BH27" s="544"/>
      <c r="BI27" s="544"/>
      <c r="BJ27" s="544"/>
      <c r="BK27" s="545"/>
      <c r="BL27" s="443" t="s">
        <v>968</v>
      </c>
    </row>
    <row r="28" spans="1:64" ht="15.75" customHeight="1">
      <c r="A28" s="1269">
        <v>20</v>
      </c>
      <c r="B28" s="1270"/>
      <c r="C28" s="262" t="s">
        <v>723</v>
      </c>
      <c r="D28" s="264" t="s">
        <v>558</v>
      </c>
      <c r="E28" s="247"/>
      <c r="F28" s="247"/>
      <c r="G28" s="247"/>
      <c r="H28" s="247"/>
      <c r="I28" s="247"/>
      <c r="J28" s="263"/>
      <c r="K28" s="461" t="s">
        <v>738</v>
      </c>
      <c r="L28" s="247"/>
      <c r="M28" s="247"/>
      <c r="N28" s="247"/>
      <c r="O28" s="247"/>
      <c r="P28" s="247"/>
      <c r="Q28" s="247"/>
      <c r="R28" s="247"/>
      <c r="S28" s="247"/>
      <c r="T28" s="247"/>
      <c r="U28" s="263"/>
      <c r="V28" s="265" t="s">
        <v>475</v>
      </c>
      <c r="W28" s="264" t="s">
        <v>724</v>
      </c>
      <c r="X28" s="247"/>
      <c r="Y28" s="247"/>
      <c r="Z28" s="247"/>
      <c r="AA28" s="247"/>
      <c r="AB28" s="247"/>
      <c r="AC28" s="247"/>
      <c r="AD28" s="247"/>
      <c r="AE28" s="263"/>
      <c r="AF28" s="540" t="s">
        <v>602</v>
      </c>
      <c r="AG28" s="541"/>
      <c r="AH28" s="541"/>
      <c r="AI28" s="541"/>
      <c r="AJ28" s="541"/>
      <c r="AK28" s="541"/>
      <c r="AL28" s="541"/>
      <c r="AM28" s="541"/>
      <c r="AN28" s="541"/>
      <c r="AO28" s="541"/>
      <c r="AP28" s="542"/>
      <c r="AQ28" s="266"/>
      <c r="AR28" s="267"/>
      <c r="AS28" s="267"/>
      <c r="AT28" s="267"/>
      <c r="AU28" s="267"/>
      <c r="AV28" s="267"/>
      <c r="AW28" s="267"/>
      <c r="AX28" s="267"/>
      <c r="AY28" s="267"/>
      <c r="AZ28" s="267"/>
      <c r="BA28" s="267"/>
      <c r="BB28" s="267"/>
      <c r="BC28" s="267"/>
      <c r="BD28" s="267"/>
      <c r="BE28" s="267"/>
      <c r="BF28" s="267"/>
      <c r="BG28" s="267"/>
      <c r="BH28" s="267"/>
      <c r="BI28" s="267"/>
      <c r="BJ28" s="267"/>
      <c r="BK28" s="268"/>
    </row>
    <row r="29" spans="1:64" ht="15.75" customHeight="1">
      <c r="A29" s="1269">
        <v>21</v>
      </c>
      <c r="B29" s="1270"/>
      <c r="C29" s="262" t="s">
        <v>723</v>
      </c>
      <c r="D29" s="264" t="s">
        <v>558</v>
      </c>
      <c r="E29" s="247"/>
      <c r="F29" s="247"/>
      <c r="G29" s="247"/>
      <c r="H29" s="247"/>
      <c r="I29" s="247"/>
      <c r="J29" s="263"/>
      <c r="K29" s="461" t="s">
        <v>739</v>
      </c>
      <c r="L29" s="247"/>
      <c r="M29" s="247"/>
      <c r="N29" s="247"/>
      <c r="O29" s="247"/>
      <c r="P29" s="247"/>
      <c r="Q29" s="247"/>
      <c r="R29" s="247"/>
      <c r="S29" s="247"/>
      <c r="T29" s="247"/>
      <c r="U29" s="263"/>
      <c r="V29" s="265" t="s">
        <v>475</v>
      </c>
      <c r="W29" s="264" t="s">
        <v>724</v>
      </c>
      <c r="X29" s="247"/>
      <c r="Y29" s="247"/>
      <c r="Z29" s="247"/>
      <c r="AA29" s="247"/>
      <c r="AB29" s="247"/>
      <c r="AC29" s="247"/>
      <c r="AD29" s="247"/>
      <c r="AE29" s="263"/>
      <c r="AF29" s="540" t="s">
        <v>604</v>
      </c>
      <c r="AG29" s="541"/>
      <c r="AH29" s="541"/>
      <c r="AI29" s="541"/>
      <c r="AJ29" s="541"/>
      <c r="AK29" s="541"/>
      <c r="AL29" s="541"/>
      <c r="AM29" s="541"/>
      <c r="AN29" s="541"/>
      <c r="AO29" s="541"/>
      <c r="AP29" s="542"/>
      <c r="AQ29" s="266"/>
      <c r="AR29" s="267"/>
      <c r="AS29" s="267"/>
      <c r="AT29" s="267"/>
      <c r="AU29" s="267"/>
      <c r="AV29" s="267"/>
      <c r="AW29" s="267"/>
      <c r="AX29" s="267"/>
      <c r="AY29" s="267"/>
      <c r="AZ29" s="267"/>
      <c r="BA29" s="267"/>
      <c r="BB29" s="267"/>
      <c r="BC29" s="267"/>
      <c r="BD29" s="267"/>
      <c r="BE29" s="267"/>
      <c r="BF29" s="267"/>
      <c r="BG29" s="267"/>
      <c r="BH29" s="267"/>
      <c r="BI29" s="267"/>
      <c r="BJ29" s="267"/>
      <c r="BK29" s="268"/>
    </row>
    <row r="30" spans="1:64" ht="15.75" customHeight="1">
      <c r="A30" s="1269">
        <v>22</v>
      </c>
      <c r="B30" s="1270"/>
      <c r="C30" s="262" t="s">
        <v>723</v>
      </c>
      <c r="D30" s="264" t="s">
        <v>558</v>
      </c>
      <c r="E30" s="247"/>
      <c r="F30" s="247"/>
      <c r="G30" s="247"/>
      <c r="H30" s="247"/>
      <c r="I30" s="247"/>
      <c r="J30" s="263"/>
      <c r="K30" s="461" t="s">
        <v>740</v>
      </c>
      <c r="L30" s="247"/>
      <c r="M30" s="247"/>
      <c r="N30" s="247"/>
      <c r="O30" s="247"/>
      <c r="P30" s="247"/>
      <c r="Q30" s="247"/>
      <c r="R30" s="247"/>
      <c r="S30" s="247"/>
      <c r="T30" s="247"/>
      <c r="U30" s="263"/>
      <c r="V30" s="265" t="s">
        <v>475</v>
      </c>
      <c r="W30" s="264" t="s">
        <v>724</v>
      </c>
      <c r="X30" s="247"/>
      <c r="Y30" s="247"/>
      <c r="Z30" s="247"/>
      <c r="AA30" s="247"/>
      <c r="AB30" s="247"/>
      <c r="AC30" s="247"/>
      <c r="AD30" s="247"/>
      <c r="AE30" s="263"/>
      <c r="AF30" s="461" t="s">
        <v>969</v>
      </c>
      <c r="AG30" s="247"/>
      <c r="AH30" s="247"/>
      <c r="AI30" s="247"/>
      <c r="AJ30" s="247"/>
      <c r="AK30" s="247"/>
      <c r="AL30" s="247"/>
      <c r="AM30" s="247"/>
      <c r="AN30" s="247"/>
      <c r="AO30" s="247"/>
      <c r="AP30" s="263"/>
      <c r="AQ30" s="266"/>
      <c r="AR30" s="267"/>
      <c r="AS30" s="267"/>
      <c r="AT30" s="267"/>
      <c r="AU30" s="267"/>
      <c r="AV30" s="267"/>
      <c r="AW30" s="267"/>
      <c r="AX30" s="267"/>
      <c r="AY30" s="267"/>
      <c r="AZ30" s="267"/>
      <c r="BA30" s="267"/>
      <c r="BB30" s="267"/>
      <c r="BC30" s="267"/>
      <c r="BD30" s="267"/>
      <c r="BE30" s="267"/>
      <c r="BF30" s="267"/>
      <c r="BG30" s="267"/>
      <c r="BH30" s="267"/>
      <c r="BI30" s="267"/>
      <c r="BJ30" s="267"/>
      <c r="BK30" s="268"/>
    </row>
    <row r="31" spans="1:64" ht="15.75" customHeight="1">
      <c r="A31" s="1269">
        <v>23</v>
      </c>
      <c r="B31" s="1270"/>
      <c r="C31" s="262" t="s">
        <v>723</v>
      </c>
      <c r="D31" s="264" t="s">
        <v>558</v>
      </c>
      <c r="E31" s="247"/>
      <c r="F31" s="247"/>
      <c r="G31" s="247"/>
      <c r="H31" s="247"/>
      <c r="I31" s="247"/>
      <c r="J31" s="263"/>
      <c r="K31" s="461" t="s">
        <v>302</v>
      </c>
      <c r="L31" s="247"/>
      <c r="M31" s="247"/>
      <c r="N31" s="247"/>
      <c r="O31" s="247"/>
      <c r="P31" s="247"/>
      <c r="Q31" s="247"/>
      <c r="R31" s="247"/>
      <c r="S31" s="247"/>
      <c r="T31" s="247"/>
      <c r="U31" s="263"/>
      <c r="V31" s="265" t="s">
        <v>475</v>
      </c>
      <c r="W31" s="264" t="s">
        <v>724</v>
      </c>
      <c r="X31" s="247"/>
      <c r="Y31" s="247"/>
      <c r="Z31" s="247"/>
      <c r="AA31" s="247"/>
      <c r="AB31" s="247"/>
      <c r="AC31" s="247"/>
      <c r="AD31" s="247"/>
      <c r="AE31" s="263"/>
      <c r="AF31" s="461" t="s">
        <v>302</v>
      </c>
      <c r="AG31" s="247"/>
      <c r="AH31" s="247"/>
      <c r="AI31" s="247"/>
      <c r="AJ31" s="247"/>
      <c r="AK31" s="247"/>
      <c r="AL31" s="247"/>
      <c r="AM31" s="247"/>
      <c r="AN31" s="247"/>
      <c r="AO31" s="247"/>
      <c r="AP31" s="263"/>
      <c r="AQ31" s="266"/>
      <c r="AR31" s="267"/>
      <c r="AS31" s="267"/>
      <c r="AT31" s="267"/>
      <c r="AU31" s="267"/>
      <c r="AV31" s="267"/>
      <c r="AW31" s="267"/>
      <c r="AX31" s="267"/>
      <c r="AY31" s="267"/>
      <c r="AZ31" s="267"/>
      <c r="BA31" s="267"/>
      <c r="BB31" s="267"/>
      <c r="BC31" s="267"/>
      <c r="BD31" s="267"/>
      <c r="BE31" s="267"/>
      <c r="BF31" s="267"/>
      <c r="BG31" s="267"/>
      <c r="BH31" s="267"/>
      <c r="BI31" s="267"/>
      <c r="BJ31" s="267"/>
      <c r="BK31" s="268"/>
    </row>
    <row r="32" spans="1:64" ht="15.75" customHeight="1">
      <c r="A32" s="1269">
        <v>24</v>
      </c>
      <c r="B32" s="1270"/>
      <c r="C32" s="262" t="s">
        <v>723</v>
      </c>
      <c r="D32" s="264" t="s">
        <v>558</v>
      </c>
      <c r="E32" s="247"/>
      <c r="F32" s="247"/>
      <c r="G32" s="247"/>
      <c r="H32" s="247"/>
      <c r="I32" s="247"/>
      <c r="J32" s="263"/>
      <c r="K32" s="461" t="s">
        <v>611</v>
      </c>
      <c r="L32" s="247"/>
      <c r="M32" s="247"/>
      <c r="N32" s="247"/>
      <c r="O32" s="247"/>
      <c r="P32" s="247"/>
      <c r="Q32" s="247"/>
      <c r="R32" s="247"/>
      <c r="S32" s="247"/>
      <c r="T32" s="247"/>
      <c r="U32" s="263"/>
      <c r="V32" s="265" t="s">
        <v>475</v>
      </c>
      <c r="W32" s="264" t="s">
        <v>724</v>
      </c>
      <c r="X32" s="247"/>
      <c r="Y32" s="247"/>
      <c r="Z32" s="247"/>
      <c r="AA32" s="247"/>
      <c r="AB32" s="247"/>
      <c r="AC32" s="247"/>
      <c r="AD32" s="247"/>
      <c r="AE32" s="263"/>
      <c r="AF32" s="461" t="s">
        <v>611</v>
      </c>
      <c r="AG32" s="247"/>
      <c r="AH32" s="247"/>
      <c r="AI32" s="247"/>
      <c r="AJ32" s="247"/>
      <c r="AK32" s="247"/>
      <c r="AL32" s="247"/>
      <c r="AM32" s="247"/>
      <c r="AN32" s="247"/>
      <c r="AO32" s="247"/>
      <c r="AP32" s="263"/>
      <c r="AQ32" s="266"/>
      <c r="AR32" s="267"/>
      <c r="AS32" s="267"/>
      <c r="AT32" s="267"/>
      <c r="AU32" s="267"/>
      <c r="AV32" s="267"/>
      <c r="AW32" s="267"/>
      <c r="AX32" s="267"/>
      <c r="AY32" s="267"/>
      <c r="AZ32" s="267"/>
      <c r="BA32" s="267"/>
      <c r="BB32" s="267"/>
      <c r="BC32" s="267"/>
      <c r="BD32" s="267"/>
      <c r="BE32" s="267"/>
      <c r="BF32" s="267"/>
      <c r="BG32" s="267"/>
      <c r="BH32" s="267"/>
      <c r="BI32" s="267"/>
      <c r="BJ32" s="267"/>
      <c r="BK32" s="268"/>
    </row>
    <row r="33" spans="1:90" ht="15.75" customHeight="1">
      <c r="A33" s="1269">
        <v>25</v>
      </c>
      <c r="B33" s="1270"/>
      <c r="C33" s="262" t="s">
        <v>723</v>
      </c>
      <c r="D33" s="264" t="s">
        <v>558</v>
      </c>
      <c r="E33" s="247"/>
      <c r="F33" s="247"/>
      <c r="G33" s="247"/>
      <c r="H33" s="247"/>
      <c r="I33" s="247"/>
      <c r="J33" s="263"/>
      <c r="K33" s="461" t="s">
        <v>318</v>
      </c>
      <c r="L33" s="247"/>
      <c r="M33" s="247"/>
      <c r="N33" s="247"/>
      <c r="O33" s="247"/>
      <c r="P33" s="247"/>
      <c r="Q33" s="247"/>
      <c r="R33" s="247"/>
      <c r="S33" s="247"/>
      <c r="T33" s="247"/>
      <c r="U33" s="263"/>
      <c r="V33" s="265" t="s">
        <v>475</v>
      </c>
      <c r="W33" s="264" t="s">
        <v>724</v>
      </c>
      <c r="X33" s="247"/>
      <c r="Y33" s="247"/>
      <c r="Z33" s="247"/>
      <c r="AA33" s="247"/>
      <c r="AB33" s="247"/>
      <c r="AC33" s="247"/>
      <c r="AD33" s="247"/>
      <c r="AE33" s="263"/>
      <c r="AF33" s="461" t="s">
        <v>318</v>
      </c>
      <c r="AG33" s="247"/>
      <c r="AH33" s="247"/>
      <c r="AI33" s="247"/>
      <c r="AJ33" s="247"/>
      <c r="AK33" s="247"/>
      <c r="AL33" s="247"/>
      <c r="AM33" s="247"/>
      <c r="AN33" s="247"/>
      <c r="AO33" s="247"/>
      <c r="AP33" s="263"/>
      <c r="AQ33" s="266"/>
      <c r="AR33" s="267"/>
      <c r="AS33" s="267"/>
      <c r="AT33" s="267"/>
      <c r="AU33" s="267"/>
      <c r="AV33" s="267"/>
      <c r="AW33" s="267"/>
      <c r="AX33" s="267"/>
      <c r="AY33" s="267"/>
      <c r="AZ33" s="267"/>
      <c r="BA33" s="267"/>
      <c r="BB33" s="267"/>
      <c r="BC33" s="267"/>
      <c r="BD33" s="267"/>
      <c r="BE33" s="267"/>
      <c r="BF33" s="267"/>
      <c r="BG33" s="267"/>
      <c r="BH33" s="267"/>
      <c r="BI33" s="267"/>
      <c r="BJ33" s="267"/>
      <c r="BK33" s="268"/>
    </row>
    <row r="34" spans="1:90" ht="15.75" customHeight="1">
      <c r="A34" s="1269">
        <v>26</v>
      </c>
      <c r="B34" s="1270"/>
      <c r="C34" s="262" t="s">
        <v>723</v>
      </c>
      <c r="D34" s="264" t="s">
        <v>558</v>
      </c>
      <c r="E34" s="247"/>
      <c r="F34" s="247"/>
      <c r="G34" s="247"/>
      <c r="H34" s="247"/>
      <c r="I34" s="247"/>
      <c r="J34" s="263"/>
      <c r="K34" s="461" t="s">
        <v>741</v>
      </c>
      <c r="L34" s="247"/>
      <c r="M34" s="247"/>
      <c r="N34" s="247"/>
      <c r="O34" s="247"/>
      <c r="P34" s="247"/>
      <c r="Q34" s="247"/>
      <c r="R34" s="247"/>
      <c r="S34" s="247"/>
      <c r="T34" s="247"/>
      <c r="U34" s="263"/>
      <c r="V34" s="265" t="s">
        <v>475</v>
      </c>
      <c r="W34" s="264" t="s">
        <v>724</v>
      </c>
      <c r="X34" s="247"/>
      <c r="Y34" s="247"/>
      <c r="Z34" s="247"/>
      <c r="AA34" s="247"/>
      <c r="AB34" s="247"/>
      <c r="AC34" s="247"/>
      <c r="AD34" s="247"/>
      <c r="AE34" s="263"/>
      <c r="AF34" s="461" t="s">
        <v>741</v>
      </c>
      <c r="AG34" s="247"/>
      <c r="AH34" s="247"/>
      <c r="AI34" s="247"/>
      <c r="AJ34" s="247"/>
      <c r="AK34" s="247"/>
      <c r="AL34" s="247"/>
      <c r="AM34" s="247"/>
      <c r="AN34" s="247"/>
      <c r="AO34" s="247"/>
      <c r="AP34" s="263"/>
      <c r="AQ34" s="266"/>
      <c r="AR34" s="267"/>
      <c r="AS34" s="267"/>
      <c r="AT34" s="267"/>
      <c r="AU34" s="267"/>
      <c r="AV34" s="267"/>
      <c r="AW34" s="267"/>
      <c r="AX34" s="267"/>
      <c r="AY34" s="267"/>
      <c r="AZ34" s="267"/>
      <c r="BA34" s="267"/>
      <c r="BB34" s="267"/>
      <c r="BC34" s="267"/>
      <c r="BD34" s="267"/>
      <c r="BE34" s="267"/>
      <c r="BF34" s="267"/>
      <c r="BG34" s="267"/>
      <c r="BH34" s="267"/>
      <c r="BI34" s="267"/>
      <c r="BJ34" s="267"/>
      <c r="BK34" s="268"/>
    </row>
    <row r="35" spans="1:90" ht="15.75" customHeight="1">
      <c r="A35" s="1269">
        <v>27</v>
      </c>
      <c r="B35" s="1270"/>
      <c r="C35" s="262" t="s">
        <v>723</v>
      </c>
      <c r="D35" s="264" t="s">
        <v>558</v>
      </c>
      <c r="E35" s="247"/>
      <c r="F35" s="247"/>
      <c r="G35" s="247"/>
      <c r="H35" s="247"/>
      <c r="I35" s="247"/>
      <c r="J35" s="263"/>
      <c r="K35" s="461" t="s">
        <v>305</v>
      </c>
      <c r="L35" s="247"/>
      <c r="M35" s="247"/>
      <c r="N35" s="247"/>
      <c r="O35" s="247"/>
      <c r="P35" s="247"/>
      <c r="Q35" s="247"/>
      <c r="R35" s="247"/>
      <c r="S35" s="247"/>
      <c r="T35" s="247"/>
      <c r="U35" s="263"/>
      <c r="V35" s="265" t="s">
        <v>475</v>
      </c>
      <c r="W35" s="264" t="s">
        <v>724</v>
      </c>
      <c r="X35" s="247"/>
      <c r="Y35" s="247"/>
      <c r="Z35" s="247"/>
      <c r="AA35" s="247"/>
      <c r="AB35" s="247"/>
      <c r="AC35" s="247"/>
      <c r="AD35" s="247"/>
      <c r="AE35" s="263"/>
      <c r="AF35" s="461" t="s">
        <v>970</v>
      </c>
      <c r="AG35" s="247"/>
      <c r="AH35" s="247"/>
      <c r="AI35" s="247"/>
      <c r="AJ35" s="247"/>
      <c r="AK35" s="247"/>
      <c r="AL35" s="247"/>
      <c r="AM35" s="247"/>
      <c r="AN35" s="247"/>
      <c r="AO35" s="247"/>
      <c r="AP35" s="263"/>
      <c r="AQ35" s="266"/>
      <c r="AR35" s="267"/>
      <c r="AS35" s="267"/>
      <c r="AT35" s="267"/>
      <c r="AU35" s="267"/>
      <c r="AV35" s="267"/>
      <c r="AW35" s="267"/>
      <c r="AX35" s="267"/>
      <c r="AY35" s="267"/>
      <c r="AZ35" s="267"/>
      <c r="BA35" s="267"/>
      <c r="BB35" s="267"/>
      <c r="BC35" s="267"/>
      <c r="BD35" s="267"/>
      <c r="BE35" s="267"/>
      <c r="BF35" s="267"/>
      <c r="BG35" s="267"/>
      <c r="BH35" s="267"/>
      <c r="BI35" s="267"/>
      <c r="BJ35" s="267"/>
      <c r="BK35" s="268"/>
      <c r="BL35" s="472"/>
      <c r="BM35" s="473"/>
      <c r="BN35" s="473"/>
      <c r="BO35" s="473"/>
      <c r="BP35" s="473"/>
      <c r="BQ35" s="473"/>
      <c r="BR35" s="473"/>
      <c r="BS35" s="473"/>
      <c r="BT35" s="473"/>
      <c r="BU35" s="473"/>
      <c r="BV35" s="473"/>
      <c r="BW35" s="473"/>
      <c r="BX35" s="473"/>
      <c r="BY35" s="473"/>
      <c r="BZ35" s="473"/>
      <c r="CA35" s="473"/>
      <c r="CB35" s="473"/>
      <c r="CC35" s="473"/>
      <c r="CD35" s="473"/>
      <c r="CE35" s="473"/>
      <c r="CF35" s="473"/>
      <c r="CG35" s="473"/>
      <c r="CH35" s="473"/>
      <c r="CI35" s="473"/>
      <c r="CJ35" s="473"/>
      <c r="CK35" s="473"/>
      <c r="CL35" s="473"/>
    </row>
    <row r="36" spans="1:90" ht="15.75" customHeight="1">
      <c r="A36" s="1269">
        <v>28</v>
      </c>
      <c r="B36" s="1270"/>
      <c r="C36" s="262" t="s">
        <v>723</v>
      </c>
      <c r="D36" s="264" t="s">
        <v>558</v>
      </c>
      <c r="E36" s="247"/>
      <c r="F36" s="247"/>
      <c r="G36" s="247"/>
      <c r="H36" s="247"/>
      <c r="I36" s="247"/>
      <c r="J36" s="263"/>
      <c r="K36" s="461" t="s">
        <v>823</v>
      </c>
      <c r="L36" s="247"/>
      <c r="M36" s="247"/>
      <c r="N36" s="247"/>
      <c r="O36" s="247"/>
      <c r="P36" s="247"/>
      <c r="Q36" s="247"/>
      <c r="R36" s="247"/>
      <c r="S36" s="247"/>
      <c r="T36" s="247"/>
      <c r="U36" s="263"/>
      <c r="V36" s="265" t="s">
        <v>475</v>
      </c>
      <c r="W36" s="264" t="s">
        <v>724</v>
      </c>
      <c r="X36" s="247"/>
      <c r="Y36" s="247"/>
      <c r="Z36" s="247"/>
      <c r="AA36" s="247"/>
      <c r="AB36" s="247"/>
      <c r="AC36" s="247"/>
      <c r="AD36" s="247"/>
      <c r="AE36" s="263"/>
      <c r="AF36" s="461" t="s">
        <v>824</v>
      </c>
      <c r="AG36" s="247"/>
      <c r="AH36" s="247"/>
      <c r="AI36" s="247"/>
      <c r="AJ36" s="247"/>
      <c r="AK36" s="247"/>
      <c r="AL36" s="247"/>
      <c r="AM36" s="247"/>
      <c r="AN36" s="247"/>
      <c r="AO36" s="247"/>
      <c r="AP36" s="263"/>
      <c r="AQ36" s="266"/>
      <c r="AR36" s="267"/>
      <c r="AS36" s="267"/>
      <c r="AT36" s="267"/>
      <c r="AU36" s="267"/>
      <c r="AV36" s="267"/>
      <c r="AW36" s="267"/>
      <c r="AX36" s="267"/>
      <c r="AY36" s="267"/>
      <c r="AZ36" s="267"/>
      <c r="BA36" s="267"/>
      <c r="BB36" s="267"/>
      <c r="BC36" s="267"/>
      <c r="BD36" s="267"/>
      <c r="BE36" s="267"/>
      <c r="BF36" s="267"/>
      <c r="BG36" s="267"/>
      <c r="BH36" s="267"/>
      <c r="BI36" s="267"/>
      <c r="BJ36" s="267"/>
      <c r="BK36" s="268"/>
      <c r="BL36" s="472"/>
      <c r="BM36" s="473"/>
      <c r="BN36" s="473"/>
      <c r="BO36" s="473"/>
      <c r="BP36" s="473"/>
      <c r="BQ36" s="473"/>
      <c r="BR36" s="473"/>
      <c r="BS36" s="473"/>
      <c r="BT36" s="473"/>
      <c r="BU36" s="473"/>
      <c r="BV36" s="473"/>
      <c r="BW36" s="473"/>
      <c r="BX36" s="473"/>
      <c r="BY36" s="473"/>
      <c r="BZ36" s="473"/>
      <c r="CA36" s="473"/>
      <c r="CB36" s="473"/>
      <c r="CC36" s="473"/>
      <c r="CD36" s="473"/>
      <c r="CE36" s="473"/>
      <c r="CF36" s="473"/>
      <c r="CG36" s="473"/>
      <c r="CH36" s="473"/>
      <c r="CI36" s="473"/>
      <c r="CJ36" s="473"/>
      <c r="CK36" s="473"/>
      <c r="CL36" s="473"/>
    </row>
    <row r="37" spans="1:90" ht="15.75" customHeight="1">
      <c r="A37" s="1269">
        <v>29</v>
      </c>
      <c r="B37" s="1270"/>
      <c r="C37" s="262" t="s">
        <v>723</v>
      </c>
      <c r="D37" s="264" t="s">
        <v>558</v>
      </c>
      <c r="E37" s="247"/>
      <c r="F37" s="247"/>
      <c r="G37" s="247"/>
      <c r="H37" s="247"/>
      <c r="I37" s="247"/>
      <c r="J37" s="263"/>
      <c r="K37" s="461" t="s">
        <v>306</v>
      </c>
      <c r="L37" s="247"/>
      <c r="M37" s="247"/>
      <c r="N37" s="247"/>
      <c r="O37" s="247"/>
      <c r="P37" s="247"/>
      <c r="Q37" s="247"/>
      <c r="R37" s="247"/>
      <c r="S37" s="247"/>
      <c r="T37" s="247"/>
      <c r="U37" s="263"/>
      <c r="V37" s="265" t="s">
        <v>475</v>
      </c>
      <c r="W37" s="264" t="s">
        <v>724</v>
      </c>
      <c r="X37" s="247"/>
      <c r="Y37" s="247"/>
      <c r="Z37" s="247"/>
      <c r="AA37" s="247"/>
      <c r="AB37" s="247"/>
      <c r="AC37" s="247"/>
      <c r="AD37" s="247"/>
      <c r="AE37" s="263"/>
      <c r="AF37" s="461" t="s">
        <v>306</v>
      </c>
      <c r="AG37" s="247"/>
      <c r="AH37" s="247"/>
      <c r="AI37" s="247"/>
      <c r="AJ37" s="247"/>
      <c r="AK37" s="247"/>
      <c r="AL37" s="247"/>
      <c r="AM37" s="247"/>
      <c r="AN37" s="247"/>
      <c r="AO37" s="247"/>
      <c r="AP37" s="263"/>
      <c r="AQ37" s="266"/>
      <c r="AR37" s="267"/>
      <c r="AS37" s="267"/>
      <c r="AT37" s="267"/>
      <c r="AU37" s="267"/>
      <c r="AV37" s="267"/>
      <c r="AW37" s="267"/>
      <c r="AX37" s="267"/>
      <c r="AY37" s="267"/>
      <c r="AZ37" s="267"/>
      <c r="BA37" s="267"/>
      <c r="BB37" s="267"/>
      <c r="BC37" s="267"/>
      <c r="BD37" s="267"/>
      <c r="BE37" s="267"/>
      <c r="BF37" s="267"/>
      <c r="BG37" s="267"/>
      <c r="BH37" s="267"/>
      <c r="BI37" s="267"/>
      <c r="BJ37" s="267"/>
      <c r="BK37" s="268"/>
      <c r="BL37" s="472"/>
      <c r="BM37" s="473"/>
      <c r="BN37" s="473"/>
      <c r="BO37" s="473"/>
      <c r="BP37" s="473"/>
      <c r="BQ37" s="473"/>
      <c r="BR37" s="473"/>
      <c r="BS37" s="473"/>
      <c r="BT37" s="473"/>
      <c r="BU37" s="473"/>
      <c r="BV37" s="473"/>
      <c r="BW37" s="473"/>
      <c r="BX37" s="473"/>
      <c r="BY37" s="473"/>
      <c r="BZ37" s="473"/>
      <c r="CA37" s="473"/>
      <c r="CB37" s="473"/>
      <c r="CC37" s="473"/>
      <c r="CD37" s="473"/>
      <c r="CE37" s="473"/>
      <c r="CF37" s="473"/>
      <c r="CG37" s="473"/>
      <c r="CH37" s="473"/>
      <c r="CI37" s="473"/>
      <c r="CJ37" s="473"/>
      <c r="CK37" s="473"/>
      <c r="CL37" s="473"/>
    </row>
    <row r="38" spans="1:90" ht="15.75" customHeight="1">
      <c r="A38" s="1269">
        <v>30</v>
      </c>
      <c r="B38" s="1270"/>
      <c r="C38" s="262" t="s">
        <v>723</v>
      </c>
      <c r="D38" s="264" t="s">
        <v>558</v>
      </c>
      <c r="E38" s="247"/>
      <c r="F38" s="247"/>
      <c r="G38" s="247"/>
      <c r="H38" s="247"/>
      <c r="I38" s="247"/>
      <c r="J38" s="263"/>
      <c r="K38" s="461" t="s">
        <v>319</v>
      </c>
      <c r="L38" s="247"/>
      <c r="M38" s="247"/>
      <c r="N38" s="247"/>
      <c r="O38" s="247"/>
      <c r="P38" s="247"/>
      <c r="Q38" s="247"/>
      <c r="R38" s="247"/>
      <c r="S38" s="247"/>
      <c r="T38" s="247"/>
      <c r="U38" s="263"/>
      <c r="V38" s="265" t="s">
        <v>475</v>
      </c>
      <c r="W38" s="264" t="s">
        <v>724</v>
      </c>
      <c r="X38" s="247"/>
      <c r="Y38" s="247"/>
      <c r="Z38" s="247"/>
      <c r="AA38" s="247"/>
      <c r="AB38" s="247"/>
      <c r="AC38" s="247"/>
      <c r="AD38" s="247"/>
      <c r="AE38" s="263"/>
      <c r="AF38" s="461" t="s">
        <v>319</v>
      </c>
      <c r="AG38" s="247"/>
      <c r="AH38" s="247"/>
      <c r="AI38" s="247"/>
      <c r="AJ38" s="247"/>
      <c r="AK38" s="247"/>
      <c r="AL38" s="247"/>
      <c r="AM38" s="247"/>
      <c r="AN38" s="247"/>
      <c r="AO38" s="247"/>
      <c r="AP38" s="263"/>
      <c r="AQ38" s="266"/>
      <c r="AR38" s="267"/>
      <c r="AS38" s="267"/>
      <c r="AT38" s="267"/>
      <c r="AU38" s="267"/>
      <c r="AV38" s="267"/>
      <c r="AW38" s="267"/>
      <c r="AX38" s="267"/>
      <c r="AY38" s="267"/>
      <c r="AZ38" s="267"/>
      <c r="BA38" s="267"/>
      <c r="BB38" s="267"/>
      <c r="BC38" s="267"/>
      <c r="BD38" s="267"/>
      <c r="BE38" s="267"/>
      <c r="BF38" s="267"/>
      <c r="BG38" s="267"/>
      <c r="BH38" s="267"/>
      <c r="BI38" s="267"/>
      <c r="BJ38" s="267"/>
      <c r="BK38" s="268"/>
      <c r="BL38" s="472"/>
      <c r="BM38" s="473"/>
      <c r="BN38" s="473"/>
      <c r="BO38" s="473"/>
      <c r="BP38" s="473"/>
      <c r="BQ38" s="473"/>
      <c r="BR38" s="473"/>
      <c r="BS38" s="473"/>
      <c r="BT38" s="473"/>
      <c r="BU38" s="473"/>
      <c r="BV38" s="473"/>
      <c r="BW38" s="473"/>
      <c r="BX38" s="473"/>
      <c r="BY38" s="473"/>
      <c r="BZ38" s="473"/>
      <c r="CA38" s="473"/>
      <c r="CB38" s="473"/>
      <c r="CC38" s="473"/>
      <c r="CD38" s="473"/>
      <c r="CE38" s="473"/>
      <c r="CF38" s="473"/>
      <c r="CG38" s="473"/>
      <c r="CH38" s="473"/>
      <c r="CI38" s="473"/>
      <c r="CJ38" s="473"/>
      <c r="CK38" s="473"/>
      <c r="CL38" s="473"/>
    </row>
    <row r="39" spans="1:90" ht="15.75" customHeight="1">
      <c r="A39" s="1269">
        <v>31</v>
      </c>
      <c r="B39" s="1270"/>
      <c r="C39" s="262" t="s">
        <v>723</v>
      </c>
      <c r="D39" s="264" t="s">
        <v>558</v>
      </c>
      <c r="E39" s="247"/>
      <c r="F39" s="247"/>
      <c r="G39" s="247"/>
      <c r="H39" s="247"/>
      <c r="I39" s="247"/>
      <c r="J39" s="263"/>
      <c r="K39" s="461" t="s">
        <v>618</v>
      </c>
      <c r="L39" s="247"/>
      <c r="M39" s="247"/>
      <c r="N39" s="247"/>
      <c r="O39" s="247"/>
      <c r="P39" s="247"/>
      <c r="Q39" s="247"/>
      <c r="R39" s="247"/>
      <c r="S39" s="247"/>
      <c r="T39" s="247"/>
      <c r="U39" s="263"/>
      <c r="V39" s="265" t="s">
        <v>475</v>
      </c>
      <c r="W39" s="264" t="s">
        <v>724</v>
      </c>
      <c r="X39" s="247"/>
      <c r="Y39" s="247"/>
      <c r="Z39" s="247"/>
      <c r="AA39" s="247"/>
      <c r="AB39" s="247"/>
      <c r="AC39" s="247"/>
      <c r="AD39" s="247"/>
      <c r="AE39" s="263"/>
      <c r="AF39" s="461" t="s">
        <v>618</v>
      </c>
      <c r="AG39" s="247"/>
      <c r="AH39" s="247"/>
      <c r="AI39" s="247"/>
      <c r="AJ39" s="247"/>
      <c r="AK39" s="247"/>
      <c r="AL39" s="247"/>
      <c r="AM39" s="247"/>
      <c r="AN39" s="247"/>
      <c r="AO39" s="247"/>
      <c r="AP39" s="263"/>
      <c r="AQ39" s="266"/>
      <c r="AR39" s="267"/>
      <c r="AS39" s="267"/>
      <c r="AT39" s="267"/>
      <c r="AU39" s="267"/>
      <c r="AV39" s="267"/>
      <c r="AW39" s="267"/>
      <c r="AX39" s="267"/>
      <c r="AY39" s="267"/>
      <c r="AZ39" s="267"/>
      <c r="BA39" s="267"/>
      <c r="BB39" s="267"/>
      <c r="BC39" s="267"/>
      <c r="BD39" s="267"/>
      <c r="BE39" s="267"/>
      <c r="BF39" s="267"/>
      <c r="BG39" s="267"/>
      <c r="BH39" s="267"/>
      <c r="BI39" s="267"/>
      <c r="BJ39" s="267"/>
      <c r="BK39" s="268"/>
      <c r="BL39" s="472"/>
      <c r="BM39" s="473"/>
      <c r="BN39" s="473"/>
      <c r="BO39" s="473"/>
      <c r="BP39" s="473"/>
      <c r="BQ39" s="473"/>
      <c r="BR39" s="473"/>
      <c r="BS39" s="473"/>
      <c r="BT39" s="473"/>
      <c r="BU39" s="473"/>
      <c r="BV39" s="473"/>
      <c r="BW39" s="473"/>
      <c r="BX39" s="473"/>
      <c r="BY39" s="473"/>
      <c r="BZ39" s="473"/>
      <c r="CA39" s="473"/>
      <c r="CB39" s="473"/>
      <c r="CC39" s="473"/>
      <c r="CD39" s="473"/>
      <c r="CE39" s="473"/>
      <c r="CF39" s="473"/>
      <c r="CG39" s="473"/>
      <c r="CH39" s="473"/>
      <c r="CI39" s="473"/>
      <c r="CJ39" s="473"/>
      <c r="CK39" s="473"/>
      <c r="CL39" s="473"/>
    </row>
    <row r="40" spans="1:90" ht="15.75" customHeight="1">
      <c r="A40" s="1269"/>
      <c r="B40" s="1270"/>
      <c r="C40" s="262"/>
      <c r="D40" s="264"/>
      <c r="E40" s="247"/>
      <c r="F40" s="247"/>
      <c r="G40" s="247"/>
      <c r="H40" s="247"/>
      <c r="I40" s="247"/>
      <c r="J40" s="263"/>
      <c r="K40" s="461"/>
      <c r="L40" s="247"/>
      <c r="M40" s="247"/>
      <c r="N40" s="247"/>
      <c r="O40" s="247"/>
      <c r="P40" s="247"/>
      <c r="Q40" s="247"/>
      <c r="R40" s="247"/>
      <c r="S40" s="247"/>
      <c r="T40" s="247"/>
      <c r="U40" s="263"/>
      <c r="V40" s="265"/>
      <c r="W40" s="264"/>
      <c r="X40" s="247"/>
      <c r="Y40" s="247"/>
      <c r="Z40" s="247"/>
      <c r="AA40" s="247"/>
      <c r="AB40" s="247"/>
      <c r="AC40" s="247"/>
      <c r="AD40" s="247"/>
      <c r="AE40" s="263"/>
      <c r="AF40" s="461"/>
      <c r="AG40" s="247"/>
      <c r="AH40" s="247"/>
      <c r="AI40" s="247"/>
      <c r="AJ40" s="247"/>
      <c r="AK40" s="247"/>
      <c r="AL40" s="247"/>
      <c r="AM40" s="247"/>
      <c r="AN40" s="247"/>
      <c r="AO40" s="247"/>
      <c r="AP40" s="263"/>
      <c r="AQ40" s="266"/>
      <c r="AR40" s="267"/>
      <c r="AS40" s="267"/>
      <c r="AT40" s="267"/>
      <c r="AU40" s="267"/>
      <c r="AV40" s="267"/>
      <c r="AW40" s="267"/>
      <c r="AX40" s="267"/>
      <c r="AY40" s="267"/>
      <c r="AZ40" s="267"/>
      <c r="BA40" s="267"/>
      <c r="BB40" s="267"/>
      <c r="BC40" s="267"/>
      <c r="BD40" s="267"/>
      <c r="BE40" s="267"/>
      <c r="BF40" s="267"/>
      <c r="BG40" s="267"/>
      <c r="BH40" s="267"/>
      <c r="BI40" s="267"/>
      <c r="BJ40" s="267"/>
      <c r="BK40" s="268"/>
      <c r="BL40" s="472"/>
      <c r="BM40" s="473"/>
      <c r="BN40" s="473"/>
      <c r="BO40" s="473"/>
      <c r="BP40" s="473"/>
      <c r="BQ40" s="473"/>
      <c r="BR40" s="473"/>
      <c r="BS40" s="473"/>
      <c r="BT40" s="473"/>
      <c r="BU40" s="473"/>
      <c r="BV40" s="473"/>
      <c r="BW40" s="473"/>
      <c r="BX40" s="473"/>
      <c r="BY40" s="473"/>
      <c r="BZ40" s="473"/>
      <c r="CA40" s="473"/>
      <c r="CB40" s="473"/>
      <c r="CC40" s="473"/>
      <c r="CD40" s="473"/>
      <c r="CE40" s="473"/>
      <c r="CF40" s="473"/>
      <c r="CG40" s="473"/>
      <c r="CH40" s="473"/>
      <c r="CI40" s="473"/>
      <c r="CJ40" s="473"/>
      <c r="CK40" s="473"/>
      <c r="CL40" s="473"/>
    </row>
    <row r="41" spans="1:90" ht="15.75" customHeight="1">
      <c r="A41" s="1271"/>
      <c r="B41" s="1272"/>
      <c r="C41" s="269"/>
      <c r="D41" s="90"/>
      <c r="E41" s="88"/>
      <c r="F41" s="88"/>
      <c r="G41" s="88"/>
      <c r="H41" s="88"/>
      <c r="I41" s="88"/>
      <c r="J41" s="89"/>
      <c r="K41" s="90"/>
      <c r="L41" s="88"/>
      <c r="M41" s="88"/>
      <c r="N41" s="88"/>
      <c r="O41" s="88"/>
      <c r="P41" s="88"/>
      <c r="Q41" s="88"/>
      <c r="R41" s="88"/>
      <c r="S41" s="88"/>
      <c r="T41" s="88"/>
      <c r="U41" s="89"/>
      <c r="V41" s="270"/>
      <c r="W41" s="90"/>
      <c r="X41" s="88"/>
      <c r="Y41" s="88"/>
      <c r="Z41" s="88"/>
      <c r="AA41" s="88"/>
      <c r="AB41" s="88"/>
      <c r="AC41" s="88"/>
      <c r="AD41" s="88"/>
      <c r="AE41" s="89"/>
      <c r="AF41" s="90"/>
      <c r="AG41" s="88"/>
      <c r="AH41" s="88"/>
      <c r="AI41" s="88"/>
      <c r="AJ41" s="88"/>
      <c r="AK41" s="88"/>
      <c r="AL41" s="88"/>
      <c r="AM41" s="88"/>
      <c r="AN41" s="88"/>
      <c r="AO41" s="88"/>
      <c r="AP41" s="89"/>
      <c r="AQ41" s="271"/>
      <c r="AR41" s="272"/>
      <c r="AS41" s="272"/>
      <c r="AT41" s="272"/>
      <c r="AU41" s="272"/>
      <c r="AV41" s="272"/>
      <c r="AW41" s="272"/>
      <c r="AX41" s="272"/>
      <c r="AY41" s="272"/>
      <c r="AZ41" s="272"/>
      <c r="BA41" s="272"/>
      <c r="BB41" s="272"/>
      <c r="BC41" s="272"/>
      <c r="BD41" s="272"/>
      <c r="BE41" s="272"/>
      <c r="BF41" s="272"/>
      <c r="BG41" s="272"/>
      <c r="BH41" s="272"/>
      <c r="BI41" s="272"/>
      <c r="BJ41" s="272"/>
      <c r="BK41" s="273"/>
    </row>
  </sheetData>
  <mergeCells count="54">
    <mergeCell ref="BF1:BK1"/>
    <mergeCell ref="BF2:BK3"/>
    <mergeCell ref="A1:J3"/>
    <mergeCell ref="K1:T1"/>
    <mergeCell ref="U1:Y1"/>
    <mergeCell ref="Z1:AD1"/>
    <mergeCell ref="K2:T2"/>
    <mergeCell ref="U2:Y2"/>
    <mergeCell ref="Z2:AD2"/>
    <mergeCell ref="K3:T3"/>
    <mergeCell ref="U3:Y3"/>
    <mergeCell ref="Z3:AD3"/>
    <mergeCell ref="AE3:AR3"/>
    <mergeCell ref="AS2:AY3"/>
    <mergeCell ref="AZ1:BE1"/>
    <mergeCell ref="AZ2:BE3"/>
    <mergeCell ref="AS1:AY1"/>
    <mergeCell ref="A19:B19"/>
    <mergeCell ref="A10:B10"/>
    <mergeCell ref="A11:B11"/>
    <mergeCell ref="A12:B12"/>
    <mergeCell ref="A18:B18"/>
    <mergeCell ref="A9:B9"/>
    <mergeCell ref="AE2:AI2"/>
    <mergeCell ref="AJ2:AR2"/>
    <mergeCell ref="AE1:AI1"/>
    <mergeCell ref="AJ1:AR1"/>
    <mergeCell ref="A13:B13"/>
    <mergeCell ref="A14:B14"/>
    <mergeCell ref="A15:B15"/>
    <mergeCell ref="A16:B16"/>
    <mergeCell ref="A17:B17"/>
    <mergeCell ref="A41:B41"/>
    <mergeCell ref="A21:B21"/>
    <mergeCell ref="A40:B40"/>
    <mergeCell ref="A30:B30"/>
    <mergeCell ref="A31:B31"/>
    <mergeCell ref="A32:B32"/>
    <mergeCell ref="A33:B33"/>
    <mergeCell ref="A34:B34"/>
    <mergeCell ref="A35:B35"/>
    <mergeCell ref="A39:B39"/>
    <mergeCell ref="A36:B36"/>
    <mergeCell ref="A37:B37"/>
    <mergeCell ref="A38:B38"/>
    <mergeCell ref="A20:B20"/>
    <mergeCell ref="A26:B26"/>
    <mergeCell ref="A27:B27"/>
    <mergeCell ref="A28:B28"/>
    <mergeCell ref="A29:B29"/>
    <mergeCell ref="A22:B22"/>
    <mergeCell ref="A23:B23"/>
    <mergeCell ref="A24:B24"/>
    <mergeCell ref="A25:B25"/>
  </mergeCells>
  <phoneticPr fontId="9"/>
  <dataValidations count="1">
    <dataValidation imeMode="off" allowBlank="1" showInputMessage="1" showErrorMessage="1" sqref="D9:J41 W9:AE11 W13:AE41 W12:Z12 AB12:AE12"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4" customFormat="1" ht="15.75" customHeight="1" thickBot="1">
      <c r="A3" s="1220"/>
      <c r="B3" s="1221"/>
      <c r="C3" s="1221"/>
      <c r="D3" s="1221"/>
      <c r="E3" s="1221"/>
      <c r="F3" s="1221"/>
      <c r="G3" s="1221"/>
      <c r="H3" s="1221"/>
      <c r="I3" s="1221"/>
      <c r="J3" s="1222"/>
      <c r="K3" s="1200" t="str">
        <f ca="1">RIGHT(CELL("filename",$A$1),LEN(CELL("filename",$A$1))-FIND("]",CELL("filename",$A$1)))</f>
        <v>更新入出力仕様</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s="4" customFormat="1" ht="6.75" customHeight="1" thickBot="1">
      <c r="B4" s="5"/>
      <c r="C4" s="6"/>
      <c r="D4" s="6"/>
      <c r="E4" s="6"/>
      <c r="F4" s="7"/>
      <c r="G4" s="7"/>
      <c r="H4" s="7"/>
      <c r="I4" s="7"/>
      <c r="J4" s="6"/>
      <c r="K4" s="7"/>
      <c r="L4" s="7"/>
      <c r="M4" s="7"/>
      <c r="N4" s="7"/>
      <c r="O4" s="7"/>
      <c r="P4" s="7"/>
      <c r="Q4" s="8"/>
    </row>
    <row r="5" spans="1:63" ht="15.75" customHeight="1">
      <c r="A5" s="95" t="s">
        <v>646</v>
      </c>
      <c r="B5" s="96"/>
      <c r="C5" s="96"/>
      <c r="D5" s="96"/>
      <c r="E5" s="97"/>
      <c r="F5" s="98"/>
      <c r="G5" s="99">
        <v>1</v>
      </c>
      <c r="H5" s="100"/>
      <c r="I5" s="101"/>
      <c r="J5" s="101"/>
      <c r="K5" s="101"/>
      <c r="L5" s="101"/>
      <c r="M5" s="101"/>
      <c r="N5" s="101"/>
      <c r="O5" s="101"/>
      <c r="P5" s="101"/>
      <c r="Q5" s="101"/>
      <c r="R5" s="102"/>
      <c r="S5" s="103" t="s">
        <v>742</v>
      </c>
      <c r="T5" s="104"/>
      <c r="U5" s="104"/>
      <c r="V5" s="104"/>
      <c r="W5" s="104"/>
      <c r="X5" s="104"/>
      <c r="Y5" s="105"/>
      <c r="Z5" s="106"/>
      <c r="AA5" s="106"/>
      <c r="AB5" s="106"/>
      <c r="AC5" s="106"/>
      <c r="AD5" s="101"/>
      <c r="AE5" s="106"/>
      <c r="AF5" s="106"/>
      <c r="AG5" s="106"/>
      <c r="AH5" s="107" t="s">
        <v>712</v>
      </c>
      <c r="AI5" s="104"/>
      <c r="AJ5" s="105"/>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109" t="s">
        <v>714</v>
      </c>
      <c r="B6" s="110"/>
      <c r="C6" s="110"/>
      <c r="D6" s="111"/>
      <c r="E6" s="112" t="s">
        <v>743</v>
      </c>
      <c r="F6" s="113"/>
      <c r="G6" s="113"/>
      <c r="H6" s="255"/>
      <c r="I6" s="255"/>
      <c r="J6" s="255"/>
      <c r="K6" s="255"/>
      <c r="L6" s="256"/>
      <c r="M6" s="256"/>
      <c r="N6" s="256"/>
      <c r="O6" s="256"/>
      <c r="P6" s="256"/>
      <c r="Q6" s="256"/>
      <c r="R6" s="256"/>
      <c r="S6" s="256"/>
      <c r="T6" s="256"/>
      <c r="U6" s="256"/>
      <c r="V6" s="256"/>
      <c r="W6" s="256"/>
      <c r="X6" s="256"/>
      <c r="Y6" s="256"/>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4"/>
    </row>
    <row r="7" spans="1:63" ht="15.75" customHeight="1">
      <c r="A7" s="115" t="s">
        <v>646</v>
      </c>
      <c r="B7" s="116"/>
      <c r="C7" s="259" t="s">
        <v>717</v>
      </c>
      <c r="D7" s="260"/>
      <c r="E7" s="117"/>
      <c r="F7" s="117"/>
      <c r="G7" s="117"/>
      <c r="H7" s="117"/>
      <c r="I7" s="117"/>
      <c r="J7" s="117"/>
      <c r="K7" s="117"/>
      <c r="L7" s="117"/>
      <c r="M7" s="117"/>
      <c r="N7" s="117"/>
      <c r="O7" s="117"/>
      <c r="P7" s="117"/>
      <c r="Q7" s="117"/>
      <c r="R7" s="117"/>
      <c r="S7" s="117"/>
      <c r="T7" s="117"/>
      <c r="U7" s="117"/>
      <c r="V7" s="259" t="s">
        <v>718</v>
      </c>
      <c r="W7" s="260"/>
      <c r="X7" s="117"/>
      <c r="Y7" s="117"/>
      <c r="Z7" s="117"/>
      <c r="AA7" s="117"/>
      <c r="AB7" s="117"/>
      <c r="AC7" s="117"/>
      <c r="AD7" s="117"/>
      <c r="AE7" s="117"/>
      <c r="AF7" s="116"/>
      <c r="AG7" s="116"/>
      <c r="AH7" s="116"/>
      <c r="AI7" s="116"/>
      <c r="AJ7" s="116"/>
      <c r="AK7" s="116"/>
      <c r="AL7" s="116"/>
      <c r="AM7" s="116"/>
      <c r="AN7" s="116"/>
      <c r="AO7" s="116"/>
      <c r="AP7" s="116"/>
      <c r="AQ7" s="465" t="s">
        <v>644</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1"/>
      <c r="C8" s="120" t="s">
        <v>719</v>
      </c>
      <c r="D8" s="93" t="s">
        <v>720</v>
      </c>
      <c r="E8" s="94"/>
      <c r="F8" s="94"/>
      <c r="G8" s="94"/>
      <c r="H8" s="94"/>
      <c r="I8" s="94"/>
      <c r="J8" s="121"/>
      <c r="K8" s="93" t="s">
        <v>643</v>
      </c>
      <c r="L8" s="94"/>
      <c r="M8" s="94"/>
      <c r="N8" s="94"/>
      <c r="O8" s="94"/>
      <c r="P8" s="94"/>
      <c r="Q8" s="94"/>
      <c r="R8" s="94"/>
      <c r="S8" s="94"/>
      <c r="T8" s="94"/>
      <c r="U8" s="121"/>
      <c r="V8" s="120" t="s">
        <v>719</v>
      </c>
      <c r="W8" s="93" t="s">
        <v>720</v>
      </c>
      <c r="X8" s="94"/>
      <c r="Y8" s="94"/>
      <c r="Z8" s="94"/>
      <c r="AA8" s="94"/>
      <c r="AB8" s="94"/>
      <c r="AC8" s="94"/>
      <c r="AD8" s="94"/>
      <c r="AE8" s="121"/>
      <c r="AF8" s="93" t="s">
        <v>643</v>
      </c>
      <c r="AG8" s="94"/>
      <c r="AH8" s="94"/>
      <c r="AI8" s="94"/>
      <c r="AJ8" s="94"/>
      <c r="AK8" s="94"/>
      <c r="AL8" s="94"/>
      <c r="AM8" s="94"/>
      <c r="AN8" s="94"/>
      <c r="AO8" s="94"/>
      <c r="AP8" s="121"/>
      <c r="AQ8" s="122"/>
      <c r="AR8" s="261"/>
      <c r="AS8" s="261"/>
      <c r="AT8" s="261"/>
      <c r="AU8" s="261"/>
      <c r="AV8" s="261"/>
      <c r="AW8" s="261"/>
      <c r="AX8" s="261"/>
      <c r="AY8" s="261"/>
      <c r="AZ8" s="261"/>
      <c r="BA8" s="261"/>
      <c r="BB8" s="261"/>
      <c r="BC8" s="261"/>
      <c r="BD8" s="261"/>
      <c r="BE8" s="261"/>
      <c r="BF8" s="261"/>
      <c r="BG8" s="261"/>
      <c r="BH8" s="261"/>
      <c r="BI8" s="261"/>
      <c r="BJ8" s="261"/>
      <c r="BK8" s="123"/>
    </row>
    <row r="9" spans="1:63" ht="15.75" customHeight="1" thickTop="1">
      <c r="A9" s="1273"/>
      <c r="B9" s="1274"/>
      <c r="C9" s="129"/>
      <c r="D9" s="130"/>
      <c r="E9" s="131"/>
      <c r="F9" s="131"/>
      <c r="G9" s="131"/>
      <c r="H9" s="131"/>
      <c r="I9" s="131"/>
      <c r="J9" s="132"/>
      <c r="K9" s="130"/>
      <c r="L9" s="131"/>
      <c r="M9" s="131"/>
      <c r="N9" s="131"/>
      <c r="O9" s="131"/>
      <c r="P9" s="131"/>
      <c r="Q9" s="131"/>
      <c r="R9" s="131"/>
      <c r="S9" s="131"/>
      <c r="T9" s="131"/>
      <c r="U9" s="132"/>
      <c r="V9" s="133"/>
      <c r="W9" s="130"/>
      <c r="X9" s="131"/>
      <c r="Y9" s="131"/>
      <c r="Z9" s="131"/>
      <c r="AA9" s="131"/>
      <c r="AB9" s="131"/>
      <c r="AC9" s="131"/>
      <c r="AD9" s="131"/>
      <c r="AE9" s="132"/>
      <c r="AF9" s="130"/>
      <c r="AG9" s="131"/>
      <c r="AH9" s="131"/>
      <c r="AI9" s="131"/>
      <c r="AJ9" s="131"/>
      <c r="AK9" s="131"/>
      <c r="AL9" s="131"/>
      <c r="AM9" s="131"/>
      <c r="AN9" s="131"/>
      <c r="AO9" s="131"/>
      <c r="AP9" s="132"/>
      <c r="AQ9" s="1275"/>
      <c r="AR9" s="1276"/>
      <c r="AS9" s="1276"/>
      <c r="AT9" s="1276"/>
      <c r="AU9" s="1276"/>
      <c r="AV9" s="1276"/>
      <c r="AW9" s="1276"/>
      <c r="AX9" s="1276"/>
      <c r="AY9" s="1276"/>
      <c r="AZ9" s="1276"/>
      <c r="BA9" s="1276"/>
      <c r="BB9" s="1276"/>
      <c r="BC9" s="1276"/>
      <c r="BD9" s="1276"/>
      <c r="BE9" s="1276"/>
      <c r="BF9" s="1276"/>
      <c r="BG9" s="1276"/>
      <c r="BH9" s="1276"/>
      <c r="BI9" s="1276"/>
      <c r="BJ9" s="1276"/>
      <c r="BK9" s="1277"/>
    </row>
    <row r="10" spans="1:63" ht="15.75" customHeight="1">
      <c r="A10" s="1283"/>
      <c r="B10" s="1284"/>
      <c r="C10" s="438"/>
      <c r="D10" s="439"/>
      <c r="E10" s="440"/>
      <c r="F10" s="440"/>
      <c r="G10" s="440"/>
      <c r="H10" s="440"/>
      <c r="I10" s="440"/>
      <c r="J10" s="441"/>
      <c r="K10" s="439"/>
      <c r="L10" s="440"/>
      <c r="M10" s="440"/>
      <c r="N10" s="440"/>
      <c r="O10" s="440"/>
      <c r="P10" s="440"/>
      <c r="Q10" s="440"/>
      <c r="R10" s="440"/>
      <c r="S10" s="440"/>
      <c r="T10" s="440"/>
      <c r="U10" s="441"/>
      <c r="V10" s="442"/>
      <c r="W10" s="439"/>
      <c r="X10" s="440"/>
      <c r="Y10" s="440"/>
      <c r="Z10" s="440"/>
      <c r="AA10" s="440"/>
      <c r="AB10" s="440"/>
      <c r="AC10" s="440"/>
      <c r="AD10" s="440"/>
      <c r="AE10" s="441"/>
      <c r="AF10" s="439"/>
      <c r="AG10" s="440"/>
      <c r="AH10" s="440"/>
      <c r="AI10" s="440"/>
      <c r="AJ10" s="440"/>
      <c r="AK10" s="440"/>
      <c r="AL10" s="440"/>
      <c r="AM10" s="440"/>
      <c r="AN10" s="440"/>
      <c r="AO10" s="440"/>
      <c r="AP10" s="441"/>
      <c r="AQ10" s="1285"/>
      <c r="AR10" s="1286"/>
      <c r="AS10" s="1286"/>
      <c r="AT10" s="1286"/>
      <c r="AU10" s="1286"/>
      <c r="AV10" s="1286"/>
      <c r="AW10" s="1286"/>
      <c r="AX10" s="1286"/>
      <c r="AY10" s="1286"/>
      <c r="AZ10" s="1286"/>
      <c r="BA10" s="1286"/>
      <c r="BB10" s="1286"/>
      <c r="BC10" s="1286"/>
      <c r="BD10" s="1286"/>
      <c r="BE10" s="1286"/>
      <c r="BF10" s="1286"/>
      <c r="BG10" s="1286"/>
      <c r="BH10" s="1286"/>
      <c r="BI10" s="1286"/>
      <c r="BJ10" s="1286"/>
      <c r="BK10" s="1287"/>
    </row>
    <row r="11" spans="1:63" ht="15.75" customHeight="1">
      <c r="A11" s="1283"/>
      <c r="B11" s="1284"/>
      <c r="C11" s="438"/>
      <c r="D11" s="439"/>
      <c r="E11" s="440"/>
      <c r="F11" s="440"/>
      <c r="G11" s="440"/>
      <c r="H11" s="440"/>
      <c r="I11" s="440"/>
      <c r="J11" s="441"/>
      <c r="K11" s="439"/>
      <c r="L11" s="440"/>
      <c r="M11" s="440"/>
      <c r="N11" s="440"/>
      <c r="O11" s="440"/>
      <c r="P11" s="440"/>
      <c r="Q11" s="440"/>
      <c r="R11" s="440"/>
      <c r="S11" s="440"/>
      <c r="T11" s="440"/>
      <c r="U11" s="441"/>
      <c r="V11" s="442"/>
      <c r="W11" s="439"/>
      <c r="X11" s="440"/>
      <c r="Y11" s="440"/>
      <c r="Z11" s="440"/>
      <c r="AA11" s="440"/>
      <c r="AB11" s="440"/>
      <c r="AC11" s="440"/>
      <c r="AD11" s="440"/>
      <c r="AE11" s="441"/>
      <c r="AF11" s="439"/>
      <c r="AG11" s="440"/>
      <c r="AH11" s="440"/>
      <c r="AI11" s="440"/>
      <c r="AJ11" s="440"/>
      <c r="AK11" s="440"/>
      <c r="AL11" s="440"/>
      <c r="AM11" s="440"/>
      <c r="AN11" s="440"/>
      <c r="AO11" s="440"/>
      <c r="AP11" s="441"/>
      <c r="AQ11" s="1285"/>
      <c r="AR11" s="1286"/>
      <c r="AS11" s="1286"/>
      <c r="AT11" s="1286"/>
      <c r="AU11" s="1286"/>
      <c r="AV11" s="1286"/>
      <c r="AW11" s="1286"/>
      <c r="AX11" s="1286"/>
      <c r="AY11" s="1286"/>
      <c r="AZ11" s="1286"/>
      <c r="BA11" s="1286"/>
      <c r="BB11" s="1286"/>
      <c r="BC11" s="1286"/>
      <c r="BD11" s="1286"/>
      <c r="BE11" s="1286"/>
      <c r="BF11" s="1286"/>
      <c r="BG11" s="1286"/>
      <c r="BH11" s="1286"/>
      <c r="BI11" s="1286"/>
      <c r="BJ11" s="1286"/>
      <c r="BK11" s="1287"/>
    </row>
    <row r="12" spans="1:63" ht="15.75" customHeight="1">
      <c r="A12" s="1283"/>
      <c r="B12" s="1284"/>
      <c r="C12" s="438"/>
      <c r="D12" s="439"/>
      <c r="E12" s="440"/>
      <c r="F12" s="440"/>
      <c r="G12" s="440"/>
      <c r="H12" s="440"/>
      <c r="I12" s="440"/>
      <c r="J12" s="441"/>
      <c r="K12" s="439"/>
      <c r="L12" s="440"/>
      <c r="M12" s="440"/>
      <c r="N12" s="440"/>
      <c r="O12" s="440"/>
      <c r="P12" s="440"/>
      <c r="Q12" s="440"/>
      <c r="R12" s="440"/>
      <c r="S12" s="440"/>
      <c r="T12" s="440"/>
      <c r="U12" s="441"/>
      <c r="V12" s="442"/>
      <c r="W12" s="439"/>
      <c r="X12" s="440"/>
      <c r="Y12" s="440"/>
      <c r="Z12" s="440"/>
      <c r="AA12" s="440"/>
      <c r="AB12" s="440"/>
      <c r="AC12" s="440"/>
      <c r="AD12" s="440"/>
      <c r="AE12" s="441"/>
      <c r="AF12" s="439"/>
      <c r="AG12" s="440"/>
      <c r="AH12" s="440"/>
      <c r="AI12" s="440"/>
      <c r="AJ12" s="440"/>
      <c r="AK12" s="440"/>
      <c r="AL12" s="440"/>
      <c r="AM12" s="440"/>
      <c r="AN12" s="440"/>
      <c r="AO12" s="440"/>
      <c r="AP12" s="441"/>
      <c r="AQ12" s="1285"/>
      <c r="AR12" s="1286"/>
      <c r="AS12" s="1286"/>
      <c r="AT12" s="1286"/>
      <c r="AU12" s="1286"/>
      <c r="AV12" s="1286"/>
      <c r="AW12" s="1286"/>
      <c r="AX12" s="1286"/>
      <c r="AY12" s="1286"/>
      <c r="AZ12" s="1286"/>
      <c r="BA12" s="1286"/>
      <c r="BB12" s="1286"/>
      <c r="BC12" s="1286"/>
      <c r="BD12" s="1286"/>
      <c r="BE12" s="1286"/>
      <c r="BF12" s="1286"/>
      <c r="BG12" s="1286"/>
      <c r="BH12" s="1286"/>
      <c r="BI12" s="1286"/>
      <c r="BJ12" s="1286"/>
      <c r="BK12" s="1287"/>
    </row>
    <row r="13" spans="1:63" ht="15.75" customHeight="1">
      <c r="A13" s="1283"/>
      <c r="B13" s="1284"/>
      <c r="C13" s="438"/>
      <c r="D13" s="439"/>
      <c r="E13" s="440"/>
      <c r="F13" s="440"/>
      <c r="G13" s="440"/>
      <c r="H13" s="440"/>
      <c r="I13" s="440"/>
      <c r="J13" s="441"/>
      <c r="K13" s="439"/>
      <c r="L13" s="440"/>
      <c r="M13" s="440"/>
      <c r="N13" s="440"/>
      <c r="O13" s="440"/>
      <c r="P13" s="440"/>
      <c r="Q13" s="440"/>
      <c r="R13" s="440"/>
      <c r="S13" s="440"/>
      <c r="T13" s="440"/>
      <c r="U13" s="441"/>
      <c r="V13" s="442"/>
      <c r="W13" s="439"/>
      <c r="X13" s="440"/>
      <c r="Y13" s="440"/>
      <c r="Z13" s="440"/>
      <c r="AA13" s="440"/>
      <c r="AB13" s="440"/>
      <c r="AC13" s="440"/>
      <c r="AD13" s="440"/>
      <c r="AE13" s="441"/>
      <c r="AF13" s="439"/>
      <c r="AG13" s="440"/>
      <c r="AH13" s="440"/>
      <c r="AI13" s="440"/>
      <c r="AJ13" s="440"/>
      <c r="AK13" s="440"/>
      <c r="AL13" s="440"/>
      <c r="AM13" s="440"/>
      <c r="AN13" s="440"/>
      <c r="AO13" s="440"/>
      <c r="AP13" s="441"/>
      <c r="AQ13" s="1285"/>
      <c r="AR13" s="1286"/>
      <c r="AS13" s="1286"/>
      <c r="AT13" s="1286"/>
      <c r="AU13" s="1286"/>
      <c r="AV13" s="1286"/>
      <c r="AW13" s="1286"/>
      <c r="AX13" s="1286"/>
      <c r="AY13" s="1286"/>
      <c r="AZ13" s="1286"/>
      <c r="BA13" s="1286"/>
      <c r="BB13" s="1286"/>
      <c r="BC13" s="1286"/>
      <c r="BD13" s="1286"/>
      <c r="BE13" s="1286"/>
      <c r="BF13" s="1286"/>
      <c r="BG13" s="1286"/>
      <c r="BH13" s="1286"/>
      <c r="BI13" s="1286"/>
      <c r="BJ13" s="1286"/>
      <c r="BK13" s="1287"/>
    </row>
    <row r="14" spans="1:63" ht="15.75" customHeight="1">
      <c r="A14" s="1283"/>
      <c r="B14" s="1284"/>
      <c r="C14" s="438"/>
      <c r="D14" s="439"/>
      <c r="E14" s="440"/>
      <c r="F14" s="440"/>
      <c r="G14" s="440"/>
      <c r="H14" s="440"/>
      <c r="I14" s="440"/>
      <c r="J14" s="441"/>
      <c r="K14" s="439"/>
      <c r="L14" s="440"/>
      <c r="M14" s="440"/>
      <c r="N14" s="440"/>
      <c r="O14" s="440"/>
      <c r="P14" s="440"/>
      <c r="Q14" s="440"/>
      <c r="R14" s="440"/>
      <c r="S14" s="440"/>
      <c r="T14" s="440"/>
      <c r="U14" s="441"/>
      <c r="V14" s="442"/>
      <c r="W14" s="439"/>
      <c r="X14" s="440"/>
      <c r="Y14" s="440"/>
      <c r="Z14" s="440"/>
      <c r="AA14" s="440"/>
      <c r="AB14" s="440"/>
      <c r="AC14" s="440"/>
      <c r="AD14" s="440"/>
      <c r="AE14" s="441"/>
      <c r="AF14" s="439"/>
      <c r="AG14" s="440"/>
      <c r="AH14" s="440"/>
      <c r="AI14" s="440"/>
      <c r="AJ14" s="440"/>
      <c r="AK14" s="440"/>
      <c r="AL14" s="440"/>
      <c r="AM14" s="440"/>
      <c r="AN14" s="440"/>
      <c r="AO14" s="440"/>
      <c r="AP14" s="441"/>
      <c r="AQ14" s="1285"/>
      <c r="AR14" s="1286"/>
      <c r="AS14" s="1286"/>
      <c r="AT14" s="1286"/>
      <c r="AU14" s="1286"/>
      <c r="AV14" s="1286"/>
      <c r="AW14" s="1286"/>
      <c r="AX14" s="1286"/>
      <c r="AY14" s="1286"/>
      <c r="AZ14" s="1286"/>
      <c r="BA14" s="1286"/>
      <c r="BB14" s="1286"/>
      <c r="BC14" s="1286"/>
      <c r="BD14" s="1286"/>
      <c r="BE14" s="1286"/>
      <c r="BF14" s="1286"/>
      <c r="BG14" s="1286"/>
      <c r="BH14" s="1286"/>
      <c r="BI14" s="1286"/>
      <c r="BJ14" s="1286"/>
      <c r="BK14" s="1287"/>
    </row>
    <row r="15" spans="1:63" ht="15.75" customHeight="1">
      <c r="A15" s="1283"/>
      <c r="B15" s="1284"/>
      <c r="C15" s="438"/>
      <c r="D15" s="439"/>
      <c r="E15" s="440"/>
      <c r="F15" s="440"/>
      <c r="G15" s="440"/>
      <c r="H15" s="440"/>
      <c r="I15" s="440"/>
      <c r="J15" s="441"/>
      <c r="K15" s="439"/>
      <c r="L15" s="440"/>
      <c r="M15" s="440"/>
      <c r="N15" s="440"/>
      <c r="O15" s="440"/>
      <c r="P15" s="440"/>
      <c r="Q15" s="440"/>
      <c r="R15" s="440"/>
      <c r="S15" s="440"/>
      <c r="T15" s="440"/>
      <c r="U15" s="441"/>
      <c r="V15" s="442"/>
      <c r="W15" s="439"/>
      <c r="X15" s="440"/>
      <c r="Y15" s="440"/>
      <c r="Z15" s="440"/>
      <c r="AA15" s="440"/>
      <c r="AB15" s="440"/>
      <c r="AC15" s="440"/>
      <c r="AD15" s="440"/>
      <c r="AE15" s="441"/>
      <c r="AF15" s="439"/>
      <c r="AG15" s="440"/>
      <c r="AH15" s="440"/>
      <c r="AI15" s="440"/>
      <c r="AJ15" s="440"/>
      <c r="AK15" s="440"/>
      <c r="AL15" s="440"/>
      <c r="AM15" s="440"/>
      <c r="AN15" s="440"/>
      <c r="AO15" s="440"/>
      <c r="AP15" s="441"/>
      <c r="AQ15" s="1285"/>
      <c r="AR15" s="1286"/>
      <c r="AS15" s="1286"/>
      <c r="AT15" s="1286"/>
      <c r="AU15" s="1286"/>
      <c r="AV15" s="1286"/>
      <c r="AW15" s="1286"/>
      <c r="AX15" s="1286"/>
      <c r="AY15" s="1286"/>
      <c r="AZ15" s="1286"/>
      <c r="BA15" s="1286"/>
      <c r="BB15" s="1286"/>
      <c r="BC15" s="1286"/>
      <c r="BD15" s="1286"/>
      <c r="BE15" s="1286"/>
      <c r="BF15" s="1286"/>
      <c r="BG15" s="1286"/>
      <c r="BH15" s="1286"/>
      <c r="BI15" s="1286"/>
      <c r="BJ15" s="1286"/>
      <c r="BK15" s="1287"/>
    </row>
    <row r="16" spans="1:63" ht="15.75" customHeight="1" thickBot="1">
      <c r="A16" s="1278"/>
      <c r="B16" s="1279"/>
      <c r="C16" s="124"/>
      <c r="D16" s="125"/>
      <c r="E16" s="126"/>
      <c r="F16" s="126"/>
      <c r="G16" s="126"/>
      <c r="H16" s="126"/>
      <c r="I16" s="126"/>
      <c r="J16" s="127"/>
      <c r="K16" s="125"/>
      <c r="L16" s="126"/>
      <c r="M16" s="126"/>
      <c r="N16" s="126"/>
      <c r="O16" s="126"/>
      <c r="P16" s="126"/>
      <c r="Q16" s="126"/>
      <c r="R16" s="126"/>
      <c r="S16" s="126"/>
      <c r="T16" s="126"/>
      <c r="U16" s="127"/>
      <c r="V16" s="128"/>
      <c r="W16" s="125"/>
      <c r="X16" s="126"/>
      <c r="Y16" s="126"/>
      <c r="Z16" s="126"/>
      <c r="AA16" s="126"/>
      <c r="AB16" s="126"/>
      <c r="AC16" s="126"/>
      <c r="AD16" s="126"/>
      <c r="AE16" s="127"/>
      <c r="AF16" s="125"/>
      <c r="AG16" s="126"/>
      <c r="AH16" s="126"/>
      <c r="AI16" s="126"/>
      <c r="AJ16" s="126"/>
      <c r="AK16" s="126"/>
      <c r="AL16" s="126"/>
      <c r="AM16" s="126"/>
      <c r="AN16" s="126"/>
      <c r="AO16" s="126"/>
      <c r="AP16" s="127"/>
      <c r="AQ16" s="1280"/>
      <c r="AR16" s="1281"/>
      <c r="AS16" s="1281"/>
      <c r="AT16" s="1281"/>
      <c r="AU16" s="1281"/>
      <c r="AV16" s="1281"/>
      <c r="AW16" s="1281"/>
      <c r="AX16" s="1281"/>
      <c r="AY16" s="1281"/>
      <c r="AZ16" s="1281"/>
      <c r="BA16" s="1281"/>
      <c r="BB16" s="1281"/>
      <c r="BC16" s="1281"/>
      <c r="BD16" s="1281"/>
      <c r="BE16" s="1281"/>
      <c r="BF16" s="1281"/>
      <c r="BG16" s="1281"/>
      <c r="BH16" s="1281"/>
      <c r="BI16" s="1281"/>
      <c r="BJ16" s="1281"/>
      <c r="BK16" s="1282"/>
    </row>
  </sheetData>
  <mergeCells count="37">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9"/>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DQ40"/>
  <sheetViews>
    <sheetView showGridLines="0" showZeros="0" zoomScaleNormal="100" zoomScaleSheetLayoutView="85" workbookViewId="0">
      <pane ySplit="4" topLeftCell="A5" activePane="bottomLeft" state="frozen"/>
      <selection activeCell="C45" sqref="C45:H45"/>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4" customFormat="1" ht="15.75" customHeight="1" thickBot="1">
      <c r="A3" s="1220"/>
      <c r="B3" s="1221"/>
      <c r="C3" s="1221"/>
      <c r="D3" s="1221"/>
      <c r="E3" s="1221"/>
      <c r="F3" s="1221"/>
      <c r="G3" s="1221"/>
      <c r="H3" s="1221"/>
      <c r="I3" s="1221"/>
      <c r="J3" s="1222"/>
      <c r="K3" s="1200" t="str">
        <f ca="1">RIGHT(CELL("filename",$A$1),LEN(CELL("filename",$A$1))-FIND("]",CELL("filename",$A$1)))</f>
        <v>ファイル入出力仕様</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s="4" customFormat="1" ht="6.75" customHeight="1" thickBot="1">
      <c r="B4" s="5"/>
      <c r="C4" s="6"/>
      <c r="D4" s="6"/>
      <c r="E4" s="6"/>
      <c r="F4" s="7"/>
      <c r="G4" s="7"/>
      <c r="H4" s="7"/>
      <c r="I4" s="7"/>
      <c r="J4" s="6"/>
      <c r="K4" s="7"/>
      <c r="L4" s="7"/>
      <c r="M4" s="7"/>
      <c r="N4" s="7"/>
      <c r="O4" s="7"/>
      <c r="P4" s="7"/>
      <c r="Q4" s="8"/>
    </row>
    <row r="5" spans="1:63" ht="15.75" customHeight="1">
      <c r="A5" s="95" t="s">
        <v>349</v>
      </c>
      <c r="B5" s="96"/>
      <c r="C5" s="96"/>
      <c r="D5" s="96"/>
      <c r="E5" s="97"/>
      <c r="F5" s="98"/>
      <c r="G5" s="99">
        <v>1</v>
      </c>
      <c r="H5" s="100"/>
      <c r="I5" s="101"/>
      <c r="J5" s="101"/>
      <c r="K5" s="101"/>
      <c r="L5" s="101"/>
      <c r="M5" s="101"/>
      <c r="N5" s="101"/>
      <c r="O5" s="101"/>
      <c r="P5" s="101"/>
      <c r="Q5" s="101"/>
      <c r="R5" s="102"/>
      <c r="S5" s="103" t="s">
        <v>742</v>
      </c>
      <c r="T5" s="104"/>
      <c r="U5" s="104"/>
      <c r="V5" s="104"/>
      <c r="W5" s="104"/>
      <c r="X5" s="104"/>
      <c r="Y5" s="105"/>
      <c r="Z5" s="106" t="s">
        <v>744</v>
      </c>
      <c r="AA5" s="106"/>
      <c r="AB5" s="106"/>
      <c r="AC5" s="106"/>
      <c r="AD5" s="101"/>
      <c r="AE5" s="106"/>
      <c r="AF5" s="106"/>
      <c r="AG5" s="106"/>
      <c r="AH5" s="107" t="s">
        <v>712</v>
      </c>
      <c r="AI5" s="104"/>
      <c r="AJ5" s="105"/>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109" t="s">
        <v>714</v>
      </c>
      <c r="B6" s="110"/>
      <c r="C6" s="110"/>
      <c r="D6" s="111"/>
      <c r="E6" s="112" t="s">
        <v>745</v>
      </c>
      <c r="F6" s="113"/>
      <c r="G6" s="113"/>
      <c r="H6" s="255"/>
      <c r="I6" s="255"/>
      <c r="J6" s="255"/>
      <c r="K6" s="255"/>
      <c r="L6" s="256"/>
      <c r="M6" s="256"/>
      <c r="N6" s="256"/>
      <c r="O6" s="256"/>
      <c r="P6" s="256"/>
      <c r="Q6" s="256"/>
      <c r="R6" s="256"/>
      <c r="S6" s="464" t="s">
        <v>716</v>
      </c>
      <c r="T6" s="251"/>
      <c r="U6" s="251"/>
      <c r="V6" s="251"/>
      <c r="W6" s="251"/>
      <c r="X6" s="251"/>
      <c r="Y6" s="257"/>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8"/>
    </row>
    <row r="7" spans="1:63" ht="15.75" customHeight="1">
      <c r="A7" s="115" t="s">
        <v>349</v>
      </c>
      <c r="B7" s="116"/>
      <c r="C7" s="259" t="s">
        <v>717</v>
      </c>
      <c r="D7" s="260"/>
      <c r="E7" s="117"/>
      <c r="F7" s="117"/>
      <c r="G7" s="117"/>
      <c r="H7" s="117"/>
      <c r="I7" s="117"/>
      <c r="J7" s="117"/>
      <c r="K7" s="117"/>
      <c r="L7" s="117"/>
      <c r="M7" s="117"/>
      <c r="N7" s="117"/>
      <c r="O7" s="117"/>
      <c r="P7" s="117"/>
      <c r="Q7" s="117"/>
      <c r="R7" s="117"/>
      <c r="S7" s="117"/>
      <c r="T7" s="117"/>
      <c r="U7" s="117"/>
      <c r="V7" s="259" t="s">
        <v>718</v>
      </c>
      <c r="W7" s="260"/>
      <c r="X7" s="117"/>
      <c r="Y7" s="117"/>
      <c r="Z7" s="117"/>
      <c r="AA7" s="117"/>
      <c r="AB7" s="117"/>
      <c r="AC7" s="117"/>
      <c r="AD7" s="117"/>
      <c r="AE7" s="117"/>
      <c r="AF7" s="116"/>
      <c r="AG7" s="116"/>
      <c r="AH7" s="116"/>
      <c r="AI7" s="116"/>
      <c r="AJ7" s="116"/>
      <c r="AK7" s="116"/>
      <c r="AL7" s="116"/>
      <c r="AM7" s="116"/>
      <c r="AN7" s="116"/>
      <c r="AO7" s="116"/>
      <c r="AP7" s="116"/>
      <c r="AQ7" s="465" t="s">
        <v>644</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1"/>
      <c r="C8" s="120" t="s">
        <v>719</v>
      </c>
      <c r="D8" s="93" t="s">
        <v>720</v>
      </c>
      <c r="E8" s="94"/>
      <c r="F8" s="94"/>
      <c r="G8" s="94"/>
      <c r="H8" s="94"/>
      <c r="I8" s="94"/>
      <c r="J8" s="121"/>
      <c r="K8" s="93" t="s">
        <v>643</v>
      </c>
      <c r="L8" s="94"/>
      <c r="M8" s="94"/>
      <c r="N8" s="94"/>
      <c r="O8" s="94"/>
      <c r="P8" s="94"/>
      <c r="Q8" s="94"/>
      <c r="R8" s="94"/>
      <c r="S8" s="94"/>
      <c r="T8" s="94"/>
      <c r="U8" s="121"/>
      <c r="V8" s="120" t="s">
        <v>719</v>
      </c>
      <c r="W8" s="93" t="s">
        <v>720</v>
      </c>
      <c r="X8" s="94"/>
      <c r="Y8" s="94"/>
      <c r="Z8" s="94"/>
      <c r="AA8" s="94"/>
      <c r="AB8" s="94"/>
      <c r="AC8" s="94"/>
      <c r="AD8" s="94"/>
      <c r="AE8" s="121"/>
      <c r="AF8" s="93" t="s">
        <v>643</v>
      </c>
      <c r="AG8" s="94"/>
      <c r="AH8" s="94"/>
      <c r="AI8" s="94"/>
      <c r="AJ8" s="94"/>
      <c r="AK8" s="94"/>
      <c r="AL8" s="94"/>
      <c r="AM8" s="94"/>
      <c r="AN8" s="94"/>
      <c r="AO8" s="94"/>
      <c r="AP8" s="121"/>
      <c r="AQ8" s="122"/>
      <c r="AR8" s="261"/>
      <c r="AS8" s="261"/>
      <c r="AT8" s="261"/>
      <c r="AU8" s="261"/>
      <c r="AV8" s="261"/>
      <c r="AW8" s="261"/>
      <c r="AX8" s="261"/>
      <c r="AY8" s="261"/>
      <c r="AZ8" s="261"/>
      <c r="BA8" s="261"/>
      <c r="BB8" s="261"/>
      <c r="BC8" s="261"/>
      <c r="BD8" s="261"/>
      <c r="BE8" s="261"/>
      <c r="BF8" s="261"/>
      <c r="BG8" s="261"/>
      <c r="BH8" s="261"/>
      <c r="BI8" s="261"/>
      <c r="BJ8" s="261"/>
      <c r="BK8" s="123"/>
    </row>
    <row r="9" spans="1:63" ht="15.75" customHeight="1" thickTop="1">
      <c r="A9" s="1273">
        <v>1</v>
      </c>
      <c r="B9" s="1274"/>
      <c r="C9" s="129" t="s">
        <v>746</v>
      </c>
      <c r="D9" s="130" t="s">
        <v>747</v>
      </c>
      <c r="E9" s="131"/>
      <c r="F9" s="131"/>
      <c r="G9" s="131"/>
      <c r="H9" s="131"/>
      <c r="I9" s="131"/>
      <c r="J9" s="132"/>
      <c r="K9" s="130" t="s">
        <v>349</v>
      </c>
      <c r="L9" s="131"/>
      <c r="M9" s="131"/>
      <c r="N9" s="131"/>
      <c r="O9" s="131"/>
      <c r="P9" s="131"/>
      <c r="Q9" s="131"/>
      <c r="R9" s="131"/>
      <c r="S9" s="131"/>
      <c r="T9" s="131"/>
      <c r="U9" s="132"/>
      <c r="V9" s="133" t="s">
        <v>721</v>
      </c>
      <c r="W9" s="130" t="s">
        <v>747</v>
      </c>
      <c r="X9" s="131"/>
      <c r="Y9" s="131"/>
      <c r="Z9" s="131"/>
      <c r="AA9" s="131"/>
      <c r="AB9" s="131"/>
      <c r="AC9" s="131"/>
      <c r="AD9" s="131"/>
      <c r="AE9" s="132"/>
      <c r="AF9" s="130" t="s">
        <v>349</v>
      </c>
      <c r="AG9" s="131"/>
      <c r="AH9" s="131"/>
      <c r="AI9" s="131"/>
      <c r="AJ9" s="131"/>
      <c r="AK9" s="131"/>
      <c r="AL9" s="131"/>
      <c r="AM9" s="131"/>
      <c r="AN9" s="131"/>
      <c r="AO9" s="131"/>
      <c r="AP9" s="132"/>
      <c r="AQ9" s="130"/>
      <c r="AR9" s="131"/>
      <c r="AS9" s="131"/>
      <c r="AT9" s="131"/>
      <c r="AU9" s="131"/>
      <c r="AV9" s="131"/>
      <c r="AW9" s="131"/>
      <c r="AX9" s="131"/>
      <c r="AY9" s="131"/>
      <c r="AZ9" s="131"/>
      <c r="BA9" s="131"/>
      <c r="BB9" s="131"/>
      <c r="BC9" s="131"/>
      <c r="BD9" s="131"/>
      <c r="BE9" s="131"/>
      <c r="BF9" s="131"/>
      <c r="BG9" s="131"/>
      <c r="BH9" s="131"/>
      <c r="BI9" s="131"/>
      <c r="BJ9" s="131"/>
      <c r="BK9" s="274"/>
    </row>
    <row r="10" spans="1:63" ht="15.75" customHeight="1">
      <c r="A10" s="1288">
        <v>2</v>
      </c>
      <c r="B10" s="1289"/>
      <c r="C10" s="466" t="s">
        <v>746</v>
      </c>
      <c r="D10" s="461" t="s">
        <v>747</v>
      </c>
      <c r="E10" s="275"/>
      <c r="F10" s="275"/>
      <c r="G10" s="275"/>
      <c r="H10" s="275"/>
      <c r="I10" s="275"/>
      <c r="J10" s="276"/>
      <c r="K10" s="461" t="s">
        <v>468</v>
      </c>
      <c r="L10" s="275"/>
      <c r="M10" s="275"/>
      <c r="N10" s="275"/>
      <c r="O10" s="275"/>
      <c r="P10" s="275"/>
      <c r="Q10" s="275"/>
      <c r="R10" s="275"/>
      <c r="S10" s="275"/>
      <c r="T10" s="275"/>
      <c r="U10" s="276"/>
      <c r="V10" s="467" t="s">
        <v>748</v>
      </c>
      <c r="W10" s="461" t="s">
        <v>747</v>
      </c>
      <c r="X10" s="275"/>
      <c r="Y10" s="275"/>
      <c r="Z10" s="275"/>
      <c r="AA10" s="275"/>
      <c r="AB10" s="275"/>
      <c r="AC10" s="275"/>
      <c r="AD10" s="275"/>
      <c r="AE10" s="276"/>
      <c r="AF10" s="461" t="s">
        <v>468</v>
      </c>
      <c r="AG10" s="275"/>
      <c r="AH10" s="275"/>
      <c r="AI10" s="275"/>
      <c r="AJ10" s="275"/>
      <c r="AK10" s="275"/>
      <c r="AL10" s="275"/>
      <c r="AM10" s="275"/>
      <c r="AN10" s="275"/>
      <c r="AO10" s="275"/>
      <c r="AP10" s="276"/>
      <c r="AQ10" s="468"/>
      <c r="AR10" s="277"/>
      <c r="AS10" s="277"/>
      <c r="AT10" s="277"/>
      <c r="AU10" s="277"/>
      <c r="AV10" s="277"/>
      <c r="AW10" s="277"/>
      <c r="AX10" s="277"/>
      <c r="AY10" s="277"/>
      <c r="AZ10" s="277"/>
      <c r="BA10" s="277"/>
      <c r="BB10" s="277"/>
      <c r="BC10" s="277"/>
      <c r="BD10" s="277"/>
      <c r="BE10" s="277"/>
      <c r="BF10" s="277"/>
      <c r="BG10" s="277"/>
      <c r="BH10" s="277"/>
      <c r="BI10" s="277"/>
      <c r="BJ10" s="277"/>
      <c r="BK10" s="278"/>
    </row>
    <row r="11" spans="1:63" ht="15.75" customHeight="1">
      <c r="A11" s="1288">
        <v>3</v>
      </c>
      <c r="B11" s="1289"/>
      <c r="C11" s="466" t="s">
        <v>746</v>
      </c>
      <c r="D11" s="461" t="s">
        <v>747</v>
      </c>
      <c r="E11" s="275"/>
      <c r="F11" s="275"/>
      <c r="G11" s="275"/>
      <c r="H11" s="275"/>
      <c r="I11" s="275"/>
      <c r="J11" s="276"/>
      <c r="K11" s="461" t="s">
        <v>563</v>
      </c>
      <c r="L11" s="275"/>
      <c r="M11" s="275"/>
      <c r="N11" s="275"/>
      <c r="O11" s="275"/>
      <c r="P11" s="275"/>
      <c r="Q11" s="275"/>
      <c r="R11" s="275"/>
      <c r="S11" s="275"/>
      <c r="T11" s="275"/>
      <c r="U11" s="276"/>
      <c r="V11" s="467" t="s">
        <v>748</v>
      </c>
      <c r="W11" s="461" t="s">
        <v>747</v>
      </c>
      <c r="X11" s="275"/>
      <c r="Y11" s="275"/>
      <c r="Z11" s="275"/>
      <c r="AA11" s="275"/>
      <c r="AB11" s="275"/>
      <c r="AC11" s="275"/>
      <c r="AD11" s="275"/>
      <c r="AE11" s="276"/>
      <c r="AF11" s="461" t="s">
        <v>563</v>
      </c>
      <c r="AG11" s="275"/>
      <c r="AH11" s="275"/>
      <c r="AI11" s="275"/>
      <c r="AJ11" s="275"/>
      <c r="AK11" s="275"/>
      <c r="AL11" s="275"/>
      <c r="AM11" s="275"/>
      <c r="AN11" s="275"/>
      <c r="AO11" s="275"/>
      <c r="AP11" s="276"/>
      <c r="AQ11" s="468"/>
      <c r="AR11" s="277"/>
      <c r="AS11" s="277"/>
      <c r="AT11" s="277"/>
      <c r="AU11" s="277"/>
      <c r="AV11" s="277"/>
      <c r="AW11" s="277"/>
      <c r="AX11" s="277"/>
      <c r="AY11" s="277"/>
      <c r="AZ11" s="277"/>
      <c r="BA11" s="277"/>
      <c r="BB11" s="277"/>
      <c r="BC11" s="277"/>
      <c r="BD11" s="277"/>
      <c r="BE11" s="277"/>
      <c r="BF11" s="277"/>
      <c r="BG11" s="277"/>
      <c r="BH11" s="277"/>
      <c r="BI11" s="277"/>
      <c r="BJ11" s="277"/>
      <c r="BK11" s="278"/>
    </row>
    <row r="12" spans="1:63" ht="15.75" customHeight="1">
      <c r="A12" s="1288">
        <v>4</v>
      </c>
      <c r="B12" s="1289"/>
      <c r="C12" s="466" t="s">
        <v>746</v>
      </c>
      <c r="D12" s="461" t="s">
        <v>747</v>
      </c>
      <c r="E12" s="275"/>
      <c r="F12" s="275"/>
      <c r="G12" s="275"/>
      <c r="H12" s="275"/>
      <c r="I12" s="275"/>
      <c r="J12" s="276"/>
      <c r="K12" s="461" t="s">
        <v>565</v>
      </c>
      <c r="L12" s="275"/>
      <c r="M12" s="275"/>
      <c r="N12" s="275"/>
      <c r="O12" s="275"/>
      <c r="P12" s="275"/>
      <c r="Q12" s="275"/>
      <c r="R12" s="275"/>
      <c r="S12" s="275"/>
      <c r="T12" s="275"/>
      <c r="U12" s="276"/>
      <c r="V12" s="467" t="s">
        <v>748</v>
      </c>
      <c r="W12" s="461" t="s">
        <v>747</v>
      </c>
      <c r="X12" s="275"/>
      <c r="Y12" s="275"/>
      <c r="Z12" s="275"/>
      <c r="AA12" s="275"/>
      <c r="AB12" s="275"/>
      <c r="AC12" s="275"/>
      <c r="AD12" s="275"/>
      <c r="AE12" s="276"/>
      <c r="AF12" s="461" t="s">
        <v>565</v>
      </c>
      <c r="AG12" s="275"/>
      <c r="AH12" s="275"/>
      <c r="AI12" s="275"/>
      <c r="AJ12" s="275"/>
      <c r="AK12" s="275"/>
      <c r="AL12" s="275"/>
      <c r="AM12" s="275"/>
      <c r="AN12" s="275"/>
      <c r="AO12" s="275"/>
      <c r="AP12" s="276"/>
      <c r="AQ12" s="468"/>
      <c r="AR12" s="277"/>
      <c r="AS12" s="277"/>
      <c r="AT12" s="277"/>
      <c r="AU12" s="277"/>
      <c r="AV12" s="277"/>
      <c r="AW12" s="277"/>
      <c r="AX12" s="277"/>
      <c r="AY12" s="277"/>
      <c r="AZ12" s="277"/>
      <c r="BA12" s="277"/>
      <c r="BB12" s="277"/>
      <c r="BC12" s="277"/>
      <c r="BD12" s="277"/>
      <c r="BE12" s="277"/>
      <c r="BF12" s="277"/>
      <c r="BG12" s="277"/>
      <c r="BH12" s="277"/>
      <c r="BI12" s="277"/>
      <c r="BJ12" s="277"/>
      <c r="BK12" s="278"/>
    </row>
    <row r="13" spans="1:63" ht="15.75" customHeight="1">
      <c r="A13" s="1288">
        <v>5</v>
      </c>
      <c r="B13" s="1289"/>
      <c r="C13" s="466" t="s">
        <v>746</v>
      </c>
      <c r="D13" s="461" t="s">
        <v>747</v>
      </c>
      <c r="E13" s="275"/>
      <c r="F13" s="275"/>
      <c r="G13" s="275"/>
      <c r="H13" s="275"/>
      <c r="I13" s="275"/>
      <c r="J13" s="276"/>
      <c r="K13" s="461" t="s">
        <v>567</v>
      </c>
      <c r="L13" s="275"/>
      <c r="M13" s="275"/>
      <c r="N13" s="275"/>
      <c r="O13" s="275"/>
      <c r="P13" s="275"/>
      <c r="Q13" s="275"/>
      <c r="R13" s="275"/>
      <c r="S13" s="275"/>
      <c r="T13" s="275"/>
      <c r="U13" s="276"/>
      <c r="V13" s="467" t="s">
        <v>748</v>
      </c>
      <c r="W13" s="461" t="s">
        <v>747</v>
      </c>
      <c r="X13" s="275"/>
      <c r="Y13" s="275"/>
      <c r="Z13" s="275"/>
      <c r="AA13" s="275"/>
      <c r="AB13" s="275"/>
      <c r="AC13" s="275"/>
      <c r="AD13" s="275"/>
      <c r="AE13" s="276"/>
      <c r="AF13" s="461" t="s">
        <v>567</v>
      </c>
      <c r="AG13" s="275"/>
      <c r="AH13" s="275"/>
      <c r="AI13" s="275"/>
      <c r="AJ13" s="275"/>
      <c r="AK13" s="275"/>
      <c r="AL13" s="275"/>
      <c r="AM13" s="275"/>
      <c r="AN13" s="275"/>
      <c r="AO13" s="275"/>
      <c r="AP13" s="276"/>
      <c r="AQ13" s="468"/>
      <c r="AR13" s="277"/>
      <c r="AS13" s="277"/>
      <c r="AT13" s="277"/>
      <c r="AU13" s="277"/>
      <c r="AV13" s="277"/>
      <c r="AW13" s="277"/>
      <c r="AX13" s="277"/>
      <c r="AY13" s="277"/>
      <c r="AZ13" s="277"/>
      <c r="BA13" s="277"/>
      <c r="BB13" s="277"/>
      <c r="BC13" s="277"/>
      <c r="BD13" s="277"/>
      <c r="BE13" s="277"/>
      <c r="BF13" s="277"/>
      <c r="BG13" s="277"/>
      <c r="BH13" s="277"/>
      <c r="BI13" s="277"/>
      <c r="BJ13" s="277"/>
      <c r="BK13" s="278"/>
    </row>
    <row r="14" spans="1:63" ht="15.75" customHeight="1">
      <c r="A14" s="1288">
        <v>6</v>
      </c>
      <c r="B14" s="1289"/>
      <c r="C14" s="466" t="s">
        <v>746</v>
      </c>
      <c r="D14" s="461" t="s">
        <v>747</v>
      </c>
      <c r="E14" s="275"/>
      <c r="F14" s="275"/>
      <c r="G14" s="275"/>
      <c r="H14" s="275"/>
      <c r="I14" s="275"/>
      <c r="J14" s="276"/>
      <c r="K14" s="461" t="s">
        <v>353</v>
      </c>
      <c r="L14" s="275"/>
      <c r="M14" s="275"/>
      <c r="N14" s="275"/>
      <c r="O14" s="275"/>
      <c r="P14" s="275"/>
      <c r="Q14" s="275"/>
      <c r="R14" s="275"/>
      <c r="S14" s="275"/>
      <c r="T14" s="275"/>
      <c r="U14" s="276"/>
      <c r="V14" s="467" t="s">
        <v>748</v>
      </c>
      <c r="W14" s="461" t="s">
        <v>747</v>
      </c>
      <c r="X14" s="275"/>
      <c r="Y14" s="275"/>
      <c r="Z14" s="275"/>
      <c r="AA14" s="275"/>
      <c r="AB14" s="275"/>
      <c r="AC14" s="275"/>
      <c r="AD14" s="275"/>
      <c r="AE14" s="276"/>
      <c r="AF14" s="461" t="s">
        <v>353</v>
      </c>
      <c r="AG14" s="275"/>
      <c r="AH14" s="275"/>
      <c r="AI14" s="275"/>
      <c r="AJ14" s="275"/>
      <c r="AK14" s="275"/>
      <c r="AL14" s="275"/>
      <c r="AM14" s="275"/>
      <c r="AN14" s="275"/>
      <c r="AO14" s="275"/>
      <c r="AP14" s="276"/>
      <c r="AQ14" s="468"/>
      <c r="AR14" s="277"/>
      <c r="AS14" s="277"/>
      <c r="AT14" s="277"/>
      <c r="AU14" s="277"/>
      <c r="AV14" s="277"/>
      <c r="AW14" s="277"/>
      <c r="AX14" s="277"/>
      <c r="AY14" s="277"/>
      <c r="AZ14" s="277"/>
      <c r="BA14" s="277"/>
      <c r="BB14" s="277"/>
      <c r="BC14" s="277"/>
      <c r="BD14" s="277"/>
      <c r="BE14" s="277"/>
      <c r="BF14" s="277"/>
      <c r="BG14" s="277"/>
      <c r="BH14" s="277"/>
      <c r="BI14" s="277"/>
      <c r="BJ14" s="277"/>
      <c r="BK14" s="278"/>
    </row>
    <row r="15" spans="1:63" ht="15.75" customHeight="1">
      <c r="A15" s="1288">
        <v>7</v>
      </c>
      <c r="B15" s="1289"/>
      <c r="C15" s="466" t="s">
        <v>746</v>
      </c>
      <c r="D15" s="461" t="s">
        <v>747</v>
      </c>
      <c r="E15" s="275"/>
      <c r="F15" s="275"/>
      <c r="G15" s="275"/>
      <c r="H15" s="275"/>
      <c r="I15" s="275"/>
      <c r="J15" s="276"/>
      <c r="K15" s="461" t="s">
        <v>354</v>
      </c>
      <c r="L15" s="275"/>
      <c r="M15" s="275"/>
      <c r="N15" s="275"/>
      <c r="O15" s="275"/>
      <c r="P15" s="275"/>
      <c r="Q15" s="275"/>
      <c r="R15" s="275"/>
      <c r="S15" s="275"/>
      <c r="T15" s="275"/>
      <c r="U15" s="276"/>
      <c r="V15" s="467" t="s">
        <v>748</v>
      </c>
      <c r="W15" s="461" t="s">
        <v>747</v>
      </c>
      <c r="X15" s="275"/>
      <c r="Y15" s="275"/>
      <c r="Z15" s="275"/>
      <c r="AA15" s="275"/>
      <c r="AB15" s="275"/>
      <c r="AC15" s="275"/>
      <c r="AD15" s="275"/>
      <c r="AE15" s="276"/>
      <c r="AF15" s="461" t="s">
        <v>354</v>
      </c>
      <c r="AG15" s="275"/>
      <c r="AH15" s="275"/>
      <c r="AI15" s="275"/>
      <c r="AJ15" s="275"/>
      <c r="AK15" s="275"/>
      <c r="AL15" s="275"/>
      <c r="AM15" s="275"/>
      <c r="AN15" s="275"/>
      <c r="AO15" s="275"/>
      <c r="AP15" s="276"/>
      <c r="AQ15" s="468"/>
      <c r="AR15" s="277"/>
      <c r="AS15" s="277"/>
      <c r="AT15" s="277"/>
      <c r="AU15" s="277"/>
      <c r="AV15" s="277"/>
      <c r="AW15" s="277"/>
      <c r="AX15" s="277"/>
      <c r="AY15" s="277"/>
      <c r="AZ15" s="277"/>
      <c r="BA15" s="277"/>
      <c r="BB15" s="277"/>
      <c r="BC15" s="277"/>
      <c r="BD15" s="277"/>
      <c r="BE15" s="277"/>
      <c r="BF15" s="277"/>
      <c r="BG15" s="277"/>
      <c r="BH15" s="277"/>
      <c r="BI15" s="277"/>
      <c r="BJ15" s="277"/>
      <c r="BK15" s="278"/>
    </row>
    <row r="16" spans="1:63" ht="15.75" customHeight="1">
      <c r="A16" s="1288">
        <v>8</v>
      </c>
      <c r="B16" s="1289"/>
      <c r="C16" s="466" t="s">
        <v>746</v>
      </c>
      <c r="D16" s="461" t="s">
        <v>747</v>
      </c>
      <c r="E16" s="275"/>
      <c r="F16" s="275"/>
      <c r="G16" s="275"/>
      <c r="H16" s="275"/>
      <c r="I16" s="275"/>
      <c r="J16" s="276"/>
      <c r="K16" s="461" t="s">
        <v>728</v>
      </c>
      <c r="L16" s="275"/>
      <c r="M16" s="275"/>
      <c r="N16" s="275"/>
      <c r="O16" s="275"/>
      <c r="P16" s="275"/>
      <c r="Q16" s="275"/>
      <c r="R16" s="275"/>
      <c r="S16" s="275"/>
      <c r="T16" s="275"/>
      <c r="U16" s="276"/>
      <c r="V16" s="467" t="s">
        <v>748</v>
      </c>
      <c r="W16" s="461" t="s">
        <v>747</v>
      </c>
      <c r="X16" s="275"/>
      <c r="Y16" s="275"/>
      <c r="Z16" s="275"/>
      <c r="AA16" s="275"/>
      <c r="AB16" s="275"/>
      <c r="AC16" s="275"/>
      <c r="AD16" s="275"/>
      <c r="AE16" s="276"/>
      <c r="AF16" s="461" t="s">
        <v>728</v>
      </c>
      <c r="AG16" s="275"/>
      <c r="AH16" s="275"/>
      <c r="AI16" s="275"/>
      <c r="AJ16" s="275"/>
      <c r="AK16" s="275"/>
      <c r="AL16" s="275"/>
      <c r="AM16" s="275"/>
      <c r="AN16" s="275"/>
      <c r="AO16" s="275"/>
      <c r="AP16" s="276"/>
      <c r="AQ16" s="468"/>
      <c r="AR16" s="277"/>
      <c r="AS16" s="277"/>
      <c r="AT16" s="277"/>
      <c r="AU16" s="277"/>
      <c r="AV16" s="277"/>
      <c r="AW16" s="277"/>
      <c r="AX16" s="277"/>
      <c r="AY16" s="277"/>
      <c r="AZ16" s="277"/>
      <c r="BA16" s="277"/>
      <c r="BB16" s="277"/>
      <c r="BC16" s="277"/>
      <c r="BD16" s="277"/>
      <c r="BE16" s="277"/>
      <c r="BF16" s="277"/>
      <c r="BG16" s="277"/>
      <c r="BH16" s="277"/>
      <c r="BI16" s="277"/>
      <c r="BJ16" s="277"/>
      <c r="BK16" s="278"/>
    </row>
    <row r="17" spans="1:121" ht="15.75" customHeight="1">
      <c r="A17" s="1288">
        <v>9</v>
      </c>
      <c r="B17" s="1289"/>
      <c r="C17" s="466" t="s">
        <v>746</v>
      </c>
      <c r="D17" s="461" t="s">
        <v>747</v>
      </c>
      <c r="E17" s="275"/>
      <c r="F17" s="275"/>
      <c r="G17" s="275"/>
      <c r="H17" s="275"/>
      <c r="I17" s="275"/>
      <c r="J17" s="276"/>
      <c r="K17" s="461" t="s">
        <v>729</v>
      </c>
      <c r="L17" s="275"/>
      <c r="M17" s="275"/>
      <c r="N17" s="275"/>
      <c r="O17" s="275"/>
      <c r="P17" s="275"/>
      <c r="Q17" s="275"/>
      <c r="R17" s="275"/>
      <c r="S17" s="275"/>
      <c r="T17" s="275"/>
      <c r="U17" s="276"/>
      <c r="V17" s="467" t="s">
        <v>748</v>
      </c>
      <c r="W17" s="461" t="s">
        <v>747</v>
      </c>
      <c r="X17" s="275"/>
      <c r="Y17" s="275"/>
      <c r="Z17" s="275"/>
      <c r="AA17" s="275"/>
      <c r="AB17" s="275"/>
      <c r="AC17" s="275"/>
      <c r="AD17" s="275"/>
      <c r="AE17" s="276"/>
      <c r="AF17" s="461" t="s">
        <v>729</v>
      </c>
      <c r="AG17" s="275"/>
      <c r="AH17" s="275"/>
      <c r="AI17" s="275"/>
      <c r="AJ17" s="275"/>
      <c r="AK17" s="275"/>
      <c r="AL17" s="275"/>
      <c r="AM17" s="275"/>
      <c r="AN17" s="275"/>
      <c r="AO17" s="275"/>
      <c r="AP17" s="276"/>
      <c r="AQ17" s="468"/>
      <c r="AR17" s="277"/>
      <c r="AS17" s="277"/>
      <c r="AT17" s="277"/>
      <c r="AU17" s="277"/>
      <c r="AV17" s="277"/>
      <c r="AW17" s="277"/>
      <c r="AX17" s="277"/>
      <c r="AY17" s="277"/>
      <c r="AZ17" s="277"/>
      <c r="BA17" s="277"/>
      <c r="BB17" s="277"/>
      <c r="BC17" s="277"/>
      <c r="BD17" s="277"/>
      <c r="BE17" s="277"/>
      <c r="BF17" s="277"/>
      <c r="BG17" s="277"/>
      <c r="BH17" s="277"/>
      <c r="BI17" s="277"/>
      <c r="BJ17" s="277"/>
      <c r="BK17" s="278"/>
    </row>
    <row r="18" spans="1:121" ht="15.75" customHeight="1">
      <c r="A18" s="1288">
        <v>10</v>
      </c>
      <c r="B18" s="1289"/>
      <c r="C18" s="466" t="s">
        <v>746</v>
      </c>
      <c r="D18" s="461" t="s">
        <v>747</v>
      </c>
      <c r="E18" s="275"/>
      <c r="F18" s="275"/>
      <c r="G18" s="275"/>
      <c r="H18" s="275"/>
      <c r="I18" s="275"/>
      <c r="J18" s="276"/>
      <c r="K18" s="461" t="s">
        <v>577</v>
      </c>
      <c r="L18" s="275"/>
      <c r="M18" s="275"/>
      <c r="N18" s="275"/>
      <c r="O18" s="275"/>
      <c r="P18" s="275"/>
      <c r="Q18" s="275"/>
      <c r="R18" s="275"/>
      <c r="S18" s="275"/>
      <c r="T18" s="275"/>
      <c r="U18" s="276"/>
      <c r="V18" s="467" t="s">
        <v>748</v>
      </c>
      <c r="W18" s="461" t="s">
        <v>747</v>
      </c>
      <c r="X18" s="275"/>
      <c r="Y18" s="275"/>
      <c r="Z18" s="275"/>
      <c r="AA18" s="275"/>
      <c r="AB18" s="275"/>
      <c r="AC18" s="275"/>
      <c r="AD18" s="275"/>
      <c r="AE18" s="276"/>
      <c r="AF18" s="461" t="s">
        <v>577</v>
      </c>
      <c r="AG18" s="275"/>
      <c r="AH18" s="275"/>
      <c r="AI18" s="275"/>
      <c r="AJ18" s="275"/>
      <c r="AK18" s="275"/>
      <c r="AL18" s="275"/>
      <c r="AM18" s="275"/>
      <c r="AN18" s="275"/>
      <c r="AO18" s="275"/>
      <c r="AP18" s="276"/>
      <c r="AQ18" s="468"/>
      <c r="AR18" s="277"/>
      <c r="AS18" s="277"/>
      <c r="AT18" s="277"/>
      <c r="AU18" s="277"/>
      <c r="AV18" s="277"/>
      <c r="AW18" s="277"/>
      <c r="AX18" s="277"/>
      <c r="AY18" s="277"/>
      <c r="AZ18" s="277"/>
      <c r="BA18" s="277"/>
      <c r="BB18" s="277"/>
      <c r="BC18" s="277"/>
      <c r="BD18" s="277"/>
      <c r="BE18" s="277"/>
      <c r="BF18" s="277"/>
      <c r="BG18" s="277"/>
      <c r="BH18" s="277"/>
      <c r="BI18" s="277"/>
      <c r="BJ18" s="277"/>
      <c r="BK18" s="278"/>
    </row>
    <row r="19" spans="1:121" ht="15.75" customHeight="1">
      <c r="A19" s="1288">
        <v>11</v>
      </c>
      <c r="B19" s="1289"/>
      <c r="C19" s="466" t="s">
        <v>746</v>
      </c>
      <c r="D19" s="461" t="s">
        <v>747</v>
      </c>
      <c r="E19" s="275"/>
      <c r="F19" s="275"/>
      <c r="G19" s="275"/>
      <c r="H19" s="275"/>
      <c r="I19" s="275"/>
      <c r="J19" s="276"/>
      <c r="K19" s="461" t="s">
        <v>311</v>
      </c>
      <c r="L19" s="275"/>
      <c r="M19" s="275"/>
      <c r="N19" s="275"/>
      <c r="O19" s="275"/>
      <c r="P19" s="275"/>
      <c r="Q19" s="275"/>
      <c r="R19" s="275"/>
      <c r="S19" s="275"/>
      <c r="T19" s="275"/>
      <c r="U19" s="276"/>
      <c r="V19" s="467" t="s">
        <v>748</v>
      </c>
      <c r="W19" s="461" t="s">
        <v>747</v>
      </c>
      <c r="X19" s="275"/>
      <c r="Y19" s="275"/>
      <c r="Z19" s="275"/>
      <c r="AA19" s="275"/>
      <c r="AB19" s="275"/>
      <c r="AC19" s="275"/>
      <c r="AD19" s="275"/>
      <c r="AE19" s="276"/>
      <c r="AF19" s="461" t="s">
        <v>311</v>
      </c>
      <c r="AG19" s="275"/>
      <c r="AH19" s="275"/>
      <c r="AI19" s="275"/>
      <c r="AJ19" s="275"/>
      <c r="AK19" s="275"/>
      <c r="AL19" s="275"/>
      <c r="AM19" s="275"/>
      <c r="AN19" s="275"/>
      <c r="AO19" s="275"/>
      <c r="AP19" s="276"/>
      <c r="AQ19" s="468"/>
      <c r="AR19" s="277"/>
      <c r="AS19" s="277"/>
      <c r="AT19" s="277"/>
      <c r="AU19" s="277"/>
      <c r="AV19" s="277"/>
      <c r="AW19" s="277"/>
      <c r="AX19" s="277"/>
      <c r="AY19" s="277"/>
      <c r="AZ19" s="277"/>
      <c r="BA19" s="277"/>
      <c r="BB19" s="277"/>
      <c r="BC19" s="277"/>
      <c r="BD19" s="277"/>
      <c r="BE19" s="277"/>
      <c r="BF19" s="277"/>
      <c r="BG19" s="277"/>
      <c r="BH19" s="277"/>
      <c r="BI19" s="277"/>
      <c r="BJ19" s="277"/>
      <c r="BK19" s="278"/>
    </row>
    <row r="20" spans="1:121" ht="15.75" customHeight="1">
      <c r="A20" s="1288">
        <v>12</v>
      </c>
      <c r="B20" s="1289"/>
      <c r="C20" s="466" t="s">
        <v>746</v>
      </c>
      <c r="D20" s="461" t="s">
        <v>747</v>
      </c>
      <c r="E20" s="275"/>
      <c r="F20" s="275"/>
      <c r="G20" s="275"/>
      <c r="H20" s="275"/>
      <c r="I20" s="275"/>
      <c r="J20" s="276"/>
      <c r="K20" s="461" t="s">
        <v>580</v>
      </c>
      <c r="L20" s="275"/>
      <c r="M20" s="275"/>
      <c r="N20" s="275"/>
      <c r="O20" s="275"/>
      <c r="P20" s="275"/>
      <c r="Q20" s="275"/>
      <c r="R20" s="275"/>
      <c r="S20" s="275"/>
      <c r="T20" s="275"/>
      <c r="U20" s="276"/>
      <c r="V20" s="467" t="s">
        <v>748</v>
      </c>
      <c r="W20" s="461" t="s">
        <v>747</v>
      </c>
      <c r="X20" s="275"/>
      <c r="Y20" s="275"/>
      <c r="Z20" s="275"/>
      <c r="AA20" s="275"/>
      <c r="AB20" s="275"/>
      <c r="AC20" s="275"/>
      <c r="AD20" s="275"/>
      <c r="AE20" s="276"/>
      <c r="AF20" s="461" t="s">
        <v>580</v>
      </c>
      <c r="AG20" s="275"/>
      <c r="AH20" s="275"/>
      <c r="AI20" s="275"/>
      <c r="AJ20" s="275"/>
      <c r="AK20" s="275"/>
      <c r="AL20" s="275"/>
      <c r="AM20" s="275"/>
      <c r="AN20" s="275"/>
      <c r="AO20" s="275"/>
      <c r="AP20" s="276"/>
      <c r="AQ20" s="468"/>
      <c r="AR20" s="277"/>
      <c r="AS20" s="277"/>
      <c r="AT20" s="277"/>
      <c r="AU20" s="277"/>
      <c r="AV20" s="277"/>
      <c r="AW20" s="277"/>
      <c r="AX20" s="277"/>
      <c r="AY20" s="277"/>
      <c r="AZ20" s="277"/>
      <c r="BA20" s="277"/>
      <c r="BB20" s="277"/>
      <c r="BC20" s="277"/>
      <c r="BD20" s="277"/>
      <c r="BE20" s="277"/>
      <c r="BF20" s="277"/>
      <c r="BG20" s="277"/>
      <c r="BH20" s="277"/>
      <c r="BI20" s="277"/>
      <c r="BJ20" s="277"/>
      <c r="BK20" s="278"/>
    </row>
    <row r="21" spans="1:121" ht="15.75" customHeight="1">
      <c r="A21" s="1288">
        <v>13</v>
      </c>
      <c r="B21" s="1289"/>
      <c r="C21" s="466" t="s">
        <v>746</v>
      </c>
      <c r="D21" s="461" t="s">
        <v>747</v>
      </c>
      <c r="E21" s="275"/>
      <c r="F21" s="275"/>
      <c r="G21" s="275"/>
      <c r="H21" s="275"/>
      <c r="I21" s="275"/>
      <c r="J21" s="276"/>
      <c r="K21" s="461" t="s">
        <v>730</v>
      </c>
      <c r="L21" s="275"/>
      <c r="M21" s="275"/>
      <c r="N21" s="275"/>
      <c r="O21" s="275"/>
      <c r="P21" s="275"/>
      <c r="Q21" s="275"/>
      <c r="R21" s="275"/>
      <c r="S21" s="275"/>
      <c r="T21" s="275"/>
      <c r="U21" s="276"/>
      <c r="V21" s="467" t="s">
        <v>748</v>
      </c>
      <c r="W21" s="461" t="s">
        <v>747</v>
      </c>
      <c r="X21" s="275"/>
      <c r="Y21" s="275"/>
      <c r="Z21" s="275"/>
      <c r="AA21" s="275"/>
      <c r="AB21" s="275"/>
      <c r="AC21" s="275"/>
      <c r="AD21" s="275"/>
      <c r="AE21" s="276"/>
      <c r="AF21" s="461" t="s">
        <v>730</v>
      </c>
      <c r="AG21" s="275"/>
      <c r="AH21" s="275"/>
      <c r="AI21" s="275"/>
      <c r="AJ21" s="275"/>
      <c r="AK21" s="275"/>
      <c r="AL21" s="275"/>
      <c r="AM21" s="275"/>
      <c r="AN21" s="275"/>
      <c r="AO21" s="275"/>
      <c r="AP21" s="276"/>
      <c r="AQ21" s="468"/>
      <c r="AR21" s="277"/>
      <c r="AS21" s="277"/>
      <c r="AT21" s="277"/>
      <c r="AU21" s="277"/>
      <c r="AV21" s="277"/>
      <c r="AW21" s="277"/>
      <c r="AX21" s="277"/>
      <c r="AY21" s="277"/>
      <c r="AZ21" s="277"/>
      <c r="BA21" s="277"/>
      <c r="BB21" s="277"/>
      <c r="BC21" s="277"/>
      <c r="BD21" s="277"/>
      <c r="BE21" s="277"/>
      <c r="BF21" s="277"/>
      <c r="BG21" s="277"/>
      <c r="BH21" s="277"/>
      <c r="BI21" s="277"/>
      <c r="BJ21" s="277"/>
      <c r="BK21" s="278"/>
    </row>
    <row r="22" spans="1:121" ht="15.75" customHeight="1">
      <c r="A22" s="1288">
        <v>14</v>
      </c>
      <c r="B22" s="1289"/>
      <c r="C22" s="466" t="s">
        <v>746</v>
      </c>
      <c r="D22" s="461" t="s">
        <v>747</v>
      </c>
      <c r="E22" s="275"/>
      <c r="F22" s="275"/>
      <c r="G22" s="275"/>
      <c r="H22" s="275"/>
      <c r="I22" s="275"/>
      <c r="J22" s="276"/>
      <c r="K22" s="461" t="s">
        <v>731</v>
      </c>
      <c r="L22" s="275"/>
      <c r="M22" s="275"/>
      <c r="N22" s="275"/>
      <c r="O22" s="275"/>
      <c r="P22" s="275"/>
      <c r="Q22" s="275"/>
      <c r="R22" s="275"/>
      <c r="S22" s="275"/>
      <c r="T22" s="275"/>
      <c r="U22" s="276"/>
      <c r="V22" s="467" t="s">
        <v>748</v>
      </c>
      <c r="W22" s="461" t="s">
        <v>747</v>
      </c>
      <c r="X22" s="275"/>
      <c r="Y22" s="275"/>
      <c r="Z22" s="275"/>
      <c r="AA22" s="275"/>
      <c r="AB22" s="275"/>
      <c r="AC22" s="275"/>
      <c r="AD22" s="275"/>
      <c r="AE22" s="276"/>
      <c r="AF22" s="461" t="s">
        <v>731</v>
      </c>
      <c r="AG22" s="275"/>
      <c r="AH22" s="275"/>
      <c r="AI22" s="275"/>
      <c r="AJ22" s="275"/>
      <c r="AK22" s="275"/>
      <c r="AL22" s="275"/>
      <c r="AM22" s="275"/>
      <c r="AN22" s="275"/>
      <c r="AO22" s="275"/>
      <c r="AP22" s="276"/>
      <c r="AQ22" s="468"/>
      <c r="AR22" s="277"/>
      <c r="AS22" s="277"/>
      <c r="AT22" s="277"/>
      <c r="AU22" s="277"/>
      <c r="AV22" s="277"/>
      <c r="AW22" s="277"/>
      <c r="AX22" s="277"/>
      <c r="AY22" s="277"/>
      <c r="AZ22" s="277"/>
      <c r="BA22" s="277"/>
      <c r="BB22" s="277"/>
      <c r="BC22" s="277"/>
      <c r="BD22" s="277"/>
      <c r="BE22" s="277"/>
      <c r="BF22" s="277"/>
      <c r="BG22" s="277"/>
      <c r="BH22" s="277"/>
      <c r="BI22" s="277"/>
      <c r="BJ22" s="277"/>
      <c r="BK22" s="278"/>
    </row>
    <row r="23" spans="1:121" ht="15.75" customHeight="1">
      <c r="A23" s="1288">
        <v>15</v>
      </c>
      <c r="B23" s="1289"/>
      <c r="C23" s="466" t="s">
        <v>746</v>
      </c>
      <c r="D23" s="461" t="s">
        <v>747</v>
      </c>
      <c r="E23" s="275"/>
      <c r="F23" s="275"/>
      <c r="G23" s="275"/>
      <c r="H23" s="275"/>
      <c r="I23" s="275"/>
      <c r="J23" s="276"/>
      <c r="K23" s="461" t="s">
        <v>246</v>
      </c>
      <c r="L23" s="247"/>
      <c r="M23" s="275"/>
      <c r="N23" s="275"/>
      <c r="O23" s="275"/>
      <c r="P23" s="275"/>
      <c r="Q23" s="275"/>
      <c r="R23" s="275"/>
      <c r="S23" s="275"/>
      <c r="T23" s="275"/>
      <c r="U23" s="276"/>
      <c r="V23" s="467" t="s">
        <v>748</v>
      </c>
      <c r="W23" s="461" t="s">
        <v>747</v>
      </c>
      <c r="X23" s="275"/>
      <c r="Y23" s="275"/>
      <c r="Z23" s="275"/>
      <c r="AA23" s="275"/>
      <c r="AB23" s="275"/>
      <c r="AC23" s="275"/>
      <c r="AD23" s="275"/>
      <c r="AE23" s="276"/>
      <c r="AF23" s="461" t="s">
        <v>246</v>
      </c>
      <c r="AG23" s="247"/>
      <c r="AH23" s="275"/>
      <c r="AI23" s="275"/>
      <c r="AJ23" s="275"/>
      <c r="AK23" s="275"/>
      <c r="AL23" s="275"/>
      <c r="AM23" s="275"/>
      <c r="AN23" s="275"/>
      <c r="AO23" s="275"/>
      <c r="AP23" s="276"/>
      <c r="AQ23" s="468"/>
      <c r="AR23" s="277"/>
      <c r="AS23" s="277"/>
      <c r="AT23" s="277"/>
      <c r="AU23" s="277"/>
      <c r="AV23" s="277"/>
      <c r="AW23" s="277"/>
      <c r="AX23" s="277"/>
      <c r="AY23" s="277"/>
      <c r="AZ23" s="277"/>
      <c r="BA23" s="277"/>
      <c r="BB23" s="277"/>
      <c r="BC23" s="277"/>
      <c r="BD23" s="277"/>
      <c r="BE23" s="277"/>
      <c r="BF23" s="277"/>
      <c r="BG23" s="277"/>
      <c r="BH23" s="277"/>
      <c r="BI23" s="277"/>
      <c r="BJ23" s="277"/>
      <c r="BK23" s="278"/>
      <c r="BL23" s="1263" t="s">
        <v>749</v>
      </c>
      <c r="BM23" s="1264"/>
      <c r="BN23" s="1264"/>
      <c r="BO23" s="1264"/>
      <c r="BP23" s="1264"/>
      <c r="BQ23" s="1264"/>
      <c r="BR23" s="1264"/>
      <c r="BS23" s="1264"/>
      <c r="BT23" s="1264"/>
      <c r="BU23" s="1264"/>
      <c r="BV23" s="1264"/>
      <c r="BW23" s="1264"/>
      <c r="BX23" s="1264"/>
      <c r="BY23" s="1264"/>
      <c r="BZ23" s="1264"/>
      <c r="CA23" s="1264"/>
      <c r="CB23" s="1264"/>
      <c r="CC23" s="1264"/>
      <c r="CD23" s="1264"/>
      <c r="CE23" s="1264"/>
      <c r="CF23" s="1264"/>
      <c r="CG23" s="1264"/>
      <c r="CH23" s="1264"/>
      <c r="CI23" s="1264"/>
      <c r="CJ23" s="1264"/>
      <c r="CK23" s="1264"/>
      <c r="CL23" s="1264"/>
      <c r="CM23" s="483" t="s">
        <v>750</v>
      </c>
      <c r="DQ23" s="443" t="s">
        <v>210</v>
      </c>
    </row>
    <row r="24" spans="1:121" ht="15.75" customHeight="1">
      <c r="A24" s="1288">
        <v>16</v>
      </c>
      <c r="B24" s="1289"/>
      <c r="C24" s="466" t="s">
        <v>746</v>
      </c>
      <c r="D24" s="461" t="s">
        <v>747</v>
      </c>
      <c r="E24" s="275"/>
      <c r="F24" s="275"/>
      <c r="G24" s="275"/>
      <c r="H24" s="275"/>
      <c r="I24" s="275"/>
      <c r="J24" s="276"/>
      <c r="K24" s="461" t="s">
        <v>589</v>
      </c>
      <c r="L24" s="247"/>
      <c r="M24" s="275"/>
      <c r="N24" s="275"/>
      <c r="O24" s="275"/>
      <c r="P24" s="275"/>
      <c r="Q24" s="275"/>
      <c r="R24" s="275"/>
      <c r="S24" s="275"/>
      <c r="T24" s="275"/>
      <c r="U24" s="276"/>
      <c r="V24" s="467" t="s">
        <v>748</v>
      </c>
      <c r="W24" s="461" t="s">
        <v>747</v>
      </c>
      <c r="X24" s="275"/>
      <c r="Y24" s="275"/>
      <c r="Z24" s="275"/>
      <c r="AA24" s="275"/>
      <c r="AB24" s="275"/>
      <c r="AC24" s="275"/>
      <c r="AD24" s="275"/>
      <c r="AE24" s="276"/>
      <c r="AF24" s="461" t="s">
        <v>589</v>
      </c>
      <c r="AG24" s="247"/>
      <c r="AH24" s="275"/>
      <c r="AI24" s="275"/>
      <c r="AJ24" s="275"/>
      <c r="AK24" s="275"/>
      <c r="AL24" s="275"/>
      <c r="AM24" s="275"/>
      <c r="AN24" s="275"/>
      <c r="AO24" s="275"/>
      <c r="AP24" s="276"/>
      <c r="AQ24" s="468"/>
      <c r="AR24" s="277"/>
      <c r="AS24" s="277"/>
      <c r="AT24" s="277"/>
      <c r="AU24" s="277"/>
      <c r="AV24" s="277"/>
      <c r="AW24" s="277"/>
      <c r="AX24" s="277"/>
      <c r="AY24" s="277"/>
      <c r="AZ24" s="277"/>
      <c r="BA24" s="277"/>
      <c r="BB24" s="277"/>
      <c r="BC24" s="277"/>
      <c r="BD24" s="277"/>
      <c r="BE24" s="277"/>
      <c r="BF24" s="277"/>
      <c r="BG24" s="277"/>
      <c r="BH24" s="277"/>
      <c r="BI24" s="277"/>
      <c r="BJ24" s="277"/>
      <c r="BK24" s="278"/>
      <c r="BL24" s="1263"/>
      <c r="BM24" s="1264"/>
      <c r="BN24" s="1264"/>
      <c r="BO24" s="1264"/>
      <c r="BP24" s="1264"/>
      <c r="BQ24" s="1264"/>
      <c r="BR24" s="1264"/>
      <c r="BS24" s="1264"/>
      <c r="BT24" s="1264"/>
      <c r="BU24" s="1264"/>
      <c r="BV24" s="1264"/>
      <c r="BW24" s="1264"/>
      <c r="BX24" s="1264"/>
      <c r="BY24" s="1264"/>
      <c r="BZ24" s="1264"/>
      <c r="CA24" s="1264"/>
      <c r="CB24" s="1264"/>
      <c r="CC24" s="1264"/>
      <c r="CD24" s="1264"/>
      <c r="CE24" s="1264"/>
      <c r="CF24" s="1264"/>
      <c r="CG24" s="1264"/>
      <c r="CH24" s="1264"/>
      <c r="CI24" s="1264"/>
      <c r="CJ24" s="1264"/>
      <c r="CK24" s="1264"/>
      <c r="CL24" s="1264"/>
      <c r="CM24" s="483" t="s">
        <v>751</v>
      </c>
    </row>
    <row r="25" spans="1:121" ht="15.75" customHeight="1">
      <c r="A25" s="1288">
        <v>17</v>
      </c>
      <c r="B25" s="1289"/>
      <c r="C25" s="466" t="s">
        <v>746</v>
      </c>
      <c r="D25" s="461" t="s">
        <v>747</v>
      </c>
      <c r="E25" s="275"/>
      <c r="F25" s="275"/>
      <c r="G25" s="275"/>
      <c r="H25" s="275"/>
      <c r="I25" s="275"/>
      <c r="J25" s="276"/>
      <c r="K25" s="461" t="s">
        <v>593</v>
      </c>
      <c r="L25" s="275"/>
      <c r="M25" s="275"/>
      <c r="N25" s="275"/>
      <c r="O25" s="275"/>
      <c r="P25" s="275"/>
      <c r="Q25" s="275"/>
      <c r="R25" s="275"/>
      <c r="S25" s="275"/>
      <c r="T25" s="275"/>
      <c r="U25" s="276"/>
      <c r="V25" s="467" t="s">
        <v>748</v>
      </c>
      <c r="W25" s="461" t="s">
        <v>747</v>
      </c>
      <c r="X25" s="275"/>
      <c r="Y25" s="275"/>
      <c r="Z25" s="275"/>
      <c r="AA25" s="275"/>
      <c r="AB25" s="275"/>
      <c r="AC25" s="275"/>
      <c r="AD25" s="275"/>
      <c r="AE25" s="276"/>
      <c r="AF25" s="461" t="s">
        <v>593</v>
      </c>
      <c r="AG25" s="275"/>
      <c r="AH25" s="275"/>
      <c r="AI25" s="275"/>
      <c r="AJ25" s="275"/>
      <c r="AK25" s="275"/>
      <c r="AL25" s="275"/>
      <c r="AM25" s="275"/>
      <c r="AN25" s="275"/>
      <c r="AO25" s="275"/>
      <c r="AP25" s="276"/>
      <c r="AQ25" s="468"/>
      <c r="AR25" s="277"/>
      <c r="AS25" s="277"/>
      <c r="AT25" s="277"/>
      <c r="AU25" s="277"/>
      <c r="AV25" s="277"/>
      <c r="AW25" s="277"/>
      <c r="AX25" s="277"/>
      <c r="AY25" s="277"/>
      <c r="AZ25" s="277"/>
      <c r="BA25" s="277"/>
      <c r="BB25" s="277"/>
      <c r="BC25" s="277"/>
      <c r="BD25" s="277"/>
      <c r="BE25" s="277"/>
      <c r="BF25" s="277"/>
      <c r="BG25" s="277"/>
      <c r="BH25" s="277"/>
      <c r="BI25" s="277"/>
      <c r="BJ25" s="277"/>
      <c r="BK25" s="278"/>
      <c r="BL25" s="1263"/>
      <c r="BM25" s="1264"/>
      <c r="BN25" s="1264"/>
      <c r="BO25" s="1264"/>
      <c r="BP25" s="1264"/>
      <c r="BQ25" s="1264"/>
      <c r="BR25" s="1264"/>
      <c r="BS25" s="1264"/>
      <c r="BT25" s="1264"/>
      <c r="BU25" s="1264"/>
      <c r="BV25" s="1264"/>
      <c r="BW25" s="1264"/>
      <c r="BX25" s="1264"/>
      <c r="BY25" s="1264"/>
      <c r="BZ25" s="1264"/>
      <c r="CA25" s="1264"/>
      <c r="CB25" s="1264"/>
      <c r="CC25" s="1264"/>
      <c r="CD25" s="1264"/>
      <c r="CE25" s="1264"/>
      <c r="CF25" s="1264"/>
      <c r="CG25" s="1264"/>
      <c r="CH25" s="1264"/>
      <c r="CI25" s="1264"/>
      <c r="CJ25" s="1264"/>
      <c r="CK25" s="1264"/>
      <c r="CL25" s="1264"/>
    </row>
    <row r="26" spans="1:121" ht="15.75" customHeight="1">
      <c r="A26" s="1288">
        <v>18</v>
      </c>
      <c r="B26" s="1289"/>
      <c r="C26" s="466" t="s">
        <v>746</v>
      </c>
      <c r="D26" s="461" t="s">
        <v>747</v>
      </c>
      <c r="E26" s="275"/>
      <c r="F26" s="275"/>
      <c r="G26" s="275"/>
      <c r="H26" s="275"/>
      <c r="I26" s="275"/>
      <c r="J26" s="276"/>
      <c r="K26" s="461" t="s">
        <v>596</v>
      </c>
      <c r="L26" s="275"/>
      <c r="M26" s="275"/>
      <c r="N26" s="275"/>
      <c r="O26" s="275"/>
      <c r="P26" s="275"/>
      <c r="Q26" s="275"/>
      <c r="R26" s="275"/>
      <c r="S26" s="275"/>
      <c r="T26" s="275"/>
      <c r="U26" s="276"/>
      <c r="V26" s="467" t="s">
        <v>748</v>
      </c>
      <c r="W26" s="461" t="s">
        <v>747</v>
      </c>
      <c r="X26" s="275"/>
      <c r="Y26" s="275"/>
      <c r="Z26" s="275"/>
      <c r="AA26" s="275"/>
      <c r="AB26" s="275"/>
      <c r="AC26" s="275"/>
      <c r="AD26" s="275"/>
      <c r="AE26" s="276"/>
      <c r="AF26" s="461" t="s">
        <v>596</v>
      </c>
      <c r="AG26" s="275"/>
      <c r="AH26" s="275"/>
      <c r="AI26" s="275"/>
      <c r="AJ26" s="275"/>
      <c r="AK26" s="275"/>
      <c r="AL26" s="275"/>
      <c r="AM26" s="275"/>
      <c r="AN26" s="275"/>
      <c r="AO26" s="275"/>
      <c r="AP26" s="276"/>
      <c r="AQ26" s="468"/>
      <c r="AR26" s="277"/>
      <c r="AS26" s="277"/>
      <c r="AT26" s="277"/>
      <c r="AU26" s="277"/>
      <c r="AV26" s="277"/>
      <c r="AW26" s="277"/>
      <c r="AX26" s="277"/>
      <c r="AY26" s="277"/>
      <c r="AZ26" s="277"/>
      <c r="BA26" s="277"/>
      <c r="BB26" s="277"/>
      <c r="BC26" s="277"/>
      <c r="BD26" s="277"/>
      <c r="BE26" s="277"/>
      <c r="BF26" s="277"/>
      <c r="BG26" s="277"/>
      <c r="BH26" s="277"/>
      <c r="BI26" s="277"/>
      <c r="BJ26" s="277"/>
      <c r="BK26" s="278"/>
    </row>
    <row r="27" spans="1:121" ht="15.75" customHeight="1">
      <c r="A27" s="1288">
        <v>19</v>
      </c>
      <c r="B27" s="1289"/>
      <c r="C27" s="466" t="s">
        <v>746</v>
      </c>
      <c r="D27" s="461" t="s">
        <v>747</v>
      </c>
      <c r="E27" s="275"/>
      <c r="F27" s="275"/>
      <c r="G27" s="275"/>
      <c r="H27" s="275"/>
      <c r="I27" s="275"/>
      <c r="J27" s="276"/>
      <c r="K27" s="461" t="s">
        <v>736</v>
      </c>
      <c r="L27" s="275"/>
      <c r="M27" s="275"/>
      <c r="N27" s="275"/>
      <c r="O27" s="275"/>
      <c r="P27" s="275"/>
      <c r="Q27" s="275"/>
      <c r="R27" s="275"/>
      <c r="S27" s="275"/>
      <c r="T27" s="275"/>
      <c r="U27" s="276"/>
      <c r="V27" s="467" t="s">
        <v>748</v>
      </c>
      <c r="W27" s="461" t="s">
        <v>747</v>
      </c>
      <c r="X27" s="275"/>
      <c r="Y27" s="275"/>
      <c r="Z27" s="275"/>
      <c r="AA27" s="275"/>
      <c r="AB27" s="275"/>
      <c r="AC27" s="275"/>
      <c r="AD27" s="275"/>
      <c r="AE27" s="276"/>
      <c r="AF27" s="461" t="s">
        <v>736</v>
      </c>
      <c r="AG27" s="275"/>
      <c r="AH27" s="275"/>
      <c r="AI27" s="275"/>
      <c r="AJ27" s="275"/>
      <c r="AK27" s="275"/>
      <c r="AL27" s="275"/>
      <c r="AM27" s="275"/>
      <c r="AN27" s="275"/>
      <c r="AO27" s="275"/>
      <c r="AP27" s="276"/>
      <c r="AQ27" s="468"/>
      <c r="AR27" s="277"/>
      <c r="AS27" s="277"/>
      <c r="AT27" s="277"/>
      <c r="AU27" s="277"/>
      <c r="AV27" s="277"/>
      <c r="AW27" s="277"/>
      <c r="AX27" s="277"/>
      <c r="AY27" s="277"/>
      <c r="AZ27" s="277"/>
      <c r="BA27" s="277"/>
      <c r="BB27" s="277"/>
      <c r="BC27" s="277"/>
      <c r="BD27" s="277"/>
      <c r="BE27" s="277"/>
      <c r="BF27" s="277"/>
      <c r="BG27" s="277"/>
      <c r="BH27" s="277"/>
      <c r="BI27" s="277"/>
      <c r="BJ27" s="277"/>
      <c r="BK27" s="278"/>
    </row>
    <row r="28" spans="1:121" ht="15.75" customHeight="1">
      <c r="A28" s="1288">
        <v>20</v>
      </c>
      <c r="B28" s="1289"/>
      <c r="C28" s="466" t="s">
        <v>746</v>
      </c>
      <c r="D28" s="461" t="s">
        <v>747</v>
      </c>
      <c r="E28" s="275"/>
      <c r="F28" s="275"/>
      <c r="G28" s="275"/>
      <c r="H28" s="275"/>
      <c r="I28" s="275"/>
      <c r="J28" s="276"/>
      <c r="K28" s="461" t="s">
        <v>738</v>
      </c>
      <c r="L28" s="275"/>
      <c r="M28" s="275"/>
      <c r="N28" s="275"/>
      <c r="O28" s="275"/>
      <c r="P28" s="275"/>
      <c r="Q28" s="275"/>
      <c r="R28" s="275"/>
      <c r="S28" s="275"/>
      <c r="T28" s="275"/>
      <c r="U28" s="276"/>
      <c r="V28" s="467" t="s">
        <v>748</v>
      </c>
      <c r="W28" s="461" t="s">
        <v>747</v>
      </c>
      <c r="X28" s="275"/>
      <c r="Y28" s="275"/>
      <c r="Z28" s="275"/>
      <c r="AA28" s="275"/>
      <c r="AB28" s="275"/>
      <c r="AC28" s="275"/>
      <c r="AD28" s="275"/>
      <c r="AE28" s="276"/>
      <c r="AF28" s="461" t="s">
        <v>738</v>
      </c>
      <c r="AG28" s="275"/>
      <c r="AH28" s="275"/>
      <c r="AI28" s="275"/>
      <c r="AJ28" s="275"/>
      <c r="AK28" s="275"/>
      <c r="AL28" s="275"/>
      <c r="AM28" s="275"/>
      <c r="AN28" s="275"/>
      <c r="AO28" s="275"/>
      <c r="AP28" s="276"/>
      <c r="AQ28" s="468"/>
      <c r="AR28" s="277"/>
      <c r="AS28" s="277"/>
      <c r="AT28" s="277"/>
      <c r="AU28" s="277"/>
      <c r="AV28" s="277"/>
      <c r="AW28" s="277"/>
      <c r="AX28" s="277"/>
      <c r="AY28" s="277"/>
      <c r="AZ28" s="277"/>
      <c r="BA28" s="277"/>
      <c r="BB28" s="277"/>
      <c r="BC28" s="277"/>
      <c r="BD28" s="277"/>
      <c r="BE28" s="277"/>
      <c r="BF28" s="277"/>
      <c r="BG28" s="277"/>
      <c r="BH28" s="277"/>
      <c r="BI28" s="277"/>
      <c r="BJ28" s="277"/>
      <c r="BK28" s="278"/>
    </row>
    <row r="29" spans="1:121" ht="15.75" customHeight="1">
      <c r="A29" s="1288">
        <v>21</v>
      </c>
      <c r="B29" s="1289"/>
      <c r="C29" s="466" t="s">
        <v>746</v>
      </c>
      <c r="D29" s="461" t="s">
        <v>747</v>
      </c>
      <c r="E29" s="275"/>
      <c r="F29" s="275"/>
      <c r="G29" s="275"/>
      <c r="H29" s="275"/>
      <c r="I29" s="275"/>
      <c r="J29" s="276"/>
      <c r="K29" s="461" t="s">
        <v>739</v>
      </c>
      <c r="L29" s="275"/>
      <c r="M29" s="275"/>
      <c r="N29" s="275"/>
      <c r="O29" s="275"/>
      <c r="P29" s="275"/>
      <c r="Q29" s="275"/>
      <c r="R29" s="275"/>
      <c r="S29" s="275"/>
      <c r="T29" s="275"/>
      <c r="U29" s="276"/>
      <c r="V29" s="467" t="s">
        <v>748</v>
      </c>
      <c r="W29" s="461" t="s">
        <v>747</v>
      </c>
      <c r="X29" s="275"/>
      <c r="Y29" s="275"/>
      <c r="Z29" s="275"/>
      <c r="AA29" s="275"/>
      <c r="AB29" s="275"/>
      <c r="AC29" s="275"/>
      <c r="AD29" s="275"/>
      <c r="AE29" s="276"/>
      <c r="AF29" s="461" t="s">
        <v>739</v>
      </c>
      <c r="AG29" s="275"/>
      <c r="AH29" s="275"/>
      <c r="AI29" s="275"/>
      <c r="AJ29" s="275"/>
      <c r="AK29" s="275"/>
      <c r="AL29" s="275"/>
      <c r="AM29" s="275"/>
      <c r="AN29" s="275"/>
      <c r="AO29" s="275"/>
      <c r="AP29" s="276"/>
      <c r="AQ29" s="468"/>
      <c r="AR29" s="277"/>
      <c r="AS29" s="277"/>
      <c r="AT29" s="277"/>
      <c r="AU29" s="277"/>
      <c r="AV29" s="277"/>
      <c r="AW29" s="277"/>
      <c r="AX29" s="277"/>
      <c r="AY29" s="277"/>
      <c r="AZ29" s="277"/>
      <c r="BA29" s="277"/>
      <c r="BB29" s="277"/>
      <c r="BC29" s="277"/>
      <c r="BD29" s="277"/>
      <c r="BE29" s="277"/>
      <c r="BF29" s="277"/>
      <c r="BG29" s="277"/>
      <c r="BH29" s="277"/>
      <c r="BI29" s="277"/>
      <c r="BJ29" s="277"/>
      <c r="BK29" s="278"/>
    </row>
    <row r="30" spans="1:121" ht="15.75" customHeight="1">
      <c r="A30" s="1288">
        <v>22</v>
      </c>
      <c r="B30" s="1289"/>
      <c r="C30" s="466" t="s">
        <v>746</v>
      </c>
      <c r="D30" s="461" t="s">
        <v>747</v>
      </c>
      <c r="E30" s="275"/>
      <c r="F30" s="275"/>
      <c r="G30" s="275"/>
      <c r="H30" s="275"/>
      <c r="I30" s="275"/>
      <c r="J30" s="276"/>
      <c r="K30" s="461" t="s">
        <v>740</v>
      </c>
      <c r="L30" s="275"/>
      <c r="M30" s="275"/>
      <c r="N30" s="275"/>
      <c r="O30" s="275"/>
      <c r="P30" s="275"/>
      <c r="Q30" s="275"/>
      <c r="R30" s="275"/>
      <c r="S30" s="275"/>
      <c r="T30" s="275"/>
      <c r="U30" s="276"/>
      <c r="V30" s="467" t="s">
        <v>748</v>
      </c>
      <c r="W30" s="461" t="s">
        <v>747</v>
      </c>
      <c r="X30" s="275"/>
      <c r="Y30" s="275"/>
      <c r="Z30" s="275"/>
      <c r="AA30" s="275"/>
      <c r="AB30" s="275"/>
      <c r="AC30" s="275"/>
      <c r="AD30" s="275"/>
      <c r="AE30" s="276"/>
      <c r="AF30" s="461" t="s">
        <v>740</v>
      </c>
      <c r="AG30" s="275"/>
      <c r="AH30" s="275"/>
      <c r="AI30" s="275"/>
      <c r="AJ30" s="275"/>
      <c r="AK30" s="275"/>
      <c r="AL30" s="275"/>
      <c r="AM30" s="275"/>
      <c r="AN30" s="275"/>
      <c r="AO30" s="275"/>
      <c r="AP30" s="276"/>
      <c r="AQ30" s="468"/>
      <c r="AR30" s="277"/>
      <c r="AS30" s="277"/>
      <c r="AT30" s="277"/>
      <c r="AU30" s="277"/>
      <c r="AV30" s="277"/>
      <c r="AW30" s="277"/>
      <c r="AX30" s="277"/>
      <c r="AY30" s="277"/>
      <c r="AZ30" s="277"/>
      <c r="BA30" s="277"/>
      <c r="BB30" s="277"/>
      <c r="BC30" s="277"/>
      <c r="BD30" s="277"/>
      <c r="BE30" s="277"/>
      <c r="BF30" s="277"/>
      <c r="BG30" s="277"/>
      <c r="BH30" s="277"/>
      <c r="BI30" s="277"/>
      <c r="BJ30" s="277"/>
      <c r="BK30" s="278"/>
    </row>
    <row r="31" spans="1:121" ht="15.75" customHeight="1">
      <c r="A31" s="1288">
        <v>23</v>
      </c>
      <c r="B31" s="1289"/>
      <c r="C31" s="466" t="s">
        <v>746</v>
      </c>
      <c r="D31" s="461" t="s">
        <v>747</v>
      </c>
      <c r="E31" s="275"/>
      <c r="F31" s="275"/>
      <c r="G31" s="275"/>
      <c r="H31" s="275"/>
      <c r="I31" s="275"/>
      <c r="J31" s="276"/>
      <c r="K31" s="461" t="s">
        <v>302</v>
      </c>
      <c r="L31" s="275"/>
      <c r="M31" s="275"/>
      <c r="N31" s="275"/>
      <c r="O31" s="275"/>
      <c r="P31" s="275"/>
      <c r="Q31" s="275"/>
      <c r="R31" s="275"/>
      <c r="S31" s="275"/>
      <c r="T31" s="275"/>
      <c r="U31" s="276"/>
      <c r="V31" s="467" t="s">
        <v>748</v>
      </c>
      <c r="W31" s="461" t="s">
        <v>747</v>
      </c>
      <c r="X31" s="275"/>
      <c r="Y31" s="275"/>
      <c r="Z31" s="275"/>
      <c r="AA31" s="275"/>
      <c r="AB31" s="275"/>
      <c r="AC31" s="275"/>
      <c r="AD31" s="275"/>
      <c r="AE31" s="276"/>
      <c r="AF31" s="461" t="s">
        <v>302</v>
      </c>
      <c r="AG31" s="275"/>
      <c r="AH31" s="275"/>
      <c r="AI31" s="275"/>
      <c r="AJ31" s="275"/>
      <c r="AK31" s="275"/>
      <c r="AL31" s="275"/>
      <c r="AM31" s="275"/>
      <c r="AN31" s="275"/>
      <c r="AO31" s="275"/>
      <c r="AP31" s="276"/>
      <c r="AQ31" s="468"/>
      <c r="AR31" s="277"/>
      <c r="AS31" s="277"/>
      <c r="AT31" s="277"/>
      <c r="AU31" s="277"/>
      <c r="AV31" s="277"/>
      <c r="AW31" s="277"/>
      <c r="AX31" s="277"/>
      <c r="AY31" s="277"/>
      <c r="AZ31" s="277"/>
      <c r="BA31" s="277"/>
      <c r="BB31" s="277"/>
      <c r="BC31" s="277"/>
      <c r="BD31" s="277"/>
      <c r="BE31" s="277"/>
      <c r="BF31" s="277"/>
      <c r="BG31" s="277"/>
      <c r="BH31" s="277"/>
      <c r="BI31" s="277"/>
      <c r="BJ31" s="277"/>
      <c r="BK31" s="278"/>
    </row>
    <row r="32" spans="1:121" ht="15.75" customHeight="1">
      <c r="A32" s="1288">
        <v>24</v>
      </c>
      <c r="B32" s="1289"/>
      <c r="C32" s="466" t="s">
        <v>746</v>
      </c>
      <c r="D32" s="461" t="s">
        <v>747</v>
      </c>
      <c r="E32" s="275"/>
      <c r="F32" s="275"/>
      <c r="G32" s="275"/>
      <c r="H32" s="275"/>
      <c r="I32" s="275"/>
      <c r="J32" s="276"/>
      <c r="K32" s="461" t="s">
        <v>611</v>
      </c>
      <c r="L32" s="275"/>
      <c r="M32" s="275"/>
      <c r="N32" s="275"/>
      <c r="O32" s="275"/>
      <c r="P32" s="275"/>
      <c r="Q32" s="275"/>
      <c r="R32" s="275"/>
      <c r="S32" s="275"/>
      <c r="T32" s="275"/>
      <c r="U32" s="276"/>
      <c r="V32" s="467" t="s">
        <v>748</v>
      </c>
      <c r="W32" s="461" t="s">
        <v>747</v>
      </c>
      <c r="X32" s="275"/>
      <c r="Y32" s="275"/>
      <c r="Z32" s="275"/>
      <c r="AA32" s="275"/>
      <c r="AB32" s="275"/>
      <c r="AC32" s="275"/>
      <c r="AD32" s="275"/>
      <c r="AE32" s="276"/>
      <c r="AF32" s="461" t="s">
        <v>611</v>
      </c>
      <c r="AG32" s="275"/>
      <c r="AH32" s="275"/>
      <c r="AI32" s="275"/>
      <c r="AJ32" s="275"/>
      <c r="AK32" s="275"/>
      <c r="AL32" s="275"/>
      <c r="AM32" s="275"/>
      <c r="AN32" s="275"/>
      <c r="AO32" s="275"/>
      <c r="AP32" s="276"/>
      <c r="AQ32" s="468"/>
      <c r="AR32" s="277"/>
      <c r="AS32" s="277"/>
      <c r="AT32" s="277"/>
      <c r="AU32" s="277"/>
      <c r="AV32" s="277"/>
      <c r="AW32" s="277"/>
      <c r="AX32" s="277"/>
      <c r="AY32" s="277"/>
      <c r="AZ32" s="277"/>
      <c r="BA32" s="277"/>
      <c r="BB32" s="277"/>
      <c r="BC32" s="277"/>
      <c r="BD32" s="277"/>
      <c r="BE32" s="277"/>
      <c r="BF32" s="277"/>
      <c r="BG32" s="277"/>
      <c r="BH32" s="277"/>
      <c r="BI32" s="277"/>
      <c r="BJ32" s="277"/>
      <c r="BK32" s="278"/>
    </row>
    <row r="33" spans="1:90" ht="15.75" customHeight="1">
      <c r="A33" s="1288">
        <v>25</v>
      </c>
      <c r="B33" s="1289"/>
      <c r="C33" s="466" t="s">
        <v>746</v>
      </c>
      <c r="D33" s="264" t="s">
        <v>558</v>
      </c>
      <c r="E33" s="247"/>
      <c r="F33" s="247"/>
      <c r="G33" s="247"/>
      <c r="H33" s="247"/>
      <c r="I33" s="247"/>
      <c r="J33" s="263"/>
      <c r="K33" s="461" t="s">
        <v>318</v>
      </c>
      <c r="L33" s="247"/>
      <c r="M33" s="247"/>
      <c r="N33" s="247"/>
      <c r="O33" s="247"/>
      <c r="P33" s="247"/>
      <c r="Q33" s="247"/>
      <c r="R33" s="247"/>
      <c r="S33" s="247"/>
      <c r="T33" s="247"/>
      <c r="U33" s="263"/>
      <c r="V33" s="467" t="s">
        <v>748</v>
      </c>
      <c r="W33" s="461" t="s">
        <v>747</v>
      </c>
      <c r="X33" s="247"/>
      <c r="Y33" s="247"/>
      <c r="Z33" s="247"/>
      <c r="AA33" s="247"/>
      <c r="AB33" s="247"/>
      <c r="AC33" s="247"/>
      <c r="AD33" s="247"/>
      <c r="AE33" s="263"/>
      <c r="AF33" s="461" t="s">
        <v>318</v>
      </c>
      <c r="AG33" s="247"/>
      <c r="AH33" s="247"/>
      <c r="AI33" s="247"/>
      <c r="AJ33" s="247"/>
      <c r="AK33" s="247"/>
      <c r="AL33" s="247"/>
      <c r="AM33" s="247"/>
      <c r="AN33" s="247"/>
      <c r="AO33" s="247"/>
      <c r="AP33" s="263"/>
      <c r="AQ33" s="266"/>
      <c r="AR33" s="267"/>
      <c r="AS33" s="267"/>
      <c r="AT33" s="267"/>
      <c r="AU33" s="267"/>
      <c r="AV33" s="267"/>
      <c r="AW33" s="267"/>
      <c r="AX33" s="267"/>
      <c r="AY33" s="267"/>
      <c r="AZ33" s="267"/>
      <c r="BA33" s="267"/>
      <c r="BB33" s="267"/>
      <c r="BC33" s="267"/>
      <c r="BD33" s="267"/>
      <c r="BE33" s="267"/>
      <c r="BF33" s="267"/>
      <c r="BG33" s="267"/>
      <c r="BH33" s="267"/>
      <c r="BI33" s="267"/>
      <c r="BJ33" s="267"/>
      <c r="BK33" s="268"/>
    </row>
    <row r="34" spans="1:90" ht="15.75" customHeight="1">
      <c r="A34" s="1288">
        <v>26</v>
      </c>
      <c r="B34" s="1289"/>
      <c r="C34" s="466" t="s">
        <v>746</v>
      </c>
      <c r="D34" s="264" t="s">
        <v>558</v>
      </c>
      <c r="E34" s="247"/>
      <c r="F34" s="247"/>
      <c r="G34" s="247"/>
      <c r="H34" s="247"/>
      <c r="I34" s="247"/>
      <c r="J34" s="263"/>
      <c r="K34" s="461" t="s">
        <v>741</v>
      </c>
      <c r="L34" s="247"/>
      <c r="M34" s="247"/>
      <c r="N34" s="247"/>
      <c r="O34" s="247"/>
      <c r="P34" s="247"/>
      <c r="Q34" s="247"/>
      <c r="R34" s="247"/>
      <c r="S34" s="247"/>
      <c r="T34" s="247"/>
      <c r="U34" s="263"/>
      <c r="V34" s="467" t="s">
        <v>748</v>
      </c>
      <c r="W34" s="461" t="s">
        <v>747</v>
      </c>
      <c r="X34" s="247"/>
      <c r="Y34" s="247"/>
      <c r="Z34" s="247"/>
      <c r="AA34" s="247"/>
      <c r="AB34" s="247"/>
      <c r="AC34" s="247"/>
      <c r="AD34" s="247"/>
      <c r="AE34" s="263"/>
      <c r="AF34" s="461" t="s">
        <v>741</v>
      </c>
      <c r="AG34" s="247"/>
      <c r="AH34" s="247"/>
      <c r="AI34" s="247"/>
      <c r="AJ34" s="247"/>
      <c r="AK34" s="247"/>
      <c r="AL34" s="247"/>
      <c r="AM34" s="247"/>
      <c r="AN34" s="247"/>
      <c r="AO34" s="247"/>
      <c r="AP34" s="263"/>
      <c r="AQ34" s="266"/>
      <c r="AR34" s="267"/>
      <c r="AS34" s="267"/>
      <c r="AT34" s="267"/>
      <c r="AU34" s="267"/>
      <c r="AV34" s="267"/>
      <c r="AW34" s="267"/>
      <c r="AX34" s="267"/>
      <c r="AY34" s="267"/>
      <c r="AZ34" s="267"/>
      <c r="BA34" s="267"/>
      <c r="BB34" s="267"/>
      <c r="BC34" s="267"/>
      <c r="BD34" s="267"/>
      <c r="BE34" s="267"/>
      <c r="BF34" s="267"/>
      <c r="BG34" s="267"/>
      <c r="BH34" s="267"/>
      <c r="BI34" s="267"/>
      <c r="BJ34" s="267"/>
      <c r="BK34" s="268"/>
      <c r="BL34" s="1263"/>
      <c r="BM34" s="1264"/>
      <c r="BN34" s="1264"/>
      <c r="BO34" s="1264"/>
      <c r="BP34" s="1264"/>
      <c r="BQ34" s="1264"/>
      <c r="BR34" s="1264"/>
      <c r="BS34" s="1264"/>
      <c r="BT34" s="1264"/>
      <c r="BU34" s="1264"/>
      <c r="BV34" s="1264"/>
      <c r="BW34" s="1264"/>
      <c r="BX34" s="1264"/>
      <c r="BY34" s="1264"/>
      <c r="BZ34" s="1264"/>
      <c r="CA34" s="1264"/>
      <c r="CB34" s="1264"/>
      <c r="CC34" s="1264"/>
      <c r="CD34" s="1264"/>
      <c r="CE34" s="1264"/>
      <c r="CF34" s="1264"/>
      <c r="CG34" s="1264"/>
      <c r="CH34" s="1264"/>
      <c r="CI34" s="1264"/>
      <c r="CJ34" s="1264"/>
      <c r="CK34" s="1264"/>
      <c r="CL34" s="1264"/>
    </row>
    <row r="35" spans="1:90" ht="15.75" customHeight="1">
      <c r="A35" s="1288">
        <v>27</v>
      </c>
      <c r="B35" s="1289"/>
      <c r="C35" s="466" t="s">
        <v>746</v>
      </c>
      <c r="D35" s="264" t="s">
        <v>558</v>
      </c>
      <c r="E35" s="247"/>
      <c r="F35" s="247"/>
      <c r="G35" s="247"/>
      <c r="H35" s="247"/>
      <c r="I35" s="247"/>
      <c r="J35" s="263"/>
      <c r="K35" s="461" t="s">
        <v>305</v>
      </c>
      <c r="L35" s="247"/>
      <c r="M35" s="247"/>
      <c r="N35" s="247"/>
      <c r="O35" s="247"/>
      <c r="P35" s="247"/>
      <c r="Q35" s="247"/>
      <c r="R35" s="247"/>
      <c r="S35" s="247"/>
      <c r="T35" s="247"/>
      <c r="U35" s="263"/>
      <c r="V35" s="467" t="s">
        <v>748</v>
      </c>
      <c r="W35" s="461" t="s">
        <v>747</v>
      </c>
      <c r="X35" s="247"/>
      <c r="Y35" s="247"/>
      <c r="Z35" s="247"/>
      <c r="AA35" s="247"/>
      <c r="AB35" s="247"/>
      <c r="AC35" s="247"/>
      <c r="AD35" s="247"/>
      <c r="AE35" s="263"/>
      <c r="AF35" s="461" t="s">
        <v>305</v>
      </c>
      <c r="AG35" s="247"/>
      <c r="AH35" s="247"/>
      <c r="AI35" s="247"/>
      <c r="AJ35" s="247"/>
      <c r="AK35" s="247"/>
      <c r="AL35" s="247"/>
      <c r="AM35" s="247"/>
      <c r="AN35" s="247"/>
      <c r="AO35" s="247"/>
      <c r="AP35" s="263"/>
      <c r="AQ35" s="266"/>
      <c r="AR35" s="267"/>
      <c r="AS35" s="267"/>
      <c r="AT35" s="267"/>
      <c r="AU35" s="267"/>
      <c r="AV35" s="267"/>
      <c r="AW35" s="267"/>
      <c r="AX35" s="267"/>
      <c r="AY35" s="267"/>
      <c r="AZ35" s="267"/>
      <c r="BA35" s="267"/>
      <c r="BB35" s="267"/>
      <c r="BC35" s="267"/>
      <c r="BD35" s="267"/>
      <c r="BE35" s="267"/>
      <c r="BF35" s="267"/>
      <c r="BG35" s="267"/>
      <c r="BH35" s="267"/>
      <c r="BI35" s="267"/>
      <c r="BJ35" s="267"/>
      <c r="BK35" s="268"/>
      <c r="BL35" s="1263"/>
      <c r="BM35" s="1264"/>
      <c r="BN35" s="1264"/>
      <c r="BO35" s="1264"/>
      <c r="BP35" s="1264"/>
      <c r="BQ35" s="1264"/>
      <c r="BR35" s="1264"/>
      <c r="BS35" s="1264"/>
      <c r="BT35" s="1264"/>
      <c r="BU35" s="1264"/>
      <c r="BV35" s="1264"/>
      <c r="BW35" s="1264"/>
      <c r="BX35" s="1264"/>
      <c r="BY35" s="1264"/>
      <c r="BZ35" s="1264"/>
      <c r="CA35" s="1264"/>
      <c r="CB35" s="1264"/>
      <c r="CC35" s="1264"/>
      <c r="CD35" s="1264"/>
      <c r="CE35" s="1264"/>
      <c r="CF35" s="1264"/>
      <c r="CG35" s="1264"/>
      <c r="CH35" s="1264"/>
      <c r="CI35" s="1264"/>
      <c r="CJ35" s="1264"/>
      <c r="CK35" s="1264"/>
      <c r="CL35" s="1264"/>
    </row>
    <row r="36" spans="1:90" ht="15.75" customHeight="1">
      <c r="A36" s="1288">
        <v>28</v>
      </c>
      <c r="B36" s="1289"/>
      <c r="C36" s="466" t="s">
        <v>746</v>
      </c>
      <c r="D36" s="264" t="s">
        <v>558</v>
      </c>
      <c r="E36" s="247"/>
      <c r="F36" s="247"/>
      <c r="G36" s="247"/>
      <c r="H36" s="247"/>
      <c r="I36" s="247"/>
      <c r="J36" s="263"/>
      <c r="K36" s="461" t="s">
        <v>823</v>
      </c>
      <c r="L36" s="247"/>
      <c r="M36" s="247"/>
      <c r="N36" s="247"/>
      <c r="O36" s="247"/>
      <c r="P36" s="247"/>
      <c r="Q36" s="247"/>
      <c r="R36" s="247"/>
      <c r="S36" s="247"/>
      <c r="T36" s="247"/>
      <c r="U36" s="263"/>
      <c r="V36" s="467" t="s">
        <v>748</v>
      </c>
      <c r="W36" s="461" t="s">
        <v>747</v>
      </c>
      <c r="X36" s="247"/>
      <c r="Y36" s="247"/>
      <c r="Z36" s="247"/>
      <c r="AA36" s="247"/>
      <c r="AB36" s="247"/>
      <c r="AC36" s="247"/>
      <c r="AD36" s="247"/>
      <c r="AE36" s="263"/>
      <c r="AF36" s="461" t="s">
        <v>824</v>
      </c>
      <c r="AG36" s="247"/>
      <c r="AH36" s="247"/>
      <c r="AI36" s="247"/>
      <c r="AJ36" s="247"/>
      <c r="AK36" s="247"/>
      <c r="AL36" s="247"/>
      <c r="AM36" s="247"/>
      <c r="AN36" s="247"/>
      <c r="AO36" s="247"/>
      <c r="AP36" s="263"/>
      <c r="AQ36" s="266"/>
      <c r="AR36" s="267"/>
      <c r="AS36" s="267"/>
      <c r="AT36" s="267"/>
      <c r="AU36" s="267"/>
      <c r="AV36" s="267"/>
      <c r="AW36" s="267"/>
      <c r="AX36" s="267"/>
      <c r="AY36" s="267"/>
      <c r="AZ36" s="267"/>
      <c r="BA36" s="267"/>
      <c r="BB36" s="267"/>
      <c r="BC36" s="267"/>
      <c r="BD36" s="267"/>
      <c r="BE36" s="267"/>
      <c r="BF36" s="267"/>
      <c r="BG36" s="267"/>
      <c r="BH36" s="267"/>
      <c r="BI36" s="267"/>
      <c r="BJ36" s="267"/>
      <c r="BK36" s="268"/>
      <c r="BL36" s="1263"/>
      <c r="BM36" s="1264"/>
      <c r="BN36" s="1264"/>
      <c r="BO36" s="1264"/>
      <c r="BP36" s="1264"/>
      <c r="BQ36" s="1264"/>
      <c r="BR36" s="1264"/>
      <c r="BS36" s="1264"/>
      <c r="BT36" s="1264"/>
      <c r="BU36" s="1264"/>
      <c r="BV36" s="1264"/>
      <c r="BW36" s="1264"/>
      <c r="BX36" s="1264"/>
      <c r="BY36" s="1264"/>
      <c r="BZ36" s="1264"/>
      <c r="CA36" s="1264"/>
      <c r="CB36" s="1264"/>
      <c r="CC36" s="1264"/>
      <c r="CD36" s="1264"/>
      <c r="CE36" s="1264"/>
      <c r="CF36" s="1264"/>
      <c r="CG36" s="1264"/>
      <c r="CH36" s="1264"/>
      <c r="CI36" s="1264"/>
      <c r="CJ36" s="1264"/>
      <c r="CK36" s="1264"/>
      <c r="CL36" s="1264"/>
    </row>
    <row r="37" spans="1:90" ht="15.75" customHeight="1">
      <c r="A37" s="1288">
        <v>29</v>
      </c>
      <c r="B37" s="1289"/>
      <c r="C37" s="466" t="s">
        <v>746</v>
      </c>
      <c r="D37" s="264" t="s">
        <v>558</v>
      </c>
      <c r="E37" s="247"/>
      <c r="F37" s="247"/>
      <c r="G37" s="247"/>
      <c r="H37" s="247"/>
      <c r="I37" s="247"/>
      <c r="J37" s="263"/>
      <c r="K37" s="461" t="s">
        <v>306</v>
      </c>
      <c r="L37" s="247"/>
      <c r="M37" s="247"/>
      <c r="N37" s="247"/>
      <c r="O37" s="247"/>
      <c r="P37" s="247"/>
      <c r="Q37" s="247"/>
      <c r="R37" s="247"/>
      <c r="S37" s="247"/>
      <c r="T37" s="247"/>
      <c r="U37" s="263"/>
      <c r="V37" s="467" t="s">
        <v>748</v>
      </c>
      <c r="W37" s="461" t="s">
        <v>747</v>
      </c>
      <c r="X37" s="247"/>
      <c r="Y37" s="247"/>
      <c r="Z37" s="247"/>
      <c r="AA37" s="247"/>
      <c r="AB37" s="247"/>
      <c r="AC37" s="247"/>
      <c r="AD37" s="247"/>
      <c r="AE37" s="263"/>
      <c r="AF37" s="461" t="s">
        <v>306</v>
      </c>
      <c r="AG37" s="247"/>
      <c r="AH37" s="247"/>
      <c r="AI37" s="247"/>
      <c r="AJ37" s="247"/>
      <c r="AK37" s="247"/>
      <c r="AL37" s="247"/>
      <c r="AM37" s="247"/>
      <c r="AN37" s="247"/>
      <c r="AO37" s="247"/>
      <c r="AP37" s="263"/>
      <c r="AQ37" s="266"/>
      <c r="AR37" s="267"/>
      <c r="AS37" s="267"/>
      <c r="AT37" s="267"/>
      <c r="AU37" s="267"/>
      <c r="AV37" s="267"/>
      <c r="AW37" s="267"/>
      <c r="AX37" s="267"/>
      <c r="AY37" s="267"/>
      <c r="AZ37" s="267"/>
      <c r="BA37" s="267"/>
      <c r="BB37" s="267"/>
      <c r="BC37" s="267"/>
      <c r="BD37" s="267"/>
      <c r="BE37" s="267"/>
      <c r="BF37" s="267"/>
      <c r="BG37" s="267"/>
      <c r="BH37" s="267"/>
      <c r="BI37" s="267"/>
      <c r="BJ37" s="267"/>
      <c r="BK37" s="268"/>
      <c r="BL37" s="1263"/>
      <c r="BM37" s="1264"/>
      <c r="BN37" s="1264"/>
      <c r="BO37" s="1264"/>
      <c r="BP37" s="1264"/>
      <c r="BQ37" s="1264"/>
      <c r="BR37" s="1264"/>
      <c r="BS37" s="1264"/>
      <c r="BT37" s="1264"/>
      <c r="BU37" s="1264"/>
      <c r="BV37" s="1264"/>
      <c r="BW37" s="1264"/>
      <c r="BX37" s="1264"/>
      <c r="BY37" s="1264"/>
      <c r="BZ37" s="1264"/>
      <c r="CA37" s="1264"/>
      <c r="CB37" s="1264"/>
      <c r="CC37" s="1264"/>
      <c r="CD37" s="1264"/>
      <c r="CE37" s="1264"/>
      <c r="CF37" s="1264"/>
      <c r="CG37" s="1264"/>
      <c r="CH37" s="1264"/>
      <c r="CI37" s="1264"/>
      <c r="CJ37" s="1264"/>
      <c r="CK37" s="1264"/>
      <c r="CL37" s="1264"/>
    </row>
    <row r="38" spans="1:90" ht="15.75" customHeight="1">
      <c r="A38" s="1288">
        <v>30</v>
      </c>
      <c r="B38" s="1289"/>
      <c r="C38" s="466" t="s">
        <v>746</v>
      </c>
      <c r="D38" s="264" t="s">
        <v>558</v>
      </c>
      <c r="E38" s="247"/>
      <c r="F38" s="247"/>
      <c r="G38" s="247"/>
      <c r="H38" s="247"/>
      <c r="I38" s="247"/>
      <c r="J38" s="263"/>
      <c r="K38" s="461" t="s">
        <v>319</v>
      </c>
      <c r="L38" s="247"/>
      <c r="M38" s="247"/>
      <c r="N38" s="247"/>
      <c r="O38" s="247"/>
      <c r="P38" s="247"/>
      <c r="Q38" s="247"/>
      <c r="R38" s="247"/>
      <c r="S38" s="247"/>
      <c r="T38" s="247"/>
      <c r="U38" s="263"/>
      <c r="V38" s="467" t="s">
        <v>748</v>
      </c>
      <c r="W38" s="461" t="s">
        <v>747</v>
      </c>
      <c r="X38" s="247"/>
      <c r="Y38" s="247"/>
      <c r="Z38" s="247"/>
      <c r="AA38" s="247"/>
      <c r="AB38" s="247"/>
      <c r="AC38" s="247"/>
      <c r="AD38" s="247"/>
      <c r="AE38" s="263"/>
      <c r="AF38" s="461" t="s">
        <v>319</v>
      </c>
      <c r="AG38" s="247"/>
      <c r="AH38" s="247"/>
      <c r="AI38" s="247"/>
      <c r="AJ38" s="247"/>
      <c r="AK38" s="247"/>
      <c r="AL38" s="247"/>
      <c r="AM38" s="247"/>
      <c r="AN38" s="247"/>
      <c r="AO38" s="247"/>
      <c r="AP38" s="263"/>
      <c r="AQ38" s="266"/>
      <c r="AR38" s="267"/>
      <c r="AS38" s="267"/>
      <c r="AT38" s="267"/>
      <c r="AU38" s="267"/>
      <c r="AV38" s="267"/>
      <c r="AW38" s="267"/>
      <c r="AX38" s="267"/>
      <c r="AY38" s="267"/>
      <c r="AZ38" s="267"/>
      <c r="BA38" s="267"/>
      <c r="BB38" s="267"/>
      <c r="BC38" s="267"/>
      <c r="BD38" s="267"/>
      <c r="BE38" s="267"/>
      <c r="BF38" s="267"/>
      <c r="BG38" s="267"/>
      <c r="BH38" s="267"/>
      <c r="BI38" s="267"/>
      <c r="BJ38" s="267"/>
      <c r="BK38" s="268"/>
      <c r="BL38" s="1263"/>
      <c r="BM38" s="1264"/>
      <c r="BN38" s="1264"/>
      <c r="BO38" s="1264"/>
      <c r="BP38" s="1264"/>
      <c r="BQ38" s="1264"/>
      <c r="BR38" s="1264"/>
      <c r="BS38" s="1264"/>
      <c r="BT38" s="1264"/>
      <c r="BU38" s="1264"/>
      <c r="BV38" s="1264"/>
      <c r="BW38" s="1264"/>
      <c r="BX38" s="1264"/>
      <c r="BY38" s="1264"/>
      <c r="BZ38" s="1264"/>
      <c r="CA38" s="1264"/>
      <c r="CB38" s="1264"/>
      <c r="CC38" s="1264"/>
      <c r="CD38" s="1264"/>
      <c r="CE38" s="1264"/>
      <c r="CF38" s="1264"/>
      <c r="CG38" s="1264"/>
      <c r="CH38" s="1264"/>
      <c r="CI38" s="1264"/>
      <c r="CJ38" s="1264"/>
      <c r="CK38" s="1264"/>
      <c r="CL38" s="1264"/>
    </row>
    <row r="39" spans="1:90" ht="15.75" customHeight="1">
      <c r="A39" s="1288">
        <v>31</v>
      </c>
      <c r="B39" s="1289"/>
      <c r="C39" s="466" t="s">
        <v>746</v>
      </c>
      <c r="D39" s="264" t="s">
        <v>558</v>
      </c>
      <c r="E39" s="247"/>
      <c r="F39" s="247"/>
      <c r="G39" s="247"/>
      <c r="H39" s="247"/>
      <c r="I39" s="247"/>
      <c r="J39" s="263"/>
      <c r="K39" s="461" t="s">
        <v>618</v>
      </c>
      <c r="L39" s="247"/>
      <c r="M39" s="247"/>
      <c r="N39" s="247"/>
      <c r="O39" s="247"/>
      <c r="P39" s="247"/>
      <c r="Q39" s="247"/>
      <c r="R39" s="247"/>
      <c r="S39" s="247"/>
      <c r="T39" s="247"/>
      <c r="U39" s="263"/>
      <c r="V39" s="467" t="s">
        <v>748</v>
      </c>
      <c r="W39" s="461" t="s">
        <v>747</v>
      </c>
      <c r="X39" s="247"/>
      <c r="Y39" s="247"/>
      <c r="Z39" s="247"/>
      <c r="AA39" s="247"/>
      <c r="AB39" s="247"/>
      <c r="AC39" s="247"/>
      <c r="AD39" s="247"/>
      <c r="AE39" s="263"/>
      <c r="AF39" s="461" t="s">
        <v>618</v>
      </c>
      <c r="AG39" s="247"/>
      <c r="AH39" s="247"/>
      <c r="AI39" s="247"/>
      <c r="AJ39" s="247"/>
      <c r="AK39" s="247"/>
      <c r="AL39" s="247"/>
      <c r="AM39" s="247"/>
      <c r="AN39" s="247"/>
      <c r="AO39" s="247"/>
      <c r="AP39" s="263"/>
      <c r="AQ39" s="266"/>
      <c r="AR39" s="267"/>
      <c r="AS39" s="267"/>
      <c r="AT39" s="267"/>
      <c r="AU39" s="267"/>
      <c r="AV39" s="267"/>
      <c r="AW39" s="267"/>
      <c r="AX39" s="267"/>
      <c r="AY39" s="267"/>
      <c r="AZ39" s="267"/>
      <c r="BA39" s="267"/>
      <c r="BB39" s="267"/>
      <c r="BC39" s="267"/>
      <c r="BD39" s="267"/>
      <c r="BE39" s="267"/>
      <c r="BF39" s="267"/>
      <c r="BG39" s="267"/>
      <c r="BH39" s="267"/>
      <c r="BI39" s="267"/>
      <c r="BJ39" s="267"/>
      <c r="BK39" s="268"/>
      <c r="BL39" s="1263"/>
      <c r="BM39" s="1264"/>
      <c r="BN39" s="1264"/>
      <c r="BO39" s="1264"/>
      <c r="BP39" s="1264"/>
      <c r="BQ39" s="1264"/>
      <c r="BR39" s="1264"/>
      <c r="BS39" s="1264"/>
      <c r="BT39" s="1264"/>
      <c r="BU39" s="1264"/>
      <c r="BV39" s="1264"/>
      <c r="BW39" s="1264"/>
      <c r="BX39" s="1264"/>
      <c r="BY39" s="1264"/>
      <c r="BZ39" s="1264"/>
      <c r="CA39" s="1264"/>
      <c r="CB39" s="1264"/>
      <c r="CC39" s="1264"/>
      <c r="CD39" s="1264"/>
      <c r="CE39" s="1264"/>
      <c r="CF39" s="1264"/>
      <c r="CG39" s="1264"/>
      <c r="CH39" s="1264"/>
      <c r="CI39" s="1264"/>
      <c r="CJ39" s="1264"/>
      <c r="CK39" s="1264"/>
      <c r="CL39" s="1264"/>
    </row>
    <row r="40" spans="1:90" ht="15.75" customHeight="1" thickBot="1">
      <c r="A40" s="1271"/>
      <c r="B40" s="1272"/>
      <c r="C40" s="269"/>
      <c r="D40" s="90"/>
      <c r="E40" s="88"/>
      <c r="F40" s="88"/>
      <c r="G40" s="88"/>
      <c r="H40" s="88"/>
      <c r="I40" s="88"/>
      <c r="J40" s="89"/>
      <c r="K40" s="90"/>
      <c r="L40" s="88"/>
      <c r="M40" s="88"/>
      <c r="N40" s="88"/>
      <c r="O40" s="88"/>
      <c r="P40" s="88"/>
      <c r="Q40" s="88"/>
      <c r="R40" s="88"/>
      <c r="S40" s="88"/>
      <c r="T40" s="88"/>
      <c r="U40" s="89"/>
      <c r="V40" s="270"/>
      <c r="W40" s="90"/>
      <c r="X40" s="88"/>
      <c r="Y40" s="88"/>
      <c r="Z40" s="88"/>
      <c r="AA40" s="88"/>
      <c r="AB40" s="88"/>
      <c r="AC40" s="88"/>
      <c r="AD40" s="88"/>
      <c r="AE40" s="89"/>
      <c r="AF40" s="90"/>
      <c r="AG40" s="88"/>
      <c r="AH40" s="88"/>
      <c r="AI40" s="88"/>
      <c r="AJ40" s="88"/>
      <c r="AK40" s="88"/>
      <c r="AL40" s="88"/>
      <c r="AM40" s="88"/>
      <c r="AN40" s="88"/>
      <c r="AO40" s="88"/>
      <c r="AP40" s="89"/>
      <c r="AQ40" s="271"/>
      <c r="AR40" s="272"/>
      <c r="AS40" s="272"/>
      <c r="AT40" s="272"/>
      <c r="AU40" s="272"/>
      <c r="AV40" s="272"/>
      <c r="AW40" s="272"/>
      <c r="AX40" s="272"/>
      <c r="AY40" s="272"/>
      <c r="AZ40" s="272"/>
      <c r="BA40" s="272"/>
      <c r="BB40" s="272"/>
      <c r="BC40" s="272"/>
      <c r="BD40" s="272"/>
      <c r="BE40" s="272"/>
      <c r="BF40" s="272"/>
      <c r="BG40" s="272"/>
      <c r="BH40" s="272"/>
      <c r="BI40" s="272"/>
      <c r="BJ40" s="272"/>
      <c r="BK40" s="273"/>
    </row>
  </sheetData>
  <mergeCells count="55">
    <mergeCell ref="A37:B37"/>
    <mergeCell ref="A38:B38"/>
    <mergeCell ref="A36:B36"/>
    <mergeCell ref="A11:B11"/>
    <mergeCell ref="A12:B12"/>
    <mergeCell ref="A13:B13"/>
    <mergeCell ref="A14:B14"/>
    <mergeCell ref="A28:B28"/>
    <mergeCell ref="BL23:CL25"/>
    <mergeCell ref="A15:B15"/>
    <mergeCell ref="A16:B16"/>
    <mergeCell ref="A17:B17"/>
    <mergeCell ref="A18:B18"/>
    <mergeCell ref="A19:B19"/>
    <mergeCell ref="A20:B20"/>
    <mergeCell ref="A24:B24"/>
    <mergeCell ref="BL34:CL39"/>
    <mergeCell ref="A40:B40"/>
    <mergeCell ref="A21:B21"/>
    <mergeCell ref="A22:B22"/>
    <mergeCell ref="A23:B23"/>
    <mergeCell ref="A29:B29"/>
    <mergeCell ref="A30:B30"/>
    <mergeCell ref="A31:B31"/>
    <mergeCell ref="A32:B32"/>
    <mergeCell ref="A33:B33"/>
    <mergeCell ref="A34:B34"/>
    <mergeCell ref="A35:B35"/>
    <mergeCell ref="A39:B39"/>
    <mergeCell ref="A25:B25"/>
    <mergeCell ref="A26:B26"/>
    <mergeCell ref="A27:B27"/>
    <mergeCell ref="BF1:BK1"/>
    <mergeCell ref="A10:B10"/>
    <mergeCell ref="BF2:BK3"/>
    <mergeCell ref="K3:T3"/>
    <mergeCell ref="U3:Y3"/>
    <mergeCell ref="Z3:AD3"/>
    <mergeCell ref="AE3:AR3"/>
    <mergeCell ref="A9:B9"/>
    <mergeCell ref="AS2:AY3"/>
    <mergeCell ref="AZ2:BE3"/>
    <mergeCell ref="A1:J3"/>
    <mergeCell ref="K1:T1"/>
    <mergeCell ref="U1:Y1"/>
    <mergeCell ref="Z1:AD1"/>
    <mergeCell ref="K2:T2"/>
    <mergeCell ref="U2:Y2"/>
    <mergeCell ref="AS1:AY1"/>
    <mergeCell ref="AZ1:BE1"/>
    <mergeCell ref="Z2:AD2"/>
    <mergeCell ref="AE2:AI2"/>
    <mergeCell ref="AJ2:AR2"/>
    <mergeCell ref="AE1:AI1"/>
    <mergeCell ref="AJ1:AR1"/>
  </mergeCells>
  <phoneticPr fontId="9"/>
  <dataValidations count="1">
    <dataValidation imeMode="off" allowBlank="1" showInputMessage="1" showErrorMessage="1" sqref="D9:J40 W9:AE40"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21EF-3352-43C5-841E-14DF8C7E9B71}">
  <sheetPr>
    <pageSetUpPr fitToPage="1"/>
  </sheetPr>
  <dimension ref="A1:CI43"/>
  <sheetViews>
    <sheetView showGridLines="0" showZeros="0" view="pageBreakPreview" topLeftCell="R25" zoomScaleNormal="100" zoomScaleSheetLayoutView="100" workbookViewId="0">
      <selection activeCell="DE24" sqref="DE24"/>
    </sheetView>
  </sheetViews>
  <sheetFormatPr defaultColWidth="2.125" defaultRowHeight="15.75" customHeight="1"/>
  <cols>
    <col min="1" max="1" width="2.125" style="20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34"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87" s="134"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87" s="134" customFormat="1" ht="15.75" customHeight="1" thickBot="1">
      <c r="A3" s="1220"/>
      <c r="B3" s="1221"/>
      <c r="C3" s="1221"/>
      <c r="D3" s="1221"/>
      <c r="E3" s="1221"/>
      <c r="F3" s="1221"/>
      <c r="G3" s="1221"/>
      <c r="H3" s="1221"/>
      <c r="I3" s="1221"/>
      <c r="J3" s="1222"/>
      <c r="K3" s="1200" t="str">
        <f ca="1">RIGHT(CELL("filename",$A$1),LEN(CELL("filename",$A$1))-FIND("]",CELL("filename",$A$1)))</f>
        <v>画面遷移</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87" s="134" customFormat="1" ht="6.75" customHeight="1" thickBot="1">
      <c r="B4" s="135"/>
      <c r="C4" s="136"/>
      <c r="D4" s="136"/>
      <c r="E4" s="136"/>
      <c r="F4" s="137"/>
      <c r="G4" s="137"/>
      <c r="H4" s="137"/>
      <c r="I4" s="137"/>
      <c r="J4" s="136"/>
      <c r="K4" s="137"/>
      <c r="L4" s="137"/>
      <c r="M4" s="137"/>
      <c r="N4" s="137"/>
      <c r="O4" s="137"/>
      <c r="P4" s="137"/>
      <c r="Q4" s="138"/>
    </row>
    <row r="5" spans="1:87" ht="15.75" customHeight="1" thickBot="1">
      <c r="A5" s="235" t="s">
        <v>752</v>
      </c>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236"/>
      <c r="AT5" s="236"/>
      <c r="AU5" s="236"/>
      <c r="AV5" s="236"/>
      <c r="AW5" s="236"/>
      <c r="AX5" s="236"/>
      <c r="AY5" s="236"/>
      <c r="AZ5" s="236"/>
      <c r="BA5" s="236"/>
      <c r="BB5" s="236"/>
      <c r="BC5" s="236"/>
      <c r="BD5" s="236"/>
      <c r="BE5" s="236"/>
      <c r="BF5" s="236"/>
      <c r="BG5" s="236"/>
      <c r="BH5" s="236"/>
      <c r="BI5" s="236"/>
      <c r="BJ5" s="236"/>
      <c r="BK5" s="236"/>
      <c r="BL5" s="236"/>
      <c r="BM5" s="236"/>
      <c r="BN5" s="236"/>
      <c r="BO5" s="236"/>
      <c r="BP5" s="236"/>
      <c r="BQ5" s="236"/>
      <c r="BR5" s="236"/>
      <c r="BS5" s="236"/>
      <c r="BT5" s="236"/>
      <c r="BU5" s="236"/>
      <c r="BV5" s="236"/>
      <c r="BW5" s="236"/>
      <c r="BX5" s="236"/>
      <c r="BY5" s="236"/>
      <c r="BZ5" s="236"/>
      <c r="CA5" s="236"/>
      <c r="CB5" s="236"/>
      <c r="CC5" s="236"/>
      <c r="CD5" s="236"/>
      <c r="CE5" s="236"/>
      <c r="CF5" s="236"/>
      <c r="CG5" s="236"/>
      <c r="CH5" s="237"/>
    </row>
    <row r="6" spans="1:87" ht="15.75" customHeight="1" thickBot="1">
      <c r="A6" s="320" t="s">
        <v>753</v>
      </c>
      <c r="B6" s="321"/>
      <c r="C6" s="322" t="s">
        <v>754</v>
      </c>
      <c r="D6" s="323"/>
      <c r="E6" s="323" t="s">
        <v>755</v>
      </c>
      <c r="F6" s="323"/>
      <c r="G6" s="323"/>
      <c r="H6" s="323"/>
      <c r="I6" s="323"/>
      <c r="J6" s="323"/>
      <c r="K6" s="323"/>
      <c r="L6" s="323"/>
      <c r="M6" s="323"/>
      <c r="N6" s="323"/>
      <c r="O6" s="323"/>
      <c r="P6" s="323"/>
      <c r="Q6" s="323"/>
      <c r="R6" s="323"/>
      <c r="S6" s="323"/>
      <c r="T6" s="323"/>
      <c r="U6" s="323"/>
      <c r="V6" s="323"/>
      <c r="W6" s="323"/>
      <c r="X6" s="323"/>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3"/>
      <c r="BK6" s="323"/>
      <c r="BL6" s="323"/>
      <c r="BM6" s="323"/>
      <c r="BN6" s="323"/>
      <c r="BO6" s="323"/>
      <c r="BP6" s="323"/>
      <c r="BQ6" s="323"/>
      <c r="BR6" s="323"/>
      <c r="BS6" s="323"/>
      <c r="BT6" s="323"/>
      <c r="BU6" s="323"/>
      <c r="BV6" s="323"/>
      <c r="BW6" s="323"/>
      <c r="BX6" s="323"/>
      <c r="BY6" s="323"/>
      <c r="BZ6" s="323"/>
      <c r="CA6" s="323"/>
      <c r="CB6" s="323"/>
      <c r="CC6" s="323"/>
      <c r="CD6" s="323"/>
      <c r="CE6" s="323"/>
      <c r="CF6" s="323"/>
      <c r="CG6" s="323"/>
      <c r="CH6" s="324"/>
      <c r="CI6" s="189"/>
    </row>
    <row r="7" spans="1:87" ht="15.75" customHeight="1">
      <c r="A7" s="144"/>
      <c r="K7" s="189"/>
      <c r="CH7" s="92"/>
    </row>
    <row r="8" spans="1:87" ht="15.75" customHeight="1">
      <c r="A8" s="144"/>
      <c r="K8" s="189"/>
      <c r="CH8" s="92"/>
    </row>
    <row r="9" spans="1:87" ht="15.75" customHeight="1">
      <c r="A9" s="144"/>
      <c r="D9" s="189" t="s">
        <v>756</v>
      </c>
      <c r="K9" s="189"/>
      <c r="CH9" s="92"/>
    </row>
    <row r="10" spans="1:87" ht="15.75" customHeight="1">
      <c r="A10" s="144"/>
      <c r="D10" s="1" t="s">
        <v>757</v>
      </c>
      <c r="K10" s="189"/>
      <c r="R10" s="189"/>
      <c r="AI10" s="189" t="s">
        <v>758</v>
      </c>
      <c r="CH10" s="92"/>
    </row>
    <row r="11" spans="1:87" ht="15.75" customHeight="1">
      <c r="A11" s="144"/>
      <c r="K11" s="189"/>
      <c r="AI11" s="1" t="s">
        <v>759</v>
      </c>
      <c r="CH11" s="92"/>
    </row>
    <row r="12" spans="1:87" ht="15.75" customHeight="1">
      <c r="A12" s="144"/>
      <c r="D12" s="189"/>
      <c r="E12" s="189"/>
      <c r="F12" s="189"/>
      <c r="G12" s="189"/>
      <c r="H12" s="189"/>
      <c r="I12" s="189"/>
      <c r="J12" s="189"/>
      <c r="K12" s="189"/>
      <c r="R12" s="189" t="s">
        <v>128</v>
      </c>
      <c r="T12" s="189"/>
      <c r="U12" s="189"/>
      <c r="V12" s="189"/>
      <c r="W12" s="189"/>
      <c r="Y12" s="189"/>
      <c r="Z12" s="189"/>
      <c r="AA12" s="189"/>
      <c r="AB12" s="189"/>
      <c r="AC12" s="189"/>
      <c r="AE12" s="189"/>
      <c r="AF12" s="189"/>
      <c r="AG12" s="189"/>
      <c r="AH12" s="189"/>
      <c r="AI12" s="189" t="s">
        <v>760</v>
      </c>
      <c r="AJ12" s="189"/>
      <c r="AK12" s="189"/>
      <c r="AL12" s="189"/>
      <c r="AM12" s="189"/>
      <c r="AN12" s="189"/>
      <c r="AO12" s="189"/>
      <c r="AP12" s="189"/>
      <c r="AQ12" s="189"/>
      <c r="AR12" s="189"/>
      <c r="AS12" s="189"/>
      <c r="AT12" s="189"/>
      <c r="AU12" s="189"/>
      <c r="AW12" s="189"/>
      <c r="AX12" s="189"/>
      <c r="AY12" s="189"/>
      <c r="AZ12" s="189"/>
      <c r="BA12" s="189"/>
      <c r="BB12" s="189"/>
      <c r="BC12" s="189"/>
      <c r="BD12" s="189"/>
      <c r="CH12" s="92"/>
    </row>
    <row r="13" spans="1:87" ht="15.75" customHeight="1">
      <c r="A13" s="144"/>
      <c r="D13" s="189"/>
      <c r="E13" s="189"/>
      <c r="F13" s="189"/>
      <c r="G13" s="189"/>
      <c r="H13" s="189"/>
      <c r="I13" s="189"/>
      <c r="J13" s="189"/>
      <c r="K13" s="189"/>
      <c r="R13" s="189"/>
      <c r="S13" s="189"/>
      <c r="T13" s="189"/>
      <c r="U13" s="189"/>
      <c r="V13" s="189"/>
      <c r="W13" s="189"/>
      <c r="X13" s="189" t="s">
        <v>761</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CH13" s="92"/>
    </row>
    <row r="14" spans="1:87" ht="15.75" customHeight="1">
      <c r="A14" s="144"/>
      <c r="D14" s="189"/>
      <c r="E14" s="189"/>
      <c r="F14" s="189"/>
      <c r="G14" s="189"/>
      <c r="H14" s="189"/>
      <c r="I14" s="189"/>
      <c r="J14" s="189"/>
      <c r="K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CH14" s="92"/>
    </row>
    <row r="15" spans="1:87" ht="15.75" customHeight="1">
      <c r="A15" s="144"/>
      <c r="D15" s="189" t="s">
        <v>762</v>
      </c>
      <c r="K15" s="189"/>
      <c r="CH15" s="92"/>
    </row>
    <row r="16" spans="1:87" ht="15.75" customHeight="1">
      <c r="A16" s="144"/>
      <c r="D16" s="1" t="s">
        <v>763</v>
      </c>
      <c r="K16" s="189"/>
      <c r="CH16" s="92"/>
    </row>
    <row r="17" spans="1:87" ht="15.75" customHeight="1">
      <c r="A17" s="144"/>
      <c r="K17" s="189"/>
      <c r="CH17" s="92"/>
    </row>
    <row r="18" spans="1:87" ht="15.75" customHeight="1">
      <c r="A18" s="144"/>
      <c r="K18" s="189"/>
      <c r="CH18" s="92"/>
    </row>
    <row r="19" spans="1:87" ht="15.75" customHeight="1">
      <c r="A19" s="144"/>
      <c r="K19" s="189"/>
      <c r="CH19" s="92"/>
    </row>
    <row r="20" spans="1:87" ht="15.75" customHeight="1">
      <c r="A20" s="144"/>
      <c r="D20" s="189" t="s">
        <v>764</v>
      </c>
      <c r="K20" s="189"/>
      <c r="CH20" s="92"/>
    </row>
    <row r="21" spans="1:87" ht="15.75" customHeight="1">
      <c r="A21" s="144"/>
      <c r="D21" s="1" t="s">
        <v>765</v>
      </c>
      <c r="K21" s="189"/>
      <c r="CH21" s="92"/>
    </row>
    <row r="22" spans="1:87" ht="15.75" customHeight="1">
      <c r="A22" s="144"/>
      <c r="K22" s="189"/>
      <c r="CH22" s="92"/>
    </row>
    <row r="23" spans="1:87" ht="15.75" customHeight="1">
      <c r="A23" s="144"/>
      <c r="K23" s="189"/>
      <c r="CH23" s="92"/>
    </row>
    <row r="24" spans="1:87" ht="15.75" customHeight="1">
      <c r="A24" s="144"/>
      <c r="K24" s="189"/>
      <c r="CH24" s="92"/>
    </row>
    <row r="25" spans="1:87" ht="15.75" customHeight="1">
      <c r="A25" s="144"/>
      <c r="CH25" s="92"/>
    </row>
    <row r="26" spans="1:87" ht="15.75" customHeight="1" thickBot="1">
      <c r="A26" s="148"/>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50"/>
    </row>
    <row r="27" spans="1:87" ht="15.75" customHeight="1">
      <c r="A27" s="139" t="s">
        <v>766</v>
      </c>
      <c r="B27" s="140"/>
      <c r="C27" s="140"/>
      <c r="D27" s="141" t="s">
        <v>767</v>
      </c>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3"/>
    </row>
    <row r="28" spans="1:87" ht="15.75" customHeight="1">
      <c r="A28" s="469" t="s">
        <v>754</v>
      </c>
      <c r="B28" s="247"/>
      <c r="C28" s="256"/>
      <c r="D28" s="264" t="s">
        <v>768</v>
      </c>
      <c r="E28" s="247"/>
      <c r="F28" s="247"/>
      <c r="G28" s="247"/>
      <c r="H28" s="247"/>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c r="BT28" s="247"/>
      <c r="BU28" s="247"/>
      <c r="BV28" s="247"/>
      <c r="BW28" s="247"/>
      <c r="BX28" s="247"/>
      <c r="BY28" s="247"/>
      <c r="BZ28" s="247"/>
      <c r="CA28" s="247"/>
      <c r="CB28" s="247"/>
      <c r="CC28" s="247"/>
      <c r="CD28" s="247"/>
      <c r="CE28" s="247"/>
      <c r="CF28" s="247"/>
      <c r="CG28" s="247"/>
      <c r="CH28" s="325"/>
    </row>
    <row r="29" spans="1:87" s="145" customFormat="1" ht="15.75" customHeight="1">
      <c r="A29" s="470"/>
      <c r="B29" s="275"/>
      <c r="C29" s="275"/>
      <c r="D29" s="275"/>
      <c r="E29" s="275"/>
      <c r="F29" s="275"/>
      <c r="G29" s="326"/>
      <c r="H29" s="275"/>
      <c r="I29" s="275"/>
      <c r="J29" s="275"/>
      <c r="K29" s="275"/>
      <c r="L29" s="275"/>
      <c r="M29" s="275"/>
      <c r="N29" s="275"/>
      <c r="O29" s="275"/>
      <c r="P29" s="275"/>
      <c r="Q29" s="327"/>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5"/>
      <c r="AT29" s="275"/>
      <c r="AU29" s="275"/>
      <c r="AV29" s="275"/>
      <c r="AW29" s="275"/>
      <c r="AX29" s="275"/>
      <c r="AY29" s="275"/>
      <c r="AZ29" s="275"/>
      <c r="BA29" s="275"/>
      <c r="BB29" s="275"/>
      <c r="BC29" s="275"/>
      <c r="BD29" s="275"/>
      <c r="BE29" s="275"/>
      <c r="BF29" s="275"/>
      <c r="BG29" s="275"/>
      <c r="BH29" s="275"/>
      <c r="BI29" s="275"/>
      <c r="BJ29" s="275"/>
      <c r="BM29" s="1"/>
      <c r="BN29" s="1"/>
      <c r="BO29" s="1"/>
      <c r="BP29" s="1"/>
      <c r="BQ29" s="1"/>
      <c r="BR29" s="1"/>
      <c r="BS29" s="1"/>
      <c r="BT29" s="1"/>
      <c r="BU29" s="1"/>
      <c r="BV29" s="1"/>
      <c r="BW29" s="1"/>
      <c r="BX29" s="1"/>
      <c r="BY29" s="1"/>
      <c r="BZ29" s="1"/>
      <c r="CA29" s="1"/>
      <c r="CB29" s="1"/>
      <c r="CC29" s="1"/>
      <c r="CD29" s="1"/>
      <c r="CE29" s="1"/>
      <c r="CF29" s="1"/>
      <c r="CG29" s="1"/>
      <c r="CH29" s="328"/>
      <c r="CI29" s="1"/>
    </row>
    <row r="30" spans="1:87" s="145" customFormat="1" ht="15.75" customHeight="1">
      <c r="A30" s="329"/>
      <c r="B30" s="330" t="s">
        <v>769</v>
      </c>
      <c r="C30" s="331"/>
      <c r="D30" s="330" t="s">
        <v>770</v>
      </c>
      <c r="E30" s="332"/>
      <c r="F30" s="333"/>
      <c r="G30" s="331"/>
      <c r="H30" s="330" t="s">
        <v>771</v>
      </c>
      <c r="I30" s="332"/>
      <c r="J30" s="332"/>
      <c r="K30" s="332"/>
      <c r="L30" s="332"/>
      <c r="M30" s="332"/>
      <c r="N30" s="332"/>
      <c r="O30" s="334"/>
      <c r="P30" s="331"/>
      <c r="Q30" s="330" t="s">
        <v>772</v>
      </c>
      <c r="R30" s="332"/>
      <c r="S30" s="332"/>
      <c r="T30" s="333"/>
      <c r="U30" s="331"/>
      <c r="V30" s="330" t="s">
        <v>773</v>
      </c>
      <c r="W30" s="332"/>
      <c r="X30" s="332"/>
      <c r="Y30" s="332"/>
      <c r="Z30" s="332"/>
      <c r="AA30" s="332"/>
      <c r="AB30" s="332"/>
      <c r="AC30" s="334"/>
      <c r="AD30" s="331"/>
      <c r="AE30" s="330" t="s">
        <v>774</v>
      </c>
      <c r="AF30" s="332"/>
      <c r="AG30" s="332"/>
      <c r="AH30" s="334"/>
      <c r="AI30" s="331"/>
      <c r="AJ30" s="330" t="s">
        <v>775</v>
      </c>
      <c r="AK30" s="332"/>
      <c r="AL30" s="332"/>
      <c r="AM30" s="332"/>
      <c r="AN30" s="334"/>
      <c r="AO30" s="332"/>
      <c r="AP30" s="332"/>
      <c r="AQ30" s="334"/>
      <c r="AR30" s="331"/>
      <c r="AS30" s="330" t="s">
        <v>776</v>
      </c>
      <c r="AT30" s="332"/>
      <c r="AU30" s="332"/>
      <c r="AV30" s="332"/>
      <c r="AW30" s="332"/>
      <c r="AX30" s="332"/>
      <c r="AY30" s="332"/>
      <c r="AZ30" s="332"/>
      <c r="BA30" s="334"/>
      <c r="BB30" s="331"/>
      <c r="BC30" s="330" t="s">
        <v>777</v>
      </c>
      <c r="BD30" s="332"/>
      <c r="BE30" s="332"/>
      <c r="BF30" s="332"/>
      <c r="BG30" s="332"/>
      <c r="BH30" s="332"/>
      <c r="BI30" s="332"/>
      <c r="BJ30" s="334"/>
      <c r="BK30" s="331"/>
      <c r="BL30" s="330" t="s">
        <v>778</v>
      </c>
      <c r="BM30" s="332"/>
      <c r="BN30" s="332"/>
      <c r="BO30" s="334"/>
      <c r="BP30" s="332"/>
      <c r="BQ30" s="332"/>
      <c r="BR30" s="332"/>
      <c r="BS30" s="332"/>
      <c r="BT30" s="334"/>
      <c r="BU30" s="331"/>
      <c r="BV30" s="330" t="s">
        <v>712</v>
      </c>
      <c r="BW30" s="332"/>
      <c r="BX30" s="332"/>
      <c r="BY30" s="332"/>
      <c r="BZ30" s="332"/>
      <c r="CA30" s="332"/>
      <c r="CB30" s="332"/>
      <c r="CC30" s="332"/>
      <c r="CD30" s="334"/>
      <c r="CE30" s="332"/>
      <c r="CF30" s="334"/>
      <c r="CG30" s="331"/>
      <c r="CH30" s="335"/>
    </row>
    <row r="31" spans="1:87" s="145" customFormat="1" ht="15.75" customHeight="1">
      <c r="A31" s="329"/>
      <c r="B31" s="1290">
        <v>1</v>
      </c>
      <c r="C31" s="1291"/>
      <c r="D31" s="342" t="s">
        <v>127</v>
      </c>
      <c r="E31" s="336"/>
      <c r="F31" s="337"/>
      <c r="G31" s="343"/>
      <c r="H31" s="342" t="s">
        <v>128</v>
      </c>
      <c r="I31" s="336"/>
      <c r="J31" s="336"/>
      <c r="K31" s="336"/>
      <c r="L31" s="336"/>
      <c r="M31" s="336"/>
      <c r="N31" s="336"/>
      <c r="O31" s="338"/>
      <c r="P31" s="343"/>
      <c r="Q31" s="342" t="s">
        <v>779</v>
      </c>
      <c r="R31" s="336"/>
      <c r="S31" s="336"/>
      <c r="T31" s="337"/>
      <c r="U31" s="343"/>
      <c r="V31" s="342" t="s">
        <v>780</v>
      </c>
      <c r="W31" s="336"/>
      <c r="X31" s="336"/>
      <c r="Y31" s="336"/>
      <c r="Z31" s="336"/>
      <c r="AA31" s="336"/>
      <c r="AB31" s="336"/>
      <c r="AC31" s="338"/>
      <c r="AD31" s="343"/>
      <c r="AE31" s="342" t="s">
        <v>781</v>
      </c>
      <c r="AF31" s="336"/>
      <c r="AG31" s="336"/>
      <c r="AH31" s="338"/>
      <c r="AI31" s="343"/>
      <c r="AJ31" s="342" t="s">
        <v>618</v>
      </c>
      <c r="AK31" s="336"/>
      <c r="AL31" s="336"/>
      <c r="AM31" s="336"/>
      <c r="AN31" s="338"/>
      <c r="AO31" s="336"/>
      <c r="AP31" s="336"/>
      <c r="AQ31" s="338"/>
      <c r="AR31" s="343"/>
      <c r="AS31" s="342" t="s">
        <v>715</v>
      </c>
      <c r="AT31" s="336"/>
      <c r="AU31" s="336"/>
      <c r="AV31" s="336"/>
      <c r="AW31" s="336"/>
      <c r="AX31" s="336"/>
      <c r="AY31" s="336"/>
      <c r="AZ31" s="336"/>
      <c r="BA31" s="338"/>
      <c r="BB31" s="343"/>
      <c r="BC31" s="342"/>
      <c r="BD31" s="336"/>
      <c r="BE31" s="336"/>
      <c r="BF31" s="336"/>
      <c r="BG31" s="336"/>
      <c r="BH31" s="336"/>
      <c r="BI31" s="336"/>
      <c r="BJ31" s="338"/>
      <c r="BK31" s="343"/>
      <c r="BL31" s="342"/>
      <c r="BM31" s="336"/>
      <c r="BN31" s="336"/>
      <c r="BO31" s="338"/>
      <c r="BP31" s="336"/>
      <c r="BQ31" s="336"/>
      <c r="BR31" s="336"/>
      <c r="BS31" s="336"/>
      <c r="BT31" s="338"/>
      <c r="BU31" s="343"/>
      <c r="BV31" s="342" t="s">
        <v>782</v>
      </c>
      <c r="BW31" s="336"/>
      <c r="BX31" s="336"/>
      <c r="BY31" s="336"/>
      <c r="BZ31" s="336"/>
      <c r="CA31" s="336"/>
      <c r="CB31" s="336"/>
      <c r="CC31" s="336"/>
      <c r="CD31" s="338"/>
      <c r="CE31" s="336"/>
      <c r="CF31" s="338"/>
      <c r="CG31" s="343"/>
      <c r="CH31" s="335"/>
    </row>
    <row r="32" spans="1:87" s="145" customFormat="1" ht="15.75" customHeight="1">
      <c r="A32" s="329"/>
      <c r="B32" s="1290">
        <v>2</v>
      </c>
      <c r="C32" s="1291"/>
      <c r="D32" s="342" t="s">
        <v>127</v>
      </c>
      <c r="E32" s="336"/>
      <c r="F32" s="337"/>
      <c r="G32" s="343"/>
      <c r="H32" s="342" t="s">
        <v>128</v>
      </c>
      <c r="I32" s="336"/>
      <c r="J32" s="336"/>
      <c r="K32" s="336"/>
      <c r="L32" s="336"/>
      <c r="M32" s="336"/>
      <c r="N32" s="336"/>
      <c r="O32" s="338"/>
      <c r="P32" s="343"/>
      <c r="Q32" s="342" t="s">
        <v>783</v>
      </c>
      <c r="R32" s="336"/>
      <c r="S32" s="336"/>
      <c r="T32" s="337"/>
      <c r="U32" s="343"/>
      <c r="V32" s="342" t="s">
        <v>784</v>
      </c>
      <c r="W32" s="336"/>
      <c r="X32" s="336"/>
      <c r="Y32" s="336"/>
      <c r="Z32" s="336"/>
      <c r="AA32" s="336"/>
      <c r="AB32" s="336"/>
      <c r="AC32" s="338"/>
      <c r="AD32" s="343"/>
      <c r="AE32" s="342" t="s">
        <v>785</v>
      </c>
      <c r="AF32" s="336"/>
      <c r="AG32" s="336"/>
      <c r="AH32" s="338"/>
      <c r="AI32" s="343"/>
      <c r="AJ32" s="342"/>
      <c r="AK32" s="336"/>
      <c r="AL32" s="336"/>
      <c r="AM32" s="336"/>
      <c r="AN32" s="338"/>
      <c r="AO32" s="336"/>
      <c r="AP32" s="336"/>
      <c r="AQ32" s="338"/>
      <c r="AR32" s="343"/>
      <c r="AS32" s="342" t="s">
        <v>786</v>
      </c>
      <c r="AT32" s="336"/>
      <c r="AU32" s="336"/>
      <c r="AV32" s="336"/>
      <c r="AW32" s="336"/>
      <c r="AX32" s="336"/>
      <c r="AY32" s="336"/>
      <c r="AZ32" s="336"/>
      <c r="BA32" s="338"/>
      <c r="BB32" s="343"/>
      <c r="BC32" s="342" t="s">
        <v>787</v>
      </c>
      <c r="BD32" s="336"/>
      <c r="BE32" s="336"/>
      <c r="BF32" s="336"/>
      <c r="BG32" s="336"/>
      <c r="BH32" s="336"/>
      <c r="BI32" s="336"/>
      <c r="BJ32" s="338"/>
      <c r="BK32" s="343"/>
      <c r="BL32" s="342" t="s">
        <v>788</v>
      </c>
      <c r="BM32" s="336"/>
      <c r="BN32" s="336"/>
      <c r="BO32" s="338"/>
      <c r="BP32" s="336"/>
      <c r="BQ32" s="336"/>
      <c r="BR32" s="336"/>
      <c r="BS32" s="336"/>
      <c r="BT32" s="338"/>
      <c r="BU32" s="343"/>
      <c r="BV32" s="342" t="s">
        <v>789</v>
      </c>
      <c r="BW32" s="336"/>
      <c r="BX32" s="336"/>
      <c r="BY32" s="336"/>
      <c r="BZ32" s="336"/>
      <c r="CA32" s="336"/>
      <c r="CB32" s="336"/>
      <c r="CC32" s="336"/>
      <c r="CD32" s="338"/>
      <c r="CE32" s="336"/>
      <c r="CF32" s="338"/>
      <c r="CG32" s="343"/>
      <c r="CH32" s="335"/>
    </row>
    <row r="33" spans="1:87" s="145" customFormat="1" ht="15.75" customHeight="1">
      <c r="A33" s="329"/>
      <c r="B33" s="1292" t="s">
        <v>790</v>
      </c>
      <c r="C33" s="1293"/>
      <c r="D33" s="342" t="s">
        <v>127</v>
      </c>
      <c r="E33" s="336"/>
      <c r="F33" s="337"/>
      <c r="G33" s="343"/>
      <c r="H33" s="342" t="s">
        <v>128</v>
      </c>
      <c r="I33" s="336"/>
      <c r="J33" s="336"/>
      <c r="K33" s="336"/>
      <c r="L33" s="336"/>
      <c r="M33" s="336"/>
      <c r="N33" s="336"/>
      <c r="O33" s="338"/>
      <c r="P33" s="343"/>
      <c r="Q33" s="342" t="s">
        <v>783</v>
      </c>
      <c r="R33" s="336"/>
      <c r="S33" s="336"/>
      <c r="T33" s="337"/>
      <c r="U33" s="343"/>
      <c r="V33" s="342" t="s">
        <v>784</v>
      </c>
      <c r="W33" s="336"/>
      <c r="X33" s="336"/>
      <c r="Y33" s="336"/>
      <c r="Z33" s="336"/>
      <c r="AA33" s="336"/>
      <c r="AB33" s="336"/>
      <c r="AC33" s="338"/>
      <c r="AD33" s="343"/>
      <c r="AE33" s="342" t="s">
        <v>785</v>
      </c>
      <c r="AF33" s="336"/>
      <c r="AG33" s="336"/>
      <c r="AH33" s="338"/>
      <c r="AI33" s="343"/>
      <c r="AJ33" s="342"/>
      <c r="AK33" s="336"/>
      <c r="AL33" s="336"/>
      <c r="AM33" s="336"/>
      <c r="AN33" s="338"/>
      <c r="AO33" s="336"/>
      <c r="AP33" s="336"/>
      <c r="AQ33" s="338"/>
      <c r="AR33" s="343"/>
      <c r="AS33" s="342" t="s">
        <v>786</v>
      </c>
      <c r="AT33" s="336"/>
      <c r="AU33" s="336"/>
      <c r="AV33" s="336"/>
      <c r="AW33" s="336"/>
      <c r="AX33" s="336"/>
      <c r="AY33" s="336"/>
      <c r="AZ33" s="336"/>
      <c r="BA33" s="338"/>
      <c r="BB33" s="343"/>
      <c r="BC33" s="342" t="s">
        <v>787</v>
      </c>
      <c r="BD33" s="336"/>
      <c r="BE33" s="336"/>
      <c r="BF33" s="336"/>
      <c r="BG33" s="336"/>
      <c r="BH33" s="336"/>
      <c r="BI33" s="336"/>
      <c r="BJ33" s="338"/>
      <c r="BK33" s="343"/>
      <c r="BL33" s="342" t="s">
        <v>788</v>
      </c>
      <c r="BM33" s="336"/>
      <c r="BN33" s="336"/>
      <c r="BO33" s="338"/>
      <c r="BP33" s="336"/>
      <c r="BQ33" s="336"/>
      <c r="BR33" s="336"/>
      <c r="BS33" s="336"/>
      <c r="BT33" s="338"/>
      <c r="BU33" s="343"/>
      <c r="BV33" s="342" t="s">
        <v>791</v>
      </c>
      <c r="BW33" s="336"/>
      <c r="BX33" s="336"/>
      <c r="BY33" s="336"/>
      <c r="BZ33" s="336"/>
      <c r="CA33" s="336"/>
      <c r="CB33" s="336"/>
      <c r="CC33" s="336"/>
      <c r="CD33" s="338"/>
      <c r="CE33" s="336"/>
      <c r="CF33" s="338"/>
      <c r="CG33" s="343"/>
      <c r="CH33" s="335"/>
    </row>
    <row r="34" spans="1:87" s="145" customFormat="1" ht="15.75" customHeight="1">
      <c r="A34" s="329"/>
      <c r="B34" s="1290">
        <v>3</v>
      </c>
      <c r="C34" s="1291"/>
      <c r="D34" s="342" t="s">
        <v>127</v>
      </c>
      <c r="E34" s="336"/>
      <c r="F34" s="337"/>
      <c r="G34" s="343"/>
      <c r="H34" s="342" t="s">
        <v>128</v>
      </c>
      <c r="I34" s="336"/>
      <c r="J34" s="336"/>
      <c r="K34" s="336"/>
      <c r="L34" s="336"/>
      <c r="M34" s="336"/>
      <c r="N34" s="336"/>
      <c r="O34" s="338"/>
      <c r="P34" s="343"/>
      <c r="Q34" s="342" t="s">
        <v>792</v>
      </c>
      <c r="R34" s="336"/>
      <c r="S34" s="336"/>
      <c r="T34" s="337"/>
      <c r="U34" s="343"/>
      <c r="V34" s="342" t="s">
        <v>793</v>
      </c>
      <c r="W34" s="336"/>
      <c r="X34" s="336"/>
      <c r="Y34" s="336"/>
      <c r="Z34" s="336"/>
      <c r="AA34" s="336"/>
      <c r="AB34" s="336"/>
      <c r="AC34" s="338"/>
      <c r="AD34" s="343"/>
      <c r="AE34" s="342" t="s">
        <v>785</v>
      </c>
      <c r="AF34" s="336"/>
      <c r="AG34" s="336"/>
      <c r="AH34" s="338"/>
      <c r="AI34" s="343"/>
      <c r="AJ34" s="342" t="s">
        <v>794</v>
      </c>
      <c r="AK34" s="336"/>
      <c r="AL34" s="336"/>
      <c r="AM34" s="336"/>
      <c r="AN34" s="338"/>
      <c r="AO34" s="336"/>
      <c r="AP34" s="336"/>
      <c r="AQ34" s="338"/>
      <c r="AR34" s="343"/>
      <c r="AS34" s="342" t="s">
        <v>786</v>
      </c>
      <c r="AT34" s="336"/>
      <c r="AU34" s="336"/>
      <c r="AV34" s="336"/>
      <c r="AW34" s="336"/>
      <c r="AX34" s="336"/>
      <c r="AY34" s="336"/>
      <c r="AZ34" s="336"/>
      <c r="BA34" s="338"/>
      <c r="BB34" s="343"/>
      <c r="BC34" s="342" t="s">
        <v>795</v>
      </c>
      <c r="BD34" s="336"/>
      <c r="BE34" s="336"/>
      <c r="BF34" s="336"/>
      <c r="BG34" s="336"/>
      <c r="BH34" s="336"/>
      <c r="BI34" s="336"/>
      <c r="BJ34" s="338"/>
      <c r="BK34" s="343"/>
      <c r="BL34" s="342" t="s">
        <v>788</v>
      </c>
      <c r="BM34" s="336"/>
      <c r="BN34" s="336"/>
      <c r="BO34" s="338"/>
      <c r="BP34" s="336"/>
      <c r="BQ34" s="336"/>
      <c r="BR34" s="336"/>
      <c r="BS34" s="336"/>
      <c r="BT34" s="338"/>
      <c r="BU34" s="343"/>
      <c r="BV34" s="342" t="s">
        <v>796</v>
      </c>
      <c r="BW34" s="336"/>
      <c r="BX34" s="336"/>
      <c r="BY34" s="336"/>
      <c r="BZ34" s="336"/>
      <c r="CA34" s="336"/>
      <c r="CB34" s="336"/>
      <c r="CC34" s="336"/>
      <c r="CD34" s="338"/>
      <c r="CE34" s="336"/>
      <c r="CF34" s="338"/>
      <c r="CG34" s="343"/>
      <c r="CH34" s="335"/>
    </row>
    <row r="35" spans="1:87" s="145" customFormat="1" ht="15.75" customHeight="1">
      <c r="A35" s="329"/>
      <c r="B35" s="1290">
        <v>4</v>
      </c>
      <c r="C35" s="1291"/>
      <c r="D35" s="342" t="s">
        <v>127</v>
      </c>
      <c r="E35" s="336"/>
      <c r="F35" s="337"/>
      <c r="G35" s="343"/>
      <c r="H35" s="342" t="s">
        <v>128</v>
      </c>
      <c r="I35" s="336"/>
      <c r="J35" s="336"/>
      <c r="K35" s="336"/>
      <c r="L35" s="336"/>
      <c r="M35" s="336"/>
      <c r="N35" s="336"/>
      <c r="O35" s="338"/>
      <c r="P35" s="343"/>
      <c r="Q35" s="342" t="s">
        <v>797</v>
      </c>
      <c r="R35" s="336"/>
      <c r="S35" s="336"/>
      <c r="T35" s="337"/>
      <c r="U35" s="343"/>
      <c r="V35" s="342" t="s">
        <v>798</v>
      </c>
      <c r="W35" s="336"/>
      <c r="X35" s="336"/>
      <c r="Y35" s="336"/>
      <c r="Z35" s="336"/>
      <c r="AA35" s="336"/>
      <c r="AB35" s="336"/>
      <c r="AC35" s="338"/>
      <c r="AD35" s="343"/>
      <c r="AE35" s="342" t="s">
        <v>785</v>
      </c>
      <c r="AF35" s="336"/>
      <c r="AG35" s="336"/>
      <c r="AH35" s="338"/>
      <c r="AI35" s="343"/>
      <c r="AJ35" s="342"/>
      <c r="AK35" s="336"/>
      <c r="AL35" s="336"/>
      <c r="AM35" s="336"/>
      <c r="AN35" s="338"/>
      <c r="AO35" s="336"/>
      <c r="AP35" s="336"/>
      <c r="AQ35" s="338"/>
      <c r="AR35" s="343"/>
      <c r="AS35" s="342" t="s">
        <v>786</v>
      </c>
      <c r="AT35" s="336"/>
      <c r="AU35" s="336"/>
      <c r="AV35" s="336"/>
      <c r="AW35" s="336"/>
      <c r="AX35" s="336"/>
      <c r="AY35" s="336"/>
      <c r="AZ35" s="336"/>
      <c r="BA35" s="338"/>
      <c r="BB35" s="343"/>
      <c r="BC35" s="342" t="s">
        <v>799</v>
      </c>
      <c r="BD35" s="336"/>
      <c r="BE35" s="336"/>
      <c r="BF35" s="336"/>
      <c r="BG35" s="336"/>
      <c r="BH35" s="336"/>
      <c r="BI35" s="336"/>
      <c r="BJ35" s="338"/>
      <c r="BK35" s="343"/>
      <c r="BL35" s="342" t="s">
        <v>800</v>
      </c>
      <c r="BM35" s="336"/>
      <c r="BN35" s="336"/>
      <c r="BO35" s="338"/>
      <c r="BP35" s="336"/>
      <c r="BQ35" s="336"/>
      <c r="BR35" s="336"/>
      <c r="BS35" s="336"/>
      <c r="BT35" s="338"/>
      <c r="BU35" s="343"/>
      <c r="BV35" s="342" t="s">
        <v>801</v>
      </c>
      <c r="BW35" s="336"/>
      <c r="BX35" s="336"/>
      <c r="BY35" s="336"/>
      <c r="BZ35" s="336"/>
      <c r="CA35" s="336"/>
      <c r="CB35" s="336"/>
      <c r="CC35" s="336"/>
      <c r="CD35" s="338"/>
      <c r="CE35" s="336"/>
      <c r="CF35" s="338"/>
      <c r="CG35" s="343"/>
      <c r="CH35" s="335"/>
    </row>
    <row r="36" spans="1:87" s="145" customFormat="1" ht="15.75" customHeight="1">
      <c r="A36" s="329"/>
      <c r="B36" s="1290">
        <v>5</v>
      </c>
      <c r="C36" s="1291"/>
      <c r="D36" s="342"/>
      <c r="E36" s="336"/>
      <c r="F36" s="337"/>
      <c r="G36" s="343"/>
      <c r="H36" s="342"/>
      <c r="I36" s="336"/>
      <c r="J36" s="336"/>
      <c r="K36" s="336"/>
      <c r="L36" s="336"/>
      <c r="M36" s="336"/>
      <c r="N36" s="336"/>
      <c r="O36" s="338"/>
      <c r="P36" s="343"/>
      <c r="Q36" s="342"/>
      <c r="R36" s="336"/>
      <c r="S36" s="336"/>
      <c r="T36" s="337"/>
      <c r="U36" s="343"/>
      <c r="V36" s="342"/>
      <c r="W36" s="336"/>
      <c r="X36" s="336"/>
      <c r="Y36" s="336"/>
      <c r="Z36" s="336"/>
      <c r="AA36" s="336"/>
      <c r="AB36" s="336"/>
      <c r="AC36" s="338"/>
      <c r="AD36" s="343"/>
      <c r="AE36" s="342"/>
      <c r="AF36" s="336"/>
      <c r="AG36" s="336"/>
      <c r="AH36" s="338"/>
      <c r="AI36" s="343"/>
      <c r="AJ36" s="342"/>
      <c r="AK36" s="336"/>
      <c r="AL36" s="336"/>
      <c r="AM36" s="336"/>
      <c r="AN36" s="338"/>
      <c r="AO36" s="336"/>
      <c r="AP36" s="336"/>
      <c r="AQ36" s="338"/>
      <c r="AR36" s="343"/>
      <c r="AS36" s="342"/>
      <c r="AT36" s="336"/>
      <c r="AU36" s="336"/>
      <c r="AV36" s="336"/>
      <c r="AW36" s="336"/>
      <c r="AX36" s="336"/>
      <c r="AY36" s="336"/>
      <c r="AZ36" s="336"/>
      <c r="BA36" s="338"/>
      <c r="BB36" s="343"/>
      <c r="BC36" s="342"/>
      <c r="BD36" s="336"/>
      <c r="BE36" s="336"/>
      <c r="BF36" s="336"/>
      <c r="BG36" s="336"/>
      <c r="BH36" s="336"/>
      <c r="BI36" s="336"/>
      <c r="BJ36" s="338"/>
      <c r="BK36" s="343"/>
      <c r="BL36" s="342"/>
      <c r="BM36" s="336"/>
      <c r="BN36" s="336"/>
      <c r="BO36" s="338"/>
      <c r="BP36" s="336"/>
      <c r="BQ36" s="336"/>
      <c r="BR36" s="336"/>
      <c r="BS36" s="336"/>
      <c r="BT36" s="338"/>
      <c r="BU36" s="343"/>
      <c r="BV36" s="342"/>
      <c r="BW36" s="336"/>
      <c r="BX36" s="336"/>
      <c r="BY36" s="336"/>
      <c r="BZ36" s="336"/>
      <c r="CA36" s="336"/>
      <c r="CB36" s="336"/>
      <c r="CC36" s="336"/>
      <c r="CD36" s="338"/>
      <c r="CE36" s="336"/>
      <c r="CF36" s="338"/>
      <c r="CG36" s="343"/>
      <c r="CH36" s="335"/>
    </row>
    <row r="37" spans="1:87" s="145" customFormat="1" ht="15.75" customHeight="1">
      <c r="A37" s="329"/>
      <c r="B37" s="1290">
        <v>6</v>
      </c>
      <c r="C37" s="1291"/>
      <c r="D37" s="342"/>
      <c r="E37" s="336"/>
      <c r="F37" s="337"/>
      <c r="G37" s="343"/>
      <c r="H37" s="342"/>
      <c r="I37" s="336"/>
      <c r="J37" s="336"/>
      <c r="K37" s="336"/>
      <c r="L37" s="336"/>
      <c r="M37" s="336"/>
      <c r="N37" s="336"/>
      <c r="O37" s="338"/>
      <c r="P37" s="343"/>
      <c r="Q37" s="342"/>
      <c r="R37" s="336"/>
      <c r="S37" s="336"/>
      <c r="T37" s="337"/>
      <c r="U37" s="343"/>
      <c r="V37" s="342"/>
      <c r="W37" s="336"/>
      <c r="X37" s="336"/>
      <c r="Y37" s="336"/>
      <c r="Z37" s="336"/>
      <c r="AA37" s="336"/>
      <c r="AB37" s="336"/>
      <c r="AC37" s="338"/>
      <c r="AD37" s="343"/>
      <c r="AE37" s="342"/>
      <c r="AF37" s="336"/>
      <c r="AG37" s="336"/>
      <c r="AH37" s="338"/>
      <c r="AI37" s="343"/>
      <c r="AJ37" s="342"/>
      <c r="AK37" s="336"/>
      <c r="AL37" s="336"/>
      <c r="AM37" s="336"/>
      <c r="AN37" s="338"/>
      <c r="AO37" s="336"/>
      <c r="AP37" s="336"/>
      <c r="AQ37" s="338"/>
      <c r="AR37" s="343"/>
      <c r="AS37" s="342"/>
      <c r="AT37" s="336"/>
      <c r="AU37" s="336"/>
      <c r="AV37" s="336"/>
      <c r="AW37" s="336"/>
      <c r="AX37" s="336"/>
      <c r="AY37" s="336"/>
      <c r="AZ37" s="336"/>
      <c r="BA37" s="338"/>
      <c r="BB37" s="343"/>
      <c r="BC37" s="342"/>
      <c r="BD37" s="336"/>
      <c r="BE37" s="336"/>
      <c r="BF37" s="336"/>
      <c r="BG37" s="336"/>
      <c r="BH37" s="336"/>
      <c r="BI37" s="336"/>
      <c r="BJ37" s="338"/>
      <c r="BK37" s="343"/>
      <c r="BL37" s="342"/>
      <c r="BM37" s="336"/>
      <c r="BN37" s="336"/>
      <c r="BO37" s="338"/>
      <c r="BP37" s="336"/>
      <c r="BQ37" s="336"/>
      <c r="BR37" s="336"/>
      <c r="BS37" s="336"/>
      <c r="BT37" s="338"/>
      <c r="BU37" s="343"/>
      <c r="BV37" s="342"/>
      <c r="BW37" s="336"/>
      <c r="BX37" s="336"/>
      <c r="BY37" s="336"/>
      <c r="BZ37" s="336"/>
      <c r="CA37" s="336"/>
      <c r="CB37" s="336"/>
      <c r="CC37" s="336"/>
      <c r="CD37" s="338"/>
      <c r="CE37" s="336"/>
      <c r="CF37" s="338"/>
      <c r="CG37" s="343"/>
      <c r="CH37" s="335"/>
    </row>
    <row r="38" spans="1:87" s="145" customFormat="1" ht="15.75" customHeight="1">
      <c r="A38" s="329"/>
      <c r="B38" s="1290">
        <v>7</v>
      </c>
      <c r="C38" s="1291"/>
      <c r="D38" s="342"/>
      <c r="E38" s="336"/>
      <c r="F38" s="337"/>
      <c r="G38" s="343"/>
      <c r="H38" s="342"/>
      <c r="I38" s="336"/>
      <c r="J38" s="336"/>
      <c r="K38" s="336"/>
      <c r="L38" s="336"/>
      <c r="M38" s="336"/>
      <c r="N38" s="336"/>
      <c r="O38" s="338"/>
      <c r="P38" s="343"/>
      <c r="Q38" s="342"/>
      <c r="R38" s="336"/>
      <c r="S38" s="336"/>
      <c r="T38" s="337"/>
      <c r="U38" s="343"/>
      <c r="V38" s="342"/>
      <c r="W38" s="336"/>
      <c r="X38" s="336"/>
      <c r="Y38" s="336"/>
      <c r="Z38" s="336"/>
      <c r="AA38" s="336"/>
      <c r="AB38" s="336"/>
      <c r="AC38" s="338"/>
      <c r="AD38" s="343"/>
      <c r="AE38" s="342"/>
      <c r="AF38" s="336"/>
      <c r="AG38" s="336"/>
      <c r="AH38" s="338"/>
      <c r="AI38" s="343"/>
      <c r="AJ38" s="342"/>
      <c r="AK38" s="336"/>
      <c r="AL38" s="336"/>
      <c r="AM38" s="336"/>
      <c r="AN38" s="338"/>
      <c r="AO38" s="336"/>
      <c r="AP38" s="336"/>
      <c r="AQ38" s="338"/>
      <c r="AR38" s="343"/>
      <c r="AS38" s="342"/>
      <c r="AT38" s="336"/>
      <c r="AU38" s="336"/>
      <c r="AV38" s="336"/>
      <c r="AW38" s="336"/>
      <c r="AX38" s="336"/>
      <c r="AY38" s="336"/>
      <c r="AZ38" s="336"/>
      <c r="BA38" s="338"/>
      <c r="BB38" s="343"/>
      <c r="BC38" s="342"/>
      <c r="BD38" s="336"/>
      <c r="BE38" s="336"/>
      <c r="BF38" s="336"/>
      <c r="BG38" s="336"/>
      <c r="BH38" s="336"/>
      <c r="BI38" s="336"/>
      <c r="BJ38" s="338"/>
      <c r="BK38" s="343"/>
      <c r="BL38" s="342"/>
      <c r="BM38" s="336"/>
      <c r="BN38" s="336"/>
      <c r="BO38" s="338"/>
      <c r="BP38" s="336"/>
      <c r="BQ38" s="336"/>
      <c r="BR38" s="336"/>
      <c r="BS38" s="336"/>
      <c r="BT38" s="338"/>
      <c r="BU38" s="343"/>
      <c r="BV38" s="342"/>
      <c r="BW38" s="336"/>
      <c r="BX38" s="336"/>
      <c r="BY38" s="336"/>
      <c r="BZ38" s="336"/>
      <c r="CA38" s="336"/>
      <c r="CB38" s="336"/>
      <c r="CC38" s="336"/>
      <c r="CD38" s="338"/>
      <c r="CE38" s="336"/>
      <c r="CF38" s="338"/>
      <c r="CG38" s="343"/>
      <c r="CH38" s="335"/>
    </row>
    <row r="39" spans="1:87" ht="15.75" customHeight="1">
      <c r="A39" s="329"/>
      <c r="B39" s="1290">
        <v>8</v>
      </c>
      <c r="C39" s="1291"/>
      <c r="D39" s="342"/>
      <c r="E39" s="336"/>
      <c r="F39" s="337"/>
      <c r="G39" s="343"/>
      <c r="H39" s="342"/>
      <c r="I39" s="336"/>
      <c r="J39" s="336"/>
      <c r="K39" s="336"/>
      <c r="L39" s="336"/>
      <c r="M39" s="336"/>
      <c r="N39" s="336"/>
      <c r="O39" s="338"/>
      <c r="P39" s="343"/>
      <c r="Q39" s="342"/>
      <c r="R39" s="336"/>
      <c r="S39" s="336"/>
      <c r="T39" s="337"/>
      <c r="U39" s="343"/>
      <c r="V39" s="342"/>
      <c r="W39" s="336"/>
      <c r="X39" s="336"/>
      <c r="Y39" s="336"/>
      <c r="Z39" s="336"/>
      <c r="AA39" s="336"/>
      <c r="AB39" s="336"/>
      <c r="AC39" s="338"/>
      <c r="AD39" s="343"/>
      <c r="AE39" s="342"/>
      <c r="AF39" s="336"/>
      <c r="AG39" s="336"/>
      <c r="AH39" s="338"/>
      <c r="AI39" s="343"/>
      <c r="AJ39" s="342"/>
      <c r="AK39" s="336"/>
      <c r="AL39" s="336"/>
      <c r="AM39" s="336"/>
      <c r="AN39" s="338"/>
      <c r="AO39" s="336"/>
      <c r="AP39" s="336"/>
      <c r="AQ39" s="338"/>
      <c r="AR39" s="343"/>
      <c r="AS39" s="342"/>
      <c r="AT39" s="336"/>
      <c r="AU39" s="336"/>
      <c r="AV39" s="336"/>
      <c r="AW39" s="336"/>
      <c r="AX39" s="336"/>
      <c r="AY39" s="336"/>
      <c r="AZ39" s="336"/>
      <c r="BA39" s="338"/>
      <c r="BB39" s="343"/>
      <c r="BC39" s="342"/>
      <c r="BD39" s="336"/>
      <c r="BE39" s="336"/>
      <c r="BF39" s="336"/>
      <c r="BG39" s="336"/>
      <c r="BH39" s="336"/>
      <c r="BI39" s="336"/>
      <c r="BJ39" s="338"/>
      <c r="BK39" s="343"/>
      <c r="BL39" s="342"/>
      <c r="BM39" s="336"/>
      <c r="BN39" s="336"/>
      <c r="BO39" s="338"/>
      <c r="BP39" s="336"/>
      <c r="BQ39" s="336"/>
      <c r="BR39" s="336"/>
      <c r="BS39" s="336"/>
      <c r="BT39" s="338"/>
      <c r="BU39" s="343"/>
      <c r="BV39" s="342"/>
      <c r="BW39" s="336"/>
      <c r="BX39" s="336"/>
      <c r="BY39" s="336"/>
      <c r="BZ39" s="336"/>
      <c r="CA39" s="336"/>
      <c r="CB39" s="336"/>
      <c r="CC39" s="336"/>
      <c r="CD39" s="338"/>
      <c r="CE39" s="336"/>
      <c r="CF39" s="338"/>
      <c r="CG39" s="343"/>
      <c r="CH39" s="335"/>
      <c r="CI39" s="145"/>
    </row>
    <row r="40" spans="1:87" ht="15.75" customHeight="1">
      <c r="A40" s="144"/>
      <c r="G40" s="146"/>
      <c r="Q40" s="147"/>
      <c r="CH40" s="92"/>
    </row>
    <row r="41" spans="1:87" ht="15.75" customHeight="1">
      <c r="A41" s="144"/>
      <c r="G41" s="146"/>
      <c r="Q41" s="147"/>
      <c r="CH41" s="92"/>
    </row>
    <row r="42" spans="1:87" ht="15.75" customHeight="1">
      <c r="A42" s="144"/>
      <c r="G42" s="146"/>
      <c r="Q42" s="147"/>
      <c r="CH42" s="92"/>
    </row>
    <row r="43" spans="1:87" ht="15.75" customHeight="1" thickBot="1">
      <c r="A43" s="148"/>
      <c r="B43" s="249"/>
      <c r="C43" s="339"/>
      <c r="D43" s="249"/>
      <c r="E43" s="340"/>
      <c r="F43" s="249"/>
      <c r="G43" s="249"/>
      <c r="H43" s="249"/>
      <c r="I43" s="249"/>
      <c r="J43" s="340"/>
      <c r="K43" s="249"/>
      <c r="L43" s="249"/>
      <c r="M43" s="249"/>
      <c r="N43" s="249"/>
      <c r="O43" s="249"/>
      <c r="P43" s="249"/>
      <c r="Q43" s="341"/>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49"/>
      <c r="BN43" s="249"/>
      <c r="BO43" s="249"/>
      <c r="BP43" s="249"/>
      <c r="BQ43" s="249"/>
      <c r="BR43" s="249"/>
      <c r="BS43" s="249"/>
      <c r="BT43" s="249"/>
      <c r="BU43" s="249"/>
      <c r="BV43" s="249"/>
      <c r="BW43" s="249"/>
      <c r="BX43" s="249"/>
      <c r="BY43" s="249"/>
      <c r="BZ43" s="249"/>
      <c r="CA43" s="249"/>
      <c r="CB43" s="249"/>
      <c r="CC43" s="249"/>
      <c r="CD43" s="249"/>
      <c r="CE43" s="249"/>
      <c r="CF43" s="249"/>
      <c r="CG43" s="249"/>
      <c r="CH43" s="250"/>
    </row>
  </sheetData>
  <mergeCells count="30">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39:C39"/>
    <mergeCell ref="B33:C33"/>
    <mergeCell ref="B32:C32"/>
    <mergeCell ref="B34:C34"/>
    <mergeCell ref="B35:C35"/>
    <mergeCell ref="B36:C36"/>
    <mergeCell ref="B37:C37"/>
    <mergeCell ref="B38:C38"/>
    <mergeCell ref="B31:C31"/>
    <mergeCell ref="A1:J3"/>
  </mergeCells>
  <phoneticPr fontId="9"/>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C703-009A-4A45-BF1E-DF809C0B2C7D}">
  <sheetPr codeName="Sheet13">
    <pageSetUpPr fitToPage="1"/>
  </sheetPr>
  <dimension ref="A1:BK30"/>
  <sheetViews>
    <sheetView showGridLines="0" showZeros="0" view="pageBreakPreview" zoomScale="115" zoomScaleNormal="100" zoomScaleSheetLayoutView="115" workbookViewId="0">
      <selection activeCell="U13" sqref="U13"/>
    </sheetView>
  </sheetViews>
  <sheetFormatPr defaultColWidth="2.125" defaultRowHeight="15.75" customHeight="1"/>
  <cols>
    <col min="1" max="1" width="2.125" style="316" customWidth="1"/>
    <col min="2" max="2" width="2.125" style="302" customWidth="1"/>
    <col min="3" max="3" width="2.375" style="302" customWidth="1"/>
    <col min="4" max="4" width="2.125" style="302" customWidth="1"/>
    <col min="5" max="5" width="3" style="302" customWidth="1"/>
    <col min="6" max="62" width="2.125" style="302" customWidth="1"/>
    <col min="63" max="63" width="2.25" style="302" customWidth="1"/>
    <col min="64" max="16384" width="2.125" style="302"/>
  </cols>
  <sheetData>
    <row r="1" spans="1:63" s="299" customFormat="1" ht="15.75" customHeight="1">
      <c r="A1" s="1214" t="str">
        <f>表紙!A54</f>
        <v>Webシステム</v>
      </c>
      <c r="B1" s="1215"/>
      <c r="C1" s="1215"/>
      <c r="D1" s="1215"/>
      <c r="E1" s="1215"/>
      <c r="F1" s="1215"/>
      <c r="G1" s="1215"/>
      <c r="H1" s="1215"/>
      <c r="I1" s="1215"/>
      <c r="J1" s="1216"/>
      <c r="K1" s="1247" t="s">
        <v>132</v>
      </c>
      <c r="L1" s="1248"/>
      <c r="M1" s="1248"/>
      <c r="N1" s="1248"/>
      <c r="O1" s="1248"/>
      <c r="P1" s="1248"/>
      <c r="Q1" s="1248"/>
      <c r="R1" s="1248"/>
      <c r="S1" s="1248"/>
      <c r="T1" s="1249"/>
      <c r="U1" s="1250" t="s">
        <v>148</v>
      </c>
      <c r="V1" s="1251"/>
      <c r="W1" s="1251"/>
      <c r="X1" s="1251"/>
      <c r="Y1" s="1252"/>
      <c r="Z1" s="1253" t="str">
        <f>表紙!$AJ$63</f>
        <v>MS</v>
      </c>
      <c r="AA1" s="1254"/>
      <c r="AB1" s="1254"/>
      <c r="AC1" s="1254"/>
      <c r="AD1" s="1255"/>
      <c r="AE1" s="1256" t="s">
        <v>135</v>
      </c>
      <c r="AF1" s="1225"/>
      <c r="AG1" s="1225"/>
      <c r="AH1" s="1225"/>
      <c r="AI1" s="1226"/>
      <c r="AJ1" s="1191" t="str">
        <f>表紙!$AX$63</f>
        <v>Webシステム</v>
      </c>
      <c r="AK1" s="1192"/>
      <c r="AL1" s="1192"/>
      <c r="AM1" s="1192"/>
      <c r="AN1" s="1192"/>
      <c r="AO1" s="1192"/>
      <c r="AP1" s="1192"/>
      <c r="AQ1" s="1192"/>
      <c r="AR1" s="1193"/>
      <c r="AS1" s="1223" t="s">
        <v>101</v>
      </c>
      <c r="AT1" s="1223"/>
      <c r="AU1" s="1223"/>
      <c r="AV1" s="1223"/>
      <c r="AW1" s="1223"/>
      <c r="AX1" s="1223"/>
      <c r="AY1" s="1223"/>
      <c r="AZ1" s="1224" t="s">
        <v>124</v>
      </c>
      <c r="BA1" s="1225"/>
      <c r="BB1" s="1225"/>
      <c r="BC1" s="1225"/>
      <c r="BD1" s="1225"/>
      <c r="BE1" s="1226"/>
      <c r="BF1" s="1224" t="s">
        <v>149</v>
      </c>
      <c r="BG1" s="1225"/>
      <c r="BH1" s="1225"/>
      <c r="BI1" s="1225"/>
      <c r="BJ1" s="1225"/>
      <c r="BK1" s="1227"/>
    </row>
    <row r="2" spans="1:63" s="299" customFormat="1" ht="15.75" customHeight="1">
      <c r="A2" s="1217"/>
      <c r="B2" s="1218"/>
      <c r="C2" s="1218"/>
      <c r="D2" s="1218"/>
      <c r="E2" s="1218"/>
      <c r="F2" s="1218"/>
      <c r="G2" s="1218"/>
      <c r="H2" s="1218"/>
      <c r="I2" s="1218"/>
      <c r="J2" s="1219"/>
      <c r="K2" s="1228" t="str">
        <f>表紙!O64</f>
        <v>アドオン設計書</v>
      </c>
      <c r="L2" s="1195"/>
      <c r="M2" s="1195"/>
      <c r="N2" s="1195"/>
      <c r="O2" s="1195"/>
      <c r="P2" s="1195"/>
      <c r="Q2" s="1195"/>
      <c r="R2" s="1195"/>
      <c r="S2" s="1195"/>
      <c r="T2" s="1229"/>
      <c r="U2" s="1230" t="s">
        <v>150</v>
      </c>
      <c r="V2" s="1231"/>
      <c r="W2" s="1231"/>
      <c r="X2" s="1231"/>
      <c r="Y2" s="1232"/>
      <c r="Z2" s="1233" t="str">
        <f>表紙!$AJ$64</f>
        <v>MSBB</v>
      </c>
      <c r="AA2" s="1234"/>
      <c r="AB2" s="1234"/>
      <c r="AC2" s="1234"/>
      <c r="AD2" s="1235"/>
      <c r="AE2" s="1236" t="s">
        <v>141</v>
      </c>
      <c r="AF2" s="1237"/>
      <c r="AG2" s="1237"/>
      <c r="AH2" s="1237"/>
      <c r="AI2" s="1238"/>
      <c r="AJ2" s="1239" t="str">
        <f>表紙!$AX$64</f>
        <v>販売Webシステム</v>
      </c>
      <c r="AK2" s="1240"/>
      <c r="AL2" s="1240"/>
      <c r="AM2" s="1240"/>
      <c r="AN2" s="1240"/>
      <c r="AO2" s="1240"/>
      <c r="AP2" s="1240"/>
      <c r="AQ2" s="1240"/>
      <c r="AR2" s="1241"/>
      <c r="AS2" s="1242" t="str">
        <f>表紙!$BL$64</f>
        <v>M7-US-1140</v>
      </c>
      <c r="AT2" s="1243"/>
      <c r="AU2" s="1243"/>
      <c r="AV2" s="1243"/>
      <c r="AW2" s="1243"/>
      <c r="AX2" s="1243"/>
      <c r="AY2" s="1243"/>
      <c r="AZ2" s="1245" t="str">
        <f>表紙!$BU$64</f>
        <v>7.0.2</v>
      </c>
      <c r="BA2" s="1195"/>
      <c r="BB2" s="1195"/>
      <c r="BC2" s="1195"/>
      <c r="BD2" s="1195"/>
      <c r="BE2" s="1229"/>
      <c r="BF2" s="1194">
        <f>表紙!$CB$64</f>
        <v>2</v>
      </c>
      <c r="BG2" s="1195"/>
      <c r="BH2" s="1195"/>
      <c r="BI2" s="1195"/>
      <c r="BJ2" s="1195"/>
      <c r="BK2" s="1196"/>
    </row>
    <row r="3" spans="1:63" s="299" customFormat="1" ht="15.75" customHeight="1" thickBot="1">
      <c r="A3" s="1220"/>
      <c r="B3" s="1221"/>
      <c r="C3" s="1221"/>
      <c r="D3" s="1221"/>
      <c r="E3" s="1221"/>
      <c r="F3" s="1221"/>
      <c r="G3" s="1221"/>
      <c r="H3" s="1221"/>
      <c r="I3" s="1221"/>
      <c r="J3" s="1222"/>
      <c r="K3" s="1200" t="str">
        <f ca="1">RIGHT(CELL("filename",$A$1),LEN(CELL("filename",$A$1))-FIND("]",CELL("filename",$A$1)))</f>
        <v>メッセージ一覧</v>
      </c>
      <c r="L3" s="1201"/>
      <c r="M3" s="1201"/>
      <c r="N3" s="1201"/>
      <c r="O3" s="1201"/>
      <c r="P3" s="1201"/>
      <c r="Q3" s="1201"/>
      <c r="R3" s="1201"/>
      <c r="S3" s="1201"/>
      <c r="T3" s="1202"/>
      <c r="U3" s="1203" t="s">
        <v>146</v>
      </c>
      <c r="V3" s="1204"/>
      <c r="W3" s="1204"/>
      <c r="X3" s="1204"/>
      <c r="Y3" s="1205"/>
      <c r="Z3" s="1206" t="str">
        <f>表紙!$AJ$65</f>
        <v>MSBBPA080</v>
      </c>
      <c r="AA3" s="1207"/>
      <c r="AB3" s="1207"/>
      <c r="AC3" s="1207"/>
      <c r="AD3" s="1207"/>
      <c r="AE3" s="1208" t="str">
        <f>表紙!$AQ$65</f>
        <v>Web受注一覧照会</v>
      </c>
      <c r="AF3" s="1209"/>
      <c r="AG3" s="1209"/>
      <c r="AH3" s="1209"/>
      <c r="AI3" s="1209"/>
      <c r="AJ3" s="1209"/>
      <c r="AK3" s="1209"/>
      <c r="AL3" s="1209"/>
      <c r="AM3" s="1209"/>
      <c r="AN3" s="1209"/>
      <c r="AO3" s="1209"/>
      <c r="AP3" s="1209"/>
      <c r="AQ3" s="1209"/>
      <c r="AR3" s="1210"/>
      <c r="AS3" s="1244"/>
      <c r="AT3" s="1244"/>
      <c r="AU3" s="1244"/>
      <c r="AV3" s="1244"/>
      <c r="AW3" s="1244"/>
      <c r="AX3" s="1244"/>
      <c r="AY3" s="1244"/>
      <c r="AZ3" s="1197"/>
      <c r="BA3" s="1198"/>
      <c r="BB3" s="1198"/>
      <c r="BC3" s="1198"/>
      <c r="BD3" s="1198"/>
      <c r="BE3" s="1246"/>
      <c r="BF3" s="1197"/>
      <c r="BG3" s="1198"/>
      <c r="BH3" s="1198"/>
      <c r="BI3" s="1198"/>
      <c r="BJ3" s="1198"/>
      <c r="BK3" s="1199"/>
    </row>
    <row r="4" spans="1:63" ht="15.75" customHeight="1" thickBot="1">
      <c r="A4" s="300"/>
      <c r="B4" s="301"/>
      <c r="C4" s="302" t="s">
        <v>802</v>
      </c>
      <c r="Q4" s="303"/>
      <c r="R4" s="300"/>
      <c r="S4" s="300"/>
      <c r="T4" s="300"/>
      <c r="U4" s="300"/>
      <c r="V4" s="300"/>
      <c r="W4" s="300"/>
      <c r="X4" s="300"/>
      <c r="Y4" s="300"/>
      <c r="Z4" s="300"/>
      <c r="AA4" s="300"/>
      <c r="AB4" s="300"/>
      <c r="AC4" s="300"/>
      <c r="AD4" s="300"/>
      <c r="AE4" s="300"/>
      <c r="AF4" s="300"/>
      <c r="AG4" s="300"/>
      <c r="AH4" s="300"/>
      <c r="AI4" s="300"/>
      <c r="AJ4" s="300"/>
      <c r="AK4" s="300"/>
      <c r="AL4" s="300"/>
      <c r="AM4" s="300"/>
      <c r="AN4" s="300"/>
      <c r="AO4" s="300"/>
      <c r="AP4" s="300"/>
      <c r="AQ4" s="300"/>
      <c r="AR4" s="300"/>
      <c r="AS4" s="300"/>
      <c r="AT4" s="300"/>
      <c r="AU4" s="300"/>
      <c r="AV4" s="300"/>
      <c r="AW4" s="300"/>
      <c r="AX4" s="300"/>
      <c r="AY4" s="300"/>
      <c r="AZ4" s="300"/>
      <c r="BA4" s="300"/>
      <c r="BB4" s="300"/>
      <c r="BC4" s="300"/>
      <c r="BD4" s="300"/>
      <c r="BE4" s="300"/>
      <c r="BF4" s="300"/>
      <c r="BG4" s="300"/>
      <c r="BH4" s="300"/>
      <c r="BI4" s="300"/>
      <c r="BJ4" s="300"/>
      <c r="BK4" s="304"/>
    </row>
    <row r="5" spans="1:63" s="309" customFormat="1" ht="13.5" customHeight="1">
      <c r="A5" s="1313" t="s">
        <v>646</v>
      </c>
      <c r="B5" s="1314"/>
      <c r="C5" s="1315" t="s">
        <v>803</v>
      </c>
      <c r="D5" s="1316"/>
      <c r="E5" s="1315" t="s">
        <v>804</v>
      </c>
      <c r="F5" s="1316"/>
      <c r="G5" s="305" t="s">
        <v>805</v>
      </c>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7"/>
      <c r="AQ5" s="305" t="s">
        <v>806</v>
      </c>
      <c r="AR5" s="306"/>
      <c r="AS5" s="306"/>
      <c r="AT5" s="306"/>
      <c r="AU5" s="306"/>
      <c r="AV5" s="306"/>
      <c r="AW5" s="306"/>
      <c r="AX5" s="306"/>
      <c r="AY5" s="306"/>
      <c r="AZ5" s="306"/>
      <c r="BA5" s="306"/>
      <c r="BB5" s="306"/>
      <c r="BC5" s="306"/>
      <c r="BD5" s="306"/>
      <c r="BE5" s="306"/>
      <c r="BF5" s="307"/>
      <c r="BG5" s="305" t="s">
        <v>807</v>
      </c>
      <c r="BH5" s="306"/>
      <c r="BI5" s="306"/>
      <c r="BJ5" s="306"/>
      <c r="BK5" s="308"/>
    </row>
    <row r="6" spans="1:63" s="312" customFormat="1" ht="12">
      <c r="A6" s="1317">
        <v>1</v>
      </c>
      <c r="B6" s="1318"/>
      <c r="C6" s="1319" t="s">
        <v>808</v>
      </c>
      <c r="D6" s="1319"/>
      <c r="E6" s="1319" t="s">
        <v>809</v>
      </c>
      <c r="F6" s="1319"/>
      <c r="G6" s="471" t="s">
        <v>810</v>
      </c>
      <c r="H6" s="350"/>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1"/>
      <c r="AQ6" s="471" t="s">
        <v>811</v>
      </c>
      <c r="AR6" s="350"/>
      <c r="AS6" s="350"/>
      <c r="AT6" s="350"/>
      <c r="AU6" s="350"/>
      <c r="AV6" s="350"/>
      <c r="AW6" s="350"/>
      <c r="AX6" s="350"/>
      <c r="AY6" s="350"/>
      <c r="AZ6" s="350"/>
      <c r="BA6" s="350"/>
      <c r="BB6" s="350"/>
      <c r="BC6" s="350"/>
      <c r="BD6" s="350"/>
      <c r="BE6" s="350"/>
      <c r="BF6" s="351"/>
      <c r="BG6" s="471" t="s">
        <v>1135</v>
      </c>
      <c r="BH6" s="350"/>
      <c r="BI6" s="350"/>
      <c r="BJ6" s="350"/>
      <c r="BK6" s="352"/>
    </row>
    <row r="7" spans="1:63" s="312" customFormat="1" ht="12">
      <c r="A7" s="1320"/>
      <c r="B7" s="1321"/>
      <c r="C7" s="1322"/>
      <c r="D7" s="1323"/>
      <c r="E7" s="1322"/>
      <c r="F7" s="1323"/>
      <c r="G7" s="353"/>
      <c r="H7" s="354"/>
      <c r="I7" s="354"/>
      <c r="J7" s="354"/>
      <c r="K7" s="354"/>
      <c r="L7" s="354"/>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5"/>
      <c r="AQ7" s="356" t="s">
        <v>812</v>
      </c>
      <c r="AR7" s="357"/>
      <c r="AS7" s="357"/>
      <c r="AT7" s="357"/>
      <c r="AU7" s="357"/>
      <c r="AV7" s="357"/>
      <c r="AW7" s="357"/>
      <c r="AX7" s="357"/>
      <c r="AY7" s="357"/>
      <c r="AZ7" s="357"/>
      <c r="BA7" s="357"/>
      <c r="BB7" s="357"/>
      <c r="BC7" s="357"/>
      <c r="BD7" s="357"/>
      <c r="BE7" s="357"/>
      <c r="BF7" s="358"/>
      <c r="BG7" s="353"/>
      <c r="BH7" s="357"/>
      <c r="BI7" s="357"/>
      <c r="BJ7" s="357"/>
      <c r="BK7" s="359"/>
    </row>
    <row r="8" spans="1:63" s="312" customFormat="1" ht="12">
      <c r="A8" s="1320"/>
      <c r="B8" s="1321"/>
      <c r="C8" s="1322"/>
      <c r="D8" s="1323"/>
      <c r="E8" s="1322"/>
      <c r="F8" s="1323"/>
      <c r="G8" s="353"/>
      <c r="H8" s="354"/>
      <c r="I8" s="354"/>
      <c r="J8" s="354"/>
      <c r="K8" s="354"/>
      <c r="L8" s="354"/>
      <c r="M8" s="354"/>
      <c r="N8" s="354"/>
      <c r="O8" s="354"/>
      <c r="P8" s="354"/>
      <c r="Q8" s="354"/>
      <c r="R8" s="354"/>
      <c r="S8" s="354"/>
      <c r="T8" s="354"/>
      <c r="U8" s="354"/>
      <c r="V8" s="354"/>
      <c r="W8" s="354"/>
      <c r="X8" s="354"/>
      <c r="Y8" s="354"/>
      <c r="Z8" s="354"/>
      <c r="AA8" s="354"/>
      <c r="AB8" s="354"/>
      <c r="AC8" s="354"/>
      <c r="AD8" s="354"/>
      <c r="AE8" s="354"/>
      <c r="AF8" s="354"/>
      <c r="AG8" s="354"/>
      <c r="AH8" s="354"/>
      <c r="AI8" s="354"/>
      <c r="AJ8" s="354"/>
      <c r="AK8" s="354"/>
      <c r="AL8" s="354"/>
      <c r="AM8" s="354"/>
      <c r="AN8" s="354"/>
      <c r="AO8" s="354"/>
      <c r="AP8" s="355"/>
      <c r="AQ8" s="356"/>
      <c r="AR8" s="357"/>
      <c r="AS8" s="357"/>
      <c r="AT8" s="357"/>
      <c r="AU8" s="357"/>
      <c r="AV8" s="357"/>
      <c r="AW8" s="357"/>
      <c r="AX8" s="357"/>
      <c r="AY8" s="357"/>
      <c r="AZ8" s="357"/>
      <c r="BA8" s="357"/>
      <c r="BB8" s="357"/>
      <c r="BC8" s="357"/>
      <c r="BD8" s="357"/>
      <c r="BE8" s="357"/>
      <c r="BF8" s="358"/>
      <c r="BG8" s="353"/>
      <c r="BH8" s="357"/>
      <c r="BI8" s="357"/>
      <c r="BJ8" s="357"/>
      <c r="BK8" s="359"/>
    </row>
    <row r="9" spans="1:63" s="312" customFormat="1" ht="12">
      <c r="A9" s="1309"/>
      <c r="B9" s="1310"/>
      <c r="C9" s="1311"/>
      <c r="D9" s="1312"/>
      <c r="E9" s="1311"/>
      <c r="F9" s="1312"/>
      <c r="G9" s="360"/>
      <c r="H9" s="361"/>
      <c r="I9" s="361"/>
      <c r="J9" s="361"/>
      <c r="K9" s="361"/>
      <c r="L9" s="361"/>
      <c r="M9" s="361"/>
      <c r="N9" s="361"/>
      <c r="O9" s="361"/>
      <c r="P9" s="361"/>
      <c r="Q9" s="361"/>
      <c r="R9" s="361"/>
      <c r="S9" s="361"/>
      <c r="T9" s="361"/>
      <c r="U9" s="361"/>
      <c r="V9" s="361"/>
      <c r="W9" s="361"/>
      <c r="X9" s="361"/>
      <c r="Y9" s="361"/>
      <c r="Z9" s="361"/>
      <c r="AA9" s="361"/>
      <c r="AB9" s="361"/>
      <c r="AC9" s="361"/>
      <c r="AD9" s="361"/>
      <c r="AE9" s="361"/>
      <c r="AF9" s="361"/>
      <c r="AG9" s="361"/>
      <c r="AH9" s="361"/>
      <c r="AI9" s="361"/>
      <c r="AJ9" s="361"/>
      <c r="AK9" s="361"/>
      <c r="AL9" s="361"/>
      <c r="AM9" s="361"/>
      <c r="AN9" s="361"/>
      <c r="AO9" s="361"/>
      <c r="AP9" s="362"/>
      <c r="AQ9" s="363"/>
      <c r="AR9" s="364"/>
      <c r="AS9" s="364"/>
      <c r="AT9" s="364"/>
      <c r="AU9" s="364"/>
      <c r="AV9" s="364"/>
      <c r="AW9" s="364"/>
      <c r="AX9" s="364"/>
      <c r="AY9" s="364"/>
      <c r="AZ9" s="364"/>
      <c r="BA9" s="364"/>
      <c r="BB9" s="364"/>
      <c r="BC9" s="364"/>
      <c r="BD9" s="364"/>
      <c r="BE9" s="364"/>
      <c r="BF9" s="365"/>
      <c r="BG9" s="363"/>
      <c r="BH9" s="364"/>
      <c r="BI9" s="364"/>
      <c r="BJ9" s="364"/>
      <c r="BK9" s="366"/>
    </row>
    <row r="10" spans="1:63" s="312" customFormat="1" ht="12">
      <c r="A10" s="1298">
        <v>2</v>
      </c>
      <c r="B10" s="1299"/>
      <c r="C10" s="1300" t="s">
        <v>808</v>
      </c>
      <c r="D10" s="1300"/>
      <c r="E10" s="1300" t="s">
        <v>809</v>
      </c>
      <c r="F10" s="1300"/>
      <c r="G10" s="344" t="s">
        <v>813</v>
      </c>
      <c r="H10" s="310"/>
      <c r="I10" s="310"/>
      <c r="J10" s="310"/>
      <c r="K10" s="310"/>
      <c r="L10" s="310"/>
      <c r="M10" s="310"/>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45"/>
      <c r="AQ10" s="344"/>
      <c r="AR10" s="310"/>
      <c r="AS10" s="310"/>
      <c r="AT10" s="310"/>
      <c r="AU10" s="310"/>
      <c r="AV10" s="310"/>
      <c r="AW10" s="310"/>
      <c r="AX10" s="310"/>
      <c r="AY10" s="310"/>
      <c r="AZ10" s="310"/>
      <c r="BA10" s="310"/>
      <c r="BB10" s="310"/>
      <c r="BC10" s="310"/>
      <c r="BD10" s="310"/>
      <c r="BE10" s="310"/>
      <c r="BF10" s="345"/>
      <c r="BG10" s="344" t="s">
        <v>1136</v>
      </c>
      <c r="BH10" s="310"/>
      <c r="BI10" s="314"/>
      <c r="BJ10" s="314"/>
      <c r="BK10" s="367"/>
    </row>
    <row r="11" spans="1:63" s="312" customFormat="1" ht="12">
      <c r="A11" s="1301">
        <v>3</v>
      </c>
      <c r="B11" s="1302"/>
      <c r="C11" s="1303" t="s">
        <v>808</v>
      </c>
      <c r="D11" s="1304"/>
      <c r="E11" s="1303" t="s">
        <v>809</v>
      </c>
      <c r="F11" s="1304"/>
      <c r="G11" s="344" t="s">
        <v>814</v>
      </c>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45"/>
      <c r="AQ11" s="313"/>
      <c r="AR11" s="314"/>
      <c r="AS11" s="314"/>
      <c r="AT11" s="314"/>
      <c r="AU11" s="314"/>
      <c r="AV11" s="314"/>
      <c r="AW11" s="314"/>
      <c r="AX11" s="314"/>
      <c r="AY11" s="314"/>
      <c r="AZ11" s="314"/>
      <c r="BA11" s="314"/>
      <c r="BB11" s="314"/>
      <c r="BC11" s="314"/>
      <c r="BD11" s="314"/>
      <c r="BE11" s="314"/>
      <c r="BF11" s="315"/>
      <c r="BG11" s="344" t="s">
        <v>1137</v>
      </c>
      <c r="BH11" s="314"/>
      <c r="BI11" s="314"/>
      <c r="BJ11" s="314"/>
      <c r="BK11" s="367"/>
    </row>
    <row r="12" spans="1:63" s="312" customFormat="1" ht="12">
      <c r="A12" s="1301">
        <v>4</v>
      </c>
      <c r="B12" s="1302"/>
      <c r="C12" s="1303" t="s">
        <v>808</v>
      </c>
      <c r="D12" s="1304"/>
      <c r="E12" s="1303" t="s">
        <v>809</v>
      </c>
      <c r="F12" s="1304"/>
      <c r="G12" s="344" t="s">
        <v>815</v>
      </c>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45"/>
      <c r="AQ12" s="313"/>
      <c r="AR12" s="314"/>
      <c r="AS12" s="314"/>
      <c r="AT12" s="314"/>
      <c r="AU12" s="314"/>
      <c r="AV12" s="314"/>
      <c r="AW12" s="314"/>
      <c r="AX12" s="314"/>
      <c r="AY12" s="314"/>
      <c r="AZ12" s="314"/>
      <c r="BA12" s="314"/>
      <c r="BB12" s="314"/>
      <c r="BC12" s="314"/>
      <c r="BD12" s="314"/>
      <c r="BE12" s="314"/>
      <c r="BF12" s="315"/>
      <c r="BG12" s="344" t="s">
        <v>1138</v>
      </c>
      <c r="BH12" s="310"/>
      <c r="BI12" s="310"/>
      <c r="BJ12" s="310"/>
      <c r="BK12" s="311"/>
    </row>
    <row r="13" spans="1:63" s="312" customFormat="1" ht="12">
      <c r="A13" s="1305">
        <v>5</v>
      </c>
      <c r="B13" s="1306"/>
      <c r="C13" s="1307" t="s">
        <v>808</v>
      </c>
      <c r="D13" s="1308"/>
      <c r="E13" s="1307" t="s">
        <v>809</v>
      </c>
      <c r="F13" s="1308"/>
      <c r="G13" s="592" t="s">
        <v>1182</v>
      </c>
      <c r="H13" s="594"/>
      <c r="I13" s="594"/>
      <c r="J13" s="594"/>
      <c r="K13" s="594"/>
      <c r="L13" s="594"/>
      <c r="M13" s="594"/>
      <c r="N13" s="594"/>
      <c r="O13" s="594"/>
      <c r="P13" s="594"/>
      <c r="Q13" s="594"/>
      <c r="R13" s="594"/>
      <c r="S13" s="594"/>
      <c r="T13" s="594"/>
      <c r="U13" s="594"/>
      <c r="V13" s="594"/>
      <c r="W13" s="594"/>
      <c r="X13" s="594"/>
      <c r="Y13" s="594"/>
      <c r="Z13" s="594"/>
      <c r="AA13" s="594"/>
      <c r="AB13" s="594"/>
      <c r="AC13" s="594"/>
      <c r="AD13" s="594"/>
      <c r="AE13" s="594"/>
      <c r="AF13" s="594"/>
      <c r="AG13" s="594"/>
      <c r="AH13" s="594"/>
      <c r="AI13" s="594"/>
      <c r="AJ13" s="594"/>
      <c r="AK13" s="594"/>
      <c r="AL13" s="594"/>
      <c r="AM13" s="594"/>
      <c r="AN13" s="594"/>
      <c r="AO13" s="594"/>
      <c r="AP13" s="593"/>
      <c r="AQ13" s="592"/>
      <c r="AR13" s="594"/>
      <c r="AS13" s="594"/>
      <c r="AT13" s="594"/>
      <c r="AU13" s="594"/>
      <c r="AV13" s="594"/>
      <c r="AW13" s="594"/>
      <c r="AX13" s="594"/>
      <c r="AY13" s="594"/>
      <c r="AZ13" s="594"/>
      <c r="BA13" s="594"/>
      <c r="BB13" s="594"/>
      <c r="BC13" s="594"/>
      <c r="BD13" s="594"/>
      <c r="BE13" s="594"/>
      <c r="BF13" s="593"/>
      <c r="BG13" s="595" t="s">
        <v>1183</v>
      </c>
      <c r="BH13" s="594"/>
      <c r="BI13" s="594"/>
      <c r="BJ13" s="594"/>
      <c r="BK13" s="596"/>
    </row>
    <row r="14" spans="1:63" s="312" customFormat="1" ht="12">
      <c r="A14" s="1305">
        <v>6</v>
      </c>
      <c r="B14" s="1306"/>
      <c r="C14" s="1307" t="s">
        <v>808</v>
      </c>
      <c r="D14" s="1308"/>
      <c r="E14" s="1307" t="s">
        <v>1184</v>
      </c>
      <c r="F14" s="1308"/>
      <c r="G14" s="592" t="s">
        <v>1185</v>
      </c>
      <c r="H14" s="594"/>
      <c r="I14" s="594"/>
      <c r="J14" s="594"/>
      <c r="K14" s="594"/>
      <c r="L14" s="594"/>
      <c r="M14" s="594"/>
      <c r="N14" s="594"/>
      <c r="O14" s="594"/>
      <c r="P14" s="594"/>
      <c r="Q14" s="594"/>
      <c r="R14" s="594"/>
      <c r="S14" s="594"/>
      <c r="T14" s="594"/>
      <c r="U14" s="594"/>
      <c r="V14" s="594"/>
      <c r="W14" s="594"/>
      <c r="X14" s="594"/>
      <c r="Y14" s="594"/>
      <c r="Z14" s="594"/>
      <c r="AA14" s="594"/>
      <c r="AB14" s="594"/>
      <c r="AC14" s="594"/>
      <c r="AD14" s="594"/>
      <c r="AE14" s="594"/>
      <c r="AF14" s="594"/>
      <c r="AG14" s="594"/>
      <c r="AH14" s="594"/>
      <c r="AI14" s="594"/>
      <c r="AJ14" s="594"/>
      <c r="AK14" s="594"/>
      <c r="AL14" s="594"/>
      <c r="AM14" s="594"/>
      <c r="AN14" s="594"/>
      <c r="AO14" s="594"/>
      <c r="AP14" s="593"/>
      <c r="AQ14" s="595"/>
      <c r="AR14" s="597"/>
      <c r="AS14" s="597"/>
      <c r="AT14" s="597"/>
      <c r="AU14" s="597"/>
      <c r="AV14" s="597"/>
      <c r="AW14" s="597"/>
      <c r="AX14" s="597"/>
      <c r="AY14" s="597"/>
      <c r="AZ14" s="597"/>
      <c r="BA14" s="597"/>
      <c r="BB14" s="597"/>
      <c r="BC14" s="597"/>
      <c r="BD14" s="597"/>
      <c r="BE14" s="597"/>
      <c r="BF14" s="598"/>
      <c r="BG14" s="592" t="s">
        <v>1186</v>
      </c>
      <c r="BH14" s="597"/>
      <c r="BI14" s="597"/>
      <c r="BJ14" s="597"/>
      <c r="BK14" s="599"/>
    </row>
    <row r="15" spans="1:63" s="312" customFormat="1" ht="12">
      <c r="A15" s="1301"/>
      <c r="B15" s="1302"/>
      <c r="C15" s="1300"/>
      <c r="D15" s="1300"/>
      <c r="E15" s="1300"/>
      <c r="F15" s="1300"/>
      <c r="G15" s="344"/>
      <c r="H15" s="310"/>
      <c r="I15" s="310"/>
      <c r="J15" s="310"/>
      <c r="K15" s="310"/>
      <c r="L15" s="310"/>
      <c r="M15" s="310"/>
      <c r="N15" s="310"/>
      <c r="O15" s="310"/>
      <c r="P15" s="310"/>
      <c r="Q15" s="310"/>
      <c r="R15" s="310"/>
      <c r="S15" s="310"/>
      <c r="T15" s="310"/>
      <c r="U15" s="310"/>
      <c r="V15" s="310"/>
      <c r="W15" s="310"/>
      <c r="X15" s="310"/>
      <c r="Y15" s="310"/>
      <c r="Z15" s="310"/>
      <c r="AA15" s="310"/>
      <c r="AB15" s="310"/>
      <c r="AC15" s="310"/>
      <c r="AD15" s="310"/>
      <c r="AE15" s="310"/>
      <c r="AF15" s="310"/>
      <c r="AG15" s="310"/>
      <c r="AH15" s="310"/>
      <c r="AI15" s="310"/>
      <c r="AJ15" s="310"/>
      <c r="AK15" s="310"/>
      <c r="AL15" s="310"/>
      <c r="AM15" s="310"/>
      <c r="AN15" s="310"/>
      <c r="AO15" s="310"/>
      <c r="AP15" s="345"/>
      <c r="AQ15" s="313"/>
      <c r="AR15" s="314"/>
      <c r="AS15" s="314"/>
      <c r="AT15" s="314"/>
      <c r="AU15" s="314"/>
      <c r="AV15" s="314"/>
      <c r="AW15" s="314"/>
      <c r="AX15" s="314"/>
      <c r="AY15" s="314"/>
      <c r="AZ15" s="314"/>
      <c r="BA15" s="314"/>
      <c r="BB15" s="314"/>
      <c r="BC15" s="314"/>
      <c r="BD15" s="314"/>
      <c r="BE15" s="314"/>
      <c r="BF15" s="315"/>
      <c r="BG15" s="344"/>
      <c r="BH15" s="314"/>
      <c r="BI15" s="314"/>
      <c r="BJ15" s="314"/>
      <c r="BK15" s="367"/>
    </row>
    <row r="16" spans="1:63" s="312" customFormat="1" ht="12">
      <c r="A16" s="1298"/>
      <c r="B16" s="1299"/>
      <c r="C16" s="1300"/>
      <c r="D16" s="1300"/>
      <c r="E16" s="1300"/>
      <c r="F16" s="1300"/>
      <c r="G16" s="344"/>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45"/>
      <c r="AQ16" s="344"/>
      <c r="AR16" s="310"/>
      <c r="AS16" s="310"/>
      <c r="AT16" s="310"/>
      <c r="AU16" s="310"/>
      <c r="AV16" s="310"/>
      <c r="AW16" s="310"/>
      <c r="AX16" s="310"/>
      <c r="AY16" s="310"/>
      <c r="AZ16" s="310"/>
      <c r="BA16" s="310"/>
      <c r="BB16" s="310"/>
      <c r="BC16" s="310"/>
      <c r="BD16" s="310"/>
      <c r="BE16" s="310"/>
      <c r="BF16" s="345"/>
      <c r="BG16" s="313"/>
      <c r="BH16" s="310"/>
      <c r="BI16" s="310"/>
      <c r="BJ16" s="310"/>
      <c r="BK16" s="311"/>
    </row>
    <row r="17" spans="1:63" s="312" customFormat="1" ht="12">
      <c r="A17" s="1301"/>
      <c r="B17" s="1302"/>
      <c r="C17" s="1300"/>
      <c r="D17" s="1300"/>
      <c r="E17" s="1300"/>
      <c r="F17" s="1300"/>
      <c r="G17" s="344"/>
      <c r="H17" s="310"/>
      <c r="I17" s="310"/>
      <c r="J17" s="310"/>
      <c r="K17" s="310"/>
      <c r="L17" s="310"/>
      <c r="M17" s="310"/>
      <c r="N17" s="310"/>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310"/>
      <c r="AN17" s="310"/>
      <c r="AO17" s="310"/>
      <c r="AP17" s="345"/>
      <c r="AQ17" s="313"/>
      <c r="AR17" s="314"/>
      <c r="AS17" s="314"/>
      <c r="AT17" s="314"/>
      <c r="AU17" s="314"/>
      <c r="AV17" s="314"/>
      <c r="AW17" s="314"/>
      <c r="AX17" s="314"/>
      <c r="AY17" s="314"/>
      <c r="AZ17" s="314"/>
      <c r="BA17" s="314"/>
      <c r="BB17" s="314"/>
      <c r="BC17" s="314"/>
      <c r="BD17" s="314"/>
      <c r="BE17" s="314"/>
      <c r="BF17" s="315"/>
      <c r="BG17" s="344"/>
      <c r="BH17" s="314"/>
      <c r="BI17" s="314"/>
      <c r="BJ17" s="314"/>
      <c r="BK17" s="367"/>
    </row>
    <row r="18" spans="1:63" s="312" customFormat="1" ht="12">
      <c r="A18" s="1298"/>
      <c r="B18" s="1299"/>
      <c r="C18" s="1300"/>
      <c r="D18" s="1300"/>
      <c r="E18" s="1300"/>
      <c r="F18" s="1300"/>
      <c r="G18" s="344"/>
      <c r="H18" s="310"/>
      <c r="I18" s="310"/>
      <c r="J18" s="310"/>
      <c r="K18" s="310"/>
      <c r="L18" s="310"/>
      <c r="M18" s="310"/>
      <c r="N18" s="310"/>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45"/>
      <c r="AQ18" s="313"/>
      <c r="AR18" s="314"/>
      <c r="AS18" s="314"/>
      <c r="AT18" s="314"/>
      <c r="AU18" s="314"/>
      <c r="AV18" s="314"/>
      <c r="AW18" s="314"/>
      <c r="AX18" s="314"/>
      <c r="AY18" s="314"/>
      <c r="AZ18" s="314"/>
      <c r="BA18" s="314"/>
      <c r="BB18" s="314"/>
      <c r="BC18" s="314"/>
      <c r="BD18" s="314"/>
      <c r="BE18" s="314"/>
      <c r="BF18" s="315"/>
      <c r="BG18" s="313"/>
      <c r="BH18" s="314"/>
      <c r="BI18" s="314"/>
      <c r="BJ18" s="314"/>
      <c r="BK18" s="367"/>
    </row>
    <row r="19" spans="1:63" s="312" customFormat="1" ht="12">
      <c r="A19" s="1301"/>
      <c r="B19" s="1302"/>
      <c r="C19" s="1300"/>
      <c r="D19" s="1300"/>
      <c r="E19" s="1300"/>
      <c r="F19" s="1300"/>
      <c r="G19" s="344"/>
      <c r="H19" s="310"/>
      <c r="I19" s="310"/>
      <c r="J19" s="310"/>
      <c r="K19" s="310"/>
      <c r="L19" s="310"/>
      <c r="M19" s="310"/>
      <c r="N19" s="310"/>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45"/>
      <c r="AQ19" s="313"/>
      <c r="AR19" s="314"/>
      <c r="AS19" s="314"/>
      <c r="AT19" s="314"/>
      <c r="AU19" s="314"/>
      <c r="AV19" s="314"/>
      <c r="AW19" s="314"/>
      <c r="AX19" s="314"/>
      <c r="AY19" s="314"/>
      <c r="AZ19" s="314"/>
      <c r="BA19" s="314"/>
      <c r="BB19" s="314"/>
      <c r="BC19" s="314"/>
      <c r="BD19" s="314"/>
      <c r="BE19" s="314"/>
      <c r="BF19" s="315"/>
      <c r="BG19" s="344"/>
      <c r="BH19" s="314"/>
      <c r="BI19" s="314"/>
      <c r="BJ19" s="314"/>
      <c r="BK19" s="367"/>
    </row>
    <row r="20" spans="1:63" s="312" customFormat="1" ht="12">
      <c r="A20" s="1298"/>
      <c r="B20" s="1299"/>
      <c r="C20" s="1300"/>
      <c r="D20" s="1300"/>
      <c r="E20" s="1300"/>
      <c r="F20" s="1300"/>
      <c r="G20" s="344"/>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45"/>
      <c r="AQ20" s="313"/>
      <c r="AR20" s="314"/>
      <c r="AS20" s="314"/>
      <c r="AT20" s="314"/>
      <c r="AU20" s="314"/>
      <c r="AV20" s="314"/>
      <c r="AW20" s="314"/>
      <c r="AX20" s="314"/>
      <c r="AY20" s="314"/>
      <c r="AZ20" s="314"/>
      <c r="BA20" s="314"/>
      <c r="BB20" s="314"/>
      <c r="BC20" s="314"/>
      <c r="BD20" s="314"/>
      <c r="BE20" s="314"/>
      <c r="BF20" s="315"/>
      <c r="BG20" s="313"/>
      <c r="BH20" s="314"/>
      <c r="BI20" s="314"/>
      <c r="BJ20" s="314"/>
      <c r="BK20" s="367"/>
    </row>
    <row r="21" spans="1:63" s="312" customFormat="1" ht="12">
      <c r="A21" s="1301"/>
      <c r="B21" s="1302"/>
      <c r="C21" s="1300"/>
      <c r="D21" s="1300"/>
      <c r="E21" s="1300"/>
      <c r="F21" s="1300"/>
      <c r="G21" s="344"/>
      <c r="H21" s="310"/>
      <c r="I21" s="310"/>
      <c r="J21" s="310"/>
      <c r="K21" s="310"/>
      <c r="L21" s="310"/>
      <c r="M21" s="310"/>
      <c r="N21" s="310"/>
      <c r="O21" s="310"/>
      <c r="P21" s="310"/>
      <c r="Q21" s="310"/>
      <c r="R21" s="310"/>
      <c r="S21" s="310"/>
      <c r="T21" s="310"/>
      <c r="U21" s="310"/>
      <c r="V21" s="310"/>
      <c r="W21" s="310"/>
      <c r="X21" s="310"/>
      <c r="Y21" s="310"/>
      <c r="Z21" s="310"/>
      <c r="AA21" s="310"/>
      <c r="AB21" s="310"/>
      <c r="AC21" s="310"/>
      <c r="AD21" s="310"/>
      <c r="AE21" s="310"/>
      <c r="AF21" s="310"/>
      <c r="AG21" s="310"/>
      <c r="AH21" s="310"/>
      <c r="AI21" s="310"/>
      <c r="AJ21" s="310"/>
      <c r="AK21" s="310"/>
      <c r="AL21" s="310"/>
      <c r="AM21" s="310"/>
      <c r="AN21" s="310"/>
      <c r="AO21" s="310"/>
      <c r="AP21" s="345"/>
      <c r="AQ21" s="344"/>
      <c r="AR21" s="310"/>
      <c r="AS21" s="310"/>
      <c r="AT21" s="310"/>
      <c r="AU21" s="310"/>
      <c r="AV21" s="310"/>
      <c r="AW21" s="310"/>
      <c r="AX21" s="310"/>
      <c r="AY21" s="310"/>
      <c r="AZ21" s="310"/>
      <c r="BA21" s="310"/>
      <c r="BB21" s="310"/>
      <c r="BC21" s="310"/>
      <c r="BD21" s="310"/>
      <c r="BE21" s="310"/>
      <c r="BF21" s="345"/>
      <c r="BG21" s="344"/>
      <c r="BH21" s="310"/>
      <c r="BI21" s="310"/>
      <c r="BJ21" s="310"/>
      <c r="BK21" s="311"/>
    </row>
    <row r="22" spans="1:63" s="312" customFormat="1" ht="12">
      <c r="A22" s="1298"/>
      <c r="B22" s="1299"/>
      <c r="C22" s="1300"/>
      <c r="D22" s="1300"/>
      <c r="E22" s="1300"/>
      <c r="F22" s="1300"/>
      <c r="G22" s="344"/>
      <c r="H22" s="310"/>
      <c r="I22" s="310"/>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310"/>
      <c r="AN22" s="310"/>
      <c r="AO22" s="310"/>
      <c r="AP22" s="345"/>
      <c r="AQ22" s="313"/>
      <c r="AR22" s="314"/>
      <c r="AS22" s="314"/>
      <c r="AT22" s="314"/>
      <c r="AU22" s="314"/>
      <c r="AV22" s="314"/>
      <c r="AW22" s="314"/>
      <c r="AX22" s="314"/>
      <c r="AY22" s="314"/>
      <c r="AZ22" s="314"/>
      <c r="BA22" s="314"/>
      <c r="BB22" s="314"/>
      <c r="BC22" s="314"/>
      <c r="BD22" s="314"/>
      <c r="BE22" s="314"/>
      <c r="BF22" s="315"/>
      <c r="BG22" s="313"/>
      <c r="BH22" s="314"/>
      <c r="BI22" s="314"/>
      <c r="BJ22" s="314"/>
      <c r="BK22" s="367"/>
    </row>
    <row r="23" spans="1:63" s="312" customFormat="1" ht="12">
      <c r="A23" s="1301"/>
      <c r="B23" s="1302"/>
      <c r="C23" s="1300"/>
      <c r="D23" s="1300"/>
      <c r="E23" s="1300"/>
      <c r="F23" s="1300"/>
      <c r="G23" s="344"/>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310"/>
      <c r="AN23" s="310"/>
      <c r="AO23" s="310"/>
      <c r="AP23" s="345"/>
      <c r="AQ23" s="313"/>
      <c r="AR23" s="314"/>
      <c r="AS23" s="314"/>
      <c r="AT23" s="314"/>
      <c r="AU23" s="314"/>
      <c r="AV23" s="314"/>
      <c r="AW23" s="314"/>
      <c r="AX23" s="314"/>
      <c r="AY23" s="314"/>
      <c r="AZ23" s="314"/>
      <c r="BA23" s="314"/>
      <c r="BB23" s="314"/>
      <c r="BC23" s="314"/>
      <c r="BD23" s="314"/>
      <c r="BE23" s="314"/>
      <c r="BF23" s="315"/>
      <c r="BG23" s="344"/>
      <c r="BH23" s="314"/>
      <c r="BI23" s="314"/>
      <c r="BJ23" s="314"/>
      <c r="BK23" s="367"/>
    </row>
    <row r="24" spans="1:63" s="312" customFormat="1" ht="12">
      <c r="A24" s="1298"/>
      <c r="B24" s="1299"/>
      <c r="C24" s="1303"/>
      <c r="D24" s="1304"/>
      <c r="E24" s="1303"/>
      <c r="F24" s="1304"/>
      <c r="G24" s="344"/>
      <c r="H24" s="310"/>
      <c r="I24" s="310"/>
      <c r="J24" s="310"/>
      <c r="K24" s="310"/>
      <c r="L24" s="310"/>
      <c r="M24" s="310"/>
      <c r="N24" s="310"/>
      <c r="O24" s="310"/>
      <c r="P24" s="310"/>
      <c r="Q24" s="310"/>
      <c r="R24" s="310"/>
      <c r="S24" s="310"/>
      <c r="T24" s="310"/>
      <c r="U24" s="310"/>
      <c r="V24" s="310"/>
      <c r="W24" s="310"/>
      <c r="X24" s="310"/>
      <c r="Y24" s="310"/>
      <c r="Z24" s="310"/>
      <c r="AA24" s="310"/>
      <c r="AB24" s="310"/>
      <c r="AC24" s="310"/>
      <c r="AD24" s="310"/>
      <c r="AE24" s="310"/>
      <c r="AF24" s="310"/>
      <c r="AG24" s="310"/>
      <c r="AH24" s="310"/>
      <c r="AI24" s="310"/>
      <c r="AJ24" s="310"/>
      <c r="AK24" s="310"/>
      <c r="AL24" s="310"/>
      <c r="AM24" s="310"/>
      <c r="AN24" s="310"/>
      <c r="AO24" s="310"/>
      <c r="AP24" s="345"/>
      <c r="AQ24" s="313"/>
      <c r="AR24" s="314"/>
      <c r="AS24" s="314"/>
      <c r="AT24" s="314"/>
      <c r="AU24" s="314"/>
      <c r="AV24" s="314"/>
      <c r="AW24" s="314"/>
      <c r="AX24" s="314"/>
      <c r="AY24" s="314"/>
      <c r="AZ24" s="314"/>
      <c r="BA24" s="314"/>
      <c r="BB24" s="314"/>
      <c r="BC24" s="314"/>
      <c r="BD24" s="314"/>
      <c r="BE24" s="314"/>
      <c r="BF24" s="315"/>
      <c r="BG24" s="344"/>
      <c r="BH24" s="314"/>
      <c r="BI24" s="314"/>
      <c r="BJ24" s="314"/>
      <c r="BK24" s="367"/>
    </row>
    <row r="25" spans="1:63" s="312" customFormat="1" ht="12">
      <c r="A25" s="1301"/>
      <c r="B25" s="1302"/>
      <c r="C25" s="1300"/>
      <c r="D25" s="1300"/>
      <c r="E25" s="1300"/>
      <c r="F25" s="1300"/>
      <c r="G25" s="344"/>
      <c r="H25" s="310"/>
      <c r="I25" s="310"/>
      <c r="J25" s="310"/>
      <c r="K25" s="310"/>
      <c r="L25" s="310"/>
      <c r="M25" s="310"/>
      <c r="N25" s="310"/>
      <c r="O25" s="310"/>
      <c r="P25" s="310"/>
      <c r="Q25" s="310"/>
      <c r="R25" s="310"/>
      <c r="S25" s="310"/>
      <c r="T25" s="310"/>
      <c r="U25" s="310"/>
      <c r="V25" s="310"/>
      <c r="W25" s="310"/>
      <c r="X25" s="310"/>
      <c r="Y25" s="310"/>
      <c r="Z25" s="310"/>
      <c r="AA25" s="310"/>
      <c r="AB25" s="310"/>
      <c r="AC25" s="310"/>
      <c r="AD25" s="310"/>
      <c r="AE25" s="310"/>
      <c r="AF25" s="310"/>
      <c r="AG25" s="310"/>
      <c r="AH25" s="310"/>
      <c r="AI25" s="310"/>
      <c r="AJ25" s="310"/>
      <c r="AK25" s="310"/>
      <c r="AL25" s="310"/>
      <c r="AM25" s="310"/>
      <c r="AN25" s="310"/>
      <c r="AO25" s="310"/>
      <c r="AP25" s="345"/>
      <c r="AQ25" s="344"/>
      <c r="AR25" s="310"/>
      <c r="AS25" s="310"/>
      <c r="AT25" s="310"/>
      <c r="AU25" s="310"/>
      <c r="AV25" s="310"/>
      <c r="AW25" s="310"/>
      <c r="AX25" s="310"/>
      <c r="AY25" s="310"/>
      <c r="AZ25" s="310"/>
      <c r="BA25" s="310"/>
      <c r="BB25" s="310"/>
      <c r="BC25" s="310"/>
      <c r="BD25" s="310"/>
      <c r="BE25" s="310"/>
      <c r="BF25" s="345"/>
      <c r="BG25" s="344"/>
      <c r="BH25" s="310"/>
      <c r="BI25" s="310"/>
      <c r="BJ25" s="310"/>
      <c r="BK25" s="311"/>
    </row>
    <row r="26" spans="1:63" s="312" customFormat="1" ht="12">
      <c r="A26" s="1298"/>
      <c r="B26" s="1299"/>
      <c r="C26" s="1300"/>
      <c r="D26" s="1300"/>
      <c r="E26" s="1300"/>
      <c r="F26" s="1300"/>
      <c r="G26" s="344"/>
      <c r="H26" s="310"/>
      <c r="I26" s="310"/>
      <c r="J26" s="310"/>
      <c r="K26" s="310"/>
      <c r="L26" s="310"/>
      <c r="M26" s="310"/>
      <c r="N26" s="310"/>
      <c r="O26" s="310"/>
      <c r="P26" s="310"/>
      <c r="Q26" s="310"/>
      <c r="R26" s="310"/>
      <c r="S26" s="310"/>
      <c r="T26" s="310"/>
      <c r="U26" s="310"/>
      <c r="V26" s="310"/>
      <c r="W26" s="310"/>
      <c r="X26" s="310"/>
      <c r="Y26" s="310"/>
      <c r="Z26" s="310"/>
      <c r="AA26" s="310"/>
      <c r="AB26" s="310"/>
      <c r="AC26" s="310"/>
      <c r="AD26" s="310"/>
      <c r="AE26" s="310"/>
      <c r="AF26" s="310"/>
      <c r="AG26" s="310"/>
      <c r="AH26" s="310"/>
      <c r="AI26" s="310"/>
      <c r="AJ26" s="310"/>
      <c r="AK26" s="310"/>
      <c r="AL26" s="310"/>
      <c r="AM26" s="310"/>
      <c r="AN26" s="310"/>
      <c r="AO26" s="310"/>
      <c r="AP26" s="345"/>
      <c r="AQ26" s="313"/>
      <c r="AR26" s="314"/>
      <c r="AS26" s="314"/>
      <c r="AT26" s="314"/>
      <c r="AU26" s="314"/>
      <c r="AV26" s="314"/>
      <c r="AW26" s="314"/>
      <c r="AX26" s="314"/>
      <c r="AY26" s="314"/>
      <c r="AZ26" s="314"/>
      <c r="BA26" s="314"/>
      <c r="BB26" s="314"/>
      <c r="BC26" s="314"/>
      <c r="BD26" s="314"/>
      <c r="BE26" s="314"/>
      <c r="BF26" s="315"/>
      <c r="BG26" s="313"/>
      <c r="BH26" s="314"/>
      <c r="BI26" s="314"/>
      <c r="BJ26" s="314"/>
      <c r="BK26" s="367"/>
    </row>
    <row r="27" spans="1:63" s="312" customFormat="1" ht="12">
      <c r="A27" s="1298"/>
      <c r="B27" s="1299"/>
      <c r="C27" s="1300"/>
      <c r="D27" s="1300"/>
      <c r="E27" s="1300"/>
      <c r="F27" s="1300"/>
      <c r="G27" s="344"/>
      <c r="H27" s="310"/>
      <c r="I27" s="310"/>
      <c r="J27" s="310"/>
      <c r="K27" s="310"/>
      <c r="L27" s="310"/>
      <c r="M27" s="310"/>
      <c r="N27" s="310"/>
      <c r="O27" s="310"/>
      <c r="P27" s="310"/>
      <c r="Q27" s="310"/>
      <c r="R27" s="310"/>
      <c r="S27" s="310"/>
      <c r="T27" s="310"/>
      <c r="U27" s="310"/>
      <c r="V27" s="310"/>
      <c r="W27" s="310"/>
      <c r="X27" s="310"/>
      <c r="Y27" s="310"/>
      <c r="Z27" s="310"/>
      <c r="AA27" s="310"/>
      <c r="AB27" s="310"/>
      <c r="AC27" s="310"/>
      <c r="AD27" s="310"/>
      <c r="AE27" s="310"/>
      <c r="AF27" s="310"/>
      <c r="AG27" s="310"/>
      <c r="AH27" s="310"/>
      <c r="AI27" s="310"/>
      <c r="AJ27" s="310"/>
      <c r="AK27" s="310"/>
      <c r="AL27" s="310"/>
      <c r="AM27" s="310"/>
      <c r="AN27" s="310"/>
      <c r="AO27" s="310"/>
      <c r="AP27" s="345"/>
      <c r="AQ27" s="344"/>
      <c r="AR27" s="310"/>
      <c r="AS27" s="310"/>
      <c r="AT27" s="310"/>
      <c r="AU27" s="310"/>
      <c r="AV27" s="310"/>
      <c r="AW27" s="310"/>
      <c r="AX27" s="310"/>
      <c r="AY27" s="310"/>
      <c r="AZ27" s="310"/>
      <c r="BA27" s="310"/>
      <c r="BB27" s="310"/>
      <c r="BC27" s="310"/>
      <c r="BD27" s="310"/>
      <c r="BE27" s="310"/>
      <c r="BF27" s="345"/>
      <c r="BG27" s="344"/>
      <c r="BH27" s="310"/>
      <c r="BI27" s="310"/>
      <c r="BJ27" s="310"/>
      <c r="BK27" s="311"/>
    </row>
    <row r="28" spans="1:63" s="312" customFormat="1" ht="12">
      <c r="A28" s="1301"/>
      <c r="B28" s="1302"/>
      <c r="C28" s="1300"/>
      <c r="D28" s="1300"/>
      <c r="E28" s="1300"/>
      <c r="F28" s="1300"/>
      <c r="G28" s="344"/>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0"/>
      <c r="AF28" s="310"/>
      <c r="AG28" s="310"/>
      <c r="AH28" s="310"/>
      <c r="AI28" s="310"/>
      <c r="AJ28" s="310"/>
      <c r="AK28" s="310"/>
      <c r="AL28" s="310"/>
      <c r="AM28" s="310"/>
      <c r="AN28" s="310"/>
      <c r="AO28" s="310"/>
      <c r="AP28" s="345"/>
      <c r="AQ28" s="313"/>
      <c r="AR28" s="314"/>
      <c r="AS28" s="314"/>
      <c r="AT28" s="314"/>
      <c r="AU28" s="314"/>
      <c r="AV28" s="314"/>
      <c r="AW28" s="314"/>
      <c r="AX28" s="314"/>
      <c r="AY28" s="314"/>
      <c r="AZ28" s="314"/>
      <c r="BA28" s="314"/>
      <c r="BB28" s="314"/>
      <c r="BC28" s="314"/>
      <c r="BD28" s="314"/>
      <c r="BE28" s="314"/>
      <c r="BF28" s="315"/>
      <c r="BG28" s="313"/>
      <c r="BH28" s="314"/>
      <c r="BI28" s="314"/>
      <c r="BJ28" s="314"/>
      <c r="BK28" s="367"/>
    </row>
    <row r="29" spans="1:63" s="312" customFormat="1" ht="12">
      <c r="A29" s="1298"/>
      <c r="B29" s="1299"/>
      <c r="C29" s="1300"/>
      <c r="D29" s="1300"/>
      <c r="E29" s="1300"/>
      <c r="F29" s="1300"/>
      <c r="G29" s="344"/>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45"/>
      <c r="AQ29" s="313"/>
      <c r="AR29" s="314"/>
      <c r="AS29" s="314"/>
      <c r="AT29" s="314"/>
      <c r="AU29" s="314"/>
      <c r="AV29" s="314"/>
      <c r="AW29" s="314"/>
      <c r="AX29" s="314"/>
      <c r="AY29" s="314"/>
      <c r="AZ29" s="314"/>
      <c r="BA29" s="314"/>
      <c r="BB29" s="314"/>
      <c r="BC29" s="314"/>
      <c r="BD29" s="314"/>
      <c r="BE29" s="314"/>
      <c r="BF29" s="315"/>
      <c r="BG29" s="344"/>
      <c r="BH29" s="314"/>
      <c r="BI29" s="314"/>
      <c r="BJ29" s="314"/>
      <c r="BK29" s="367"/>
    </row>
    <row r="30" spans="1:63" s="312" customFormat="1" ht="12" customHeight="1" thickBot="1">
      <c r="A30" s="1294"/>
      <c r="B30" s="1295"/>
      <c r="C30" s="1296"/>
      <c r="D30" s="1297"/>
      <c r="E30" s="1296"/>
      <c r="F30" s="1297"/>
      <c r="G30" s="368"/>
      <c r="H30" s="369"/>
      <c r="I30" s="369"/>
      <c r="J30" s="369"/>
      <c r="K30" s="369"/>
      <c r="L30" s="369"/>
      <c r="M30" s="369"/>
      <c r="N30" s="369"/>
      <c r="O30" s="369"/>
      <c r="P30" s="369"/>
      <c r="Q30" s="369"/>
      <c r="R30" s="369"/>
      <c r="S30" s="369"/>
      <c r="T30" s="369"/>
      <c r="U30" s="369"/>
      <c r="V30" s="369"/>
      <c r="W30" s="369"/>
      <c r="X30" s="369"/>
      <c r="Y30" s="369"/>
      <c r="Z30" s="369"/>
      <c r="AA30" s="369"/>
      <c r="AB30" s="369"/>
      <c r="AC30" s="369"/>
      <c r="AD30" s="369"/>
      <c r="AE30" s="369"/>
      <c r="AF30" s="369"/>
      <c r="AG30" s="369"/>
      <c r="AH30" s="369"/>
      <c r="AI30" s="369"/>
      <c r="AJ30" s="369"/>
      <c r="AK30" s="369"/>
      <c r="AL30" s="369"/>
      <c r="AM30" s="369"/>
      <c r="AN30" s="369"/>
      <c r="AO30" s="369"/>
      <c r="AP30" s="370"/>
      <c r="AQ30" s="371"/>
      <c r="AR30" s="372"/>
      <c r="AS30" s="372"/>
      <c r="AT30" s="372"/>
      <c r="AU30" s="372"/>
      <c r="AV30" s="372"/>
      <c r="AW30" s="372"/>
      <c r="AX30" s="372"/>
      <c r="AY30" s="372"/>
      <c r="AZ30" s="372"/>
      <c r="BA30" s="372"/>
      <c r="BB30" s="372"/>
      <c r="BC30" s="372"/>
      <c r="BD30" s="372"/>
      <c r="BE30" s="372"/>
      <c r="BF30" s="373"/>
      <c r="BG30" s="371"/>
      <c r="BH30" s="372"/>
      <c r="BI30" s="372"/>
      <c r="BJ30" s="372"/>
      <c r="BK30" s="374"/>
    </row>
  </sheetData>
  <mergeCells count="99">
    <mergeCell ref="A6:B6"/>
    <mergeCell ref="C6:D6"/>
    <mergeCell ref="E6:F6"/>
    <mergeCell ref="A8:B8"/>
    <mergeCell ref="C8:D8"/>
    <mergeCell ref="E8:F8"/>
    <mergeCell ref="A7:B7"/>
    <mergeCell ref="C7:D7"/>
    <mergeCell ref="E7:F7"/>
    <mergeCell ref="A5:B5"/>
    <mergeCell ref="C5:D5"/>
    <mergeCell ref="E5:F5"/>
    <mergeCell ref="A1:J3"/>
    <mergeCell ref="AS1:AY1"/>
    <mergeCell ref="K3:T3"/>
    <mergeCell ref="U3:Y3"/>
    <mergeCell ref="Z3:AD3"/>
    <mergeCell ref="AE3:AR3"/>
    <mergeCell ref="K1:T1"/>
    <mergeCell ref="U1:Y1"/>
    <mergeCell ref="Z1:AD1"/>
    <mergeCell ref="AE1:AI1"/>
    <mergeCell ref="AJ1:AR1"/>
    <mergeCell ref="BF1:BK1"/>
    <mergeCell ref="K2:T2"/>
    <mergeCell ref="U2:Y2"/>
    <mergeCell ref="Z2:AD2"/>
    <mergeCell ref="AE2:AI2"/>
    <mergeCell ref="AJ2:AR2"/>
    <mergeCell ref="AS2:AY3"/>
    <mergeCell ref="BF2:BK3"/>
    <mergeCell ref="AZ2:BE3"/>
    <mergeCell ref="AZ1:BE1"/>
    <mergeCell ref="A9:B9"/>
    <mergeCell ref="C9:D9"/>
    <mergeCell ref="E9:F9"/>
    <mergeCell ref="A10:B10"/>
    <mergeCell ref="C10:D10"/>
    <mergeCell ref="E10:F10"/>
    <mergeCell ref="A13:B13"/>
    <mergeCell ref="C13:D13"/>
    <mergeCell ref="E13:F13"/>
    <mergeCell ref="A14:B14"/>
    <mergeCell ref="C14:D14"/>
    <mergeCell ref="E14:F14"/>
    <mergeCell ref="A11:B11"/>
    <mergeCell ref="C11:D11"/>
    <mergeCell ref="E11:F11"/>
    <mergeCell ref="A12:B12"/>
    <mergeCell ref="C12:D12"/>
    <mergeCell ref="E12:F12"/>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7:B27"/>
    <mergeCell ref="C27:D27"/>
    <mergeCell ref="E27:F27"/>
    <mergeCell ref="A28:B28"/>
    <mergeCell ref="C28:D28"/>
    <mergeCell ref="E28:F28"/>
    <mergeCell ref="A30:B30"/>
    <mergeCell ref="C30:D30"/>
    <mergeCell ref="E30:F30"/>
    <mergeCell ref="A29:B29"/>
    <mergeCell ref="C29:D29"/>
    <mergeCell ref="E29:F29"/>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activeCell="C45" sqref="C45:H45"/>
      <selection pane="bottomLeft" activeCell="C45" sqref="C45:H45"/>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4" customFormat="1" ht="15.75" customHeight="1">
      <c r="A1" s="639" t="str">
        <f>表紙!A54</f>
        <v>Webシステム</v>
      </c>
      <c r="B1" s="953"/>
      <c r="C1" s="953"/>
      <c r="D1" s="953"/>
      <c r="E1" s="953"/>
      <c r="F1" s="953"/>
      <c r="G1" s="953"/>
      <c r="H1" s="953"/>
      <c r="I1" s="953"/>
      <c r="J1" s="953"/>
      <c r="K1" s="953"/>
      <c r="L1" s="953"/>
      <c r="M1" s="953"/>
      <c r="N1" s="954"/>
      <c r="O1" s="1337" t="s">
        <v>132</v>
      </c>
      <c r="P1" s="1338"/>
      <c r="Q1" s="1338"/>
      <c r="R1" s="1338"/>
      <c r="S1" s="1338"/>
      <c r="T1" s="1338"/>
      <c r="U1" s="1338"/>
      <c r="V1" s="1338"/>
      <c r="W1" s="1338"/>
      <c r="X1" s="1338"/>
      <c r="Y1" s="1338"/>
      <c r="Z1" s="1338"/>
      <c r="AA1" s="1338"/>
      <c r="AB1" s="1339"/>
      <c r="AC1" s="1324" t="s">
        <v>148</v>
      </c>
      <c r="AD1" s="1325"/>
      <c r="AE1" s="1325"/>
      <c r="AF1" s="1325"/>
      <c r="AG1" s="1325"/>
      <c r="AH1" s="1325"/>
      <c r="AI1" s="1326"/>
      <c r="AJ1" s="625" t="str">
        <f>表紙!AJ64</f>
        <v>MSBB</v>
      </c>
      <c r="AK1" s="972"/>
      <c r="AL1" s="972"/>
      <c r="AM1" s="972"/>
      <c r="AN1" s="972"/>
      <c r="AO1" s="972"/>
      <c r="AP1" s="973"/>
      <c r="AQ1" s="1324" t="s">
        <v>135</v>
      </c>
      <c r="AR1" s="1325"/>
      <c r="AS1" s="1325"/>
      <c r="AT1" s="1325"/>
      <c r="AU1" s="1325"/>
      <c r="AV1" s="1325"/>
      <c r="AW1" s="1326"/>
      <c r="AX1" s="625" t="str">
        <f>表紙!AX64</f>
        <v>販売Webシステム</v>
      </c>
      <c r="AY1" s="972"/>
      <c r="AZ1" s="972"/>
      <c r="BA1" s="972"/>
      <c r="BB1" s="972"/>
      <c r="BC1" s="972"/>
      <c r="BD1" s="972"/>
      <c r="BE1" s="972"/>
      <c r="BF1" s="972"/>
      <c r="BG1" s="972"/>
      <c r="BH1" s="972"/>
      <c r="BI1" s="972"/>
      <c r="BJ1" s="972"/>
      <c r="BK1" s="973"/>
      <c r="BL1" s="1327" t="s">
        <v>101</v>
      </c>
      <c r="BM1" s="1328"/>
      <c r="BN1" s="1328"/>
      <c r="BO1" s="1328"/>
      <c r="BP1" s="1328"/>
      <c r="BQ1" s="1328"/>
      <c r="BR1" s="1328"/>
      <c r="BS1" s="1328"/>
      <c r="BT1" s="1329"/>
      <c r="BU1" s="1330" t="s">
        <v>124</v>
      </c>
      <c r="BV1" s="1331"/>
      <c r="BW1" s="1331"/>
      <c r="BX1" s="1331"/>
      <c r="BY1" s="1331"/>
      <c r="BZ1" s="1331"/>
      <c r="CA1" s="1332"/>
      <c r="CB1" s="1330" t="s">
        <v>149</v>
      </c>
      <c r="CC1" s="1331"/>
      <c r="CD1" s="1331"/>
      <c r="CE1" s="1331"/>
      <c r="CF1" s="1331"/>
      <c r="CG1" s="1331"/>
      <c r="CH1" s="1333"/>
    </row>
    <row r="2" spans="1:86" s="4" customFormat="1" ht="15.75" customHeight="1">
      <c r="A2" s="955"/>
      <c r="B2" s="956"/>
      <c r="C2" s="956"/>
      <c r="D2" s="956"/>
      <c r="E2" s="956"/>
      <c r="F2" s="956"/>
      <c r="G2" s="956"/>
      <c r="H2" s="956"/>
      <c r="I2" s="956"/>
      <c r="J2" s="956"/>
      <c r="K2" s="956"/>
      <c r="L2" s="956"/>
      <c r="M2" s="956"/>
      <c r="N2" s="957"/>
      <c r="O2" s="610" t="str">
        <f ca="1">表紙!O65</f>
        <v>表紙</v>
      </c>
      <c r="P2" s="967"/>
      <c r="Q2" s="967"/>
      <c r="R2" s="967"/>
      <c r="S2" s="967"/>
      <c r="T2" s="967"/>
      <c r="U2" s="967"/>
      <c r="V2" s="967"/>
      <c r="W2" s="967"/>
      <c r="X2" s="967"/>
      <c r="Y2" s="967"/>
      <c r="Z2" s="967"/>
      <c r="AA2" s="967"/>
      <c r="AB2" s="968"/>
      <c r="AC2" s="1334" t="s">
        <v>152</v>
      </c>
      <c r="AD2" s="1335"/>
      <c r="AE2" s="1335"/>
      <c r="AF2" s="1335"/>
      <c r="AG2" s="1335"/>
      <c r="AH2" s="1335"/>
      <c r="AI2" s="1336"/>
      <c r="AJ2" s="615" t="str">
        <f>表紙!AJ65</f>
        <v>MSBBPA080</v>
      </c>
      <c r="AK2" s="616"/>
      <c r="AL2" s="616"/>
      <c r="AM2" s="616"/>
      <c r="AN2" s="616"/>
      <c r="AO2" s="616"/>
      <c r="AP2" s="617"/>
      <c r="AQ2" s="1334" t="s">
        <v>153</v>
      </c>
      <c r="AR2" s="1335"/>
      <c r="AS2" s="1335"/>
      <c r="AT2" s="1335"/>
      <c r="AU2" s="1335"/>
      <c r="AV2" s="1335"/>
      <c r="AW2" s="1336"/>
      <c r="AX2" s="618">
        <f>表紙!AX65</f>
        <v>0</v>
      </c>
      <c r="AY2" s="659"/>
      <c r="AZ2" s="659"/>
      <c r="BA2" s="659"/>
      <c r="BB2" s="659"/>
      <c r="BC2" s="659"/>
      <c r="BD2" s="659"/>
      <c r="BE2" s="659"/>
      <c r="BF2" s="659"/>
      <c r="BG2" s="659"/>
      <c r="BH2" s="659"/>
      <c r="BI2" s="659"/>
      <c r="BJ2" s="659"/>
      <c r="BK2" s="660"/>
      <c r="BL2" s="624">
        <f>表紙!BL65</f>
        <v>0</v>
      </c>
      <c r="BM2" s="611"/>
      <c r="BN2" s="611"/>
      <c r="BO2" s="611"/>
      <c r="BP2" s="611"/>
      <c r="BQ2" s="611"/>
      <c r="BR2" s="611"/>
      <c r="BS2" s="611"/>
      <c r="BT2" s="620"/>
      <c r="BU2" s="624">
        <f>表紙!BU65</f>
        <v>0</v>
      </c>
      <c r="BV2" s="611"/>
      <c r="BW2" s="611"/>
      <c r="BX2" s="611"/>
      <c r="BY2" s="611"/>
      <c r="BZ2" s="611"/>
      <c r="CA2" s="620"/>
      <c r="CB2" s="626">
        <f>表紙!CB65</f>
        <v>0</v>
      </c>
      <c r="CC2" s="611"/>
      <c r="CD2" s="611"/>
      <c r="CE2" s="611"/>
      <c r="CF2" s="611"/>
      <c r="CG2" s="611"/>
      <c r="CH2" s="627"/>
    </row>
    <row r="3" spans="1:86" s="4" customFormat="1" ht="15.75" customHeight="1" thickBot="1">
      <c r="A3" s="958"/>
      <c r="B3" s="959"/>
      <c r="C3" s="959"/>
      <c r="D3" s="959"/>
      <c r="E3" s="959"/>
      <c r="F3" s="959"/>
      <c r="G3" s="959"/>
      <c r="H3" s="959"/>
      <c r="I3" s="959"/>
      <c r="J3" s="959"/>
      <c r="K3" s="959"/>
      <c r="L3" s="959"/>
      <c r="M3" s="959"/>
      <c r="N3" s="960"/>
      <c r="O3" s="629" t="str">
        <f ca="1">RIGHT(CELL("filename",$A$1),LEN(CELL("filename",$A$1))-FIND("]",CELL("filename",$A$1)))</f>
        <v>補足説明資料</v>
      </c>
      <c r="P3" s="981"/>
      <c r="Q3" s="981"/>
      <c r="R3" s="981"/>
      <c r="S3" s="981"/>
      <c r="T3" s="981"/>
      <c r="U3" s="981"/>
      <c r="V3" s="981"/>
      <c r="W3" s="981"/>
      <c r="X3" s="981"/>
      <c r="Y3" s="981"/>
      <c r="Z3" s="981"/>
      <c r="AA3" s="981"/>
      <c r="AB3" s="982"/>
      <c r="AC3" s="1340" t="s">
        <v>146</v>
      </c>
      <c r="AD3" s="1341"/>
      <c r="AE3" s="1341"/>
      <c r="AF3" s="1341"/>
      <c r="AG3" s="1341"/>
      <c r="AH3" s="1341"/>
      <c r="AI3" s="1342"/>
      <c r="AJ3" s="634">
        <f>表紙!AJ66</f>
        <v>0</v>
      </c>
      <c r="AK3" s="635"/>
      <c r="AL3" s="635"/>
      <c r="AM3" s="635"/>
      <c r="AN3" s="635"/>
      <c r="AO3" s="635"/>
      <c r="AP3" s="635"/>
      <c r="AQ3" s="636">
        <f>表紙!AQ66</f>
        <v>0</v>
      </c>
      <c r="AR3" s="636"/>
      <c r="AS3" s="636"/>
      <c r="AT3" s="636"/>
      <c r="AU3" s="636"/>
      <c r="AV3" s="636"/>
      <c r="AW3" s="636"/>
      <c r="AX3" s="636"/>
      <c r="AY3" s="636"/>
      <c r="AZ3" s="636"/>
      <c r="BA3" s="636"/>
      <c r="BB3" s="636"/>
      <c r="BC3" s="636"/>
      <c r="BD3" s="636"/>
      <c r="BE3" s="636"/>
      <c r="BF3" s="636"/>
      <c r="BG3" s="636"/>
      <c r="BH3" s="636"/>
      <c r="BI3" s="636"/>
      <c r="BJ3" s="636"/>
      <c r="BK3" s="986"/>
      <c r="BL3" s="621"/>
      <c r="BM3" s="622"/>
      <c r="BN3" s="622"/>
      <c r="BO3" s="622"/>
      <c r="BP3" s="622"/>
      <c r="BQ3" s="622"/>
      <c r="BR3" s="622"/>
      <c r="BS3" s="622"/>
      <c r="BT3" s="623"/>
      <c r="BU3" s="621"/>
      <c r="BV3" s="622"/>
      <c r="BW3" s="622"/>
      <c r="BX3" s="622"/>
      <c r="BY3" s="622"/>
      <c r="BZ3" s="622"/>
      <c r="CA3" s="623"/>
      <c r="CB3" s="621"/>
      <c r="CC3" s="622"/>
      <c r="CD3" s="622"/>
      <c r="CE3" s="622"/>
      <c r="CF3" s="622"/>
      <c r="CG3" s="622"/>
      <c r="CH3" s="628"/>
    </row>
    <row r="4" spans="1:86" s="4" customFormat="1" ht="6.75" customHeight="1" thickBot="1">
      <c r="B4" s="5"/>
      <c r="C4" s="6"/>
      <c r="D4" s="6"/>
      <c r="E4" s="6"/>
      <c r="F4" s="7"/>
      <c r="G4" s="7"/>
      <c r="H4" s="7"/>
      <c r="I4" s="7"/>
      <c r="J4" s="6"/>
      <c r="K4" s="7"/>
      <c r="L4" s="7"/>
      <c r="M4" s="7"/>
      <c r="N4" s="7"/>
      <c r="O4" s="7"/>
      <c r="P4" s="7"/>
      <c r="Q4" s="8"/>
    </row>
    <row r="5" spans="1:86" s="83" customFormat="1">
      <c r="A5" s="80"/>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t="s">
        <v>816</v>
      </c>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2"/>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9"/>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EVCTUWYQZQYC-538864054-22794</_dlc_DocId>
    <_dlc_DocIdUrl xmlns="276bdb53-d102-4a67-8437-273e78fbb7dc">
      <Url>https://mitsubishielectricgroup.sharepoint.com/sites/009989/_layouts/15/DocIdRedir.aspx?ID=EVCTUWYQZQYC-538864054-22794</Url>
      <Description>EVCTUWYQZQYC-538864054-22794</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2EC9DB-4E26-4A27-A79E-4D00C0BEDD4B}">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2.xml><?xml version="1.0" encoding="utf-8"?>
<ds:datastoreItem xmlns:ds="http://schemas.openxmlformats.org/officeDocument/2006/customXml" ds:itemID="{650A8243-175D-44BA-9477-384AB019BB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1B9551-1D7B-4039-BAAD-740FD941B9C9}">
  <ds:schemaRefs>
    <ds:schemaRef ds:uri="http://schemas.microsoft.com/sharepoint/events"/>
  </ds:schemaRefs>
</ds:datastoreItem>
</file>

<file path=customXml/itemProps4.xml><?xml version="1.0" encoding="utf-8"?>
<ds:datastoreItem xmlns:ds="http://schemas.openxmlformats.org/officeDocument/2006/customXml" ds:itemID="{3D8D3276-2B08-41E6-9F54-5DEEA79C3F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46</vt:i4>
      </vt:variant>
    </vt:vector>
  </HeadingPairs>
  <TitlesOfParts>
    <vt:vector size="63" baseType="lpstr">
      <vt:lpstr>目次</vt:lpstr>
      <vt:lpstr>表紙</vt:lpstr>
      <vt:lpstr>改訂</vt:lpstr>
      <vt:lpstr>概要</vt:lpstr>
      <vt:lpstr>画面イメージ</vt:lpstr>
      <vt:lpstr>項目説明</vt:lpstr>
      <vt:lpstr>引数説明</vt:lpstr>
      <vt:lpstr>処理概要</vt:lpstr>
      <vt:lpstr>処理・サービス関連図</vt:lpstr>
      <vt:lpstr>処理詳細</vt:lpstr>
      <vt:lpstr>画面項目制御</vt:lpstr>
      <vt:lpstr>検索入出力仕様</vt:lpstr>
      <vt:lpstr>更新入出力仕様</vt:lpstr>
      <vt:lpstr>ファイル入出力仕様</vt:lpstr>
      <vt:lpstr>画面遷移</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検索入出力仕様!Print_Area</vt:lpstr>
      <vt:lpstr>更新入出力仕様!Print_Area</vt:lpstr>
      <vt:lpstr>処理・サービス関連図!Print_Area</vt:lpstr>
      <vt:lpstr>処理概要!Print_Area</vt:lpstr>
      <vt:lpstr>処理詳細!Print_Area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jun zhu</cp:lastModifiedBy>
  <cp:revision/>
  <dcterms:created xsi:type="dcterms:W3CDTF">1997-07-09T00:24:33Z</dcterms:created>
  <dcterms:modified xsi:type="dcterms:W3CDTF">2023-04-06T21:11:41Z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44609288-1e25-415c-9440-7a0639c6ed76</vt:lpwstr>
  </property>
  <property fmtid="{D5CDD505-2E9C-101B-9397-08002B2CF9AE}" pid="4" name="MediaServiceImageTags">
    <vt:lpwstr/>
  </property>
</Properties>
</file>