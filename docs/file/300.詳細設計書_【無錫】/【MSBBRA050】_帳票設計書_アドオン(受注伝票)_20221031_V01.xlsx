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F9A0C79D-0953-49A0-A44F-A98132567D87}" xr6:coauthVersionLast="47" xr6:coauthVersionMax="47" xr10:uidLastSave="{00000000-0000-0000-0000-000000000000}"/>
  <bookViews>
    <workbookView xWindow="-45" yWindow="180" windowWidth="16650" windowHeight="14730" tabRatio="658" firstSheet="1" activeTab="7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帳票イメージ" sheetId="102" r:id="rId5"/>
    <sheet name="項目説明 " sheetId="132" r:id="rId6"/>
    <sheet name="処理概要" sheetId="134" r:id="rId7"/>
    <sheet name="処理詳細" sheetId="135" r:id="rId8"/>
    <sheet name="出力元画面" sheetId="133" r:id="rId9"/>
  </sheets>
  <definedNames>
    <definedName name="_xlnm.Print_Area" localSheetId="3">概要!$A$1:$CH$45</definedName>
    <definedName name="_xlnm.Print_Area" localSheetId="5">'項目説明 '!$A$1:$BK$87</definedName>
    <definedName name="_xlnm.Print_Area" localSheetId="6">処理概要!$A$1:$BK$32</definedName>
    <definedName name="_xlnm.Print_Area" localSheetId="7">処理詳細!$A$1:$BK$139</definedName>
    <definedName name="_xlnm.Print_Area" localSheetId="4">帳票イメージ!$A$1:$BU$67</definedName>
    <definedName name="_xlnm.Print_Area" localSheetId="1">表紙!$A$1:$AV$45</definedName>
    <definedName name="_xlnm.Print_Titles" localSheetId="3">概要!$1:$4</definedName>
    <definedName name="_xlnm.Print_Titles" localSheetId="5">'項目説明 '!$1:$4</definedName>
    <definedName name="_xlnm.Print_Titles" localSheetId="8">出力元画面!$1:$4</definedName>
    <definedName name="_xlnm.Print_Titles" localSheetId="6">処理概要!$1:$4</definedName>
    <definedName name="_xlnm.Print_Titles" localSheetId="7">処理詳細!$1:$4</definedName>
    <definedName name="_xlnm.Print_Titles" localSheetId="4">帳票イメージ!$1:$4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35" l="1"/>
  <c r="Z3" i="135"/>
  <c r="K3" i="135"/>
  <c r="BF2" i="135"/>
  <c r="AZ2" i="135"/>
  <c r="AS2" i="135"/>
  <c r="AJ2" i="135"/>
  <c r="Z2" i="135"/>
  <c r="AJ1" i="135"/>
  <c r="Z1" i="135"/>
  <c r="A1" i="135"/>
  <c r="AE3" i="134" l="1"/>
  <c r="Z3" i="134"/>
  <c r="K3" i="134"/>
  <c r="BF2" i="134"/>
  <c r="AZ2" i="134"/>
  <c r="AS2" i="134"/>
  <c r="AJ2" i="134"/>
  <c r="Z2" i="134"/>
  <c r="AJ1" i="134"/>
  <c r="Z1" i="134"/>
  <c r="A1" i="134"/>
  <c r="AE3" i="132"/>
  <c r="Z3" i="132"/>
  <c r="K3" i="132"/>
  <c r="BF2" i="132"/>
  <c r="AZ2" i="132"/>
  <c r="AS2" i="132"/>
  <c r="AJ2" i="132"/>
  <c r="Z2" i="132"/>
  <c r="AJ1" i="132"/>
  <c r="Z1" i="132"/>
  <c r="A1" i="132"/>
  <c r="U32" i="106" l="1"/>
  <c r="Z60" i="106"/>
  <c r="K3" i="133"/>
  <c r="AZ2" i="133"/>
  <c r="A1" i="133"/>
  <c r="U30" i="106" l="1"/>
  <c r="A1" i="102" l="1"/>
  <c r="A1" i="98"/>
  <c r="AZ2" i="102" l="1"/>
  <c r="BU2" i="98"/>
  <c r="K3" i="102"/>
  <c r="O3" i="98"/>
  <c r="BJ1" i="107" l="1"/>
  <c r="O65" i="106"/>
  <c r="CB64" i="106" a="1"/>
  <c r="CB64" i="106" s="1"/>
  <c r="AE60" i="106"/>
  <c r="AQ65" i="106" s="1"/>
  <c r="AJ65" i="106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K2" i="135" s="1"/>
  <c r="AJ58" i="106"/>
  <c r="AX63" i="106" s="1"/>
  <c r="AJ1" i="133" s="1"/>
  <c r="Z58" i="106"/>
  <c r="AJ63" i="106" s="1"/>
  <c r="A58" i="106"/>
  <c r="A63" i="106" s="1"/>
  <c r="U22" i="106" a="1"/>
  <c r="U22" i="106" s="1"/>
  <c r="K2" i="134" l="1"/>
  <c r="K2" i="132"/>
  <c r="Z1" i="133"/>
  <c r="BF2" i="133"/>
  <c r="Z3" i="133"/>
  <c r="AS2" i="133"/>
  <c r="Z2" i="133"/>
  <c r="AJ2" i="133"/>
  <c r="AE3" i="133"/>
  <c r="K2" i="133"/>
  <c r="BL2" i="98"/>
  <c r="AS2" i="102"/>
  <c r="AJ2" i="98"/>
  <c r="Z2" i="102"/>
  <c r="AJ1" i="102"/>
  <c r="AX1" i="98"/>
  <c r="Z3" i="102"/>
  <c r="AJ3" i="98"/>
  <c r="BP2" i="107"/>
  <c r="BF2" i="102"/>
  <c r="CB2" i="98"/>
  <c r="AX2" i="98"/>
  <c r="AJ2" i="102"/>
  <c r="Z1" i="102"/>
  <c r="AJ1" i="98"/>
  <c r="AE3" i="102"/>
  <c r="AQ3" i="98"/>
  <c r="O2" i="98"/>
  <c r="K2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A68AB6EE-4A2A-44B6-8B7A-6B2F5B501726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E341159C-AB3E-4364-B697-EE2204ABA069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5559306A-9835-4300-9A3A-EA607AFBB909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08557063-6BED-4334-B878-DEA894111B0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<sst xmlns="http://schemas.openxmlformats.org/spreadsheetml/2006/main" count="1191" uniqueCount="478">
  <si>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</si>
  <si>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</si>
  <si>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</si>
  <si>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</si>
  <si>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</si>
  <si>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</si>
  <si>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</si>
  <si>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</si>
  <si>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</si>
  <si>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</si>
  <si>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</si>
  <si>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</si>
  <si>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</si>
  <si>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</si>
  <si>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</si>
  <si>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</si>
  <si>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</si>
  <si>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</si>
  <si>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</si>
  <si>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</si>
  <si>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</si>
  <si>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</si>
  <si>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</si>
  <si>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</si>
  <si>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</si>
  <si>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</si>
  <si>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</si>
  <si>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</si>
  <si>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</si>
  <si>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</si>
  <si>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</si>
  <si>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</si>
  <si>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</si>
  <si>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</si>
  <si>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</si>
  <si>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</si>
  <si>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</si>
  <si>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</si>
  <si>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</si>
  <si>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</si>
  <si>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</si>
  <si>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</si>
  <si>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</si>
  <si>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</si>
  <si>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</si>
  <si>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</si>
  <si>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</si>
  <si>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</si>
  <si>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</si>
  <si>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</si>
  <si>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</si>
  <si>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</si>
  <si>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</si>
  <si>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</si>
  <si>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</si>
  <si>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</si>
  <si>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</si>
  <si>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</si>
  <si>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</si>
  <si>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</si>
  <si>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</si>
  <si>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</si>
  <si>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</si>
  <si>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</si>
  <si>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</si>
  <si>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</si>
  <si>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</si>
  <si>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</si>
  <si>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</si>
  <si>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</si>
  <si>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</si>
  <si>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</si>
  <si>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</si>
  <si>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</si>
  <si>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</si>
  <si>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</si>
  <si>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</si>
  <si>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</si>
  <si>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</si>
  <si>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</si>
  <si>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</si>
  <si>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</si>
  <si>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</si>
  <si>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</si>
  <si>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</si>
  <si>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</si>
  <si>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</si>
  <si>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</si>
  <si>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</si>
  <si>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</si>
  <si>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</si>
  <si>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</si>
  <si>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</si>
  <si>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</si>
  <si>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</si>
  <si>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</si>
  <si>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</si>
  <si>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</si>
  <si>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</si>
  <si>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</si>
  <si>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</si>
  <si>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</si>
  <si>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</si>
  <si>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</si>
  <si>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</si>
  <si>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</si>
  <si>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</si>
  <si>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</si>
  <si>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</si>
  <si>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</si>
  <si>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Ver.</t>
    <phoneticPr fontId="8"/>
  </si>
  <si>
    <t>7.0.2</t>
    <phoneticPr fontId="8"/>
  </si>
  <si>
    <t>－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</si>
  <si>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</si>
  <si>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</si>
  <si>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</si>
  <si>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</si>
  <si>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</si>
  <si>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</si>
  <si>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</si>
  <si>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</si>
  <si>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</si>
  <si>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</si>
  <si>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</si>
  <si>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</si>
  <si>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</si>
  <si>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</si>
  <si>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</si>
  <si>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文書名</t>
    <rPh sb="0" eb="2">
      <t>ブンショ</t>
    </rPh>
    <rPh sb="2" eb="3">
      <t>メイ</t>
    </rPh>
    <phoneticPr fontId="8"/>
  </si>
  <si>
    <t>モジュールID</t>
  </si>
  <si>
    <t>MS</t>
    <phoneticPr fontId="8"/>
  </si>
  <si>
    <t>モジュール名</t>
    <rPh sb="5" eb="6">
      <t>メイ</t>
    </rPh>
    <phoneticPr fontId="8"/>
  </si>
  <si>
    <t>Version</t>
  </si>
  <si>
    <t>Rev.</t>
  </si>
  <si>
    <t>画面説明書</t>
  </si>
  <si>
    <t>ｻﾌﾞﾓｼﾞｭｰﾙID</t>
  </si>
  <si>
    <t>ｻﾌﾞﾓｼﾞｭｰﾙ名</t>
    <rPh sb="9" eb="10">
      <t>メイ</t>
    </rPh>
    <phoneticPr fontId="8"/>
  </si>
  <si>
    <t>972501-0-0001</t>
  </si>
  <si>
    <t>r00.00</t>
    <phoneticPr fontId="8"/>
  </si>
  <si>
    <t>表紙</t>
  </si>
  <si>
    <t>表題</t>
    <rPh sb="0" eb="2">
      <t>ヒョウダイ</t>
    </rPh>
    <phoneticPr fontId="8"/>
  </si>
  <si>
    <t>共通（リンク用）</t>
    <rPh sb="0" eb="2">
      <t>キョウツウ</t>
    </rPh>
    <rPh sb="6" eb="7">
      <t>ヨウ</t>
    </rPh>
    <phoneticPr fontId="8"/>
  </si>
  <si>
    <t>モジュールID</t>
    <phoneticPr fontId="8"/>
  </si>
  <si>
    <t>Rev.</t>
    <phoneticPr fontId="8"/>
  </si>
  <si>
    <t>ｻﾌﾞﾓｼﾞｭｰﾙID</t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</si>
  <si>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</si>
  <si>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</si>
  <si>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</si>
  <si>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</si>
  <si>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</si>
  <si>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</si>
  <si>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</si>
  <si>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</si>
  <si>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</si>
  <si>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</si>
  <si>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</si>
  <si>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</si>
  <si>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</si>
  <si>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</si>
  <si>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</si>
  <si>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</si>
  <si>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【業務要件】</t>
    <rPh sb="1" eb="3">
      <t>ギョウム</t>
    </rPh>
    <rPh sb="3" eb="5">
      <t>ヨウケン</t>
    </rPh>
    <phoneticPr fontId="8"/>
  </si>
  <si>
    <t>内容</t>
    <rPh sb="0" eb="2">
      <t>ナイヨウ</t>
    </rPh>
    <phoneticPr fontId="8"/>
  </si>
  <si>
    <t>No.</t>
    <phoneticPr fontId="8"/>
  </si>
  <si>
    <t>【機能概要】</t>
    <rPh sb="1" eb="3">
      <t>キノウ</t>
    </rPh>
    <rPh sb="3" eb="5">
      <t>ガイヨウ</t>
    </rPh>
    <phoneticPr fontId="8"/>
  </si>
  <si>
    <t>1.</t>
    <phoneticPr fontId="8"/>
  </si>
  <si>
    <t>2.</t>
    <phoneticPr fontId="8"/>
  </si>
  <si>
    <t>【前提条件】</t>
    <rPh sb="1" eb="5">
      <t>ゼンテイジョウケン</t>
    </rPh>
    <phoneticPr fontId="8"/>
  </si>
  <si>
    <t>【説明】</t>
    <rPh sb="1" eb="3">
      <t>セツメイ</t>
    </rPh>
    <phoneticPr fontId="8"/>
  </si>
  <si>
    <t>【帳票分類】</t>
    <rPh sb="1" eb="3">
      <t>チョウヒョウ</t>
    </rPh>
    <rPh sb="3" eb="5">
      <t>ブンルイ</t>
    </rPh>
    <phoneticPr fontId="8"/>
  </si>
  <si>
    <t>・</t>
    <phoneticPr fontId="8"/>
  </si>
  <si>
    <t>【帳票ツール】</t>
    <rPh sb="1" eb="3">
      <t>チョウヒョウ</t>
    </rPh>
    <phoneticPr fontId="8"/>
  </si>
  <si>
    <t>【帳票出力条件】</t>
    <rPh sb="1" eb="3">
      <t>チョウヒョウ</t>
    </rPh>
    <rPh sb="3" eb="5">
      <t>シュツリョク</t>
    </rPh>
    <rPh sb="5" eb="7">
      <t>ジョウケン</t>
    </rPh>
    <phoneticPr fontId="8"/>
  </si>
  <si>
    <t>・</t>
  </si>
  <si>
    <t>【再発行時の印刷データ利用】</t>
    <rPh sb="1" eb="4">
      <t>サイハッコウ</t>
    </rPh>
    <rPh sb="4" eb="5">
      <t>ジ</t>
    </rPh>
    <rPh sb="6" eb="8">
      <t>インサツ</t>
    </rPh>
    <rPh sb="11" eb="13">
      <t>リヨウ</t>
    </rPh>
    <phoneticPr fontId="8"/>
  </si>
  <si>
    <t>【改頁条件】</t>
    <rPh sb="1" eb="3">
      <t>カイページ</t>
    </rPh>
    <rPh sb="3" eb="5">
      <t>ジョウケン</t>
    </rPh>
    <phoneticPr fontId="8"/>
  </si>
  <si>
    <t>【データのソート順】</t>
    <rPh sb="8" eb="9">
      <t>ジュン</t>
    </rPh>
    <phoneticPr fontId="8"/>
  </si>
  <si>
    <t>【自由記述】</t>
    <rPh sb="1" eb="3">
      <t>ジユウ</t>
    </rPh>
    <rPh sb="3" eb="5">
      <t>キジュツ</t>
    </rPh>
    <phoneticPr fontId="8"/>
  </si>
  <si>
    <t>帳票イメージ</t>
    <phoneticPr fontId="8"/>
  </si>
  <si>
    <t>共通項目エリア</t>
    <rPh sb="0" eb="2">
      <t>キョウツウ</t>
    </rPh>
    <rPh sb="2" eb="4">
      <t>コウモク</t>
    </rPh>
    <phoneticPr fontId="8"/>
  </si>
  <si>
    <t>表示</t>
    <rPh sb="0" eb="2">
      <t>ヒョウジ</t>
    </rPh>
    <phoneticPr fontId="8"/>
  </si>
  <si>
    <t>最大</t>
    <rPh sb="0" eb="2">
      <t>サイダイ</t>
    </rPh>
    <phoneticPr fontId="8"/>
  </si>
  <si>
    <t>出力仕様</t>
    <rPh sb="0" eb="2">
      <t>シュツリョク</t>
    </rPh>
    <rPh sb="2" eb="4">
      <t>シヨウ</t>
    </rPh>
    <phoneticPr fontId="8"/>
  </si>
  <si>
    <t>O</t>
    <phoneticPr fontId="8"/>
  </si>
  <si>
    <t>テーブル名</t>
    <rPh sb="4" eb="5">
      <t>メイ</t>
    </rPh>
    <phoneticPr fontId="8"/>
  </si>
  <si>
    <t>項目名</t>
    <rPh sb="0" eb="2">
      <t>コウモク</t>
    </rPh>
    <rPh sb="2" eb="3">
      <t>メイ</t>
    </rPh>
    <phoneticPr fontId="8"/>
  </si>
  <si>
    <t>備考</t>
    <rPh sb="0" eb="2">
      <t>ビコウ</t>
    </rPh>
    <phoneticPr fontId="8"/>
  </si>
  <si>
    <t>参照テーブル</t>
    <rPh sb="0" eb="2">
      <t>サンショウ</t>
    </rPh>
    <phoneticPr fontId="8"/>
  </si>
  <si>
    <t>担当者マスタ</t>
    <rPh sb="0" eb="3">
      <t>タントウシャ</t>
    </rPh>
    <phoneticPr fontId="8"/>
  </si>
  <si>
    <t>上部</t>
    <rPh sb="0" eb="2">
      <t>ジョウブ</t>
    </rPh>
    <phoneticPr fontId="8"/>
  </si>
  <si>
    <t>1</t>
    <phoneticPr fontId="8"/>
  </si>
  <si>
    <t>2</t>
    <phoneticPr fontId="8"/>
  </si>
  <si>
    <t>得意先名</t>
    <rPh sb="0" eb="4">
      <t>トクイサキメイ</t>
    </rPh>
    <phoneticPr fontId="8"/>
  </si>
  <si>
    <t>3</t>
    <phoneticPr fontId="8"/>
  </si>
  <si>
    <t>4</t>
    <phoneticPr fontId="8"/>
  </si>
  <si>
    <t>5</t>
    <phoneticPr fontId="8"/>
  </si>
  <si>
    <t>6</t>
    <phoneticPr fontId="8"/>
  </si>
  <si>
    <t>7</t>
    <phoneticPr fontId="8"/>
  </si>
  <si>
    <t>8</t>
    <phoneticPr fontId="8"/>
  </si>
  <si>
    <t>9</t>
    <phoneticPr fontId="8"/>
  </si>
  <si>
    <t>中部</t>
    <rPh sb="0" eb="2">
      <t>チュウブ</t>
    </rPh>
    <phoneticPr fontId="8"/>
  </si>
  <si>
    <t>下部</t>
    <rPh sb="0" eb="2">
      <t>カブ</t>
    </rPh>
    <phoneticPr fontId="8"/>
  </si>
  <si>
    <t>出力元画面</t>
    <rPh sb="0" eb="2">
      <t>シュツリョク</t>
    </rPh>
    <rPh sb="2" eb="3">
      <t>モト</t>
    </rPh>
    <rPh sb="3" eb="5">
      <t>ガメン</t>
    </rPh>
    <phoneticPr fontId="8"/>
  </si>
  <si>
    <t>画面ＩＤ</t>
    <rPh sb="0" eb="2">
      <t>ガメン</t>
    </rPh>
    <phoneticPr fontId="8"/>
  </si>
  <si>
    <t>受注伝票</t>
    <rPh sb="0" eb="2">
      <t>ジュチュウ</t>
    </rPh>
    <rPh sb="2" eb="4">
      <t>デンピョウ</t>
    </rPh>
    <phoneticPr fontId="8"/>
  </si>
  <si>
    <t>MSBB</t>
    <phoneticPr fontId="8"/>
  </si>
  <si>
    <t>受注伝票</t>
    <rPh sb="0" eb="1">
      <t>ジュチュウ</t>
    </rPh>
    <rPh sb="1" eb="3">
      <t>デンピョウ</t>
    </rPh>
    <phoneticPr fontId="8"/>
  </si>
  <si>
    <t>受注伝票を追加する</t>
    <rPh sb="0" eb="2">
      <t>ジュチュウ</t>
    </rPh>
    <rPh sb="2" eb="4">
      <t>デンピョウ</t>
    </rPh>
    <rPh sb="5" eb="7">
      <t>ツイカ</t>
    </rPh>
    <phoneticPr fontId="8"/>
  </si>
  <si>
    <t>受注情報と工程情報を出力し、生産予定組後の受注納期を関係者へ回覧する</t>
    <rPh sb="0" eb="2">
      <t>ジュチュウ</t>
    </rPh>
    <rPh sb="2" eb="4">
      <t>ジョウホウ</t>
    </rPh>
    <rPh sb="5" eb="7">
      <t>コウテイ</t>
    </rPh>
    <rPh sb="7" eb="9">
      <t>ジョウホウ</t>
    </rPh>
    <rPh sb="10" eb="12">
      <t>シュツリョク</t>
    </rPh>
    <rPh sb="14" eb="19">
      <t>セイサンヨテイグミ</t>
    </rPh>
    <rPh sb="19" eb="20">
      <t>ゴ</t>
    </rPh>
    <rPh sb="21" eb="23">
      <t>ジュチュウ</t>
    </rPh>
    <rPh sb="23" eb="25">
      <t>ノウキ</t>
    </rPh>
    <rPh sb="26" eb="29">
      <t>カンケイシャ</t>
    </rPh>
    <rPh sb="30" eb="32">
      <t>カイラン</t>
    </rPh>
    <phoneticPr fontId="8"/>
  </si>
  <si>
    <t>社内帳票</t>
    <rPh sb="0" eb="2">
      <t>シャナイ</t>
    </rPh>
    <rPh sb="2" eb="4">
      <t>チョウヒョウ</t>
    </rPh>
    <phoneticPr fontId="8"/>
  </si>
  <si>
    <t>部材が3件以上</t>
    <rPh sb="0" eb="2">
      <t>ブザイ</t>
    </rPh>
    <rPh sb="4" eb="5">
      <t>ケン</t>
    </rPh>
    <rPh sb="5" eb="7">
      <t>イジョウ</t>
    </rPh>
    <phoneticPr fontId="8"/>
  </si>
  <si>
    <t>製品CD</t>
    <rPh sb="0" eb="2">
      <t>セイヒン</t>
    </rPh>
    <phoneticPr fontId="8"/>
  </si>
  <si>
    <t>受注</t>
    <rPh sb="0" eb="2">
      <t>ジュチュウ</t>
    </rPh>
    <phoneticPr fontId="8"/>
  </si>
  <si>
    <t>受注明細</t>
    <rPh sb="0" eb="2">
      <t>ジュチュウ</t>
    </rPh>
    <rPh sb="2" eb="4">
      <t>メイサイ</t>
    </rPh>
    <phoneticPr fontId="8"/>
  </si>
  <si>
    <t>受注加工工程</t>
    <rPh sb="0" eb="2">
      <t>ジュチュウ</t>
    </rPh>
    <rPh sb="2" eb="6">
      <t>カコウコウテイ</t>
    </rPh>
    <phoneticPr fontId="8"/>
  </si>
  <si>
    <t>受注日</t>
    <rPh sb="0" eb="3">
      <t>ジュチュウビ</t>
    </rPh>
    <phoneticPr fontId="8"/>
  </si>
  <si>
    <t>納期</t>
    <rPh sb="0" eb="2">
      <t>ノウキ</t>
    </rPh>
    <phoneticPr fontId="8"/>
  </si>
  <si>
    <t>得意先CD</t>
    <rPh sb="0" eb="3">
      <t>トクイサキ</t>
    </rPh>
    <phoneticPr fontId="8"/>
  </si>
  <si>
    <t>納入先CD</t>
    <rPh sb="0" eb="3">
      <t>ノウニュウサキ</t>
    </rPh>
    <phoneticPr fontId="8"/>
  </si>
  <si>
    <t>納入先名</t>
    <rPh sb="0" eb="3">
      <t>ノウニュウサキ</t>
    </rPh>
    <rPh sb="3" eb="4">
      <t>メイ</t>
    </rPh>
    <phoneticPr fontId="8"/>
  </si>
  <si>
    <t>品名</t>
    <rPh sb="0" eb="2">
      <t>ヒンメイ</t>
    </rPh>
    <phoneticPr fontId="8"/>
  </si>
  <si>
    <t>注文NO</t>
    <rPh sb="0" eb="2">
      <t>チュウモン</t>
    </rPh>
    <phoneticPr fontId="8"/>
  </si>
  <si>
    <t>営業担当CD</t>
    <rPh sb="0" eb="2">
      <t>エイギョウ</t>
    </rPh>
    <rPh sb="2" eb="4">
      <t>タントウ</t>
    </rPh>
    <phoneticPr fontId="8"/>
  </si>
  <si>
    <t>10</t>
  </si>
  <si>
    <t>営業担当名</t>
    <rPh sb="0" eb="5">
      <t>エイギョウタントウメイ</t>
    </rPh>
    <phoneticPr fontId="8"/>
  </si>
  <si>
    <t>業務担当名</t>
    <rPh sb="0" eb="4">
      <t>ギョウムタントウ</t>
    </rPh>
    <rPh sb="4" eb="5">
      <t>メイ</t>
    </rPh>
    <phoneticPr fontId="8"/>
  </si>
  <si>
    <t>過剰製造</t>
    <rPh sb="0" eb="4">
      <t>カジョウセイゾウ</t>
    </rPh>
    <phoneticPr fontId="8"/>
  </si>
  <si>
    <t>売価区分</t>
    <rPh sb="0" eb="4">
      <t>バイカクブン</t>
    </rPh>
    <phoneticPr fontId="8"/>
  </si>
  <si>
    <t>11</t>
  </si>
  <si>
    <t>12</t>
  </si>
  <si>
    <t>13</t>
  </si>
  <si>
    <t>14</t>
  </si>
  <si>
    <t>客先納期</t>
    <rPh sb="0" eb="4">
      <t>キャクサキノウキ</t>
    </rPh>
    <phoneticPr fontId="8"/>
  </si>
  <si>
    <t>取引先マスタ</t>
    <rPh sb="0" eb="3">
      <t>トリヒキサキ</t>
    </rPh>
    <phoneticPr fontId="8"/>
  </si>
  <si>
    <t>取引先名</t>
    <rPh sb="0" eb="4">
      <t>トリヒキサキメイ</t>
    </rPh>
    <phoneticPr fontId="8"/>
  </si>
  <si>
    <t>CP品名１</t>
    <rPh sb="2" eb="4">
      <t>ヒンメイ</t>
    </rPh>
    <phoneticPr fontId="8"/>
  </si>
  <si>
    <t>担当者名</t>
    <rPh sb="0" eb="3">
      <t>タントウシャ</t>
    </rPh>
    <rPh sb="3" eb="4">
      <t>メイ</t>
    </rPh>
    <phoneticPr fontId="8"/>
  </si>
  <si>
    <t>定数出荷</t>
    <rPh sb="0" eb="2">
      <t>テイスウ</t>
    </rPh>
    <rPh sb="2" eb="4">
      <t>シュッカ</t>
    </rPh>
    <phoneticPr fontId="8"/>
  </si>
  <si>
    <t>売価区分</t>
    <rPh sb="0" eb="2">
      <t>バイカ</t>
    </rPh>
    <rPh sb="2" eb="4">
      <t>クブン</t>
    </rPh>
    <phoneticPr fontId="8"/>
  </si>
  <si>
    <t>部材名</t>
    <rPh sb="0" eb="3">
      <t>ブザイメイ</t>
    </rPh>
    <phoneticPr fontId="8"/>
  </si>
  <si>
    <t>工程１</t>
    <rPh sb="0" eb="2">
      <t>コウテイ</t>
    </rPh>
    <phoneticPr fontId="8"/>
  </si>
  <si>
    <t>工程２</t>
    <rPh sb="0" eb="2">
      <t>コウテイ</t>
    </rPh>
    <phoneticPr fontId="8"/>
  </si>
  <si>
    <t>工程３</t>
    <rPh sb="0" eb="2">
      <t>コウテイ</t>
    </rPh>
    <phoneticPr fontId="8"/>
  </si>
  <si>
    <t>工程４</t>
    <rPh sb="0" eb="2">
      <t>コウテイ</t>
    </rPh>
    <phoneticPr fontId="8"/>
  </si>
  <si>
    <t>工程５</t>
    <rPh sb="0" eb="2">
      <t>コウテイ</t>
    </rPh>
    <phoneticPr fontId="8"/>
  </si>
  <si>
    <t>工程６</t>
    <rPh sb="0" eb="2">
      <t>コウテイ</t>
    </rPh>
    <phoneticPr fontId="8"/>
  </si>
  <si>
    <t>工程７</t>
    <rPh sb="0" eb="2">
      <t>コウテイ</t>
    </rPh>
    <phoneticPr fontId="8"/>
  </si>
  <si>
    <t>工程８</t>
    <rPh sb="0" eb="2">
      <t>コウテイ</t>
    </rPh>
    <phoneticPr fontId="8"/>
  </si>
  <si>
    <t>受注数</t>
    <rPh sb="0" eb="3">
      <t>ジュチュウスウ</t>
    </rPh>
    <phoneticPr fontId="8"/>
  </si>
  <si>
    <t>単価</t>
    <rPh sb="0" eb="2">
      <t>タンカ</t>
    </rPh>
    <phoneticPr fontId="8"/>
  </si>
  <si>
    <t>セット比率</t>
    <rPh sb="3" eb="5">
      <t>ヒリツ</t>
    </rPh>
    <phoneticPr fontId="8"/>
  </si>
  <si>
    <t>見積ロット</t>
    <rPh sb="0" eb="2">
      <t>ミツモリ</t>
    </rPh>
    <phoneticPr fontId="8"/>
  </si>
  <si>
    <t>両</t>
    <rPh sb="0" eb="1">
      <t>リョウ</t>
    </rPh>
    <phoneticPr fontId="8"/>
  </si>
  <si>
    <t>G</t>
    <phoneticPr fontId="8"/>
  </si>
  <si>
    <t>使用M</t>
    <rPh sb="0" eb="2">
      <t>シヨウ</t>
    </rPh>
    <phoneticPr fontId="8"/>
  </si>
  <si>
    <t>T/TH-0610</t>
    <phoneticPr fontId="8"/>
  </si>
  <si>
    <t>丁</t>
    <rPh sb="0" eb="1">
      <t>チョウ</t>
    </rPh>
    <phoneticPr fontId="8"/>
  </si>
  <si>
    <t>表原紙コード</t>
    <rPh sb="0" eb="1">
      <t>オモテ</t>
    </rPh>
    <rPh sb="1" eb="3">
      <t>ゲンシ</t>
    </rPh>
    <phoneticPr fontId="8"/>
  </si>
  <si>
    <t>表印刷コード</t>
    <rPh sb="0" eb="1">
      <t>オモテ</t>
    </rPh>
    <rPh sb="1" eb="3">
      <t>インサツ</t>
    </rPh>
    <phoneticPr fontId="8"/>
  </si>
  <si>
    <t>表エンボス</t>
    <rPh sb="0" eb="1">
      <t>オモテ</t>
    </rPh>
    <phoneticPr fontId="8"/>
  </si>
  <si>
    <t>表原紙名</t>
    <rPh sb="0" eb="1">
      <t>オモテ</t>
    </rPh>
    <rPh sb="1" eb="4">
      <t>ゲンシメイ</t>
    </rPh>
    <phoneticPr fontId="8"/>
  </si>
  <si>
    <t>中原紙コード</t>
    <rPh sb="0" eb="1">
      <t>ナカ</t>
    </rPh>
    <rPh sb="1" eb="3">
      <t>ゲンシ</t>
    </rPh>
    <phoneticPr fontId="8"/>
  </si>
  <si>
    <t>中印刷コード</t>
    <rPh sb="0" eb="1">
      <t>ナカ</t>
    </rPh>
    <rPh sb="1" eb="3">
      <t>インサツ</t>
    </rPh>
    <phoneticPr fontId="8"/>
  </si>
  <si>
    <t>中エンボス</t>
    <rPh sb="0" eb="1">
      <t>ナカ</t>
    </rPh>
    <phoneticPr fontId="8"/>
  </si>
  <si>
    <t>中原紙名</t>
    <rPh sb="0" eb="1">
      <t>ナカ</t>
    </rPh>
    <rPh sb="1" eb="4">
      <t>ゲンシメイ</t>
    </rPh>
    <phoneticPr fontId="8"/>
  </si>
  <si>
    <t>裏原紙コード</t>
    <rPh sb="0" eb="1">
      <t>ウラ</t>
    </rPh>
    <rPh sb="1" eb="3">
      <t>ゲンシ</t>
    </rPh>
    <phoneticPr fontId="8"/>
  </si>
  <si>
    <t>裏印刷コード</t>
    <rPh sb="0" eb="1">
      <t>ウラ</t>
    </rPh>
    <rPh sb="1" eb="3">
      <t>インサツ</t>
    </rPh>
    <phoneticPr fontId="8"/>
  </si>
  <si>
    <t>裏エンボス</t>
    <rPh sb="0" eb="1">
      <t>ウラ</t>
    </rPh>
    <phoneticPr fontId="8"/>
  </si>
  <si>
    <t>裏原紙名</t>
    <rPh sb="0" eb="1">
      <t>ウラ</t>
    </rPh>
    <rPh sb="1" eb="4">
      <t>ゲンシメイ</t>
    </rPh>
    <phoneticPr fontId="8"/>
  </si>
  <si>
    <t>全般巾</t>
    <rPh sb="0" eb="3">
      <t>ゼンパンハバ</t>
    </rPh>
    <phoneticPr fontId="8"/>
  </si>
  <si>
    <t>スリッタ巾</t>
    <rPh sb="4" eb="5">
      <t>ハバ</t>
    </rPh>
    <phoneticPr fontId="8"/>
  </si>
  <si>
    <t>スリッタ流れ</t>
    <rPh sb="4" eb="5">
      <t>ナガ</t>
    </rPh>
    <phoneticPr fontId="8"/>
  </si>
  <si>
    <t>製造備考</t>
    <rPh sb="0" eb="4">
      <t>セイゾウビコウ</t>
    </rPh>
    <phoneticPr fontId="8"/>
  </si>
  <si>
    <t>納入備考</t>
    <rPh sb="0" eb="4">
      <t>ノウニュウビコウ</t>
    </rPh>
    <phoneticPr fontId="8"/>
  </si>
  <si>
    <t>印刷備考</t>
    <rPh sb="0" eb="4">
      <t>インサツビコウ</t>
    </rPh>
    <phoneticPr fontId="8"/>
  </si>
  <si>
    <t>伝票備考</t>
    <rPh sb="0" eb="4">
      <t>デンピョウビコウ</t>
    </rPh>
    <phoneticPr fontId="8"/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</si>
  <si>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</si>
  <si>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</si>
  <si>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</si>
  <si>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</si>
  <si>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</si>
  <si>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</si>
  <si>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</si>
  <si>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</si>
  <si>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</si>
  <si>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</si>
  <si>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</si>
  <si>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</si>
  <si>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</si>
  <si>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</si>
  <si>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</si>
  <si>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</si>
  <si>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</si>
  <si>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</si>
  <si>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</si>
  <si>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</si>
  <si>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</si>
  <si>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</si>
  <si>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</si>
  <si>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</si>
  <si>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</si>
  <si>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</si>
  <si>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</si>
  <si>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CP品名2</t>
    <rPh sb="2" eb="4">
      <t>ヒンメイ</t>
    </rPh>
    <phoneticPr fontId="8"/>
  </si>
  <si>
    <t>工程CD</t>
    <rPh sb="0" eb="2">
      <t>コウテイ</t>
    </rPh>
    <phoneticPr fontId="8"/>
  </si>
  <si>
    <t>先頭行から順番に設定していく</t>
    <rPh sb="0" eb="2">
      <t>セントウ</t>
    </rPh>
    <rPh sb="2" eb="3">
      <t>ギョウ</t>
    </rPh>
    <rPh sb="5" eb="7">
      <t>ジュンバン</t>
    </rPh>
    <rPh sb="8" eb="10">
      <t>セッテイ</t>
    </rPh>
    <phoneticPr fontId="8"/>
  </si>
  <si>
    <t>受注数</t>
    <rPh sb="0" eb="2">
      <t>ジュチュウ</t>
    </rPh>
    <rPh sb="2" eb="3">
      <t>スウ</t>
    </rPh>
    <phoneticPr fontId="8"/>
  </si>
  <si>
    <t>工程仕様１</t>
    <rPh sb="0" eb="2">
      <t>コウテイ</t>
    </rPh>
    <rPh sb="2" eb="4">
      <t>シヨウ</t>
    </rPh>
    <phoneticPr fontId="8"/>
  </si>
  <si>
    <t>トムソンの丁付けを取得</t>
    <rPh sb="5" eb="6">
      <t>チョウ</t>
    </rPh>
    <rPh sb="6" eb="7">
      <t>ヅ</t>
    </rPh>
    <rPh sb="9" eb="11">
      <t>シュトク</t>
    </rPh>
    <phoneticPr fontId="8"/>
  </si>
  <si>
    <t>新型</t>
    <rPh sb="0" eb="2">
      <t>シンガタ</t>
    </rPh>
    <phoneticPr fontId="8"/>
  </si>
  <si>
    <t>先方版</t>
    <rPh sb="0" eb="2">
      <t>センポウ</t>
    </rPh>
    <rPh sb="2" eb="3">
      <t>バン</t>
    </rPh>
    <phoneticPr fontId="8"/>
  </si>
  <si>
    <t>新版</t>
    <rPh sb="0" eb="1">
      <t>シン</t>
    </rPh>
    <rPh sb="1" eb="2">
      <t>ハン</t>
    </rPh>
    <phoneticPr fontId="8"/>
  </si>
  <si>
    <t>先方型</t>
    <rPh sb="0" eb="2">
      <t>センポウ</t>
    </rPh>
    <rPh sb="2" eb="3">
      <t>カタ</t>
    </rPh>
    <phoneticPr fontId="8"/>
  </si>
  <si>
    <t>サンプル要不要</t>
    <rPh sb="4" eb="7">
      <t>ヨウフヨウ</t>
    </rPh>
    <phoneticPr fontId="8"/>
  </si>
  <si>
    <t>サンプル数</t>
    <rPh sb="4" eb="5">
      <t>スウ</t>
    </rPh>
    <phoneticPr fontId="8"/>
  </si>
  <si>
    <t>刷本入荷・引取り出荷NO</t>
    <rPh sb="0" eb="2">
      <t>スリホン</t>
    </rPh>
    <rPh sb="2" eb="4">
      <t>ニュウカ</t>
    </rPh>
    <rPh sb="5" eb="7">
      <t>ヒキト</t>
    </rPh>
    <rPh sb="8" eb="10">
      <t>シュッカ</t>
    </rPh>
    <phoneticPr fontId="8"/>
  </si>
  <si>
    <t>刷本入荷・引取り数</t>
    <rPh sb="0" eb="2">
      <t>スリホン</t>
    </rPh>
    <rPh sb="2" eb="4">
      <t>ニュウカ</t>
    </rPh>
    <rPh sb="5" eb="7">
      <t>ヒキト</t>
    </rPh>
    <rPh sb="8" eb="9">
      <t>スウ</t>
    </rPh>
    <phoneticPr fontId="8"/>
  </si>
  <si>
    <t>刷本寸法</t>
    <rPh sb="0" eb="2">
      <t>スリホン</t>
    </rPh>
    <rPh sb="2" eb="4">
      <t>スンポウ</t>
    </rPh>
    <phoneticPr fontId="8"/>
  </si>
  <si>
    <t>片面・構成</t>
    <rPh sb="0" eb="2">
      <t>カタメン</t>
    </rPh>
    <rPh sb="3" eb="5">
      <t>コウセイ</t>
    </rPh>
    <phoneticPr fontId="8"/>
  </si>
  <si>
    <t>中芯</t>
    <rPh sb="0" eb="2">
      <t>ナカシン</t>
    </rPh>
    <phoneticPr fontId="8"/>
  </si>
  <si>
    <t>片面・寸法　巾</t>
    <rPh sb="0" eb="2">
      <t>カタメン</t>
    </rPh>
    <rPh sb="3" eb="5">
      <t>スンポウ</t>
    </rPh>
    <rPh sb="6" eb="7">
      <t>ハバ</t>
    </rPh>
    <phoneticPr fontId="8"/>
  </si>
  <si>
    <t>片面・寸法　流れ</t>
    <rPh sb="0" eb="2">
      <t>カタメン</t>
    </rPh>
    <rPh sb="3" eb="5">
      <t>スンポウ</t>
    </rPh>
    <rPh sb="6" eb="7">
      <t>ナガ</t>
    </rPh>
    <phoneticPr fontId="8"/>
  </si>
  <si>
    <t>納入予備　要不要</t>
    <rPh sb="0" eb="4">
      <t>ノウニュウヨビ</t>
    </rPh>
    <rPh sb="5" eb="8">
      <t>ヨウフヨウ</t>
    </rPh>
    <phoneticPr fontId="8"/>
  </si>
  <si>
    <t>納入予備数</t>
    <rPh sb="0" eb="5">
      <t>ノウニュウヨビスウ</t>
    </rPh>
    <phoneticPr fontId="8"/>
  </si>
  <si>
    <t>受注明細.サンプル数が0より大きい場合あり、0はなし</t>
    <rPh sb="0" eb="4">
      <t>ジュチュウメイサイ</t>
    </rPh>
    <rPh sb="9" eb="10">
      <t>スウ</t>
    </rPh>
    <rPh sb="14" eb="15">
      <t>オオ</t>
    </rPh>
    <rPh sb="17" eb="19">
      <t>バアイ</t>
    </rPh>
    <phoneticPr fontId="8"/>
  </si>
  <si>
    <t>受注明細.納入予備数が0より大きい場合あり、0はなし</t>
    <rPh sb="0" eb="2">
      <t>ジュチュウ</t>
    </rPh>
    <rPh sb="2" eb="4">
      <t>メイサイ</t>
    </rPh>
    <rPh sb="5" eb="10">
      <t>ノウニュウヨビスウ</t>
    </rPh>
    <phoneticPr fontId="8"/>
  </si>
  <si>
    <t>青枠はヘッダー・フッター情報</t>
    <rPh sb="0" eb="1">
      <t>アオ</t>
    </rPh>
    <rPh sb="1" eb="2">
      <t>ワク</t>
    </rPh>
    <rPh sb="12" eb="14">
      <t>ジョウホウ</t>
    </rPh>
    <phoneticPr fontId="22"/>
  </si>
  <si>
    <t>ピンク枠は明細情報</t>
    <rPh sb="3" eb="4">
      <t>ワク</t>
    </rPh>
    <rPh sb="5" eb="7">
      <t>メイサイ</t>
    </rPh>
    <rPh sb="7" eb="9">
      <t>ジョウホウ</t>
    </rPh>
    <phoneticPr fontId="22"/>
  </si>
  <si>
    <t>黄緑枠は固定情報</t>
    <rPh sb="0" eb="2">
      <t>キミドリ</t>
    </rPh>
    <rPh sb="2" eb="3">
      <t>ワク</t>
    </rPh>
    <rPh sb="4" eb="6">
      <t>コテイ</t>
    </rPh>
    <rPh sb="6" eb="8">
      <t>ジョウホウ</t>
    </rPh>
    <phoneticPr fontId="22"/>
  </si>
  <si>
    <t>機密事項</t>
    <rPh sb="0" eb="2">
      <t>キミツ</t>
    </rPh>
    <rPh sb="2" eb="4">
      <t>ジコウ</t>
    </rPh>
    <phoneticPr fontId="8"/>
  </si>
  <si>
    <t>製品マスタ</t>
    <rPh sb="0" eb="2">
      <t>セイヒン</t>
    </rPh>
    <phoneticPr fontId="8"/>
  </si>
  <si>
    <t>機密情報区分</t>
    <rPh sb="0" eb="4">
      <t>キミツジョウホウ</t>
    </rPh>
    <rPh sb="4" eb="6">
      <t>クブン</t>
    </rPh>
    <phoneticPr fontId="8"/>
  </si>
  <si>
    <t>業務担当CD１</t>
    <rPh sb="0" eb="4">
      <t>ギョウムタントウ</t>
    </rPh>
    <phoneticPr fontId="8"/>
  </si>
  <si>
    <t>業務担当CD２</t>
    <rPh sb="0" eb="4">
      <t>ギョウムタントウ</t>
    </rPh>
    <phoneticPr fontId="8"/>
  </si>
  <si>
    <t>営業担当CD２</t>
    <rPh sb="0" eb="2">
      <t>エイギョウ</t>
    </rPh>
    <rPh sb="2" eb="4">
      <t>タントウ</t>
    </rPh>
    <phoneticPr fontId="8"/>
  </si>
  <si>
    <t>3</t>
  </si>
  <si>
    <t>4</t>
  </si>
  <si>
    <t>5</t>
  </si>
  <si>
    <t>6</t>
  </si>
  <si>
    <t>7</t>
  </si>
  <si>
    <t>8</t>
  </si>
  <si>
    <t>9</t>
  </si>
  <si>
    <t>FSC</t>
    <phoneticPr fontId="8"/>
  </si>
  <si>
    <t>FSC認証</t>
    <rPh sb="3" eb="5">
      <t>ニンショウ</t>
    </rPh>
    <phoneticPr fontId="8"/>
  </si>
  <si>
    <t>前項あり</t>
    <rPh sb="0" eb="2">
      <t>ゼンコウ</t>
    </rPh>
    <phoneticPr fontId="8"/>
  </si>
  <si>
    <t>受注明細数で設定</t>
    <rPh sb="0" eb="2">
      <t>ジュチュウ</t>
    </rPh>
    <rPh sb="2" eb="4">
      <t>メイサイ</t>
    </rPh>
    <rPh sb="4" eb="5">
      <t>スウ</t>
    </rPh>
    <rPh sb="6" eb="8">
      <t>セッテイ</t>
    </rPh>
    <phoneticPr fontId="8"/>
  </si>
  <si>
    <t>食品安全</t>
    <rPh sb="0" eb="2">
      <t>ショクヒン</t>
    </rPh>
    <rPh sb="2" eb="4">
      <t>アンゼン</t>
    </rPh>
    <phoneticPr fontId="8"/>
  </si>
  <si>
    <t>番号</t>
    <rPh sb="0" eb="2">
      <t>バンゴウ</t>
    </rPh>
    <phoneticPr fontId="8"/>
  </si>
  <si>
    <t>明細番号</t>
    <rPh sb="0" eb="4">
      <t>メイサイバンゴウ</t>
    </rPh>
    <phoneticPr fontId="8"/>
  </si>
  <si>
    <t>客品番</t>
    <rPh sb="0" eb="3">
      <t>キャクヒンバン</t>
    </rPh>
    <phoneticPr fontId="8"/>
  </si>
  <si>
    <t>手配NO</t>
    <rPh sb="0" eb="2">
      <t>テハイ</t>
    </rPh>
    <phoneticPr fontId="8"/>
  </si>
  <si>
    <t>受注加工工程のコルゲータが片面か両面かで設定</t>
    <rPh sb="0" eb="2">
      <t>ジュチュウ</t>
    </rPh>
    <rPh sb="2" eb="4">
      <t>カコウ</t>
    </rPh>
    <rPh sb="4" eb="6">
      <t>コウテイ</t>
    </rPh>
    <rPh sb="13" eb="15">
      <t>カタメン</t>
    </rPh>
    <rPh sb="16" eb="18">
      <t>リョウメン</t>
    </rPh>
    <rPh sb="20" eb="22">
      <t>セッテイ</t>
    </rPh>
    <phoneticPr fontId="8"/>
  </si>
  <si>
    <t>段</t>
    <rPh sb="0" eb="1">
      <t>ダン</t>
    </rPh>
    <phoneticPr fontId="8"/>
  </si>
  <si>
    <t>版NO</t>
    <rPh sb="0" eb="1">
      <t>ハン</t>
    </rPh>
    <phoneticPr fontId="8"/>
  </si>
  <si>
    <t>ロット数</t>
    <rPh sb="3" eb="4">
      <t>スウ</t>
    </rPh>
    <phoneticPr fontId="8"/>
  </si>
  <si>
    <t>スリッタ巾1</t>
    <rPh sb="4" eb="5">
      <t>ハバ</t>
    </rPh>
    <phoneticPr fontId="8"/>
  </si>
  <si>
    <t>スリッタ流れ1</t>
    <rPh sb="4" eb="5">
      <t>ナガ</t>
    </rPh>
    <phoneticPr fontId="8"/>
  </si>
  <si>
    <t>スリッタ巾2</t>
    <rPh sb="4" eb="5">
      <t>ハバ</t>
    </rPh>
    <phoneticPr fontId="8"/>
  </si>
  <si>
    <t>スリッタ流れ2</t>
    <rPh sb="4" eb="5">
      <t>ナガ</t>
    </rPh>
    <phoneticPr fontId="8"/>
  </si>
  <si>
    <t>前回受注年月日</t>
    <rPh sb="0" eb="2">
      <t>ゼンカイ</t>
    </rPh>
    <rPh sb="2" eb="4">
      <t>ジュチュウ</t>
    </rPh>
    <rPh sb="4" eb="7">
      <t>ネンガッピ</t>
    </rPh>
    <phoneticPr fontId="8"/>
  </si>
  <si>
    <t>前回手配NO</t>
    <rPh sb="0" eb="2">
      <t>ゼンカイ</t>
    </rPh>
    <rPh sb="2" eb="4">
      <t>テハイ</t>
    </rPh>
    <phoneticPr fontId="8"/>
  </si>
  <si>
    <t>前回シート数</t>
    <rPh sb="0" eb="2">
      <t>ゼンカイ</t>
    </rPh>
    <rPh sb="5" eb="6">
      <t>スウ</t>
    </rPh>
    <phoneticPr fontId="8"/>
  </si>
  <si>
    <t>ショート過剰</t>
    <rPh sb="4" eb="6">
      <t>カジョウ</t>
    </rPh>
    <phoneticPr fontId="8"/>
  </si>
  <si>
    <t>※続きあり</t>
    <rPh sb="1" eb="2">
      <t>ツヅ</t>
    </rPh>
    <phoneticPr fontId="8"/>
  </si>
  <si>
    <t>42</t>
  </si>
  <si>
    <t>43</t>
    <phoneticPr fontId="8"/>
  </si>
  <si>
    <t>廃棄返却　版型マスタ</t>
    <rPh sb="0" eb="2">
      <t>ハイキ</t>
    </rPh>
    <rPh sb="2" eb="4">
      <t>ヘンキャク</t>
    </rPh>
    <rPh sb="5" eb="6">
      <t>ハン</t>
    </rPh>
    <rPh sb="6" eb="7">
      <t>ガタ</t>
    </rPh>
    <phoneticPr fontId="8"/>
  </si>
  <si>
    <t>上単価→売上単価</t>
    <rPh sb="0" eb="3">
      <t>ウエタンカ</t>
    </rPh>
    <rPh sb="4" eb="6">
      <t>ウリアゲ</t>
    </rPh>
    <rPh sb="6" eb="8">
      <t>タンカ</t>
    </rPh>
    <phoneticPr fontId="8"/>
  </si>
  <si>
    <t>シート数、ショート過剰</t>
    <rPh sb="3" eb="4">
      <t>スウ</t>
    </rPh>
    <rPh sb="9" eb="11">
      <t>カジョウ</t>
    </rPh>
    <phoneticPr fontId="8"/>
  </si>
  <si>
    <t>原紙使用ｍ</t>
    <rPh sb="0" eb="2">
      <t>ゲンシ</t>
    </rPh>
    <rPh sb="2" eb="4">
      <t>シヨウ</t>
    </rPh>
    <phoneticPr fontId="8"/>
  </si>
  <si>
    <t>Webシステム</t>
    <phoneticPr fontId="8"/>
  </si>
  <si>
    <t>MSBB_販売管理</t>
    <phoneticPr fontId="8"/>
  </si>
  <si>
    <t>MSBBRA050</t>
  </si>
  <si>
    <t>販売Webシステム</t>
    <rPh sb="0" eb="2">
      <t>ハンバイ</t>
    </rPh>
    <phoneticPr fontId="8"/>
  </si>
  <si>
    <t>Webシステム</t>
  </si>
  <si>
    <t>受注・製品マスタから情報を受注伝票を発行する</t>
    <rPh sb="0" eb="2">
      <t>ジュチュウ</t>
    </rPh>
    <rPh sb="3" eb="5">
      <t>セイヒン</t>
    </rPh>
    <rPh sb="10" eb="12">
      <t>ジョウホウ</t>
    </rPh>
    <rPh sb="18" eb="20">
      <t>ハッコウ</t>
    </rPh>
    <phoneticPr fontId="8"/>
  </si>
  <si>
    <t>PrintProを利用した仕組み(CSVをログインユーザー単位にサーの所定フォルダへ出力する)</t>
    <rPh sb="29" eb="31">
      <t>タンイ</t>
    </rPh>
    <rPh sb="35" eb="37">
      <t>ショテイ</t>
    </rPh>
    <rPh sb="42" eb="44">
      <t>シュツリョク</t>
    </rPh>
    <phoneticPr fontId="8"/>
  </si>
  <si>
    <t>なし</t>
    <phoneticPr fontId="8"/>
  </si>
  <si>
    <t>※発行時のデータを保存しない</t>
    <rPh sb="1" eb="4">
      <t>ハッコウジ</t>
    </rPh>
    <rPh sb="9" eb="11">
      <t>ホゾン</t>
    </rPh>
    <phoneticPr fontId="8"/>
  </si>
  <si>
    <t>手配NO、製品CD</t>
    <rPh sb="5" eb="7">
      <t>セイヒン</t>
    </rPh>
    <phoneticPr fontId="8"/>
  </si>
  <si>
    <t>PrintPro：帳票フォームはCP様設計とする</t>
    <rPh sb="9" eb="11">
      <t>チョウヒョウ</t>
    </rPh>
    <phoneticPr fontId="8"/>
  </si>
  <si>
    <t>単票形式とする</t>
  </si>
  <si>
    <t>受注入力で登録されたデータを出力対象データとする</t>
    <rPh sb="0" eb="2">
      <t>ジュチュウ</t>
    </rPh>
    <rPh sb="2" eb="4">
      <t>ニュウリョク</t>
    </rPh>
    <rPh sb="5" eb="7">
      <t>トウロク</t>
    </rPh>
    <phoneticPr fontId="8"/>
  </si>
  <si>
    <t>Web受注入力</t>
  </si>
  <si>
    <t>Web受注一覧照会</t>
  </si>
  <si>
    <t>MSBBPA070</t>
  </si>
  <si>
    <t>MSBBPA080</t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</si>
  <si>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</si>
  <si>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</si>
  <si>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</si>
  <si>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</si>
  <si>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ヘッダー・明細・フッター</t>
    <rPh sb="5" eb="7">
      <t>メイサイ</t>
    </rPh>
    <phoneticPr fontId="8"/>
  </si>
  <si>
    <t>売上ヘッダテーブル他から出力対象のデータを読み込む。</t>
    <rPh sb="0" eb="2">
      <t>ウリアゲ</t>
    </rPh>
    <rPh sb="9" eb="10">
      <t>ホカ</t>
    </rPh>
    <rPh sb="12" eb="16">
      <t>シュツリョクタイショウ</t>
    </rPh>
    <rPh sb="21" eb="22">
      <t>ヨ</t>
    </rPh>
    <rPh sb="23" eb="24">
      <t>コ</t>
    </rPh>
    <phoneticPr fontId="8"/>
  </si>
  <si>
    <t>２</t>
    <phoneticPr fontId="8"/>
  </si>
  <si>
    <t>出力する</t>
    <rPh sb="0" eb="2">
      <t>シュツリョク</t>
    </rPh>
    <phoneticPr fontId="8"/>
  </si>
  <si>
    <t>読み込んだデータに対して、受注伝票を出力する。</t>
    <rPh sb="0" eb="1">
      <t>ヨ</t>
    </rPh>
    <rPh sb="2" eb="3">
      <t>コ</t>
    </rPh>
    <rPh sb="9" eb="10">
      <t>タイ</t>
    </rPh>
    <rPh sb="13" eb="15">
      <t>ジュチュウ</t>
    </rPh>
    <rPh sb="15" eb="17">
      <t>デンピョウ</t>
    </rPh>
    <rPh sb="18" eb="20">
      <t>シュツリョク</t>
    </rPh>
    <rPh sb="20" eb="22">
      <t>シュツリョク</t>
    </rPh>
    <phoneticPr fontId="8"/>
  </si>
  <si>
    <t>受注伝票</t>
    <phoneticPr fontId="8"/>
  </si>
  <si>
    <t>明細3セットで改頁する。</t>
    <rPh sb="0" eb="2">
      <t>メイサイ</t>
    </rPh>
    <rPh sb="7" eb="9">
      <t>カイページ</t>
    </rPh>
    <phoneticPr fontId="8"/>
  </si>
  <si>
    <t>手配NO単位で改頁する。</t>
    <rPh sb="0" eb="2">
      <t>テハイ</t>
    </rPh>
    <rPh sb="4" eb="6">
      <t>タンイ</t>
    </rPh>
    <rPh sb="6" eb="8">
      <t>タンイ</t>
    </rPh>
    <rPh sb="9" eb="11">
      <t>カイページ</t>
    </rPh>
    <phoneticPr fontId="8"/>
  </si>
  <si>
    <t>手書き項目とする</t>
    <rPh sb="0" eb="2">
      <t>テガ</t>
    </rPh>
    <rPh sb="3" eb="5">
      <t>コウモク</t>
    </rPh>
    <phoneticPr fontId="8"/>
  </si>
  <si>
    <t>手書き項目とする</t>
    <phoneticPr fontId="8"/>
  </si>
  <si>
    <t>３部材以上の場合で最終ページ(手配NOでグループ)でない場合に表示</t>
    <rPh sb="1" eb="5">
      <t>ブザイイジョウ</t>
    </rPh>
    <rPh sb="6" eb="8">
      <t>バアイ</t>
    </rPh>
    <rPh sb="9" eb="11">
      <t>サイシュウ</t>
    </rPh>
    <rPh sb="28" eb="30">
      <t>バアイ</t>
    </rPh>
    <rPh sb="31" eb="33">
      <t>ヒョウジ</t>
    </rPh>
    <phoneticPr fontId="8"/>
  </si>
  <si>
    <t>受注(過去)</t>
    <rPh sb="0" eb="2">
      <t>ジュチュウ</t>
    </rPh>
    <phoneticPr fontId="8"/>
  </si>
  <si>
    <t>受注明細(過去)</t>
    <rPh sb="0" eb="2">
      <t>ジュチュウ</t>
    </rPh>
    <rPh sb="2" eb="4">
      <t>メイサイ</t>
    </rPh>
    <phoneticPr fontId="8"/>
  </si>
  <si>
    <t>製品CDで受注・受注明細を検索し、受注日降順で抽出し、最初に一致したデータ</t>
    <rPh sb="0" eb="2">
      <t>セイヒン</t>
    </rPh>
    <rPh sb="5" eb="7">
      <t>ジュチュウ</t>
    </rPh>
    <rPh sb="8" eb="12">
      <t>ジュチュウメイサイ</t>
    </rPh>
    <rPh sb="13" eb="15">
      <t>ケンサク</t>
    </rPh>
    <rPh sb="17" eb="20">
      <t>ジュチュウビ</t>
    </rPh>
    <rPh sb="20" eb="22">
      <t>コウジュン</t>
    </rPh>
    <rPh sb="23" eb="25">
      <t>チュウシュツ</t>
    </rPh>
    <rPh sb="27" eb="29">
      <t>サイショ</t>
    </rPh>
    <rPh sb="30" eb="32">
      <t>イッチ</t>
    </rPh>
    <phoneticPr fontId="8"/>
  </si>
  <si>
    <t>(デザイン分含む)</t>
    <rPh sb="5" eb="6">
      <t>ブン</t>
    </rPh>
    <rPh sb="6" eb="7">
      <t>フク</t>
    </rPh>
    <phoneticPr fontId="8"/>
  </si>
  <si>
    <t>受注回数なのでは</t>
    <rPh sb="0" eb="4">
      <t>ジュチュウカイスウ</t>
    </rPh>
    <phoneticPr fontId="8"/>
  </si>
  <si>
    <t>対象データの抽出</t>
    <rPh sb="0" eb="2">
      <t>タイショウ</t>
    </rPh>
    <rPh sb="6" eb="8">
      <t>チュウシュツ</t>
    </rPh>
    <phoneticPr fontId="8"/>
  </si>
  <si>
    <t>下記の条件に従い、対象テーブルからデータを検索する。</t>
    <rPh sb="0" eb="2">
      <t>カキ</t>
    </rPh>
    <rPh sb="3" eb="5">
      <t>ジョウケン</t>
    </rPh>
    <rPh sb="6" eb="7">
      <t>シタガ</t>
    </rPh>
    <rPh sb="9" eb="11">
      <t>タイショウ</t>
    </rPh>
    <rPh sb="21" eb="23">
      <t>ケンサク</t>
    </rPh>
    <phoneticPr fontId="8"/>
  </si>
  <si>
    <t>帳票項目</t>
    <rPh sb="0" eb="2">
      <t>チョウヒョウ</t>
    </rPh>
    <rPh sb="2" eb="4">
      <t>コウモク</t>
    </rPh>
    <phoneticPr fontId="8"/>
  </si>
  <si>
    <t>取得条件、編集仕様</t>
    <rPh sb="0" eb="4">
      <t>シュトクジョウケン</t>
    </rPh>
    <rPh sb="5" eb="9">
      <t>ヘンシュウシヨウ</t>
    </rPh>
    <phoneticPr fontId="8"/>
  </si>
  <si>
    <t>テーブル</t>
    <phoneticPr fontId="8"/>
  </si>
  <si>
    <t>担当者マスタ</t>
    <phoneticPr fontId="8"/>
  </si>
  <si>
    <t>WEB受注</t>
  </si>
  <si>
    <t>WEB受注</t>
    <phoneticPr fontId="8"/>
  </si>
  <si>
    <t>1．帳票上部項目抽出</t>
    <rPh sb="2" eb="4">
      <t>チョウヒョウ</t>
    </rPh>
    <rPh sb="6" eb="8">
      <t>コウモク</t>
    </rPh>
    <rPh sb="8" eb="10">
      <t>チュウシュツ</t>
    </rPh>
    <phoneticPr fontId="8"/>
  </si>
  <si>
    <t>・WEB受注をもとに検索する</t>
    <phoneticPr fontId="8"/>
  </si>
  <si>
    <t>FSC</t>
  </si>
  <si>
    <t>食品安全</t>
    <phoneticPr fontId="8"/>
  </si>
  <si>
    <t>【結合条件】</t>
    <phoneticPr fontId="8"/>
  </si>
  <si>
    <t>=</t>
    <phoneticPr fontId="8"/>
  </si>
  <si>
    <t>AND</t>
    <phoneticPr fontId="8"/>
  </si>
  <si>
    <t>得意先ＣＤ</t>
    <rPh sb="0" eb="2">
      <t>トクイ</t>
    </rPh>
    <phoneticPr fontId="8"/>
  </si>
  <si>
    <t>WEB取引先マスタ　※得意先</t>
    <rPh sb="3" eb="6">
      <t>トリヒキサキ</t>
    </rPh>
    <rPh sb="11" eb="14">
      <t>トクイサキ</t>
    </rPh>
    <phoneticPr fontId="8"/>
  </si>
  <si>
    <t>取引先ＣＤ</t>
  </si>
  <si>
    <t>WEB受注</t>
    <rPh sb="3" eb="5">
      <t>ジュチュウ</t>
    </rPh>
    <phoneticPr fontId="8"/>
  </si>
  <si>
    <t>WEB取引先マスタ</t>
    <rPh sb="3" eb="6">
      <t>トリヒキサキ</t>
    </rPh>
    <phoneticPr fontId="8"/>
  </si>
  <si>
    <t>WEB受注明細</t>
  </si>
  <si>
    <t>WEB受注明細</t>
    <rPh sb="3" eb="5">
      <t>ジュチュウ</t>
    </rPh>
    <rPh sb="5" eb="7">
      <t>メイサイ</t>
    </rPh>
    <phoneticPr fontId="8"/>
  </si>
  <si>
    <t>WEB受注明細</t>
    <phoneticPr fontId="8"/>
  </si>
  <si>
    <t>Web受注NO</t>
  </si>
  <si>
    <t>製品コード</t>
  </si>
  <si>
    <t>WEB製品基本マスタ</t>
  </si>
  <si>
    <t>WEB製品基本マスタ</t>
    <phoneticPr fontId="8"/>
  </si>
  <si>
    <t>得意先ＦＬＧ</t>
    <phoneticPr fontId="8"/>
  </si>
  <si>
    <t>'1'</t>
    <phoneticPr fontId="8"/>
  </si>
  <si>
    <t>論理削除ＦＬＧ</t>
    <phoneticPr fontId="8"/>
  </si>
  <si>
    <t>'0'</t>
    <phoneticPr fontId="8"/>
  </si>
  <si>
    <t>納入先CD</t>
  </si>
  <si>
    <t>WEB取引先マスタ　※納品先</t>
    <rPh sb="3" eb="6">
      <t>トリヒキサキ</t>
    </rPh>
    <rPh sb="11" eb="13">
      <t>ノウヒン</t>
    </rPh>
    <rPh sb="13" eb="14">
      <t>サキ</t>
    </rPh>
    <phoneticPr fontId="8"/>
  </si>
  <si>
    <t>納品先ＦＬＧ</t>
    <phoneticPr fontId="8"/>
  </si>
  <si>
    <t>営業担当CD</t>
  </si>
  <si>
    <t>担当者CD</t>
    <phoneticPr fontId="8"/>
  </si>
  <si>
    <t>WEB取引先マスタ</t>
    <phoneticPr fontId="8"/>
  </si>
  <si>
    <t>(得意先)</t>
    <rPh sb="1" eb="4">
      <t>トクイサキ</t>
    </rPh>
    <phoneticPr fontId="8"/>
  </si>
  <si>
    <t>業務担当CD</t>
  </si>
  <si>
    <t>2．帳票中部項目抽出</t>
    <rPh sb="2" eb="4">
      <t>チョウヒョウ</t>
    </rPh>
    <rPh sb="6" eb="8">
      <t>コウモク</t>
    </rPh>
    <rPh sb="8" eb="10">
      <t>チュウシュツ</t>
    </rPh>
    <phoneticPr fontId="8"/>
  </si>
  <si>
    <t>・WEB受注明細をもとに検索する</t>
    <phoneticPr fontId="8"/>
  </si>
  <si>
    <t>G</t>
  </si>
  <si>
    <t>T/TH-0610</t>
  </si>
  <si>
    <t>受注加工工程のコルゲータが片面か両面かで設定</t>
    <phoneticPr fontId="8"/>
  </si>
  <si>
    <t>Web受注明細ＮＯ</t>
  </si>
  <si>
    <t>WEB受注加工工程</t>
    <rPh sb="3" eb="5">
      <t>ジュチュウ</t>
    </rPh>
    <rPh sb="5" eb="9">
      <t>カコウコウテイ</t>
    </rPh>
    <phoneticPr fontId="8"/>
  </si>
  <si>
    <t>WEB受注加工工程</t>
    <phoneticPr fontId="8"/>
  </si>
  <si>
    <t>3．帳票下部項目抽出</t>
    <rPh sb="2" eb="4">
      <t>チョウヒョウ</t>
    </rPh>
    <rPh sb="6" eb="8">
      <t>コウモク</t>
    </rPh>
    <rPh sb="8" eb="10">
      <t>チュウシュツ</t>
    </rPh>
    <phoneticPr fontId="8"/>
  </si>
  <si>
    <t>受注明細</t>
    <phoneticPr fontId="8"/>
  </si>
  <si>
    <t>サンプル数</t>
    <phoneticPr fontId="8"/>
  </si>
  <si>
    <t>納入予備数</t>
    <phoneticPr fontId="8"/>
  </si>
  <si>
    <t>受注(過去)</t>
  </si>
  <si>
    <t>(+)</t>
    <phoneticPr fontId="8"/>
  </si>
  <si>
    <t>受注(過去)</t>
    <phoneticPr fontId="8"/>
  </si>
  <si>
    <t>※</t>
    <phoneticPr fontId="8"/>
  </si>
  <si>
    <t>1．検索結果を下記の項目順でソートする。</t>
    <phoneticPr fontId="8"/>
  </si>
  <si>
    <t>※フォームにて設定される場合、当処理は不要。</t>
    <rPh sb="7" eb="9">
      <t>セッテイ</t>
    </rPh>
    <rPh sb="12" eb="14">
      <t>バアイ</t>
    </rPh>
    <rPh sb="15" eb="18">
      <t>トウショリ</t>
    </rPh>
    <rPh sb="19" eb="21">
      <t>フヨウ</t>
    </rPh>
    <phoneticPr fontId="8"/>
  </si>
  <si>
    <t>2．ページカウントと改ページ条件</t>
    <rPh sb="10" eb="11">
      <t>カイ</t>
    </rPh>
    <rPh sb="14" eb="16">
      <t>ジョウケン</t>
    </rPh>
    <phoneticPr fontId="8"/>
  </si>
  <si>
    <t>3．帳票出力サービスを呼び出す。</t>
    <rPh sb="2" eb="4">
      <t>チョウヒョウ</t>
    </rPh>
    <rPh sb="4" eb="6">
      <t>シュツリョク</t>
    </rPh>
    <rPh sb="11" eb="12">
      <t>ヨ</t>
    </rPh>
    <rPh sb="13" eb="14">
      <t>ダ</t>
    </rPh>
    <phoneticPr fontId="8"/>
  </si>
  <si>
    <t>製品CD</t>
  </si>
  <si>
    <t>手配NO</t>
    <phoneticPr fontId="8"/>
  </si>
  <si>
    <t>先頭行から順番に設定していく</t>
  </si>
  <si>
    <t>業務担当CD</t>
    <rPh sb="0" eb="4">
      <t>ギョウムタントウ</t>
    </rPh>
    <phoneticPr fontId="8"/>
  </si>
  <si>
    <t>WEB受注(過去)</t>
    <phoneticPr fontId="8"/>
  </si>
  <si>
    <t>WEB受注明細(過去)</t>
    <phoneticPr fontId="8"/>
  </si>
  <si>
    <t>数量</t>
    <rPh sb="0" eb="2">
      <t>スウリョウ</t>
    </rPh>
    <phoneticPr fontId="8"/>
  </si>
  <si>
    <t>製品CD、得意先ＣＤを条件に前回の受注・受注明細を検索する。※受注日降順で抽出し、最初に一致したデータ</t>
    <rPh sb="5" eb="8">
      <t>トクイサキ</t>
    </rPh>
    <rPh sb="11" eb="13">
      <t>ジョウケン</t>
    </rPh>
    <rPh sb="14" eb="16">
      <t>ゼンカイ</t>
    </rPh>
    <rPh sb="17" eb="19">
      <t>ジュチュウ</t>
    </rPh>
    <phoneticPr fontId="8"/>
  </si>
  <si>
    <t>受注加工工程に工程ＣＤ＝"0050"(原紙巻取り)の仕様1　※原紙の巻M</t>
    <rPh sb="0" eb="2">
      <t>ジュチュウ</t>
    </rPh>
    <rPh sb="2" eb="6">
      <t>カコウコウテイ</t>
    </rPh>
    <rPh sb="7" eb="9">
      <t>コウテイ</t>
    </rPh>
    <rPh sb="26" eb="28">
      <t>シヨウ</t>
    </rPh>
    <rPh sb="31" eb="33">
      <t>ゲンシ</t>
    </rPh>
    <rPh sb="34" eb="35">
      <t>マキ</t>
    </rPh>
    <phoneticPr fontId="8"/>
  </si>
  <si>
    <t>トムソン工程の丁付けを取得</t>
    <rPh sb="4" eb="6">
      <t>コウテイ</t>
    </rPh>
    <phoneticPr fontId="8"/>
  </si>
  <si>
    <t>出来高実績（過去）の出来高数（取引単位数量の合計）を検索する。
検索条件：
　品目CD＝受注明細(過去).品目ＣＤ
　枝番１＝受注明細(過去).枝番１
　枝番２＝受注明細(過去).枝番２
　枝番３＝受注明細(過去).枝番３
　手配NO1＝受注明細(過去).手配NO1
　手配NO２＝受注明細(過去).手配NO２
　手配NO３＝受注明細(過去).手配NO３
　手配NO４＝受注明細(過去).手配NO４
・出来高数＞受注明細（過去）.数量の場合、”過剰”とする。
・出来高数＜受注明細（過去）.数量の場合、”ショート”とする。</t>
    <rPh sb="0" eb="3">
      <t>デキダカ</t>
    </rPh>
    <rPh sb="3" eb="5">
      <t>ジッセキ</t>
    </rPh>
    <rPh sb="6" eb="8">
      <t>カコ</t>
    </rPh>
    <rPh sb="10" eb="13">
      <t>デキダカ</t>
    </rPh>
    <rPh sb="13" eb="14">
      <t>スウ</t>
    </rPh>
    <rPh sb="15" eb="17">
      <t>トリヒキ</t>
    </rPh>
    <rPh sb="17" eb="19">
      <t>タンイ</t>
    </rPh>
    <rPh sb="19" eb="21">
      <t>スウリョウ</t>
    </rPh>
    <rPh sb="22" eb="24">
      <t>ゴウケイ</t>
    </rPh>
    <rPh sb="26" eb="28">
      <t>ケンサク</t>
    </rPh>
    <rPh sb="32" eb="34">
      <t>ケンサク</t>
    </rPh>
    <rPh sb="34" eb="36">
      <t>ジョウケン</t>
    </rPh>
    <rPh sb="39" eb="41">
      <t>ヒンモク</t>
    </rPh>
    <rPh sb="44" eb="46">
      <t>ジュチュウ</t>
    </rPh>
    <rPh sb="46" eb="48">
      <t>メイサイ</t>
    </rPh>
    <rPh sb="49" eb="51">
      <t>カコ</t>
    </rPh>
    <rPh sb="59" eb="61">
      <t>エダバン</t>
    </rPh>
    <rPh sb="116" eb="118">
      <t>テハイ</t>
    </rPh>
    <rPh sb="194" eb="196">
      <t>テハイ</t>
    </rPh>
    <rPh sb="202" eb="206">
      <t>デキダカスウ</t>
    </rPh>
    <rPh sb="207" eb="209">
      <t>ジュチュウ</t>
    </rPh>
    <rPh sb="209" eb="211">
      <t>メイサイ</t>
    </rPh>
    <rPh sb="212" eb="214">
      <t>カコ</t>
    </rPh>
    <rPh sb="216" eb="218">
      <t>スウリョウ</t>
    </rPh>
    <rPh sb="219" eb="221">
      <t>バアイ</t>
    </rPh>
    <rPh sb="223" eb="225">
      <t>カジョウ</t>
    </rPh>
    <phoneticPr fontId="8"/>
  </si>
  <si>
    <t>納品先CD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</si>
</sst>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</numFmts>
  <fonts count="9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0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theme="0" tint="-0.499984740745262"/>
      <name val="Meiryo UI"/>
      <family val="3"/>
      <charset val="128"/>
    </font>
    <font>
      <sz val="9"/>
      <color rgb="FF0000FF"/>
      <name val="Meiryo UI"/>
      <family val="3"/>
      <charset val="128"/>
    </font>
    <font>
      <sz val="9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name val="Microsoft YaHei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9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7494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4" fillId="0" borderId="0"/>
    <xf numFmtId="0" fontId="6" fillId="0" borderId="0"/>
    <xf numFmtId="0" fontId="6" fillId="0" borderId="0">
      <alignment vertical="center"/>
    </xf>
    <xf numFmtId="0" fontId="24" fillId="0" borderId="0"/>
    <xf numFmtId="0" fontId="11" fillId="0" borderId="0">
      <alignment vertical="top" wrapText="1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179" fontId="37" fillId="0" borderId="0" applyFill="0" applyBorder="0" applyAlignment="0"/>
    <xf numFmtId="0" fontId="38" fillId="0" borderId="11" applyNumberFormat="0" applyAlignment="0" applyProtection="0">
      <alignment horizontal="left" vertical="center"/>
    </xf>
    <xf numFmtId="0" fontId="38" fillId="0" borderId="2">
      <alignment horizontal="left" vertical="center"/>
    </xf>
    <xf numFmtId="0" fontId="39" fillId="0" borderId="0"/>
    <xf numFmtId="0" fontId="40" fillId="0" borderId="0" applyNumberFormat="0" applyFont="0" applyFill="0" applyBorder="0" applyAlignment="0" applyProtection="0">
      <alignment horizontal="left"/>
    </xf>
    <xf numFmtId="0" fontId="41" fillId="0" borderId="7">
      <alignment horizontal="center"/>
    </xf>
    <xf numFmtId="0" fontId="21" fillId="0" borderId="0">
      <alignment wrapText="1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12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44" fillId="20" borderId="35" applyNumberFormat="0" applyAlignment="0" applyProtection="0">
      <alignment vertical="center"/>
    </xf>
    <xf numFmtId="0" fontId="44" fillId="20" borderId="35" applyNumberFormat="0" applyAlignment="0" applyProtection="0">
      <alignment vertical="center"/>
    </xf>
    <xf numFmtId="0" fontId="44" fillId="20" borderId="3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3" fillId="20" borderId="40" applyNumberFormat="0" applyAlignment="0" applyProtection="0">
      <alignment vertical="center"/>
    </xf>
    <xf numFmtId="0" fontId="33" fillId="20" borderId="40" applyNumberFormat="0" applyAlignment="0" applyProtection="0">
      <alignment vertical="center"/>
    </xf>
    <xf numFmtId="0" fontId="33" fillId="20" borderId="40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35" applyNumberFormat="0" applyAlignment="0" applyProtection="0">
      <alignment vertical="center"/>
    </xf>
    <xf numFmtId="0" fontId="35" fillId="12" borderId="35" applyNumberFormat="0" applyAlignment="0" applyProtection="0">
      <alignment vertical="center"/>
    </xf>
    <xf numFmtId="0" fontId="35" fillId="12" borderId="35" applyNumberFormat="0" applyAlignment="0" applyProtection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6" fillId="0" borderId="0"/>
    <xf numFmtId="0" fontId="6" fillId="0" borderId="0"/>
    <xf numFmtId="0" fontId="48" fillId="0" borderId="0"/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9" fillId="0" borderId="0"/>
    <xf numFmtId="0" fontId="12" fillId="0" borderId="0"/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1" fillId="8" borderId="33" applyNumberFormat="0" applyFont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5" applyNumberFormat="0" applyAlignment="0" applyProtection="0">
      <alignment vertical="center"/>
    </xf>
    <xf numFmtId="0" fontId="54" fillId="0" borderId="42" applyNumberFormat="0" applyFill="0" applyAlignment="0" applyProtection="0">
      <alignment vertical="center"/>
    </xf>
    <xf numFmtId="0" fontId="55" fillId="0" borderId="43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29" borderId="40" applyNumberFormat="0" applyAlignment="0" applyProtection="0">
      <alignment vertical="center"/>
    </xf>
    <xf numFmtId="0" fontId="35" fillId="10" borderId="35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9" fillId="0" borderId="0"/>
    <xf numFmtId="0" fontId="12" fillId="0" borderId="0"/>
    <xf numFmtId="38" fontId="59" fillId="0" borderId="0" applyFont="0" applyFill="0" applyBorder="0" applyAlignment="0" applyProtection="0"/>
    <xf numFmtId="0" fontId="11" fillId="0" borderId="0">
      <alignment vertical="top"/>
    </xf>
    <xf numFmtId="0" fontId="57" fillId="0" borderId="0">
      <alignment vertical="center"/>
    </xf>
    <xf numFmtId="38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60" fillId="0" borderId="0"/>
    <xf numFmtId="10" fontId="3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11" fillId="0" borderId="0"/>
    <xf numFmtId="0" fontId="11" fillId="0" borderId="0" applyNumberFormat="0"/>
    <xf numFmtId="0" fontId="58" fillId="0" borderId="0" applyBorder="0" applyAlignment="0"/>
    <xf numFmtId="0" fontId="11" fillId="0" borderId="0">
      <alignment vertical="top" wrapText="1"/>
    </xf>
    <xf numFmtId="0" fontId="26" fillId="0" borderId="0"/>
    <xf numFmtId="0" fontId="11" fillId="0" borderId="0" applyNumberFormat="0"/>
    <xf numFmtId="0" fontId="58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1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1" fillId="8" borderId="33" applyNumberFormat="0" applyFont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53" fillId="29" borderId="35" applyNumberFormat="0" applyAlignment="0" applyProtection="0">
      <alignment vertical="center"/>
    </xf>
    <xf numFmtId="0" fontId="54" fillId="0" borderId="42" applyNumberFormat="0" applyFill="0" applyAlignment="0" applyProtection="0">
      <alignment vertical="center"/>
    </xf>
    <xf numFmtId="0" fontId="55" fillId="0" borderId="43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29" borderId="40" applyNumberFormat="0" applyAlignment="0" applyProtection="0">
      <alignment vertical="center"/>
    </xf>
    <xf numFmtId="0" fontId="35" fillId="10" borderId="35" applyNumberForma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12" fillId="0" borderId="0"/>
    <xf numFmtId="0" fontId="49" fillId="0" borderId="0"/>
    <xf numFmtId="0" fontId="3" fillId="0" borderId="0">
      <alignment vertical="center"/>
    </xf>
    <xf numFmtId="0" fontId="11" fillId="0" borderId="0">
      <alignment vertical="top" wrapText="1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9" borderId="3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1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9" fillId="0" borderId="0"/>
    <xf numFmtId="0" fontId="26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7" fillId="0" borderId="0">
      <alignment vertical="center"/>
    </xf>
    <xf numFmtId="0" fontId="6" fillId="0" borderId="0"/>
    <xf numFmtId="0" fontId="24" fillId="0" borderId="0"/>
    <xf numFmtId="0" fontId="12" fillId="0" borderId="0"/>
    <xf numFmtId="0" fontId="12" fillId="0" borderId="0"/>
    <xf numFmtId="0" fontId="49" fillId="0" borderId="0"/>
    <xf numFmtId="0" fontId="49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1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11" fillId="0" borderId="0">
      <alignment vertical="top" wrapText="1"/>
    </xf>
    <xf numFmtId="0" fontId="26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41" fillId="0" borderId="7">
      <alignment horizont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38" fontId="2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65" fillId="0" borderId="0"/>
    <xf numFmtId="0" fontId="57" fillId="0" borderId="0">
      <alignment vertical="center"/>
    </xf>
    <xf numFmtId="0" fontId="65" fillId="0" borderId="0"/>
    <xf numFmtId="0" fontId="65" fillId="0" borderId="0"/>
    <xf numFmtId="0" fontId="11" fillId="0" borderId="0">
      <alignment vertical="top" wrapText="1"/>
    </xf>
    <xf numFmtId="0" fontId="11" fillId="0" borderId="0">
      <alignment vertical="top"/>
    </xf>
    <xf numFmtId="0" fontId="65" fillId="0" borderId="0"/>
    <xf numFmtId="0" fontId="11" fillId="0" borderId="0">
      <alignment vertical="top"/>
    </xf>
    <xf numFmtId="0" fontId="65" fillId="0" borderId="0"/>
    <xf numFmtId="0" fontId="65" fillId="0" borderId="0"/>
    <xf numFmtId="0" fontId="26" fillId="0" borderId="0"/>
    <xf numFmtId="0" fontId="11" fillId="0" borderId="0">
      <alignment vertical="top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7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4" fillId="0" borderId="0"/>
    <xf numFmtId="0" fontId="24" fillId="0" borderId="0"/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5" fillId="0" borderId="0"/>
    <xf numFmtId="0" fontId="65" fillId="0" borderId="0"/>
    <xf numFmtId="0" fontId="65" fillId="0" borderId="0"/>
    <xf numFmtId="0" fontId="6" fillId="0" borderId="0"/>
    <xf numFmtId="0" fontId="65" fillId="0" borderId="0"/>
    <xf numFmtId="0" fontId="65" fillId="0" borderId="0"/>
    <xf numFmtId="0" fontId="65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7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62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6" fillId="0" borderId="0" applyBorder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38" fontId="59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70" fillId="0" borderId="0"/>
    <xf numFmtId="0" fontId="7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7" fillId="0" borderId="0">
      <alignment vertical="center"/>
    </xf>
    <xf numFmtId="0" fontId="49" fillId="0" borderId="0"/>
    <xf numFmtId="0" fontId="26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7" fillId="0" borderId="0">
      <alignment vertical="center"/>
    </xf>
    <xf numFmtId="0" fontId="6" fillId="0" borderId="0"/>
    <xf numFmtId="0" fontId="24" fillId="0" borderId="0"/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49" fillId="0" borderId="0"/>
    <xf numFmtId="0" fontId="49" fillId="0" borderId="0"/>
    <xf numFmtId="0" fontId="11" fillId="0" borderId="0">
      <alignment vertical="top" wrapText="1"/>
    </xf>
    <xf numFmtId="0" fontId="26" fillId="0" borderId="0"/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11" fillId="0" borderId="0">
      <alignment vertical="top" wrapText="1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7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4" fillId="0" borderId="0"/>
    <xf numFmtId="0" fontId="70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7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/>
    <xf numFmtId="0" fontId="11" fillId="0" borderId="0">
      <alignment vertical="top"/>
    </xf>
  </cellStyleXfs>
  <cellXfs count="757">
    <xf numFmtId="0" fontId="0" fillId="0" borderId="0" xfId="0"/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5" borderId="12" xfId="7" applyFont="1" applyFill="1" applyBorder="1" applyAlignment="1">
      <alignment vertical="center"/>
    </xf>
    <xf numFmtId="0" fontId="15" fillId="35" borderId="14" xfId="7" applyFont="1" applyFill="1" applyBorder="1" applyAlignment="1">
      <alignment vertical="center"/>
    </xf>
    <xf numFmtId="0" fontId="15" fillId="35" borderId="15" xfId="7" applyFont="1" applyFill="1" applyBorder="1"/>
    <xf numFmtId="0" fontId="14" fillId="0" borderId="0" xfId="7" applyFont="1"/>
    <xf numFmtId="0" fontId="17" fillId="0" borderId="9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10" xfId="7" applyFont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9" fillId="0" borderId="0" xfId="57482" applyNumberFormat="1" applyFont="1" applyAlignment="1" applyProtection="1">
      <alignment vertical="center"/>
      <protection locked="0"/>
    </xf>
    <xf numFmtId="182" fontId="79" fillId="0" borderId="27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9" fillId="0" borderId="27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2" borderId="0" xfId="57485" applyFont="1" applyFill="1">
      <alignment vertical="center"/>
    </xf>
    <xf numFmtId="0" fontId="16" fillId="42" borderId="0" xfId="57485" applyFont="1" applyFill="1" applyAlignment="1">
      <alignment horizontal="center" vertical="center"/>
    </xf>
    <xf numFmtId="0" fontId="78" fillId="42" borderId="0" xfId="57485" applyFont="1" applyFill="1">
      <alignment vertical="center"/>
    </xf>
    <xf numFmtId="0" fontId="19" fillId="0" borderId="0" xfId="0" applyFont="1" applyAlignment="1">
      <alignment vertical="center"/>
    </xf>
    <xf numFmtId="0" fontId="87" fillId="0" borderId="0" xfId="57489" applyFont="1">
      <alignment vertical="center"/>
    </xf>
    <xf numFmtId="0" fontId="88" fillId="0" borderId="0" xfId="57489" applyFont="1">
      <alignment vertical="center"/>
    </xf>
    <xf numFmtId="0" fontId="89" fillId="0" borderId="0" xfId="57489" applyFont="1">
      <alignment vertical="center"/>
    </xf>
    <xf numFmtId="0" fontId="89" fillId="0" borderId="0" xfId="57489" quotePrefix="1" applyFont="1">
      <alignment vertical="center"/>
    </xf>
    <xf numFmtId="0" fontId="89" fillId="0" borderId="27" xfId="57489" applyFont="1" applyBorder="1">
      <alignment vertical="center"/>
    </xf>
    <xf numFmtId="0" fontId="88" fillId="0" borderId="28" xfId="57489" applyFont="1" applyBorder="1">
      <alignment vertical="center"/>
    </xf>
    <xf numFmtId="0" fontId="90" fillId="0" borderId="0" xfId="57489" applyFont="1">
      <alignment vertical="center"/>
    </xf>
    <xf numFmtId="0" fontId="89" fillId="45" borderId="26" xfId="57489" applyFont="1" applyFill="1" applyBorder="1">
      <alignment vertical="center"/>
    </xf>
    <xf numFmtId="0" fontId="89" fillId="45" borderId="1" xfId="57489" applyFont="1" applyFill="1" applyBorder="1">
      <alignment vertical="center"/>
    </xf>
    <xf numFmtId="0" fontId="89" fillId="0" borderId="1" xfId="57489" applyFont="1" applyBorder="1">
      <alignment vertical="center"/>
    </xf>
    <xf numFmtId="0" fontId="88" fillId="0" borderId="1" xfId="57489" applyFont="1" applyBorder="1">
      <alignment vertical="center"/>
    </xf>
    <xf numFmtId="0" fontId="88" fillId="0" borderId="25" xfId="57489" applyFont="1" applyBorder="1">
      <alignment vertical="center"/>
    </xf>
    <xf numFmtId="0" fontId="89" fillId="36" borderId="26" xfId="57489" applyFont="1" applyFill="1" applyBorder="1">
      <alignment vertical="center"/>
    </xf>
    <xf numFmtId="0" fontId="89" fillId="36" borderId="1" xfId="57489" applyFont="1" applyFill="1" applyBorder="1">
      <alignment vertical="center"/>
    </xf>
    <xf numFmtId="0" fontId="89" fillId="36" borderId="25" xfId="57489" applyFont="1" applyFill="1" applyBorder="1">
      <alignment vertical="center"/>
    </xf>
    <xf numFmtId="0" fontId="87" fillId="36" borderId="1" xfId="57489" applyFont="1" applyFill="1" applyBorder="1">
      <alignment vertical="center"/>
    </xf>
    <xf numFmtId="0" fontId="87" fillId="36" borderId="25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49" fontId="17" fillId="0" borderId="9" xfId="0" applyNumberFormat="1" applyFont="1" applyBorder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/>
    <xf numFmtId="0" fontId="17" fillId="0" borderId="55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49" fontId="17" fillId="0" borderId="27" xfId="0" applyNumberFormat="1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4" fillId="31" borderId="0" xfId="0" applyFont="1" applyFill="1"/>
    <xf numFmtId="0" fontId="14" fillId="31" borderId="0" xfId="0" applyFont="1" applyFill="1" applyAlignment="1">
      <alignment vertical="top"/>
    </xf>
    <xf numFmtId="0" fontId="14" fillId="31" borderId="0" xfId="0" applyFont="1" applyFill="1" applyAlignment="1">
      <alignment horizontal="center" vertical="center"/>
    </xf>
    <xf numFmtId="0" fontId="14" fillId="31" borderId="0" xfId="0" applyFont="1" applyFill="1" applyAlignment="1">
      <alignment vertical="center"/>
    </xf>
    <xf numFmtId="0" fontId="14" fillId="31" borderId="0" xfId="0" applyFont="1" applyFill="1" applyAlignment="1">
      <alignment vertical="center" wrapText="1"/>
    </xf>
    <xf numFmtId="49" fontId="17" fillId="0" borderId="19" xfId="0" applyNumberFormat="1" applyFont="1" applyBorder="1" applyAlignment="1">
      <alignment vertical="center"/>
    </xf>
    <xf numFmtId="49" fontId="17" fillId="0" borderId="28" xfId="0" applyNumberFormat="1" applyFont="1" applyBorder="1" applyAlignment="1">
      <alignment vertical="center"/>
    </xf>
    <xf numFmtId="49" fontId="17" fillId="0" borderId="26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7" fillId="0" borderId="25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17" fillId="0" borderId="0" xfId="0" quotePrefix="1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0" xfId="0" quotePrefix="1" applyFont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81" xfId="0" applyFont="1" applyBorder="1" applyAlignment="1">
      <alignment vertical="center"/>
    </xf>
    <xf numFmtId="0" fontId="17" fillId="0" borderId="80" xfId="0" applyFont="1" applyBorder="1" applyAlignment="1">
      <alignment vertical="center"/>
    </xf>
    <xf numFmtId="0" fontId="15" fillId="35" borderId="4" xfId="0" applyFont="1" applyFill="1" applyBorder="1" applyAlignment="1">
      <alignment vertical="center"/>
    </xf>
    <xf numFmtId="0" fontId="15" fillId="35" borderId="5" xfId="0" applyFont="1" applyFill="1" applyBorder="1" applyAlignment="1">
      <alignment vertical="center"/>
    </xf>
    <xf numFmtId="0" fontId="15" fillId="35" borderId="57" xfId="0" applyFont="1" applyFill="1" applyBorder="1"/>
    <xf numFmtId="0" fontId="15" fillId="34" borderId="5" xfId="0" applyFont="1" applyFill="1" applyBorder="1" applyAlignment="1">
      <alignment vertical="center"/>
    </xf>
    <xf numFmtId="0" fontId="19" fillId="34" borderId="19" xfId="0" applyFont="1" applyFill="1" applyBorder="1" applyAlignment="1">
      <alignment vertical="center"/>
    </xf>
    <xf numFmtId="0" fontId="19" fillId="47" borderId="4" xfId="0" applyFont="1" applyFill="1" applyBorder="1" applyAlignment="1">
      <alignment vertical="center"/>
    </xf>
    <xf numFmtId="0" fontId="19" fillId="47" borderId="29" xfId="0" applyFont="1" applyFill="1" applyBorder="1" applyAlignment="1">
      <alignment vertical="center"/>
    </xf>
    <xf numFmtId="0" fontId="19" fillId="47" borderId="56" xfId="0" applyFont="1" applyFill="1" applyBorder="1" applyAlignment="1">
      <alignment vertical="center"/>
    </xf>
    <xf numFmtId="0" fontId="19" fillId="47" borderId="5" xfId="0" applyFont="1" applyFill="1" applyBorder="1" applyAlignment="1">
      <alignment vertical="center"/>
    </xf>
    <xf numFmtId="0" fontId="19" fillId="47" borderId="17" xfId="0" applyFont="1" applyFill="1" applyBorder="1" applyAlignment="1">
      <alignment vertical="center"/>
    </xf>
    <xf numFmtId="0" fontId="19" fillId="47" borderId="14" xfId="0" applyFont="1" applyFill="1" applyBorder="1" applyAlignment="1">
      <alignment vertical="center"/>
    </xf>
    <xf numFmtId="0" fontId="19" fillId="47" borderId="16" xfId="0" applyFont="1" applyFill="1" applyBorder="1" applyAlignment="1">
      <alignment vertical="center"/>
    </xf>
    <xf numFmtId="0" fontId="19" fillId="47" borderId="57" xfId="0" applyFont="1" applyFill="1" applyBorder="1" applyAlignment="1">
      <alignment vertical="center"/>
    </xf>
    <xf numFmtId="0" fontId="19" fillId="47" borderId="74" xfId="0" applyFont="1" applyFill="1" applyBorder="1" applyAlignment="1">
      <alignment vertical="center"/>
    </xf>
    <xf numFmtId="0" fontId="19" fillId="47" borderId="25" xfId="0" applyFont="1" applyFill="1" applyBorder="1" applyAlignment="1">
      <alignment vertical="center"/>
    </xf>
    <xf numFmtId="0" fontId="19" fillId="47" borderId="26" xfId="0" applyFont="1" applyFill="1" applyBorder="1" applyAlignment="1">
      <alignment vertical="center"/>
    </xf>
    <xf numFmtId="0" fontId="19" fillId="47" borderId="1" xfId="0" applyFont="1" applyFill="1" applyBorder="1" applyAlignment="1">
      <alignment vertical="center"/>
    </xf>
    <xf numFmtId="0" fontId="19" fillId="47" borderId="80" xfId="0" applyFont="1" applyFill="1" applyBorder="1" applyAlignment="1">
      <alignment vertical="center"/>
    </xf>
    <xf numFmtId="0" fontId="17" fillId="0" borderId="82" xfId="0" applyFont="1" applyBorder="1" applyAlignment="1">
      <alignment vertical="center"/>
    </xf>
    <xf numFmtId="38" fontId="17" fillId="0" borderId="26" xfId="57491" applyFont="1" applyBorder="1" applyAlignment="1">
      <alignment horizontal="left" vertical="center" shrinkToFit="1"/>
    </xf>
    <xf numFmtId="38" fontId="17" fillId="0" borderId="25" xfId="57491" applyFont="1" applyBorder="1" applyAlignment="1">
      <alignment horizontal="left" vertical="center" shrinkToFit="1"/>
    </xf>
    <xf numFmtId="49" fontId="17" fillId="0" borderId="84" xfId="0" applyNumberFormat="1" applyFont="1" applyBorder="1" applyAlignment="1">
      <alignment vertical="center"/>
    </xf>
    <xf numFmtId="0" fontId="17" fillId="0" borderId="85" xfId="0" applyFont="1" applyBorder="1" applyAlignment="1">
      <alignment vertical="center"/>
    </xf>
    <xf numFmtId="0" fontId="17" fillId="0" borderId="84" xfId="0" applyFont="1" applyBorder="1" applyAlignment="1">
      <alignment vertical="center"/>
    </xf>
    <xf numFmtId="49" fontId="17" fillId="0" borderId="85" xfId="0" applyNumberFormat="1" applyFont="1" applyBorder="1" applyAlignment="1">
      <alignment vertical="center"/>
    </xf>
    <xf numFmtId="0" fontId="17" fillId="0" borderId="86" xfId="0" applyFont="1" applyBorder="1" applyAlignment="1">
      <alignment vertical="center"/>
    </xf>
    <xf numFmtId="0" fontId="17" fillId="0" borderId="87" xfId="0" applyFont="1" applyBorder="1" applyAlignment="1">
      <alignment vertical="center"/>
    </xf>
    <xf numFmtId="49" fontId="17" fillId="0" borderId="88" xfId="0" applyNumberFormat="1" applyFont="1" applyBorder="1" applyAlignment="1">
      <alignment vertical="center"/>
    </xf>
    <xf numFmtId="49" fontId="17" fillId="0" borderId="86" xfId="0" applyNumberFormat="1" applyFont="1" applyBorder="1" applyAlignment="1">
      <alignment vertical="center"/>
    </xf>
    <xf numFmtId="38" fontId="17" fillId="0" borderId="89" xfId="57491" applyFont="1" applyBorder="1" applyAlignment="1">
      <alignment horizontal="left" vertical="center" shrinkToFit="1"/>
    </xf>
    <xf numFmtId="0" fontId="17" fillId="0" borderId="89" xfId="0" applyFont="1" applyBorder="1" applyAlignment="1">
      <alignment vertical="center"/>
    </xf>
    <xf numFmtId="0" fontId="19" fillId="0" borderId="90" xfId="0" applyFont="1" applyBorder="1" applyAlignment="1">
      <alignment vertical="center"/>
    </xf>
    <xf numFmtId="0" fontId="17" fillId="0" borderId="90" xfId="0" applyFont="1" applyBorder="1" applyAlignment="1">
      <alignment vertical="center"/>
    </xf>
    <xf numFmtId="0" fontId="17" fillId="0" borderId="90" xfId="0" applyFont="1" applyBorder="1" applyAlignment="1">
      <alignment horizontal="center" vertical="center"/>
    </xf>
    <xf numFmtId="49" fontId="17" fillId="0" borderId="0" xfId="0" applyNumberFormat="1" applyFont="1" applyAlignment="1">
      <alignment vertical="center"/>
    </xf>
    <xf numFmtId="0" fontId="89" fillId="0" borderId="89" xfId="57489" applyFont="1" applyBorder="1">
      <alignment vertical="center"/>
    </xf>
    <xf numFmtId="0" fontId="88" fillId="0" borderId="90" xfId="57489" applyFont="1" applyBorder="1">
      <alignment vertical="center"/>
    </xf>
    <xf numFmtId="0" fontId="89" fillId="0" borderId="90" xfId="57489" applyFont="1" applyBorder="1">
      <alignment vertical="center"/>
    </xf>
    <xf numFmtId="0" fontId="88" fillId="0" borderId="86" xfId="57489" applyFont="1" applyBorder="1">
      <alignment vertical="center"/>
    </xf>
    <xf numFmtId="0" fontId="89" fillId="36" borderId="89" xfId="57489" applyFont="1" applyFill="1" applyBorder="1">
      <alignment vertical="center"/>
    </xf>
    <xf numFmtId="0" fontId="89" fillId="36" borderId="90" xfId="57489" applyFont="1" applyFill="1" applyBorder="1">
      <alignment vertical="center"/>
    </xf>
    <xf numFmtId="0" fontId="89" fillId="36" borderId="86" xfId="57489" applyFont="1" applyFill="1" applyBorder="1">
      <alignment vertical="center"/>
    </xf>
    <xf numFmtId="0" fontId="89" fillId="36" borderId="85" xfId="57489" applyFont="1" applyFill="1" applyBorder="1">
      <alignment vertical="center"/>
    </xf>
    <xf numFmtId="0" fontId="89" fillId="36" borderId="84" xfId="57489" applyFont="1" applyFill="1" applyBorder="1">
      <alignment vertical="center"/>
    </xf>
    <xf numFmtId="0" fontId="87" fillId="36" borderId="84" xfId="57489" applyFont="1" applyFill="1" applyBorder="1">
      <alignment vertical="center"/>
    </xf>
    <xf numFmtId="0" fontId="89" fillId="0" borderId="85" xfId="57489" applyFont="1" applyBorder="1">
      <alignment vertical="center"/>
    </xf>
    <xf numFmtId="0" fontId="89" fillId="0" borderId="84" xfId="57489" applyFont="1" applyBorder="1">
      <alignment vertical="center"/>
    </xf>
    <xf numFmtId="0" fontId="87" fillId="0" borderId="84" xfId="57489" applyFont="1" applyBorder="1">
      <alignment vertical="center"/>
    </xf>
    <xf numFmtId="0" fontId="89" fillId="45" borderId="85" xfId="57489" applyFont="1" applyFill="1" applyBorder="1">
      <alignment vertical="center"/>
    </xf>
    <xf numFmtId="0" fontId="89" fillId="45" borderId="84" xfId="57489" applyFont="1" applyFill="1" applyBorder="1">
      <alignment vertical="center"/>
    </xf>
    <xf numFmtId="0" fontId="87" fillId="45" borderId="84" xfId="57489" applyFont="1" applyFill="1" applyBorder="1">
      <alignment vertical="center"/>
    </xf>
    <xf numFmtId="0" fontId="17" fillId="0" borderId="90" xfId="0" applyFont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38" fontId="17" fillId="0" borderId="84" xfId="57491" applyFont="1" applyBorder="1" applyAlignment="1">
      <alignment vertical="center" shrinkToFit="1"/>
    </xf>
    <xf numFmtId="38" fontId="17" fillId="0" borderId="86" xfId="57491" applyFont="1" applyBorder="1" applyAlignment="1">
      <alignment horizontal="left" vertical="center" shrinkToFit="1"/>
    </xf>
    <xf numFmtId="0" fontId="17" fillId="0" borderId="88" xfId="0" applyFont="1" applyBorder="1" applyAlignment="1">
      <alignment vertical="center"/>
    </xf>
    <xf numFmtId="0" fontId="19" fillId="33" borderId="85" xfId="0" applyFont="1" applyFill="1" applyBorder="1" applyAlignment="1">
      <alignment vertical="center"/>
    </xf>
    <xf numFmtId="0" fontId="19" fillId="33" borderId="84" xfId="0" applyFont="1" applyFill="1" applyBorder="1" applyAlignment="1">
      <alignment vertical="center"/>
    </xf>
    <xf numFmtId="0" fontId="19" fillId="0" borderId="55" xfId="0" applyFont="1" applyBorder="1" applyAlignment="1">
      <alignment vertical="center"/>
    </xf>
    <xf numFmtId="0" fontId="19" fillId="34" borderId="91" xfId="0" applyFont="1" applyFill="1" applyBorder="1" applyAlignment="1">
      <alignment vertical="center"/>
    </xf>
    <xf numFmtId="0" fontId="17" fillId="0" borderId="91" xfId="0" applyFont="1" applyBorder="1" applyAlignment="1">
      <alignment vertical="center"/>
    </xf>
    <xf numFmtId="0" fontId="89" fillId="36" borderId="92" xfId="57489" applyFont="1" applyFill="1" applyBorder="1">
      <alignment vertical="center"/>
    </xf>
    <xf numFmtId="0" fontId="87" fillId="36" borderId="92" xfId="57489" applyFont="1" applyFill="1" applyBorder="1">
      <alignment vertical="center"/>
    </xf>
    <xf numFmtId="0" fontId="89" fillId="0" borderId="92" xfId="57489" applyFont="1" applyBorder="1">
      <alignment vertical="center"/>
    </xf>
    <xf numFmtId="0" fontId="87" fillId="0" borderId="92" xfId="57489" applyFont="1" applyBorder="1">
      <alignment vertical="center"/>
    </xf>
    <xf numFmtId="0" fontId="89" fillId="45" borderId="92" xfId="57489" applyFont="1" applyFill="1" applyBorder="1">
      <alignment vertical="center"/>
    </xf>
    <xf numFmtId="0" fontId="87" fillId="45" borderId="92" xfId="57489" applyFont="1" applyFill="1" applyBorder="1">
      <alignment vertical="center"/>
    </xf>
    <xf numFmtId="0" fontId="19" fillId="34" borderId="92" xfId="0" applyFont="1" applyFill="1" applyBorder="1" applyAlignment="1">
      <alignment vertical="center"/>
    </xf>
    <xf numFmtId="0" fontId="19" fillId="0" borderId="92" xfId="0" applyFont="1" applyBorder="1" applyAlignment="1">
      <alignment vertical="center"/>
    </xf>
    <xf numFmtId="0" fontId="17" fillId="0" borderId="92" xfId="0" applyFont="1" applyBorder="1" applyAlignment="1">
      <alignment vertical="center"/>
    </xf>
    <xf numFmtId="0" fontId="17" fillId="0" borderId="92" xfId="0" applyFont="1" applyBorder="1" applyAlignment="1">
      <alignment horizontal="center" vertical="center"/>
    </xf>
    <xf numFmtId="0" fontId="19" fillId="33" borderId="92" xfId="0" applyFont="1" applyFill="1" applyBorder="1" applyAlignment="1">
      <alignment vertical="center"/>
    </xf>
    <xf numFmtId="49" fontId="17" fillId="0" borderId="92" xfId="0" applyNumberFormat="1" applyFont="1" applyBorder="1" applyAlignment="1">
      <alignment vertical="center"/>
    </xf>
    <xf numFmtId="0" fontId="17" fillId="0" borderId="83" xfId="0" applyFont="1" applyBorder="1" applyAlignment="1">
      <alignment vertical="center"/>
    </xf>
    <xf numFmtId="49" fontId="17" fillId="0" borderId="90" xfId="0" applyNumberFormat="1" applyFont="1" applyBorder="1" applyAlignment="1">
      <alignment vertical="center"/>
    </xf>
    <xf numFmtId="0" fontId="92" fillId="0" borderId="0" xfId="0" applyFont="1" applyAlignment="1">
      <alignment vertical="center"/>
    </xf>
    <xf numFmtId="0" fontId="17" fillId="46" borderId="89" xfId="0" applyFont="1" applyFill="1" applyBorder="1" applyAlignment="1">
      <alignment vertical="center"/>
    </xf>
    <xf numFmtId="0" fontId="17" fillId="46" borderId="90" xfId="0" applyFont="1" applyFill="1" applyBorder="1" applyAlignment="1">
      <alignment vertical="center"/>
    </xf>
    <xf numFmtId="0" fontId="17" fillId="46" borderId="86" xfId="0" applyFont="1" applyFill="1" applyBorder="1" applyAlignment="1">
      <alignment vertical="center"/>
    </xf>
    <xf numFmtId="0" fontId="17" fillId="46" borderId="90" xfId="0" applyFont="1" applyFill="1" applyBorder="1" applyAlignment="1">
      <alignment vertical="center" wrapText="1"/>
    </xf>
    <xf numFmtId="0" fontId="17" fillId="46" borderId="26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/>
    </xf>
    <xf numFmtId="0" fontId="17" fillId="46" borderId="25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 wrapText="1"/>
    </xf>
    <xf numFmtId="49" fontId="81" fillId="40" borderId="93" xfId="0" applyNumberFormat="1" applyFont="1" applyFill="1" applyBorder="1" applyAlignment="1">
      <alignment vertical="center" shrinkToFit="1"/>
    </xf>
    <xf numFmtId="49" fontId="19" fillId="40" borderId="94" xfId="0" applyNumberFormat="1" applyFont="1" applyFill="1" applyBorder="1" applyAlignment="1">
      <alignment vertical="center"/>
    </xf>
    <xf numFmtId="49" fontId="19" fillId="40" borderId="95" xfId="0" applyNumberFormat="1" applyFont="1" applyFill="1" applyBorder="1" applyAlignment="1">
      <alignment vertical="center"/>
    </xf>
    <xf numFmtId="49" fontId="19" fillId="40" borderId="96" xfId="0" applyNumberFormat="1" applyFont="1" applyFill="1" applyBorder="1" applyAlignment="1">
      <alignment vertical="center"/>
    </xf>
    <xf numFmtId="49" fontId="17" fillId="0" borderId="97" xfId="0" applyNumberFormat="1" applyFont="1" applyBorder="1" applyAlignment="1">
      <alignment vertical="center" shrinkToFit="1"/>
    </xf>
    <xf numFmtId="49" fontId="19" fillId="41" borderId="92" xfId="0" applyNumberFormat="1" applyFont="1" applyFill="1" applyBorder="1" applyAlignment="1">
      <alignment vertical="center"/>
    </xf>
    <xf numFmtId="49" fontId="17" fillId="41" borderId="92" xfId="0" applyNumberFormat="1" applyFont="1" applyFill="1" applyBorder="1" applyAlignment="1">
      <alignment vertical="center"/>
    </xf>
    <xf numFmtId="49" fontId="17" fillId="41" borderId="91" xfId="0" applyNumberFormat="1" applyFont="1" applyFill="1" applyBorder="1" applyAlignment="1">
      <alignment vertical="center"/>
    </xf>
    <xf numFmtId="49" fontId="93" fillId="0" borderId="0" xfId="57490" applyNumberFormat="1" applyFont="1">
      <alignment vertical="center"/>
    </xf>
    <xf numFmtId="49" fontId="93" fillId="0" borderId="0" xfId="0" applyNumberFormat="1" applyFont="1" applyAlignment="1">
      <alignment vertical="center"/>
    </xf>
    <xf numFmtId="49" fontId="17" fillId="0" borderId="10" xfId="0" applyNumberFormat="1" applyFont="1" applyBorder="1" applyAlignment="1">
      <alignment vertical="center"/>
    </xf>
    <xf numFmtId="49" fontId="17" fillId="0" borderId="0" xfId="57490" applyNumberFormat="1" applyFont="1">
      <alignment vertical="center"/>
    </xf>
    <xf numFmtId="0" fontId="17" fillId="0" borderId="9" xfId="0" applyFont="1" applyBorder="1" applyAlignment="1">
      <alignment vertical="center" shrinkToFit="1"/>
    </xf>
    <xf numFmtId="49" fontId="17" fillId="0" borderId="9" xfId="0" applyNumberFormat="1" applyFont="1" applyBorder="1" applyAlignment="1">
      <alignment vertical="center" shrinkToFit="1"/>
    </xf>
    <xf numFmtId="0" fontId="17" fillId="0" borderId="6" xfId="0" applyFont="1" applyBorder="1" applyAlignment="1">
      <alignment vertical="center" shrinkToFit="1"/>
    </xf>
    <xf numFmtId="0" fontId="17" fillId="0" borderId="31" xfId="0" applyFont="1" applyBorder="1" applyAlignment="1">
      <alignment vertical="center"/>
    </xf>
    <xf numFmtId="0" fontId="17" fillId="0" borderId="30" xfId="0" applyFont="1" applyBorder="1" applyAlignment="1">
      <alignment vertical="center"/>
    </xf>
    <xf numFmtId="0" fontId="17" fillId="0" borderId="0" xfId="0" applyFont="1" applyAlignment="1">
      <alignment vertical="center" shrinkToFit="1"/>
    </xf>
    <xf numFmtId="0" fontId="16" fillId="31" borderId="0" xfId="0" applyFont="1" applyFill="1"/>
    <xf numFmtId="0" fontId="16" fillId="31" borderId="0" xfId="0" applyFont="1" applyFill="1" applyAlignment="1">
      <alignment vertical="top"/>
    </xf>
    <xf numFmtId="0" fontId="18" fillId="31" borderId="0" xfId="0" applyFont="1" applyFill="1" applyAlignment="1">
      <alignment vertical="top"/>
    </xf>
    <xf numFmtId="0" fontId="16" fillId="31" borderId="0" xfId="0" applyFont="1" applyFill="1" applyAlignment="1">
      <alignment vertical="center"/>
    </xf>
    <xf numFmtId="0" fontId="16" fillId="31" borderId="0" xfId="0" applyFont="1" applyFill="1" applyAlignment="1">
      <alignment horizontal="center" vertical="center"/>
    </xf>
    <xf numFmtId="0" fontId="16" fillId="31" borderId="0" xfId="0" applyFont="1" applyFill="1" applyAlignment="1">
      <alignment vertical="center" wrapText="1"/>
    </xf>
    <xf numFmtId="0" fontId="14" fillId="31" borderId="0" xfId="0" quotePrefix="1" applyFont="1" applyFill="1" applyAlignment="1">
      <alignment horizontal="center" vertical="top"/>
    </xf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91" fillId="0" borderId="0" xfId="0" applyFont="1"/>
    <xf numFmtId="0" fontId="17" fillId="0" borderId="0" xfId="0" quotePrefix="1" applyFont="1"/>
    <xf numFmtId="0" fontId="23" fillId="0" borderId="0" xfId="0" applyFont="1" applyAlignment="1">
      <alignment vertical="center"/>
    </xf>
    <xf numFmtId="49" fontId="17" fillId="48" borderId="88" xfId="0" applyNumberFormat="1" applyFont="1" applyFill="1" applyBorder="1" applyAlignment="1">
      <alignment vertical="center"/>
    </xf>
    <xf numFmtId="49" fontId="17" fillId="48" borderId="86" xfId="0" applyNumberFormat="1" applyFont="1" applyFill="1" applyBorder="1" applyAlignment="1">
      <alignment vertical="center"/>
    </xf>
    <xf numFmtId="0" fontId="17" fillId="48" borderId="89" xfId="0" applyFont="1" applyFill="1" applyBorder="1" applyAlignment="1">
      <alignment vertical="center"/>
    </xf>
    <xf numFmtId="0" fontId="19" fillId="48" borderId="90" xfId="0" applyFont="1" applyFill="1" applyBorder="1" applyAlignment="1">
      <alignment vertical="center"/>
    </xf>
    <xf numFmtId="0" fontId="17" fillId="48" borderId="90" xfId="0" applyFont="1" applyFill="1" applyBorder="1" applyAlignment="1">
      <alignment vertical="center"/>
    </xf>
    <xf numFmtId="0" fontId="17" fillId="48" borderId="90" xfId="0" applyFont="1" applyFill="1" applyBorder="1" applyAlignment="1">
      <alignment horizontal="center" vertical="center"/>
    </xf>
    <xf numFmtId="0" fontId="17" fillId="48" borderId="86" xfId="0" applyFont="1" applyFill="1" applyBorder="1" applyAlignment="1">
      <alignment vertical="center"/>
    </xf>
    <xf numFmtId="38" fontId="17" fillId="48" borderId="89" xfId="57491" applyFont="1" applyFill="1" applyBorder="1" applyAlignment="1">
      <alignment horizontal="left" vertical="center" shrinkToFit="1"/>
    </xf>
    <xf numFmtId="38" fontId="17" fillId="48" borderId="86" xfId="57491" applyFont="1" applyFill="1" applyBorder="1" applyAlignment="1">
      <alignment horizontal="left" vertical="center" shrinkToFit="1"/>
    </xf>
    <xf numFmtId="0" fontId="17" fillId="48" borderId="26" xfId="0" applyFont="1" applyFill="1" applyBorder="1" applyAlignment="1">
      <alignment vertical="center"/>
    </xf>
    <xf numFmtId="0" fontId="17" fillId="48" borderId="87" xfId="0" applyFont="1" applyFill="1" applyBorder="1" applyAlignment="1">
      <alignment vertical="center"/>
    </xf>
    <xf numFmtId="49" fontId="17" fillId="48" borderId="19" xfId="0" applyNumberFormat="1" applyFont="1" applyFill="1" applyBorder="1" applyAlignment="1">
      <alignment vertical="center"/>
    </xf>
    <xf numFmtId="49" fontId="17" fillId="48" borderId="84" xfId="0" applyNumberFormat="1" applyFont="1" applyFill="1" applyBorder="1" applyAlignment="1">
      <alignment vertical="center"/>
    </xf>
    <xf numFmtId="0" fontId="19" fillId="48" borderId="92" xfId="0" applyFont="1" applyFill="1" applyBorder="1" applyAlignment="1">
      <alignment vertical="center"/>
    </xf>
    <xf numFmtId="0" fontId="17" fillId="48" borderId="92" xfId="0" applyFont="1" applyFill="1" applyBorder="1" applyAlignment="1">
      <alignment vertical="center"/>
    </xf>
    <xf numFmtId="0" fontId="17" fillId="48" borderId="92" xfId="0" applyFont="1" applyFill="1" applyBorder="1" applyAlignment="1">
      <alignment horizontal="center" vertical="center"/>
    </xf>
    <xf numFmtId="0" fontId="17" fillId="48" borderId="84" xfId="0" applyFont="1" applyFill="1" applyBorder="1" applyAlignment="1">
      <alignment vertical="center"/>
    </xf>
    <xf numFmtId="0" fontId="17" fillId="48" borderId="85" xfId="0" applyFont="1" applyFill="1" applyBorder="1" applyAlignment="1">
      <alignment vertical="center"/>
    </xf>
    <xf numFmtId="49" fontId="17" fillId="48" borderId="85" xfId="0" applyNumberFormat="1" applyFont="1" applyFill="1" applyBorder="1" applyAlignment="1">
      <alignment vertical="center"/>
    </xf>
    <xf numFmtId="38" fontId="17" fillId="48" borderId="84" xfId="57491" applyFont="1" applyFill="1" applyBorder="1" applyAlignment="1">
      <alignment vertical="center" shrinkToFit="1"/>
    </xf>
    <xf numFmtId="0" fontId="17" fillId="48" borderId="91" xfId="0" applyFont="1" applyFill="1" applyBorder="1" applyAlignment="1">
      <alignment vertical="center"/>
    </xf>
    <xf numFmtId="49" fontId="17" fillId="48" borderId="92" xfId="0" applyNumberFormat="1" applyFont="1" applyFill="1" applyBorder="1" applyAlignment="1">
      <alignment vertical="center"/>
    </xf>
    <xf numFmtId="0" fontId="17" fillId="48" borderId="83" xfId="0" applyFont="1" applyFill="1" applyBorder="1" applyAlignment="1">
      <alignment vertical="center"/>
    </xf>
    <xf numFmtId="49" fontId="17" fillId="48" borderId="9" xfId="0" applyNumberFormat="1" applyFont="1" applyFill="1" applyBorder="1" applyAlignment="1">
      <alignment vertical="center"/>
    </xf>
    <xf numFmtId="49" fontId="17" fillId="48" borderId="0" xfId="0" applyNumberFormat="1" applyFont="1" applyFill="1" applyAlignment="1">
      <alignment vertical="center"/>
    </xf>
    <xf numFmtId="0" fontId="19" fillId="48" borderId="0" xfId="0" applyFont="1" applyFill="1" applyAlignment="1">
      <alignment vertical="center"/>
    </xf>
    <xf numFmtId="0" fontId="17" fillId="48" borderId="0" xfId="0" applyFont="1" applyFill="1" applyAlignment="1">
      <alignment vertical="center"/>
    </xf>
    <xf numFmtId="0" fontId="17" fillId="48" borderId="0" xfId="0" applyFont="1" applyFill="1" applyAlignment="1">
      <alignment horizontal="center" vertical="center"/>
    </xf>
    <xf numFmtId="0" fontId="17" fillId="48" borderId="28" xfId="0" applyFont="1" applyFill="1" applyBorder="1" applyAlignment="1">
      <alignment vertical="center"/>
    </xf>
    <xf numFmtId="0" fontId="17" fillId="48" borderId="27" xfId="0" applyFont="1" applyFill="1" applyBorder="1" applyAlignment="1">
      <alignment vertical="center"/>
    </xf>
    <xf numFmtId="49" fontId="17" fillId="48" borderId="27" xfId="0" applyNumberFormat="1" applyFont="1" applyFill="1" applyBorder="1" applyAlignment="1">
      <alignment vertical="center"/>
    </xf>
    <xf numFmtId="49" fontId="17" fillId="48" borderId="28" xfId="0" applyNumberFormat="1" applyFont="1" applyFill="1" applyBorder="1" applyAlignment="1">
      <alignment vertical="center"/>
    </xf>
    <xf numFmtId="0" fontId="17" fillId="48" borderId="82" xfId="0" applyFont="1" applyFill="1" applyBorder="1" applyAlignment="1">
      <alignment vertical="center"/>
    </xf>
    <xf numFmtId="49" fontId="17" fillId="49" borderId="88" xfId="0" applyNumberFormat="1" applyFont="1" applyFill="1" applyBorder="1" applyAlignment="1">
      <alignment vertical="center"/>
    </xf>
    <xf numFmtId="49" fontId="17" fillId="49" borderId="86" xfId="0" applyNumberFormat="1" applyFont="1" applyFill="1" applyBorder="1" applyAlignment="1">
      <alignment vertical="center"/>
    </xf>
    <xf numFmtId="0" fontId="17" fillId="49" borderId="89" xfId="0" applyFont="1" applyFill="1" applyBorder="1" applyAlignment="1">
      <alignment vertical="center"/>
    </xf>
    <xf numFmtId="0" fontId="19" fillId="49" borderId="90" xfId="0" applyFont="1" applyFill="1" applyBorder="1" applyAlignment="1">
      <alignment vertical="center"/>
    </xf>
    <xf numFmtId="0" fontId="17" fillId="49" borderId="90" xfId="0" applyFont="1" applyFill="1" applyBorder="1" applyAlignment="1">
      <alignment vertical="center"/>
    </xf>
    <xf numFmtId="0" fontId="17" fillId="49" borderId="90" xfId="0" applyFont="1" applyFill="1" applyBorder="1" applyAlignment="1">
      <alignment horizontal="center" vertical="center"/>
    </xf>
    <xf numFmtId="0" fontId="17" fillId="49" borderId="86" xfId="0" applyFont="1" applyFill="1" applyBorder="1" applyAlignment="1">
      <alignment vertical="center"/>
    </xf>
    <xf numFmtId="38" fontId="17" fillId="49" borderId="89" xfId="57491" applyFont="1" applyFill="1" applyBorder="1" applyAlignment="1">
      <alignment horizontal="left" vertical="center" shrinkToFit="1"/>
    </xf>
    <xf numFmtId="38" fontId="17" fillId="49" borderId="86" xfId="57491" applyFont="1" applyFill="1" applyBorder="1" applyAlignment="1">
      <alignment horizontal="left" vertical="center" shrinkToFit="1"/>
    </xf>
    <xf numFmtId="0" fontId="17" fillId="49" borderId="87" xfId="0" applyFont="1" applyFill="1" applyBorder="1" applyAlignment="1">
      <alignment vertical="center"/>
    </xf>
    <xf numFmtId="49" fontId="17" fillId="49" borderId="84" xfId="0" applyNumberFormat="1" applyFont="1" applyFill="1" applyBorder="1" applyAlignment="1">
      <alignment vertical="center"/>
    </xf>
    <xf numFmtId="0" fontId="17" fillId="49" borderId="85" xfId="0" applyFont="1" applyFill="1" applyBorder="1" applyAlignment="1">
      <alignment vertical="center"/>
    </xf>
    <xf numFmtId="0" fontId="19" fillId="49" borderId="92" xfId="0" applyFont="1" applyFill="1" applyBorder="1" applyAlignment="1">
      <alignment vertical="center"/>
    </xf>
    <xf numFmtId="0" fontId="17" fillId="49" borderId="92" xfId="0" applyFont="1" applyFill="1" applyBorder="1" applyAlignment="1">
      <alignment vertical="center"/>
    </xf>
    <xf numFmtId="0" fontId="17" fillId="49" borderId="92" xfId="0" applyFont="1" applyFill="1" applyBorder="1" applyAlignment="1">
      <alignment horizontal="center" vertical="center"/>
    </xf>
    <xf numFmtId="0" fontId="17" fillId="49" borderId="84" xfId="0" applyFont="1" applyFill="1" applyBorder="1" applyAlignment="1">
      <alignment vertical="center"/>
    </xf>
    <xf numFmtId="0" fontId="17" fillId="49" borderId="91" xfId="0" applyFont="1" applyFill="1" applyBorder="1" applyAlignment="1">
      <alignment vertical="center"/>
    </xf>
    <xf numFmtId="49" fontId="17" fillId="49" borderId="85" xfId="0" applyNumberFormat="1" applyFont="1" applyFill="1" applyBorder="1" applyAlignment="1">
      <alignment vertical="center"/>
    </xf>
    <xf numFmtId="38" fontId="17" fillId="49" borderId="84" xfId="57491" applyFont="1" applyFill="1" applyBorder="1" applyAlignment="1">
      <alignment vertical="center" shrinkToFit="1"/>
    </xf>
    <xf numFmtId="49" fontId="17" fillId="49" borderId="19" xfId="0" applyNumberFormat="1" applyFont="1" applyFill="1" applyBorder="1" applyAlignment="1">
      <alignment vertical="center"/>
    </xf>
    <xf numFmtId="0" fontId="17" fillId="49" borderId="26" xfId="0" applyFont="1" applyFill="1" applyBorder="1" applyAlignment="1">
      <alignment vertical="center"/>
    </xf>
    <xf numFmtId="0" fontId="20" fillId="49" borderId="89" xfId="0" applyFont="1" applyFill="1" applyBorder="1" applyAlignment="1">
      <alignment vertical="center"/>
    </xf>
    <xf numFmtId="49" fontId="17" fillId="49" borderId="20" xfId="0" applyNumberFormat="1" applyFont="1" applyFill="1" applyBorder="1" applyAlignment="1">
      <alignment vertical="center"/>
    </xf>
    <xf numFmtId="49" fontId="17" fillId="49" borderId="18" xfId="0" applyNumberFormat="1" applyFont="1" applyFill="1" applyBorder="1" applyAlignment="1">
      <alignment vertical="center"/>
    </xf>
    <xf numFmtId="0" fontId="17" fillId="49" borderId="23" xfId="0" applyFont="1" applyFill="1" applyBorder="1" applyAlignment="1">
      <alignment vertical="center"/>
    </xf>
    <xf numFmtId="0" fontId="19" fillId="49" borderId="21" xfId="0" applyFont="1" applyFill="1" applyBorder="1" applyAlignment="1">
      <alignment vertical="center"/>
    </xf>
    <xf numFmtId="0" fontId="17" fillId="49" borderId="21" xfId="0" applyFont="1" applyFill="1" applyBorder="1" applyAlignment="1">
      <alignment vertical="center"/>
    </xf>
    <xf numFmtId="0" fontId="17" fillId="49" borderId="21" xfId="0" applyFont="1" applyFill="1" applyBorder="1" applyAlignment="1">
      <alignment horizontal="center" vertical="center"/>
    </xf>
    <xf numFmtId="0" fontId="17" fillId="49" borderId="18" xfId="0" applyFont="1" applyFill="1" applyBorder="1" applyAlignment="1">
      <alignment vertical="center"/>
    </xf>
    <xf numFmtId="38" fontId="17" fillId="49" borderId="23" xfId="57491" applyFont="1" applyFill="1" applyBorder="1" applyAlignment="1">
      <alignment horizontal="left" vertical="center" shrinkToFit="1"/>
    </xf>
    <xf numFmtId="0" fontId="20" fillId="49" borderId="23" xfId="0" applyFont="1" applyFill="1" applyBorder="1" applyAlignment="1">
      <alignment vertical="center"/>
    </xf>
    <xf numFmtId="0" fontId="17" fillId="49" borderId="22" xfId="0" applyFont="1" applyFill="1" applyBorder="1" applyAlignment="1">
      <alignment vertical="center"/>
    </xf>
    <xf numFmtId="49" fontId="17" fillId="49" borderId="92" xfId="0" applyNumberFormat="1" applyFont="1" applyFill="1" applyBorder="1" applyAlignment="1">
      <alignment vertical="center"/>
    </xf>
    <xf numFmtId="0" fontId="17" fillId="49" borderId="83" xfId="0" applyFont="1" applyFill="1" applyBorder="1" applyAlignment="1">
      <alignment vertical="center"/>
    </xf>
    <xf numFmtId="0" fontId="17" fillId="49" borderId="1" xfId="0" applyFont="1" applyFill="1" applyBorder="1" applyAlignment="1">
      <alignment vertical="center"/>
    </xf>
    <xf numFmtId="0" fontId="17" fillId="49" borderId="25" xfId="0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96" fillId="0" borderId="0" xfId="0" applyFont="1" applyAlignment="1">
      <alignment vertical="center"/>
    </xf>
    <xf numFmtId="49" fontId="96" fillId="0" borderId="0" xfId="57490" quotePrefix="1" applyNumberFormat="1" applyFont="1">
      <alignment vertical="center"/>
    </xf>
    <xf numFmtId="49" fontId="96" fillId="0" borderId="0" xfId="57490" applyNumberFormat="1" applyFont="1">
      <alignment vertical="center"/>
    </xf>
    <xf numFmtId="49" fontId="17" fillId="0" borderId="0" xfId="57490" quotePrefix="1" applyNumberFormat="1" applyFont="1">
      <alignment vertical="center"/>
    </xf>
    <xf numFmtId="0" fontId="17" fillId="45" borderId="85" xfId="0" applyFont="1" applyFill="1" applyBorder="1" applyAlignment="1">
      <alignment vertical="center"/>
    </xf>
    <xf numFmtId="0" fontId="17" fillId="45" borderId="92" xfId="0" applyFont="1" applyFill="1" applyBorder="1" applyAlignment="1">
      <alignment vertical="center"/>
    </xf>
    <xf numFmtId="0" fontId="17" fillId="45" borderId="84" xfId="0" applyFont="1" applyFill="1" applyBorder="1" applyAlignment="1">
      <alignment vertical="center"/>
    </xf>
    <xf numFmtId="49" fontId="93" fillId="0" borderId="0" xfId="57490" quotePrefix="1" applyNumberFormat="1" applyFont="1">
      <alignment vertical="center"/>
    </xf>
    <xf numFmtId="0" fontId="17" fillId="45" borderId="0" xfId="0" applyFont="1" applyFill="1" applyAlignment="1">
      <alignment vertical="center"/>
    </xf>
    <xf numFmtId="0" fontId="17" fillId="45" borderId="92" xfId="0" applyFont="1" applyFill="1" applyBorder="1" applyAlignment="1">
      <alignment horizontal="center" vertical="center"/>
    </xf>
    <xf numFmtId="0" fontId="92" fillId="0" borderId="85" xfId="0" applyFont="1" applyBorder="1" applyAlignment="1">
      <alignment vertical="center"/>
    </xf>
    <xf numFmtId="0" fontId="92" fillId="45" borderId="85" xfId="0" applyFont="1" applyFill="1" applyBorder="1" applyAlignment="1">
      <alignment vertical="center"/>
    </xf>
    <xf numFmtId="0" fontId="92" fillId="45" borderId="92" xfId="0" applyFont="1" applyFill="1" applyBorder="1" applyAlignment="1">
      <alignment vertical="center"/>
    </xf>
    <xf numFmtId="0" fontId="92" fillId="45" borderId="84" xfId="0" applyFont="1" applyFill="1" applyBorder="1" applyAlignment="1">
      <alignment vertical="center"/>
    </xf>
    <xf numFmtId="0" fontId="15" fillId="34" borderId="17" xfId="9" applyFont="1" applyFill="1" applyBorder="1" applyAlignment="1">
      <alignment horizontal="center" wrapText="1"/>
    </xf>
    <xf numFmtId="0" fontId="6" fillId="0" borderId="14" xfId="224" applyBorder="1" applyAlignment="1">
      <alignment horizontal="center" wrapText="1"/>
    </xf>
    <xf numFmtId="0" fontId="6" fillId="0" borderId="16" xfId="224" applyBorder="1" applyAlignment="1">
      <alignment horizontal="center" wrapText="1"/>
    </xf>
    <xf numFmtId="0" fontId="15" fillId="34" borderId="17" xfId="9" applyFont="1" applyFill="1" applyBorder="1" applyAlignment="1">
      <alignment horizontal="center"/>
    </xf>
    <xf numFmtId="0" fontId="6" fillId="0" borderId="14" xfId="224" applyBorder="1" applyAlignment="1">
      <alignment horizontal="center"/>
    </xf>
    <xf numFmtId="0" fontId="6" fillId="0" borderId="16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15" fillId="0" borderId="89" xfId="8" applyFont="1" applyBorder="1" applyAlignment="1">
      <alignment horizontal="center" vertical="center" wrapText="1"/>
    </xf>
    <xf numFmtId="0" fontId="6" fillId="0" borderId="90" xfId="224" applyBorder="1" applyAlignment="1">
      <alignment horizontal="center" vertical="center" wrapText="1"/>
    </xf>
    <xf numFmtId="0" fontId="15" fillId="34" borderId="85" xfId="8" applyFont="1" applyFill="1" applyBorder="1" applyAlignment="1">
      <alignment horizontal="center" wrapText="1"/>
    </xf>
    <xf numFmtId="0" fontId="6" fillId="0" borderId="92" xfId="224" applyBorder="1" applyAlignment="1">
      <alignment horizontal="center" wrapText="1"/>
    </xf>
    <xf numFmtId="0" fontId="6" fillId="0" borderId="84" xfId="224" applyBorder="1" applyAlignment="1">
      <alignment horizontal="center" wrapText="1"/>
    </xf>
    <xf numFmtId="0" fontId="16" fillId="0" borderId="85" xfId="8" applyFont="1" applyBorder="1" applyAlignment="1">
      <alignment horizontal="center" wrapText="1"/>
    </xf>
    <xf numFmtId="0" fontId="16" fillId="0" borderId="92" xfId="8" applyFont="1" applyBorder="1" applyAlignment="1">
      <alignment horizontal="center" wrapText="1"/>
    </xf>
    <xf numFmtId="0" fontId="16" fillId="0" borderId="84" xfId="8" applyFont="1" applyBorder="1" applyAlignment="1">
      <alignment horizontal="center" wrapText="1"/>
    </xf>
    <xf numFmtId="0" fontId="16" fillId="0" borderId="85" xfId="224" applyFont="1" applyBorder="1" applyAlignment="1">
      <alignment horizontal="center" wrapText="1"/>
    </xf>
    <xf numFmtId="14" fontId="16" fillId="0" borderId="89" xfId="9" applyNumberFormat="1" applyFont="1" applyBorder="1" applyAlignment="1">
      <alignment horizontal="center" vertical="center" wrapText="1"/>
    </xf>
    <xf numFmtId="0" fontId="6" fillId="0" borderId="86" xfId="224" applyBorder="1" applyAlignment="1">
      <alignment horizontal="center" vertical="center" wrapText="1"/>
    </xf>
    <xf numFmtId="0" fontId="6" fillId="0" borderId="31" xfId="224" applyBorder="1" applyAlignment="1">
      <alignment horizontal="center" vertical="center" wrapText="1"/>
    </xf>
    <xf numFmtId="0" fontId="6" fillId="0" borderId="55" xfId="224" applyBorder="1" applyAlignment="1">
      <alignment horizontal="center" vertical="center" wrapText="1"/>
    </xf>
    <xf numFmtId="0" fontId="6" fillId="0" borderId="30" xfId="224" applyBorder="1" applyAlignment="1">
      <alignment horizontal="center" vertical="center" wrapText="1"/>
    </xf>
    <xf numFmtId="0" fontId="16" fillId="0" borderId="89" xfId="9" applyFont="1" applyBorder="1" applyAlignment="1">
      <alignment horizontal="center" vertical="center" wrapText="1"/>
    </xf>
    <xf numFmtId="0" fontId="16" fillId="0" borderId="17" xfId="8" applyFont="1" applyBorder="1" applyAlignment="1">
      <alignment horizontal="center" wrapText="1"/>
    </xf>
    <xf numFmtId="176" fontId="16" fillId="0" borderId="89" xfId="9" applyNumberFormat="1" applyFont="1" applyBorder="1" applyAlignment="1">
      <alignment horizontal="center" vertical="center" wrapText="1"/>
    </xf>
    <xf numFmtId="0" fontId="6" fillId="0" borderId="87" xfId="224" applyBorder="1" applyAlignment="1">
      <alignment horizontal="center" vertical="center" wrapText="1"/>
    </xf>
    <xf numFmtId="0" fontId="6" fillId="0" borderId="8" xfId="224" applyBorder="1" applyAlignment="1">
      <alignment horizontal="center" vertical="center" wrapText="1"/>
    </xf>
    <xf numFmtId="0" fontId="19" fillId="0" borderId="31" xfId="8" applyFont="1" applyBorder="1" applyAlignment="1">
      <alignment horizontal="center" vertical="center" shrinkToFit="1"/>
    </xf>
    <xf numFmtId="0" fontId="24" fillId="0" borderId="55" xfId="224" applyFont="1" applyBorder="1" applyAlignment="1">
      <alignment horizontal="center" vertical="center" shrinkToFit="1"/>
    </xf>
    <xf numFmtId="0" fontId="15" fillId="34" borderId="23" xfId="8" applyFont="1" applyFill="1" applyBorder="1" applyAlignment="1">
      <alignment horizontal="center" wrapText="1"/>
    </xf>
    <xf numFmtId="0" fontId="6" fillId="0" borderId="21" xfId="224" applyBorder="1" applyAlignment="1">
      <alignment horizontal="center" wrapText="1"/>
    </xf>
    <xf numFmtId="0" fontId="6" fillId="0" borderId="18" xfId="224" applyBorder="1" applyAlignment="1">
      <alignment horizontal="center" wrapText="1"/>
    </xf>
    <xf numFmtId="0" fontId="17" fillId="0" borderId="23" xfId="6" applyFont="1" applyBorder="1" applyAlignment="1">
      <alignment horizontal="center" wrapText="1"/>
    </xf>
    <xf numFmtId="0" fontId="17" fillId="0" borderId="21" xfId="6" applyFont="1" applyBorder="1" applyAlignment="1">
      <alignment horizontal="center" wrapText="1"/>
    </xf>
    <xf numFmtId="0" fontId="17" fillId="0" borderId="21" xfId="6" quotePrefix="1" applyFont="1" applyBorder="1" applyAlignment="1">
      <alignment wrapText="1"/>
    </xf>
    <xf numFmtId="0" fontId="24" fillId="0" borderId="21" xfId="224" applyFont="1" applyBorder="1" applyAlignment="1">
      <alignment wrapText="1"/>
    </xf>
    <xf numFmtId="0" fontId="24" fillId="0" borderId="18" xfId="224" applyFont="1" applyBorder="1" applyAlignment="1">
      <alignment wrapText="1"/>
    </xf>
    <xf numFmtId="0" fontId="25" fillId="0" borderId="4" xfId="8" applyFont="1" applyBorder="1" applyAlignment="1">
      <alignment horizontal="center" vertical="center" wrapText="1"/>
    </xf>
    <xf numFmtId="0" fontId="22" fillId="0" borderId="5" xfId="224" applyFont="1" applyBorder="1" applyAlignment="1">
      <alignment horizontal="center" vertical="center" wrapText="1"/>
    </xf>
    <xf numFmtId="0" fontId="22" fillId="0" borderId="29" xfId="224" applyFont="1" applyBorder="1" applyAlignment="1">
      <alignment horizontal="center" vertical="center" wrapText="1"/>
    </xf>
    <xf numFmtId="0" fontId="22" fillId="0" borderId="9" xfId="224" applyFont="1" applyBorder="1" applyAlignment="1">
      <alignment horizontal="center" vertical="center" wrapText="1"/>
    </xf>
    <xf numFmtId="0" fontId="22" fillId="0" borderId="0" xfId="224" applyFont="1" applyAlignment="1">
      <alignment horizontal="center" vertical="center" wrapText="1"/>
    </xf>
    <xf numFmtId="0" fontId="22" fillId="0" borderId="28" xfId="224" applyFont="1" applyBorder="1" applyAlignment="1">
      <alignment horizontal="center" vertical="center" wrapText="1"/>
    </xf>
    <xf numFmtId="0" fontId="22" fillId="0" borderId="6" xfId="224" applyFont="1" applyBorder="1" applyAlignment="1">
      <alignment horizontal="center" vertical="center" wrapText="1"/>
    </xf>
    <xf numFmtId="0" fontId="22" fillId="0" borderId="55" xfId="224" applyFont="1" applyBorder="1" applyAlignment="1">
      <alignment horizontal="center" vertical="center" wrapText="1"/>
    </xf>
    <xf numFmtId="0" fontId="22" fillId="0" borderId="30" xfId="224" applyFont="1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vertical="center" wrapText="1"/>
    </xf>
    <xf numFmtId="0" fontId="6" fillId="0" borderId="14" xfId="224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wrapText="1"/>
    </xf>
    <xf numFmtId="0" fontId="16" fillId="0" borderId="17" xfId="8" applyFont="1" applyBorder="1" applyAlignment="1">
      <alignment horizontal="center" shrinkToFit="1"/>
    </xf>
    <xf numFmtId="0" fontId="6" fillId="0" borderId="14" xfId="224" applyBorder="1" applyAlignment="1">
      <alignment horizontal="center" shrinkToFit="1"/>
    </xf>
    <xf numFmtId="0" fontId="6" fillId="0" borderId="16" xfId="224" applyBorder="1" applyAlignment="1">
      <alignment horizontal="center" shrinkToFit="1"/>
    </xf>
    <xf numFmtId="0" fontId="15" fillId="34" borderId="13" xfId="9" applyFont="1" applyFill="1" applyBorder="1" applyAlignment="1">
      <alignment horizontal="center"/>
    </xf>
    <xf numFmtId="0" fontId="6" fillId="0" borderId="15" xfId="224" applyBorder="1" applyAlignment="1">
      <alignment horizontal="center" wrapText="1"/>
    </xf>
    <xf numFmtId="0" fontId="15" fillId="34" borderId="85" xfId="8" applyFont="1" applyFill="1" applyBorder="1" applyAlignment="1">
      <alignment horizontal="center" shrinkToFit="1"/>
    </xf>
    <xf numFmtId="0" fontId="6" fillId="0" borderId="92" xfId="224" applyBorder="1" applyAlignment="1">
      <alignment horizontal="center" shrinkToFit="1"/>
    </xf>
    <xf numFmtId="0" fontId="6" fillId="0" borderId="84" xfId="224" applyBorder="1" applyAlignment="1">
      <alignment horizontal="center" shrinkToFit="1"/>
    </xf>
    <xf numFmtId="0" fontId="16" fillId="0" borderId="92" xfId="224" applyFont="1" applyBorder="1" applyAlignment="1">
      <alignment horizontal="center" wrapText="1"/>
    </xf>
    <xf numFmtId="0" fontId="16" fillId="0" borderId="84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4" xfId="9" applyFont="1" applyBorder="1" applyAlignment="1">
      <alignment horizontal="center" vertical="center"/>
    </xf>
    <xf numFmtId="0" fontId="24" fillId="0" borderId="30" xfId="224" applyFont="1" applyBorder="1" applyAlignment="1">
      <alignment horizontal="center" vertical="center" shrinkToFit="1"/>
    </xf>
    <xf numFmtId="0" fontId="15" fillId="34" borderId="23" xfId="8" applyFont="1" applyFill="1" applyBorder="1" applyAlignment="1">
      <alignment horizontal="center" shrinkToFit="1"/>
    </xf>
    <xf numFmtId="0" fontId="6" fillId="0" borderId="21" xfId="224" applyBorder="1" applyAlignment="1">
      <alignment horizontal="center" shrinkToFit="1"/>
    </xf>
    <xf numFmtId="0" fontId="6" fillId="0" borderId="18" xfId="224" applyBorder="1" applyAlignment="1">
      <alignment horizontal="center" shrinkToFit="1"/>
    </xf>
    <xf numFmtId="0" fontId="17" fillId="0" borderId="23" xfId="8" applyFont="1" applyBorder="1" applyAlignment="1">
      <alignment horizontal="center" wrapText="1"/>
    </xf>
    <xf numFmtId="0" fontId="17" fillId="0" borderId="21" xfId="8" applyFont="1" applyBorder="1" applyAlignment="1">
      <alignment horizontal="center" wrapText="1"/>
    </xf>
    <xf numFmtId="0" fontId="17" fillId="0" borderId="21" xfId="8" quotePrefix="1" applyFont="1" applyBorder="1" applyAlignment="1">
      <alignment horizontal="left" wrapText="1"/>
    </xf>
    <xf numFmtId="0" fontId="24" fillId="0" borderId="21" xfId="224" applyFont="1" applyBorder="1" applyAlignment="1">
      <alignment horizontal="left" wrapText="1"/>
    </xf>
    <xf numFmtId="0" fontId="24" fillId="0" borderId="18" xfId="224" applyFont="1" applyBorder="1" applyAlignment="1">
      <alignment horizontal="left" wrapText="1"/>
    </xf>
    <xf numFmtId="14" fontId="16" fillId="31" borderId="89" xfId="6" applyNumberFormat="1" applyFont="1" applyFill="1" applyBorder="1" applyAlignment="1">
      <alignment horizontal="center" vertical="center" wrapText="1"/>
    </xf>
    <xf numFmtId="14" fontId="16" fillId="31" borderId="90" xfId="6" applyNumberFormat="1" applyFont="1" applyFill="1" applyBorder="1" applyAlignment="1">
      <alignment horizontal="center" vertical="center" wrapText="1"/>
    </xf>
    <xf numFmtId="14" fontId="16" fillId="31" borderId="86" xfId="6" applyNumberFormat="1" applyFont="1" applyFill="1" applyBorder="1" applyAlignment="1">
      <alignment horizontal="center" vertical="center" wrapText="1"/>
    </xf>
    <xf numFmtId="14" fontId="16" fillId="31" borderId="26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25" xfId="6" applyNumberFormat="1" applyFont="1" applyFill="1" applyBorder="1" applyAlignment="1">
      <alignment horizontal="center" vertical="center" wrapText="1"/>
    </xf>
    <xf numFmtId="14" fontId="17" fillId="31" borderId="89" xfId="6" quotePrefix="1" applyNumberFormat="1" applyFont="1" applyFill="1" applyBorder="1" applyAlignment="1">
      <alignment horizontal="center" vertical="center" wrapText="1" shrinkToFit="1"/>
    </xf>
    <xf numFmtId="0" fontId="6" fillId="31" borderId="90" xfId="7" applyFill="1" applyBorder="1" applyAlignment="1">
      <alignment horizontal="center" vertical="center" wrapText="1" shrinkToFit="1"/>
    </xf>
    <xf numFmtId="0" fontId="6" fillId="31" borderId="86" xfId="7" applyFill="1" applyBorder="1" applyAlignment="1">
      <alignment horizontal="center" vertical="center" wrapText="1" shrinkToFit="1"/>
    </xf>
    <xf numFmtId="0" fontId="6" fillId="31" borderId="26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25" xfId="7" applyFill="1" applyBorder="1" applyAlignment="1">
      <alignment horizontal="center" vertical="center" wrapText="1" shrinkToFit="1"/>
    </xf>
    <xf numFmtId="0" fontId="16" fillId="31" borderId="89" xfId="6" applyFont="1" applyFill="1" applyBorder="1" applyAlignment="1">
      <alignment horizontal="center" vertical="center"/>
    </xf>
    <xf numFmtId="0" fontId="16" fillId="31" borderId="90" xfId="6" applyFont="1" applyFill="1" applyBorder="1" applyAlignment="1">
      <alignment horizontal="center" vertical="center"/>
    </xf>
    <xf numFmtId="0" fontId="16" fillId="31" borderId="86" xfId="6" applyFont="1" applyFill="1" applyBorder="1" applyAlignment="1">
      <alignment horizontal="center" vertical="center"/>
    </xf>
    <xf numFmtId="0" fontId="16" fillId="31" borderId="26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25" xfId="6" applyFont="1" applyFill="1" applyBorder="1" applyAlignment="1">
      <alignment horizontal="center" vertical="center"/>
    </xf>
    <xf numFmtId="177" fontId="16" fillId="31" borderId="89" xfId="6" quotePrefix="1" applyNumberFormat="1" applyFont="1" applyFill="1" applyBorder="1" applyAlignment="1">
      <alignment horizontal="center" vertical="center"/>
    </xf>
    <xf numFmtId="177" fontId="16" fillId="31" borderId="90" xfId="6" quotePrefix="1" applyNumberFormat="1" applyFont="1" applyFill="1" applyBorder="1" applyAlignment="1">
      <alignment horizontal="center" vertical="center"/>
    </xf>
    <xf numFmtId="177" fontId="16" fillId="31" borderId="86" xfId="6" quotePrefix="1" applyNumberFormat="1" applyFont="1" applyFill="1" applyBorder="1" applyAlignment="1">
      <alignment horizontal="center" vertical="center"/>
    </xf>
    <xf numFmtId="177" fontId="16" fillId="31" borderId="26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25" xfId="6" quotePrefix="1" applyNumberFormat="1" applyFont="1" applyFill="1" applyBorder="1" applyAlignment="1">
      <alignment horizontal="center" vertical="center"/>
    </xf>
    <xf numFmtId="0" fontId="6" fillId="0" borderId="16" xfId="224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shrinkToFit="1"/>
    </xf>
    <xf numFmtId="178" fontId="13" fillId="0" borderId="46" xfId="57482" applyNumberFormat="1" applyFont="1" applyBorder="1" applyAlignment="1">
      <alignment horizontal="center" vertical="center"/>
    </xf>
    <xf numFmtId="178" fontId="13" fillId="0" borderId="47" xfId="57482" applyNumberFormat="1" applyFont="1" applyBorder="1" applyAlignment="1">
      <alignment horizontal="center" vertical="center"/>
    </xf>
    <xf numFmtId="178" fontId="13" fillId="0" borderId="48" xfId="57482" applyNumberFormat="1" applyFont="1" applyBorder="1" applyAlignment="1">
      <alignment horizontal="center" vertical="center"/>
    </xf>
    <xf numFmtId="178" fontId="13" fillId="0" borderId="49" xfId="57482" applyNumberFormat="1" applyFont="1" applyBorder="1" applyAlignment="1">
      <alignment horizontal="center" vertical="center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7" fillId="0" borderId="46" xfId="57482" applyNumberFormat="1" applyFont="1" applyBorder="1" applyAlignment="1">
      <alignment horizontal="center" vertical="center"/>
    </xf>
    <xf numFmtId="178" fontId="17" fillId="0" borderId="47" xfId="57482" applyNumberFormat="1" applyFont="1" applyBorder="1" applyAlignment="1">
      <alignment horizontal="center" vertical="center"/>
    </xf>
    <xf numFmtId="178" fontId="17" fillId="0" borderId="48" xfId="57482" applyNumberFormat="1" applyFont="1" applyBorder="1" applyAlignment="1">
      <alignment horizontal="center" vertical="center"/>
    </xf>
    <xf numFmtId="178" fontId="17" fillId="0" borderId="49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2" borderId="46" xfId="57482" applyNumberFormat="1" applyFont="1" applyFill="1" applyBorder="1" applyAlignment="1" applyProtection="1">
      <alignment horizontal="center" vertical="center"/>
      <protection locked="0"/>
    </xf>
    <xf numFmtId="178" fontId="17" fillId="2" borderId="47" xfId="57482" applyNumberFormat="1" applyFont="1" applyFill="1" applyBorder="1" applyAlignment="1" applyProtection="1">
      <alignment horizontal="center" vertical="center"/>
      <protection locked="0"/>
    </xf>
    <xf numFmtId="178" fontId="17" fillId="2" borderId="48" xfId="57482" applyNumberFormat="1" applyFont="1" applyFill="1" applyBorder="1" applyAlignment="1" applyProtection="1">
      <alignment horizontal="center" vertical="center"/>
      <protection locked="0"/>
    </xf>
    <xf numFmtId="178" fontId="17" fillId="2" borderId="49" xfId="57482" applyNumberFormat="1" applyFont="1" applyFill="1" applyBorder="1" applyAlignment="1" applyProtection="1">
      <alignment horizontal="center" vertical="center"/>
      <protection locked="0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15" fillId="34" borderId="89" xfId="6" applyFont="1" applyFill="1" applyBorder="1" applyAlignment="1">
      <alignment horizontal="center" vertical="center" wrapText="1"/>
    </xf>
    <xf numFmtId="0" fontId="15" fillId="34" borderId="90" xfId="6" applyFont="1" applyFill="1" applyBorder="1" applyAlignment="1">
      <alignment horizontal="center" vertical="center" wrapText="1"/>
    </xf>
    <xf numFmtId="0" fontId="15" fillId="34" borderId="86" xfId="6" applyFont="1" applyFill="1" applyBorder="1" applyAlignment="1">
      <alignment horizontal="center" vertical="center" wrapText="1"/>
    </xf>
    <xf numFmtId="0" fontId="15" fillId="34" borderId="26" xfId="6" applyFont="1" applyFill="1" applyBorder="1" applyAlignment="1">
      <alignment horizontal="center" vertical="center" wrapText="1"/>
    </xf>
    <xf numFmtId="0" fontId="15" fillId="34" borderId="1" xfId="6" applyFont="1" applyFill="1" applyBorder="1" applyAlignment="1">
      <alignment horizontal="center" vertical="center" wrapText="1"/>
    </xf>
    <xf numFmtId="0" fontId="15" fillId="34" borderId="25" xfId="6" applyFont="1" applyFill="1" applyBorder="1" applyAlignment="1">
      <alignment horizontal="center" vertical="center" wrapText="1"/>
    </xf>
    <xf numFmtId="0" fontId="6" fillId="0" borderId="90" xfId="5" applyBorder="1" applyAlignment="1">
      <alignment horizontal="center" vertical="center" wrapText="1"/>
    </xf>
    <xf numFmtId="0" fontId="6" fillId="0" borderId="86" xfId="5" applyBorder="1" applyAlignment="1">
      <alignment horizontal="center" vertical="center" wrapText="1"/>
    </xf>
    <xf numFmtId="0" fontId="6" fillId="0" borderId="26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25" xfId="5" applyBorder="1" applyAlignment="1">
      <alignment horizontal="center" vertical="center" wrapText="1"/>
    </xf>
    <xf numFmtId="0" fontId="15" fillId="34" borderId="89" xfId="6" applyFont="1" applyFill="1" applyBorder="1" applyAlignment="1">
      <alignment horizontal="center" vertical="center"/>
    </xf>
    <xf numFmtId="0" fontId="15" fillId="34" borderId="90" xfId="6" applyFont="1" applyFill="1" applyBorder="1" applyAlignment="1">
      <alignment horizontal="center" vertical="center"/>
    </xf>
    <xf numFmtId="0" fontId="15" fillId="34" borderId="86" xfId="6" applyFont="1" applyFill="1" applyBorder="1" applyAlignment="1">
      <alignment horizontal="center" vertical="center"/>
    </xf>
    <xf numFmtId="0" fontId="15" fillId="34" borderId="26" xfId="6" applyFont="1" applyFill="1" applyBorder="1" applyAlignment="1">
      <alignment horizontal="center" vertical="center"/>
    </xf>
    <xf numFmtId="0" fontId="15" fillId="34" borderId="1" xfId="6" applyFont="1" applyFill="1" applyBorder="1" applyAlignment="1">
      <alignment horizontal="center" vertical="center"/>
    </xf>
    <xf numFmtId="0" fontId="15" fillId="34" borderId="25" xfId="6" applyFont="1" applyFill="1" applyBorder="1" applyAlignment="1">
      <alignment horizontal="center" vertical="center"/>
    </xf>
    <xf numFmtId="0" fontId="17" fillId="0" borderId="52" xfId="57482" applyFont="1" applyBorder="1" applyAlignment="1">
      <alignment horizontal="center" vertical="center"/>
    </xf>
    <xf numFmtId="0" fontId="17" fillId="0" borderId="53" xfId="57482" applyFont="1" applyBorder="1" applyAlignment="1">
      <alignment horizontal="center" vertical="center"/>
    </xf>
    <xf numFmtId="0" fontId="17" fillId="0" borderId="54" xfId="57482" applyFont="1" applyBorder="1" applyAlignment="1">
      <alignment horizontal="center" vertical="center"/>
    </xf>
    <xf numFmtId="0" fontId="17" fillId="0" borderId="46" xfId="57482" applyFont="1" applyBorder="1" applyAlignment="1">
      <alignment horizontal="center" vertical="center"/>
    </xf>
    <xf numFmtId="0" fontId="17" fillId="0" borderId="47" xfId="57482" applyFont="1" applyBorder="1" applyAlignment="1">
      <alignment horizontal="center" vertical="center"/>
    </xf>
    <xf numFmtId="0" fontId="17" fillId="0" borderId="48" xfId="57482" applyFont="1" applyBorder="1" applyAlignment="1">
      <alignment horizontal="center" vertical="center"/>
    </xf>
    <xf numFmtId="0" fontId="17" fillId="2" borderId="52" xfId="57482" applyFont="1" applyFill="1" applyBorder="1" applyAlignment="1" applyProtection="1">
      <alignment horizontal="center" vertical="center"/>
      <protection locked="0"/>
    </xf>
    <xf numFmtId="0" fontId="17" fillId="2" borderId="53" xfId="57482" applyFont="1" applyFill="1" applyBorder="1" applyAlignment="1" applyProtection="1">
      <alignment horizontal="center" vertical="center"/>
      <protection locked="0"/>
    </xf>
    <xf numFmtId="0" fontId="17" fillId="2" borderId="54" xfId="57482" applyFont="1" applyFill="1" applyBorder="1" applyAlignment="1" applyProtection="1">
      <alignment horizontal="center" vertical="center"/>
      <protection locked="0"/>
    </xf>
    <xf numFmtId="0" fontId="17" fillId="2" borderId="46" xfId="57482" applyFont="1" applyFill="1" applyBorder="1" applyAlignment="1" applyProtection="1">
      <alignment horizontal="center" vertical="center"/>
      <protection locked="0"/>
    </xf>
    <xf numFmtId="0" fontId="17" fillId="2" borderId="47" xfId="57482" applyFont="1" applyFill="1" applyBorder="1" applyAlignment="1" applyProtection="1">
      <alignment horizontal="center" vertical="center"/>
      <protection locked="0"/>
    </xf>
    <xf numFmtId="0" fontId="17" fillId="2" borderId="48" xfId="57482" applyFont="1" applyFill="1" applyBorder="1" applyAlignment="1" applyProtection="1">
      <alignment horizontal="center" vertical="center"/>
      <protection locked="0"/>
    </xf>
    <xf numFmtId="0" fontId="78" fillId="39" borderId="89" xfId="57482" applyFont="1" applyFill="1" applyBorder="1" applyAlignment="1" applyProtection="1">
      <alignment horizontal="left" vertical="center" indent="1"/>
      <protection locked="0"/>
    </xf>
    <xf numFmtId="0" fontId="78" fillId="39" borderId="90" xfId="57482" applyFont="1" applyFill="1" applyBorder="1" applyAlignment="1" applyProtection="1">
      <alignment horizontal="left" vertical="center" indent="1"/>
      <protection locked="0"/>
    </xf>
    <xf numFmtId="0" fontId="78" fillId="39" borderId="86" xfId="57482" applyFont="1" applyFill="1" applyBorder="1" applyAlignment="1" applyProtection="1">
      <alignment horizontal="left" vertical="center" indent="1"/>
      <protection locked="0"/>
    </xf>
    <xf numFmtId="0" fontId="78" fillId="39" borderId="26" xfId="57482" applyFont="1" applyFill="1" applyBorder="1" applyAlignment="1" applyProtection="1">
      <alignment horizontal="left" vertical="center" indent="1"/>
      <protection locked="0"/>
    </xf>
    <xf numFmtId="0" fontId="78" fillId="39" borderId="1" xfId="57482" applyFont="1" applyFill="1" applyBorder="1" applyAlignment="1" applyProtection="1">
      <alignment horizontal="left" vertical="center" indent="1"/>
      <protection locked="0"/>
    </xf>
    <xf numFmtId="0" fontId="78" fillId="39" borderId="25" xfId="57482" applyFont="1" applyFill="1" applyBorder="1" applyAlignment="1" applyProtection="1">
      <alignment horizontal="left" vertical="center" indent="1"/>
      <protection locked="0"/>
    </xf>
    <xf numFmtId="14" fontId="79" fillId="2" borderId="89" xfId="57482" applyNumberFormat="1" applyFont="1" applyFill="1" applyBorder="1" applyAlignment="1" applyProtection="1">
      <alignment horizontal="left" vertical="center" indent="1"/>
      <protection locked="0"/>
    </xf>
    <xf numFmtId="0" fontId="19" fillId="2" borderId="90" xfId="57482" applyFont="1" applyFill="1" applyBorder="1" applyAlignment="1" applyProtection="1">
      <alignment horizontal="left" vertical="center" indent="1"/>
      <protection locked="0"/>
    </xf>
    <xf numFmtId="0" fontId="19" fillId="2" borderId="86" xfId="57482" applyFont="1" applyFill="1" applyBorder="1" applyAlignment="1" applyProtection="1">
      <alignment horizontal="left" vertical="center" indent="1"/>
      <protection locked="0"/>
    </xf>
    <xf numFmtId="0" fontId="19" fillId="2" borderId="26" xfId="57482" applyFont="1" applyFill="1" applyBorder="1" applyAlignment="1" applyProtection="1">
      <alignment horizontal="left" vertical="center" indent="1"/>
      <protection locked="0"/>
    </xf>
    <xf numFmtId="0" fontId="19" fillId="2" borderId="1" xfId="57482" applyFont="1" applyFill="1" applyBorder="1" applyAlignment="1" applyProtection="1">
      <alignment horizontal="left" vertical="center" indent="1"/>
      <protection locked="0"/>
    </xf>
    <xf numFmtId="0" fontId="19" fillId="2" borderId="25" xfId="57482" applyFont="1" applyFill="1" applyBorder="1" applyAlignment="1" applyProtection="1">
      <alignment horizontal="left" vertical="center" indent="1"/>
      <protection locked="0"/>
    </xf>
    <xf numFmtId="182" fontId="79" fillId="2" borderId="89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90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6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6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5" xfId="57482" applyNumberFormat="1" applyFont="1" applyFill="1" applyBorder="1" applyAlignment="1" applyProtection="1">
      <alignment horizontal="left" vertical="center" indent="1"/>
      <protection locked="0"/>
    </xf>
    <xf numFmtId="0" fontId="17" fillId="38" borderId="85" xfId="57482" applyFont="1" applyFill="1" applyBorder="1" applyAlignment="1" applyProtection="1">
      <alignment horizontal="center" vertical="center"/>
      <protection locked="0"/>
    </xf>
    <xf numFmtId="0" fontId="17" fillId="38" borderId="92" xfId="57482" applyFont="1" applyFill="1" applyBorder="1" applyAlignment="1" applyProtection="1">
      <alignment horizontal="center" vertical="center"/>
      <protection locked="0"/>
    </xf>
    <xf numFmtId="0" fontId="17" fillId="38" borderId="84" xfId="57482" applyFont="1" applyFill="1" applyBorder="1" applyAlignment="1" applyProtection="1">
      <alignment horizontal="center" vertical="center"/>
      <protection locked="0"/>
    </xf>
    <xf numFmtId="182" fontId="79" fillId="0" borderId="89" xfId="57482" applyNumberFormat="1" applyFont="1" applyBorder="1" applyAlignment="1" applyProtection="1">
      <alignment horizontal="left" vertical="center" indent="1"/>
      <protection locked="0"/>
    </xf>
    <xf numFmtId="182" fontId="79" fillId="0" borderId="90" xfId="57482" applyNumberFormat="1" applyFont="1" applyBorder="1" applyAlignment="1" applyProtection="1">
      <alignment horizontal="left" vertical="center" indent="1"/>
      <protection locked="0"/>
    </xf>
    <xf numFmtId="182" fontId="79" fillId="0" borderId="86" xfId="57482" applyNumberFormat="1" applyFont="1" applyBorder="1" applyAlignment="1" applyProtection="1">
      <alignment horizontal="left" vertical="center" indent="1"/>
      <protection locked="0"/>
    </xf>
    <xf numFmtId="182" fontId="79" fillId="0" borderId="26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25" xfId="57482" applyNumberFormat="1" applyFont="1" applyBorder="1" applyAlignment="1" applyProtection="1">
      <alignment horizontal="left" vertical="center" indent="1"/>
      <protection locked="0"/>
    </xf>
    <xf numFmtId="182" fontId="78" fillId="38" borderId="89" xfId="57482" applyNumberFormat="1" applyFont="1" applyFill="1" applyBorder="1" applyAlignment="1" applyProtection="1">
      <alignment horizontal="center" vertical="center"/>
      <protection locked="0"/>
    </xf>
    <xf numFmtId="182" fontId="78" fillId="38" borderId="86" xfId="57482" applyNumberFormat="1" applyFont="1" applyFill="1" applyBorder="1" applyAlignment="1" applyProtection="1">
      <alignment horizontal="center" vertical="center"/>
      <protection locked="0"/>
    </xf>
    <xf numFmtId="182" fontId="78" fillId="38" borderId="26" xfId="57482" applyNumberFormat="1" applyFont="1" applyFill="1" applyBorder="1" applyAlignment="1" applyProtection="1">
      <alignment horizontal="center" vertical="center"/>
      <protection locked="0"/>
    </xf>
    <xf numFmtId="182" fontId="78" fillId="38" borderId="25" xfId="57482" applyNumberFormat="1" applyFont="1" applyFill="1" applyBorder="1" applyAlignment="1" applyProtection="1">
      <alignment horizontal="center" vertical="center"/>
      <protection locked="0"/>
    </xf>
    <xf numFmtId="0" fontId="79" fillId="2" borderId="89" xfId="57482" applyFont="1" applyFill="1" applyBorder="1" applyAlignment="1" applyProtection="1">
      <alignment horizontal="left" vertical="center" indent="1"/>
      <protection locked="0"/>
    </xf>
    <xf numFmtId="0" fontId="79" fillId="0" borderId="89" xfId="57482" applyFont="1" applyBorder="1" applyAlignment="1" applyProtection="1">
      <alignment horizontal="left" vertical="center" indent="1"/>
      <protection locked="0"/>
    </xf>
    <xf numFmtId="0" fontId="79" fillId="0" borderId="90" xfId="57482" applyFont="1" applyBorder="1" applyAlignment="1" applyProtection="1">
      <alignment horizontal="left" vertical="center" indent="1"/>
      <protection locked="0"/>
    </xf>
    <xf numFmtId="0" fontId="79" fillId="0" borderId="86" xfId="57482" applyFont="1" applyBorder="1" applyAlignment="1" applyProtection="1">
      <alignment horizontal="left" vertical="center" indent="1"/>
      <protection locked="0"/>
    </xf>
    <xf numFmtId="0" fontId="79" fillId="0" borderId="26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25" xfId="57482" applyFont="1" applyBorder="1" applyAlignment="1" applyProtection="1">
      <alignment horizontal="left" vertical="center" indent="1"/>
      <protection locked="0"/>
    </xf>
    <xf numFmtId="2" fontId="79" fillId="0" borderId="89" xfId="57482" applyNumberFormat="1" applyFont="1" applyBorder="1" applyAlignment="1">
      <alignment horizontal="left" vertical="center" indent="1"/>
    </xf>
    <xf numFmtId="2" fontId="19" fillId="0" borderId="90" xfId="57482" applyNumberFormat="1" applyFont="1" applyBorder="1" applyAlignment="1">
      <alignment horizontal="left" vertical="center" indent="1"/>
    </xf>
    <xf numFmtId="2" fontId="19" fillId="0" borderId="86" xfId="57482" applyNumberFormat="1" applyFont="1" applyBorder="1" applyAlignment="1">
      <alignment horizontal="left" vertical="center" indent="1"/>
    </xf>
    <xf numFmtId="2" fontId="19" fillId="0" borderId="26" xfId="57482" applyNumberFormat="1" applyFont="1" applyBorder="1" applyAlignment="1">
      <alignment horizontal="left" vertical="center" indent="1"/>
    </xf>
    <xf numFmtId="2" fontId="19" fillId="0" borderId="1" xfId="57482" applyNumberFormat="1" applyFont="1" applyBorder="1" applyAlignment="1">
      <alignment horizontal="left" vertical="center" indent="1"/>
    </xf>
    <xf numFmtId="2" fontId="19" fillId="0" borderId="25" xfId="57482" applyNumberFormat="1" applyFont="1" applyBorder="1" applyAlignment="1">
      <alignment horizontal="left" vertical="center" indent="1"/>
    </xf>
    <xf numFmtId="182" fontId="19" fillId="0" borderId="90" xfId="57482" applyNumberFormat="1" applyFont="1" applyBorder="1" applyAlignment="1" applyProtection="1">
      <alignment horizontal="left" vertical="center" indent="1"/>
      <protection locked="0"/>
    </xf>
    <xf numFmtId="182" fontId="19" fillId="0" borderId="86" xfId="57482" applyNumberFormat="1" applyFont="1" applyBorder="1" applyAlignment="1" applyProtection="1">
      <alignment horizontal="left" vertical="center" indent="1"/>
      <protection locked="0"/>
    </xf>
    <xf numFmtId="182" fontId="19" fillId="0" borderId="26" xfId="57482" applyNumberFormat="1" applyFont="1" applyBorder="1" applyAlignment="1" applyProtection="1">
      <alignment horizontal="left" vertical="center" indent="1"/>
      <protection locked="0"/>
    </xf>
    <xf numFmtId="182" fontId="19" fillId="0" borderId="1" xfId="57482" applyNumberFormat="1" applyFont="1" applyBorder="1" applyAlignment="1" applyProtection="1">
      <alignment horizontal="left" vertical="center" indent="1"/>
      <protection locked="0"/>
    </xf>
    <xf numFmtId="182" fontId="19" fillId="0" borderId="25" xfId="57482" applyNumberFormat="1" applyFont="1" applyBorder="1" applyAlignment="1" applyProtection="1">
      <alignment horizontal="left" vertical="center" indent="1"/>
      <protection locked="0"/>
    </xf>
    <xf numFmtId="0" fontId="76" fillId="0" borderId="27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28" xfId="57482" applyFont="1" applyBorder="1" applyAlignment="1" applyProtection="1">
      <alignment horizontal="center" vertical="center" wrapText="1"/>
      <protection locked="0"/>
    </xf>
    <xf numFmtId="0" fontId="77" fillId="0" borderId="27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28" xfId="57482" applyFont="1" applyBorder="1" applyAlignment="1" applyProtection="1">
      <alignment horizontal="center" vertical="center"/>
      <protection locked="0"/>
    </xf>
    <xf numFmtId="0" fontId="77" fillId="0" borderId="26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25" xfId="57482" applyFont="1" applyBorder="1" applyAlignment="1" applyProtection="1">
      <alignment horizontal="center" vertical="center"/>
      <protection locked="0"/>
    </xf>
    <xf numFmtId="0" fontId="19" fillId="0" borderId="90" xfId="57482" applyFont="1" applyBorder="1" applyAlignment="1" applyProtection="1">
      <alignment horizontal="left" vertical="center" indent="1"/>
      <protection locked="0"/>
    </xf>
    <xf numFmtId="0" fontId="19" fillId="0" borderId="86" xfId="57482" applyFont="1" applyBorder="1" applyAlignment="1" applyProtection="1">
      <alignment horizontal="left" vertical="center" indent="1"/>
      <protection locked="0"/>
    </xf>
    <xf numFmtId="0" fontId="19" fillId="0" borderId="26" xfId="57482" applyFont="1" applyBorder="1" applyAlignment="1" applyProtection="1">
      <alignment horizontal="left" vertical="center" indent="1"/>
      <protection locked="0"/>
    </xf>
    <xf numFmtId="0" fontId="19" fillId="0" borderId="1" xfId="57482" applyFont="1" applyBorder="1" applyAlignment="1" applyProtection="1">
      <alignment horizontal="left" vertical="center" indent="1"/>
      <protection locked="0"/>
    </xf>
    <xf numFmtId="0" fontId="19" fillId="0" borderId="25" xfId="57482" applyFont="1" applyBorder="1" applyAlignment="1" applyProtection="1">
      <alignment horizontal="left" vertical="center" indent="1"/>
      <protection locked="0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16" fillId="0" borderId="88" xfId="57485" applyFont="1" applyBorder="1" applyAlignment="1">
      <alignment horizontal="center" vertical="center"/>
    </xf>
    <xf numFmtId="0" fontId="16" fillId="0" borderId="90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55" xfId="57485" applyFont="1" applyBorder="1" applyAlignment="1">
      <alignment horizontal="center" vertical="center"/>
    </xf>
    <xf numFmtId="0" fontId="16" fillId="0" borderId="30" xfId="57485" applyFont="1" applyBorder="1" applyAlignment="1">
      <alignment horizontal="center" vertical="center"/>
    </xf>
    <xf numFmtId="0" fontId="16" fillId="0" borderId="89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52" xfId="57485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73" xfId="57485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9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28" xfId="57485" applyFont="1" applyBorder="1" applyAlignment="1">
      <alignment horizontal="center" vertical="center"/>
    </xf>
    <xf numFmtId="0" fontId="16" fillId="0" borderId="27" xfId="57485" applyFont="1" applyBorder="1" applyAlignment="1">
      <alignment horizontal="center" vertical="center"/>
    </xf>
    <xf numFmtId="0" fontId="16" fillId="0" borderId="69" xfId="57485" applyFont="1" applyBorder="1" applyAlignment="1">
      <alignment horizontal="center" vertical="center"/>
    </xf>
    <xf numFmtId="0" fontId="16" fillId="0" borderId="70" xfId="57485" applyFont="1" applyBorder="1" applyAlignment="1">
      <alignment horizontal="center" vertical="center"/>
    </xf>
    <xf numFmtId="0" fontId="16" fillId="0" borderId="71" xfId="57485" applyFont="1" applyBorder="1" applyAlignment="1">
      <alignment horizontal="center" vertical="center"/>
    </xf>
    <xf numFmtId="0" fontId="16" fillId="0" borderId="72" xfId="57485" applyFont="1" applyBorder="1" applyAlignment="1">
      <alignment horizontal="center" vertical="center"/>
    </xf>
    <xf numFmtId="0" fontId="16" fillId="0" borderId="74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25" xfId="57485" applyFont="1" applyBorder="1" applyAlignment="1">
      <alignment horizontal="center" vertical="center"/>
    </xf>
    <xf numFmtId="0" fontId="16" fillId="0" borderId="26" xfId="57485" applyFont="1" applyBorder="1" applyAlignment="1">
      <alignment horizontal="center" vertical="center"/>
    </xf>
    <xf numFmtId="0" fontId="16" fillId="0" borderId="49" xfId="57485" applyFont="1" applyBorder="1" applyAlignment="1">
      <alignment horizontal="center" vertical="center"/>
    </xf>
    <xf numFmtId="0" fontId="16" fillId="0" borderId="50" xfId="57485" applyFont="1" applyBorder="1" applyAlignment="1">
      <alignment horizontal="center" vertical="center"/>
    </xf>
    <xf numFmtId="0" fontId="16" fillId="0" borderId="51" xfId="57485" applyFont="1" applyBorder="1" applyAlignment="1">
      <alignment horizontal="center" vertical="center"/>
    </xf>
    <xf numFmtId="0" fontId="16" fillId="0" borderId="75" xfId="57485" applyFont="1" applyBorder="1" applyAlignment="1">
      <alignment horizontal="center" vertical="center"/>
    </xf>
    <xf numFmtId="0" fontId="16" fillId="0" borderId="89" xfId="57485" applyFont="1" applyBorder="1" applyAlignment="1">
      <alignment horizontal="left" vertical="center"/>
    </xf>
    <xf numFmtId="0" fontId="16" fillId="0" borderId="90" xfId="57485" applyFont="1" applyBorder="1" applyAlignment="1">
      <alignment horizontal="left" vertical="center"/>
    </xf>
    <xf numFmtId="0" fontId="16" fillId="0" borderId="86" xfId="57485" applyFont="1" applyBorder="1" applyAlignment="1">
      <alignment horizontal="left" vertical="center"/>
    </xf>
    <xf numFmtId="0" fontId="16" fillId="0" borderId="26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25" xfId="57485" applyFont="1" applyBorder="1" applyAlignment="1">
      <alignment horizontal="left" vertical="center"/>
    </xf>
    <xf numFmtId="56" fontId="16" fillId="0" borderId="52" xfId="57485" quotePrefix="1" applyNumberFormat="1" applyFont="1" applyBorder="1" applyAlignment="1">
      <alignment horizontal="center" vertical="center"/>
    </xf>
    <xf numFmtId="0" fontId="16" fillId="0" borderId="27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28" xfId="57485" applyFont="1" applyBorder="1" applyAlignment="1">
      <alignment horizontal="left" vertical="center"/>
    </xf>
    <xf numFmtId="56" fontId="16" fillId="0" borderId="52" xfId="57485" applyNumberFormat="1" applyFont="1" applyBorder="1" applyAlignment="1">
      <alignment horizontal="center" vertical="center"/>
    </xf>
    <xf numFmtId="0" fontId="16" fillId="43" borderId="4" xfId="57482" applyFont="1" applyFill="1" applyBorder="1" applyAlignment="1">
      <alignment horizontal="center" vertical="center"/>
    </xf>
    <xf numFmtId="0" fontId="16" fillId="43" borderId="5" xfId="57482" applyFont="1" applyFill="1" applyBorder="1" applyAlignment="1">
      <alignment horizontal="center" vertical="center"/>
    </xf>
    <xf numFmtId="0" fontId="16" fillId="43" borderId="29" xfId="57482" applyFont="1" applyFill="1" applyBorder="1" applyAlignment="1">
      <alignment horizontal="center" vertical="center"/>
    </xf>
    <xf numFmtId="0" fontId="16" fillId="43" borderId="9" xfId="57482" applyFont="1" applyFill="1" applyBorder="1" applyAlignment="1">
      <alignment horizontal="center" vertical="center"/>
    </xf>
    <xf numFmtId="0" fontId="16" fillId="43" borderId="0" xfId="57482" applyFont="1" applyFill="1" applyAlignment="1">
      <alignment horizontal="center" vertical="center"/>
    </xf>
    <xf numFmtId="0" fontId="16" fillId="43" borderId="28" xfId="57482" applyFont="1" applyFill="1" applyBorder="1" applyAlignment="1">
      <alignment horizontal="center" vertical="center"/>
    </xf>
    <xf numFmtId="0" fontId="16" fillId="43" borderId="56" xfId="57485" applyFont="1" applyFill="1" applyBorder="1" applyAlignment="1">
      <alignment horizontal="center" vertical="center"/>
    </xf>
    <xf numFmtId="0" fontId="16" fillId="43" borderId="5" xfId="57485" applyFont="1" applyFill="1" applyBorder="1" applyAlignment="1">
      <alignment horizontal="center" vertical="center"/>
    </xf>
    <xf numFmtId="0" fontId="16" fillId="43" borderId="29" xfId="57485" applyFont="1" applyFill="1" applyBorder="1" applyAlignment="1">
      <alignment horizontal="center" vertical="center"/>
    </xf>
    <xf numFmtId="0" fontId="16" fillId="43" borderId="58" xfId="57485" applyFont="1" applyFill="1" applyBorder="1" applyAlignment="1">
      <alignment horizontal="center" vertical="center"/>
    </xf>
    <xf numFmtId="0" fontId="16" fillId="43" borderId="59" xfId="57485" applyFont="1" applyFill="1" applyBorder="1" applyAlignment="1">
      <alignment horizontal="center" vertical="center"/>
    </xf>
    <xf numFmtId="0" fontId="16" fillId="43" borderId="60" xfId="57485" applyFont="1" applyFill="1" applyBorder="1" applyAlignment="1">
      <alignment horizontal="center" vertical="center"/>
    </xf>
    <xf numFmtId="0" fontId="16" fillId="43" borderId="56" xfId="57482" applyFont="1" applyFill="1" applyBorder="1" applyAlignment="1">
      <alignment horizontal="center" vertical="center"/>
    </xf>
    <xf numFmtId="0" fontId="16" fillId="43" borderId="58" xfId="57482" applyFont="1" applyFill="1" applyBorder="1" applyAlignment="1">
      <alignment horizontal="center" vertical="center"/>
    </xf>
    <xf numFmtId="0" fontId="16" fillId="43" borderId="59" xfId="57482" applyFont="1" applyFill="1" applyBorder="1" applyAlignment="1">
      <alignment horizontal="center" vertical="center"/>
    </xf>
    <xf numFmtId="0" fontId="16" fillId="43" borderId="60" xfId="57482" applyFont="1" applyFill="1" applyBorder="1" applyAlignment="1">
      <alignment horizontal="center" vertical="center"/>
    </xf>
    <xf numFmtId="0" fontId="16" fillId="43" borderId="56" xfId="57482" applyFont="1" applyFill="1" applyBorder="1" applyAlignment="1">
      <alignment horizontal="center" vertical="center" wrapText="1"/>
    </xf>
    <xf numFmtId="0" fontId="16" fillId="43" borderId="27" xfId="57482" applyFont="1" applyFill="1" applyBorder="1" applyAlignment="1">
      <alignment horizontal="center" vertical="center"/>
    </xf>
    <xf numFmtId="0" fontId="16" fillId="43" borderId="57" xfId="57482" applyFont="1" applyFill="1" applyBorder="1" applyAlignment="1">
      <alignment horizontal="center" vertical="center"/>
    </xf>
    <xf numFmtId="0" fontId="16" fillId="43" borderId="10" xfId="57482" applyFont="1" applyFill="1" applyBorder="1" applyAlignment="1">
      <alignment horizontal="center" vertical="center"/>
    </xf>
    <xf numFmtId="176" fontId="16" fillId="0" borderId="61" xfId="57485" applyNumberFormat="1" applyFont="1" applyBorder="1" applyAlignment="1">
      <alignment horizontal="center" vertical="center"/>
    </xf>
    <xf numFmtId="176" fontId="16" fillId="0" borderId="62" xfId="57485" applyNumberFormat="1" applyFont="1" applyBorder="1" applyAlignment="1">
      <alignment horizontal="center" vertical="center"/>
    </xf>
    <xf numFmtId="176" fontId="16" fillId="0" borderId="63" xfId="57485" applyNumberFormat="1" applyFont="1" applyBorder="1" applyAlignment="1">
      <alignment horizontal="center" vertical="center"/>
    </xf>
    <xf numFmtId="176" fontId="16" fillId="0" borderId="9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28" xfId="57485" applyNumberFormat="1" applyFont="1" applyBorder="1" applyAlignment="1">
      <alignment horizontal="center" vertical="center"/>
    </xf>
    <xf numFmtId="0" fontId="16" fillId="0" borderId="64" xfId="57485" applyFont="1" applyBorder="1" applyAlignment="1">
      <alignment horizontal="left" vertical="center"/>
    </xf>
    <xf numFmtId="0" fontId="16" fillId="0" borderId="62" xfId="57485" applyFont="1" applyBorder="1" applyAlignment="1">
      <alignment horizontal="left" vertical="center"/>
    </xf>
    <xf numFmtId="0" fontId="16" fillId="0" borderId="63" xfId="57485" applyFont="1" applyBorder="1" applyAlignment="1">
      <alignment horizontal="left" vertical="center"/>
    </xf>
    <xf numFmtId="0" fontId="16" fillId="0" borderId="64" xfId="57485" applyFont="1" applyBorder="1" applyAlignment="1">
      <alignment horizontal="center" vertical="center"/>
    </xf>
    <xf numFmtId="0" fontId="16" fillId="0" borderId="62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56" fontId="16" fillId="0" borderId="65" xfId="57485" quotePrefix="1" applyNumberFormat="1" applyFont="1" applyBorder="1" applyAlignment="1">
      <alignment horizontal="center" vertical="center"/>
    </xf>
    <xf numFmtId="0" fontId="16" fillId="0" borderId="66" xfId="57485" applyFont="1" applyBorder="1" applyAlignment="1">
      <alignment horizontal="center" vertical="center"/>
    </xf>
    <xf numFmtId="0" fontId="16" fillId="0" borderId="67" xfId="57485" applyFont="1" applyBorder="1" applyAlignment="1">
      <alignment horizontal="center" vertical="center"/>
    </xf>
    <xf numFmtId="56" fontId="16" fillId="0" borderId="65" xfId="57485" applyNumberFormat="1" applyFont="1" applyBorder="1" applyAlignment="1">
      <alignment horizontal="center" vertical="center"/>
    </xf>
    <xf numFmtId="0" fontId="16" fillId="0" borderId="68" xfId="57485" applyFont="1" applyBorder="1" applyAlignment="1">
      <alignment horizontal="center" vertical="center"/>
    </xf>
    <xf numFmtId="0" fontId="79" fillId="41" borderId="17" xfId="57485" applyFont="1" applyFill="1" applyBorder="1" applyAlignment="1">
      <alignment horizontal="center" vertical="center"/>
    </xf>
    <xf numFmtId="0" fontId="79" fillId="41" borderId="14" xfId="57485" applyFont="1" applyFill="1" applyBorder="1" applyAlignment="1">
      <alignment horizontal="center" vertical="center"/>
    </xf>
    <xf numFmtId="0" fontId="79" fillId="41" borderId="15" xfId="57485" applyFont="1" applyFill="1" applyBorder="1" applyAlignment="1">
      <alignment horizontal="center" vertical="center"/>
    </xf>
    <xf numFmtId="0" fontId="79" fillId="41" borderId="23" xfId="57485" applyFont="1" applyFill="1" applyBorder="1" applyAlignment="1">
      <alignment horizontal="center" vertical="center"/>
    </xf>
    <xf numFmtId="0" fontId="79" fillId="41" borderId="21" xfId="57485" applyFont="1" applyFill="1" applyBorder="1" applyAlignment="1">
      <alignment horizontal="center" vertical="center"/>
    </xf>
    <xf numFmtId="0" fontId="79" fillId="41" borderId="18" xfId="57485" applyFont="1" applyFill="1" applyBorder="1" applyAlignment="1">
      <alignment horizontal="center" vertical="center"/>
    </xf>
    <xf numFmtId="0" fontId="78" fillId="0" borderId="23" xfId="57485" applyFont="1" applyBorder="1" applyAlignment="1">
      <alignment horizontal="center" vertical="center"/>
    </xf>
    <xf numFmtId="0" fontId="78" fillId="0" borderId="21" xfId="57485" applyFont="1" applyBorder="1" applyAlignment="1">
      <alignment horizontal="center" vertical="center"/>
    </xf>
    <xf numFmtId="0" fontId="78" fillId="0" borderId="18" xfId="57485" applyFont="1" applyBorder="1" applyAlignment="1">
      <alignment horizontal="center" vertical="center"/>
    </xf>
    <xf numFmtId="14" fontId="79" fillId="41" borderId="23" xfId="57485" applyNumberFormat="1" applyFont="1" applyFill="1" applyBorder="1" applyAlignment="1">
      <alignment horizontal="center" vertical="center"/>
    </xf>
    <xf numFmtId="14" fontId="79" fillId="41" borderId="21" xfId="57485" applyNumberFormat="1" applyFont="1" applyFill="1" applyBorder="1" applyAlignment="1">
      <alignment horizontal="center" vertical="center"/>
    </xf>
    <xf numFmtId="14" fontId="79" fillId="41" borderId="18" xfId="57485" applyNumberFormat="1" applyFont="1" applyFill="1" applyBorder="1" applyAlignment="1">
      <alignment horizontal="center" vertical="center"/>
    </xf>
    <xf numFmtId="14" fontId="78" fillId="0" borderId="23" xfId="57485" applyNumberFormat="1" applyFont="1" applyBorder="1" applyAlignment="1">
      <alignment horizontal="center" vertical="center"/>
    </xf>
    <xf numFmtId="14" fontId="78" fillId="0" borderId="21" xfId="57485" applyNumberFormat="1" applyFont="1" applyBorder="1" applyAlignment="1">
      <alignment horizontal="center" vertical="center"/>
    </xf>
    <xf numFmtId="14" fontId="78" fillId="0" borderId="18" xfId="57485" applyNumberFormat="1" applyFont="1" applyBorder="1" applyAlignment="1">
      <alignment horizontal="center" vertical="center"/>
    </xf>
    <xf numFmtId="0" fontId="78" fillId="0" borderId="23" xfId="57485" quotePrefix="1" applyFont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84" fillId="40" borderId="4" xfId="57484" applyFont="1" applyFill="1" applyBorder="1" applyAlignment="1" applyProtection="1">
      <alignment horizontal="center" vertical="center"/>
    </xf>
    <xf numFmtId="0" fontId="84" fillId="40" borderId="5" xfId="57484" applyFont="1" applyFill="1" applyBorder="1" applyAlignment="1" applyProtection="1">
      <alignment horizontal="center" vertical="center"/>
    </xf>
    <xf numFmtId="0" fontId="84" fillId="40" borderId="29" xfId="57484" applyFont="1" applyFill="1" applyBorder="1" applyAlignment="1" applyProtection="1">
      <alignment horizontal="center" vertical="center"/>
    </xf>
    <xf numFmtId="0" fontId="84" fillId="40" borderId="6" xfId="57484" applyFont="1" applyFill="1" applyBorder="1" applyAlignment="1" applyProtection="1">
      <alignment horizontal="center" vertical="center"/>
    </xf>
    <xf numFmtId="0" fontId="84" fillId="40" borderId="55" xfId="57484" applyFont="1" applyFill="1" applyBorder="1" applyAlignment="1" applyProtection="1">
      <alignment horizontal="center" vertical="center"/>
    </xf>
    <xf numFmtId="0" fontId="84" fillId="40" borderId="30" xfId="57484" applyFont="1" applyFill="1" applyBorder="1" applyAlignment="1" applyProtection="1">
      <alignment horizontal="center" vertical="center"/>
    </xf>
    <xf numFmtId="0" fontId="85" fillId="0" borderId="56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29" xfId="57485" applyFont="1" applyBorder="1" applyAlignment="1">
      <alignment horizontal="center" vertical="center" shrinkToFit="1"/>
    </xf>
    <xf numFmtId="0" fontId="85" fillId="0" borderId="31" xfId="57485" applyFont="1" applyBorder="1" applyAlignment="1">
      <alignment horizontal="center" vertical="center" shrinkToFit="1"/>
    </xf>
    <xf numFmtId="0" fontId="85" fillId="0" borderId="55" xfId="57485" applyFont="1" applyBorder="1" applyAlignment="1">
      <alignment horizontal="center" vertical="center" shrinkToFit="1"/>
    </xf>
    <xf numFmtId="0" fontId="85" fillId="0" borderId="30" xfId="57485" applyFont="1" applyBorder="1" applyAlignment="1">
      <alignment horizontal="center" vertical="center" shrinkToFit="1"/>
    </xf>
    <xf numFmtId="0" fontId="79" fillId="41" borderId="16" xfId="57485" applyFont="1" applyFill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 shrinkToFit="1"/>
    </xf>
    <xf numFmtId="0" fontId="78" fillId="0" borderId="14" xfId="57485" applyFont="1" applyBorder="1" applyAlignment="1">
      <alignment horizontal="center" vertical="center" shrinkToFit="1"/>
    </xf>
    <xf numFmtId="0" fontId="78" fillId="0" borderId="16" xfId="57485" applyFont="1" applyBorder="1" applyAlignment="1">
      <alignment horizontal="center" vertical="center" shrinkToFit="1"/>
    </xf>
    <xf numFmtId="14" fontId="78" fillId="0" borderId="17" xfId="57485" applyNumberFormat="1" applyFont="1" applyBorder="1" applyAlignment="1">
      <alignment horizontal="center" vertical="center"/>
    </xf>
    <xf numFmtId="14" fontId="78" fillId="0" borderId="14" xfId="57485" applyNumberFormat="1" applyFont="1" applyBorder="1" applyAlignment="1">
      <alignment horizontal="center" vertical="center"/>
    </xf>
    <xf numFmtId="14" fontId="78" fillId="0" borderId="16" xfId="57485" applyNumberFormat="1" applyFont="1" applyBorder="1" applyAlignment="1">
      <alignment horizontal="center" vertical="center"/>
    </xf>
    <xf numFmtId="0" fontId="17" fillId="0" borderId="89" xfId="0" applyFont="1" applyBorder="1" applyAlignment="1">
      <alignment horizontal="right" vertical="center"/>
    </xf>
    <xf numFmtId="0" fontId="17" fillId="0" borderId="90" xfId="0" applyFont="1" applyBorder="1" applyAlignment="1">
      <alignment horizontal="right" vertical="center"/>
    </xf>
    <xf numFmtId="0" fontId="17" fillId="0" borderId="86" xfId="0" applyFont="1" applyBorder="1" applyAlignment="1">
      <alignment horizontal="right" vertical="center"/>
    </xf>
    <xf numFmtId="0" fontId="25" fillId="0" borderId="5" xfId="8" applyFont="1" applyBorder="1" applyAlignment="1">
      <alignment horizontal="center" vertical="center" wrapText="1"/>
    </xf>
    <xf numFmtId="0" fontId="25" fillId="0" borderId="29" xfId="8" applyFont="1" applyBorder="1" applyAlignment="1">
      <alignment horizontal="center" vertical="center" wrapText="1"/>
    </xf>
    <xf numFmtId="0" fontId="25" fillId="0" borderId="9" xfId="8" applyFont="1" applyBorder="1" applyAlignment="1">
      <alignment horizontal="center" vertical="center" wrapText="1"/>
    </xf>
    <xf numFmtId="0" fontId="25" fillId="0" borderId="0" xfId="8" applyFont="1" applyAlignment="1">
      <alignment horizontal="center" vertical="center" wrapText="1"/>
    </xf>
    <xf numFmtId="0" fontId="25" fillId="0" borderId="28" xfId="8" applyFont="1" applyBorder="1" applyAlignment="1">
      <alignment horizontal="center" vertical="center" wrapText="1"/>
    </xf>
    <xf numFmtId="0" fontId="25" fillId="0" borderId="6" xfId="8" applyFont="1" applyBorder="1" applyAlignment="1">
      <alignment horizontal="center" vertical="center" wrapText="1"/>
    </xf>
    <xf numFmtId="0" fontId="25" fillId="0" borderId="55" xfId="8" applyFont="1" applyBorder="1" applyAlignment="1">
      <alignment horizontal="center" vertical="center" wrapText="1"/>
    </xf>
    <xf numFmtId="0" fontId="25" fillId="0" borderId="30" xfId="8" applyFont="1" applyBorder="1" applyAlignment="1">
      <alignment horizontal="center" vertical="center" wrapText="1"/>
    </xf>
    <xf numFmtId="0" fontId="15" fillId="44" borderId="17" xfId="8" applyFont="1" applyFill="1" applyBorder="1" applyAlignment="1">
      <alignment horizontal="center" vertical="center" wrapText="1"/>
    </xf>
    <xf numFmtId="0" fontId="15" fillId="44" borderId="14" xfId="8" applyFont="1" applyFill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7" xfId="8" applyFont="1" applyFill="1" applyBorder="1" applyAlignment="1">
      <alignment horizontal="center" wrapText="1"/>
    </xf>
    <xf numFmtId="0" fontId="15" fillId="44" borderId="14" xfId="8" applyFont="1" applyFill="1" applyBorder="1" applyAlignment="1">
      <alignment horizontal="center" wrapText="1"/>
    </xf>
    <xf numFmtId="0" fontId="15" fillId="44" borderId="16" xfId="8" applyFont="1" applyFill="1" applyBorder="1" applyAlignment="1">
      <alignment horizontal="center" wrapText="1"/>
    </xf>
    <xf numFmtId="0" fontId="15" fillId="0" borderId="90" xfId="8" applyFont="1" applyBorder="1" applyAlignment="1">
      <alignment horizontal="center" vertical="center" wrapText="1"/>
    </xf>
    <xf numFmtId="0" fontId="15" fillId="0" borderId="86" xfId="8" applyFont="1" applyBorder="1" applyAlignment="1">
      <alignment horizontal="center" vertical="center" wrapText="1"/>
    </xf>
    <xf numFmtId="0" fontId="15" fillId="44" borderId="85" xfId="8" applyFont="1" applyFill="1" applyBorder="1" applyAlignment="1">
      <alignment horizontal="center" wrapText="1"/>
    </xf>
    <xf numFmtId="0" fontId="15" fillId="44" borderId="92" xfId="8" applyFont="1" applyFill="1" applyBorder="1" applyAlignment="1">
      <alignment horizontal="center" wrapText="1"/>
    </xf>
    <xf numFmtId="0" fontId="15" fillId="44" borderId="84" xfId="8" applyFont="1" applyFill="1" applyBorder="1" applyAlignment="1">
      <alignment horizontal="center" wrapText="1"/>
    </xf>
    <xf numFmtId="0" fontId="16" fillId="0" borderId="14" xfId="8" applyFont="1" applyBorder="1" applyAlignment="1">
      <alignment horizontal="center" wrapText="1"/>
    </xf>
    <xf numFmtId="0" fontId="16" fillId="0" borderId="16" xfId="8" applyFont="1" applyBorder="1" applyAlignment="1">
      <alignment horizontal="center" wrapText="1"/>
    </xf>
    <xf numFmtId="0" fontId="15" fillId="44" borderId="17" xfId="9" applyFont="1" applyFill="1" applyBorder="1" applyAlignment="1">
      <alignment horizontal="center" wrapText="1"/>
    </xf>
    <xf numFmtId="0" fontId="6" fillId="44" borderId="14" xfId="224" applyFill="1" applyBorder="1" applyAlignment="1">
      <alignment horizontal="center" wrapText="1"/>
    </xf>
    <xf numFmtId="0" fontId="6" fillId="44" borderId="16" xfId="224" applyFill="1" applyBorder="1" applyAlignment="1">
      <alignment horizontal="center" wrapText="1"/>
    </xf>
    <xf numFmtId="0" fontId="15" fillId="44" borderId="17" xfId="9" applyFont="1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6" fillId="44" borderId="16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19" fillId="0" borderId="55" xfId="8" applyFont="1" applyBorder="1" applyAlignment="1">
      <alignment horizontal="center" vertical="center" shrinkToFit="1"/>
    </xf>
    <xf numFmtId="0" fontId="19" fillId="0" borderId="30" xfId="8" applyFont="1" applyBorder="1" applyAlignment="1">
      <alignment horizontal="center" vertical="center" shrinkToFit="1"/>
    </xf>
    <xf numFmtId="0" fontId="15" fillId="44" borderId="23" xfId="8" applyFont="1" applyFill="1" applyBorder="1" applyAlignment="1">
      <alignment horizontal="center" wrapText="1"/>
    </xf>
    <xf numFmtId="0" fontId="15" fillId="44" borderId="21" xfId="8" applyFont="1" applyFill="1" applyBorder="1" applyAlignment="1">
      <alignment horizontal="center" wrapText="1"/>
    </xf>
    <xf numFmtId="0" fontId="15" fillId="44" borderId="18" xfId="8" applyFont="1" applyFill="1" applyBorder="1" applyAlignment="1">
      <alignment horizontal="center" wrapText="1"/>
    </xf>
    <xf numFmtId="0" fontId="17" fillId="0" borderId="18" xfId="6" quotePrefix="1" applyFont="1" applyBorder="1" applyAlignment="1">
      <alignment wrapText="1"/>
    </xf>
    <xf numFmtId="56" fontId="23" fillId="0" borderId="0" xfId="0" applyNumberFormat="1" applyFont="1" applyAlignment="1">
      <alignment horizontal="center" vertical="center"/>
    </xf>
    <xf numFmtId="0" fontId="15" fillId="32" borderId="12" xfId="0" applyFont="1" applyFill="1" applyBorder="1" applyAlignment="1">
      <alignment horizontal="center" vertical="center"/>
    </xf>
    <xf numFmtId="0" fontId="15" fillId="32" borderId="14" xfId="0" applyFont="1" applyFill="1" applyBorder="1" applyAlignment="1">
      <alignment horizontal="center" vertical="center"/>
    </xf>
    <xf numFmtId="0" fontId="15" fillId="32" borderId="15" xfId="0" applyFont="1" applyFill="1" applyBorder="1" applyAlignment="1">
      <alignment horizontal="center" vertical="center"/>
    </xf>
    <xf numFmtId="0" fontId="16" fillId="31" borderId="17" xfId="8" applyFont="1" applyFill="1" applyBorder="1" applyAlignment="1">
      <alignment horizontal="center" shrinkToFit="1"/>
    </xf>
    <xf numFmtId="0" fontId="6" fillId="31" borderId="14" xfId="224" applyFill="1" applyBorder="1" applyAlignment="1">
      <alignment horizontal="center" shrinkToFit="1"/>
    </xf>
    <xf numFmtId="0" fontId="6" fillId="31" borderId="16" xfId="224" applyFill="1" applyBorder="1" applyAlignment="1">
      <alignment horizontal="center" shrinkToFit="1"/>
    </xf>
    <xf numFmtId="0" fontId="25" fillId="31" borderId="4" xfId="8" applyFont="1" applyFill="1" applyBorder="1" applyAlignment="1">
      <alignment horizontal="center" vertical="center" wrapText="1"/>
    </xf>
    <xf numFmtId="0" fontId="22" fillId="31" borderId="5" xfId="224" applyFont="1" applyFill="1" applyBorder="1" applyAlignment="1">
      <alignment horizontal="center" vertical="center" wrapText="1"/>
    </xf>
    <xf numFmtId="0" fontId="22" fillId="31" borderId="29" xfId="224" applyFont="1" applyFill="1" applyBorder="1" applyAlignment="1">
      <alignment horizontal="center" vertical="center" wrapText="1"/>
    </xf>
    <xf numFmtId="0" fontId="22" fillId="31" borderId="9" xfId="224" applyFont="1" applyFill="1" applyBorder="1" applyAlignment="1">
      <alignment horizontal="center" vertical="center" wrapText="1"/>
    </xf>
    <xf numFmtId="0" fontId="22" fillId="31" borderId="0" xfId="224" applyFont="1" applyFill="1" applyAlignment="1">
      <alignment horizontal="center" vertical="center" wrapText="1"/>
    </xf>
    <xf numFmtId="0" fontId="22" fillId="31" borderId="28" xfId="224" applyFont="1" applyFill="1" applyBorder="1" applyAlignment="1">
      <alignment horizontal="center" vertical="center" wrapText="1"/>
    </xf>
    <xf numFmtId="0" fontId="22" fillId="31" borderId="6" xfId="224" applyFont="1" applyFill="1" applyBorder="1" applyAlignment="1">
      <alignment horizontal="center" vertical="center" wrapText="1"/>
    </xf>
    <xf numFmtId="0" fontId="22" fillId="31" borderId="55" xfId="224" applyFont="1" applyFill="1" applyBorder="1" applyAlignment="1">
      <alignment horizontal="center" vertical="center" wrapText="1"/>
    </xf>
    <xf numFmtId="0" fontId="22" fillId="31" borderId="30" xfId="224" applyFont="1" applyFill="1" applyBorder="1" applyAlignment="1">
      <alignment horizontal="center" vertical="center" wrapText="1"/>
    </xf>
    <xf numFmtId="0" fontId="15" fillId="37" borderId="13" xfId="9" applyFont="1" applyFill="1" applyBorder="1" applyAlignment="1">
      <alignment horizontal="center"/>
    </xf>
    <xf numFmtId="0" fontId="15" fillId="37" borderId="17" xfId="9" applyFont="1" applyFill="1" applyBorder="1" applyAlignment="1">
      <alignment horizontal="center" wrapText="1"/>
    </xf>
    <xf numFmtId="0" fontId="6" fillId="37" borderId="14" xfId="224" applyFill="1" applyBorder="1" applyAlignment="1">
      <alignment horizontal="center" wrapText="1"/>
    </xf>
    <xf numFmtId="0" fontId="6" fillId="37" borderId="16" xfId="224" applyFill="1" applyBorder="1" applyAlignment="1">
      <alignment horizontal="center" wrapText="1"/>
    </xf>
    <xf numFmtId="0" fontId="6" fillId="37" borderId="15" xfId="224" applyFill="1" applyBorder="1" applyAlignment="1">
      <alignment horizontal="center" wrapText="1"/>
    </xf>
    <xf numFmtId="0" fontId="15" fillId="31" borderId="89" xfId="8" applyFont="1" applyFill="1" applyBorder="1" applyAlignment="1">
      <alignment horizontal="center" vertical="center" wrapText="1"/>
    </xf>
    <xf numFmtId="0" fontId="6" fillId="31" borderId="90" xfId="224" applyFill="1" applyBorder="1" applyAlignment="1">
      <alignment horizontal="center" vertical="center" wrapText="1"/>
    </xf>
    <xf numFmtId="0" fontId="6" fillId="31" borderId="86" xfId="224" applyFill="1" applyBorder="1" applyAlignment="1">
      <alignment horizontal="center" vertical="center" wrapText="1"/>
    </xf>
    <xf numFmtId="0" fontId="15" fillId="37" borderId="85" xfId="8" applyFont="1" applyFill="1" applyBorder="1" applyAlignment="1">
      <alignment horizontal="center" shrinkToFit="1"/>
    </xf>
    <xf numFmtId="0" fontId="6" fillId="37" borderId="92" xfId="224" applyFill="1" applyBorder="1" applyAlignment="1">
      <alignment horizontal="center" shrinkToFit="1"/>
    </xf>
    <xf numFmtId="0" fontId="6" fillId="37" borderId="84" xfId="224" applyFill="1" applyBorder="1" applyAlignment="1">
      <alignment horizontal="center" shrinkToFit="1"/>
    </xf>
    <xf numFmtId="176" fontId="16" fillId="31" borderId="89" xfId="9" applyNumberFormat="1" applyFont="1" applyFill="1" applyBorder="1" applyAlignment="1">
      <alignment horizontal="center" vertical="center" wrapText="1"/>
    </xf>
    <xf numFmtId="0" fontId="6" fillId="31" borderId="87" xfId="224" applyFill="1" applyBorder="1" applyAlignment="1">
      <alignment horizontal="center" vertical="center" wrapText="1"/>
    </xf>
    <xf numFmtId="0" fontId="6" fillId="31" borderId="31" xfId="224" applyFill="1" applyBorder="1" applyAlignment="1">
      <alignment horizontal="center" vertical="center" wrapText="1"/>
    </xf>
    <xf numFmtId="0" fontId="6" fillId="31" borderId="55" xfId="224" applyFill="1" applyBorder="1" applyAlignment="1">
      <alignment horizontal="center" vertical="center" wrapText="1"/>
    </xf>
    <xf numFmtId="0" fontId="6" fillId="31" borderId="8" xfId="224" applyFill="1" applyBorder="1" applyAlignment="1">
      <alignment horizontal="center" vertical="center" wrapText="1"/>
    </xf>
    <xf numFmtId="0" fontId="19" fillId="31" borderId="31" xfId="8" applyFont="1" applyFill="1" applyBorder="1" applyAlignment="1">
      <alignment horizontal="center" vertical="center" shrinkToFit="1"/>
    </xf>
    <xf numFmtId="0" fontId="24" fillId="31" borderId="55" xfId="224" applyFont="1" applyFill="1" applyBorder="1" applyAlignment="1">
      <alignment horizontal="center" vertical="center" shrinkToFit="1"/>
    </xf>
    <xf numFmtId="0" fontId="24" fillId="31" borderId="30" xfId="224" applyFont="1" applyFill="1" applyBorder="1" applyAlignment="1">
      <alignment horizontal="center" vertical="center" shrinkToFit="1"/>
    </xf>
    <xf numFmtId="0" fontId="15" fillId="37" borderId="23" xfId="8" applyFont="1" applyFill="1" applyBorder="1" applyAlignment="1">
      <alignment horizontal="center" shrinkToFit="1"/>
    </xf>
    <xf numFmtId="0" fontId="6" fillId="37" borderId="21" xfId="224" applyFill="1" applyBorder="1" applyAlignment="1">
      <alignment horizontal="center" shrinkToFit="1"/>
    </xf>
    <xf numFmtId="0" fontId="6" fillId="37" borderId="18" xfId="224" applyFill="1" applyBorder="1" applyAlignment="1">
      <alignment horizontal="center" shrinkToFit="1"/>
    </xf>
    <xf numFmtId="0" fontId="17" fillId="31" borderId="23" xfId="8" applyFont="1" applyFill="1" applyBorder="1" applyAlignment="1">
      <alignment horizontal="center" wrapText="1"/>
    </xf>
    <xf numFmtId="0" fontId="6" fillId="31" borderId="21" xfId="224" applyFill="1" applyBorder="1" applyAlignment="1">
      <alignment horizontal="center" wrapText="1"/>
    </xf>
    <xf numFmtId="0" fontId="17" fillId="31" borderId="21" xfId="8" quotePrefix="1" applyFont="1" applyFill="1" applyBorder="1" applyAlignment="1">
      <alignment horizontal="left" wrapText="1"/>
    </xf>
    <xf numFmtId="0" fontId="24" fillId="31" borderId="21" xfId="224" applyFont="1" applyFill="1" applyBorder="1" applyAlignment="1">
      <alignment horizontal="left" wrapText="1"/>
    </xf>
    <xf numFmtId="0" fontId="24" fillId="31" borderId="18" xfId="224" applyFont="1" applyFill="1" applyBorder="1" applyAlignment="1">
      <alignment horizontal="left" wrapText="1"/>
    </xf>
    <xf numFmtId="0" fontId="16" fillId="31" borderId="85" xfId="224" applyFont="1" applyFill="1" applyBorder="1" applyAlignment="1">
      <alignment horizontal="center" wrapText="1"/>
    </xf>
    <xf numFmtId="0" fontId="16" fillId="31" borderId="92" xfId="224" applyFont="1" applyFill="1" applyBorder="1" applyAlignment="1">
      <alignment horizontal="center" wrapText="1"/>
    </xf>
    <xf numFmtId="0" fontId="16" fillId="31" borderId="84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4" xfId="9" applyFont="1" applyFill="1" applyBorder="1" applyAlignment="1">
      <alignment horizontal="center" vertical="center"/>
    </xf>
    <xf numFmtId="0" fontId="16" fillId="31" borderId="89" xfId="9" applyFont="1" applyFill="1" applyBorder="1" applyAlignment="1">
      <alignment horizontal="center" vertical="center" wrapText="1"/>
    </xf>
    <xf numFmtId="0" fontId="6" fillId="31" borderId="30" xfId="224" applyFill="1" applyBorder="1" applyAlignment="1">
      <alignment horizontal="center" vertical="center" wrapText="1"/>
    </xf>
    <xf numFmtId="0" fontId="15" fillId="37" borderId="17" xfId="8" applyFont="1" applyFill="1" applyBorder="1" applyAlignment="1">
      <alignment horizontal="center" vertical="center" wrapText="1"/>
    </xf>
    <xf numFmtId="0" fontId="6" fillId="37" borderId="14" xfId="224" applyFill="1" applyBorder="1" applyAlignment="1">
      <alignment horizontal="center" vertical="center" wrapText="1"/>
    </xf>
    <xf numFmtId="0" fontId="6" fillId="37" borderId="16" xfId="224" applyFill="1" applyBorder="1" applyAlignment="1">
      <alignment horizontal="center" vertical="center" wrapText="1"/>
    </xf>
    <xf numFmtId="0" fontId="15" fillId="37" borderId="17" xfId="8" applyFont="1" applyFill="1" applyBorder="1" applyAlignment="1">
      <alignment horizontal="center" shrinkToFit="1"/>
    </xf>
    <xf numFmtId="0" fontId="6" fillId="37" borderId="14" xfId="224" applyFill="1" applyBorder="1" applyAlignment="1">
      <alignment horizontal="center" shrinkToFit="1"/>
    </xf>
    <xf numFmtId="0" fontId="6" fillId="37" borderId="16" xfId="224" applyFill="1" applyBorder="1" applyAlignment="1">
      <alignment horizontal="center" shrinkToFit="1"/>
    </xf>
    <xf numFmtId="0" fontId="16" fillId="31" borderId="17" xfId="8" applyFont="1" applyFill="1" applyBorder="1" applyAlignment="1">
      <alignment horizontal="center" wrapText="1"/>
    </xf>
    <xf numFmtId="0" fontId="6" fillId="31" borderId="14" xfId="224" applyFill="1" applyBorder="1" applyAlignment="1">
      <alignment horizontal="center" wrapText="1"/>
    </xf>
    <xf numFmtId="0" fontId="6" fillId="31" borderId="16" xfId="224" applyFill="1" applyBorder="1" applyAlignment="1">
      <alignment horizontal="center" wrapText="1"/>
    </xf>
    <xf numFmtId="0" fontId="16" fillId="31" borderId="85" xfId="8" applyFont="1" applyFill="1" applyBorder="1" applyAlignment="1">
      <alignment horizontal="center" wrapText="1"/>
    </xf>
    <xf numFmtId="0" fontId="6" fillId="31" borderId="92" xfId="224" applyFill="1" applyBorder="1" applyAlignment="1">
      <alignment horizontal="center" wrapText="1"/>
    </xf>
    <xf numFmtId="0" fontId="6" fillId="31" borderId="84" xfId="224" applyFill="1" applyBorder="1" applyAlignment="1">
      <alignment horizontal="center" wrapText="1"/>
    </xf>
    <xf numFmtId="0" fontId="15" fillId="37" borderId="85" xfId="8" applyFont="1" applyFill="1" applyBorder="1" applyAlignment="1">
      <alignment horizontal="center" wrapText="1"/>
    </xf>
    <xf numFmtId="0" fontId="6" fillId="37" borderId="92" xfId="224" applyFill="1" applyBorder="1" applyAlignment="1">
      <alignment horizontal="center" wrapText="1"/>
    </xf>
    <xf numFmtId="0" fontId="6" fillId="37" borderId="84" xfId="224" applyFill="1" applyBorder="1" applyAlignment="1">
      <alignment horizontal="center" wrapText="1"/>
    </xf>
    <xf numFmtId="0" fontId="15" fillId="37" borderId="17" xfId="8" applyFont="1" applyFill="1" applyBorder="1" applyAlignment="1">
      <alignment horizontal="center" wrapText="1"/>
    </xf>
    <xf numFmtId="38" fontId="17" fillId="0" borderId="89" xfId="57491" applyFont="1" applyBorder="1" applyAlignment="1">
      <alignment horizontal="left" vertical="center" shrinkToFit="1"/>
    </xf>
    <xf numFmtId="38" fontId="17" fillId="0" borderId="86" xfId="57491" applyFont="1" applyBorder="1" applyAlignment="1">
      <alignment horizontal="left" vertical="center" shrinkToFit="1"/>
    </xf>
    <xf numFmtId="38" fontId="17" fillId="49" borderId="85" xfId="57491" applyFont="1" applyFill="1" applyBorder="1" applyAlignment="1">
      <alignment horizontal="left" vertical="center" shrinkToFit="1"/>
    </xf>
    <xf numFmtId="38" fontId="17" fillId="49" borderId="84" xfId="57491" applyFont="1" applyFill="1" applyBorder="1" applyAlignment="1">
      <alignment horizontal="left" vertical="center" shrinkToFit="1"/>
    </xf>
    <xf numFmtId="38" fontId="17" fillId="0" borderId="85" xfId="57491" applyFont="1" applyBorder="1" applyAlignment="1">
      <alignment horizontal="left" vertical="center" shrinkToFit="1"/>
    </xf>
    <xf numFmtId="38" fontId="17" fillId="0" borderId="84" xfId="57491" applyFont="1" applyBorder="1" applyAlignment="1">
      <alignment horizontal="left" vertical="center" shrinkToFit="1"/>
    </xf>
    <xf numFmtId="38" fontId="17" fillId="49" borderId="89" xfId="57491" applyFont="1" applyFill="1" applyBorder="1" applyAlignment="1">
      <alignment horizontal="left" vertical="center" shrinkToFit="1"/>
    </xf>
    <xf numFmtId="38" fontId="17" fillId="49" borderId="86" xfId="57491" applyFont="1" applyFill="1" applyBorder="1" applyAlignment="1">
      <alignment horizontal="left" vertical="center" shrinkToFit="1"/>
    </xf>
    <xf numFmtId="38" fontId="17" fillId="48" borderId="89" xfId="57491" applyFont="1" applyFill="1" applyBorder="1" applyAlignment="1">
      <alignment horizontal="left" vertical="center" shrinkToFit="1"/>
    </xf>
    <xf numFmtId="38" fontId="17" fillId="48" borderId="86" xfId="57491" applyFont="1" applyFill="1" applyBorder="1" applyAlignment="1">
      <alignment horizontal="left" vertical="center" shrinkToFit="1"/>
    </xf>
    <xf numFmtId="0" fontId="20" fillId="45" borderId="85" xfId="0" applyFont="1" applyFill="1" applyBorder="1" applyAlignment="1">
      <alignment horizontal="left" vertical="center" wrapText="1"/>
    </xf>
    <xf numFmtId="0" fontId="20" fillId="45" borderId="92" xfId="0" applyFont="1" applyFill="1" applyBorder="1" applyAlignment="1">
      <alignment horizontal="left" vertical="center"/>
    </xf>
    <xf numFmtId="0" fontId="20" fillId="45" borderId="84" xfId="0" applyFont="1" applyFill="1" applyBorder="1" applyAlignment="1">
      <alignment horizontal="left" vertical="center"/>
    </xf>
    <xf numFmtId="0" fontId="92" fillId="45" borderId="85" xfId="0" applyFont="1" applyFill="1" applyBorder="1" applyAlignment="1">
      <alignment horizontal="left" vertical="top" wrapText="1"/>
    </xf>
    <xf numFmtId="0" fontId="92" fillId="45" borderId="92" xfId="0" applyFont="1" applyFill="1" applyBorder="1" applyAlignment="1">
      <alignment horizontal="left" vertical="top"/>
    </xf>
    <xf numFmtId="0" fontId="92" fillId="45" borderId="84" xfId="0" applyFont="1" applyFill="1" applyBorder="1" applyAlignment="1">
      <alignment horizontal="left" vertical="top"/>
    </xf>
    <xf numFmtId="0" fontId="92" fillId="45" borderId="0" xfId="0" applyFont="1" applyFill="1" applyAlignment="1">
      <alignment vertical="center"/>
    </xf>
    <xf numFmtId="0" fontId="17" fillId="45" borderId="0" xfId="0" applyFont="1" applyFill="1" applyAlignment="1">
      <alignment horizontal="center" vertical="center"/>
    </xf>
    <xf numFmtId="0" fontId="20" fillId="45" borderId="0" xfId="0" applyFont="1" applyFill="1" applyAlignment="1">
      <alignment vertical="center"/>
    </xf>
  </cellXfs>
  <cellStyles count="57494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" xfId="57491" builtinId="6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A4867FA2-69CD-46DF-AA07-F21BAB81D94C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2" xr:uid="{B670E977-7920-475F-B683-651F02C698E7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10" xfId="57493" xr:uid="{5480A216-9894-45FF-A65A-78540C991F35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10"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</dxfs>
  <tableStyles count="0" defaultTableStyle="TableStyleMedium9" defaultPivotStyle="PivotStyleLight16"/>
  <colors>
    <mruColors>
      <color rgb="FFFFFFCC"/>
      <color rgb="FFFFFFFF"/>
      <color rgb="FF0000FF"/>
      <color rgb="FF0033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5</xdr:row>
      <xdr:rowOff>148828</xdr:rowOff>
    </xdr:from>
    <xdr:to>
      <xdr:col>56</xdr:col>
      <xdr:colOff>118038</xdr:colOff>
      <xdr:row>36</xdr:row>
      <xdr:rowOff>8080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E82D6F9-F98F-4588-A018-D999EEBC2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1" y="1034653"/>
          <a:ext cx="8881037" cy="6060027"/>
        </a:xfrm>
        <a:prstGeom prst="rect">
          <a:avLst/>
        </a:prstGeom>
      </xdr:spPr>
    </xdr:pic>
    <xdr:clientData/>
  </xdr:twoCellAnchor>
  <xdr:twoCellAnchor>
    <xdr:from>
      <xdr:col>4</xdr:col>
      <xdr:colOff>47624</xdr:colOff>
      <xdr:row>36</xdr:row>
      <xdr:rowOff>17860</xdr:rowOff>
    </xdr:from>
    <xdr:to>
      <xdr:col>53</xdr:col>
      <xdr:colOff>120088</xdr:colOff>
      <xdr:row>65</xdr:row>
      <xdr:rowOff>159324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4047237-DCDB-4A02-893F-6AAF03A3C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4" y="7104460"/>
          <a:ext cx="8006789" cy="59421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38100</xdr:colOff>
      <xdr:row>7</xdr:row>
      <xdr:rowOff>95250</xdr:rowOff>
    </xdr:from>
    <xdr:to>
      <xdr:col>118</xdr:col>
      <xdr:colOff>109702</xdr:colOff>
      <xdr:row>46</xdr:row>
      <xdr:rowOff>28321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E4F60BE-8B13-495E-8B0A-AAB628D07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352550"/>
          <a:ext cx="8815552" cy="6133846"/>
        </a:xfrm>
        <a:prstGeom prst="rect">
          <a:avLst/>
        </a:prstGeom>
      </xdr:spPr>
    </xdr:pic>
    <xdr:clientData/>
  </xdr:twoCellAnchor>
  <xdr:twoCellAnchor>
    <xdr:from>
      <xdr:col>66</xdr:col>
      <xdr:colOff>76200</xdr:colOff>
      <xdr:row>46</xdr:row>
      <xdr:rowOff>47625</xdr:rowOff>
    </xdr:from>
    <xdr:to>
      <xdr:col>115</xdr:col>
      <xdr:colOff>90323</xdr:colOff>
      <xdr:row>76</xdr:row>
      <xdr:rowOff>58120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84D8DD1-051C-4E8B-89A2-8D4FD556F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7550" y="8705850"/>
          <a:ext cx="7948448" cy="6011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51"/>
  </cols>
  <sheetData>
    <row r="1" spans="1:48">
      <c r="A1" s="51" t="s">
        <v>0</v>
      </c>
    </row>
    <row r="3" spans="1:48">
      <c r="C3" s="51" t="s">
        <v>1</v>
      </c>
    </row>
    <row r="4" spans="1:48">
      <c r="D4" s="51" t="s">
        <v>2</v>
      </c>
    </row>
    <row r="5" spans="1:48">
      <c r="D5" s="51" t="s">
        <v>3</v>
      </c>
    </row>
    <row r="7" spans="1:48">
      <c r="C7" s="51" t="s">
        <v>4</v>
      </c>
    </row>
    <row r="8" spans="1:48">
      <c r="D8" s="51" t="s">
        <v>5</v>
      </c>
    </row>
    <row r="9" spans="1:48">
      <c r="D9" s="51" t="s">
        <v>6</v>
      </c>
    </row>
    <row r="10" spans="1:48">
      <c r="B10" s="52"/>
      <c r="C10" s="53"/>
      <c r="D10" s="52"/>
      <c r="E10" s="52"/>
      <c r="F10" s="5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2"/>
      <c r="AT10" s="52"/>
      <c r="AU10" s="52"/>
    </row>
    <row r="11" spans="1:48">
      <c r="B11" s="52"/>
      <c r="C11" s="53"/>
      <c r="D11" s="52"/>
      <c r="E11" s="52"/>
      <c r="F11" s="5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142" t="s">
        <v>7</v>
      </c>
      <c r="V11" s="143"/>
      <c r="W11" s="144" t="s">
        <v>8</v>
      </c>
      <c r="X11" s="144" t="s">
        <v>9</v>
      </c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5"/>
    </row>
    <row r="12" spans="1:48">
      <c r="B12" s="52"/>
      <c r="C12" s="54"/>
      <c r="D12" s="52"/>
      <c r="E12" s="52"/>
      <c r="F12" s="5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5" t="s">
        <v>10</v>
      </c>
      <c r="V12" s="52"/>
      <c r="W12" s="53" t="s">
        <v>8</v>
      </c>
      <c r="X12" s="53" t="s">
        <v>11</v>
      </c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6"/>
    </row>
    <row r="13" spans="1:48">
      <c r="B13" s="52"/>
      <c r="C13" s="53"/>
      <c r="D13" s="52"/>
      <c r="E13" s="52"/>
      <c r="F13" s="52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5" t="s">
        <v>12</v>
      </c>
      <c r="V13" s="52"/>
      <c r="W13" s="53" t="s">
        <v>8</v>
      </c>
      <c r="X13" s="53" t="s">
        <v>13</v>
      </c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6"/>
    </row>
    <row r="14" spans="1:48">
      <c r="B14" s="52"/>
      <c r="C14" s="57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5" t="s">
        <v>14</v>
      </c>
      <c r="V14" s="52"/>
      <c r="W14" s="53" t="s">
        <v>8</v>
      </c>
      <c r="X14" s="53" t="s">
        <v>15</v>
      </c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6"/>
    </row>
    <row r="15" spans="1:48">
      <c r="B15" s="52"/>
      <c r="C15" s="54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8"/>
      <c r="V15" s="59"/>
      <c r="W15" s="60" t="s">
        <v>8</v>
      </c>
      <c r="X15" s="60" t="s">
        <v>16</v>
      </c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2"/>
    </row>
    <row r="16" spans="1:48">
      <c r="B16" s="52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</row>
    <row r="17" spans="2:81">
      <c r="B17" s="52"/>
      <c r="C17" s="54"/>
      <c r="D17" s="53" t="s">
        <v>17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 t="s">
        <v>18</v>
      </c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2"/>
      <c r="AT17" s="52"/>
      <c r="AU17" s="52"/>
    </row>
    <row r="18" spans="2:81">
      <c r="B18" s="52"/>
      <c r="C18" s="54"/>
      <c r="D18" s="146" t="s">
        <v>19</v>
      </c>
      <c r="E18" s="147"/>
      <c r="F18" s="147"/>
      <c r="G18" s="147"/>
      <c r="H18" s="147"/>
      <c r="I18" s="147"/>
      <c r="J18" s="147"/>
      <c r="K18" s="147"/>
      <c r="L18" s="147"/>
      <c r="M18" s="148"/>
      <c r="N18" s="149" t="s">
        <v>20</v>
      </c>
      <c r="O18" s="168"/>
      <c r="P18" s="168"/>
      <c r="Q18" s="168"/>
      <c r="R18" s="168"/>
      <c r="S18" s="168"/>
      <c r="T18" s="168"/>
      <c r="U18" s="168"/>
      <c r="V18" s="150"/>
      <c r="W18" s="149" t="s">
        <v>21</v>
      </c>
      <c r="X18" s="168"/>
      <c r="Y18" s="168"/>
      <c r="Z18" s="168"/>
      <c r="AA18" s="168"/>
      <c r="AB18" s="168"/>
      <c r="AC18" s="168"/>
      <c r="AD18" s="168"/>
      <c r="AE18" s="150"/>
      <c r="AF18" s="149" t="s">
        <v>22</v>
      </c>
      <c r="AG18" s="168"/>
      <c r="AH18" s="168"/>
      <c r="AI18" s="168"/>
      <c r="AJ18" s="168"/>
      <c r="AK18" s="168"/>
      <c r="AL18" s="168"/>
      <c r="AM18" s="168"/>
      <c r="AN18" s="150"/>
      <c r="AO18" s="149" t="s">
        <v>23</v>
      </c>
      <c r="AP18" s="168"/>
      <c r="AQ18" s="168"/>
      <c r="AR18" s="168"/>
      <c r="AS18" s="150"/>
      <c r="AT18" s="149" t="s">
        <v>24</v>
      </c>
      <c r="AU18" s="168"/>
      <c r="AV18" s="168"/>
      <c r="AW18" s="168"/>
      <c r="AX18" s="150"/>
      <c r="BB18" s="146" t="s">
        <v>19</v>
      </c>
      <c r="BC18" s="147"/>
      <c r="BD18" s="147"/>
      <c r="BE18" s="147"/>
      <c r="BF18" s="147"/>
      <c r="BG18" s="147"/>
      <c r="BH18" s="147"/>
      <c r="BI18" s="147"/>
      <c r="BJ18" s="147"/>
      <c r="BK18" s="148"/>
      <c r="BL18" s="149" t="s">
        <v>25</v>
      </c>
      <c r="BM18" s="168"/>
      <c r="BN18" s="168"/>
      <c r="BO18" s="168"/>
      <c r="BP18" s="168"/>
      <c r="BQ18" s="168"/>
      <c r="BR18" s="149" t="s">
        <v>26</v>
      </c>
      <c r="BS18" s="168"/>
      <c r="BT18" s="168"/>
      <c r="BU18" s="169"/>
      <c r="BV18" s="169"/>
      <c r="BW18" s="151"/>
      <c r="BX18" s="149" t="s">
        <v>27</v>
      </c>
      <c r="BY18" s="168"/>
      <c r="BZ18" s="168"/>
      <c r="CA18" s="168"/>
      <c r="CB18" s="168"/>
      <c r="CC18" s="150"/>
    </row>
    <row r="19" spans="2:81">
      <c r="B19" s="52"/>
      <c r="C19" s="53"/>
      <c r="D19" s="63"/>
      <c r="E19" s="64"/>
      <c r="F19" s="64"/>
      <c r="G19" s="64"/>
      <c r="H19" s="64"/>
      <c r="I19" s="64"/>
      <c r="J19" s="64"/>
      <c r="K19" s="64"/>
      <c r="L19" s="64"/>
      <c r="M19" s="65"/>
      <c r="N19" s="149" t="s">
        <v>28</v>
      </c>
      <c r="O19" s="168"/>
      <c r="P19" s="168"/>
      <c r="Q19" s="168"/>
      <c r="R19" s="150"/>
      <c r="S19" s="149" t="s">
        <v>29</v>
      </c>
      <c r="T19" s="168"/>
      <c r="U19" s="168"/>
      <c r="V19" s="150"/>
      <c r="W19" s="149" t="s">
        <v>28</v>
      </c>
      <c r="X19" s="168"/>
      <c r="Y19" s="168"/>
      <c r="Z19" s="168"/>
      <c r="AA19" s="150"/>
      <c r="AB19" s="149" t="s">
        <v>29</v>
      </c>
      <c r="AC19" s="168"/>
      <c r="AD19" s="168"/>
      <c r="AE19" s="150"/>
      <c r="AF19" s="149" t="s">
        <v>28</v>
      </c>
      <c r="AG19" s="168"/>
      <c r="AH19" s="168"/>
      <c r="AI19" s="168"/>
      <c r="AJ19" s="150"/>
      <c r="AK19" s="149" t="s">
        <v>29</v>
      </c>
      <c r="AL19" s="168"/>
      <c r="AM19" s="168"/>
      <c r="AN19" s="150"/>
      <c r="AO19" s="149" t="s">
        <v>29</v>
      </c>
      <c r="AP19" s="168"/>
      <c r="AQ19" s="168"/>
      <c r="AR19" s="168"/>
      <c r="AS19" s="150"/>
      <c r="AT19" s="149" t="s">
        <v>29</v>
      </c>
      <c r="AU19" s="168"/>
      <c r="AV19" s="168"/>
      <c r="AW19" s="168"/>
      <c r="AX19" s="150"/>
      <c r="BB19" s="63"/>
      <c r="BC19" s="64"/>
      <c r="BD19" s="64"/>
      <c r="BE19" s="64"/>
      <c r="BF19" s="64"/>
      <c r="BG19" s="64"/>
      <c r="BH19" s="64"/>
      <c r="BI19" s="64"/>
      <c r="BJ19" s="64"/>
      <c r="BK19" s="65"/>
      <c r="BL19" s="63" t="s">
        <v>30</v>
      </c>
      <c r="BM19" s="64"/>
      <c r="BN19" s="64"/>
      <c r="BO19" s="64"/>
      <c r="BP19" s="64"/>
      <c r="BQ19" s="64"/>
      <c r="BR19" s="63" t="s">
        <v>30</v>
      </c>
      <c r="BS19" s="64"/>
      <c r="BT19" s="64"/>
      <c r="BU19" s="66"/>
      <c r="BV19" s="66"/>
      <c r="BW19" s="67"/>
      <c r="BX19" s="63" t="s">
        <v>30</v>
      </c>
      <c r="BY19" s="64"/>
      <c r="BZ19" s="64"/>
      <c r="CA19" s="64"/>
      <c r="CB19" s="64"/>
      <c r="CC19" s="65"/>
    </row>
    <row r="20" spans="2:81">
      <c r="B20" s="52"/>
      <c r="C20" s="53"/>
      <c r="D20" s="149" t="s">
        <v>31</v>
      </c>
      <c r="E20" s="168"/>
      <c r="F20" s="168"/>
      <c r="G20" s="168"/>
      <c r="H20" s="168"/>
      <c r="I20" s="168"/>
      <c r="J20" s="168"/>
      <c r="K20" s="168"/>
      <c r="L20" s="168"/>
      <c r="M20" s="150"/>
      <c r="N20" s="152" t="s">
        <v>32</v>
      </c>
      <c r="O20" s="170" t="s">
        <v>33</v>
      </c>
      <c r="P20" s="170"/>
      <c r="Q20" s="170"/>
      <c r="R20" s="170"/>
      <c r="S20" s="152" t="s">
        <v>32</v>
      </c>
      <c r="T20" s="170"/>
      <c r="U20" s="170"/>
      <c r="V20" s="153"/>
      <c r="W20" s="152" t="s">
        <v>32</v>
      </c>
      <c r="X20" s="170" t="s">
        <v>33</v>
      </c>
      <c r="Y20" s="170"/>
      <c r="Z20" s="170"/>
      <c r="AA20" s="153"/>
      <c r="AB20" s="152" t="s">
        <v>32</v>
      </c>
      <c r="AC20" s="170"/>
      <c r="AD20" s="170"/>
      <c r="AE20" s="153"/>
      <c r="AF20" s="152" t="s">
        <v>32</v>
      </c>
      <c r="AG20" s="170" t="s">
        <v>33</v>
      </c>
      <c r="AH20" s="170"/>
      <c r="AI20" s="170"/>
      <c r="AJ20" s="153"/>
      <c r="AK20" s="152" t="s">
        <v>32</v>
      </c>
      <c r="AL20" s="170"/>
      <c r="AM20" s="170"/>
      <c r="AN20" s="153"/>
      <c r="AO20" s="152" t="s">
        <v>32</v>
      </c>
      <c r="AP20" s="170"/>
      <c r="AQ20" s="170"/>
      <c r="AR20" s="170"/>
      <c r="AS20" s="153"/>
      <c r="AT20" s="152" t="s">
        <v>32</v>
      </c>
      <c r="AU20" s="170"/>
      <c r="AV20" s="170"/>
      <c r="AW20" s="170"/>
      <c r="AX20" s="153"/>
      <c r="BB20" s="149" t="s">
        <v>34</v>
      </c>
      <c r="BC20" s="168"/>
      <c r="BD20" s="168"/>
      <c r="BE20" s="168"/>
      <c r="BF20" s="168"/>
      <c r="BG20" s="168"/>
      <c r="BH20" s="168"/>
      <c r="BI20" s="168"/>
      <c r="BJ20" s="168"/>
      <c r="BK20" s="150"/>
      <c r="BL20" s="152" t="s">
        <v>35</v>
      </c>
      <c r="BM20" s="170"/>
      <c r="BN20" s="170"/>
      <c r="BO20" s="170"/>
      <c r="BP20" s="170"/>
      <c r="BQ20" s="170"/>
      <c r="BR20" s="152" t="s">
        <v>35</v>
      </c>
      <c r="BS20" s="170"/>
      <c r="BT20" s="170"/>
      <c r="BU20" s="171"/>
      <c r="BV20" s="171"/>
      <c r="BW20" s="154"/>
      <c r="BX20" s="152" t="s">
        <v>35</v>
      </c>
      <c r="BY20" s="170"/>
      <c r="BZ20" s="170"/>
      <c r="CA20" s="170"/>
      <c r="CB20" s="170"/>
      <c r="CC20" s="153"/>
    </row>
    <row r="21" spans="2:81">
      <c r="B21" s="52"/>
      <c r="C21" s="53"/>
      <c r="D21" s="149" t="s">
        <v>36</v>
      </c>
      <c r="E21" s="168"/>
      <c r="F21" s="168"/>
      <c r="G21" s="168"/>
      <c r="H21" s="168"/>
      <c r="I21" s="168"/>
      <c r="J21" s="168"/>
      <c r="K21" s="168"/>
      <c r="L21" s="168"/>
      <c r="M21" s="150"/>
      <c r="N21" s="152" t="s">
        <v>32</v>
      </c>
      <c r="O21" s="170" t="s">
        <v>37</v>
      </c>
      <c r="P21" s="170"/>
      <c r="Q21" s="170"/>
      <c r="R21" s="170"/>
      <c r="S21" s="152" t="s">
        <v>32</v>
      </c>
      <c r="T21" s="170"/>
      <c r="U21" s="170"/>
      <c r="V21" s="153"/>
      <c r="W21" s="152" t="s">
        <v>38</v>
      </c>
      <c r="X21" s="170"/>
      <c r="Y21" s="170"/>
      <c r="Z21" s="170"/>
      <c r="AA21" s="153"/>
      <c r="AB21" s="152" t="s">
        <v>38</v>
      </c>
      <c r="AC21" s="170"/>
      <c r="AD21" s="170"/>
      <c r="AE21" s="153"/>
      <c r="AF21" s="152" t="s">
        <v>32</v>
      </c>
      <c r="AG21" s="170" t="s">
        <v>37</v>
      </c>
      <c r="AH21" s="170"/>
      <c r="AI21" s="170"/>
      <c r="AJ21" s="153"/>
      <c r="AK21" s="152" t="s">
        <v>32</v>
      </c>
      <c r="AL21" s="170"/>
      <c r="AM21" s="170"/>
      <c r="AN21" s="153"/>
      <c r="AO21" s="152" t="s">
        <v>32</v>
      </c>
      <c r="AP21" s="170"/>
      <c r="AQ21" s="170"/>
      <c r="AR21" s="170"/>
      <c r="AS21" s="153"/>
      <c r="AT21" s="152" t="s">
        <v>32</v>
      </c>
      <c r="AU21" s="170"/>
      <c r="AV21" s="170"/>
      <c r="AW21" s="170"/>
      <c r="AX21" s="153"/>
      <c r="BB21" s="149" t="s">
        <v>39</v>
      </c>
      <c r="BC21" s="168"/>
      <c r="BD21" s="168"/>
      <c r="BE21" s="168"/>
      <c r="BF21" s="168"/>
      <c r="BG21" s="168"/>
      <c r="BH21" s="168"/>
      <c r="BI21" s="168"/>
      <c r="BJ21" s="168"/>
      <c r="BK21" s="150"/>
      <c r="BL21" s="152" t="s">
        <v>35</v>
      </c>
      <c r="BM21" s="170"/>
      <c r="BN21" s="170"/>
      <c r="BO21" s="170"/>
      <c r="BP21" s="170"/>
      <c r="BQ21" s="170"/>
      <c r="BR21" s="152" t="s">
        <v>40</v>
      </c>
      <c r="BS21" s="170"/>
      <c r="BT21" s="170"/>
      <c r="BU21" s="171"/>
      <c r="BV21" s="171"/>
      <c r="BW21" s="154"/>
      <c r="BX21" s="152" t="s">
        <v>35</v>
      </c>
      <c r="BY21" s="170"/>
      <c r="BZ21" s="170"/>
      <c r="CA21" s="170"/>
      <c r="CB21" s="170"/>
      <c r="CC21" s="153"/>
    </row>
    <row r="22" spans="2:81">
      <c r="B22" s="52"/>
      <c r="C22" s="53"/>
      <c r="D22" s="149" t="s">
        <v>41</v>
      </c>
      <c r="E22" s="168"/>
      <c r="F22" s="168"/>
      <c r="G22" s="168"/>
      <c r="H22" s="168"/>
      <c r="I22" s="168"/>
      <c r="J22" s="168"/>
      <c r="K22" s="168"/>
      <c r="L22" s="168"/>
      <c r="M22" s="150"/>
      <c r="N22" s="152" t="s">
        <v>42</v>
      </c>
      <c r="O22" s="170"/>
      <c r="P22" s="170"/>
      <c r="Q22" s="170"/>
      <c r="R22" s="170"/>
      <c r="S22" s="152" t="s">
        <v>43</v>
      </c>
      <c r="T22" s="170"/>
      <c r="U22" s="170"/>
      <c r="V22" s="153"/>
      <c r="W22" s="152" t="s">
        <v>38</v>
      </c>
      <c r="X22" s="170"/>
      <c r="Y22" s="170"/>
      <c r="Z22" s="170"/>
      <c r="AA22" s="153"/>
      <c r="AB22" s="152" t="s">
        <v>38</v>
      </c>
      <c r="AC22" s="170"/>
      <c r="AD22" s="170"/>
      <c r="AE22" s="153"/>
      <c r="AF22" s="152" t="s">
        <v>42</v>
      </c>
      <c r="AG22" s="170"/>
      <c r="AH22" s="170"/>
      <c r="AI22" s="170"/>
      <c r="AJ22" s="153"/>
      <c r="AK22" s="152" t="s">
        <v>43</v>
      </c>
      <c r="AL22" s="170"/>
      <c r="AM22" s="170"/>
      <c r="AN22" s="153"/>
      <c r="AO22" s="152" t="s">
        <v>43</v>
      </c>
      <c r="AP22" s="170"/>
      <c r="AQ22" s="170"/>
      <c r="AR22" s="170"/>
      <c r="AS22" s="153"/>
      <c r="AT22" s="152" t="s">
        <v>43</v>
      </c>
      <c r="AU22" s="170"/>
      <c r="AV22" s="170"/>
      <c r="AW22" s="170"/>
      <c r="AX22" s="153"/>
      <c r="BB22" s="149" t="s">
        <v>44</v>
      </c>
      <c r="BC22" s="168"/>
      <c r="BD22" s="168"/>
      <c r="BE22" s="168"/>
      <c r="BF22" s="168"/>
      <c r="BG22" s="168"/>
      <c r="BH22" s="168"/>
      <c r="BI22" s="168"/>
      <c r="BJ22" s="168"/>
      <c r="BK22" s="150"/>
      <c r="BL22" s="152" t="s">
        <v>35</v>
      </c>
      <c r="BM22" s="170"/>
      <c r="BN22" s="170"/>
      <c r="BO22" s="170"/>
      <c r="BP22" s="170"/>
      <c r="BQ22" s="170"/>
      <c r="BR22" s="152" t="s">
        <v>40</v>
      </c>
      <c r="BS22" s="170"/>
      <c r="BT22" s="170"/>
      <c r="BU22" s="171"/>
      <c r="BV22" s="171"/>
      <c r="BW22" s="154"/>
      <c r="BX22" s="152" t="s">
        <v>35</v>
      </c>
      <c r="BY22" s="170"/>
      <c r="BZ22" s="170"/>
      <c r="CA22" s="170"/>
      <c r="CB22" s="170"/>
      <c r="CC22" s="153"/>
    </row>
    <row r="23" spans="2:81">
      <c r="B23" s="52"/>
      <c r="C23" s="53"/>
      <c r="D23" s="149" t="s">
        <v>45</v>
      </c>
      <c r="E23" s="168"/>
      <c r="F23" s="168"/>
      <c r="G23" s="168"/>
      <c r="H23" s="168"/>
      <c r="I23" s="168"/>
      <c r="J23" s="168"/>
      <c r="K23" s="168"/>
      <c r="L23" s="168"/>
      <c r="M23" s="150"/>
      <c r="N23" s="152" t="s">
        <v>38</v>
      </c>
      <c r="O23" s="170"/>
      <c r="P23" s="170"/>
      <c r="Q23" s="170"/>
      <c r="R23" s="170"/>
      <c r="S23" s="152" t="s">
        <v>38</v>
      </c>
      <c r="T23" s="170"/>
      <c r="U23" s="170"/>
      <c r="V23" s="153"/>
      <c r="W23" s="152" t="s">
        <v>42</v>
      </c>
      <c r="X23" s="170"/>
      <c r="Y23" s="170"/>
      <c r="Z23" s="170"/>
      <c r="AA23" s="153"/>
      <c r="AB23" s="152" t="s">
        <v>32</v>
      </c>
      <c r="AC23" s="170"/>
      <c r="AD23" s="170"/>
      <c r="AE23" s="153"/>
      <c r="AF23" s="152" t="s">
        <v>38</v>
      </c>
      <c r="AG23" s="170"/>
      <c r="AH23" s="170"/>
      <c r="AI23" s="170"/>
      <c r="AJ23" s="153"/>
      <c r="AK23" s="152" t="s">
        <v>38</v>
      </c>
      <c r="AL23" s="170"/>
      <c r="AM23" s="170"/>
      <c r="AN23" s="153"/>
      <c r="AO23" s="152" t="s">
        <v>38</v>
      </c>
      <c r="AP23" s="170"/>
      <c r="AQ23" s="170"/>
      <c r="AR23" s="170"/>
      <c r="AS23" s="153"/>
      <c r="AT23" s="152" t="s">
        <v>32</v>
      </c>
      <c r="AU23" s="170"/>
      <c r="AV23" s="170"/>
      <c r="AW23" s="170"/>
      <c r="AX23" s="153"/>
      <c r="BB23" s="149" t="s">
        <v>46</v>
      </c>
      <c r="BC23" s="168"/>
      <c r="BD23" s="168"/>
      <c r="BE23" s="168"/>
      <c r="BF23" s="168"/>
      <c r="BG23" s="168"/>
      <c r="BH23" s="168"/>
      <c r="BI23" s="168"/>
      <c r="BJ23" s="168"/>
      <c r="BK23" s="150"/>
      <c r="BL23" s="152" t="s">
        <v>35</v>
      </c>
      <c r="BM23" s="170"/>
      <c r="BN23" s="170"/>
      <c r="BO23" s="170"/>
      <c r="BP23" s="170"/>
      <c r="BQ23" s="170"/>
      <c r="BR23" s="152" t="s">
        <v>40</v>
      </c>
      <c r="BS23" s="170"/>
      <c r="BT23" s="170"/>
      <c r="BU23" s="171"/>
      <c r="BV23" s="171"/>
      <c r="BW23" s="154"/>
      <c r="BX23" s="152" t="s">
        <v>35</v>
      </c>
      <c r="BY23" s="170"/>
      <c r="BZ23" s="170"/>
      <c r="CA23" s="170"/>
      <c r="CB23" s="170"/>
      <c r="CC23" s="153"/>
    </row>
    <row r="24" spans="2:81">
      <c r="B24" s="52"/>
      <c r="C24" s="53"/>
      <c r="D24" s="149" t="s">
        <v>47</v>
      </c>
      <c r="E24" s="168"/>
      <c r="F24" s="168"/>
      <c r="G24" s="168"/>
      <c r="H24" s="168"/>
      <c r="I24" s="168"/>
      <c r="J24" s="168"/>
      <c r="K24" s="168"/>
      <c r="L24" s="168"/>
      <c r="M24" s="150"/>
      <c r="N24" s="152" t="s">
        <v>32</v>
      </c>
      <c r="O24" s="170"/>
      <c r="P24" s="170"/>
      <c r="Q24" s="170"/>
      <c r="R24" s="170"/>
      <c r="S24" s="152" t="s">
        <v>32</v>
      </c>
      <c r="T24" s="170"/>
      <c r="U24" s="170"/>
      <c r="V24" s="153"/>
      <c r="W24" s="152" t="s">
        <v>32</v>
      </c>
      <c r="X24" s="170"/>
      <c r="Y24" s="170"/>
      <c r="Z24" s="170"/>
      <c r="AA24" s="153"/>
      <c r="AB24" s="152" t="s">
        <v>32</v>
      </c>
      <c r="AC24" s="170"/>
      <c r="AD24" s="170"/>
      <c r="AE24" s="153"/>
      <c r="AF24" s="152" t="s">
        <v>32</v>
      </c>
      <c r="AG24" s="170"/>
      <c r="AH24" s="170"/>
      <c r="AI24" s="170"/>
      <c r="AJ24" s="153"/>
      <c r="AK24" s="152" t="s">
        <v>32</v>
      </c>
      <c r="AL24" s="170"/>
      <c r="AM24" s="170"/>
      <c r="AN24" s="153"/>
      <c r="AO24" s="152" t="s">
        <v>32</v>
      </c>
      <c r="AP24" s="170"/>
      <c r="AQ24" s="170"/>
      <c r="AR24" s="170"/>
      <c r="AS24" s="153"/>
      <c r="AT24" s="152" t="s">
        <v>32</v>
      </c>
      <c r="AU24" s="170"/>
      <c r="AV24" s="170"/>
      <c r="AW24" s="170"/>
      <c r="AX24" s="153"/>
      <c r="BB24" s="149" t="s">
        <v>48</v>
      </c>
      <c r="BC24" s="168"/>
      <c r="BD24" s="168"/>
      <c r="BE24" s="168"/>
      <c r="BF24" s="168"/>
      <c r="BG24" s="168"/>
      <c r="BH24" s="168"/>
      <c r="BI24" s="168"/>
      <c r="BJ24" s="168"/>
      <c r="BK24" s="150"/>
      <c r="BL24" s="152" t="s">
        <v>35</v>
      </c>
      <c r="BM24" s="170"/>
      <c r="BN24" s="170"/>
      <c r="BO24" s="170"/>
      <c r="BP24" s="170"/>
      <c r="BQ24" s="170"/>
      <c r="BR24" s="152" t="s">
        <v>40</v>
      </c>
      <c r="BS24" s="170"/>
      <c r="BT24" s="170"/>
      <c r="BU24" s="171"/>
      <c r="BV24" s="171"/>
      <c r="BW24" s="154"/>
      <c r="BX24" s="152" t="s">
        <v>35</v>
      </c>
      <c r="BY24" s="170"/>
      <c r="BZ24" s="170"/>
      <c r="CA24" s="170"/>
      <c r="CB24" s="170"/>
      <c r="CC24" s="153"/>
    </row>
    <row r="25" spans="2:81">
      <c r="B25" s="52"/>
      <c r="C25" s="53"/>
      <c r="D25" s="149" t="s">
        <v>49</v>
      </c>
      <c r="E25" s="168"/>
      <c r="F25" s="168"/>
      <c r="G25" s="168"/>
      <c r="H25" s="168"/>
      <c r="I25" s="168"/>
      <c r="J25" s="168"/>
      <c r="K25" s="168"/>
      <c r="L25" s="168"/>
      <c r="M25" s="150"/>
      <c r="N25" s="155"/>
      <c r="O25" s="172"/>
      <c r="P25" s="172"/>
      <c r="Q25" s="172"/>
      <c r="R25" s="172"/>
      <c r="S25" s="155"/>
      <c r="T25" s="172"/>
      <c r="U25" s="172"/>
      <c r="V25" s="156"/>
      <c r="W25" s="155"/>
      <c r="X25" s="172"/>
      <c r="Y25" s="172"/>
      <c r="Z25" s="172"/>
      <c r="AA25" s="156"/>
      <c r="AB25" s="155"/>
      <c r="AC25" s="172"/>
      <c r="AD25" s="172"/>
      <c r="AE25" s="156"/>
      <c r="AF25" s="155"/>
      <c r="AG25" s="172"/>
      <c r="AH25" s="172"/>
      <c r="AI25" s="172"/>
      <c r="AJ25" s="156"/>
      <c r="AK25" s="155"/>
      <c r="AL25" s="172"/>
      <c r="AM25" s="172"/>
      <c r="AN25" s="156"/>
      <c r="AO25" s="155"/>
      <c r="AP25" s="172"/>
      <c r="AQ25" s="172"/>
      <c r="AR25" s="172"/>
      <c r="AS25" s="156"/>
      <c r="AT25" s="155"/>
      <c r="AU25" s="172"/>
      <c r="AV25" s="172"/>
      <c r="AW25" s="172"/>
      <c r="AX25" s="156"/>
      <c r="BB25" s="149" t="s">
        <v>50</v>
      </c>
      <c r="BC25" s="168"/>
      <c r="BD25" s="168"/>
      <c r="BE25" s="168"/>
      <c r="BF25" s="168"/>
      <c r="BG25" s="168"/>
      <c r="BH25" s="168"/>
      <c r="BI25" s="168"/>
      <c r="BJ25" s="168"/>
      <c r="BK25" s="150"/>
      <c r="BL25" s="152" t="s">
        <v>35</v>
      </c>
      <c r="BM25" s="170"/>
      <c r="BN25" s="170"/>
      <c r="BO25" s="170"/>
      <c r="BP25" s="170"/>
      <c r="BQ25" s="170"/>
      <c r="BR25" s="152" t="s">
        <v>40</v>
      </c>
      <c r="BS25" s="170"/>
      <c r="BT25" s="170"/>
      <c r="BU25" s="171"/>
      <c r="BV25" s="171"/>
      <c r="BW25" s="154"/>
      <c r="BX25" s="152" t="s">
        <v>35</v>
      </c>
      <c r="BY25" s="170"/>
      <c r="BZ25" s="170"/>
      <c r="CA25" s="170"/>
      <c r="CB25" s="170"/>
      <c r="CC25" s="153"/>
    </row>
    <row r="26" spans="2:81">
      <c r="B26" s="52"/>
      <c r="C26" s="53"/>
      <c r="D26" s="149" t="s">
        <v>51</v>
      </c>
      <c r="E26" s="168"/>
      <c r="F26" s="168"/>
      <c r="G26" s="168"/>
      <c r="H26" s="168"/>
      <c r="I26" s="168"/>
      <c r="J26" s="168"/>
      <c r="K26" s="168"/>
      <c r="L26" s="168"/>
      <c r="M26" s="150"/>
      <c r="N26" s="152" t="s">
        <v>42</v>
      </c>
      <c r="O26" s="170"/>
      <c r="P26" s="170"/>
      <c r="Q26" s="170"/>
      <c r="R26" s="170"/>
      <c r="S26" s="152" t="s">
        <v>32</v>
      </c>
      <c r="T26" s="170"/>
      <c r="U26" s="170"/>
      <c r="V26" s="153"/>
      <c r="W26" s="152" t="s">
        <v>42</v>
      </c>
      <c r="X26" s="170"/>
      <c r="Y26" s="170"/>
      <c r="Z26" s="170"/>
      <c r="AA26" s="153"/>
      <c r="AB26" s="152" t="s">
        <v>32</v>
      </c>
      <c r="AC26" s="170"/>
      <c r="AD26" s="170"/>
      <c r="AE26" s="153"/>
      <c r="AF26" s="152" t="s">
        <v>38</v>
      </c>
      <c r="AG26" s="170"/>
      <c r="AH26" s="170"/>
      <c r="AI26" s="170"/>
      <c r="AJ26" s="153"/>
      <c r="AK26" s="152" t="s">
        <v>38</v>
      </c>
      <c r="AL26" s="170"/>
      <c r="AM26" s="170"/>
      <c r="AN26" s="153"/>
      <c r="AO26" s="152" t="s">
        <v>38</v>
      </c>
      <c r="AP26" s="170"/>
      <c r="AQ26" s="170"/>
      <c r="AR26" s="170"/>
      <c r="AS26" s="153"/>
      <c r="AT26" s="152" t="s">
        <v>32</v>
      </c>
      <c r="AU26" s="170"/>
      <c r="AV26" s="170"/>
      <c r="AW26" s="170"/>
      <c r="AX26" s="153"/>
      <c r="BB26" s="149" t="s">
        <v>52</v>
      </c>
      <c r="BC26" s="168"/>
      <c r="BD26" s="168"/>
      <c r="BE26" s="168"/>
      <c r="BF26" s="168"/>
      <c r="BG26" s="168"/>
      <c r="BH26" s="168"/>
      <c r="BI26" s="168"/>
      <c r="BJ26" s="168"/>
      <c r="BK26" s="150"/>
      <c r="BL26" s="152" t="s">
        <v>53</v>
      </c>
      <c r="BM26" s="170"/>
      <c r="BN26" s="170" t="s">
        <v>54</v>
      </c>
      <c r="BO26" s="170"/>
      <c r="BP26" s="170"/>
      <c r="BQ26" s="170"/>
      <c r="BR26" s="152" t="s">
        <v>40</v>
      </c>
      <c r="BS26" s="170"/>
      <c r="BT26" s="170"/>
      <c r="BU26" s="171"/>
      <c r="BV26" s="171"/>
      <c r="BW26" s="154"/>
      <c r="BX26" s="152" t="s">
        <v>53</v>
      </c>
      <c r="BY26" s="170"/>
      <c r="BZ26" s="170" t="s">
        <v>54</v>
      </c>
      <c r="CA26" s="170"/>
      <c r="CB26" s="170"/>
      <c r="CC26" s="153"/>
    </row>
    <row r="27" spans="2:81">
      <c r="B27" s="52"/>
      <c r="C27" s="53"/>
      <c r="D27" s="149" t="s">
        <v>55</v>
      </c>
      <c r="E27" s="168"/>
      <c r="F27" s="168"/>
      <c r="G27" s="168"/>
      <c r="H27" s="168"/>
      <c r="I27" s="168"/>
      <c r="J27" s="168"/>
      <c r="K27" s="168"/>
      <c r="L27" s="168"/>
      <c r="M27" s="150"/>
      <c r="N27" s="152" t="s">
        <v>42</v>
      </c>
      <c r="O27" s="170"/>
      <c r="P27" s="170"/>
      <c r="Q27" s="170"/>
      <c r="R27" s="170"/>
      <c r="S27" s="152" t="s">
        <v>43</v>
      </c>
      <c r="T27" s="170"/>
      <c r="U27" s="170"/>
      <c r="V27" s="153"/>
      <c r="W27" s="152" t="s">
        <v>42</v>
      </c>
      <c r="X27" s="170"/>
      <c r="Y27" s="170"/>
      <c r="Z27" s="170"/>
      <c r="AA27" s="153"/>
      <c r="AB27" s="152" t="s">
        <v>43</v>
      </c>
      <c r="AC27" s="170"/>
      <c r="AD27" s="170"/>
      <c r="AE27" s="153"/>
      <c r="AF27" s="152" t="s">
        <v>38</v>
      </c>
      <c r="AG27" s="170"/>
      <c r="AH27" s="170"/>
      <c r="AI27" s="170"/>
      <c r="AJ27" s="153"/>
      <c r="AK27" s="152" t="s">
        <v>38</v>
      </c>
      <c r="AL27" s="170"/>
      <c r="AM27" s="170"/>
      <c r="AN27" s="153"/>
      <c r="AO27" s="152" t="s">
        <v>38</v>
      </c>
      <c r="AP27" s="170"/>
      <c r="AQ27" s="170"/>
      <c r="AR27" s="170"/>
      <c r="AS27" s="153"/>
      <c r="AT27" s="152" t="s">
        <v>43</v>
      </c>
      <c r="AU27" s="170"/>
      <c r="AV27" s="170"/>
      <c r="AW27" s="170"/>
      <c r="AX27" s="153"/>
      <c r="BB27" s="149" t="s">
        <v>56</v>
      </c>
      <c r="BC27" s="168"/>
      <c r="BD27" s="168"/>
      <c r="BE27" s="168"/>
      <c r="BF27" s="168"/>
      <c r="BG27" s="168"/>
      <c r="BH27" s="168"/>
      <c r="BI27" s="168"/>
      <c r="BJ27" s="168"/>
      <c r="BK27" s="150"/>
      <c r="BL27" s="152" t="s">
        <v>53</v>
      </c>
      <c r="BM27" s="170"/>
      <c r="BN27" s="170" t="s">
        <v>57</v>
      </c>
      <c r="BO27" s="170"/>
      <c r="BP27" s="170"/>
      <c r="BQ27" s="170"/>
      <c r="BR27" s="152" t="s">
        <v>40</v>
      </c>
      <c r="BS27" s="170"/>
      <c r="BT27" s="170"/>
      <c r="BU27" s="171"/>
      <c r="BV27" s="171"/>
      <c r="BW27" s="154"/>
      <c r="BX27" s="152" t="s">
        <v>53</v>
      </c>
      <c r="BY27" s="170"/>
      <c r="BZ27" s="170" t="s">
        <v>57</v>
      </c>
      <c r="CA27" s="170"/>
      <c r="CB27" s="170"/>
      <c r="CC27" s="153"/>
    </row>
    <row r="28" spans="2:81">
      <c r="B28" s="52"/>
      <c r="C28" s="53"/>
      <c r="D28" s="149" t="s">
        <v>58</v>
      </c>
      <c r="E28" s="168"/>
      <c r="F28" s="168"/>
      <c r="G28" s="168"/>
      <c r="H28" s="168"/>
      <c r="I28" s="168"/>
      <c r="J28" s="168"/>
      <c r="K28" s="168"/>
      <c r="L28" s="168"/>
      <c r="M28" s="150"/>
      <c r="N28" s="152" t="s">
        <v>42</v>
      </c>
      <c r="O28" s="170"/>
      <c r="P28" s="170"/>
      <c r="Q28" s="170"/>
      <c r="R28" s="170"/>
      <c r="S28" s="152" t="s">
        <v>43</v>
      </c>
      <c r="T28" s="170"/>
      <c r="U28" s="170"/>
      <c r="V28" s="153"/>
      <c r="W28" s="152" t="s">
        <v>42</v>
      </c>
      <c r="X28" s="170"/>
      <c r="Y28" s="170"/>
      <c r="Z28" s="170"/>
      <c r="AA28" s="153"/>
      <c r="AB28" s="152" t="s">
        <v>43</v>
      </c>
      <c r="AC28" s="170"/>
      <c r="AD28" s="170"/>
      <c r="AE28" s="153"/>
      <c r="AF28" s="152" t="s">
        <v>38</v>
      </c>
      <c r="AG28" s="170"/>
      <c r="AH28" s="170"/>
      <c r="AI28" s="170"/>
      <c r="AJ28" s="153"/>
      <c r="AK28" s="152" t="s">
        <v>38</v>
      </c>
      <c r="AL28" s="170"/>
      <c r="AM28" s="170"/>
      <c r="AN28" s="153"/>
      <c r="AO28" s="152" t="s">
        <v>38</v>
      </c>
      <c r="AP28" s="170"/>
      <c r="AQ28" s="170"/>
      <c r="AR28" s="170"/>
      <c r="AS28" s="153"/>
      <c r="AT28" s="152" t="s">
        <v>43</v>
      </c>
      <c r="AU28" s="170"/>
      <c r="AV28" s="170"/>
      <c r="AW28" s="170"/>
      <c r="AX28" s="153"/>
      <c r="BB28" s="149" t="s">
        <v>59</v>
      </c>
      <c r="BC28" s="168"/>
      <c r="BD28" s="168"/>
      <c r="BE28" s="168"/>
      <c r="BF28" s="168"/>
      <c r="BG28" s="168"/>
      <c r="BH28" s="168"/>
      <c r="BI28" s="168"/>
      <c r="BJ28" s="168"/>
      <c r="BK28" s="150"/>
      <c r="BL28" s="152" t="s">
        <v>53</v>
      </c>
      <c r="BM28" s="170"/>
      <c r="BN28" s="170" t="s">
        <v>60</v>
      </c>
      <c r="BO28" s="170"/>
      <c r="BP28" s="170"/>
      <c r="BQ28" s="170"/>
      <c r="BR28" s="152" t="s">
        <v>40</v>
      </c>
      <c r="BS28" s="170"/>
      <c r="BT28" s="170"/>
      <c r="BU28" s="171"/>
      <c r="BV28" s="171"/>
      <c r="BW28" s="154"/>
      <c r="BX28" s="152" t="s">
        <v>53</v>
      </c>
      <c r="BY28" s="170"/>
      <c r="BZ28" s="170" t="s">
        <v>60</v>
      </c>
      <c r="CA28" s="170"/>
      <c r="CB28" s="170"/>
      <c r="CC28" s="153"/>
    </row>
    <row r="29" spans="2:81">
      <c r="B29" s="52"/>
      <c r="C29" s="53"/>
      <c r="D29" s="149" t="s">
        <v>61</v>
      </c>
      <c r="E29" s="168"/>
      <c r="F29" s="168"/>
      <c r="G29" s="168"/>
      <c r="H29" s="168"/>
      <c r="I29" s="168"/>
      <c r="J29" s="168"/>
      <c r="K29" s="168"/>
      <c r="L29" s="168"/>
      <c r="M29" s="150"/>
      <c r="N29" s="152" t="s">
        <v>42</v>
      </c>
      <c r="O29" s="170"/>
      <c r="P29" s="170"/>
      <c r="Q29" s="170"/>
      <c r="R29" s="170"/>
      <c r="S29" s="152" t="s">
        <v>42</v>
      </c>
      <c r="T29" s="170"/>
      <c r="U29" s="170"/>
      <c r="V29" s="153"/>
      <c r="W29" s="152" t="s">
        <v>38</v>
      </c>
      <c r="X29" s="170"/>
      <c r="Y29" s="170"/>
      <c r="Z29" s="170"/>
      <c r="AA29" s="153"/>
      <c r="AB29" s="152" t="s">
        <v>38</v>
      </c>
      <c r="AC29" s="170"/>
      <c r="AD29" s="170"/>
      <c r="AE29" s="153"/>
      <c r="AF29" s="152" t="s">
        <v>38</v>
      </c>
      <c r="AG29" s="170"/>
      <c r="AH29" s="170"/>
      <c r="AI29" s="170"/>
      <c r="AJ29" s="153"/>
      <c r="AK29" s="152" t="s">
        <v>38</v>
      </c>
      <c r="AL29" s="170"/>
      <c r="AM29" s="170"/>
      <c r="AN29" s="153"/>
      <c r="AO29" s="152" t="s">
        <v>38</v>
      </c>
      <c r="AP29" s="170"/>
      <c r="AQ29" s="170"/>
      <c r="AR29" s="170"/>
      <c r="AS29" s="153"/>
      <c r="AT29" s="152" t="s">
        <v>42</v>
      </c>
      <c r="AU29" s="170"/>
      <c r="AV29" s="170"/>
      <c r="AW29" s="170"/>
      <c r="AX29" s="153"/>
      <c r="BB29" s="149" t="s">
        <v>62</v>
      </c>
      <c r="BC29" s="168"/>
      <c r="BD29" s="168"/>
      <c r="BE29" s="168"/>
      <c r="BF29" s="168"/>
      <c r="BG29" s="168"/>
      <c r="BH29" s="168"/>
      <c r="BI29" s="168"/>
      <c r="BJ29" s="168"/>
      <c r="BK29" s="150"/>
      <c r="BL29" s="155"/>
      <c r="BM29" s="172"/>
      <c r="BN29" s="172"/>
      <c r="BO29" s="172"/>
      <c r="BP29" s="172"/>
      <c r="BQ29" s="172"/>
      <c r="BR29" s="152" t="s">
        <v>40</v>
      </c>
      <c r="BS29" s="170"/>
      <c r="BT29" s="170"/>
      <c r="BU29" s="171"/>
      <c r="BV29" s="171"/>
      <c r="BW29" s="154"/>
      <c r="BX29" s="155"/>
      <c r="BY29" s="172"/>
      <c r="BZ29" s="172"/>
      <c r="CA29" s="172"/>
      <c r="CB29" s="172"/>
      <c r="CC29" s="156"/>
    </row>
    <row r="30" spans="2:81">
      <c r="B30" s="52"/>
      <c r="C30" s="53"/>
      <c r="D30" s="149" t="s">
        <v>63</v>
      </c>
      <c r="E30" s="168"/>
      <c r="F30" s="168"/>
      <c r="G30" s="168"/>
      <c r="H30" s="168"/>
      <c r="I30" s="168"/>
      <c r="J30" s="168"/>
      <c r="K30" s="168"/>
      <c r="L30" s="168"/>
      <c r="M30" s="150"/>
      <c r="N30" s="152" t="s">
        <v>42</v>
      </c>
      <c r="O30" s="170"/>
      <c r="P30" s="170"/>
      <c r="Q30" s="170"/>
      <c r="R30" s="170"/>
      <c r="S30" s="152" t="s">
        <v>32</v>
      </c>
      <c r="T30" s="170"/>
      <c r="U30" s="170"/>
      <c r="V30" s="153"/>
      <c r="W30" s="152" t="s">
        <v>38</v>
      </c>
      <c r="X30" s="170"/>
      <c r="Y30" s="170"/>
      <c r="Z30" s="170"/>
      <c r="AA30" s="153"/>
      <c r="AB30" s="152" t="s">
        <v>38</v>
      </c>
      <c r="AC30" s="170"/>
      <c r="AD30" s="170"/>
      <c r="AE30" s="153"/>
      <c r="AF30" s="152" t="s">
        <v>38</v>
      </c>
      <c r="AG30" s="170"/>
      <c r="AH30" s="170"/>
      <c r="AI30" s="170"/>
      <c r="AJ30" s="153"/>
      <c r="AK30" s="152" t="s">
        <v>38</v>
      </c>
      <c r="AL30" s="170"/>
      <c r="AM30" s="170"/>
      <c r="AN30" s="153"/>
      <c r="AO30" s="152" t="s">
        <v>38</v>
      </c>
      <c r="AP30" s="170"/>
      <c r="AQ30" s="170"/>
      <c r="AR30" s="170"/>
      <c r="AS30" s="153"/>
      <c r="AT30" s="152" t="s">
        <v>32</v>
      </c>
      <c r="AU30" s="170"/>
      <c r="AV30" s="170"/>
      <c r="AW30" s="170"/>
      <c r="AX30" s="153"/>
      <c r="BB30" s="149" t="s">
        <v>64</v>
      </c>
      <c r="BC30" s="168"/>
      <c r="BD30" s="168"/>
      <c r="BE30" s="168"/>
      <c r="BF30" s="168"/>
      <c r="BG30" s="168"/>
      <c r="BH30" s="168"/>
      <c r="BI30" s="168"/>
      <c r="BJ30" s="168"/>
      <c r="BK30" s="150"/>
      <c r="BL30" s="152" t="s">
        <v>40</v>
      </c>
      <c r="BM30" s="170"/>
      <c r="BN30" s="170"/>
      <c r="BO30" s="170"/>
      <c r="BP30" s="170"/>
      <c r="BQ30" s="170"/>
      <c r="BR30" s="152" t="s">
        <v>35</v>
      </c>
      <c r="BS30" s="170"/>
      <c r="BT30" s="170"/>
      <c r="BU30" s="171"/>
      <c r="BV30" s="171"/>
      <c r="BW30" s="154"/>
      <c r="BX30" s="152" t="s">
        <v>40</v>
      </c>
      <c r="BY30" s="170"/>
      <c r="BZ30" s="170"/>
      <c r="CA30" s="170"/>
      <c r="CB30" s="170"/>
      <c r="CC30" s="153"/>
    </row>
    <row r="31" spans="2:81">
      <c r="B31" s="52"/>
      <c r="C31" s="53"/>
      <c r="D31" s="149" t="s">
        <v>65</v>
      </c>
      <c r="E31" s="168"/>
      <c r="F31" s="168"/>
      <c r="G31" s="168"/>
      <c r="H31" s="168"/>
      <c r="I31" s="168"/>
      <c r="J31" s="168"/>
      <c r="K31" s="168"/>
      <c r="L31" s="168"/>
      <c r="M31" s="150"/>
      <c r="N31" s="152" t="s">
        <v>42</v>
      </c>
      <c r="O31" s="170"/>
      <c r="P31" s="170"/>
      <c r="Q31" s="170"/>
      <c r="R31" s="170"/>
      <c r="S31" s="152" t="s">
        <v>42</v>
      </c>
      <c r="T31" s="170"/>
      <c r="U31" s="170"/>
      <c r="V31" s="153"/>
      <c r="W31" s="152" t="s">
        <v>42</v>
      </c>
      <c r="X31" s="170"/>
      <c r="Y31" s="170"/>
      <c r="Z31" s="170"/>
      <c r="AA31" s="153"/>
      <c r="AB31" s="152" t="s">
        <v>42</v>
      </c>
      <c r="AC31" s="170"/>
      <c r="AD31" s="170"/>
      <c r="AE31" s="153"/>
      <c r="AF31" s="152" t="s">
        <v>38</v>
      </c>
      <c r="AG31" s="170"/>
      <c r="AH31" s="170"/>
      <c r="AI31" s="170"/>
      <c r="AJ31" s="153"/>
      <c r="AK31" s="152" t="s">
        <v>38</v>
      </c>
      <c r="AL31" s="170"/>
      <c r="AM31" s="170"/>
      <c r="AN31" s="153"/>
      <c r="AO31" s="152" t="s">
        <v>38</v>
      </c>
      <c r="AP31" s="170"/>
      <c r="AQ31" s="170"/>
      <c r="AR31" s="170"/>
      <c r="AS31" s="153"/>
      <c r="AT31" s="152" t="s">
        <v>42</v>
      </c>
      <c r="AU31" s="170"/>
      <c r="AV31" s="170"/>
      <c r="AW31" s="170"/>
      <c r="AX31" s="153"/>
      <c r="BB31" s="149" t="s">
        <v>66</v>
      </c>
      <c r="BC31" s="168"/>
      <c r="BD31" s="168"/>
      <c r="BE31" s="168"/>
      <c r="BF31" s="168"/>
      <c r="BG31" s="168"/>
      <c r="BH31" s="168"/>
      <c r="BI31" s="168"/>
      <c r="BJ31" s="168"/>
      <c r="BK31" s="150"/>
      <c r="BL31" s="152" t="s">
        <v>40</v>
      </c>
      <c r="BM31" s="170"/>
      <c r="BN31" s="170"/>
      <c r="BO31" s="170"/>
      <c r="BP31" s="170"/>
      <c r="BQ31" s="170"/>
      <c r="BR31" s="152" t="s">
        <v>35</v>
      </c>
      <c r="BS31" s="170"/>
      <c r="BT31" s="170"/>
      <c r="BU31" s="171"/>
      <c r="BV31" s="171"/>
      <c r="BW31" s="154"/>
      <c r="BX31" s="152" t="s">
        <v>40</v>
      </c>
      <c r="BY31" s="170"/>
      <c r="BZ31" s="170"/>
      <c r="CA31" s="170"/>
      <c r="CB31" s="170"/>
      <c r="CC31" s="153"/>
    </row>
    <row r="32" spans="2:81">
      <c r="B32" s="52"/>
      <c r="C32" s="53"/>
      <c r="D32" s="149" t="s">
        <v>67</v>
      </c>
      <c r="E32" s="168"/>
      <c r="F32" s="168"/>
      <c r="G32" s="168"/>
      <c r="H32" s="168"/>
      <c r="I32" s="168"/>
      <c r="J32" s="168"/>
      <c r="K32" s="168"/>
      <c r="L32" s="168"/>
      <c r="M32" s="150"/>
      <c r="N32" s="152" t="s">
        <v>42</v>
      </c>
      <c r="O32" s="170"/>
      <c r="P32" s="170"/>
      <c r="Q32" s="170"/>
      <c r="R32" s="170"/>
      <c r="S32" s="152" t="s">
        <v>42</v>
      </c>
      <c r="T32" s="170"/>
      <c r="U32" s="170"/>
      <c r="V32" s="153"/>
      <c r="W32" s="152" t="s">
        <v>42</v>
      </c>
      <c r="X32" s="170"/>
      <c r="Y32" s="170"/>
      <c r="Z32" s="170"/>
      <c r="AA32" s="153"/>
      <c r="AB32" s="152" t="s">
        <v>42</v>
      </c>
      <c r="AC32" s="170"/>
      <c r="AD32" s="170"/>
      <c r="AE32" s="153"/>
      <c r="AF32" s="152" t="s">
        <v>42</v>
      </c>
      <c r="AG32" s="170"/>
      <c r="AH32" s="170"/>
      <c r="AI32" s="170"/>
      <c r="AJ32" s="153"/>
      <c r="AK32" s="152" t="s">
        <v>42</v>
      </c>
      <c r="AL32" s="170"/>
      <c r="AM32" s="170"/>
      <c r="AN32" s="153"/>
      <c r="AO32" s="152" t="s">
        <v>42</v>
      </c>
      <c r="AP32" s="170"/>
      <c r="AQ32" s="170"/>
      <c r="AR32" s="170"/>
      <c r="AS32" s="153"/>
      <c r="AT32" s="152" t="s">
        <v>42</v>
      </c>
      <c r="AU32" s="170"/>
      <c r="AV32" s="170"/>
      <c r="AW32" s="170"/>
      <c r="AX32" s="153"/>
      <c r="BB32" s="149" t="s">
        <v>68</v>
      </c>
      <c r="BC32" s="168"/>
      <c r="BD32" s="168"/>
      <c r="BE32" s="168"/>
      <c r="BF32" s="168"/>
      <c r="BG32" s="168"/>
      <c r="BH32" s="168"/>
      <c r="BI32" s="168"/>
      <c r="BJ32" s="168"/>
      <c r="BK32" s="150"/>
      <c r="BL32" s="152" t="s">
        <v>42</v>
      </c>
      <c r="BM32" s="170"/>
      <c r="BN32" s="170"/>
      <c r="BO32" s="170"/>
      <c r="BP32" s="170"/>
      <c r="BQ32" s="170"/>
      <c r="BR32" s="152" t="s">
        <v>42</v>
      </c>
      <c r="BS32" s="170"/>
      <c r="BT32" s="170"/>
      <c r="BU32" s="171"/>
      <c r="BV32" s="171"/>
      <c r="BW32" s="154"/>
      <c r="BX32" s="152" t="s">
        <v>42</v>
      </c>
      <c r="BY32" s="170"/>
      <c r="BZ32" s="170"/>
      <c r="CA32" s="170"/>
      <c r="CB32" s="170"/>
      <c r="CC32" s="153"/>
    </row>
    <row r="33" spans="2:81">
      <c r="B33" s="53"/>
      <c r="C33" s="53"/>
      <c r="D33" s="149" t="s">
        <v>69</v>
      </c>
      <c r="E33" s="168"/>
      <c r="F33" s="168"/>
      <c r="G33" s="168"/>
      <c r="H33" s="168"/>
      <c r="I33" s="168"/>
      <c r="J33" s="168"/>
      <c r="K33" s="168"/>
      <c r="L33" s="168"/>
      <c r="M33" s="150"/>
      <c r="N33" s="155" t="s">
        <v>70</v>
      </c>
      <c r="O33" s="172"/>
      <c r="P33" s="172"/>
      <c r="Q33" s="172"/>
      <c r="R33" s="172"/>
      <c r="S33" s="155" t="s">
        <v>70</v>
      </c>
      <c r="T33" s="172"/>
      <c r="U33" s="172"/>
      <c r="V33" s="156"/>
      <c r="W33" s="155" t="s">
        <v>70</v>
      </c>
      <c r="X33" s="172"/>
      <c r="Y33" s="172"/>
      <c r="Z33" s="172"/>
      <c r="AA33" s="156"/>
      <c r="AB33" s="155" t="s">
        <v>70</v>
      </c>
      <c r="AC33" s="172"/>
      <c r="AD33" s="172"/>
      <c r="AE33" s="156"/>
      <c r="AF33" s="155" t="s">
        <v>70</v>
      </c>
      <c r="AG33" s="172"/>
      <c r="AH33" s="172"/>
      <c r="AI33" s="172"/>
      <c r="AJ33" s="156"/>
      <c r="AK33" s="155" t="s">
        <v>70</v>
      </c>
      <c r="AL33" s="172"/>
      <c r="AM33" s="172"/>
      <c r="AN33" s="156"/>
      <c r="AO33" s="155" t="s">
        <v>70</v>
      </c>
      <c r="AP33" s="172"/>
      <c r="AQ33" s="172"/>
      <c r="AR33" s="172"/>
      <c r="AS33" s="156"/>
      <c r="AT33" s="155" t="s">
        <v>71</v>
      </c>
      <c r="AU33" s="172"/>
      <c r="AV33" s="172"/>
      <c r="AW33" s="172"/>
      <c r="AX33" s="156"/>
      <c r="BB33" s="149" t="s">
        <v>72</v>
      </c>
      <c r="BC33" s="168"/>
      <c r="BD33" s="168"/>
      <c r="BE33" s="168"/>
      <c r="BF33" s="168"/>
      <c r="BG33" s="168"/>
      <c r="BH33" s="168"/>
      <c r="BI33" s="168"/>
      <c r="BJ33" s="168"/>
      <c r="BK33" s="150"/>
      <c r="BL33" s="155"/>
      <c r="BM33" s="172"/>
      <c r="BN33" s="172"/>
      <c r="BO33" s="172"/>
      <c r="BP33" s="172"/>
      <c r="BQ33" s="172"/>
      <c r="BR33" s="155"/>
      <c r="BS33" s="172"/>
      <c r="BT33" s="172"/>
      <c r="BU33" s="173"/>
      <c r="BV33" s="173"/>
      <c r="BW33" s="157"/>
      <c r="BX33" s="155"/>
      <c r="BY33" s="172"/>
      <c r="BZ33" s="172"/>
      <c r="CA33" s="172"/>
      <c r="CB33" s="172"/>
      <c r="CC33" s="156"/>
    </row>
    <row r="35" spans="2:81">
      <c r="D35" s="53" t="s">
        <v>33</v>
      </c>
      <c r="G35" s="51" t="s">
        <v>73</v>
      </c>
      <c r="BB35" s="53" t="s">
        <v>54</v>
      </c>
      <c r="BE35" s="51" t="s">
        <v>74</v>
      </c>
    </row>
    <row r="36" spans="2:81">
      <c r="D36" s="53" t="s">
        <v>37</v>
      </c>
      <c r="G36" s="51" t="s">
        <v>75</v>
      </c>
      <c r="BB36" s="53" t="s">
        <v>57</v>
      </c>
      <c r="BE36" s="51" t="s">
        <v>76</v>
      </c>
    </row>
    <row r="37" spans="2:81">
      <c r="BB37" s="53" t="s">
        <v>60</v>
      </c>
      <c r="BE37" s="51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>
      <selection activeCell="L41" sqref="L41"/>
    </sheetView>
  </sheetViews>
  <sheetFormatPr defaultRowHeight="12"/>
  <cols>
    <col min="1" max="48" width="2.5" style="17" customWidth="1"/>
    <col min="49" max="49" width="9.625" style="17" hidden="1" customWidth="1"/>
    <col min="50" max="50" width="8.75" style="17" hidden="1" customWidth="1"/>
    <col min="51" max="86" width="2.5" style="17" customWidth="1"/>
    <col min="87" max="256" width="9" style="17"/>
    <col min="257" max="305" width="2.5" style="17" customWidth="1"/>
    <col min="306" max="306" width="0" style="17" hidden="1" customWidth="1"/>
    <col min="307" max="512" width="9" style="17"/>
    <col min="513" max="561" width="2.5" style="17" customWidth="1"/>
    <col min="562" max="562" width="0" style="17" hidden="1" customWidth="1"/>
    <col min="563" max="768" width="9" style="17"/>
    <col min="769" max="817" width="2.5" style="17" customWidth="1"/>
    <col min="818" max="818" width="0" style="17" hidden="1" customWidth="1"/>
    <col min="819" max="1024" width="9" style="17"/>
    <col min="1025" max="1073" width="2.5" style="17" customWidth="1"/>
    <col min="1074" max="1074" width="0" style="17" hidden="1" customWidth="1"/>
    <col min="1075" max="1280" width="9" style="17"/>
    <col min="1281" max="1329" width="2.5" style="17" customWidth="1"/>
    <col min="1330" max="1330" width="0" style="17" hidden="1" customWidth="1"/>
    <col min="1331" max="1536" width="9" style="17"/>
    <col min="1537" max="1585" width="2.5" style="17" customWidth="1"/>
    <col min="1586" max="1586" width="0" style="17" hidden="1" customWidth="1"/>
    <col min="1587" max="1792" width="9" style="17"/>
    <col min="1793" max="1841" width="2.5" style="17" customWidth="1"/>
    <col min="1842" max="1842" width="0" style="17" hidden="1" customWidth="1"/>
    <col min="1843" max="2048" width="9" style="17"/>
    <col min="2049" max="2097" width="2.5" style="17" customWidth="1"/>
    <col min="2098" max="2098" width="0" style="17" hidden="1" customWidth="1"/>
    <col min="2099" max="2304" width="9" style="17"/>
    <col min="2305" max="2353" width="2.5" style="17" customWidth="1"/>
    <col min="2354" max="2354" width="0" style="17" hidden="1" customWidth="1"/>
    <col min="2355" max="2560" width="9" style="17"/>
    <col min="2561" max="2609" width="2.5" style="17" customWidth="1"/>
    <col min="2610" max="2610" width="0" style="17" hidden="1" customWidth="1"/>
    <col min="2611" max="2816" width="9" style="17"/>
    <col min="2817" max="2865" width="2.5" style="17" customWidth="1"/>
    <col min="2866" max="2866" width="0" style="17" hidden="1" customWidth="1"/>
    <col min="2867" max="3072" width="9" style="17"/>
    <col min="3073" max="3121" width="2.5" style="17" customWidth="1"/>
    <col min="3122" max="3122" width="0" style="17" hidden="1" customWidth="1"/>
    <col min="3123" max="3328" width="9" style="17"/>
    <col min="3329" max="3377" width="2.5" style="17" customWidth="1"/>
    <col min="3378" max="3378" width="0" style="17" hidden="1" customWidth="1"/>
    <col min="3379" max="3584" width="9" style="17"/>
    <col min="3585" max="3633" width="2.5" style="17" customWidth="1"/>
    <col min="3634" max="3634" width="0" style="17" hidden="1" customWidth="1"/>
    <col min="3635" max="3840" width="9" style="17"/>
    <col min="3841" max="3889" width="2.5" style="17" customWidth="1"/>
    <col min="3890" max="3890" width="0" style="17" hidden="1" customWidth="1"/>
    <col min="3891" max="4096" width="9" style="17"/>
    <col min="4097" max="4145" width="2.5" style="17" customWidth="1"/>
    <col min="4146" max="4146" width="0" style="17" hidden="1" customWidth="1"/>
    <col min="4147" max="4352" width="9" style="17"/>
    <col min="4353" max="4401" width="2.5" style="17" customWidth="1"/>
    <col min="4402" max="4402" width="0" style="17" hidden="1" customWidth="1"/>
    <col min="4403" max="4608" width="9" style="17"/>
    <col min="4609" max="4657" width="2.5" style="17" customWidth="1"/>
    <col min="4658" max="4658" width="0" style="17" hidden="1" customWidth="1"/>
    <col min="4659" max="4864" width="9" style="17"/>
    <col min="4865" max="4913" width="2.5" style="17" customWidth="1"/>
    <col min="4914" max="4914" width="0" style="17" hidden="1" customWidth="1"/>
    <col min="4915" max="5120" width="9" style="17"/>
    <col min="5121" max="5169" width="2.5" style="17" customWidth="1"/>
    <col min="5170" max="5170" width="0" style="17" hidden="1" customWidth="1"/>
    <col min="5171" max="5376" width="9" style="17"/>
    <col min="5377" max="5425" width="2.5" style="17" customWidth="1"/>
    <col min="5426" max="5426" width="0" style="17" hidden="1" customWidth="1"/>
    <col min="5427" max="5632" width="9" style="17"/>
    <col min="5633" max="5681" width="2.5" style="17" customWidth="1"/>
    <col min="5682" max="5682" width="0" style="17" hidden="1" customWidth="1"/>
    <col min="5683" max="5888" width="9" style="17"/>
    <col min="5889" max="5937" width="2.5" style="17" customWidth="1"/>
    <col min="5938" max="5938" width="0" style="17" hidden="1" customWidth="1"/>
    <col min="5939" max="6144" width="9" style="17"/>
    <col min="6145" max="6193" width="2.5" style="17" customWidth="1"/>
    <col min="6194" max="6194" width="0" style="17" hidden="1" customWidth="1"/>
    <col min="6195" max="6400" width="9" style="17"/>
    <col min="6401" max="6449" width="2.5" style="17" customWidth="1"/>
    <col min="6450" max="6450" width="0" style="17" hidden="1" customWidth="1"/>
    <col min="6451" max="6656" width="9" style="17"/>
    <col min="6657" max="6705" width="2.5" style="17" customWidth="1"/>
    <col min="6706" max="6706" width="0" style="17" hidden="1" customWidth="1"/>
    <col min="6707" max="6912" width="9" style="17"/>
    <col min="6913" max="6961" width="2.5" style="17" customWidth="1"/>
    <col min="6962" max="6962" width="0" style="17" hidden="1" customWidth="1"/>
    <col min="6963" max="7168" width="9" style="17"/>
    <col min="7169" max="7217" width="2.5" style="17" customWidth="1"/>
    <col min="7218" max="7218" width="0" style="17" hidden="1" customWidth="1"/>
    <col min="7219" max="7424" width="9" style="17"/>
    <col min="7425" max="7473" width="2.5" style="17" customWidth="1"/>
    <col min="7474" max="7474" width="0" style="17" hidden="1" customWidth="1"/>
    <col min="7475" max="7680" width="9" style="17"/>
    <col min="7681" max="7729" width="2.5" style="17" customWidth="1"/>
    <col min="7730" max="7730" width="0" style="17" hidden="1" customWidth="1"/>
    <col min="7731" max="7936" width="9" style="17"/>
    <col min="7937" max="7985" width="2.5" style="17" customWidth="1"/>
    <col min="7986" max="7986" width="0" style="17" hidden="1" customWidth="1"/>
    <col min="7987" max="8192" width="9" style="17"/>
    <col min="8193" max="8241" width="2.5" style="17" customWidth="1"/>
    <col min="8242" max="8242" width="0" style="17" hidden="1" customWidth="1"/>
    <col min="8243" max="8448" width="9" style="17"/>
    <col min="8449" max="8497" width="2.5" style="17" customWidth="1"/>
    <col min="8498" max="8498" width="0" style="17" hidden="1" customWidth="1"/>
    <col min="8499" max="8704" width="9" style="17"/>
    <col min="8705" max="8753" width="2.5" style="17" customWidth="1"/>
    <col min="8754" max="8754" width="0" style="17" hidden="1" customWidth="1"/>
    <col min="8755" max="8960" width="9" style="17"/>
    <col min="8961" max="9009" width="2.5" style="17" customWidth="1"/>
    <col min="9010" max="9010" width="0" style="17" hidden="1" customWidth="1"/>
    <col min="9011" max="9216" width="9" style="17"/>
    <col min="9217" max="9265" width="2.5" style="17" customWidth="1"/>
    <col min="9266" max="9266" width="0" style="17" hidden="1" customWidth="1"/>
    <col min="9267" max="9472" width="9" style="17"/>
    <col min="9473" max="9521" width="2.5" style="17" customWidth="1"/>
    <col min="9522" max="9522" width="0" style="17" hidden="1" customWidth="1"/>
    <col min="9523" max="9728" width="9" style="17"/>
    <col min="9729" max="9777" width="2.5" style="17" customWidth="1"/>
    <col min="9778" max="9778" width="0" style="17" hidden="1" customWidth="1"/>
    <col min="9779" max="9984" width="9" style="17"/>
    <col min="9985" max="10033" width="2.5" style="17" customWidth="1"/>
    <col min="10034" max="10034" width="0" style="17" hidden="1" customWidth="1"/>
    <col min="10035" max="10240" width="9" style="17"/>
    <col min="10241" max="10289" width="2.5" style="17" customWidth="1"/>
    <col min="10290" max="10290" width="0" style="17" hidden="1" customWidth="1"/>
    <col min="10291" max="10496" width="9" style="17"/>
    <col min="10497" max="10545" width="2.5" style="17" customWidth="1"/>
    <col min="10546" max="10546" width="0" style="17" hidden="1" customWidth="1"/>
    <col min="10547" max="10752" width="9" style="17"/>
    <col min="10753" max="10801" width="2.5" style="17" customWidth="1"/>
    <col min="10802" max="10802" width="0" style="17" hidden="1" customWidth="1"/>
    <col min="10803" max="11008" width="9" style="17"/>
    <col min="11009" max="11057" width="2.5" style="17" customWidth="1"/>
    <col min="11058" max="11058" width="0" style="17" hidden="1" customWidth="1"/>
    <col min="11059" max="11264" width="9" style="17"/>
    <col min="11265" max="11313" width="2.5" style="17" customWidth="1"/>
    <col min="11314" max="11314" width="0" style="17" hidden="1" customWidth="1"/>
    <col min="11315" max="11520" width="9" style="17"/>
    <col min="11521" max="11569" width="2.5" style="17" customWidth="1"/>
    <col min="11570" max="11570" width="0" style="17" hidden="1" customWidth="1"/>
    <col min="11571" max="11776" width="9" style="17"/>
    <col min="11777" max="11825" width="2.5" style="17" customWidth="1"/>
    <col min="11826" max="11826" width="0" style="17" hidden="1" customWidth="1"/>
    <col min="11827" max="12032" width="9" style="17"/>
    <col min="12033" max="12081" width="2.5" style="17" customWidth="1"/>
    <col min="12082" max="12082" width="0" style="17" hidden="1" customWidth="1"/>
    <col min="12083" max="12288" width="9" style="17"/>
    <col min="12289" max="12337" width="2.5" style="17" customWidth="1"/>
    <col min="12338" max="12338" width="0" style="17" hidden="1" customWidth="1"/>
    <col min="12339" max="12544" width="9" style="17"/>
    <col min="12545" max="12593" width="2.5" style="17" customWidth="1"/>
    <col min="12594" max="12594" width="0" style="17" hidden="1" customWidth="1"/>
    <col min="12595" max="12800" width="9" style="17"/>
    <col min="12801" max="12849" width="2.5" style="17" customWidth="1"/>
    <col min="12850" max="12850" width="0" style="17" hidden="1" customWidth="1"/>
    <col min="12851" max="13056" width="9" style="17"/>
    <col min="13057" max="13105" width="2.5" style="17" customWidth="1"/>
    <col min="13106" max="13106" width="0" style="17" hidden="1" customWidth="1"/>
    <col min="13107" max="13312" width="9" style="17"/>
    <col min="13313" max="13361" width="2.5" style="17" customWidth="1"/>
    <col min="13362" max="13362" width="0" style="17" hidden="1" customWidth="1"/>
    <col min="13363" max="13568" width="9" style="17"/>
    <col min="13569" max="13617" width="2.5" style="17" customWidth="1"/>
    <col min="13618" max="13618" width="0" style="17" hidden="1" customWidth="1"/>
    <col min="13619" max="13824" width="9" style="17"/>
    <col min="13825" max="13873" width="2.5" style="17" customWidth="1"/>
    <col min="13874" max="13874" width="0" style="17" hidden="1" customWidth="1"/>
    <col min="13875" max="14080" width="9" style="17"/>
    <col min="14081" max="14129" width="2.5" style="17" customWidth="1"/>
    <col min="14130" max="14130" width="0" style="17" hidden="1" customWidth="1"/>
    <col min="14131" max="14336" width="9" style="17"/>
    <col min="14337" max="14385" width="2.5" style="17" customWidth="1"/>
    <col min="14386" max="14386" width="0" style="17" hidden="1" customWidth="1"/>
    <col min="14387" max="14592" width="9" style="17"/>
    <col min="14593" max="14641" width="2.5" style="17" customWidth="1"/>
    <col min="14642" max="14642" width="0" style="17" hidden="1" customWidth="1"/>
    <col min="14643" max="14848" width="9" style="17"/>
    <col min="14849" max="14897" width="2.5" style="17" customWidth="1"/>
    <col min="14898" max="14898" width="0" style="17" hidden="1" customWidth="1"/>
    <col min="14899" max="15104" width="9" style="17"/>
    <col min="15105" max="15153" width="2.5" style="17" customWidth="1"/>
    <col min="15154" max="15154" width="0" style="17" hidden="1" customWidth="1"/>
    <col min="15155" max="15360" width="9" style="17"/>
    <col min="15361" max="15409" width="2.5" style="17" customWidth="1"/>
    <col min="15410" max="15410" width="0" style="17" hidden="1" customWidth="1"/>
    <col min="15411" max="15616" width="9" style="17"/>
    <col min="15617" max="15665" width="2.5" style="17" customWidth="1"/>
    <col min="15666" max="15666" width="0" style="17" hidden="1" customWidth="1"/>
    <col min="15667" max="15872" width="9" style="17"/>
    <col min="15873" max="15921" width="2.5" style="17" customWidth="1"/>
    <col min="15922" max="15922" width="0" style="17" hidden="1" customWidth="1"/>
    <col min="15923" max="16128" width="9" style="17"/>
    <col min="16129" max="16177" width="2.5" style="17" customWidth="1"/>
    <col min="16178" max="16178" width="0" style="17" hidden="1" customWidth="1"/>
    <col min="16179" max="16384" width="9" style="17"/>
  </cols>
  <sheetData>
    <row r="2" spans="2:49">
      <c r="AW2" s="18" t="s">
        <v>78</v>
      </c>
    </row>
    <row r="3" spans="2:49" ht="11.25" customHeight="1">
      <c r="AC3" s="514"/>
      <c r="AD3" s="515"/>
      <c r="AE3" s="515"/>
      <c r="AF3" s="515"/>
      <c r="AG3" s="515"/>
      <c r="AH3" s="515"/>
      <c r="AI3" s="514"/>
      <c r="AJ3" s="514"/>
      <c r="AK3" s="514"/>
      <c r="AL3" s="514"/>
      <c r="AM3" s="514"/>
      <c r="AN3" s="420"/>
      <c r="AO3" s="420"/>
      <c r="AP3" s="420"/>
      <c r="AQ3" s="420"/>
      <c r="AR3" s="420"/>
      <c r="AS3" s="420"/>
      <c r="AT3" s="420"/>
      <c r="AU3" s="19"/>
      <c r="AW3" s="20" t="s">
        <v>79</v>
      </c>
    </row>
    <row r="4" spans="2:49" ht="11.1" customHeight="1">
      <c r="B4" s="21"/>
      <c r="C4" s="22"/>
      <c r="D4" s="22"/>
      <c r="E4" s="22"/>
      <c r="F4" s="22"/>
      <c r="G4" s="22"/>
      <c r="H4" s="22"/>
      <c r="I4" s="22"/>
      <c r="J4" s="22"/>
      <c r="AC4" s="515"/>
      <c r="AD4" s="515"/>
      <c r="AE4" s="515"/>
      <c r="AF4" s="515"/>
      <c r="AG4" s="515"/>
      <c r="AH4" s="515"/>
      <c r="AI4" s="514"/>
      <c r="AJ4" s="514"/>
      <c r="AK4" s="514"/>
      <c r="AL4" s="514"/>
      <c r="AM4" s="514"/>
      <c r="AN4" s="420"/>
      <c r="AO4" s="420"/>
      <c r="AP4" s="420"/>
      <c r="AQ4" s="420"/>
      <c r="AR4" s="420"/>
      <c r="AS4" s="420"/>
      <c r="AT4" s="420"/>
      <c r="AU4" s="19"/>
      <c r="AW4" s="20" t="s">
        <v>80</v>
      </c>
    </row>
    <row r="5" spans="2:49" ht="11.25" customHeight="1">
      <c r="AC5" s="515"/>
      <c r="AD5" s="515"/>
      <c r="AE5" s="515"/>
      <c r="AF5" s="515"/>
      <c r="AG5" s="515"/>
      <c r="AH5" s="515"/>
      <c r="AI5" s="516"/>
      <c r="AJ5" s="516"/>
      <c r="AK5" s="516"/>
      <c r="AL5" s="516"/>
      <c r="AM5" s="516"/>
      <c r="AN5" s="517"/>
      <c r="AO5" s="517"/>
      <c r="AP5" s="517"/>
      <c r="AQ5" s="517"/>
      <c r="AR5" s="517"/>
      <c r="AS5" s="517"/>
      <c r="AT5" s="517"/>
      <c r="AU5" s="23"/>
      <c r="AW5" s="20" t="s">
        <v>81</v>
      </c>
    </row>
    <row r="6" spans="2:49" ht="12.75" customHeight="1">
      <c r="B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W6" s="20" t="s">
        <v>82</v>
      </c>
    </row>
    <row r="7" spans="2:49" ht="11.25" customHeight="1">
      <c r="M7" s="500" t="s">
        <v>83</v>
      </c>
      <c r="N7" s="501"/>
      <c r="O7" s="501"/>
      <c r="P7" s="501"/>
      <c r="Q7" s="501"/>
      <c r="R7" s="501"/>
      <c r="S7" s="501"/>
      <c r="T7" s="501"/>
      <c r="U7" s="501"/>
      <c r="V7" s="501"/>
      <c r="W7" s="501"/>
      <c r="X7" s="501"/>
      <c r="Y7" s="501"/>
      <c r="Z7" s="501"/>
      <c r="AA7" s="501"/>
      <c r="AB7" s="501"/>
      <c r="AC7" s="501"/>
      <c r="AD7" s="501"/>
      <c r="AE7" s="501"/>
      <c r="AF7" s="501"/>
      <c r="AG7" s="501"/>
      <c r="AH7" s="501"/>
      <c r="AI7" s="501"/>
      <c r="AJ7" s="502"/>
      <c r="AW7" s="20" t="s">
        <v>84</v>
      </c>
    </row>
    <row r="8" spans="2:49" ht="11.25" customHeight="1">
      <c r="M8" s="500"/>
      <c r="N8" s="501"/>
      <c r="O8" s="501"/>
      <c r="P8" s="501"/>
      <c r="Q8" s="501"/>
      <c r="R8" s="501"/>
      <c r="S8" s="501"/>
      <c r="T8" s="501"/>
      <c r="U8" s="501"/>
      <c r="V8" s="501"/>
      <c r="W8" s="501"/>
      <c r="X8" s="501"/>
      <c r="Y8" s="501"/>
      <c r="Z8" s="501"/>
      <c r="AA8" s="501"/>
      <c r="AB8" s="501"/>
      <c r="AC8" s="501"/>
      <c r="AD8" s="501"/>
      <c r="AE8" s="501"/>
      <c r="AF8" s="501"/>
      <c r="AG8" s="501"/>
      <c r="AH8" s="501"/>
      <c r="AI8" s="501"/>
      <c r="AJ8" s="502"/>
      <c r="AW8" s="20" t="s">
        <v>85</v>
      </c>
    </row>
    <row r="9" spans="2:49" ht="11.25" customHeight="1">
      <c r="M9" s="500"/>
      <c r="N9" s="501"/>
      <c r="O9" s="501"/>
      <c r="P9" s="501"/>
      <c r="Q9" s="501"/>
      <c r="R9" s="501"/>
      <c r="S9" s="501"/>
      <c r="T9" s="501"/>
      <c r="U9" s="501"/>
      <c r="V9" s="501"/>
      <c r="W9" s="501"/>
      <c r="X9" s="501"/>
      <c r="Y9" s="501"/>
      <c r="Z9" s="501"/>
      <c r="AA9" s="501"/>
      <c r="AB9" s="501"/>
      <c r="AC9" s="501"/>
      <c r="AD9" s="501"/>
      <c r="AE9" s="501"/>
      <c r="AF9" s="501"/>
      <c r="AG9" s="501"/>
      <c r="AH9" s="501"/>
      <c r="AI9" s="501"/>
      <c r="AJ9" s="502"/>
      <c r="AW9" s="20" t="s">
        <v>86</v>
      </c>
    </row>
    <row r="10" spans="2:49" ht="11.25" customHeight="1">
      <c r="M10" s="503" t="s">
        <v>87</v>
      </c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5"/>
      <c r="AW10" s="20" t="s">
        <v>88</v>
      </c>
    </row>
    <row r="11" spans="2:49" ht="11.25" customHeight="1">
      <c r="M11" s="503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4"/>
      <c r="AA11" s="504"/>
      <c r="AB11" s="504"/>
      <c r="AC11" s="504"/>
      <c r="AD11" s="504"/>
      <c r="AE11" s="504"/>
      <c r="AF11" s="504"/>
      <c r="AG11" s="504"/>
      <c r="AH11" s="504"/>
      <c r="AI11" s="504"/>
      <c r="AJ11" s="505"/>
      <c r="AW11" s="20" t="s">
        <v>89</v>
      </c>
    </row>
    <row r="12" spans="2:49" ht="11.25" customHeight="1">
      <c r="M12" s="506"/>
      <c r="N12" s="507"/>
      <c r="O12" s="507"/>
      <c r="P12" s="507"/>
      <c r="Q12" s="507"/>
      <c r="R12" s="507"/>
      <c r="S12" s="507"/>
      <c r="T12" s="507"/>
      <c r="U12" s="507"/>
      <c r="V12" s="507"/>
      <c r="W12" s="507"/>
      <c r="X12" s="507"/>
      <c r="Y12" s="507"/>
      <c r="Z12" s="507"/>
      <c r="AA12" s="507"/>
      <c r="AB12" s="507"/>
      <c r="AC12" s="507"/>
      <c r="AD12" s="507"/>
      <c r="AE12" s="507"/>
      <c r="AF12" s="507"/>
      <c r="AG12" s="507"/>
      <c r="AH12" s="507"/>
      <c r="AI12" s="507"/>
      <c r="AJ12" s="508"/>
      <c r="AW12" s="20" t="s">
        <v>90</v>
      </c>
    </row>
    <row r="13" spans="2:49">
      <c r="AW13" s="20" t="s">
        <v>91</v>
      </c>
    </row>
    <row r="14" spans="2:49">
      <c r="AW14" s="20" t="s">
        <v>92</v>
      </c>
    </row>
    <row r="15" spans="2:49">
      <c r="AW15" s="20" t="s">
        <v>93</v>
      </c>
    </row>
    <row r="16" spans="2:49">
      <c r="M16" s="451" t="s">
        <v>94</v>
      </c>
      <c r="N16" s="452"/>
      <c r="O16" s="452"/>
      <c r="P16" s="452"/>
      <c r="Q16" s="452"/>
      <c r="R16" s="452"/>
      <c r="S16" s="452"/>
      <c r="T16" s="453"/>
      <c r="U16" s="483" t="s">
        <v>95</v>
      </c>
      <c r="V16" s="509"/>
      <c r="W16" s="509"/>
      <c r="X16" s="509"/>
      <c r="Y16" s="509"/>
      <c r="Z16" s="509"/>
      <c r="AA16" s="509"/>
      <c r="AB16" s="509"/>
      <c r="AC16" s="509"/>
      <c r="AD16" s="509"/>
      <c r="AE16" s="509"/>
      <c r="AF16" s="509"/>
      <c r="AG16" s="509"/>
      <c r="AH16" s="509"/>
      <c r="AI16" s="509"/>
      <c r="AJ16" s="510"/>
      <c r="AW16" s="20" t="s">
        <v>96</v>
      </c>
    </row>
    <row r="17" spans="13:52">
      <c r="M17" s="454"/>
      <c r="N17" s="455"/>
      <c r="O17" s="455"/>
      <c r="P17" s="455"/>
      <c r="Q17" s="455"/>
      <c r="R17" s="455"/>
      <c r="S17" s="455"/>
      <c r="T17" s="456"/>
      <c r="U17" s="511"/>
      <c r="V17" s="512"/>
      <c r="W17" s="512"/>
      <c r="X17" s="512"/>
      <c r="Y17" s="512"/>
      <c r="Z17" s="512"/>
      <c r="AA17" s="512"/>
      <c r="AB17" s="512"/>
      <c r="AC17" s="512"/>
      <c r="AD17" s="512"/>
      <c r="AE17" s="512"/>
      <c r="AF17" s="512"/>
      <c r="AG17" s="512"/>
      <c r="AH17" s="512"/>
      <c r="AI17" s="512"/>
      <c r="AJ17" s="513"/>
      <c r="AL17" s="26"/>
      <c r="AM17" s="18"/>
      <c r="AN17" s="18"/>
      <c r="AO17" s="18"/>
      <c r="AP17" s="18"/>
      <c r="AQ17" s="18"/>
      <c r="AR17" s="18"/>
      <c r="AW17" s="18"/>
    </row>
    <row r="18" spans="13:52">
      <c r="M18" s="451" t="s">
        <v>97</v>
      </c>
      <c r="N18" s="452"/>
      <c r="O18" s="452"/>
      <c r="P18" s="452"/>
      <c r="Q18" s="452"/>
      <c r="R18" s="452"/>
      <c r="S18" s="452"/>
      <c r="T18" s="453"/>
      <c r="U18" s="483" t="s">
        <v>98</v>
      </c>
      <c r="V18" s="509"/>
      <c r="W18" s="509"/>
      <c r="X18" s="509"/>
      <c r="Y18" s="509"/>
      <c r="Z18" s="509"/>
      <c r="AA18" s="509"/>
      <c r="AB18" s="509"/>
      <c r="AC18" s="509"/>
      <c r="AD18" s="509"/>
      <c r="AE18" s="509"/>
      <c r="AF18" s="509"/>
      <c r="AG18" s="509"/>
      <c r="AH18" s="509"/>
      <c r="AI18" s="509"/>
      <c r="AJ18" s="510"/>
      <c r="AL18" s="26"/>
      <c r="AM18" s="18"/>
      <c r="AN18" s="18"/>
      <c r="AO18" s="18"/>
      <c r="AP18" s="18"/>
      <c r="AQ18" s="18"/>
      <c r="AR18" s="18"/>
      <c r="AW18" s="18" t="s">
        <v>99</v>
      </c>
    </row>
    <row r="19" spans="13:52">
      <c r="M19" s="454"/>
      <c r="N19" s="455"/>
      <c r="O19" s="455"/>
      <c r="P19" s="455"/>
      <c r="Q19" s="455"/>
      <c r="R19" s="455"/>
      <c r="S19" s="455"/>
      <c r="T19" s="456"/>
      <c r="U19" s="511"/>
      <c r="V19" s="512"/>
      <c r="W19" s="512"/>
      <c r="X19" s="512"/>
      <c r="Y19" s="512"/>
      <c r="Z19" s="512"/>
      <c r="AA19" s="512"/>
      <c r="AB19" s="512"/>
      <c r="AC19" s="512"/>
      <c r="AD19" s="512"/>
      <c r="AE19" s="512"/>
      <c r="AF19" s="512"/>
      <c r="AG19" s="512"/>
      <c r="AH19" s="512"/>
      <c r="AI19" s="512"/>
      <c r="AJ19" s="513"/>
      <c r="AL19" s="26"/>
      <c r="AM19" s="18"/>
      <c r="AN19" s="18"/>
      <c r="AO19" s="18"/>
      <c r="AP19" s="18"/>
      <c r="AQ19" s="18"/>
      <c r="AR19" s="18"/>
      <c r="AW19" s="18" t="s">
        <v>100</v>
      </c>
    </row>
    <row r="20" spans="13:52" ht="11.25" customHeight="1">
      <c r="M20" s="451" t="s">
        <v>101</v>
      </c>
      <c r="N20" s="452"/>
      <c r="O20" s="452"/>
      <c r="P20" s="452"/>
      <c r="Q20" s="452"/>
      <c r="R20" s="452"/>
      <c r="S20" s="452"/>
      <c r="T20" s="453"/>
      <c r="U20" s="483"/>
      <c r="V20" s="484"/>
      <c r="W20" s="484"/>
      <c r="X20" s="484"/>
      <c r="Y20" s="484"/>
      <c r="Z20" s="484"/>
      <c r="AA20" s="484"/>
      <c r="AB20" s="484"/>
      <c r="AC20" s="484"/>
      <c r="AD20" s="484"/>
      <c r="AE20" s="484"/>
      <c r="AF20" s="484"/>
      <c r="AG20" s="484"/>
      <c r="AH20" s="484"/>
      <c r="AI20" s="484"/>
      <c r="AJ20" s="485"/>
      <c r="AL20" s="26"/>
      <c r="AM20" s="18"/>
      <c r="AN20" s="18"/>
      <c r="AO20" s="18"/>
      <c r="AP20" s="18"/>
      <c r="AQ20" s="18"/>
      <c r="AR20" s="18"/>
      <c r="AW20" s="18" t="s">
        <v>102</v>
      </c>
    </row>
    <row r="21" spans="13:52" ht="11.25" customHeight="1">
      <c r="M21" s="454"/>
      <c r="N21" s="455"/>
      <c r="O21" s="455"/>
      <c r="P21" s="455"/>
      <c r="Q21" s="455"/>
      <c r="R21" s="455"/>
      <c r="S21" s="455"/>
      <c r="T21" s="456"/>
      <c r="U21" s="486"/>
      <c r="V21" s="487"/>
      <c r="W21" s="487"/>
      <c r="X21" s="487"/>
      <c r="Y21" s="487"/>
      <c r="Z21" s="487"/>
      <c r="AA21" s="487"/>
      <c r="AB21" s="487"/>
      <c r="AC21" s="487"/>
      <c r="AD21" s="487"/>
      <c r="AE21" s="487"/>
      <c r="AF21" s="487"/>
      <c r="AG21" s="487"/>
      <c r="AH21" s="487"/>
      <c r="AI21" s="487"/>
      <c r="AJ21" s="488"/>
      <c r="AL21" s="26"/>
      <c r="AM21" s="18"/>
      <c r="AN21" s="18"/>
      <c r="AO21" s="18"/>
      <c r="AP21" s="18"/>
      <c r="AQ21" s="18"/>
      <c r="AR21" s="18"/>
      <c r="AW21" s="18" t="s">
        <v>103</v>
      </c>
    </row>
    <row r="22" spans="13:52">
      <c r="M22" s="451" t="s">
        <v>104</v>
      </c>
      <c r="N22" s="452"/>
      <c r="O22" s="452"/>
      <c r="P22" s="452"/>
      <c r="Q22" s="452"/>
      <c r="R22" s="452"/>
      <c r="S22" s="452"/>
      <c r="T22" s="453"/>
      <c r="U22" s="489" cm="1">
        <f t="array" ref="U22">MAX(_xlfn.NUMBERVALUE(改訂!A7:E44))</f>
        <v>1</v>
      </c>
      <c r="V22" s="490"/>
      <c r="W22" s="490"/>
      <c r="X22" s="490"/>
      <c r="Y22" s="490"/>
      <c r="Z22" s="490"/>
      <c r="AA22" s="490"/>
      <c r="AB22" s="490"/>
      <c r="AC22" s="490"/>
      <c r="AD22" s="490"/>
      <c r="AE22" s="490"/>
      <c r="AF22" s="490"/>
      <c r="AG22" s="490"/>
      <c r="AH22" s="490"/>
      <c r="AI22" s="490"/>
      <c r="AJ22" s="491"/>
      <c r="AL22" s="26"/>
      <c r="AM22" s="18"/>
      <c r="AN22" s="18"/>
      <c r="AO22" s="18"/>
      <c r="AP22" s="18"/>
      <c r="AQ22" s="18"/>
      <c r="AR22" s="18"/>
      <c r="AW22" s="18" t="s">
        <v>105</v>
      </c>
    </row>
    <row r="23" spans="13:52">
      <c r="M23" s="454"/>
      <c r="N23" s="455"/>
      <c r="O23" s="455"/>
      <c r="P23" s="455"/>
      <c r="Q23" s="455"/>
      <c r="R23" s="455"/>
      <c r="S23" s="455"/>
      <c r="T23" s="456"/>
      <c r="U23" s="492"/>
      <c r="V23" s="493"/>
      <c r="W23" s="493"/>
      <c r="X23" s="493"/>
      <c r="Y23" s="493"/>
      <c r="Z23" s="493"/>
      <c r="AA23" s="493"/>
      <c r="AB23" s="493"/>
      <c r="AC23" s="493"/>
      <c r="AD23" s="493"/>
      <c r="AE23" s="493"/>
      <c r="AF23" s="493"/>
      <c r="AG23" s="493"/>
      <c r="AH23" s="493"/>
      <c r="AI23" s="493"/>
      <c r="AJ23" s="494"/>
      <c r="AL23" s="26"/>
      <c r="AM23" s="18"/>
      <c r="AN23" s="18"/>
      <c r="AO23" s="18"/>
      <c r="AP23" s="18"/>
      <c r="AQ23" s="18"/>
      <c r="AR23" s="18"/>
      <c r="AW23" s="18"/>
    </row>
    <row r="24" spans="13:52">
      <c r="M24" s="451" t="s">
        <v>106</v>
      </c>
      <c r="N24" s="452"/>
      <c r="O24" s="452"/>
      <c r="P24" s="452"/>
      <c r="Q24" s="452"/>
      <c r="R24" s="452"/>
      <c r="S24" s="452"/>
      <c r="T24" s="453"/>
      <c r="U24" s="472" t="s">
        <v>107</v>
      </c>
      <c r="V24" s="495"/>
      <c r="W24" s="495"/>
      <c r="X24" s="495"/>
      <c r="Y24" s="495"/>
      <c r="Z24" s="495"/>
      <c r="AA24" s="495"/>
      <c r="AB24" s="495"/>
      <c r="AC24" s="495"/>
      <c r="AD24" s="495"/>
      <c r="AE24" s="495"/>
      <c r="AF24" s="495"/>
      <c r="AG24" s="495"/>
      <c r="AH24" s="495"/>
      <c r="AI24" s="495"/>
      <c r="AJ24" s="496"/>
      <c r="AL24" s="26"/>
      <c r="AM24" s="18"/>
      <c r="AN24" s="18"/>
      <c r="AO24" s="18"/>
      <c r="AP24" s="18"/>
      <c r="AQ24" s="18"/>
      <c r="AR24" s="18"/>
      <c r="AW24" s="18" t="s">
        <v>108</v>
      </c>
    </row>
    <row r="25" spans="13:52">
      <c r="M25" s="454"/>
      <c r="N25" s="455"/>
      <c r="O25" s="455"/>
      <c r="P25" s="455"/>
      <c r="Q25" s="455"/>
      <c r="R25" s="455"/>
      <c r="S25" s="455"/>
      <c r="T25" s="456"/>
      <c r="U25" s="497"/>
      <c r="V25" s="498"/>
      <c r="W25" s="498"/>
      <c r="X25" s="498"/>
      <c r="Y25" s="498"/>
      <c r="Z25" s="498"/>
      <c r="AA25" s="498"/>
      <c r="AB25" s="498"/>
      <c r="AC25" s="498"/>
      <c r="AD25" s="498"/>
      <c r="AE25" s="498"/>
      <c r="AF25" s="498"/>
      <c r="AG25" s="498"/>
      <c r="AH25" s="498"/>
      <c r="AI25" s="498"/>
      <c r="AJ25" s="499"/>
      <c r="AL25" s="26"/>
      <c r="AM25" s="27"/>
      <c r="AN25" s="27"/>
      <c r="AO25" s="27"/>
      <c r="AP25" s="27"/>
      <c r="AQ25" s="27"/>
      <c r="AR25" s="27"/>
      <c r="AS25" s="28"/>
      <c r="AU25" s="28"/>
      <c r="AW25" s="18" t="s">
        <v>28</v>
      </c>
    </row>
    <row r="26" spans="13:52" ht="11.25" customHeight="1">
      <c r="M26" s="451" t="s">
        <v>109</v>
      </c>
      <c r="N26" s="452"/>
      <c r="O26" s="452"/>
      <c r="P26" s="452"/>
      <c r="Q26" s="452"/>
      <c r="R26" s="452"/>
      <c r="S26" s="452"/>
      <c r="T26" s="453"/>
      <c r="U26" s="472" t="s">
        <v>370</v>
      </c>
      <c r="V26" s="473"/>
      <c r="W26" s="473"/>
      <c r="X26" s="473"/>
      <c r="Y26" s="473"/>
      <c r="Z26" s="473"/>
      <c r="AA26" s="473"/>
      <c r="AB26" s="474"/>
      <c r="AC26" s="478" t="s">
        <v>110</v>
      </c>
      <c r="AD26" s="479"/>
      <c r="AE26" s="472" t="s">
        <v>111</v>
      </c>
      <c r="AF26" s="473"/>
      <c r="AG26" s="473"/>
      <c r="AH26" s="473"/>
      <c r="AI26" s="473"/>
      <c r="AJ26" s="474"/>
      <c r="AK26" s="29"/>
      <c r="AL26" s="26"/>
      <c r="AM26" s="27"/>
      <c r="AN26" s="27"/>
      <c r="AO26" s="27"/>
      <c r="AP26" s="27"/>
      <c r="AQ26" s="27"/>
      <c r="AR26" s="27"/>
      <c r="AS26" s="28"/>
      <c r="AU26" s="28"/>
      <c r="AV26" s="28"/>
      <c r="AW26" s="30" t="s">
        <v>29</v>
      </c>
      <c r="AX26" s="28"/>
      <c r="AY26" s="28"/>
      <c r="AZ26" s="28"/>
    </row>
    <row r="27" spans="13:52" ht="12" customHeight="1">
      <c r="M27" s="454"/>
      <c r="N27" s="455"/>
      <c r="O27" s="455"/>
      <c r="P27" s="455"/>
      <c r="Q27" s="455"/>
      <c r="R27" s="455"/>
      <c r="S27" s="455"/>
      <c r="T27" s="456"/>
      <c r="U27" s="475"/>
      <c r="V27" s="476"/>
      <c r="W27" s="476"/>
      <c r="X27" s="476"/>
      <c r="Y27" s="476"/>
      <c r="Z27" s="476"/>
      <c r="AA27" s="476"/>
      <c r="AB27" s="477"/>
      <c r="AC27" s="480"/>
      <c r="AD27" s="481"/>
      <c r="AE27" s="475"/>
      <c r="AF27" s="476"/>
      <c r="AG27" s="476"/>
      <c r="AH27" s="476"/>
      <c r="AI27" s="476"/>
      <c r="AJ27" s="477"/>
      <c r="AK27" s="31"/>
      <c r="AL27" s="26"/>
      <c r="AM27" s="18"/>
      <c r="AN27" s="18"/>
      <c r="AO27" s="18"/>
      <c r="AP27" s="18"/>
      <c r="AQ27" s="18"/>
      <c r="AR27" s="18"/>
      <c r="AV27" s="28"/>
      <c r="AW27" s="30" t="s">
        <v>112</v>
      </c>
      <c r="AX27" s="28"/>
      <c r="AY27" s="28"/>
      <c r="AZ27" s="28"/>
    </row>
    <row r="28" spans="13:52" ht="12" customHeight="1">
      <c r="M28" s="451" t="s">
        <v>78</v>
      </c>
      <c r="N28" s="452"/>
      <c r="O28" s="452"/>
      <c r="P28" s="452"/>
      <c r="Q28" s="452"/>
      <c r="R28" s="452"/>
      <c r="S28" s="452"/>
      <c r="T28" s="453"/>
      <c r="U28" s="482" t="s">
        <v>371</v>
      </c>
      <c r="V28" s="458"/>
      <c r="W28" s="458"/>
      <c r="X28" s="458"/>
      <c r="Y28" s="458"/>
      <c r="Z28" s="458"/>
      <c r="AA28" s="458"/>
      <c r="AB28" s="458"/>
      <c r="AC28" s="458"/>
      <c r="AD28" s="458"/>
      <c r="AE28" s="458"/>
      <c r="AF28" s="458"/>
      <c r="AG28" s="458"/>
      <c r="AH28" s="458"/>
      <c r="AI28" s="458"/>
      <c r="AJ28" s="459"/>
      <c r="AL28" s="26"/>
      <c r="AM28" s="18"/>
      <c r="AN28" s="18"/>
      <c r="AO28" s="18"/>
      <c r="AP28" s="18"/>
      <c r="AQ28" s="18"/>
      <c r="AR28" s="18"/>
    </row>
    <row r="29" spans="13:52" ht="11.25" customHeight="1">
      <c r="M29" s="454"/>
      <c r="N29" s="455"/>
      <c r="O29" s="455"/>
      <c r="P29" s="455"/>
      <c r="Q29" s="455"/>
      <c r="R29" s="455"/>
      <c r="S29" s="455"/>
      <c r="T29" s="456"/>
      <c r="U29" s="460"/>
      <c r="V29" s="461"/>
      <c r="W29" s="461"/>
      <c r="X29" s="461"/>
      <c r="Y29" s="461"/>
      <c r="Z29" s="461"/>
      <c r="AA29" s="461"/>
      <c r="AB29" s="461"/>
      <c r="AC29" s="461"/>
      <c r="AD29" s="461"/>
      <c r="AE29" s="461"/>
      <c r="AF29" s="461"/>
      <c r="AG29" s="461"/>
      <c r="AH29" s="461"/>
      <c r="AI29" s="461"/>
      <c r="AJ29" s="462"/>
      <c r="AL29" s="26"/>
      <c r="AM29" s="18"/>
      <c r="AN29" s="18"/>
      <c r="AO29" s="18"/>
      <c r="AP29" s="18"/>
      <c r="AQ29" s="18"/>
      <c r="AR29" s="18"/>
      <c r="AX29" s="32"/>
    </row>
    <row r="30" spans="13:52" ht="11.25" customHeight="1">
      <c r="M30" s="451" t="s">
        <v>113</v>
      </c>
      <c r="N30" s="452"/>
      <c r="O30" s="452"/>
      <c r="P30" s="452"/>
      <c r="Q30" s="452"/>
      <c r="R30" s="452"/>
      <c r="S30" s="452"/>
      <c r="T30" s="453"/>
      <c r="U30" s="457" t="str">
        <f>M50</f>
        <v>受注伝票</v>
      </c>
      <c r="V30" s="458"/>
      <c r="W30" s="458"/>
      <c r="X30" s="458"/>
      <c r="Y30" s="458"/>
      <c r="Z30" s="458"/>
      <c r="AA30" s="458"/>
      <c r="AB30" s="458"/>
      <c r="AC30" s="458"/>
      <c r="AD30" s="458"/>
      <c r="AE30" s="458"/>
      <c r="AF30" s="458"/>
      <c r="AG30" s="458"/>
      <c r="AH30" s="458"/>
      <c r="AI30" s="458"/>
      <c r="AJ30" s="459"/>
      <c r="AL30" s="26"/>
      <c r="AM30" s="18"/>
      <c r="AN30" s="18"/>
      <c r="AO30" s="18"/>
      <c r="AP30" s="18"/>
      <c r="AQ30" s="18"/>
      <c r="AR30" s="18"/>
      <c r="AW30" s="32"/>
      <c r="AX30" s="32"/>
    </row>
    <row r="31" spans="13:52" ht="11.25" customHeight="1">
      <c r="M31" s="454"/>
      <c r="N31" s="455"/>
      <c r="O31" s="455"/>
      <c r="P31" s="455"/>
      <c r="Q31" s="455"/>
      <c r="R31" s="455"/>
      <c r="S31" s="455"/>
      <c r="T31" s="456"/>
      <c r="U31" s="460"/>
      <c r="V31" s="461"/>
      <c r="W31" s="461"/>
      <c r="X31" s="461"/>
      <c r="Y31" s="461"/>
      <c r="Z31" s="461"/>
      <c r="AA31" s="461"/>
      <c r="AB31" s="461"/>
      <c r="AC31" s="461"/>
      <c r="AD31" s="461"/>
      <c r="AE31" s="461"/>
      <c r="AF31" s="461"/>
      <c r="AG31" s="461"/>
      <c r="AH31" s="461"/>
      <c r="AI31" s="461"/>
      <c r="AJ31" s="462"/>
      <c r="AL31" s="26"/>
      <c r="AM31" s="18"/>
      <c r="AN31" s="18"/>
      <c r="AO31" s="18"/>
      <c r="AP31" s="18"/>
      <c r="AQ31" s="18"/>
      <c r="AR31" s="18"/>
      <c r="AW31" s="32"/>
    </row>
    <row r="32" spans="13:52" ht="11.25" customHeight="1">
      <c r="M32" s="451" t="s">
        <v>114</v>
      </c>
      <c r="N32" s="452"/>
      <c r="O32" s="452"/>
      <c r="P32" s="452"/>
      <c r="Q32" s="452"/>
      <c r="R32" s="452"/>
      <c r="S32" s="452"/>
      <c r="T32" s="453"/>
      <c r="U32" s="457" t="str">
        <f>G50</f>
        <v>MSBBRA050</v>
      </c>
      <c r="V32" s="458"/>
      <c r="W32" s="458"/>
      <c r="X32" s="458"/>
      <c r="Y32" s="458"/>
      <c r="Z32" s="458"/>
      <c r="AA32" s="458"/>
      <c r="AB32" s="458"/>
      <c r="AC32" s="458"/>
      <c r="AD32" s="458"/>
      <c r="AE32" s="458"/>
      <c r="AF32" s="458"/>
      <c r="AG32" s="458"/>
      <c r="AH32" s="458"/>
      <c r="AI32" s="458"/>
      <c r="AJ32" s="459"/>
      <c r="AL32" s="26"/>
      <c r="AM32" s="18"/>
      <c r="AN32" s="18"/>
      <c r="AO32" s="18"/>
      <c r="AP32" s="18"/>
      <c r="AQ32" s="18"/>
      <c r="AR32" s="18"/>
    </row>
    <row r="33" spans="1:49" ht="11.25" customHeight="1">
      <c r="M33" s="454"/>
      <c r="N33" s="455"/>
      <c r="O33" s="455"/>
      <c r="P33" s="455"/>
      <c r="Q33" s="455"/>
      <c r="R33" s="455"/>
      <c r="S33" s="455"/>
      <c r="T33" s="456"/>
      <c r="U33" s="460"/>
      <c r="V33" s="461"/>
      <c r="W33" s="461"/>
      <c r="X33" s="461"/>
      <c r="Y33" s="461"/>
      <c r="Z33" s="461"/>
      <c r="AA33" s="461"/>
      <c r="AB33" s="461"/>
      <c r="AC33" s="461"/>
      <c r="AD33" s="461"/>
      <c r="AE33" s="461"/>
      <c r="AF33" s="461"/>
      <c r="AG33" s="461"/>
      <c r="AH33" s="461"/>
      <c r="AI33" s="461"/>
      <c r="AJ33" s="462"/>
      <c r="AL33" s="26"/>
      <c r="AM33" s="18"/>
      <c r="AN33" s="18"/>
      <c r="AO33" s="18"/>
      <c r="AP33" s="18"/>
      <c r="AQ33" s="18"/>
      <c r="AR33" s="18"/>
    </row>
    <row r="34" spans="1:49" ht="13.5" customHeight="1">
      <c r="M34" s="451" t="s">
        <v>99</v>
      </c>
      <c r="N34" s="452"/>
      <c r="O34" s="452"/>
      <c r="P34" s="452"/>
      <c r="Q34" s="452"/>
      <c r="R34" s="452"/>
      <c r="S34" s="452"/>
      <c r="T34" s="453"/>
      <c r="U34" s="463" t="s">
        <v>102</v>
      </c>
      <c r="V34" s="464"/>
      <c r="W34" s="464"/>
      <c r="X34" s="464"/>
      <c r="Y34" s="464"/>
      <c r="Z34" s="464"/>
      <c r="AA34" s="464"/>
      <c r="AB34" s="464"/>
      <c r="AC34" s="464"/>
      <c r="AD34" s="464"/>
      <c r="AE34" s="464"/>
      <c r="AF34" s="464"/>
      <c r="AG34" s="464"/>
      <c r="AH34" s="464"/>
      <c r="AI34" s="464"/>
      <c r="AJ34" s="465"/>
      <c r="AL34" s="26"/>
      <c r="AM34" s="18"/>
      <c r="AN34" s="18"/>
      <c r="AO34" s="18"/>
      <c r="AP34" s="18"/>
      <c r="AQ34" s="18"/>
      <c r="AR34" s="18"/>
      <c r="AW34" s="32"/>
    </row>
    <row r="35" spans="1:49" ht="11.25" customHeight="1">
      <c r="M35" s="454"/>
      <c r="N35" s="455"/>
      <c r="O35" s="455"/>
      <c r="P35" s="455"/>
      <c r="Q35" s="455"/>
      <c r="R35" s="455"/>
      <c r="S35" s="455"/>
      <c r="T35" s="456"/>
      <c r="U35" s="466"/>
      <c r="V35" s="467"/>
      <c r="W35" s="467"/>
      <c r="X35" s="467"/>
      <c r="Y35" s="467"/>
      <c r="Z35" s="467"/>
      <c r="AA35" s="467"/>
      <c r="AB35" s="467"/>
      <c r="AC35" s="467"/>
      <c r="AD35" s="467"/>
      <c r="AE35" s="467"/>
      <c r="AF35" s="467"/>
      <c r="AG35" s="467"/>
      <c r="AH35" s="467"/>
      <c r="AI35" s="467"/>
      <c r="AJ35" s="468"/>
      <c r="AL35" s="26"/>
      <c r="AM35" s="18"/>
      <c r="AN35" s="18"/>
      <c r="AO35" s="18"/>
      <c r="AP35" s="18"/>
      <c r="AQ35" s="18"/>
      <c r="AR35" s="18"/>
      <c r="AW35" s="32"/>
    </row>
    <row r="36" spans="1:49" ht="11.25" customHeight="1">
      <c r="M36" s="451" t="s">
        <v>108</v>
      </c>
      <c r="N36" s="452"/>
      <c r="O36" s="452"/>
      <c r="P36" s="452"/>
      <c r="Q36" s="452"/>
      <c r="R36" s="452"/>
      <c r="S36" s="452"/>
      <c r="T36" s="453"/>
      <c r="U36" s="463" t="s">
        <v>115</v>
      </c>
      <c r="V36" s="464"/>
      <c r="W36" s="464"/>
      <c r="X36" s="464"/>
      <c r="Y36" s="464"/>
      <c r="Z36" s="464"/>
      <c r="AA36" s="464"/>
      <c r="AB36" s="464"/>
      <c r="AC36" s="464"/>
      <c r="AD36" s="464"/>
      <c r="AE36" s="464"/>
      <c r="AF36" s="464"/>
      <c r="AG36" s="464"/>
      <c r="AH36" s="464"/>
      <c r="AI36" s="464"/>
      <c r="AJ36" s="465"/>
      <c r="AL36" s="26"/>
      <c r="AM36" s="18"/>
      <c r="AN36" s="18"/>
      <c r="AO36" s="18"/>
      <c r="AP36" s="18"/>
      <c r="AQ36" s="18"/>
      <c r="AR36" s="18"/>
      <c r="AW36" s="32"/>
    </row>
    <row r="37" spans="1:49" ht="11.25" customHeight="1">
      <c r="B37" s="33"/>
      <c r="C37" s="33"/>
      <c r="D37" s="33"/>
      <c r="M37" s="454"/>
      <c r="N37" s="455"/>
      <c r="O37" s="455"/>
      <c r="P37" s="455"/>
      <c r="Q37" s="455"/>
      <c r="R37" s="455"/>
      <c r="S37" s="455"/>
      <c r="T37" s="456"/>
      <c r="U37" s="466"/>
      <c r="V37" s="467"/>
      <c r="W37" s="467"/>
      <c r="X37" s="467"/>
      <c r="Y37" s="467"/>
      <c r="Z37" s="467"/>
      <c r="AA37" s="467"/>
      <c r="AB37" s="467"/>
      <c r="AC37" s="467"/>
      <c r="AD37" s="467"/>
      <c r="AE37" s="467"/>
      <c r="AF37" s="467"/>
      <c r="AG37" s="467"/>
      <c r="AH37" s="467"/>
      <c r="AI37" s="467"/>
      <c r="AJ37" s="468"/>
      <c r="AL37" s="26"/>
      <c r="AM37" s="18"/>
      <c r="AN37" s="18"/>
      <c r="AO37" s="18"/>
      <c r="AP37" s="18"/>
      <c r="AQ37" s="18"/>
      <c r="AR37" s="18"/>
    </row>
    <row r="38" spans="1:49" ht="13.5" customHeight="1"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49" ht="13.5" customHeight="1">
      <c r="M39" s="35"/>
      <c r="N39" s="35"/>
      <c r="O39" s="35"/>
      <c r="P39" s="35"/>
      <c r="R39" s="35"/>
      <c r="S39" s="35"/>
      <c r="T39" s="35"/>
      <c r="U39" s="35"/>
      <c r="W39" s="469" t="s">
        <v>116</v>
      </c>
      <c r="X39" s="470"/>
      <c r="Y39" s="470"/>
      <c r="Z39" s="471"/>
      <c r="AB39" s="469" t="s">
        <v>117</v>
      </c>
      <c r="AC39" s="470"/>
      <c r="AD39" s="470"/>
      <c r="AE39" s="471"/>
      <c r="AG39" s="469" t="s">
        <v>118</v>
      </c>
      <c r="AH39" s="470"/>
      <c r="AI39" s="470"/>
      <c r="AJ39" s="471"/>
    </row>
    <row r="40" spans="1:49" ht="11.25" customHeight="1">
      <c r="M40" s="35"/>
      <c r="N40" s="35"/>
      <c r="O40" s="35"/>
      <c r="P40" s="35"/>
      <c r="R40" s="35"/>
      <c r="S40" s="35"/>
      <c r="T40" s="35"/>
      <c r="U40" s="35"/>
      <c r="W40" s="439" t="s">
        <v>119</v>
      </c>
      <c r="X40" s="440"/>
      <c r="Y40" s="440"/>
      <c r="Z40" s="441"/>
      <c r="AB40" s="439"/>
      <c r="AC40" s="440"/>
      <c r="AD40" s="440"/>
      <c r="AE40" s="441"/>
      <c r="AG40" s="445"/>
      <c r="AH40" s="446"/>
      <c r="AI40" s="446"/>
      <c r="AJ40" s="447"/>
    </row>
    <row r="41" spans="1:49">
      <c r="M41" s="35"/>
      <c r="N41" s="35"/>
      <c r="O41" s="35"/>
      <c r="P41" s="35"/>
      <c r="R41" s="35"/>
      <c r="S41" s="35"/>
      <c r="T41" s="35"/>
      <c r="U41" s="35"/>
      <c r="W41" s="442"/>
      <c r="X41" s="443"/>
      <c r="Y41" s="443"/>
      <c r="Z41" s="444"/>
      <c r="AB41" s="442"/>
      <c r="AC41" s="443"/>
      <c r="AD41" s="443"/>
      <c r="AE41" s="444"/>
      <c r="AG41" s="448"/>
      <c r="AH41" s="449"/>
      <c r="AI41" s="449"/>
      <c r="AJ41" s="450"/>
    </row>
    <row r="42" spans="1:49">
      <c r="M42" s="36"/>
      <c r="N42" s="36"/>
      <c r="O42" s="36"/>
      <c r="P42" s="36"/>
      <c r="R42" s="36"/>
      <c r="S42" s="36"/>
      <c r="T42" s="36"/>
      <c r="U42" s="36"/>
      <c r="W42" s="402">
        <v>44837</v>
      </c>
      <c r="X42" s="403"/>
      <c r="Y42" s="403"/>
      <c r="Z42" s="404"/>
      <c r="AB42" s="408"/>
      <c r="AC42" s="409"/>
      <c r="AD42" s="409"/>
      <c r="AE42" s="410"/>
      <c r="AG42" s="414"/>
      <c r="AH42" s="415"/>
      <c r="AI42" s="415"/>
      <c r="AJ42" s="416"/>
    </row>
    <row r="43" spans="1:49">
      <c r="C43" s="420"/>
      <c r="D43" s="420"/>
      <c r="E43" s="420"/>
      <c r="F43" s="420"/>
      <c r="G43" s="420"/>
      <c r="H43" s="420"/>
      <c r="M43" s="36"/>
      <c r="N43" s="36"/>
      <c r="O43" s="36"/>
      <c r="P43" s="36"/>
      <c r="R43" s="36"/>
      <c r="S43" s="36"/>
      <c r="T43" s="36"/>
      <c r="U43" s="36"/>
      <c r="W43" s="405"/>
      <c r="X43" s="406"/>
      <c r="Y43" s="406"/>
      <c r="Z43" s="407"/>
      <c r="AB43" s="411"/>
      <c r="AC43" s="412"/>
      <c r="AD43" s="412"/>
      <c r="AE43" s="413"/>
      <c r="AG43" s="417"/>
      <c r="AH43" s="418"/>
      <c r="AI43" s="418"/>
      <c r="AJ43" s="419"/>
    </row>
    <row r="44" spans="1:49">
      <c r="C44" s="420"/>
      <c r="D44" s="420"/>
      <c r="E44" s="420"/>
      <c r="F44" s="420"/>
      <c r="G44" s="420"/>
      <c r="H44" s="420"/>
    </row>
    <row r="45" spans="1:49" ht="15.75">
      <c r="C45" s="421"/>
      <c r="D45" s="421"/>
      <c r="E45" s="421"/>
      <c r="F45" s="421"/>
      <c r="G45" s="421"/>
      <c r="H45" s="421"/>
    </row>
    <row r="48" spans="1:49" ht="12" customHeight="1">
      <c r="A48" s="422" t="s">
        <v>101</v>
      </c>
      <c r="B48" s="423"/>
      <c r="C48" s="423"/>
      <c r="D48" s="423"/>
      <c r="E48" s="423"/>
      <c r="F48" s="424"/>
      <c r="G48" s="422" t="s">
        <v>120</v>
      </c>
      <c r="H48" s="423"/>
      <c r="I48" s="423"/>
      <c r="J48" s="423"/>
      <c r="K48" s="423"/>
      <c r="L48" s="424"/>
      <c r="M48" s="422" t="s">
        <v>121</v>
      </c>
      <c r="N48" s="428"/>
      <c r="O48" s="428"/>
      <c r="P48" s="428"/>
      <c r="Q48" s="428"/>
      <c r="R48" s="428"/>
      <c r="S48" s="428"/>
      <c r="T48" s="428"/>
      <c r="U48" s="429"/>
      <c r="V48" s="422" t="s">
        <v>122</v>
      </c>
      <c r="W48" s="423"/>
      <c r="X48" s="423"/>
      <c r="Y48" s="423"/>
      <c r="Z48" s="423"/>
      <c r="AA48" s="424"/>
      <c r="AB48" s="433" t="s">
        <v>123</v>
      </c>
      <c r="AC48" s="434"/>
      <c r="AD48" s="434"/>
      <c r="AE48" s="434"/>
      <c r="AF48" s="434"/>
      <c r="AG48" s="435"/>
    </row>
    <row r="49" spans="1:86" ht="12" customHeight="1">
      <c r="A49" s="425"/>
      <c r="B49" s="426"/>
      <c r="C49" s="426"/>
      <c r="D49" s="426"/>
      <c r="E49" s="426"/>
      <c r="F49" s="427"/>
      <c r="G49" s="425"/>
      <c r="H49" s="426"/>
      <c r="I49" s="426"/>
      <c r="J49" s="426"/>
      <c r="K49" s="426"/>
      <c r="L49" s="427"/>
      <c r="M49" s="430"/>
      <c r="N49" s="431"/>
      <c r="O49" s="431"/>
      <c r="P49" s="431"/>
      <c r="Q49" s="431"/>
      <c r="R49" s="431"/>
      <c r="S49" s="431"/>
      <c r="T49" s="431"/>
      <c r="U49" s="432"/>
      <c r="V49" s="425"/>
      <c r="W49" s="426"/>
      <c r="X49" s="426"/>
      <c r="Y49" s="426"/>
      <c r="Z49" s="426"/>
      <c r="AA49" s="427"/>
      <c r="AB49" s="436"/>
      <c r="AC49" s="437"/>
      <c r="AD49" s="437"/>
      <c r="AE49" s="437"/>
      <c r="AF49" s="437"/>
      <c r="AG49" s="438"/>
    </row>
    <row r="50" spans="1:86" ht="12" customHeight="1">
      <c r="A50" s="376" t="s">
        <v>124</v>
      </c>
      <c r="B50" s="377"/>
      <c r="C50" s="377"/>
      <c r="D50" s="377"/>
      <c r="E50" s="377"/>
      <c r="F50" s="378"/>
      <c r="G50" s="376" t="s">
        <v>372</v>
      </c>
      <c r="H50" s="377"/>
      <c r="I50" s="377"/>
      <c r="J50" s="377"/>
      <c r="K50" s="377"/>
      <c r="L50" s="378"/>
      <c r="M50" s="382" t="s">
        <v>204</v>
      </c>
      <c r="N50" s="383"/>
      <c r="O50" s="383"/>
      <c r="P50" s="383"/>
      <c r="Q50" s="383"/>
      <c r="R50" s="383"/>
      <c r="S50" s="383"/>
      <c r="T50" s="383"/>
      <c r="U50" s="384"/>
      <c r="V50" s="388" t="s">
        <v>125</v>
      </c>
      <c r="W50" s="389"/>
      <c r="X50" s="389"/>
      <c r="Y50" s="389"/>
      <c r="Z50" s="389"/>
      <c r="AA50" s="390"/>
      <c r="AB50" s="394" t="s">
        <v>126</v>
      </c>
      <c r="AC50" s="395"/>
      <c r="AD50" s="395"/>
      <c r="AE50" s="395"/>
      <c r="AF50" s="395"/>
      <c r="AG50" s="396"/>
    </row>
    <row r="51" spans="1:86" ht="12" customHeight="1">
      <c r="A51" s="379"/>
      <c r="B51" s="380"/>
      <c r="C51" s="380"/>
      <c r="D51" s="380"/>
      <c r="E51" s="380"/>
      <c r="F51" s="381"/>
      <c r="G51" s="379"/>
      <c r="H51" s="380"/>
      <c r="I51" s="380"/>
      <c r="J51" s="380"/>
      <c r="K51" s="380"/>
      <c r="L51" s="381"/>
      <c r="M51" s="385"/>
      <c r="N51" s="386"/>
      <c r="O51" s="386"/>
      <c r="P51" s="386"/>
      <c r="Q51" s="386"/>
      <c r="R51" s="386"/>
      <c r="S51" s="386"/>
      <c r="T51" s="386"/>
      <c r="U51" s="387"/>
      <c r="V51" s="391"/>
      <c r="W51" s="392"/>
      <c r="X51" s="392"/>
      <c r="Y51" s="392"/>
      <c r="Z51" s="392"/>
      <c r="AA51" s="393"/>
      <c r="AB51" s="397"/>
      <c r="AC51" s="398"/>
      <c r="AD51" s="398"/>
      <c r="AE51" s="398"/>
      <c r="AF51" s="398"/>
      <c r="AG51" s="399"/>
    </row>
    <row r="53" spans="1:86" s="37" customFormat="1" ht="15.75">
      <c r="A53" s="37" t="s">
        <v>127</v>
      </c>
    </row>
    <row r="54" spans="1:86" s="37" customFormat="1" ht="15.75" customHeight="1">
      <c r="A54" s="17" t="s">
        <v>374</v>
      </c>
      <c r="B54" s="17"/>
      <c r="C54" s="17"/>
      <c r="D54" s="17"/>
      <c r="E54" s="17"/>
      <c r="F54" s="17"/>
      <c r="G54" s="17"/>
      <c r="H54" s="17"/>
      <c r="I54" s="17"/>
      <c r="J54" s="17"/>
      <c r="K54" s="17" t="s">
        <v>128</v>
      </c>
      <c r="L54" s="17"/>
      <c r="M54" s="17"/>
      <c r="N54" s="17"/>
      <c r="O54" s="17"/>
      <c r="P54" s="17"/>
      <c r="Q54" s="17"/>
      <c r="R54" s="17"/>
      <c r="S54" s="17"/>
      <c r="T54" s="17"/>
      <c r="U54" s="17" t="s">
        <v>129</v>
      </c>
      <c r="V54" s="17"/>
      <c r="W54" s="17"/>
      <c r="X54" s="17"/>
      <c r="Y54" s="17"/>
      <c r="Z54" s="17" t="s">
        <v>130</v>
      </c>
      <c r="AA54" s="17"/>
      <c r="AB54" s="17"/>
      <c r="AC54" s="17"/>
      <c r="AD54" s="17"/>
      <c r="AE54" s="17" t="s">
        <v>131</v>
      </c>
      <c r="AF54" s="17"/>
      <c r="AG54" s="17"/>
      <c r="AH54" s="17"/>
      <c r="AI54" s="17"/>
      <c r="AJ54" s="17" t="s">
        <v>370</v>
      </c>
      <c r="AK54" s="17"/>
      <c r="AL54" s="17"/>
      <c r="AM54" s="17"/>
      <c r="AN54" s="17"/>
      <c r="AO54" s="17"/>
      <c r="AP54" s="17"/>
      <c r="AQ54" s="17"/>
      <c r="AR54" s="17"/>
      <c r="AS54" s="17" t="s">
        <v>101</v>
      </c>
      <c r="AT54" s="17"/>
      <c r="AU54" s="17"/>
      <c r="AV54" s="17"/>
      <c r="AW54" s="17"/>
      <c r="AX54" s="17"/>
      <c r="AY54" s="17"/>
      <c r="AZ54" s="17" t="s">
        <v>132</v>
      </c>
      <c r="BA54" s="17"/>
      <c r="BB54" s="17"/>
      <c r="BC54" s="17"/>
      <c r="BD54" s="17"/>
      <c r="BE54" s="17"/>
      <c r="BF54" s="17" t="s">
        <v>133</v>
      </c>
      <c r="BG54" s="17"/>
      <c r="BH54" s="17"/>
      <c r="BI54" s="17"/>
      <c r="BJ54" s="17"/>
      <c r="BK54" s="17"/>
    </row>
    <row r="55" spans="1:86" s="37" customFormat="1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 t="s">
        <v>134</v>
      </c>
      <c r="L55" s="17"/>
      <c r="M55" s="17"/>
      <c r="N55" s="17"/>
      <c r="O55" s="17"/>
      <c r="P55" s="17"/>
      <c r="Q55" s="17"/>
      <c r="R55" s="17"/>
      <c r="S55" s="17"/>
      <c r="T55" s="17"/>
      <c r="U55" s="17" t="s">
        <v>135</v>
      </c>
      <c r="V55" s="17"/>
      <c r="W55" s="17"/>
      <c r="X55" s="17"/>
      <c r="Y55" s="17"/>
      <c r="Z55" s="17" t="s">
        <v>205</v>
      </c>
      <c r="AA55" s="17"/>
      <c r="AB55" s="17"/>
      <c r="AC55" s="17"/>
      <c r="AD55" s="17"/>
      <c r="AE55" s="17" t="s">
        <v>136</v>
      </c>
      <c r="AF55" s="17"/>
      <c r="AG55" s="17"/>
      <c r="AH55" s="17"/>
      <c r="AI55" s="17"/>
      <c r="AJ55" s="17" t="s">
        <v>373</v>
      </c>
      <c r="AK55" s="17"/>
      <c r="AL55" s="17"/>
      <c r="AM55" s="17"/>
      <c r="AN55" s="17"/>
      <c r="AO55" s="17"/>
      <c r="AP55" s="17"/>
      <c r="AQ55" s="17"/>
      <c r="AR55" s="17"/>
      <c r="AS55" s="17" t="s">
        <v>137</v>
      </c>
      <c r="AT55" s="17"/>
      <c r="AU55" s="17"/>
      <c r="AV55" s="17"/>
      <c r="AW55" s="17"/>
      <c r="AX55" s="17"/>
      <c r="AY55" s="17"/>
      <c r="AZ55" s="17" t="s">
        <v>125</v>
      </c>
      <c r="BA55" s="17"/>
      <c r="BB55" s="17"/>
      <c r="BC55" s="17"/>
      <c r="BD55" s="17"/>
      <c r="BE55" s="17"/>
      <c r="BF55" s="17" t="s">
        <v>138</v>
      </c>
      <c r="BG55" s="17"/>
      <c r="BH55" s="17"/>
      <c r="BI55" s="17"/>
      <c r="BJ55" s="17"/>
      <c r="BK55" s="17"/>
    </row>
    <row r="56" spans="1:86" s="37" customFormat="1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 t="s">
        <v>139</v>
      </c>
      <c r="L56" s="17"/>
      <c r="M56" s="17"/>
      <c r="N56" s="17"/>
      <c r="O56" s="17"/>
      <c r="P56" s="17"/>
      <c r="Q56" s="17"/>
      <c r="R56" s="17"/>
      <c r="S56" s="17"/>
      <c r="T56" s="17"/>
      <c r="U56" s="17" t="s">
        <v>140</v>
      </c>
      <c r="V56" s="17"/>
      <c r="W56" s="17"/>
      <c r="X56" s="17"/>
      <c r="Y56" s="17"/>
      <c r="Z56" s="17" t="s">
        <v>372</v>
      </c>
      <c r="AA56" s="17"/>
      <c r="AB56" s="17"/>
      <c r="AC56" s="17"/>
      <c r="AD56" s="17"/>
      <c r="AE56" s="68" t="s">
        <v>206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</row>
    <row r="57" spans="1:86" s="37" customFormat="1" ht="16.5" thickBot="1">
      <c r="A57" s="37" t="s">
        <v>141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9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42"/>
      <c r="AC57" s="43"/>
      <c r="AD57" s="43"/>
      <c r="AE57" s="43"/>
      <c r="AF57" s="43"/>
      <c r="AG57" s="43"/>
      <c r="AH57" s="44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5"/>
      <c r="AV57" s="45"/>
      <c r="AW57" s="45"/>
      <c r="AX57" s="45"/>
      <c r="AY57" s="45"/>
      <c r="AZ57" s="45"/>
      <c r="BA57" s="45"/>
      <c r="BB57" s="38"/>
      <c r="BC57" s="38"/>
      <c r="BD57" s="38"/>
      <c r="BE57" s="38"/>
      <c r="BF57" s="38"/>
      <c r="BG57" s="40"/>
      <c r="BH57" s="40"/>
      <c r="BI57" s="40"/>
      <c r="BJ57" s="40"/>
      <c r="BK57" s="40"/>
    </row>
    <row r="58" spans="1:86" s="37" customFormat="1" ht="15.75">
      <c r="A58" s="342" t="str">
        <f>A54</f>
        <v>Webシステム</v>
      </c>
      <c r="B58" s="343"/>
      <c r="C58" s="343"/>
      <c r="D58" s="343"/>
      <c r="E58" s="343"/>
      <c r="F58" s="343"/>
      <c r="G58" s="343"/>
      <c r="H58" s="343"/>
      <c r="I58" s="343"/>
      <c r="J58" s="344"/>
      <c r="K58" s="351" t="s">
        <v>128</v>
      </c>
      <c r="L58" s="352"/>
      <c r="M58" s="352"/>
      <c r="N58" s="352"/>
      <c r="O58" s="352"/>
      <c r="P58" s="352"/>
      <c r="Q58" s="352"/>
      <c r="R58" s="352"/>
      <c r="S58" s="352"/>
      <c r="T58" s="400"/>
      <c r="U58" s="401" t="s">
        <v>142</v>
      </c>
      <c r="V58" s="355"/>
      <c r="W58" s="355"/>
      <c r="X58" s="355"/>
      <c r="Y58" s="356"/>
      <c r="Z58" s="328" t="str">
        <f>Z54</f>
        <v>MS</v>
      </c>
      <c r="AA58" s="307"/>
      <c r="AB58" s="307"/>
      <c r="AC58" s="307"/>
      <c r="AD58" s="308"/>
      <c r="AE58" s="353" t="s">
        <v>131</v>
      </c>
      <c r="AF58" s="307"/>
      <c r="AG58" s="307"/>
      <c r="AH58" s="307"/>
      <c r="AI58" s="308"/>
      <c r="AJ58" s="354" t="str">
        <f>AJ54</f>
        <v>Webシステム</v>
      </c>
      <c r="AK58" s="355"/>
      <c r="AL58" s="355"/>
      <c r="AM58" s="355"/>
      <c r="AN58" s="355"/>
      <c r="AO58" s="355"/>
      <c r="AP58" s="355"/>
      <c r="AQ58" s="355"/>
      <c r="AR58" s="356"/>
      <c r="AS58" s="357" t="s">
        <v>101</v>
      </c>
      <c r="AT58" s="357"/>
      <c r="AU58" s="357"/>
      <c r="AV58" s="357"/>
      <c r="AW58" s="357"/>
      <c r="AX58" s="357"/>
      <c r="AY58" s="357"/>
      <c r="AZ58" s="306" t="s">
        <v>122</v>
      </c>
      <c r="BA58" s="307"/>
      <c r="BB58" s="307"/>
      <c r="BC58" s="307"/>
      <c r="BD58" s="307"/>
      <c r="BE58" s="308"/>
      <c r="BF58" s="306" t="s">
        <v>143</v>
      </c>
      <c r="BG58" s="307"/>
      <c r="BH58" s="307"/>
      <c r="BI58" s="307"/>
      <c r="BJ58" s="307"/>
      <c r="BK58" s="358"/>
    </row>
    <row r="59" spans="1:86" s="37" customFormat="1" ht="15.75" customHeight="1">
      <c r="A59" s="345"/>
      <c r="B59" s="346"/>
      <c r="C59" s="346"/>
      <c r="D59" s="346"/>
      <c r="E59" s="346"/>
      <c r="F59" s="346"/>
      <c r="G59" s="346"/>
      <c r="H59" s="346"/>
      <c r="I59" s="346"/>
      <c r="J59" s="347"/>
      <c r="K59" s="313" t="str">
        <f>文書名</f>
        <v>アドオン設計書</v>
      </c>
      <c r="L59" s="314"/>
      <c r="M59" s="314"/>
      <c r="N59" s="314"/>
      <c r="O59" s="314"/>
      <c r="P59" s="314"/>
      <c r="Q59" s="314"/>
      <c r="R59" s="314"/>
      <c r="S59" s="314"/>
      <c r="T59" s="323"/>
      <c r="U59" s="359" t="s">
        <v>144</v>
      </c>
      <c r="V59" s="360"/>
      <c r="W59" s="360"/>
      <c r="X59" s="360"/>
      <c r="Y59" s="361"/>
      <c r="Z59" s="318" t="str">
        <f>Z55</f>
        <v>MSBB</v>
      </c>
      <c r="AA59" s="319"/>
      <c r="AB59" s="319"/>
      <c r="AC59" s="319"/>
      <c r="AD59" s="320"/>
      <c r="AE59" s="315" t="s">
        <v>136</v>
      </c>
      <c r="AF59" s="316"/>
      <c r="AG59" s="316"/>
      <c r="AH59" s="316"/>
      <c r="AI59" s="317"/>
      <c r="AJ59" s="321" t="str">
        <f>AJ55</f>
        <v>販売Webシステム</v>
      </c>
      <c r="AK59" s="362"/>
      <c r="AL59" s="362"/>
      <c r="AM59" s="362"/>
      <c r="AN59" s="362"/>
      <c r="AO59" s="362"/>
      <c r="AP59" s="362"/>
      <c r="AQ59" s="362"/>
      <c r="AR59" s="363"/>
      <c r="AS59" s="364" t="str">
        <f>AS55</f>
        <v>972501-0-0001</v>
      </c>
      <c r="AT59" s="365"/>
      <c r="AU59" s="365"/>
      <c r="AV59" s="365"/>
      <c r="AW59" s="365"/>
      <c r="AX59" s="365"/>
      <c r="AY59" s="365"/>
      <c r="AZ59" s="327" t="str">
        <f>AZ55</f>
        <v>1.0.0</v>
      </c>
      <c r="BA59" s="314"/>
      <c r="BB59" s="314"/>
      <c r="BC59" s="314"/>
      <c r="BD59" s="314"/>
      <c r="BE59" s="323"/>
      <c r="BF59" s="329" t="str">
        <f>BF55</f>
        <v>r00.00</v>
      </c>
      <c r="BG59" s="314"/>
      <c r="BH59" s="314"/>
      <c r="BI59" s="314"/>
      <c r="BJ59" s="314"/>
      <c r="BK59" s="330"/>
    </row>
    <row r="60" spans="1:86" s="37" customFormat="1" ht="16.5" customHeight="1" thickBot="1">
      <c r="A60" s="348"/>
      <c r="B60" s="349"/>
      <c r="C60" s="349"/>
      <c r="D60" s="349"/>
      <c r="E60" s="349"/>
      <c r="F60" s="349"/>
      <c r="G60" s="349"/>
      <c r="H60" s="349"/>
      <c r="I60" s="349"/>
      <c r="J60" s="350"/>
      <c r="K60" s="332" t="str">
        <f ca="1">RIGHT(CELL("filename",$A$1),LEN(CELL("filename",$A$1))-FIND("]",CELL("filename",$A$1)))</f>
        <v>表紙</v>
      </c>
      <c r="L60" s="333"/>
      <c r="M60" s="333"/>
      <c r="N60" s="333"/>
      <c r="O60" s="333"/>
      <c r="P60" s="333"/>
      <c r="Q60" s="333"/>
      <c r="R60" s="333"/>
      <c r="S60" s="333"/>
      <c r="T60" s="367"/>
      <c r="U60" s="368" t="s">
        <v>140</v>
      </c>
      <c r="V60" s="369"/>
      <c r="W60" s="369"/>
      <c r="X60" s="369"/>
      <c r="Y60" s="370"/>
      <c r="Z60" s="371" t="str">
        <f>Z56</f>
        <v>MSBBRA050</v>
      </c>
      <c r="AA60" s="372"/>
      <c r="AB60" s="372"/>
      <c r="AC60" s="372"/>
      <c r="AD60" s="372"/>
      <c r="AE60" s="373" t="str">
        <f>AE56</f>
        <v>受注伝票</v>
      </c>
      <c r="AF60" s="374"/>
      <c r="AG60" s="374"/>
      <c r="AH60" s="374"/>
      <c r="AI60" s="374"/>
      <c r="AJ60" s="374"/>
      <c r="AK60" s="374"/>
      <c r="AL60" s="374"/>
      <c r="AM60" s="374"/>
      <c r="AN60" s="374"/>
      <c r="AO60" s="374"/>
      <c r="AP60" s="374"/>
      <c r="AQ60" s="374"/>
      <c r="AR60" s="375"/>
      <c r="AS60" s="366"/>
      <c r="AT60" s="366"/>
      <c r="AU60" s="366"/>
      <c r="AV60" s="366"/>
      <c r="AW60" s="366"/>
      <c r="AX60" s="366"/>
      <c r="AY60" s="366"/>
      <c r="AZ60" s="324"/>
      <c r="BA60" s="325"/>
      <c r="BB60" s="325"/>
      <c r="BC60" s="325"/>
      <c r="BD60" s="325"/>
      <c r="BE60" s="326"/>
      <c r="BF60" s="324"/>
      <c r="BG60" s="325"/>
      <c r="BH60" s="325"/>
      <c r="BI60" s="325"/>
      <c r="BJ60" s="325"/>
      <c r="BK60" s="331"/>
    </row>
    <row r="61" spans="1:86" s="37" customFormat="1" ht="15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9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1"/>
      <c r="AB61" s="42"/>
      <c r="AC61" s="43"/>
      <c r="AD61" s="43"/>
      <c r="AE61" s="43"/>
      <c r="AF61" s="43"/>
      <c r="AG61" s="43"/>
      <c r="AH61" s="44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5"/>
      <c r="AV61" s="45"/>
      <c r="AW61" s="45"/>
      <c r="AX61" s="45"/>
      <c r="AY61" s="45"/>
      <c r="AZ61" s="45"/>
      <c r="BA61" s="45"/>
      <c r="BB61" s="38"/>
      <c r="BC61" s="38"/>
      <c r="BD61" s="38"/>
      <c r="BE61" s="38"/>
      <c r="BF61" s="38"/>
      <c r="BG61" s="40"/>
      <c r="BH61" s="40"/>
      <c r="BI61" s="40"/>
      <c r="BJ61" s="40"/>
      <c r="BK61" s="40"/>
    </row>
    <row r="62" spans="1:86" s="37" customFormat="1" ht="16.5" thickBot="1">
      <c r="A62" s="37" t="s">
        <v>145</v>
      </c>
    </row>
    <row r="63" spans="1:86" s="37" customFormat="1" ht="15.75" customHeight="1">
      <c r="A63" s="342" t="str">
        <f>A58</f>
        <v>Webシステム</v>
      </c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4"/>
      <c r="O63" s="351" t="s">
        <v>128</v>
      </c>
      <c r="P63" s="352"/>
      <c r="Q63" s="352"/>
      <c r="R63" s="352"/>
      <c r="S63" s="352"/>
      <c r="T63" s="352"/>
      <c r="U63" s="352"/>
      <c r="V63" s="352"/>
      <c r="W63" s="352"/>
      <c r="X63" s="352"/>
      <c r="Y63" s="352"/>
      <c r="Z63" s="352"/>
      <c r="AA63" s="352"/>
      <c r="AB63" s="352"/>
      <c r="AC63" s="353" t="s">
        <v>142</v>
      </c>
      <c r="AD63" s="307"/>
      <c r="AE63" s="307"/>
      <c r="AF63" s="307"/>
      <c r="AG63" s="307"/>
      <c r="AH63" s="307"/>
      <c r="AI63" s="308"/>
      <c r="AJ63" s="328" t="str">
        <f>Z58</f>
        <v>MS</v>
      </c>
      <c r="AK63" s="307"/>
      <c r="AL63" s="307"/>
      <c r="AM63" s="307"/>
      <c r="AN63" s="307"/>
      <c r="AO63" s="307"/>
      <c r="AP63" s="308"/>
      <c r="AQ63" s="353" t="s">
        <v>131</v>
      </c>
      <c r="AR63" s="307"/>
      <c r="AS63" s="307"/>
      <c r="AT63" s="307"/>
      <c r="AU63" s="307"/>
      <c r="AV63" s="307"/>
      <c r="AW63" s="308"/>
      <c r="AX63" s="328" t="str">
        <f>AJ58</f>
        <v>Webシステム</v>
      </c>
      <c r="AY63" s="307"/>
      <c r="AZ63" s="307"/>
      <c r="BA63" s="307"/>
      <c r="BB63" s="307"/>
      <c r="BC63" s="307"/>
      <c r="BD63" s="307"/>
      <c r="BE63" s="307"/>
      <c r="BF63" s="307"/>
      <c r="BG63" s="307"/>
      <c r="BH63" s="307"/>
      <c r="BI63" s="307"/>
      <c r="BJ63" s="307"/>
      <c r="BK63" s="308"/>
      <c r="BL63" s="306" t="s">
        <v>101</v>
      </c>
      <c r="BM63" s="307"/>
      <c r="BN63" s="307"/>
      <c r="BO63" s="307"/>
      <c r="BP63" s="307"/>
      <c r="BQ63" s="307"/>
      <c r="BR63" s="307"/>
      <c r="BS63" s="307"/>
      <c r="BT63" s="308"/>
      <c r="BU63" s="309" t="s">
        <v>122</v>
      </c>
      <c r="BV63" s="310"/>
      <c r="BW63" s="310"/>
      <c r="BX63" s="310"/>
      <c r="BY63" s="310"/>
      <c r="BZ63" s="310"/>
      <c r="CA63" s="311"/>
      <c r="CB63" s="309" t="s">
        <v>143</v>
      </c>
      <c r="CC63" s="310"/>
      <c r="CD63" s="310"/>
      <c r="CE63" s="310"/>
      <c r="CF63" s="310"/>
      <c r="CG63" s="310"/>
      <c r="CH63" s="312"/>
    </row>
    <row r="64" spans="1:86" s="37" customFormat="1" ht="15.75" customHeight="1">
      <c r="A64" s="345"/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7"/>
      <c r="O64" s="313" t="str">
        <f>K59</f>
        <v>アドオン設計書</v>
      </c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314"/>
      <c r="AB64" s="314"/>
      <c r="AC64" s="315" t="s">
        <v>146</v>
      </c>
      <c r="AD64" s="316"/>
      <c r="AE64" s="316"/>
      <c r="AF64" s="316"/>
      <c r="AG64" s="316"/>
      <c r="AH64" s="316"/>
      <c r="AI64" s="317"/>
      <c r="AJ64" s="318" t="str">
        <f>Z59</f>
        <v>MSBB</v>
      </c>
      <c r="AK64" s="319"/>
      <c r="AL64" s="319"/>
      <c r="AM64" s="319"/>
      <c r="AN64" s="319"/>
      <c r="AO64" s="319"/>
      <c r="AP64" s="320"/>
      <c r="AQ64" s="315" t="s">
        <v>147</v>
      </c>
      <c r="AR64" s="316"/>
      <c r="AS64" s="316"/>
      <c r="AT64" s="316"/>
      <c r="AU64" s="316"/>
      <c r="AV64" s="316"/>
      <c r="AW64" s="317"/>
      <c r="AX64" s="321" t="str">
        <f>AJ59</f>
        <v>販売Webシステム</v>
      </c>
      <c r="AY64" s="316"/>
      <c r="AZ64" s="316"/>
      <c r="BA64" s="316"/>
      <c r="BB64" s="316"/>
      <c r="BC64" s="316"/>
      <c r="BD64" s="316"/>
      <c r="BE64" s="316"/>
      <c r="BF64" s="316"/>
      <c r="BG64" s="316"/>
      <c r="BH64" s="316"/>
      <c r="BI64" s="316"/>
      <c r="BJ64" s="316"/>
      <c r="BK64" s="317"/>
      <c r="BL64" s="322" t="str">
        <f>AS59</f>
        <v>972501-0-0001</v>
      </c>
      <c r="BM64" s="314"/>
      <c r="BN64" s="314"/>
      <c r="BO64" s="314"/>
      <c r="BP64" s="314"/>
      <c r="BQ64" s="314"/>
      <c r="BR64" s="314"/>
      <c r="BS64" s="314"/>
      <c r="BT64" s="323"/>
      <c r="BU64" s="327" t="s">
        <v>148</v>
      </c>
      <c r="BV64" s="314"/>
      <c r="BW64" s="314"/>
      <c r="BX64" s="314"/>
      <c r="BY64" s="314"/>
      <c r="BZ64" s="314"/>
      <c r="CA64" s="323"/>
      <c r="CB64" s="329" cm="1">
        <f t="array" ref="CB64">MAX(_xlfn.NUMBERVALUE(改訂!A7:E44))</f>
        <v>1</v>
      </c>
      <c r="CC64" s="314"/>
      <c r="CD64" s="314"/>
      <c r="CE64" s="314"/>
      <c r="CF64" s="314"/>
      <c r="CG64" s="314"/>
      <c r="CH64" s="330"/>
    </row>
    <row r="65" spans="1:86" s="37" customFormat="1" ht="16.5" customHeight="1" thickBot="1">
      <c r="A65" s="348"/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50"/>
      <c r="O65" s="332" t="str">
        <f ca="1">RIGHT(CELL("filename",$A$1),LEN(CELL("filename",$A$1))-FIND("]",CELL("filename",$A$1)))</f>
        <v>表紙</v>
      </c>
      <c r="P65" s="333"/>
      <c r="Q65" s="333"/>
      <c r="R65" s="333"/>
      <c r="S65" s="333"/>
      <c r="T65" s="333"/>
      <c r="U65" s="333"/>
      <c r="V65" s="333"/>
      <c r="W65" s="333"/>
      <c r="X65" s="333"/>
      <c r="Y65" s="333"/>
      <c r="Z65" s="333"/>
      <c r="AA65" s="333"/>
      <c r="AB65" s="333"/>
      <c r="AC65" s="334" t="s">
        <v>140</v>
      </c>
      <c r="AD65" s="335"/>
      <c r="AE65" s="335"/>
      <c r="AF65" s="335"/>
      <c r="AG65" s="335"/>
      <c r="AH65" s="335"/>
      <c r="AI65" s="336"/>
      <c r="AJ65" s="337" t="str">
        <f>Z60</f>
        <v>MSBBRA050</v>
      </c>
      <c r="AK65" s="338"/>
      <c r="AL65" s="338"/>
      <c r="AM65" s="338"/>
      <c r="AN65" s="338"/>
      <c r="AO65" s="338"/>
      <c r="AP65" s="338"/>
      <c r="AQ65" s="339" t="str">
        <f>AE60</f>
        <v>受注伝票</v>
      </c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1"/>
      <c r="BL65" s="324"/>
      <c r="BM65" s="325"/>
      <c r="BN65" s="325"/>
      <c r="BO65" s="325"/>
      <c r="BP65" s="325"/>
      <c r="BQ65" s="325"/>
      <c r="BR65" s="325"/>
      <c r="BS65" s="325"/>
      <c r="BT65" s="326"/>
      <c r="BU65" s="324"/>
      <c r="BV65" s="325"/>
      <c r="BW65" s="325"/>
      <c r="BX65" s="325"/>
      <c r="BY65" s="325"/>
      <c r="BZ65" s="325"/>
      <c r="CA65" s="326"/>
      <c r="CB65" s="324"/>
      <c r="CC65" s="325"/>
      <c r="CD65" s="325"/>
      <c r="CE65" s="325"/>
      <c r="CF65" s="325"/>
      <c r="CG65" s="325"/>
      <c r="CH65" s="331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2E16C54E-FABC-4918-BC48-B246E2FCDB4A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78"/>
  <sheetViews>
    <sheetView view="pageBreakPreview" zoomScale="85" zoomScaleNormal="55" zoomScaleSheetLayoutView="85" zoomScalePageLayoutView="70" workbookViewId="0">
      <selection activeCell="DC17" sqref="DB17:DC18"/>
    </sheetView>
  </sheetViews>
  <sheetFormatPr defaultColWidth="2.125" defaultRowHeight="15.75"/>
  <cols>
    <col min="1" max="56" width="2.125" style="46" customWidth="1"/>
    <col min="57" max="16384" width="2.125" style="46"/>
  </cols>
  <sheetData>
    <row r="1" spans="1:74" ht="19.5" customHeight="1">
      <c r="A1" s="615" t="s">
        <v>149</v>
      </c>
      <c r="B1" s="616"/>
      <c r="C1" s="616"/>
      <c r="D1" s="616"/>
      <c r="E1" s="616"/>
      <c r="F1" s="616"/>
      <c r="G1" s="616"/>
      <c r="H1" s="616"/>
      <c r="I1" s="616"/>
      <c r="J1" s="617"/>
      <c r="K1" s="621" t="s">
        <v>150</v>
      </c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2"/>
      <c r="AA1" s="622"/>
      <c r="AB1" s="622"/>
      <c r="AC1" s="622"/>
      <c r="AD1" s="622"/>
      <c r="AE1" s="622"/>
      <c r="AF1" s="622"/>
      <c r="AG1" s="622"/>
      <c r="AH1" s="622"/>
      <c r="AI1" s="622"/>
      <c r="AJ1" s="622"/>
      <c r="AK1" s="622"/>
      <c r="AL1" s="622"/>
      <c r="AM1" s="622"/>
      <c r="AN1" s="622"/>
      <c r="AO1" s="622"/>
      <c r="AP1" s="622"/>
      <c r="AQ1" s="622"/>
      <c r="AR1" s="622"/>
      <c r="AS1" s="622"/>
      <c r="AT1" s="623"/>
      <c r="AU1" s="598" t="s">
        <v>151</v>
      </c>
      <c r="AV1" s="599"/>
      <c r="AW1" s="599"/>
      <c r="AX1" s="599"/>
      <c r="AY1" s="627"/>
      <c r="AZ1" s="628" t="s">
        <v>152</v>
      </c>
      <c r="BA1" s="629"/>
      <c r="BB1" s="629"/>
      <c r="BC1" s="629"/>
      <c r="BD1" s="630"/>
      <c r="BE1" s="598" t="s">
        <v>153</v>
      </c>
      <c r="BF1" s="599"/>
      <c r="BG1" s="599"/>
      <c r="BH1" s="599"/>
      <c r="BI1" s="627"/>
      <c r="BJ1" s="631">
        <f>表紙!W42</f>
        <v>44837</v>
      </c>
      <c r="BK1" s="632"/>
      <c r="BL1" s="632"/>
      <c r="BM1" s="632"/>
      <c r="BN1" s="632"/>
      <c r="BO1" s="633"/>
      <c r="BP1" s="598" t="s">
        <v>143</v>
      </c>
      <c r="BQ1" s="599"/>
      <c r="BR1" s="599"/>
      <c r="BS1" s="599"/>
      <c r="BT1" s="599"/>
      <c r="BU1" s="599"/>
      <c r="BV1" s="600"/>
    </row>
    <row r="2" spans="1:74" ht="19.5" customHeight="1" thickBot="1">
      <c r="A2" s="618"/>
      <c r="B2" s="619"/>
      <c r="C2" s="619"/>
      <c r="D2" s="619"/>
      <c r="E2" s="619"/>
      <c r="F2" s="619"/>
      <c r="G2" s="619"/>
      <c r="H2" s="619"/>
      <c r="I2" s="619"/>
      <c r="J2" s="620"/>
      <c r="K2" s="624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5"/>
      <c r="AA2" s="625"/>
      <c r="AB2" s="625"/>
      <c r="AC2" s="625"/>
      <c r="AD2" s="625"/>
      <c r="AE2" s="625"/>
      <c r="AF2" s="625"/>
      <c r="AG2" s="625"/>
      <c r="AH2" s="625"/>
      <c r="AI2" s="625"/>
      <c r="AJ2" s="625"/>
      <c r="AK2" s="625"/>
      <c r="AL2" s="625"/>
      <c r="AM2" s="625"/>
      <c r="AN2" s="625"/>
      <c r="AO2" s="625"/>
      <c r="AP2" s="625"/>
      <c r="AQ2" s="625"/>
      <c r="AR2" s="625"/>
      <c r="AS2" s="625"/>
      <c r="AT2" s="626"/>
      <c r="AU2" s="601" t="s">
        <v>154</v>
      </c>
      <c r="AV2" s="602"/>
      <c r="AW2" s="602"/>
      <c r="AX2" s="602"/>
      <c r="AY2" s="603"/>
      <c r="AZ2" s="604"/>
      <c r="BA2" s="605"/>
      <c r="BB2" s="605"/>
      <c r="BC2" s="605"/>
      <c r="BD2" s="606"/>
      <c r="BE2" s="607" t="s">
        <v>155</v>
      </c>
      <c r="BF2" s="608"/>
      <c r="BG2" s="608"/>
      <c r="BH2" s="608"/>
      <c r="BI2" s="609"/>
      <c r="BJ2" s="610"/>
      <c r="BK2" s="611"/>
      <c r="BL2" s="611"/>
      <c r="BM2" s="611"/>
      <c r="BN2" s="611"/>
      <c r="BO2" s="612"/>
      <c r="BP2" s="613">
        <f>表紙!CB64</f>
        <v>1</v>
      </c>
      <c r="BQ2" s="605"/>
      <c r="BR2" s="605"/>
      <c r="BS2" s="605"/>
      <c r="BT2" s="605"/>
      <c r="BU2" s="605"/>
      <c r="BV2" s="614"/>
    </row>
    <row r="3" spans="1:74" ht="6.7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8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</row>
    <row r="4" spans="1:74" ht="17.25" thickBot="1">
      <c r="A4" s="49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8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</row>
    <row r="5" spans="1:74" ht="13.5" customHeight="1">
      <c r="A5" s="561" t="s">
        <v>143</v>
      </c>
      <c r="B5" s="562"/>
      <c r="C5" s="562"/>
      <c r="D5" s="562"/>
      <c r="E5" s="563"/>
      <c r="F5" s="567" t="s">
        <v>156</v>
      </c>
      <c r="G5" s="568"/>
      <c r="H5" s="568"/>
      <c r="I5" s="568"/>
      <c r="J5" s="568"/>
      <c r="K5" s="568"/>
      <c r="L5" s="568"/>
      <c r="M5" s="568"/>
      <c r="N5" s="568"/>
      <c r="O5" s="568"/>
      <c r="P5" s="568"/>
      <c r="Q5" s="568"/>
      <c r="R5" s="568"/>
      <c r="S5" s="568"/>
      <c r="T5" s="568"/>
      <c r="U5" s="568"/>
      <c r="V5" s="568"/>
      <c r="W5" s="568"/>
      <c r="X5" s="568"/>
      <c r="Y5" s="568"/>
      <c r="Z5" s="568"/>
      <c r="AA5" s="568"/>
      <c r="AB5" s="568"/>
      <c r="AC5" s="568"/>
      <c r="AD5" s="568"/>
      <c r="AE5" s="568"/>
      <c r="AF5" s="568"/>
      <c r="AG5" s="568"/>
      <c r="AH5" s="568"/>
      <c r="AI5" s="568"/>
      <c r="AJ5" s="568"/>
      <c r="AK5" s="568"/>
      <c r="AL5" s="568"/>
      <c r="AM5" s="568"/>
      <c r="AN5" s="568"/>
      <c r="AO5" s="568"/>
      <c r="AP5" s="568"/>
      <c r="AQ5" s="568"/>
      <c r="AR5" s="568"/>
      <c r="AS5" s="568"/>
      <c r="AT5" s="568"/>
      <c r="AU5" s="568"/>
      <c r="AV5" s="568"/>
      <c r="AW5" s="568"/>
      <c r="AX5" s="568"/>
      <c r="AY5" s="568"/>
      <c r="AZ5" s="568"/>
      <c r="BA5" s="568"/>
      <c r="BB5" s="569"/>
      <c r="BC5" s="573" t="s">
        <v>157</v>
      </c>
      <c r="BD5" s="562"/>
      <c r="BE5" s="562"/>
      <c r="BF5" s="562"/>
      <c r="BG5" s="562"/>
      <c r="BH5" s="562"/>
      <c r="BI5" s="562"/>
      <c r="BJ5" s="562"/>
      <c r="BK5" s="562"/>
      <c r="BL5" s="563"/>
      <c r="BM5" s="577" t="s">
        <v>158</v>
      </c>
      <c r="BN5" s="562"/>
      <c r="BO5" s="562"/>
      <c r="BP5" s="562"/>
      <c r="BQ5" s="563"/>
      <c r="BR5" s="577" t="s">
        <v>159</v>
      </c>
      <c r="BS5" s="562"/>
      <c r="BT5" s="562"/>
      <c r="BU5" s="562"/>
      <c r="BV5" s="579"/>
    </row>
    <row r="6" spans="1:74" ht="13.5" customHeight="1" thickBot="1">
      <c r="A6" s="564"/>
      <c r="B6" s="565"/>
      <c r="C6" s="565"/>
      <c r="D6" s="565"/>
      <c r="E6" s="566"/>
      <c r="F6" s="570"/>
      <c r="G6" s="571"/>
      <c r="H6" s="571"/>
      <c r="I6" s="571"/>
      <c r="J6" s="571"/>
      <c r="K6" s="571"/>
      <c r="L6" s="571"/>
      <c r="M6" s="571"/>
      <c r="N6" s="571"/>
      <c r="O6" s="571"/>
      <c r="P6" s="571"/>
      <c r="Q6" s="571"/>
      <c r="R6" s="571"/>
      <c r="S6" s="571"/>
      <c r="T6" s="571"/>
      <c r="U6" s="571"/>
      <c r="V6" s="571"/>
      <c r="W6" s="571"/>
      <c r="X6" s="571"/>
      <c r="Y6" s="571"/>
      <c r="Z6" s="571"/>
      <c r="AA6" s="571"/>
      <c r="AB6" s="571"/>
      <c r="AC6" s="571"/>
      <c r="AD6" s="571"/>
      <c r="AE6" s="571"/>
      <c r="AF6" s="571"/>
      <c r="AG6" s="571"/>
      <c r="AH6" s="571"/>
      <c r="AI6" s="571"/>
      <c r="AJ6" s="571"/>
      <c r="AK6" s="571"/>
      <c r="AL6" s="571"/>
      <c r="AM6" s="571"/>
      <c r="AN6" s="571"/>
      <c r="AO6" s="571"/>
      <c r="AP6" s="571"/>
      <c r="AQ6" s="571"/>
      <c r="AR6" s="571"/>
      <c r="AS6" s="571"/>
      <c r="AT6" s="571"/>
      <c r="AU6" s="571"/>
      <c r="AV6" s="571"/>
      <c r="AW6" s="571"/>
      <c r="AX6" s="571"/>
      <c r="AY6" s="571"/>
      <c r="AZ6" s="571"/>
      <c r="BA6" s="571"/>
      <c r="BB6" s="572"/>
      <c r="BC6" s="574"/>
      <c r="BD6" s="575"/>
      <c r="BE6" s="575"/>
      <c r="BF6" s="575"/>
      <c r="BG6" s="575"/>
      <c r="BH6" s="575"/>
      <c r="BI6" s="575"/>
      <c r="BJ6" s="575"/>
      <c r="BK6" s="575"/>
      <c r="BL6" s="576"/>
      <c r="BM6" s="578"/>
      <c r="BN6" s="565"/>
      <c r="BO6" s="565"/>
      <c r="BP6" s="565"/>
      <c r="BQ6" s="566"/>
      <c r="BR6" s="578"/>
      <c r="BS6" s="565"/>
      <c r="BT6" s="565"/>
      <c r="BU6" s="565"/>
      <c r="BV6" s="580"/>
    </row>
    <row r="7" spans="1:74" ht="13.5" customHeight="1" thickTop="1">
      <c r="A7" s="581">
        <v>1</v>
      </c>
      <c r="B7" s="582"/>
      <c r="C7" s="582"/>
      <c r="D7" s="582"/>
      <c r="E7" s="583"/>
      <c r="F7" s="587" t="s">
        <v>160</v>
      </c>
      <c r="G7" s="588"/>
      <c r="H7" s="588"/>
      <c r="I7" s="588"/>
      <c r="J7" s="588"/>
      <c r="K7" s="588"/>
      <c r="L7" s="588"/>
      <c r="M7" s="588"/>
      <c r="N7" s="588"/>
      <c r="O7" s="588"/>
      <c r="P7" s="588"/>
      <c r="Q7" s="588"/>
      <c r="R7" s="588"/>
      <c r="S7" s="588"/>
      <c r="T7" s="588"/>
      <c r="U7" s="588"/>
      <c r="V7" s="588"/>
      <c r="W7" s="588"/>
      <c r="X7" s="588"/>
      <c r="Y7" s="588"/>
      <c r="Z7" s="588"/>
      <c r="AA7" s="588"/>
      <c r="AB7" s="588"/>
      <c r="AC7" s="588"/>
      <c r="AD7" s="588"/>
      <c r="AE7" s="588"/>
      <c r="AF7" s="588"/>
      <c r="AG7" s="588"/>
      <c r="AH7" s="588"/>
      <c r="AI7" s="588"/>
      <c r="AJ7" s="588"/>
      <c r="AK7" s="588"/>
      <c r="AL7" s="588"/>
      <c r="AM7" s="588"/>
      <c r="AN7" s="588"/>
      <c r="AO7" s="588"/>
      <c r="AP7" s="588"/>
      <c r="AQ7" s="588"/>
      <c r="AR7" s="588"/>
      <c r="AS7" s="588"/>
      <c r="AT7" s="588"/>
      <c r="AU7" s="588"/>
      <c r="AV7" s="588"/>
      <c r="AW7" s="588"/>
      <c r="AX7" s="588"/>
      <c r="AY7" s="588"/>
      <c r="AZ7" s="588"/>
      <c r="BA7" s="588"/>
      <c r="BB7" s="589"/>
      <c r="BC7" s="590"/>
      <c r="BD7" s="591"/>
      <c r="BE7" s="591"/>
      <c r="BF7" s="591"/>
      <c r="BG7" s="591"/>
      <c r="BH7" s="591"/>
      <c r="BI7" s="591"/>
      <c r="BJ7" s="591"/>
      <c r="BK7" s="591"/>
      <c r="BL7" s="592"/>
      <c r="BM7" s="593"/>
      <c r="BN7" s="594"/>
      <c r="BO7" s="594"/>
      <c r="BP7" s="594"/>
      <c r="BQ7" s="595"/>
      <c r="BR7" s="596"/>
      <c r="BS7" s="594"/>
      <c r="BT7" s="594"/>
      <c r="BU7" s="594"/>
      <c r="BV7" s="597"/>
    </row>
    <row r="8" spans="1:74" ht="13.5" customHeight="1">
      <c r="A8" s="584"/>
      <c r="B8" s="585"/>
      <c r="C8" s="585"/>
      <c r="D8" s="585"/>
      <c r="E8" s="586"/>
      <c r="F8" s="557"/>
      <c r="G8" s="558"/>
      <c r="H8" s="558"/>
      <c r="I8" s="558"/>
      <c r="J8" s="558"/>
      <c r="K8" s="558"/>
      <c r="L8" s="558"/>
      <c r="M8" s="558"/>
      <c r="N8" s="558"/>
      <c r="O8" s="558"/>
      <c r="P8" s="558"/>
      <c r="Q8" s="558"/>
      <c r="R8" s="558"/>
      <c r="S8" s="558"/>
      <c r="T8" s="558"/>
      <c r="U8" s="558"/>
      <c r="V8" s="558"/>
      <c r="W8" s="558"/>
      <c r="X8" s="558"/>
      <c r="Y8" s="558"/>
      <c r="Z8" s="558"/>
      <c r="AA8" s="558"/>
      <c r="AB8" s="558"/>
      <c r="AC8" s="558"/>
      <c r="AD8" s="558"/>
      <c r="AE8" s="558"/>
      <c r="AF8" s="558"/>
      <c r="AG8" s="558"/>
      <c r="AH8" s="558"/>
      <c r="AI8" s="558"/>
      <c r="AJ8" s="558"/>
      <c r="AK8" s="558"/>
      <c r="AL8" s="558"/>
      <c r="AM8" s="558"/>
      <c r="AN8" s="558"/>
      <c r="AO8" s="558"/>
      <c r="AP8" s="558"/>
      <c r="AQ8" s="558"/>
      <c r="AR8" s="558"/>
      <c r="AS8" s="558"/>
      <c r="AT8" s="558"/>
      <c r="AU8" s="558"/>
      <c r="AV8" s="558"/>
      <c r="AW8" s="558"/>
      <c r="AX8" s="558"/>
      <c r="AY8" s="558"/>
      <c r="AZ8" s="558"/>
      <c r="BA8" s="558"/>
      <c r="BB8" s="559"/>
      <c r="BC8" s="537"/>
      <c r="BD8" s="535"/>
      <c r="BE8" s="535"/>
      <c r="BF8" s="535"/>
      <c r="BG8" s="535"/>
      <c r="BH8" s="535"/>
      <c r="BI8" s="535"/>
      <c r="BJ8" s="535"/>
      <c r="BK8" s="535"/>
      <c r="BL8" s="536"/>
      <c r="BM8" s="538"/>
      <c r="BN8" s="539"/>
      <c r="BO8" s="539"/>
      <c r="BP8" s="539"/>
      <c r="BQ8" s="540"/>
      <c r="BR8" s="538"/>
      <c r="BS8" s="539"/>
      <c r="BT8" s="539"/>
      <c r="BU8" s="539"/>
      <c r="BV8" s="541"/>
    </row>
    <row r="9" spans="1:74" ht="13.5" customHeight="1">
      <c r="A9" s="518"/>
      <c r="B9" s="519"/>
      <c r="C9" s="519"/>
      <c r="D9" s="519"/>
      <c r="E9" s="520"/>
      <c r="F9" s="550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1"/>
      <c r="R9" s="551"/>
      <c r="S9" s="551"/>
      <c r="T9" s="551"/>
      <c r="U9" s="551"/>
      <c r="V9" s="551"/>
      <c r="W9" s="551"/>
      <c r="X9" s="551"/>
      <c r="Y9" s="551"/>
      <c r="Z9" s="551"/>
      <c r="AA9" s="551"/>
      <c r="AB9" s="551"/>
      <c r="AC9" s="551"/>
      <c r="AD9" s="551"/>
      <c r="AE9" s="551"/>
      <c r="AF9" s="551"/>
      <c r="AG9" s="551"/>
      <c r="AH9" s="551"/>
      <c r="AI9" s="551"/>
      <c r="AJ9" s="551"/>
      <c r="AK9" s="551"/>
      <c r="AL9" s="551"/>
      <c r="AM9" s="551"/>
      <c r="AN9" s="551"/>
      <c r="AO9" s="551"/>
      <c r="AP9" s="551"/>
      <c r="AQ9" s="551"/>
      <c r="AR9" s="551"/>
      <c r="AS9" s="551"/>
      <c r="AT9" s="551"/>
      <c r="AU9" s="551"/>
      <c r="AV9" s="551"/>
      <c r="AW9" s="551"/>
      <c r="AX9" s="551"/>
      <c r="AY9" s="551"/>
      <c r="AZ9" s="551"/>
      <c r="BA9" s="551"/>
      <c r="BB9" s="552"/>
      <c r="BC9" s="524"/>
      <c r="BD9" s="519"/>
      <c r="BE9" s="519"/>
      <c r="BF9" s="519"/>
      <c r="BG9" s="519"/>
      <c r="BH9" s="519"/>
      <c r="BI9" s="519"/>
      <c r="BJ9" s="519"/>
      <c r="BK9" s="519"/>
      <c r="BL9" s="520"/>
      <c r="BM9" s="556"/>
      <c r="BN9" s="527"/>
      <c r="BO9" s="527"/>
      <c r="BP9" s="527"/>
      <c r="BQ9" s="528"/>
      <c r="BR9" s="560"/>
      <c r="BS9" s="527"/>
      <c r="BT9" s="527"/>
      <c r="BU9" s="527"/>
      <c r="BV9" s="529"/>
    </row>
    <row r="10" spans="1:74" ht="13.5" customHeight="1">
      <c r="A10" s="534"/>
      <c r="B10" s="535"/>
      <c r="C10" s="535"/>
      <c r="D10" s="535"/>
      <c r="E10" s="536"/>
      <c r="F10" s="557"/>
      <c r="G10" s="558"/>
      <c r="H10" s="558"/>
      <c r="I10" s="558"/>
      <c r="J10" s="558"/>
      <c r="K10" s="558"/>
      <c r="L10" s="558"/>
      <c r="M10" s="558"/>
      <c r="N10" s="558"/>
      <c r="O10" s="558"/>
      <c r="P10" s="558"/>
      <c r="Q10" s="558"/>
      <c r="R10" s="558"/>
      <c r="S10" s="558"/>
      <c r="T10" s="558"/>
      <c r="U10" s="558"/>
      <c r="V10" s="558"/>
      <c r="W10" s="558"/>
      <c r="X10" s="558"/>
      <c r="Y10" s="558"/>
      <c r="Z10" s="558"/>
      <c r="AA10" s="558"/>
      <c r="AB10" s="558"/>
      <c r="AC10" s="558"/>
      <c r="AD10" s="558"/>
      <c r="AE10" s="558"/>
      <c r="AF10" s="558"/>
      <c r="AG10" s="558"/>
      <c r="AH10" s="558"/>
      <c r="AI10" s="558"/>
      <c r="AJ10" s="558"/>
      <c r="AK10" s="558"/>
      <c r="AL10" s="558"/>
      <c r="AM10" s="558"/>
      <c r="AN10" s="558"/>
      <c r="AO10" s="558"/>
      <c r="AP10" s="558"/>
      <c r="AQ10" s="558"/>
      <c r="AR10" s="558"/>
      <c r="AS10" s="558"/>
      <c r="AT10" s="558"/>
      <c r="AU10" s="558"/>
      <c r="AV10" s="558"/>
      <c r="AW10" s="558"/>
      <c r="AX10" s="558"/>
      <c r="AY10" s="558"/>
      <c r="AZ10" s="558"/>
      <c r="BA10" s="558"/>
      <c r="BB10" s="559"/>
      <c r="BC10" s="537"/>
      <c r="BD10" s="535"/>
      <c r="BE10" s="535"/>
      <c r="BF10" s="535"/>
      <c r="BG10" s="535"/>
      <c r="BH10" s="535"/>
      <c r="BI10" s="535"/>
      <c r="BJ10" s="535"/>
      <c r="BK10" s="535"/>
      <c r="BL10" s="536"/>
      <c r="BM10" s="538"/>
      <c r="BN10" s="539"/>
      <c r="BO10" s="539"/>
      <c r="BP10" s="539"/>
      <c r="BQ10" s="540"/>
      <c r="BR10" s="538"/>
      <c r="BS10" s="539"/>
      <c r="BT10" s="539"/>
      <c r="BU10" s="539"/>
      <c r="BV10" s="541"/>
    </row>
    <row r="11" spans="1:74" ht="13.5" customHeight="1">
      <c r="A11" s="518"/>
      <c r="B11" s="519"/>
      <c r="C11" s="519"/>
      <c r="D11" s="519"/>
      <c r="E11" s="520"/>
      <c r="F11" s="550"/>
      <c r="G11" s="551"/>
      <c r="H11" s="551"/>
      <c r="I11" s="551"/>
      <c r="J11" s="551"/>
      <c r="K11" s="551"/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1"/>
      <c r="Z11" s="551"/>
      <c r="AA11" s="551"/>
      <c r="AB11" s="551"/>
      <c r="AC11" s="551"/>
      <c r="AD11" s="551"/>
      <c r="AE11" s="551"/>
      <c r="AF11" s="551"/>
      <c r="AG11" s="551"/>
      <c r="AH11" s="551"/>
      <c r="AI11" s="551"/>
      <c r="AJ11" s="551"/>
      <c r="AK11" s="551"/>
      <c r="AL11" s="551"/>
      <c r="AM11" s="551"/>
      <c r="AN11" s="551"/>
      <c r="AO11" s="551"/>
      <c r="AP11" s="551"/>
      <c r="AQ11" s="551"/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2"/>
      <c r="BC11" s="524"/>
      <c r="BD11" s="519"/>
      <c r="BE11" s="519"/>
      <c r="BF11" s="519"/>
      <c r="BG11" s="519"/>
      <c r="BH11" s="519"/>
      <c r="BI11" s="519"/>
      <c r="BJ11" s="519"/>
      <c r="BK11" s="519"/>
      <c r="BL11" s="520"/>
      <c r="BM11" s="556"/>
      <c r="BN11" s="527"/>
      <c r="BO11" s="527"/>
      <c r="BP11" s="527"/>
      <c r="BQ11" s="528"/>
      <c r="BR11" s="526"/>
      <c r="BS11" s="527"/>
      <c r="BT11" s="527"/>
      <c r="BU11" s="527"/>
      <c r="BV11" s="529"/>
    </row>
    <row r="12" spans="1:74" ht="13.5" customHeight="1">
      <c r="A12" s="542"/>
      <c r="B12" s="543"/>
      <c r="C12" s="543"/>
      <c r="D12" s="543"/>
      <c r="E12" s="544"/>
      <c r="F12" s="553"/>
      <c r="G12" s="554"/>
      <c r="H12" s="554"/>
      <c r="I12" s="554"/>
      <c r="J12" s="554"/>
      <c r="K12" s="554"/>
      <c r="L12" s="554"/>
      <c r="M12" s="554"/>
      <c r="N12" s="554"/>
      <c r="O12" s="554"/>
      <c r="P12" s="554"/>
      <c r="Q12" s="554"/>
      <c r="R12" s="554"/>
      <c r="S12" s="554"/>
      <c r="T12" s="554"/>
      <c r="U12" s="554"/>
      <c r="V12" s="554"/>
      <c r="W12" s="554"/>
      <c r="X12" s="554"/>
      <c r="Y12" s="554"/>
      <c r="Z12" s="554"/>
      <c r="AA12" s="554"/>
      <c r="AB12" s="554"/>
      <c r="AC12" s="554"/>
      <c r="AD12" s="554"/>
      <c r="AE12" s="554"/>
      <c r="AF12" s="554"/>
      <c r="AG12" s="554"/>
      <c r="AH12" s="554"/>
      <c r="AI12" s="554"/>
      <c r="AJ12" s="554"/>
      <c r="AK12" s="554"/>
      <c r="AL12" s="554"/>
      <c r="AM12" s="554"/>
      <c r="AN12" s="554"/>
      <c r="AO12" s="554"/>
      <c r="AP12" s="554"/>
      <c r="AQ12" s="554"/>
      <c r="AR12" s="554"/>
      <c r="AS12" s="554"/>
      <c r="AT12" s="554"/>
      <c r="AU12" s="554"/>
      <c r="AV12" s="554"/>
      <c r="AW12" s="554"/>
      <c r="AX12" s="554"/>
      <c r="AY12" s="554"/>
      <c r="AZ12" s="554"/>
      <c r="BA12" s="554"/>
      <c r="BB12" s="555"/>
      <c r="BC12" s="545"/>
      <c r="BD12" s="543"/>
      <c r="BE12" s="543"/>
      <c r="BF12" s="543"/>
      <c r="BG12" s="543"/>
      <c r="BH12" s="543"/>
      <c r="BI12" s="543"/>
      <c r="BJ12" s="543"/>
      <c r="BK12" s="543"/>
      <c r="BL12" s="544"/>
      <c r="BM12" s="546"/>
      <c r="BN12" s="547"/>
      <c r="BO12" s="547"/>
      <c r="BP12" s="547"/>
      <c r="BQ12" s="548"/>
      <c r="BR12" s="546"/>
      <c r="BS12" s="547"/>
      <c r="BT12" s="547"/>
      <c r="BU12" s="547"/>
      <c r="BV12" s="549"/>
    </row>
    <row r="13" spans="1:74" ht="13.5" customHeight="1">
      <c r="A13" s="518"/>
      <c r="B13" s="519"/>
      <c r="C13" s="519"/>
      <c r="D13" s="519"/>
      <c r="E13" s="520"/>
      <c r="F13" s="524"/>
      <c r="G13" s="519"/>
      <c r="H13" s="519"/>
      <c r="I13" s="519"/>
      <c r="J13" s="519"/>
      <c r="K13" s="519"/>
      <c r="L13" s="519"/>
      <c r="M13" s="519"/>
      <c r="N13" s="519"/>
      <c r="O13" s="519"/>
      <c r="P13" s="519"/>
      <c r="Q13" s="519"/>
      <c r="R13" s="519"/>
      <c r="S13" s="519"/>
      <c r="T13" s="519"/>
      <c r="U13" s="519"/>
      <c r="V13" s="519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  <c r="AH13" s="519"/>
      <c r="AI13" s="519"/>
      <c r="AJ13" s="519"/>
      <c r="AK13" s="519"/>
      <c r="AL13" s="519"/>
      <c r="AM13" s="519"/>
      <c r="AN13" s="519"/>
      <c r="AO13" s="519"/>
      <c r="AP13" s="519"/>
      <c r="AQ13" s="519"/>
      <c r="AR13" s="519"/>
      <c r="AS13" s="519"/>
      <c r="AT13" s="519"/>
      <c r="AU13" s="519"/>
      <c r="AV13" s="519"/>
      <c r="AW13" s="519"/>
      <c r="AX13" s="519"/>
      <c r="AY13" s="519"/>
      <c r="AZ13" s="519"/>
      <c r="BA13" s="519"/>
      <c r="BB13" s="520"/>
      <c r="BC13" s="524"/>
      <c r="BD13" s="519"/>
      <c r="BE13" s="519"/>
      <c r="BF13" s="519"/>
      <c r="BG13" s="519"/>
      <c r="BH13" s="519"/>
      <c r="BI13" s="519"/>
      <c r="BJ13" s="519"/>
      <c r="BK13" s="519"/>
      <c r="BL13" s="520"/>
      <c r="BM13" s="526"/>
      <c r="BN13" s="527"/>
      <c r="BO13" s="527"/>
      <c r="BP13" s="527"/>
      <c r="BQ13" s="528"/>
      <c r="BR13" s="526"/>
      <c r="BS13" s="527"/>
      <c r="BT13" s="527"/>
      <c r="BU13" s="527"/>
      <c r="BV13" s="529"/>
    </row>
    <row r="14" spans="1:74" ht="13.5" customHeight="1">
      <c r="A14" s="534"/>
      <c r="B14" s="535"/>
      <c r="C14" s="535"/>
      <c r="D14" s="535"/>
      <c r="E14" s="536"/>
      <c r="F14" s="537"/>
      <c r="G14" s="535"/>
      <c r="H14" s="535"/>
      <c r="I14" s="535"/>
      <c r="J14" s="535"/>
      <c r="K14" s="535"/>
      <c r="L14" s="535"/>
      <c r="M14" s="535"/>
      <c r="N14" s="535"/>
      <c r="O14" s="535"/>
      <c r="P14" s="535"/>
      <c r="Q14" s="535"/>
      <c r="R14" s="535"/>
      <c r="S14" s="535"/>
      <c r="T14" s="535"/>
      <c r="U14" s="535"/>
      <c r="V14" s="535"/>
      <c r="W14" s="535"/>
      <c r="X14" s="535"/>
      <c r="Y14" s="535"/>
      <c r="Z14" s="535"/>
      <c r="AA14" s="535"/>
      <c r="AB14" s="535"/>
      <c r="AC14" s="535"/>
      <c r="AD14" s="535"/>
      <c r="AE14" s="535"/>
      <c r="AF14" s="535"/>
      <c r="AG14" s="535"/>
      <c r="AH14" s="535"/>
      <c r="AI14" s="535"/>
      <c r="AJ14" s="535"/>
      <c r="AK14" s="535"/>
      <c r="AL14" s="535"/>
      <c r="AM14" s="535"/>
      <c r="AN14" s="535"/>
      <c r="AO14" s="535"/>
      <c r="AP14" s="535"/>
      <c r="AQ14" s="535"/>
      <c r="AR14" s="535"/>
      <c r="AS14" s="535"/>
      <c r="AT14" s="535"/>
      <c r="AU14" s="535"/>
      <c r="AV14" s="535"/>
      <c r="AW14" s="535"/>
      <c r="AX14" s="535"/>
      <c r="AY14" s="535"/>
      <c r="AZ14" s="535"/>
      <c r="BA14" s="535"/>
      <c r="BB14" s="536"/>
      <c r="BC14" s="537"/>
      <c r="BD14" s="535"/>
      <c r="BE14" s="535"/>
      <c r="BF14" s="535"/>
      <c r="BG14" s="535"/>
      <c r="BH14" s="535"/>
      <c r="BI14" s="535"/>
      <c r="BJ14" s="535"/>
      <c r="BK14" s="535"/>
      <c r="BL14" s="536"/>
      <c r="BM14" s="538"/>
      <c r="BN14" s="539"/>
      <c r="BO14" s="539"/>
      <c r="BP14" s="539"/>
      <c r="BQ14" s="540"/>
      <c r="BR14" s="538"/>
      <c r="BS14" s="539"/>
      <c r="BT14" s="539"/>
      <c r="BU14" s="539"/>
      <c r="BV14" s="541"/>
    </row>
    <row r="15" spans="1:74" ht="13.5" customHeight="1">
      <c r="A15" s="518"/>
      <c r="B15" s="519"/>
      <c r="C15" s="519"/>
      <c r="D15" s="519"/>
      <c r="E15" s="520"/>
      <c r="F15" s="524"/>
      <c r="G15" s="519"/>
      <c r="H15" s="519"/>
      <c r="I15" s="519"/>
      <c r="J15" s="519"/>
      <c r="K15" s="519"/>
      <c r="L15" s="519"/>
      <c r="M15" s="519"/>
      <c r="N15" s="519"/>
      <c r="O15" s="519"/>
      <c r="P15" s="519"/>
      <c r="Q15" s="519"/>
      <c r="R15" s="519"/>
      <c r="S15" s="519"/>
      <c r="T15" s="519"/>
      <c r="U15" s="519"/>
      <c r="V15" s="519"/>
      <c r="W15" s="519"/>
      <c r="X15" s="519"/>
      <c r="Y15" s="519"/>
      <c r="Z15" s="519"/>
      <c r="AA15" s="519"/>
      <c r="AB15" s="519"/>
      <c r="AC15" s="519"/>
      <c r="AD15" s="519"/>
      <c r="AE15" s="519"/>
      <c r="AF15" s="519"/>
      <c r="AG15" s="519"/>
      <c r="AH15" s="519"/>
      <c r="AI15" s="519"/>
      <c r="AJ15" s="519"/>
      <c r="AK15" s="519"/>
      <c r="AL15" s="519"/>
      <c r="AM15" s="519"/>
      <c r="AN15" s="519"/>
      <c r="AO15" s="519"/>
      <c r="AP15" s="519"/>
      <c r="AQ15" s="519"/>
      <c r="AR15" s="519"/>
      <c r="AS15" s="519"/>
      <c r="AT15" s="519"/>
      <c r="AU15" s="519"/>
      <c r="AV15" s="519"/>
      <c r="AW15" s="519"/>
      <c r="AX15" s="519"/>
      <c r="AY15" s="519"/>
      <c r="AZ15" s="519"/>
      <c r="BA15" s="519"/>
      <c r="BB15" s="520"/>
      <c r="BC15" s="524"/>
      <c r="BD15" s="519"/>
      <c r="BE15" s="519"/>
      <c r="BF15" s="519"/>
      <c r="BG15" s="519"/>
      <c r="BH15" s="519"/>
      <c r="BI15" s="519"/>
      <c r="BJ15" s="519"/>
      <c r="BK15" s="519"/>
      <c r="BL15" s="520"/>
      <c r="BM15" s="526"/>
      <c r="BN15" s="527"/>
      <c r="BO15" s="527"/>
      <c r="BP15" s="527"/>
      <c r="BQ15" s="528"/>
      <c r="BR15" s="526"/>
      <c r="BS15" s="527"/>
      <c r="BT15" s="527"/>
      <c r="BU15" s="527"/>
      <c r="BV15" s="529"/>
    </row>
    <row r="16" spans="1:74" ht="13.5" customHeight="1">
      <c r="A16" s="542"/>
      <c r="B16" s="543"/>
      <c r="C16" s="543"/>
      <c r="D16" s="543"/>
      <c r="E16" s="544"/>
      <c r="F16" s="545"/>
      <c r="G16" s="543"/>
      <c r="H16" s="543"/>
      <c r="I16" s="543"/>
      <c r="J16" s="543"/>
      <c r="K16" s="543"/>
      <c r="L16" s="543"/>
      <c r="M16" s="543"/>
      <c r="N16" s="543"/>
      <c r="O16" s="543"/>
      <c r="P16" s="543"/>
      <c r="Q16" s="543"/>
      <c r="R16" s="543"/>
      <c r="S16" s="543"/>
      <c r="T16" s="543"/>
      <c r="U16" s="543"/>
      <c r="V16" s="543"/>
      <c r="W16" s="543"/>
      <c r="X16" s="543"/>
      <c r="Y16" s="543"/>
      <c r="Z16" s="543"/>
      <c r="AA16" s="543"/>
      <c r="AB16" s="543"/>
      <c r="AC16" s="543"/>
      <c r="AD16" s="543"/>
      <c r="AE16" s="543"/>
      <c r="AF16" s="543"/>
      <c r="AG16" s="543"/>
      <c r="AH16" s="543"/>
      <c r="AI16" s="543"/>
      <c r="AJ16" s="543"/>
      <c r="AK16" s="543"/>
      <c r="AL16" s="543"/>
      <c r="AM16" s="543"/>
      <c r="AN16" s="543"/>
      <c r="AO16" s="543"/>
      <c r="AP16" s="543"/>
      <c r="AQ16" s="543"/>
      <c r="AR16" s="543"/>
      <c r="AS16" s="543"/>
      <c r="AT16" s="543"/>
      <c r="AU16" s="543"/>
      <c r="AV16" s="543"/>
      <c r="AW16" s="543"/>
      <c r="AX16" s="543"/>
      <c r="AY16" s="543"/>
      <c r="AZ16" s="543"/>
      <c r="BA16" s="543"/>
      <c r="BB16" s="544"/>
      <c r="BC16" s="545"/>
      <c r="BD16" s="543"/>
      <c r="BE16" s="543"/>
      <c r="BF16" s="543"/>
      <c r="BG16" s="543"/>
      <c r="BH16" s="543"/>
      <c r="BI16" s="543"/>
      <c r="BJ16" s="543"/>
      <c r="BK16" s="543"/>
      <c r="BL16" s="544"/>
      <c r="BM16" s="546"/>
      <c r="BN16" s="547"/>
      <c r="BO16" s="547"/>
      <c r="BP16" s="547"/>
      <c r="BQ16" s="548"/>
      <c r="BR16" s="546"/>
      <c r="BS16" s="547"/>
      <c r="BT16" s="547"/>
      <c r="BU16" s="547"/>
      <c r="BV16" s="549"/>
    </row>
    <row r="17" spans="1:74" ht="13.5" customHeight="1">
      <c r="A17" s="518"/>
      <c r="B17" s="519"/>
      <c r="C17" s="519"/>
      <c r="D17" s="519"/>
      <c r="E17" s="520"/>
      <c r="F17" s="524"/>
      <c r="G17" s="519"/>
      <c r="H17" s="519"/>
      <c r="I17" s="519"/>
      <c r="J17" s="519"/>
      <c r="K17" s="519"/>
      <c r="L17" s="519"/>
      <c r="M17" s="519"/>
      <c r="N17" s="519"/>
      <c r="O17" s="519"/>
      <c r="P17" s="519"/>
      <c r="Q17" s="519"/>
      <c r="R17" s="519"/>
      <c r="S17" s="519"/>
      <c r="T17" s="519"/>
      <c r="U17" s="519"/>
      <c r="V17" s="519"/>
      <c r="W17" s="519"/>
      <c r="X17" s="519"/>
      <c r="Y17" s="519"/>
      <c r="Z17" s="519"/>
      <c r="AA17" s="519"/>
      <c r="AB17" s="519"/>
      <c r="AC17" s="519"/>
      <c r="AD17" s="519"/>
      <c r="AE17" s="519"/>
      <c r="AF17" s="519"/>
      <c r="AG17" s="519"/>
      <c r="AH17" s="519"/>
      <c r="AI17" s="519"/>
      <c r="AJ17" s="519"/>
      <c r="AK17" s="519"/>
      <c r="AL17" s="519"/>
      <c r="AM17" s="519"/>
      <c r="AN17" s="519"/>
      <c r="AO17" s="519"/>
      <c r="AP17" s="519"/>
      <c r="AQ17" s="519"/>
      <c r="AR17" s="519"/>
      <c r="AS17" s="519"/>
      <c r="AT17" s="519"/>
      <c r="AU17" s="519"/>
      <c r="AV17" s="519"/>
      <c r="AW17" s="519"/>
      <c r="AX17" s="519"/>
      <c r="AY17" s="519"/>
      <c r="AZ17" s="519"/>
      <c r="BA17" s="519"/>
      <c r="BB17" s="520"/>
      <c r="BC17" s="524"/>
      <c r="BD17" s="519"/>
      <c r="BE17" s="519"/>
      <c r="BF17" s="519"/>
      <c r="BG17" s="519"/>
      <c r="BH17" s="519"/>
      <c r="BI17" s="519"/>
      <c r="BJ17" s="519"/>
      <c r="BK17" s="519"/>
      <c r="BL17" s="520"/>
      <c r="BM17" s="526"/>
      <c r="BN17" s="527"/>
      <c r="BO17" s="527"/>
      <c r="BP17" s="527"/>
      <c r="BQ17" s="528"/>
      <c r="BR17" s="526"/>
      <c r="BS17" s="527"/>
      <c r="BT17" s="527"/>
      <c r="BU17" s="527"/>
      <c r="BV17" s="529"/>
    </row>
    <row r="18" spans="1:74" ht="13.5" customHeight="1">
      <c r="A18" s="534"/>
      <c r="B18" s="535"/>
      <c r="C18" s="535"/>
      <c r="D18" s="535"/>
      <c r="E18" s="536"/>
      <c r="F18" s="537"/>
      <c r="G18" s="535"/>
      <c r="H18" s="535"/>
      <c r="I18" s="535"/>
      <c r="J18" s="535"/>
      <c r="K18" s="535"/>
      <c r="L18" s="535"/>
      <c r="M18" s="535"/>
      <c r="N18" s="535"/>
      <c r="O18" s="535"/>
      <c r="P18" s="535"/>
      <c r="Q18" s="535"/>
      <c r="R18" s="535"/>
      <c r="S18" s="535"/>
      <c r="T18" s="535"/>
      <c r="U18" s="535"/>
      <c r="V18" s="535"/>
      <c r="W18" s="535"/>
      <c r="X18" s="535"/>
      <c r="Y18" s="535"/>
      <c r="Z18" s="535"/>
      <c r="AA18" s="535"/>
      <c r="AB18" s="535"/>
      <c r="AC18" s="535"/>
      <c r="AD18" s="535"/>
      <c r="AE18" s="535"/>
      <c r="AF18" s="535"/>
      <c r="AG18" s="535"/>
      <c r="AH18" s="535"/>
      <c r="AI18" s="535"/>
      <c r="AJ18" s="535"/>
      <c r="AK18" s="535"/>
      <c r="AL18" s="535"/>
      <c r="AM18" s="535"/>
      <c r="AN18" s="535"/>
      <c r="AO18" s="535"/>
      <c r="AP18" s="535"/>
      <c r="AQ18" s="535"/>
      <c r="AR18" s="535"/>
      <c r="AS18" s="535"/>
      <c r="AT18" s="535"/>
      <c r="AU18" s="535"/>
      <c r="AV18" s="535"/>
      <c r="AW18" s="535"/>
      <c r="AX18" s="535"/>
      <c r="AY18" s="535"/>
      <c r="AZ18" s="535"/>
      <c r="BA18" s="535"/>
      <c r="BB18" s="536"/>
      <c r="BC18" s="537"/>
      <c r="BD18" s="535"/>
      <c r="BE18" s="535"/>
      <c r="BF18" s="535"/>
      <c r="BG18" s="535"/>
      <c r="BH18" s="535"/>
      <c r="BI18" s="535"/>
      <c r="BJ18" s="535"/>
      <c r="BK18" s="535"/>
      <c r="BL18" s="536"/>
      <c r="BM18" s="538"/>
      <c r="BN18" s="539"/>
      <c r="BO18" s="539"/>
      <c r="BP18" s="539"/>
      <c r="BQ18" s="540"/>
      <c r="BR18" s="538"/>
      <c r="BS18" s="539"/>
      <c r="BT18" s="539"/>
      <c r="BU18" s="539"/>
      <c r="BV18" s="541"/>
    </row>
    <row r="19" spans="1:74" ht="13.5" customHeight="1">
      <c r="A19" s="518"/>
      <c r="B19" s="519"/>
      <c r="C19" s="519"/>
      <c r="D19" s="519"/>
      <c r="E19" s="520"/>
      <c r="F19" s="524"/>
      <c r="G19" s="519"/>
      <c r="H19" s="519"/>
      <c r="I19" s="519"/>
      <c r="J19" s="519"/>
      <c r="K19" s="519"/>
      <c r="L19" s="519"/>
      <c r="M19" s="519"/>
      <c r="N19" s="519"/>
      <c r="O19" s="519"/>
      <c r="P19" s="519"/>
      <c r="Q19" s="519"/>
      <c r="R19" s="519"/>
      <c r="S19" s="519"/>
      <c r="T19" s="519"/>
      <c r="U19" s="519"/>
      <c r="V19" s="519"/>
      <c r="W19" s="519"/>
      <c r="X19" s="519"/>
      <c r="Y19" s="519"/>
      <c r="Z19" s="519"/>
      <c r="AA19" s="519"/>
      <c r="AB19" s="519"/>
      <c r="AC19" s="519"/>
      <c r="AD19" s="519"/>
      <c r="AE19" s="519"/>
      <c r="AF19" s="519"/>
      <c r="AG19" s="519"/>
      <c r="AH19" s="519"/>
      <c r="AI19" s="519"/>
      <c r="AJ19" s="519"/>
      <c r="AK19" s="519"/>
      <c r="AL19" s="519"/>
      <c r="AM19" s="519"/>
      <c r="AN19" s="519"/>
      <c r="AO19" s="519"/>
      <c r="AP19" s="519"/>
      <c r="AQ19" s="519"/>
      <c r="AR19" s="519"/>
      <c r="AS19" s="519"/>
      <c r="AT19" s="519"/>
      <c r="AU19" s="519"/>
      <c r="AV19" s="519"/>
      <c r="AW19" s="519"/>
      <c r="AX19" s="519"/>
      <c r="AY19" s="519"/>
      <c r="AZ19" s="519"/>
      <c r="BA19" s="519"/>
      <c r="BB19" s="520"/>
      <c r="BC19" s="524"/>
      <c r="BD19" s="519"/>
      <c r="BE19" s="519"/>
      <c r="BF19" s="519"/>
      <c r="BG19" s="519"/>
      <c r="BH19" s="519"/>
      <c r="BI19" s="519"/>
      <c r="BJ19" s="519"/>
      <c r="BK19" s="519"/>
      <c r="BL19" s="520"/>
      <c r="BM19" s="526"/>
      <c r="BN19" s="527"/>
      <c r="BO19" s="527"/>
      <c r="BP19" s="527"/>
      <c r="BQ19" s="528"/>
      <c r="BR19" s="526"/>
      <c r="BS19" s="527"/>
      <c r="BT19" s="527"/>
      <c r="BU19" s="527"/>
      <c r="BV19" s="529"/>
    </row>
    <row r="20" spans="1:74" ht="13.5" customHeight="1">
      <c r="A20" s="542"/>
      <c r="B20" s="543"/>
      <c r="C20" s="543"/>
      <c r="D20" s="543"/>
      <c r="E20" s="544"/>
      <c r="F20" s="545"/>
      <c r="G20" s="543"/>
      <c r="H20" s="543"/>
      <c r="I20" s="543"/>
      <c r="J20" s="543"/>
      <c r="K20" s="543"/>
      <c r="L20" s="543"/>
      <c r="M20" s="543"/>
      <c r="N20" s="543"/>
      <c r="O20" s="543"/>
      <c r="P20" s="543"/>
      <c r="Q20" s="543"/>
      <c r="R20" s="543"/>
      <c r="S20" s="543"/>
      <c r="T20" s="543"/>
      <c r="U20" s="543"/>
      <c r="V20" s="543"/>
      <c r="W20" s="543"/>
      <c r="X20" s="543"/>
      <c r="Y20" s="543"/>
      <c r="Z20" s="543"/>
      <c r="AA20" s="543"/>
      <c r="AB20" s="543"/>
      <c r="AC20" s="543"/>
      <c r="AD20" s="543"/>
      <c r="AE20" s="543"/>
      <c r="AF20" s="543"/>
      <c r="AG20" s="543"/>
      <c r="AH20" s="543"/>
      <c r="AI20" s="543"/>
      <c r="AJ20" s="543"/>
      <c r="AK20" s="543"/>
      <c r="AL20" s="543"/>
      <c r="AM20" s="543"/>
      <c r="AN20" s="543"/>
      <c r="AO20" s="543"/>
      <c r="AP20" s="543"/>
      <c r="AQ20" s="543"/>
      <c r="AR20" s="543"/>
      <c r="AS20" s="543"/>
      <c r="AT20" s="543"/>
      <c r="AU20" s="543"/>
      <c r="AV20" s="543"/>
      <c r="AW20" s="543"/>
      <c r="AX20" s="543"/>
      <c r="AY20" s="543"/>
      <c r="AZ20" s="543"/>
      <c r="BA20" s="543"/>
      <c r="BB20" s="544"/>
      <c r="BC20" s="545"/>
      <c r="BD20" s="543"/>
      <c r="BE20" s="543"/>
      <c r="BF20" s="543"/>
      <c r="BG20" s="543"/>
      <c r="BH20" s="543"/>
      <c r="BI20" s="543"/>
      <c r="BJ20" s="543"/>
      <c r="BK20" s="543"/>
      <c r="BL20" s="544"/>
      <c r="BM20" s="546"/>
      <c r="BN20" s="547"/>
      <c r="BO20" s="547"/>
      <c r="BP20" s="547"/>
      <c r="BQ20" s="548"/>
      <c r="BR20" s="546"/>
      <c r="BS20" s="547"/>
      <c r="BT20" s="547"/>
      <c r="BU20" s="547"/>
      <c r="BV20" s="549"/>
    </row>
    <row r="21" spans="1:74" ht="13.5" customHeight="1">
      <c r="A21" s="518"/>
      <c r="B21" s="519"/>
      <c r="C21" s="519"/>
      <c r="D21" s="519"/>
      <c r="E21" s="520"/>
      <c r="F21" s="524"/>
      <c r="G21" s="519"/>
      <c r="H21" s="519"/>
      <c r="I21" s="519"/>
      <c r="J21" s="519"/>
      <c r="K21" s="519"/>
      <c r="L21" s="519"/>
      <c r="M21" s="519"/>
      <c r="N21" s="519"/>
      <c r="O21" s="519"/>
      <c r="P21" s="519"/>
      <c r="Q21" s="519"/>
      <c r="R21" s="519"/>
      <c r="S21" s="519"/>
      <c r="T21" s="519"/>
      <c r="U21" s="519"/>
      <c r="V21" s="519"/>
      <c r="W21" s="519"/>
      <c r="X21" s="519"/>
      <c r="Y21" s="519"/>
      <c r="Z21" s="519"/>
      <c r="AA21" s="519"/>
      <c r="AB21" s="519"/>
      <c r="AC21" s="519"/>
      <c r="AD21" s="519"/>
      <c r="AE21" s="519"/>
      <c r="AF21" s="519"/>
      <c r="AG21" s="519"/>
      <c r="AH21" s="519"/>
      <c r="AI21" s="519"/>
      <c r="AJ21" s="519"/>
      <c r="AK21" s="519"/>
      <c r="AL21" s="519"/>
      <c r="AM21" s="519"/>
      <c r="AN21" s="519"/>
      <c r="AO21" s="519"/>
      <c r="AP21" s="519"/>
      <c r="AQ21" s="519"/>
      <c r="AR21" s="519"/>
      <c r="AS21" s="519"/>
      <c r="AT21" s="519"/>
      <c r="AU21" s="519"/>
      <c r="AV21" s="519"/>
      <c r="AW21" s="519"/>
      <c r="AX21" s="519"/>
      <c r="AY21" s="519"/>
      <c r="AZ21" s="519"/>
      <c r="BA21" s="519"/>
      <c r="BB21" s="520"/>
      <c r="BC21" s="524"/>
      <c r="BD21" s="519"/>
      <c r="BE21" s="519"/>
      <c r="BF21" s="519"/>
      <c r="BG21" s="519"/>
      <c r="BH21" s="519"/>
      <c r="BI21" s="519"/>
      <c r="BJ21" s="519"/>
      <c r="BK21" s="519"/>
      <c r="BL21" s="520"/>
      <c r="BM21" s="526"/>
      <c r="BN21" s="527"/>
      <c r="BO21" s="527"/>
      <c r="BP21" s="527"/>
      <c r="BQ21" s="528"/>
      <c r="BR21" s="526"/>
      <c r="BS21" s="527"/>
      <c r="BT21" s="527"/>
      <c r="BU21" s="527"/>
      <c r="BV21" s="529"/>
    </row>
    <row r="22" spans="1:74" ht="13.5" customHeight="1">
      <c r="A22" s="534"/>
      <c r="B22" s="535"/>
      <c r="C22" s="535"/>
      <c r="D22" s="535"/>
      <c r="E22" s="536"/>
      <c r="F22" s="537"/>
      <c r="G22" s="535"/>
      <c r="H22" s="535"/>
      <c r="I22" s="535"/>
      <c r="J22" s="535"/>
      <c r="K22" s="535"/>
      <c r="L22" s="535"/>
      <c r="M22" s="535"/>
      <c r="N22" s="535"/>
      <c r="O22" s="535"/>
      <c r="P22" s="535"/>
      <c r="Q22" s="535"/>
      <c r="R22" s="535"/>
      <c r="S22" s="535"/>
      <c r="T22" s="535"/>
      <c r="U22" s="535"/>
      <c r="V22" s="535"/>
      <c r="W22" s="535"/>
      <c r="X22" s="535"/>
      <c r="Y22" s="535"/>
      <c r="Z22" s="535"/>
      <c r="AA22" s="535"/>
      <c r="AB22" s="535"/>
      <c r="AC22" s="535"/>
      <c r="AD22" s="535"/>
      <c r="AE22" s="535"/>
      <c r="AF22" s="535"/>
      <c r="AG22" s="535"/>
      <c r="AH22" s="535"/>
      <c r="AI22" s="535"/>
      <c r="AJ22" s="535"/>
      <c r="AK22" s="535"/>
      <c r="AL22" s="535"/>
      <c r="AM22" s="535"/>
      <c r="AN22" s="535"/>
      <c r="AO22" s="535"/>
      <c r="AP22" s="535"/>
      <c r="AQ22" s="535"/>
      <c r="AR22" s="535"/>
      <c r="AS22" s="535"/>
      <c r="AT22" s="535"/>
      <c r="AU22" s="535"/>
      <c r="AV22" s="535"/>
      <c r="AW22" s="535"/>
      <c r="AX22" s="535"/>
      <c r="AY22" s="535"/>
      <c r="AZ22" s="535"/>
      <c r="BA22" s="535"/>
      <c r="BB22" s="536"/>
      <c r="BC22" s="537"/>
      <c r="BD22" s="535"/>
      <c r="BE22" s="535"/>
      <c r="BF22" s="535"/>
      <c r="BG22" s="535"/>
      <c r="BH22" s="535"/>
      <c r="BI22" s="535"/>
      <c r="BJ22" s="535"/>
      <c r="BK22" s="535"/>
      <c r="BL22" s="536"/>
      <c r="BM22" s="538"/>
      <c r="BN22" s="539"/>
      <c r="BO22" s="539"/>
      <c r="BP22" s="539"/>
      <c r="BQ22" s="540"/>
      <c r="BR22" s="538"/>
      <c r="BS22" s="539"/>
      <c r="BT22" s="539"/>
      <c r="BU22" s="539"/>
      <c r="BV22" s="541"/>
    </row>
    <row r="23" spans="1:74" ht="13.5" customHeight="1">
      <c r="A23" s="518"/>
      <c r="B23" s="519"/>
      <c r="C23" s="519"/>
      <c r="D23" s="519"/>
      <c r="E23" s="520"/>
      <c r="F23" s="524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19"/>
      <c r="W23" s="519"/>
      <c r="X23" s="519"/>
      <c r="Y23" s="519"/>
      <c r="Z23" s="519"/>
      <c r="AA23" s="519"/>
      <c r="AB23" s="519"/>
      <c r="AC23" s="519"/>
      <c r="AD23" s="519"/>
      <c r="AE23" s="519"/>
      <c r="AF23" s="519"/>
      <c r="AG23" s="519"/>
      <c r="AH23" s="519"/>
      <c r="AI23" s="519"/>
      <c r="AJ23" s="519"/>
      <c r="AK23" s="519"/>
      <c r="AL23" s="519"/>
      <c r="AM23" s="519"/>
      <c r="AN23" s="519"/>
      <c r="AO23" s="519"/>
      <c r="AP23" s="519"/>
      <c r="AQ23" s="519"/>
      <c r="AR23" s="519"/>
      <c r="AS23" s="519"/>
      <c r="AT23" s="519"/>
      <c r="AU23" s="519"/>
      <c r="AV23" s="519"/>
      <c r="AW23" s="519"/>
      <c r="AX23" s="519"/>
      <c r="AY23" s="519"/>
      <c r="AZ23" s="519"/>
      <c r="BA23" s="519"/>
      <c r="BB23" s="520"/>
      <c r="BC23" s="524"/>
      <c r="BD23" s="519"/>
      <c r="BE23" s="519"/>
      <c r="BF23" s="519"/>
      <c r="BG23" s="519"/>
      <c r="BH23" s="519"/>
      <c r="BI23" s="519"/>
      <c r="BJ23" s="519"/>
      <c r="BK23" s="519"/>
      <c r="BL23" s="520"/>
      <c r="BM23" s="526"/>
      <c r="BN23" s="527"/>
      <c r="BO23" s="527"/>
      <c r="BP23" s="527"/>
      <c r="BQ23" s="528"/>
      <c r="BR23" s="526"/>
      <c r="BS23" s="527"/>
      <c r="BT23" s="527"/>
      <c r="BU23" s="527"/>
      <c r="BV23" s="529"/>
    </row>
    <row r="24" spans="1:74" ht="13.5" customHeight="1">
      <c r="A24" s="542"/>
      <c r="B24" s="543"/>
      <c r="C24" s="543"/>
      <c r="D24" s="543"/>
      <c r="E24" s="544"/>
      <c r="F24" s="545"/>
      <c r="G24" s="543"/>
      <c r="H24" s="543"/>
      <c r="I24" s="543"/>
      <c r="J24" s="543"/>
      <c r="K24" s="543"/>
      <c r="L24" s="543"/>
      <c r="M24" s="543"/>
      <c r="N24" s="543"/>
      <c r="O24" s="543"/>
      <c r="P24" s="543"/>
      <c r="Q24" s="543"/>
      <c r="R24" s="543"/>
      <c r="S24" s="543"/>
      <c r="T24" s="543"/>
      <c r="U24" s="543"/>
      <c r="V24" s="543"/>
      <c r="W24" s="543"/>
      <c r="X24" s="543"/>
      <c r="Y24" s="543"/>
      <c r="Z24" s="543"/>
      <c r="AA24" s="543"/>
      <c r="AB24" s="543"/>
      <c r="AC24" s="543"/>
      <c r="AD24" s="543"/>
      <c r="AE24" s="543"/>
      <c r="AF24" s="543"/>
      <c r="AG24" s="543"/>
      <c r="AH24" s="543"/>
      <c r="AI24" s="543"/>
      <c r="AJ24" s="543"/>
      <c r="AK24" s="543"/>
      <c r="AL24" s="543"/>
      <c r="AM24" s="543"/>
      <c r="AN24" s="543"/>
      <c r="AO24" s="543"/>
      <c r="AP24" s="543"/>
      <c r="AQ24" s="543"/>
      <c r="AR24" s="543"/>
      <c r="AS24" s="543"/>
      <c r="AT24" s="543"/>
      <c r="AU24" s="543"/>
      <c r="AV24" s="543"/>
      <c r="AW24" s="543"/>
      <c r="AX24" s="543"/>
      <c r="AY24" s="543"/>
      <c r="AZ24" s="543"/>
      <c r="BA24" s="543"/>
      <c r="BB24" s="544"/>
      <c r="BC24" s="545"/>
      <c r="BD24" s="543"/>
      <c r="BE24" s="543"/>
      <c r="BF24" s="543"/>
      <c r="BG24" s="543"/>
      <c r="BH24" s="543"/>
      <c r="BI24" s="543"/>
      <c r="BJ24" s="543"/>
      <c r="BK24" s="543"/>
      <c r="BL24" s="544"/>
      <c r="BM24" s="546"/>
      <c r="BN24" s="547"/>
      <c r="BO24" s="547"/>
      <c r="BP24" s="547"/>
      <c r="BQ24" s="548"/>
      <c r="BR24" s="546"/>
      <c r="BS24" s="547"/>
      <c r="BT24" s="547"/>
      <c r="BU24" s="547"/>
      <c r="BV24" s="549"/>
    </row>
    <row r="25" spans="1:74" ht="13.5" customHeight="1">
      <c r="A25" s="518"/>
      <c r="B25" s="519"/>
      <c r="C25" s="519"/>
      <c r="D25" s="519"/>
      <c r="E25" s="520"/>
      <c r="F25" s="524"/>
      <c r="G25" s="519"/>
      <c r="H25" s="519"/>
      <c r="I25" s="519"/>
      <c r="J25" s="519"/>
      <c r="K25" s="519"/>
      <c r="L25" s="519"/>
      <c r="M25" s="519"/>
      <c r="N25" s="519"/>
      <c r="O25" s="519"/>
      <c r="P25" s="519"/>
      <c r="Q25" s="519"/>
      <c r="R25" s="519"/>
      <c r="S25" s="519"/>
      <c r="T25" s="519"/>
      <c r="U25" s="519"/>
      <c r="V25" s="519"/>
      <c r="W25" s="519"/>
      <c r="X25" s="519"/>
      <c r="Y25" s="519"/>
      <c r="Z25" s="519"/>
      <c r="AA25" s="519"/>
      <c r="AB25" s="519"/>
      <c r="AC25" s="519"/>
      <c r="AD25" s="519"/>
      <c r="AE25" s="519"/>
      <c r="AF25" s="519"/>
      <c r="AG25" s="519"/>
      <c r="AH25" s="519"/>
      <c r="AI25" s="519"/>
      <c r="AJ25" s="519"/>
      <c r="AK25" s="519"/>
      <c r="AL25" s="519"/>
      <c r="AM25" s="519"/>
      <c r="AN25" s="519"/>
      <c r="AO25" s="519"/>
      <c r="AP25" s="519"/>
      <c r="AQ25" s="519"/>
      <c r="AR25" s="519"/>
      <c r="AS25" s="519"/>
      <c r="AT25" s="519"/>
      <c r="AU25" s="519"/>
      <c r="AV25" s="519"/>
      <c r="AW25" s="519"/>
      <c r="AX25" s="519"/>
      <c r="AY25" s="519"/>
      <c r="AZ25" s="519"/>
      <c r="BA25" s="519"/>
      <c r="BB25" s="520"/>
      <c r="BC25" s="524"/>
      <c r="BD25" s="519"/>
      <c r="BE25" s="519"/>
      <c r="BF25" s="519"/>
      <c r="BG25" s="519"/>
      <c r="BH25" s="519"/>
      <c r="BI25" s="519"/>
      <c r="BJ25" s="519"/>
      <c r="BK25" s="519"/>
      <c r="BL25" s="520"/>
      <c r="BM25" s="526"/>
      <c r="BN25" s="527"/>
      <c r="BO25" s="527"/>
      <c r="BP25" s="527"/>
      <c r="BQ25" s="528"/>
      <c r="BR25" s="526"/>
      <c r="BS25" s="527"/>
      <c r="BT25" s="527"/>
      <c r="BU25" s="527"/>
      <c r="BV25" s="529"/>
    </row>
    <row r="26" spans="1:74" ht="13.5" customHeight="1">
      <c r="A26" s="534"/>
      <c r="B26" s="535"/>
      <c r="C26" s="535"/>
      <c r="D26" s="535"/>
      <c r="E26" s="536"/>
      <c r="F26" s="537"/>
      <c r="G26" s="535"/>
      <c r="H26" s="535"/>
      <c r="I26" s="535"/>
      <c r="J26" s="535"/>
      <c r="K26" s="535"/>
      <c r="L26" s="535"/>
      <c r="M26" s="535"/>
      <c r="N26" s="535"/>
      <c r="O26" s="535"/>
      <c r="P26" s="535"/>
      <c r="Q26" s="535"/>
      <c r="R26" s="535"/>
      <c r="S26" s="535"/>
      <c r="T26" s="535"/>
      <c r="U26" s="535"/>
      <c r="V26" s="535"/>
      <c r="W26" s="535"/>
      <c r="X26" s="535"/>
      <c r="Y26" s="535"/>
      <c r="Z26" s="535"/>
      <c r="AA26" s="535"/>
      <c r="AB26" s="535"/>
      <c r="AC26" s="535"/>
      <c r="AD26" s="535"/>
      <c r="AE26" s="535"/>
      <c r="AF26" s="535"/>
      <c r="AG26" s="535"/>
      <c r="AH26" s="535"/>
      <c r="AI26" s="535"/>
      <c r="AJ26" s="535"/>
      <c r="AK26" s="535"/>
      <c r="AL26" s="535"/>
      <c r="AM26" s="535"/>
      <c r="AN26" s="535"/>
      <c r="AO26" s="535"/>
      <c r="AP26" s="535"/>
      <c r="AQ26" s="535"/>
      <c r="AR26" s="535"/>
      <c r="AS26" s="535"/>
      <c r="AT26" s="535"/>
      <c r="AU26" s="535"/>
      <c r="AV26" s="535"/>
      <c r="AW26" s="535"/>
      <c r="AX26" s="535"/>
      <c r="AY26" s="535"/>
      <c r="AZ26" s="535"/>
      <c r="BA26" s="535"/>
      <c r="BB26" s="536"/>
      <c r="BC26" s="537"/>
      <c r="BD26" s="535"/>
      <c r="BE26" s="535"/>
      <c r="BF26" s="535"/>
      <c r="BG26" s="535"/>
      <c r="BH26" s="535"/>
      <c r="BI26" s="535"/>
      <c r="BJ26" s="535"/>
      <c r="BK26" s="535"/>
      <c r="BL26" s="536"/>
      <c r="BM26" s="538"/>
      <c r="BN26" s="539"/>
      <c r="BO26" s="539"/>
      <c r="BP26" s="539"/>
      <c r="BQ26" s="540"/>
      <c r="BR26" s="538"/>
      <c r="BS26" s="539"/>
      <c r="BT26" s="539"/>
      <c r="BU26" s="539"/>
      <c r="BV26" s="541"/>
    </row>
    <row r="27" spans="1:74" ht="13.5" customHeight="1">
      <c r="A27" s="518"/>
      <c r="B27" s="519"/>
      <c r="C27" s="519"/>
      <c r="D27" s="519"/>
      <c r="E27" s="520"/>
      <c r="F27" s="524"/>
      <c r="G27" s="519"/>
      <c r="H27" s="519"/>
      <c r="I27" s="519"/>
      <c r="J27" s="519"/>
      <c r="K27" s="519"/>
      <c r="L27" s="519"/>
      <c r="M27" s="519"/>
      <c r="N27" s="519"/>
      <c r="O27" s="519"/>
      <c r="P27" s="519"/>
      <c r="Q27" s="519"/>
      <c r="R27" s="519"/>
      <c r="S27" s="519"/>
      <c r="T27" s="519"/>
      <c r="U27" s="519"/>
      <c r="V27" s="519"/>
      <c r="W27" s="519"/>
      <c r="X27" s="519"/>
      <c r="Y27" s="519"/>
      <c r="Z27" s="519"/>
      <c r="AA27" s="519"/>
      <c r="AB27" s="519"/>
      <c r="AC27" s="519"/>
      <c r="AD27" s="519"/>
      <c r="AE27" s="519"/>
      <c r="AF27" s="519"/>
      <c r="AG27" s="519"/>
      <c r="AH27" s="519"/>
      <c r="AI27" s="519"/>
      <c r="AJ27" s="519"/>
      <c r="AK27" s="519"/>
      <c r="AL27" s="519"/>
      <c r="AM27" s="519"/>
      <c r="AN27" s="519"/>
      <c r="AO27" s="519"/>
      <c r="AP27" s="519"/>
      <c r="AQ27" s="519"/>
      <c r="AR27" s="519"/>
      <c r="AS27" s="519"/>
      <c r="AT27" s="519"/>
      <c r="AU27" s="519"/>
      <c r="AV27" s="519"/>
      <c r="AW27" s="519"/>
      <c r="AX27" s="519"/>
      <c r="AY27" s="519"/>
      <c r="AZ27" s="519"/>
      <c r="BA27" s="519"/>
      <c r="BB27" s="520"/>
      <c r="BC27" s="524"/>
      <c r="BD27" s="519"/>
      <c r="BE27" s="519"/>
      <c r="BF27" s="519"/>
      <c r="BG27" s="519"/>
      <c r="BH27" s="519"/>
      <c r="BI27" s="519"/>
      <c r="BJ27" s="519"/>
      <c r="BK27" s="519"/>
      <c r="BL27" s="520"/>
      <c r="BM27" s="526"/>
      <c r="BN27" s="527"/>
      <c r="BO27" s="527"/>
      <c r="BP27" s="527"/>
      <c r="BQ27" s="528"/>
      <c r="BR27" s="526"/>
      <c r="BS27" s="527"/>
      <c r="BT27" s="527"/>
      <c r="BU27" s="527"/>
      <c r="BV27" s="529"/>
    </row>
    <row r="28" spans="1:74" ht="13.5" customHeight="1">
      <c r="A28" s="542"/>
      <c r="B28" s="543"/>
      <c r="C28" s="543"/>
      <c r="D28" s="543"/>
      <c r="E28" s="544"/>
      <c r="F28" s="545"/>
      <c r="G28" s="543"/>
      <c r="H28" s="543"/>
      <c r="I28" s="543"/>
      <c r="J28" s="543"/>
      <c r="K28" s="543"/>
      <c r="L28" s="543"/>
      <c r="M28" s="543"/>
      <c r="N28" s="543"/>
      <c r="O28" s="543"/>
      <c r="P28" s="543"/>
      <c r="Q28" s="543"/>
      <c r="R28" s="543"/>
      <c r="S28" s="543"/>
      <c r="T28" s="543"/>
      <c r="U28" s="543"/>
      <c r="V28" s="543"/>
      <c r="W28" s="543"/>
      <c r="X28" s="543"/>
      <c r="Y28" s="543"/>
      <c r="Z28" s="543"/>
      <c r="AA28" s="543"/>
      <c r="AB28" s="543"/>
      <c r="AC28" s="543"/>
      <c r="AD28" s="543"/>
      <c r="AE28" s="543"/>
      <c r="AF28" s="543"/>
      <c r="AG28" s="543"/>
      <c r="AH28" s="543"/>
      <c r="AI28" s="543"/>
      <c r="AJ28" s="543"/>
      <c r="AK28" s="543"/>
      <c r="AL28" s="543"/>
      <c r="AM28" s="543"/>
      <c r="AN28" s="543"/>
      <c r="AO28" s="543"/>
      <c r="AP28" s="543"/>
      <c r="AQ28" s="543"/>
      <c r="AR28" s="543"/>
      <c r="AS28" s="543"/>
      <c r="AT28" s="543"/>
      <c r="AU28" s="543"/>
      <c r="AV28" s="543"/>
      <c r="AW28" s="543"/>
      <c r="AX28" s="543"/>
      <c r="AY28" s="543"/>
      <c r="AZ28" s="543"/>
      <c r="BA28" s="543"/>
      <c r="BB28" s="544"/>
      <c r="BC28" s="545"/>
      <c r="BD28" s="543"/>
      <c r="BE28" s="543"/>
      <c r="BF28" s="543"/>
      <c r="BG28" s="543"/>
      <c r="BH28" s="543"/>
      <c r="BI28" s="543"/>
      <c r="BJ28" s="543"/>
      <c r="BK28" s="543"/>
      <c r="BL28" s="544"/>
      <c r="BM28" s="546"/>
      <c r="BN28" s="547"/>
      <c r="BO28" s="547"/>
      <c r="BP28" s="547"/>
      <c r="BQ28" s="548"/>
      <c r="BR28" s="546"/>
      <c r="BS28" s="547"/>
      <c r="BT28" s="547"/>
      <c r="BU28" s="547"/>
      <c r="BV28" s="549"/>
    </row>
    <row r="29" spans="1:74" ht="13.5" customHeight="1">
      <c r="A29" s="518"/>
      <c r="B29" s="519"/>
      <c r="C29" s="519"/>
      <c r="D29" s="519"/>
      <c r="E29" s="520"/>
      <c r="F29" s="524"/>
      <c r="G29" s="519"/>
      <c r="H29" s="519"/>
      <c r="I29" s="519"/>
      <c r="J29" s="519"/>
      <c r="K29" s="519"/>
      <c r="L29" s="519"/>
      <c r="M29" s="519"/>
      <c r="N29" s="519"/>
      <c r="O29" s="519"/>
      <c r="P29" s="519"/>
      <c r="Q29" s="519"/>
      <c r="R29" s="519"/>
      <c r="S29" s="519"/>
      <c r="T29" s="519"/>
      <c r="U29" s="519"/>
      <c r="V29" s="519"/>
      <c r="W29" s="519"/>
      <c r="X29" s="519"/>
      <c r="Y29" s="519"/>
      <c r="Z29" s="519"/>
      <c r="AA29" s="519"/>
      <c r="AB29" s="519"/>
      <c r="AC29" s="519"/>
      <c r="AD29" s="519"/>
      <c r="AE29" s="519"/>
      <c r="AF29" s="519"/>
      <c r="AG29" s="519"/>
      <c r="AH29" s="519"/>
      <c r="AI29" s="519"/>
      <c r="AJ29" s="519"/>
      <c r="AK29" s="519"/>
      <c r="AL29" s="519"/>
      <c r="AM29" s="519"/>
      <c r="AN29" s="519"/>
      <c r="AO29" s="519"/>
      <c r="AP29" s="519"/>
      <c r="AQ29" s="519"/>
      <c r="AR29" s="519"/>
      <c r="AS29" s="519"/>
      <c r="AT29" s="519"/>
      <c r="AU29" s="519"/>
      <c r="AV29" s="519"/>
      <c r="AW29" s="519"/>
      <c r="AX29" s="519"/>
      <c r="AY29" s="519"/>
      <c r="AZ29" s="519"/>
      <c r="BA29" s="519"/>
      <c r="BB29" s="520"/>
      <c r="BC29" s="524"/>
      <c r="BD29" s="519"/>
      <c r="BE29" s="519"/>
      <c r="BF29" s="519"/>
      <c r="BG29" s="519"/>
      <c r="BH29" s="519"/>
      <c r="BI29" s="519"/>
      <c r="BJ29" s="519"/>
      <c r="BK29" s="519"/>
      <c r="BL29" s="520"/>
      <c r="BM29" s="526"/>
      <c r="BN29" s="527"/>
      <c r="BO29" s="527"/>
      <c r="BP29" s="527"/>
      <c r="BQ29" s="528"/>
      <c r="BR29" s="526"/>
      <c r="BS29" s="527"/>
      <c r="BT29" s="527"/>
      <c r="BU29" s="527"/>
      <c r="BV29" s="529"/>
    </row>
    <row r="30" spans="1:74" ht="13.5" customHeight="1">
      <c r="A30" s="534"/>
      <c r="B30" s="535"/>
      <c r="C30" s="535"/>
      <c r="D30" s="535"/>
      <c r="E30" s="536"/>
      <c r="F30" s="537"/>
      <c r="G30" s="535"/>
      <c r="H30" s="535"/>
      <c r="I30" s="535"/>
      <c r="J30" s="535"/>
      <c r="K30" s="535"/>
      <c r="L30" s="535"/>
      <c r="M30" s="535"/>
      <c r="N30" s="535"/>
      <c r="O30" s="535"/>
      <c r="P30" s="535"/>
      <c r="Q30" s="535"/>
      <c r="R30" s="535"/>
      <c r="S30" s="535"/>
      <c r="T30" s="535"/>
      <c r="U30" s="535"/>
      <c r="V30" s="535"/>
      <c r="W30" s="535"/>
      <c r="X30" s="535"/>
      <c r="Y30" s="535"/>
      <c r="Z30" s="535"/>
      <c r="AA30" s="535"/>
      <c r="AB30" s="535"/>
      <c r="AC30" s="535"/>
      <c r="AD30" s="535"/>
      <c r="AE30" s="535"/>
      <c r="AF30" s="535"/>
      <c r="AG30" s="535"/>
      <c r="AH30" s="535"/>
      <c r="AI30" s="535"/>
      <c r="AJ30" s="535"/>
      <c r="AK30" s="535"/>
      <c r="AL30" s="535"/>
      <c r="AM30" s="535"/>
      <c r="AN30" s="535"/>
      <c r="AO30" s="535"/>
      <c r="AP30" s="535"/>
      <c r="AQ30" s="535"/>
      <c r="AR30" s="535"/>
      <c r="AS30" s="535"/>
      <c r="AT30" s="535"/>
      <c r="AU30" s="535"/>
      <c r="AV30" s="535"/>
      <c r="AW30" s="535"/>
      <c r="AX30" s="535"/>
      <c r="AY30" s="535"/>
      <c r="AZ30" s="535"/>
      <c r="BA30" s="535"/>
      <c r="BB30" s="536"/>
      <c r="BC30" s="537"/>
      <c r="BD30" s="535"/>
      <c r="BE30" s="535"/>
      <c r="BF30" s="535"/>
      <c r="BG30" s="535"/>
      <c r="BH30" s="535"/>
      <c r="BI30" s="535"/>
      <c r="BJ30" s="535"/>
      <c r="BK30" s="535"/>
      <c r="BL30" s="536"/>
      <c r="BM30" s="538"/>
      <c r="BN30" s="539"/>
      <c r="BO30" s="539"/>
      <c r="BP30" s="539"/>
      <c r="BQ30" s="540"/>
      <c r="BR30" s="538"/>
      <c r="BS30" s="539"/>
      <c r="BT30" s="539"/>
      <c r="BU30" s="539"/>
      <c r="BV30" s="541"/>
    </row>
    <row r="31" spans="1:74" ht="13.5" customHeight="1">
      <c r="A31" s="518"/>
      <c r="B31" s="519"/>
      <c r="C31" s="519"/>
      <c r="D31" s="519"/>
      <c r="E31" s="520"/>
      <c r="F31" s="524"/>
      <c r="G31" s="519"/>
      <c r="H31" s="519"/>
      <c r="I31" s="519"/>
      <c r="J31" s="519"/>
      <c r="K31" s="519"/>
      <c r="L31" s="519"/>
      <c r="M31" s="519"/>
      <c r="N31" s="519"/>
      <c r="O31" s="519"/>
      <c r="P31" s="519"/>
      <c r="Q31" s="519"/>
      <c r="R31" s="519"/>
      <c r="S31" s="519"/>
      <c r="T31" s="519"/>
      <c r="U31" s="519"/>
      <c r="V31" s="519"/>
      <c r="W31" s="519"/>
      <c r="X31" s="519"/>
      <c r="Y31" s="519"/>
      <c r="Z31" s="519"/>
      <c r="AA31" s="519"/>
      <c r="AB31" s="519"/>
      <c r="AC31" s="519"/>
      <c r="AD31" s="519"/>
      <c r="AE31" s="519"/>
      <c r="AF31" s="519"/>
      <c r="AG31" s="519"/>
      <c r="AH31" s="519"/>
      <c r="AI31" s="519"/>
      <c r="AJ31" s="519"/>
      <c r="AK31" s="519"/>
      <c r="AL31" s="519"/>
      <c r="AM31" s="519"/>
      <c r="AN31" s="519"/>
      <c r="AO31" s="519"/>
      <c r="AP31" s="519"/>
      <c r="AQ31" s="519"/>
      <c r="AR31" s="519"/>
      <c r="AS31" s="519"/>
      <c r="AT31" s="519"/>
      <c r="AU31" s="519"/>
      <c r="AV31" s="519"/>
      <c r="AW31" s="519"/>
      <c r="AX31" s="519"/>
      <c r="AY31" s="519"/>
      <c r="AZ31" s="519"/>
      <c r="BA31" s="519"/>
      <c r="BB31" s="520"/>
      <c r="BC31" s="524"/>
      <c r="BD31" s="519"/>
      <c r="BE31" s="519"/>
      <c r="BF31" s="519"/>
      <c r="BG31" s="519"/>
      <c r="BH31" s="519"/>
      <c r="BI31" s="519"/>
      <c r="BJ31" s="519"/>
      <c r="BK31" s="519"/>
      <c r="BL31" s="520"/>
      <c r="BM31" s="526"/>
      <c r="BN31" s="527"/>
      <c r="BO31" s="527"/>
      <c r="BP31" s="527"/>
      <c r="BQ31" s="528"/>
      <c r="BR31" s="526"/>
      <c r="BS31" s="527"/>
      <c r="BT31" s="527"/>
      <c r="BU31" s="527"/>
      <c r="BV31" s="529"/>
    </row>
    <row r="32" spans="1:74" ht="13.5" customHeight="1">
      <c r="A32" s="542"/>
      <c r="B32" s="543"/>
      <c r="C32" s="543"/>
      <c r="D32" s="543"/>
      <c r="E32" s="544"/>
      <c r="F32" s="545"/>
      <c r="G32" s="543"/>
      <c r="H32" s="543"/>
      <c r="I32" s="543"/>
      <c r="J32" s="543"/>
      <c r="K32" s="543"/>
      <c r="L32" s="543"/>
      <c r="M32" s="543"/>
      <c r="N32" s="543"/>
      <c r="O32" s="543"/>
      <c r="P32" s="543"/>
      <c r="Q32" s="543"/>
      <c r="R32" s="543"/>
      <c r="S32" s="543"/>
      <c r="T32" s="543"/>
      <c r="U32" s="543"/>
      <c r="V32" s="543"/>
      <c r="W32" s="543"/>
      <c r="X32" s="543"/>
      <c r="Y32" s="543"/>
      <c r="Z32" s="543"/>
      <c r="AA32" s="543"/>
      <c r="AB32" s="543"/>
      <c r="AC32" s="543"/>
      <c r="AD32" s="543"/>
      <c r="AE32" s="543"/>
      <c r="AF32" s="543"/>
      <c r="AG32" s="543"/>
      <c r="AH32" s="543"/>
      <c r="AI32" s="543"/>
      <c r="AJ32" s="543"/>
      <c r="AK32" s="543"/>
      <c r="AL32" s="543"/>
      <c r="AM32" s="543"/>
      <c r="AN32" s="543"/>
      <c r="AO32" s="543"/>
      <c r="AP32" s="543"/>
      <c r="AQ32" s="543"/>
      <c r="AR32" s="543"/>
      <c r="AS32" s="543"/>
      <c r="AT32" s="543"/>
      <c r="AU32" s="543"/>
      <c r="AV32" s="543"/>
      <c r="AW32" s="543"/>
      <c r="AX32" s="543"/>
      <c r="AY32" s="543"/>
      <c r="AZ32" s="543"/>
      <c r="BA32" s="543"/>
      <c r="BB32" s="544"/>
      <c r="BC32" s="545"/>
      <c r="BD32" s="543"/>
      <c r="BE32" s="543"/>
      <c r="BF32" s="543"/>
      <c r="BG32" s="543"/>
      <c r="BH32" s="543"/>
      <c r="BI32" s="543"/>
      <c r="BJ32" s="543"/>
      <c r="BK32" s="543"/>
      <c r="BL32" s="544"/>
      <c r="BM32" s="546"/>
      <c r="BN32" s="547"/>
      <c r="BO32" s="547"/>
      <c r="BP32" s="547"/>
      <c r="BQ32" s="548"/>
      <c r="BR32" s="546"/>
      <c r="BS32" s="547"/>
      <c r="BT32" s="547"/>
      <c r="BU32" s="547"/>
      <c r="BV32" s="549"/>
    </row>
    <row r="33" spans="1:74" ht="13.5" customHeight="1">
      <c r="A33" s="518"/>
      <c r="B33" s="519"/>
      <c r="C33" s="519"/>
      <c r="D33" s="519"/>
      <c r="E33" s="520"/>
      <c r="F33" s="524"/>
      <c r="G33" s="519"/>
      <c r="H33" s="519"/>
      <c r="I33" s="519"/>
      <c r="J33" s="519"/>
      <c r="K33" s="519"/>
      <c r="L33" s="519"/>
      <c r="M33" s="519"/>
      <c r="N33" s="519"/>
      <c r="O33" s="519"/>
      <c r="P33" s="519"/>
      <c r="Q33" s="519"/>
      <c r="R33" s="519"/>
      <c r="S33" s="519"/>
      <c r="T33" s="519"/>
      <c r="U33" s="519"/>
      <c r="V33" s="519"/>
      <c r="W33" s="519"/>
      <c r="X33" s="519"/>
      <c r="Y33" s="519"/>
      <c r="Z33" s="519"/>
      <c r="AA33" s="519"/>
      <c r="AB33" s="519"/>
      <c r="AC33" s="519"/>
      <c r="AD33" s="519"/>
      <c r="AE33" s="519"/>
      <c r="AF33" s="519"/>
      <c r="AG33" s="519"/>
      <c r="AH33" s="519"/>
      <c r="AI33" s="519"/>
      <c r="AJ33" s="519"/>
      <c r="AK33" s="519"/>
      <c r="AL33" s="519"/>
      <c r="AM33" s="519"/>
      <c r="AN33" s="519"/>
      <c r="AO33" s="519"/>
      <c r="AP33" s="519"/>
      <c r="AQ33" s="519"/>
      <c r="AR33" s="519"/>
      <c r="AS33" s="519"/>
      <c r="AT33" s="519"/>
      <c r="AU33" s="519"/>
      <c r="AV33" s="519"/>
      <c r="AW33" s="519"/>
      <c r="AX33" s="519"/>
      <c r="AY33" s="519"/>
      <c r="AZ33" s="519"/>
      <c r="BA33" s="519"/>
      <c r="BB33" s="520"/>
      <c r="BC33" s="524"/>
      <c r="BD33" s="519"/>
      <c r="BE33" s="519"/>
      <c r="BF33" s="519"/>
      <c r="BG33" s="519"/>
      <c r="BH33" s="519"/>
      <c r="BI33" s="519"/>
      <c r="BJ33" s="519"/>
      <c r="BK33" s="519"/>
      <c r="BL33" s="520"/>
      <c r="BM33" s="526"/>
      <c r="BN33" s="527"/>
      <c r="BO33" s="527"/>
      <c r="BP33" s="527"/>
      <c r="BQ33" s="528"/>
      <c r="BR33" s="526"/>
      <c r="BS33" s="527"/>
      <c r="BT33" s="527"/>
      <c r="BU33" s="527"/>
      <c r="BV33" s="529"/>
    </row>
    <row r="34" spans="1:74" ht="13.5" customHeight="1">
      <c r="A34" s="534"/>
      <c r="B34" s="535"/>
      <c r="C34" s="535"/>
      <c r="D34" s="535"/>
      <c r="E34" s="536"/>
      <c r="F34" s="537"/>
      <c r="G34" s="535"/>
      <c r="H34" s="535"/>
      <c r="I34" s="535"/>
      <c r="J34" s="535"/>
      <c r="K34" s="535"/>
      <c r="L34" s="535"/>
      <c r="M34" s="535"/>
      <c r="N34" s="535"/>
      <c r="O34" s="535"/>
      <c r="P34" s="535"/>
      <c r="Q34" s="535"/>
      <c r="R34" s="535"/>
      <c r="S34" s="535"/>
      <c r="T34" s="535"/>
      <c r="U34" s="535"/>
      <c r="V34" s="535"/>
      <c r="W34" s="535"/>
      <c r="X34" s="535"/>
      <c r="Y34" s="535"/>
      <c r="Z34" s="535"/>
      <c r="AA34" s="535"/>
      <c r="AB34" s="535"/>
      <c r="AC34" s="535"/>
      <c r="AD34" s="535"/>
      <c r="AE34" s="535"/>
      <c r="AF34" s="535"/>
      <c r="AG34" s="535"/>
      <c r="AH34" s="535"/>
      <c r="AI34" s="535"/>
      <c r="AJ34" s="535"/>
      <c r="AK34" s="535"/>
      <c r="AL34" s="535"/>
      <c r="AM34" s="535"/>
      <c r="AN34" s="535"/>
      <c r="AO34" s="535"/>
      <c r="AP34" s="535"/>
      <c r="AQ34" s="535"/>
      <c r="AR34" s="535"/>
      <c r="AS34" s="535"/>
      <c r="AT34" s="535"/>
      <c r="AU34" s="535"/>
      <c r="AV34" s="535"/>
      <c r="AW34" s="535"/>
      <c r="AX34" s="535"/>
      <c r="AY34" s="535"/>
      <c r="AZ34" s="535"/>
      <c r="BA34" s="535"/>
      <c r="BB34" s="536"/>
      <c r="BC34" s="537"/>
      <c r="BD34" s="535"/>
      <c r="BE34" s="535"/>
      <c r="BF34" s="535"/>
      <c r="BG34" s="535"/>
      <c r="BH34" s="535"/>
      <c r="BI34" s="535"/>
      <c r="BJ34" s="535"/>
      <c r="BK34" s="535"/>
      <c r="BL34" s="536"/>
      <c r="BM34" s="538"/>
      <c r="BN34" s="539"/>
      <c r="BO34" s="539"/>
      <c r="BP34" s="539"/>
      <c r="BQ34" s="540"/>
      <c r="BR34" s="538"/>
      <c r="BS34" s="539"/>
      <c r="BT34" s="539"/>
      <c r="BU34" s="539"/>
      <c r="BV34" s="541"/>
    </row>
    <row r="35" spans="1:74" ht="13.5" customHeight="1">
      <c r="A35" s="518"/>
      <c r="B35" s="519"/>
      <c r="C35" s="519"/>
      <c r="D35" s="519"/>
      <c r="E35" s="520"/>
      <c r="F35" s="524"/>
      <c r="G35" s="519"/>
      <c r="H35" s="519"/>
      <c r="I35" s="519"/>
      <c r="J35" s="519"/>
      <c r="K35" s="519"/>
      <c r="L35" s="519"/>
      <c r="M35" s="519"/>
      <c r="N35" s="519"/>
      <c r="O35" s="519"/>
      <c r="P35" s="519"/>
      <c r="Q35" s="519"/>
      <c r="R35" s="519"/>
      <c r="S35" s="519"/>
      <c r="T35" s="519"/>
      <c r="U35" s="519"/>
      <c r="V35" s="519"/>
      <c r="W35" s="519"/>
      <c r="X35" s="519"/>
      <c r="Y35" s="519"/>
      <c r="Z35" s="519"/>
      <c r="AA35" s="519"/>
      <c r="AB35" s="519"/>
      <c r="AC35" s="519"/>
      <c r="AD35" s="519"/>
      <c r="AE35" s="519"/>
      <c r="AF35" s="519"/>
      <c r="AG35" s="519"/>
      <c r="AH35" s="519"/>
      <c r="AI35" s="519"/>
      <c r="AJ35" s="519"/>
      <c r="AK35" s="519"/>
      <c r="AL35" s="519"/>
      <c r="AM35" s="519"/>
      <c r="AN35" s="519"/>
      <c r="AO35" s="519"/>
      <c r="AP35" s="519"/>
      <c r="AQ35" s="519"/>
      <c r="AR35" s="519"/>
      <c r="AS35" s="519"/>
      <c r="AT35" s="519"/>
      <c r="AU35" s="519"/>
      <c r="AV35" s="519"/>
      <c r="AW35" s="519"/>
      <c r="AX35" s="519"/>
      <c r="AY35" s="519"/>
      <c r="AZ35" s="519"/>
      <c r="BA35" s="519"/>
      <c r="BB35" s="520"/>
      <c r="BC35" s="524"/>
      <c r="BD35" s="519"/>
      <c r="BE35" s="519"/>
      <c r="BF35" s="519"/>
      <c r="BG35" s="519"/>
      <c r="BH35" s="519"/>
      <c r="BI35" s="519"/>
      <c r="BJ35" s="519"/>
      <c r="BK35" s="519"/>
      <c r="BL35" s="520"/>
      <c r="BM35" s="526"/>
      <c r="BN35" s="527"/>
      <c r="BO35" s="527"/>
      <c r="BP35" s="527"/>
      <c r="BQ35" s="528"/>
      <c r="BR35" s="526"/>
      <c r="BS35" s="527"/>
      <c r="BT35" s="527"/>
      <c r="BU35" s="527"/>
      <c r="BV35" s="529"/>
    </row>
    <row r="36" spans="1:74" ht="13.5" customHeight="1">
      <c r="A36" s="542"/>
      <c r="B36" s="543"/>
      <c r="C36" s="543"/>
      <c r="D36" s="543"/>
      <c r="E36" s="544"/>
      <c r="F36" s="545"/>
      <c r="G36" s="543"/>
      <c r="H36" s="543"/>
      <c r="I36" s="543"/>
      <c r="J36" s="543"/>
      <c r="K36" s="543"/>
      <c r="L36" s="543"/>
      <c r="M36" s="543"/>
      <c r="N36" s="543"/>
      <c r="O36" s="543"/>
      <c r="P36" s="543"/>
      <c r="Q36" s="543"/>
      <c r="R36" s="543"/>
      <c r="S36" s="543"/>
      <c r="T36" s="543"/>
      <c r="U36" s="543"/>
      <c r="V36" s="543"/>
      <c r="W36" s="543"/>
      <c r="X36" s="543"/>
      <c r="Y36" s="543"/>
      <c r="Z36" s="543"/>
      <c r="AA36" s="543"/>
      <c r="AB36" s="543"/>
      <c r="AC36" s="543"/>
      <c r="AD36" s="543"/>
      <c r="AE36" s="543"/>
      <c r="AF36" s="543"/>
      <c r="AG36" s="543"/>
      <c r="AH36" s="543"/>
      <c r="AI36" s="543"/>
      <c r="AJ36" s="543"/>
      <c r="AK36" s="543"/>
      <c r="AL36" s="543"/>
      <c r="AM36" s="543"/>
      <c r="AN36" s="543"/>
      <c r="AO36" s="543"/>
      <c r="AP36" s="543"/>
      <c r="AQ36" s="543"/>
      <c r="AR36" s="543"/>
      <c r="AS36" s="543"/>
      <c r="AT36" s="543"/>
      <c r="AU36" s="543"/>
      <c r="AV36" s="543"/>
      <c r="AW36" s="543"/>
      <c r="AX36" s="543"/>
      <c r="AY36" s="543"/>
      <c r="AZ36" s="543"/>
      <c r="BA36" s="543"/>
      <c r="BB36" s="544"/>
      <c r="BC36" s="545"/>
      <c r="BD36" s="543"/>
      <c r="BE36" s="543"/>
      <c r="BF36" s="543"/>
      <c r="BG36" s="543"/>
      <c r="BH36" s="543"/>
      <c r="BI36" s="543"/>
      <c r="BJ36" s="543"/>
      <c r="BK36" s="543"/>
      <c r="BL36" s="544"/>
      <c r="BM36" s="546"/>
      <c r="BN36" s="547"/>
      <c r="BO36" s="547"/>
      <c r="BP36" s="547"/>
      <c r="BQ36" s="548"/>
      <c r="BR36" s="546"/>
      <c r="BS36" s="547"/>
      <c r="BT36" s="547"/>
      <c r="BU36" s="547"/>
      <c r="BV36" s="549"/>
    </row>
    <row r="37" spans="1:74" ht="13.5" customHeight="1">
      <c r="A37" s="518"/>
      <c r="B37" s="519"/>
      <c r="C37" s="519"/>
      <c r="D37" s="519"/>
      <c r="E37" s="520"/>
      <c r="F37" s="524"/>
      <c r="G37" s="519"/>
      <c r="H37" s="519"/>
      <c r="I37" s="519"/>
      <c r="J37" s="519"/>
      <c r="K37" s="519"/>
      <c r="L37" s="519"/>
      <c r="M37" s="519"/>
      <c r="N37" s="519"/>
      <c r="O37" s="519"/>
      <c r="P37" s="519"/>
      <c r="Q37" s="519"/>
      <c r="R37" s="519"/>
      <c r="S37" s="519"/>
      <c r="T37" s="519"/>
      <c r="U37" s="519"/>
      <c r="V37" s="519"/>
      <c r="W37" s="519"/>
      <c r="X37" s="519"/>
      <c r="Y37" s="519"/>
      <c r="Z37" s="519"/>
      <c r="AA37" s="519"/>
      <c r="AB37" s="519"/>
      <c r="AC37" s="519"/>
      <c r="AD37" s="519"/>
      <c r="AE37" s="519"/>
      <c r="AF37" s="519"/>
      <c r="AG37" s="519"/>
      <c r="AH37" s="519"/>
      <c r="AI37" s="519"/>
      <c r="AJ37" s="519"/>
      <c r="AK37" s="519"/>
      <c r="AL37" s="519"/>
      <c r="AM37" s="519"/>
      <c r="AN37" s="519"/>
      <c r="AO37" s="519"/>
      <c r="AP37" s="519"/>
      <c r="AQ37" s="519"/>
      <c r="AR37" s="519"/>
      <c r="AS37" s="519"/>
      <c r="AT37" s="519"/>
      <c r="AU37" s="519"/>
      <c r="AV37" s="519"/>
      <c r="AW37" s="519"/>
      <c r="AX37" s="519"/>
      <c r="AY37" s="519"/>
      <c r="AZ37" s="519"/>
      <c r="BA37" s="519"/>
      <c r="BB37" s="520"/>
      <c r="BC37" s="524"/>
      <c r="BD37" s="519"/>
      <c r="BE37" s="519"/>
      <c r="BF37" s="519"/>
      <c r="BG37" s="519"/>
      <c r="BH37" s="519"/>
      <c r="BI37" s="519"/>
      <c r="BJ37" s="519"/>
      <c r="BK37" s="519"/>
      <c r="BL37" s="520"/>
      <c r="BM37" s="526"/>
      <c r="BN37" s="527"/>
      <c r="BO37" s="527"/>
      <c r="BP37" s="527"/>
      <c r="BQ37" s="528"/>
      <c r="BR37" s="526"/>
      <c r="BS37" s="527"/>
      <c r="BT37" s="527"/>
      <c r="BU37" s="527"/>
      <c r="BV37" s="529"/>
    </row>
    <row r="38" spans="1:74" ht="13.5" customHeight="1">
      <c r="A38" s="534"/>
      <c r="B38" s="535"/>
      <c r="C38" s="535"/>
      <c r="D38" s="535"/>
      <c r="E38" s="536"/>
      <c r="F38" s="537"/>
      <c r="G38" s="535"/>
      <c r="H38" s="535"/>
      <c r="I38" s="535"/>
      <c r="J38" s="535"/>
      <c r="K38" s="535"/>
      <c r="L38" s="535"/>
      <c r="M38" s="535"/>
      <c r="N38" s="535"/>
      <c r="O38" s="535"/>
      <c r="P38" s="535"/>
      <c r="Q38" s="535"/>
      <c r="R38" s="535"/>
      <c r="S38" s="535"/>
      <c r="T38" s="535"/>
      <c r="U38" s="535"/>
      <c r="V38" s="535"/>
      <c r="W38" s="535"/>
      <c r="X38" s="535"/>
      <c r="Y38" s="535"/>
      <c r="Z38" s="535"/>
      <c r="AA38" s="535"/>
      <c r="AB38" s="535"/>
      <c r="AC38" s="535"/>
      <c r="AD38" s="535"/>
      <c r="AE38" s="535"/>
      <c r="AF38" s="535"/>
      <c r="AG38" s="535"/>
      <c r="AH38" s="535"/>
      <c r="AI38" s="535"/>
      <c r="AJ38" s="535"/>
      <c r="AK38" s="535"/>
      <c r="AL38" s="535"/>
      <c r="AM38" s="535"/>
      <c r="AN38" s="535"/>
      <c r="AO38" s="535"/>
      <c r="AP38" s="535"/>
      <c r="AQ38" s="535"/>
      <c r="AR38" s="535"/>
      <c r="AS38" s="535"/>
      <c r="AT38" s="535"/>
      <c r="AU38" s="535"/>
      <c r="AV38" s="535"/>
      <c r="AW38" s="535"/>
      <c r="AX38" s="535"/>
      <c r="AY38" s="535"/>
      <c r="AZ38" s="535"/>
      <c r="BA38" s="535"/>
      <c r="BB38" s="536"/>
      <c r="BC38" s="537"/>
      <c r="BD38" s="535"/>
      <c r="BE38" s="535"/>
      <c r="BF38" s="535"/>
      <c r="BG38" s="535"/>
      <c r="BH38" s="535"/>
      <c r="BI38" s="535"/>
      <c r="BJ38" s="535"/>
      <c r="BK38" s="535"/>
      <c r="BL38" s="536"/>
      <c r="BM38" s="538"/>
      <c r="BN38" s="539"/>
      <c r="BO38" s="539"/>
      <c r="BP38" s="539"/>
      <c r="BQ38" s="540"/>
      <c r="BR38" s="538"/>
      <c r="BS38" s="539"/>
      <c r="BT38" s="539"/>
      <c r="BU38" s="539"/>
      <c r="BV38" s="541"/>
    </row>
    <row r="39" spans="1:74" ht="13.5" customHeight="1">
      <c r="A39" s="518"/>
      <c r="B39" s="519"/>
      <c r="C39" s="519"/>
      <c r="D39" s="519"/>
      <c r="E39" s="520"/>
      <c r="F39" s="524"/>
      <c r="G39" s="519"/>
      <c r="H39" s="519"/>
      <c r="I39" s="519"/>
      <c r="J39" s="519"/>
      <c r="K39" s="519"/>
      <c r="L39" s="519"/>
      <c r="M39" s="519"/>
      <c r="N39" s="519"/>
      <c r="O39" s="519"/>
      <c r="P39" s="519"/>
      <c r="Q39" s="519"/>
      <c r="R39" s="519"/>
      <c r="S39" s="519"/>
      <c r="T39" s="519"/>
      <c r="U39" s="519"/>
      <c r="V39" s="519"/>
      <c r="W39" s="519"/>
      <c r="X39" s="519"/>
      <c r="Y39" s="519"/>
      <c r="Z39" s="519"/>
      <c r="AA39" s="519"/>
      <c r="AB39" s="519"/>
      <c r="AC39" s="519"/>
      <c r="AD39" s="519"/>
      <c r="AE39" s="519"/>
      <c r="AF39" s="519"/>
      <c r="AG39" s="519"/>
      <c r="AH39" s="519"/>
      <c r="AI39" s="519"/>
      <c r="AJ39" s="519"/>
      <c r="AK39" s="519"/>
      <c r="AL39" s="519"/>
      <c r="AM39" s="519"/>
      <c r="AN39" s="519"/>
      <c r="AO39" s="519"/>
      <c r="AP39" s="519"/>
      <c r="AQ39" s="519"/>
      <c r="AR39" s="519"/>
      <c r="AS39" s="519"/>
      <c r="AT39" s="519"/>
      <c r="AU39" s="519"/>
      <c r="AV39" s="519"/>
      <c r="AW39" s="519"/>
      <c r="AX39" s="519"/>
      <c r="AY39" s="519"/>
      <c r="AZ39" s="519"/>
      <c r="BA39" s="519"/>
      <c r="BB39" s="520"/>
      <c r="BC39" s="524"/>
      <c r="BD39" s="519"/>
      <c r="BE39" s="519"/>
      <c r="BF39" s="519"/>
      <c r="BG39" s="519"/>
      <c r="BH39" s="519"/>
      <c r="BI39" s="519"/>
      <c r="BJ39" s="519"/>
      <c r="BK39" s="519"/>
      <c r="BL39" s="520"/>
      <c r="BM39" s="526"/>
      <c r="BN39" s="527"/>
      <c r="BO39" s="527"/>
      <c r="BP39" s="527"/>
      <c r="BQ39" s="528"/>
      <c r="BR39" s="526"/>
      <c r="BS39" s="527"/>
      <c r="BT39" s="527"/>
      <c r="BU39" s="527"/>
      <c r="BV39" s="529"/>
    </row>
    <row r="40" spans="1:74" ht="13.5" customHeight="1">
      <c r="A40" s="542"/>
      <c r="B40" s="543"/>
      <c r="C40" s="543"/>
      <c r="D40" s="543"/>
      <c r="E40" s="544"/>
      <c r="F40" s="545"/>
      <c r="G40" s="543"/>
      <c r="H40" s="543"/>
      <c r="I40" s="543"/>
      <c r="J40" s="543"/>
      <c r="K40" s="543"/>
      <c r="L40" s="543"/>
      <c r="M40" s="543"/>
      <c r="N40" s="543"/>
      <c r="O40" s="543"/>
      <c r="P40" s="543"/>
      <c r="Q40" s="543"/>
      <c r="R40" s="543"/>
      <c r="S40" s="543"/>
      <c r="T40" s="543"/>
      <c r="U40" s="543"/>
      <c r="V40" s="543"/>
      <c r="W40" s="543"/>
      <c r="X40" s="543"/>
      <c r="Y40" s="543"/>
      <c r="Z40" s="543"/>
      <c r="AA40" s="543"/>
      <c r="AB40" s="543"/>
      <c r="AC40" s="543"/>
      <c r="AD40" s="543"/>
      <c r="AE40" s="543"/>
      <c r="AF40" s="543"/>
      <c r="AG40" s="543"/>
      <c r="AH40" s="543"/>
      <c r="AI40" s="543"/>
      <c r="AJ40" s="543"/>
      <c r="AK40" s="543"/>
      <c r="AL40" s="543"/>
      <c r="AM40" s="543"/>
      <c r="AN40" s="543"/>
      <c r="AO40" s="543"/>
      <c r="AP40" s="543"/>
      <c r="AQ40" s="543"/>
      <c r="AR40" s="543"/>
      <c r="AS40" s="543"/>
      <c r="AT40" s="543"/>
      <c r="AU40" s="543"/>
      <c r="AV40" s="543"/>
      <c r="AW40" s="543"/>
      <c r="AX40" s="543"/>
      <c r="AY40" s="543"/>
      <c r="AZ40" s="543"/>
      <c r="BA40" s="543"/>
      <c r="BB40" s="544"/>
      <c r="BC40" s="545"/>
      <c r="BD40" s="543"/>
      <c r="BE40" s="543"/>
      <c r="BF40" s="543"/>
      <c r="BG40" s="543"/>
      <c r="BH40" s="543"/>
      <c r="BI40" s="543"/>
      <c r="BJ40" s="543"/>
      <c r="BK40" s="543"/>
      <c r="BL40" s="544"/>
      <c r="BM40" s="546"/>
      <c r="BN40" s="547"/>
      <c r="BO40" s="547"/>
      <c r="BP40" s="547"/>
      <c r="BQ40" s="548"/>
      <c r="BR40" s="546"/>
      <c r="BS40" s="547"/>
      <c r="BT40" s="547"/>
      <c r="BU40" s="547"/>
      <c r="BV40" s="549"/>
    </row>
    <row r="41" spans="1:74" ht="13.5" customHeight="1">
      <c r="A41" s="518"/>
      <c r="B41" s="519"/>
      <c r="C41" s="519"/>
      <c r="D41" s="519"/>
      <c r="E41" s="520"/>
      <c r="F41" s="524"/>
      <c r="G41" s="519"/>
      <c r="H41" s="519"/>
      <c r="I41" s="519"/>
      <c r="J41" s="519"/>
      <c r="K41" s="519"/>
      <c r="L41" s="519"/>
      <c r="M41" s="519"/>
      <c r="N41" s="519"/>
      <c r="O41" s="519"/>
      <c r="P41" s="519"/>
      <c r="Q41" s="519"/>
      <c r="R41" s="519"/>
      <c r="S41" s="519"/>
      <c r="T41" s="519"/>
      <c r="U41" s="519"/>
      <c r="V41" s="519"/>
      <c r="W41" s="519"/>
      <c r="X41" s="519"/>
      <c r="Y41" s="519"/>
      <c r="Z41" s="519"/>
      <c r="AA41" s="519"/>
      <c r="AB41" s="519"/>
      <c r="AC41" s="519"/>
      <c r="AD41" s="519"/>
      <c r="AE41" s="519"/>
      <c r="AF41" s="519"/>
      <c r="AG41" s="519"/>
      <c r="AH41" s="519"/>
      <c r="AI41" s="519"/>
      <c r="AJ41" s="519"/>
      <c r="AK41" s="519"/>
      <c r="AL41" s="519"/>
      <c r="AM41" s="519"/>
      <c r="AN41" s="519"/>
      <c r="AO41" s="519"/>
      <c r="AP41" s="519"/>
      <c r="AQ41" s="519"/>
      <c r="AR41" s="519"/>
      <c r="AS41" s="519"/>
      <c r="AT41" s="519"/>
      <c r="AU41" s="519"/>
      <c r="AV41" s="519"/>
      <c r="AW41" s="519"/>
      <c r="AX41" s="519"/>
      <c r="AY41" s="519"/>
      <c r="AZ41" s="519"/>
      <c r="BA41" s="519"/>
      <c r="BB41" s="520"/>
      <c r="BC41" s="524"/>
      <c r="BD41" s="519"/>
      <c r="BE41" s="519"/>
      <c r="BF41" s="519"/>
      <c r="BG41" s="519"/>
      <c r="BH41" s="519"/>
      <c r="BI41" s="519"/>
      <c r="BJ41" s="519"/>
      <c r="BK41" s="519"/>
      <c r="BL41" s="520"/>
      <c r="BM41" s="526"/>
      <c r="BN41" s="527"/>
      <c r="BO41" s="527"/>
      <c r="BP41" s="527"/>
      <c r="BQ41" s="528"/>
      <c r="BR41" s="526"/>
      <c r="BS41" s="527"/>
      <c r="BT41" s="527"/>
      <c r="BU41" s="527"/>
      <c r="BV41" s="529"/>
    </row>
    <row r="42" spans="1:74" ht="13.5" customHeight="1">
      <c r="A42" s="534"/>
      <c r="B42" s="535"/>
      <c r="C42" s="535"/>
      <c r="D42" s="535"/>
      <c r="E42" s="536"/>
      <c r="F42" s="537"/>
      <c r="G42" s="535"/>
      <c r="H42" s="535"/>
      <c r="I42" s="535"/>
      <c r="J42" s="535"/>
      <c r="K42" s="535"/>
      <c r="L42" s="535"/>
      <c r="M42" s="535"/>
      <c r="N42" s="535"/>
      <c r="O42" s="535"/>
      <c r="P42" s="535"/>
      <c r="Q42" s="535"/>
      <c r="R42" s="535"/>
      <c r="S42" s="535"/>
      <c r="T42" s="535"/>
      <c r="U42" s="535"/>
      <c r="V42" s="535"/>
      <c r="W42" s="535"/>
      <c r="X42" s="535"/>
      <c r="Y42" s="535"/>
      <c r="Z42" s="535"/>
      <c r="AA42" s="535"/>
      <c r="AB42" s="535"/>
      <c r="AC42" s="535"/>
      <c r="AD42" s="535"/>
      <c r="AE42" s="535"/>
      <c r="AF42" s="535"/>
      <c r="AG42" s="535"/>
      <c r="AH42" s="535"/>
      <c r="AI42" s="535"/>
      <c r="AJ42" s="535"/>
      <c r="AK42" s="535"/>
      <c r="AL42" s="535"/>
      <c r="AM42" s="535"/>
      <c r="AN42" s="535"/>
      <c r="AO42" s="535"/>
      <c r="AP42" s="535"/>
      <c r="AQ42" s="535"/>
      <c r="AR42" s="535"/>
      <c r="AS42" s="535"/>
      <c r="AT42" s="535"/>
      <c r="AU42" s="535"/>
      <c r="AV42" s="535"/>
      <c r="AW42" s="535"/>
      <c r="AX42" s="535"/>
      <c r="AY42" s="535"/>
      <c r="AZ42" s="535"/>
      <c r="BA42" s="535"/>
      <c r="BB42" s="536"/>
      <c r="BC42" s="537"/>
      <c r="BD42" s="535"/>
      <c r="BE42" s="535"/>
      <c r="BF42" s="535"/>
      <c r="BG42" s="535"/>
      <c r="BH42" s="535"/>
      <c r="BI42" s="535"/>
      <c r="BJ42" s="535"/>
      <c r="BK42" s="535"/>
      <c r="BL42" s="536"/>
      <c r="BM42" s="538"/>
      <c r="BN42" s="539"/>
      <c r="BO42" s="539"/>
      <c r="BP42" s="539"/>
      <c r="BQ42" s="540"/>
      <c r="BR42" s="538"/>
      <c r="BS42" s="539"/>
      <c r="BT42" s="539"/>
      <c r="BU42" s="539"/>
      <c r="BV42" s="541"/>
    </row>
    <row r="43" spans="1:74" ht="13.5" customHeight="1">
      <c r="A43" s="518"/>
      <c r="B43" s="519"/>
      <c r="C43" s="519"/>
      <c r="D43" s="519"/>
      <c r="E43" s="520"/>
      <c r="F43" s="524"/>
      <c r="G43" s="519"/>
      <c r="H43" s="519"/>
      <c r="I43" s="519"/>
      <c r="J43" s="519"/>
      <c r="K43" s="519"/>
      <c r="L43" s="519"/>
      <c r="M43" s="519"/>
      <c r="N43" s="519"/>
      <c r="O43" s="519"/>
      <c r="P43" s="519"/>
      <c r="Q43" s="519"/>
      <c r="R43" s="519"/>
      <c r="S43" s="519"/>
      <c r="T43" s="519"/>
      <c r="U43" s="519"/>
      <c r="V43" s="519"/>
      <c r="W43" s="519"/>
      <c r="X43" s="519"/>
      <c r="Y43" s="519"/>
      <c r="Z43" s="519"/>
      <c r="AA43" s="519"/>
      <c r="AB43" s="519"/>
      <c r="AC43" s="519"/>
      <c r="AD43" s="519"/>
      <c r="AE43" s="519"/>
      <c r="AF43" s="519"/>
      <c r="AG43" s="519"/>
      <c r="AH43" s="519"/>
      <c r="AI43" s="519"/>
      <c r="AJ43" s="519"/>
      <c r="AK43" s="519"/>
      <c r="AL43" s="519"/>
      <c r="AM43" s="519"/>
      <c r="AN43" s="519"/>
      <c r="AO43" s="519"/>
      <c r="AP43" s="519"/>
      <c r="AQ43" s="519"/>
      <c r="AR43" s="519"/>
      <c r="AS43" s="519"/>
      <c r="AT43" s="519"/>
      <c r="AU43" s="519"/>
      <c r="AV43" s="519"/>
      <c r="AW43" s="519"/>
      <c r="AX43" s="519"/>
      <c r="AY43" s="519"/>
      <c r="AZ43" s="519"/>
      <c r="BA43" s="519"/>
      <c r="BB43" s="520"/>
      <c r="BC43" s="524"/>
      <c r="BD43" s="519"/>
      <c r="BE43" s="519"/>
      <c r="BF43" s="519"/>
      <c r="BG43" s="519"/>
      <c r="BH43" s="519"/>
      <c r="BI43" s="519"/>
      <c r="BJ43" s="519"/>
      <c r="BK43" s="519"/>
      <c r="BL43" s="520"/>
      <c r="BM43" s="526"/>
      <c r="BN43" s="527"/>
      <c r="BO43" s="527"/>
      <c r="BP43" s="527"/>
      <c r="BQ43" s="528"/>
      <c r="BR43" s="526"/>
      <c r="BS43" s="527"/>
      <c r="BT43" s="527"/>
      <c r="BU43" s="527"/>
      <c r="BV43" s="529"/>
    </row>
    <row r="44" spans="1:74" ht="13.5" customHeight="1" thickBot="1">
      <c r="A44" s="521"/>
      <c r="B44" s="522"/>
      <c r="C44" s="522"/>
      <c r="D44" s="522"/>
      <c r="E44" s="523"/>
      <c r="F44" s="525"/>
      <c r="G44" s="522"/>
      <c r="H44" s="522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Y44" s="522"/>
      <c r="Z44" s="522"/>
      <c r="AA44" s="522"/>
      <c r="AB44" s="522"/>
      <c r="AC44" s="522"/>
      <c r="AD44" s="522"/>
      <c r="AE44" s="522"/>
      <c r="AF44" s="522"/>
      <c r="AG44" s="522"/>
      <c r="AH44" s="522"/>
      <c r="AI44" s="522"/>
      <c r="AJ44" s="522"/>
      <c r="AK44" s="522"/>
      <c r="AL44" s="522"/>
      <c r="AM44" s="522"/>
      <c r="AN44" s="522"/>
      <c r="AO44" s="522"/>
      <c r="AP44" s="522"/>
      <c r="AQ44" s="522"/>
      <c r="AR44" s="522"/>
      <c r="AS44" s="522"/>
      <c r="AT44" s="522"/>
      <c r="AU44" s="522"/>
      <c r="AV44" s="522"/>
      <c r="AW44" s="522"/>
      <c r="AX44" s="522"/>
      <c r="AY44" s="522"/>
      <c r="AZ44" s="522"/>
      <c r="BA44" s="522"/>
      <c r="BB44" s="523"/>
      <c r="BC44" s="525"/>
      <c r="BD44" s="522"/>
      <c r="BE44" s="522"/>
      <c r="BF44" s="522"/>
      <c r="BG44" s="522"/>
      <c r="BH44" s="522"/>
      <c r="BI44" s="522"/>
      <c r="BJ44" s="522"/>
      <c r="BK44" s="522"/>
      <c r="BL44" s="523"/>
      <c r="BM44" s="530"/>
      <c r="BN44" s="531"/>
      <c r="BO44" s="531"/>
      <c r="BP44" s="531"/>
      <c r="BQ44" s="532"/>
      <c r="BR44" s="530"/>
      <c r="BS44" s="531"/>
      <c r="BT44" s="531"/>
      <c r="BU44" s="531"/>
      <c r="BV44" s="533"/>
    </row>
    <row r="45" spans="1:74" ht="13.5" customHeight="1"/>
    <row r="46" spans="1:74" ht="13.5" customHeight="1"/>
    <row r="47" spans="1:74" ht="13.5" customHeight="1"/>
    <row r="48" spans="1:7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150"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7:E38"/>
    <mergeCell ref="F37:BB38"/>
    <mergeCell ref="BC37:BL38"/>
    <mergeCell ref="BM37:BQ37"/>
    <mergeCell ref="BR37:BV37"/>
    <mergeCell ref="BM38:BQ38"/>
    <mergeCell ref="BR38:BV38"/>
    <mergeCell ref="A39:E40"/>
    <mergeCell ref="F39:BB40"/>
    <mergeCell ref="BC39:BL40"/>
    <mergeCell ref="BM39:BQ39"/>
    <mergeCell ref="BR39:BV39"/>
    <mergeCell ref="BM40:BQ40"/>
    <mergeCell ref="BR40:BV40"/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H47"/>
  <sheetViews>
    <sheetView showGridLines="0" showZeros="0" view="pageBreakPreview" zoomScaleNormal="85" zoomScaleSheetLayoutView="100" workbookViewId="0">
      <pane ySplit="4" topLeftCell="A5" activePane="bottomLeft" state="frozen"/>
      <selection activeCell="F41" sqref="F41:BB42"/>
      <selection pane="bottomLeft" activeCell="E37" sqref="E37:E38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125" style="14"/>
  </cols>
  <sheetData>
    <row r="1" spans="1:86" s="1" customFormat="1" ht="15.75" customHeight="1">
      <c r="A1" s="342" t="str">
        <f>表紙!A54</f>
        <v>Webシステム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8"/>
      <c r="O1" s="645" t="s">
        <v>128</v>
      </c>
      <c r="P1" s="646"/>
      <c r="Q1" s="646"/>
      <c r="R1" s="646"/>
      <c r="S1" s="646"/>
      <c r="T1" s="646"/>
      <c r="U1" s="646"/>
      <c r="V1" s="646"/>
      <c r="W1" s="646"/>
      <c r="X1" s="646"/>
      <c r="Y1" s="646"/>
      <c r="Z1" s="646"/>
      <c r="AA1" s="646"/>
      <c r="AB1" s="647"/>
      <c r="AC1" s="648" t="s">
        <v>142</v>
      </c>
      <c r="AD1" s="649"/>
      <c r="AE1" s="649"/>
      <c r="AF1" s="649"/>
      <c r="AG1" s="649"/>
      <c r="AH1" s="649"/>
      <c r="AI1" s="650"/>
      <c r="AJ1" s="328" t="str">
        <f>表紙!AJ63</f>
        <v>MS</v>
      </c>
      <c r="AK1" s="656"/>
      <c r="AL1" s="656"/>
      <c r="AM1" s="656"/>
      <c r="AN1" s="656"/>
      <c r="AO1" s="656"/>
      <c r="AP1" s="657"/>
      <c r="AQ1" s="648" t="s">
        <v>131</v>
      </c>
      <c r="AR1" s="649"/>
      <c r="AS1" s="649"/>
      <c r="AT1" s="649"/>
      <c r="AU1" s="649"/>
      <c r="AV1" s="649"/>
      <c r="AW1" s="650"/>
      <c r="AX1" s="328" t="str">
        <f>表紙!AX63</f>
        <v>Webシステム</v>
      </c>
      <c r="AY1" s="656"/>
      <c r="AZ1" s="656"/>
      <c r="BA1" s="656"/>
      <c r="BB1" s="656"/>
      <c r="BC1" s="656"/>
      <c r="BD1" s="656"/>
      <c r="BE1" s="656"/>
      <c r="BF1" s="656"/>
      <c r="BG1" s="656"/>
      <c r="BH1" s="656"/>
      <c r="BI1" s="656"/>
      <c r="BJ1" s="656"/>
      <c r="BK1" s="657"/>
      <c r="BL1" s="658" t="s">
        <v>101</v>
      </c>
      <c r="BM1" s="659"/>
      <c r="BN1" s="659"/>
      <c r="BO1" s="659"/>
      <c r="BP1" s="659"/>
      <c r="BQ1" s="659"/>
      <c r="BR1" s="659"/>
      <c r="BS1" s="659"/>
      <c r="BT1" s="660"/>
      <c r="BU1" s="661" t="s">
        <v>122</v>
      </c>
      <c r="BV1" s="662"/>
      <c r="BW1" s="662"/>
      <c r="BX1" s="662"/>
      <c r="BY1" s="662"/>
      <c r="BZ1" s="662"/>
      <c r="CA1" s="663"/>
      <c r="CB1" s="661" t="s">
        <v>143</v>
      </c>
      <c r="CC1" s="662"/>
      <c r="CD1" s="662"/>
      <c r="CE1" s="662"/>
      <c r="CF1" s="662"/>
      <c r="CG1" s="662"/>
      <c r="CH1" s="664"/>
    </row>
    <row r="2" spans="1:86" s="1" customFormat="1" ht="15.75" customHeight="1">
      <c r="A2" s="639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1"/>
      <c r="O2" s="313" t="str">
        <f>表紙!O64</f>
        <v>アドオン設計書</v>
      </c>
      <c r="P2" s="651"/>
      <c r="Q2" s="651"/>
      <c r="R2" s="651"/>
      <c r="S2" s="651"/>
      <c r="T2" s="651"/>
      <c r="U2" s="651"/>
      <c r="V2" s="651"/>
      <c r="W2" s="651"/>
      <c r="X2" s="651"/>
      <c r="Y2" s="651"/>
      <c r="Z2" s="651"/>
      <c r="AA2" s="651"/>
      <c r="AB2" s="652"/>
      <c r="AC2" s="653" t="s">
        <v>146</v>
      </c>
      <c r="AD2" s="654"/>
      <c r="AE2" s="654"/>
      <c r="AF2" s="654"/>
      <c r="AG2" s="654"/>
      <c r="AH2" s="654"/>
      <c r="AI2" s="655"/>
      <c r="AJ2" s="318" t="str">
        <f>表紙!AJ64</f>
        <v>MSBB</v>
      </c>
      <c r="AK2" s="319"/>
      <c r="AL2" s="319"/>
      <c r="AM2" s="319"/>
      <c r="AN2" s="319"/>
      <c r="AO2" s="319"/>
      <c r="AP2" s="320"/>
      <c r="AQ2" s="653" t="s">
        <v>147</v>
      </c>
      <c r="AR2" s="654"/>
      <c r="AS2" s="654"/>
      <c r="AT2" s="654"/>
      <c r="AU2" s="654"/>
      <c r="AV2" s="654"/>
      <c r="AW2" s="655"/>
      <c r="AX2" s="321" t="str">
        <f>表紙!AX64</f>
        <v>販売Webシステム</v>
      </c>
      <c r="AY2" s="362"/>
      <c r="AZ2" s="362"/>
      <c r="BA2" s="362"/>
      <c r="BB2" s="362"/>
      <c r="BC2" s="362"/>
      <c r="BD2" s="362"/>
      <c r="BE2" s="362"/>
      <c r="BF2" s="362"/>
      <c r="BG2" s="362"/>
      <c r="BH2" s="362"/>
      <c r="BI2" s="362"/>
      <c r="BJ2" s="362"/>
      <c r="BK2" s="363"/>
      <c r="BL2" s="322" t="str">
        <f>表紙!BL64</f>
        <v>972501-0-0001</v>
      </c>
      <c r="BM2" s="314"/>
      <c r="BN2" s="314"/>
      <c r="BO2" s="314"/>
      <c r="BP2" s="314"/>
      <c r="BQ2" s="314"/>
      <c r="BR2" s="314"/>
      <c r="BS2" s="314"/>
      <c r="BT2" s="323"/>
      <c r="BU2" s="327" t="str">
        <f>表紙!BU64</f>
        <v>7.0.2</v>
      </c>
      <c r="BV2" s="314"/>
      <c r="BW2" s="314"/>
      <c r="BX2" s="314"/>
      <c r="BY2" s="314"/>
      <c r="BZ2" s="314"/>
      <c r="CA2" s="323"/>
      <c r="CB2" s="329">
        <f>表紙!CB64</f>
        <v>1</v>
      </c>
      <c r="CC2" s="314"/>
      <c r="CD2" s="314"/>
      <c r="CE2" s="314"/>
      <c r="CF2" s="314"/>
      <c r="CG2" s="314"/>
      <c r="CH2" s="330"/>
    </row>
    <row r="3" spans="1:86" s="1" customFormat="1" ht="15.75" customHeight="1" thickBot="1">
      <c r="A3" s="642"/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4"/>
      <c r="O3" s="332" t="str">
        <f ca="1">RIGHT(CELL("filename",$A$1),LEN(CELL("filename",$A$1))-FIND("]",CELL("filename",$A$1)))</f>
        <v>概要</v>
      </c>
      <c r="P3" s="665"/>
      <c r="Q3" s="665"/>
      <c r="R3" s="665"/>
      <c r="S3" s="665"/>
      <c r="T3" s="665"/>
      <c r="U3" s="665"/>
      <c r="V3" s="665"/>
      <c r="W3" s="665"/>
      <c r="X3" s="665"/>
      <c r="Y3" s="665"/>
      <c r="Z3" s="665"/>
      <c r="AA3" s="665"/>
      <c r="AB3" s="666"/>
      <c r="AC3" s="667" t="s">
        <v>140</v>
      </c>
      <c r="AD3" s="668"/>
      <c r="AE3" s="668"/>
      <c r="AF3" s="668"/>
      <c r="AG3" s="668"/>
      <c r="AH3" s="668"/>
      <c r="AI3" s="669"/>
      <c r="AJ3" s="337" t="str">
        <f>表紙!AJ65</f>
        <v>MSBBRA050</v>
      </c>
      <c r="AK3" s="338"/>
      <c r="AL3" s="338"/>
      <c r="AM3" s="338"/>
      <c r="AN3" s="338"/>
      <c r="AO3" s="338"/>
      <c r="AP3" s="338"/>
      <c r="AQ3" s="339" t="str">
        <f>表紙!AQ65</f>
        <v>受注伝票</v>
      </c>
      <c r="AR3" s="339"/>
      <c r="AS3" s="339"/>
      <c r="AT3" s="339"/>
      <c r="AU3" s="339"/>
      <c r="AV3" s="339"/>
      <c r="AW3" s="339"/>
      <c r="AX3" s="339"/>
      <c r="AY3" s="339"/>
      <c r="AZ3" s="339"/>
      <c r="BA3" s="339"/>
      <c r="BB3" s="339"/>
      <c r="BC3" s="339"/>
      <c r="BD3" s="339"/>
      <c r="BE3" s="339"/>
      <c r="BF3" s="339"/>
      <c r="BG3" s="339"/>
      <c r="BH3" s="339"/>
      <c r="BI3" s="339"/>
      <c r="BJ3" s="339"/>
      <c r="BK3" s="670"/>
      <c r="BL3" s="324"/>
      <c r="BM3" s="325"/>
      <c r="BN3" s="325"/>
      <c r="BO3" s="325"/>
      <c r="BP3" s="325"/>
      <c r="BQ3" s="325"/>
      <c r="BR3" s="325"/>
      <c r="BS3" s="325"/>
      <c r="BT3" s="326"/>
      <c r="BU3" s="324"/>
      <c r="BV3" s="325"/>
      <c r="BW3" s="325"/>
      <c r="BX3" s="325"/>
      <c r="BY3" s="325"/>
      <c r="BZ3" s="325"/>
      <c r="CA3" s="326"/>
      <c r="CB3" s="324"/>
      <c r="CC3" s="325"/>
      <c r="CD3" s="325"/>
      <c r="CE3" s="325"/>
      <c r="CF3" s="325"/>
      <c r="CG3" s="325"/>
      <c r="CH3" s="331"/>
    </row>
    <row r="4" spans="1:86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86" s="9" customForma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 t="s">
        <v>31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</row>
    <row r="6" spans="1:86" s="11" customFormat="1" ht="15.75" customHeight="1">
      <c r="A6" s="10"/>
      <c r="S6" s="12"/>
      <c r="CH6" s="13"/>
    </row>
    <row r="7" spans="1:86" s="77" customFormat="1" ht="15.75" customHeight="1">
      <c r="A7" s="78"/>
      <c r="C7" s="77" t="s">
        <v>161</v>
      </c>
      <c r="T7" s="100"/>
      <c r="CH7" s="79"/>
    </row>
    <row r="8" spans="1:86" s="77" customFormat="1" ht="15.75" customHeight="1">
      <c r="A8" s="78"/>
      <c r="D8" s="183" t="s">
        <v>28</v>
      </c>
      <c r="E8" s="184"/>
      <c r="F8" s="184"/>
      <c r="G8" s="185"/>
      <c r="H8" s="183" t="s">
        <v>162</v>
      </c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6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5"/>
      <c r="CH8" s="79"/>
    </row>
    <row r="9" spans="1:86" s="77" customFormat="1" ht="15.75" customHeight="1">
      <c r="A9" s="78"/>
      <c r="D9" s="187" t="s">
        <v>163</v>
      </c>
      <c r="E9" s="188"/>
      <c r="F9" s="188"/>
      <c r="G9" s="189"/>
      <c r="H9" s="187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90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188"/>
      <c r="BM9" s="188"/>
      <c r="BN9" s="188"/>
      <c r="BO9" s="188"/>
      <c r="BP9" s="188"/>
      <c r="BQ9" s="188"/>
      <c r="BR9" s="188"/>
      <c r="BS9" s="188"/>
      <c r="BT9" s="188"/>
      <c r="BU9" s="188"/>
      <c r="BV9" s="188"/>
      <c r="BW9" s="188"/>
      <c r="BX9" s="188"/>
      <c r="BY9" s="188"/>
      <c r="BZ9" s="188"/>
      <c r="CA9" s="188"/>
      <c r="CB9" s="189"/>
      <c r="CH9" s="79"/>
    </row>
    <row r="10" spans="1:86" s="77" customFormat="1" ht="15.75" customHeight="1">
      <c r="A10" s="78"/>
      <c r="D10" s="634">
        <v>80</v>
      </c>
      <c r="E10" s="635"/>
      <c r="F10" s="635"/>
      <c r="G10" s="636"/>
      <c r="H10" s="137" t="s">
        <v>207</v>
      </c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58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2"/>
      <c r="CH10" s="79"/>
    </row>
    <row r="11" spans="1:86" s="77" customFormat="1" ht="15.75" customHeight="1">
      <c r="A11" s="78"/>
      <c r="D11" s="85"/>
      <c r="E11" s="86"/>
      <c r="F11" s="86"/>
      <c r="G11" s="87"/>
      <c r="H11" s="85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101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7"/>
      <c r="CH11" s="79"/>
    </row>
    <row r="12" spans="1:86" s="77" customFormat="1" ht="15.75" customHeight="1">
      <c r="A12" s="78"/>
      <c r="T12" s="100"/>
      <c r="CH12" s="79"/>
    </row>
    <row r="13" spans="1:86" s="77" customFormat="1" ht="15.75" customHeight="1">
      <c r="A13" s="78"/>
      <c r="C13" s="77" t="s">
        <v>164</v>
      </c>
      <c r="T13" s="100"/>
      <c r="CH13" s="79"/>
    </row>
    <row r="14" spans="1:86" s="77" customFormat="1" ht="15.75" customHeight="1">
      <c r="A14" s="78"/>
      <c r="D14" s="99" t="s">
        <v>165</v>
      </c>
      <c r="E14" s="77" t="s">
        <v>375</v>
      </c>
      <c r="T14" s="100"/>
      <c r="CH14" s="79"/>
    </row>
    <row r="15" spans="1:86" s="77" customFormat="1" ht="15.75" customHeight="1">
      <c r="A15" s="78"/>
      <c r="T15" s="100"/>
      <c r="CH15" s="79"/>
    </row>
    <row r="16" spans="1:86" s="77" customFormat="1" ht="15.75" customHeight="1">
      <c r="A16" s="78"/>
      <c r="C16" s="77" t="s">
        <v>167</v>
      </c>
      <c r="T16" s="100"/>
      <c r="CH16" s="79"/>
    </row>
    <row r="17" spans="1:86" s="77" customFormat="1" ht="15.75" customHeight="1">
      <c r="A17" s="78"/>
      <c r="D17" s="99" t="s">
        <v>165</v>
      </c>
      <c r="E17" s="77" t="s">
        <v>380</v>
      </c>
      <c r="T17" s="100"/>
      <c r="CH17" s="79"/>
    </row>
    <row r="18" spans="1:86" s="77" customFormat="1" ht="15.75" customHeight="1">
      <c r="A18" s="78"/>
      <c r="D18" s="99" t="s">
        <v>166</v>
      </c>
      <c r="E18" s="77" t="s">
        <v>381</v>
      </c>
      <c r="T18" s="100"/>
      <c r="CH18" s="79"/>
    </row>
    <row r="19" spans="1:86" s="77" customFormat="1" ht="15.75" customHeight="1">
      <c r="A19" s="78"/>
      <c r="E19" s="99"/>
      <c r="Q19" s="100"/>
      <c r="CH19" s="79"/>
    </row>
    <row r="20" spans="1:86" s="77" customFormat="1" ht="15.75" customHeight="1">
      <c r="A20" s="78"/>
      <c r="C20" s="77" t="s">
        <v>168</v>
      </c>
      <c r="AE20" s="98"/>
      <c r="CH20" s="79"/>
    </row>
    <row r="21" spans="1:86" s="77" customFormat="1" ht="15.75" customHeight="1">
      <c r="A21" s="78"/>
      <c r="D21" s="77" t="s">
        <v>170</v>
      </c>
      <c r="E21" s="77" t="s">
        <v>208</v>
      </c>
      <c r="F21" s="102"/>
      <c r="AE21" s="98"/>
      <c r="CH21" s="79"/>
    </row>
    <row r="22" spans="1:86" s="77" customFormat="1" ht="15.75" customHeight="1">
      <c r="A22" s="78"/>
      <c r="F22" s="76"/>
      <c r="AE22" s="98"/>
      <c r="CH22" s="79"/>
    </row>
    <row r="23" spans="1:86" s="77" customFormat="1" ht="15.6" customHeight="1">
      <c r="A23" s="78"/>
      <c r="C23" s="77" t="s">
        <v>169</v>
      </c>
      <c r="CH23" s="79"/>
    </row>
    <row r="24" spans="1:86" s="77" customFormat="1" ht="15.75" customHeight="1">
      <c r="A24" s="78"/>
      <c r="D24" s="77" t="s">
        <v>170</v>
      </c>
      <c r="E24" s="77" t="s">
        <v>209</v>
      </c>
      <c r="AI24" s="98"/>
      <c r="AJ24" s="98"/>
      <c r="AK24" s="98"/>
      <c r="CH24" s="79"/>
    </row>
    <row r="25" spans="1:86" s="77" customFormat="1" ht="15.75" customHeight="1">
      <c r="A25" s="78"/>
      <c r="F25" s="99"/>
      <c r="AH25" s="99"/>
      <c r="AK25" s="98"/>
      <c r="AL25"/>
      <c r="CH25" s="79"/>
    </row>
    <row r="26" spans="1:86" s="77" customFormat="1" ht="15.75" customHeight="1">
      <c r="A26" s="78"/>
      <c r="C26" s="77" t="s">
        <v>171</v>
      </c>
      <c r="O26" s="100"/>
      <c r="AC26" s="98"/>
      <c r="CH26" s="79"/>
    </row>
    <row r="27" spans="1:86" s="77" customFormat="1" ht="15.75" customHeight="1">
      <c r="A27" s="78"/>
      <c r="D27" s="182" t="s">
        <v>170</v>
      </c>
      <c r="E27" s="77" t="s">
        <v>376</v>
      </c>
      <c r="O27" s="100"/>
      <c r="CH27" s="79"/>
    </row>
    <row r="28" spans="1:86" s="77" customFormat="1" ht="15.75" customHeight="1">
      <c r="A28" s="78"/>
      <c r="F28" s="99"/>
      <c r="O28" s="100"/>
      <c r="CH28" s="79"/>
    </row>
    <row r="29" spans="1:86" s="77" customFormat="1" ht="15.75" customHeight="1">
      <c r="A29" s="78"/>
      <c r="C29" s="77" t="s">
        <v>172</v>
      </c>
      <c r="F29" s="99"/>
      <c r="O29" s="100"/>
      <c r="CH29" s="79"/>
    </row>
    <row r="30" spans="1:86" s="77" customFormat="1" ht="15.75" customHeight="1">
      <c r="A30" s="78"/>
      <c r="D30" s="77" t="s">
        <v>173</v>
      </c>
      <c r="E30" s="77" t="s">
        <v>382</v>
      </c>
      <c r="O30" s="100"/>
      <c r="CH30" s="79"/>
    </row>
    <row r="31" spans="1:86" s="77" customFormat="1" ht="15.75" customHeight="1">
      <c r="A31" s="78"/>
      <c r="O31" s="100"/>
      <c r="CH31" s="79"/>
    </row>
    <row r="32" spans="1:86" s="77" customFormat="1" ht="15.75" customHeight="1">
      <c r="A32" s="78"/>
      <c r="C32" s="77" t="s">
        <v>174</v>
      </c>
      <c r="O32" s="100"/>
      <c r="CH32" s="79"/>
    </row>
    <row r="33" spans="1:86" s="77" customFormat="1" ht="15.75" customHeight="1">
      <c r="A33" s="78"/>
      <c r="D33" s="77" t="s">
        <v>170</v>
      </c>
      <c r="E33" s="77" t="s">
        <v>377</v>
      </c>
      <c r="O33" s="100"/>
      <c r="AS33" s="99"/>
      <c r="CH33" s="79"/>
    </row>
    <row r="34" spans="1:86" s="77" customFormat="1" ht="15.75" customHeight="1">
      <c r="A34" s="78"/>
      <c r="D34" s="77" t="s">
        <v>378</v>
      </c>
      <c r="CH34" s="79"/>
    </row>
    <row r="35" spans="1:86" s="77" customFormat="1" ht="15.75" customHeight="1">
      <c r="A35" s="78"/>
      <c r="CH35" s="79"/>
    </row>
    <row r="36" spans="1:86" s="77" customFormat="1" ht="15.75" customHeight="1">
      <c r="A36" s="78"/>
      <c r="C36" s="77" t="s">
        <v>175</v>
      </c>
      <c r="O36" s="100"/>
      <c r="CH36" s="79"/>
    </row>
    <row r="37" spans="1:86" s="77" customFormat="1" ht="15.75" customHeight="1">
      <c r="A37" s="78"/>
      <c r="D37" s="77" t="s">
        <v>170</v>
      </c>
      <c r="E37" s="77" t="s">
        <v>350</v>
      </c>
      <c r="O37" s="100"/>
      <c r="CH37" s="79"/>
    </row>
    <row r="38" spans="1:86" s="77" customFormat="1" ht="15.75" customHeight="1">
      <c r="A38" s="78"/>
      <c r="D38" s="77" t="s">
        <v>170</v>
      </c>
      <c r="E38" s="77" t="s">
        <v>210</v>
      </c>
      <c r="F38" s="99"/>
      <c r="O38" s="100"/>
      <c r="AN38" s="99"/>
      <c r="CH38" s="79"/>
    </row>
    <row r="39" spans="1:86" s="77" customFormat="1" ht="15.75" customHeight="1">
      <c r="A39" s="78"/>
      <c r="O39" s="100"/>
      <c r="AN39" s="99"/>
      <c r="CH39" s="79"/>
    </row>
    <row r="40" spans="1:86" s="77" customFormat="1" ht="15.75" customHeight="1">
      <c r="A40" s="78"/>
      <c r="C40" s="77" t="s">
        <v>176</v>
      </c>
      <c r="O40" s="100"/>
      <c r="AN40" s="99"/>
      <c r="CH40" s="79"/>
    </row>
    <row r="41" spans="1:86" s="77" customFormat="1" ht="15.75" customHeight="1">
      <c r="A41" s="78"/>
      <c r="D41" s="77" t="s">
        <v>170</v>
      </c>
      <c r="E41" s="77" t="s">
        <v>379</v>
      </c>
      <c r="O41" s="100"/>
      <c r="AN41" s="99"/>
      <c r="CH41" s="79"/>
    </row>
    <row r="42" spans="1:86" s="77" customFormat="1" ht="15.75" customHeight="1">
      <c r="A42" s="78"/>
      <c r="O42" s="100"/>
      <c r="AN42" s="99"/>
      <c r="CH42" s="79"/>
    </row>
    <row r="43" spans="1:86" s="77" customFormat="1" ht="15.75" customHeight="1">
      <c r="A43" s="78"/>
      <c r="C43" s="77" t="s">
        <v>177</v>
      </c>
      <c r="O43" s="100"/>
      <c r="CH43" s="79"/>
    </row>
    <row r="44" spans="1:86" s="77" customFormat="1" ht="15.75" customHeight="1">
      <c r="A44" s="78"/>
      <c r="D44" s="77" t="s">
        <v>170</v>
      </c>
      <c r="E44" s="77" t="s">
        <v>377</v>
      </c>
      <c r="Q44" s="100"/>
      <c r="CH44" s="79"/>
    </row>
    <row r="45" spans="1:86" s="77" customFormat="1" ht="15.75" customHeight="1" thickBot="1">
      <c r="A45" s="80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159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81"/>
    </row>
    <row r="46" spans="1:86" s="77" customFormat="1" ht="15.75" customHeight="1">
      <c r="C46" s="76"/>
      <c r="D46" s="76"/>
      <c r="E46" s="76"/>
      <c r="J46" s="76"/>
      <c r="Q46" s="100"/>
    </row>
    <row r="47" spans="1:86" s="77" customFormat="1" ht="15.75" customHeight="1">
      <c r="C47" s="76"/>
      <c r="D47" s="76"/>
      <c r="E47" s="76"/>
      <c r="J47" s="76"/>
      <c r="Q47" s="100"/>
    </row>
  </sheetData>
  <mergeCells count="22"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D10:G10"/>
    <mergeCell ref="A1:N3"/>
    <mergeCell ref="O1:AB1"/>
    <mergeCell ref="AC1:AI1"/>
    <mergeCell ref="O2:AB2"/>
    <mergeCell ref="AC2:AI2"/>
  </mergeCells>
  <phoneticPr fontId="8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N69"/>
  <sheetViews>
    <sheetView showGridLines="0" showZeros="0" view="pageBreakPreview" topLeftCell="A5" zoomScaleNormal="100" zoomScaleSheetLayoutView="100" workbookViewId="0">
      <selection activeCell="BS33" sqref="BS33"/>
    </sheetView>
  </sheetViews>
  <sheetFormatPr defaultColWidth="2.25" defaultRowHeight="12" customHeight="1"/>
  <cols>
    <col min="1" max="2" width="2.125" style="14" customWidth="1"/>
    <col min="3" max="3" width="2.375" style="14" customWidth="1"/>
    <col min="4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25" style="14"/>
  </cols>
  <sheetData>
    <row r="1" spans="1:63" s="1" customFormat="1" ht="15.75" customHeight="1">
      <c r="A1" s="678" t="str">
        <f>表紙!A54</f>
        <v>Webシステム</v>
      </c>
      <c r="B1" s="679"/>
      <c r="C1" s="679"/>
      <c r="D1" s="679"/>
      <c r="E1" s="679"/>
      <c r="F1" s="679"/>
      <c r="G1" s="679"/>
      <c r="H1" s="679"/>
      <c r="I1" s="679"/>
      <c r="J1" s="680"/>
      <c r="K1" s="722" t="s">
        <v>128</v>
      </c>
      <c r="L1" s="723"/>
      <c r="M1" s="723"/>
      <c r="N1" s="723"/>
      <c r="O1" s="723"/>
      <c r="P1" s="723"/>
      <c r="Q1" s="723"/>
      <c r="R1" s="723"/>
      <c r="S1" s="723"/>
      <c r="T1" s="724"/>
      <c r="U1" s="725" t="s">
        <v>142</v>
      </c>
      <c r="V1" s="726"/>
      <c r="W1" s="726"/>
      <c r="X1" s="726"/>
      <c r="Y1" s="727"/>
      <c r="Z1" s="728" t="str">
        <f>表紙!$AJ$63</f>
        <v>MS</v>
      </c>
      <c r="AA1" s="729"/>
      <c r="AB1" s="729"/>
      <c r="AC1" s="729"/>
      <c r="AD1" s="730"/>
      <c r="AE1" s="737" t="s">
        <v>131</v>
      </c>
      <c r="AF1" s="689"/>
      <c r="AG1" s="689"/>
      <c r="AH1" s="689"/>
      <c r="AI1" s="690"/>
      <c r="AJ1" s="675" t="str">
        <f>表紙!$AX$63</f>
        <v>Webシステム</v>
      </c>
      <c r="AK1" s="676"/>
      <c r="AL1" s="676"/>
      <c r="AM1" s="676"/>
      <c r="AN1" s="676"/>
      <c r="AO1" s="676"/>
      <c r="AP1" s="676"/>
      <c r="AQ1" s="676"/>
      <c r="AR1" s="677"/>
      <c r="AS1" s="687" t="s">
        <v>101</v>
      </c>
      <c r="AT1" s="687"/>
      <c r="AU1" s="687"/>
      <c r="AV1" s="687"/>
      <c r="AW1" s="687"/>
      <c r="AX1" s="687"/>
      <c r="AY1" s="687"/>
      <c r="AZ1" s="688" t="s">
        <v>122</v>
      </c>
      <c r="BA1" s="689"/>
      <c r="BB1" s="689"/>
      <c r="BC1" s="689"/>
      <c r="BD1" s="689"/>
      <c r="BE1" s="690"/>
      <c r="BF1" s="688" t="s">
        <v>143</v>
      </c>
      <c r="BG1" s="689"/>
      <c r="BH1" s="689"/>
      <c r="BI1" s="689"/>
      <c r="BJ1" s="689"/>
      <c r="BK1" s="691"/>
    </row>
    <row r="2" spans="1:63" s="1" customFormat="1" ht="15.75" customHeight="1">
      <c r="A2" s="681"/>
      <c r="B2" s="682"/>
      <c r="C2" s="682"/>
      <c r="D2" s="682"/>
      <c r="E2" s="682"/>
      <c r="F2" s="682"/>
      <c r="G2" s="682"/>
      <c r="H2" s="682"/>
      <c r="I2" s="682"/>
      <c r="J2" s="683"/>
      <c r="K2" s="692" t="str">
        <f>表紙!O64</f>
        <v>アドオン設計書</v>
      </c>
      <c r="L2" s="693"/>
      <c r="M2" s="693"/>
      <c r="N2" s="693"/>
      <c r="O2" s="693"/>
      <c r="P2" s="693"/>
      <c r="Q2" s="693"/>
      <c r="R2" s="693"/>
      <c r="S2" s="693"/>
      <c r="T2" s="694"/>
      <c r="U2" s="695" t="s">
        <v>144</v>
      </c>
      <c r="V2" s="696"/>
      <c r="W2" s="696"/>
      <c r="X2" s="696"/>
      <c r="Y2" s="697"/>
      <c r="Z2" s="731" t="str">
        <f>表紙!$AJ$64</f>
        <v>MSBB</v>
      </c>
      <c r="AA2" s="732"/>
      <c r="AB2" s="732"/>
      <c r="AC2" s="732"/>
      <c r="AD2" s="733"/>
      <c r="AE2" s="734" t="s">
        <v>136</v>
      </c>
      <c r="AF2" s="735"/>
      <c r="AG2" s="735"/>
      <c r="AH2" s="735"/>
      <c r="AI2" s="736"/>
      <c r="AJ2" s="714" t="str">
        <f>表紙!$AX$64</f>
        <v>販売Webシステム</v>
      </c>
      <c r="AK2" s="715"/>
      <c r="AL2" s="715"/>
      <c r="AM2" s="715"/>
      <c r="AN2" s="715"/>
      <c r="AO2" s="715"/>
      <c r="AP2" s="715"/>
      <c r="AQ2" s="715"/>
      <c r="AR2" s="716"/>
      <c r="AS2" s="717" t="str">
        <f>表紙!$BL$64</f>
        <v>972501-0-0001</v>
      </c>
      <c r="AT2" s="718"/>
      <c r="AU2" s="718"/>
      <c r="AV2" s="718"/>
      <c r="AW2" s="718"/>
      <c r="AX2" s="718"/>
      <c r="AY2" s="718"/>
      <c r="AZ2" s="720" t="str">
        <f>表紙!$BU$64</f>
        <v>7.0.2</v>
      </c>
      <c r="BA2" s="693"/>
      <c r="BB2" s="693"/>
      <c r="BC2" s="693"/>
      <c r="BD2" s="693"/>
      <c r="BE2" s="694"/>
      <c r="BF2" s="698">
        <f>表紙!$CB$64</f>
        <v>1</v>
      </c>
      <c r="BG2" s="693"/>
      <c r="BH2" s="693"/>
      <c r="BI2" s="693"/>
      <c r="BJ2" s="693"/>
      <c r="BK2" s="699"/>
    </row>
    <row r="3" spans="1:63" s="1" customFormat="1" ht="15.75" customHeight="1" thickBot="1">
      <c r="A3" s="684"/>
      <c r="B3" s="685"/>
      <c r="C3" s="685"/>
      <c r="D3" s="685"/>
      <c r="E3" s="685"/>
      <c r="F3" s="685"/>
      <c r="G3" s="685"/>
      <c r="H3" s="685"/>
      <c r="I3" s="685"/>
      <c r="J3" s="686"/>
      <c r="K3" s="703" t="str">
        <f ca="1">RIGHT(CELL("filename",$A$1),LEN(CELL("filename",$A$1))-FIND("]",CELL("filename",$A$1)))</f>
        <v>帳票イメージ</v>
      </c>
      <c r="L3" s="704"/>
      <c r="M3" s="704"/>
      <c r="N3" s="704"/>
      <c r="O3" s="704"/>
      <c r="P3" s="704"/>
      <c r="Q3" s="704"/>
      <c r="R3" s="704"/>
      <c r="S3" s="704"/>
      <c r="T3" s="705"/>
      <c r="U3" s="706" t="s">
        <v>140</v>
      </c>
      <c r="V3" s="707"/>
      <c r="W3" s="707"/>
      <c r="X3" s="707"/>
      <c r="Y3" s="708"/>
      <c r="Z3" s="709" t="str">
        <f>表紙!$AJ$65</f>
        <v>MSBBRA050</v>
      </c>
      <c r="AA3" s="710"/>
      <c r="AB3" s="710"/>
      <c r="AC3" s="710"/>
      <c r="AD3" s="710"/>
      <c r="AE3" s="711" t="str">
        <f>表紙!$AQ$65</f>
        <v>受注伝票</v>
      </c>
      <c r="AF3" s="712"/>
      <c r="AG3" s="712"/>
      <c r="AH3" s="712"/>
      <c r="AI3" s="712"/>
      <c r="AJ3" s="712"/>
      <c r="AK3" s="712"/>
      <c r="AL3" s="712"/>
      <c r="AM3" s="712"/>
      <c r="AN3" s="712"/>
      <c r="AO3" s="712"/>
      <c r="AP3" s="712"/>
      <c r="AQ3" s="712"/>
      <c r="AR3" s="713"/>
      <c r="AS3" s="719"/>
      <c r="AT3" s="719"/>
      <c r="AU3" s="719"/>
      <c r="AV3" s="719"/>
      <c r="AW3" s="719"/>
      <c r="AX3" s="719"/>
      <c r="AY3" s="719"/>
      <c r="AZ3" s="700"/>
      <c r="BA3" s="701"/>
      <c r="BB3" s="701"/>
      <c r="BC3" s="701"/>
      <c r="BD3" s="701"/>
      <c r="BE3" s="721"/>
      <c r="BF3" s="700"/>
      <c r="BG3" s="701"/>
      <c r="BH3" s="701"/>
      <c r="BI3" s="701"/>
      <c r="BJ3" s="701"/>
      <c r="BK3" s="702"/>
    </row>
    <row r="4" spans="1:63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63" s="1" customFormat="1" ht="15.75" customHeight="1">
      <c r="A5" s="672" t="s">
        <v>178</v>
      </c>
      <c r="B5" s="673"/>
      <c r="C5" s="673"/>
      <c r="D5" s="673"/>
      <c r="E5" s="673"/>
      <c r="F5" s="673"/>
      <c r="G5" s="673"/>
      <c r="H5" s="673"/>
      <c r="I5" s="673"/>
      <c r="J5" s="673"/>
      <c r="K5" s="673"/>
      <c r="L5" s="673"/>
      <c r="M5" s="673"/>
      <c r="N5" s="673"/>
      <c r="O5" s="673"/>
      <c r="P5" s="673"/>
      <c r="Q5" s="673"/>
      <c r="R5" s="673"/>
      <c r="S5" s="673"/>
      <c r="T5" s="673"/>
      <c r="U5" s="673"/>
      <c r="V5" s="673"/>
      <c r="W5" s="673"/>
      <c r="X5" s="673"/>
      <c r="Y5" s="673"/>
      <c r="Z5" s="673"/>
      <c r="AA5" s="673"/>
      <c r="AB5" s="673"/>
      <c r="AC5" s="673"/>
      <c r="AD5" s="673"/>
      <c r="AE5" s="673"/>
      <c r="AF5" s="673"/>
      <c r="AG5" s="673"/>
      <c r="AH5" s="673"/>
      <c r="AI5" s="673"/>
      <c r="AJ5" s="673"/>
      <c r="AK5" s="673"/>
      <c r="AL5" s="673"/>
      <c r="AM5" s="673"/>
      <c r="AN5" s="673"/>
      <c r="AO5" s="673"/>
      <c r="AP5" s="673"/>
      <c r="AQ5" s="673"/>
      <c r="AR5" s="673"/>
      <c r="AS5" s="673"/>
      <c r="AT5" s="673"/>
      <c r="AU5" s="673"/>
      <c r="AV5" s="673"/>
      <c r="AW5" s="673"/>
      <c r="AX5" s="673"/>
      <c r="AY5" s="673"/>
      <c r="AZ5" s="673"/>
      <c r="BA5" s="673"/>
      <c r="BB5" s="673"/>
      <c r="BC5" s="673"/>
      <c r="BD5" s="673"/>
      <c r="BE5" s="673"/>
      <c r="BF5" s="673"/>
      <c r="BG5" s="673"/>
      <c r="BH5" s="673"/>
      <c r="BI5" s="673"/>
      <c r="BJ5" s="673"/>
      <c r="BK5" s="674"/>
    </row>
    <row r="6" spans="1:63" s="88" customFormat="1" ht="15.75" customHeight="1">
      <c r="A6" s="209"/>
      <c r="B6" s="210"/>
      <c r="C6" s="211"/>
      <c r="D6" s="209"/>
      <c r="E6" s="209"/>
      <c r="F6" s="212"/>
      <c r="G6" s="212"/>
      <c r="H6" s="212"/>
      <c r="I6" s="212"/>
      <c r="J6" s="213"/>
      <c r="K6" s="212"/>
      <c r="L6" s="212"/>
      <c r="M6" s="212"/>
      <c r="N6" s="212"/>
      <c r="O6" s="212"/>
      <c r="P6" s="212"/>
      <c r="Q6" s="214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</row>
    <row r="7" spans="1:63" s="88" customFormat="1" ht="15.75" customHeight="1">
      <c r="A7" s="209"/>
      <c r="B7" s="210"/>
      <c r="E7" s="215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8"/>
      <c r="BB7" s="217"/>
      <c r="BC7" s="218"/>
      <c r="BD7" s="217"/>
      <c r="BE7" s="218"/>
      <c r="BF7" s="217"/>
      <c r="BG7" s="217"/>
      <c r="BH7" s="209"/>
      <c r="BI7" s="209"/>
      <c r="BJ7" s="209"/>
      <c r="BK7" s="209"/>
    </row>
    <row r="8" spans="1:63" s="88" customFormat="1" ht="15.75" customHeight="1">
      <c r="A8" s="209"/>
      <c r="B8" s="210"/>
      <c r="E8" s="215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7"/>
      <c r="AP8" s="217"/>
      <c r="AQ8" s="217"/>
      <c r="AR8" s="217"/>
      <c r="AS8" s="217"/>
      <c r="AT8" s="217"/>
      <c r="AU8" s="217"/>
      <c r="AV8" s="217"/>
      <c r="AW8" s="217"/>
      <c r="AX8" s="217"/>
      <c r="AY8" s="217"/>
      <c r="AZ8" s="217"/>
      <c r="BA8" s="218"/>
      <c r="BB8" s="217"/>
      <c r="BC8" s="218"/>
      <c r="BD8" s="217"/>
      <c r="BE8" s="218"/>
      <c r="BF8" s="217"/>
      <c r="BG8" s="217" t="s">
        <v>326</v>
      </c>
      <c r="BH8" s="209"/>
      <c r="BI8" s="209"/>
      <c r="BJ8" s="209"/>
      <c r="BK8" s="209"/>
    </row>
    <row r="9" spans="1:63" s="88" customFormat="1" ht="15.75" customHeight="1">
      <c r="A9" s="209"/>
      <c r="B9" s="210"/>
      <c r="E9" s="215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217"/>
      <c r="AU9" s="217"/>
      <c r="AV9" s="217"/>
      <c r="AW9" s="217"/>
      <c r="AX9" s="217"/>
      <c r="AY9" s="217"/>
      <c r="AZ9" s="217"/>
      <c r="BA9" s="218"/>
      <c r="BB9" s="217"/>
      <c r="BC9" s="218"/>
      <c r="BD9" s="217"/>
      <c r="BE9" s="218"/>
      <c r="BF9" s="217"/>
      <c r="BG9" s="217" t="s">
        <v>327</v>
      </c>
      <c r="BH9" s="209"/>
      <c r="BI9" s="209"/>
      <c r="BJ9" s="209"/>
      <c r="BK9" s="209"/>
    </row>
    <row r="10" spans="1:63" s="88" customFormat="1" ht="15.75" customHeight="1">
      <c r="A10" s="209"/>
      <c r="B10" s="210"/>
      <c r="E10" s="215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  <c r="AV10" s="217"/>
      <c r="AW10" s="217"/>
      <c r="AX10" s="217"/>
      <c r="AY10" s="217"/>
      <c r="AZ10" s="217"/>
      <c r="BA10" s="218"/>
      <c r="BB10" s="217"/>
      <c r="BC10" s="218"/>
      <c r="BD10" s="217"/>
      <c r="BE10" s="218"/>
      <c r="BF10" s="217"/>
      <c r="BG10" s="217" t="s">
        <v>328</v>
      </c>
      <c r="BH10" s="209"/>
      <c r="BI10" s="209"/>
      <c r="BJ10" s="209"/>
      <c r="BK10" s="209"/>
    </row>
    <row r="11" spans="1:63" s="88" customFormat="1" ht="15.75" customHeight="1">
      <c r="A11" s="209"/>
      <c r="B11" s="210"/>
      <c r="E11" s="215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8"/>
      <c r="BB11" s="217"/>
      <c r="BC11" s="218"/>
      <c r="BD11" s="217"/>
      <c r="BE11" s="218"/>
      <c r="BF11" s="217"/>
      <c r="BG11" s="217"/>
      <c r="BH11" s="209"/>
      <c r="BI11" s="209"/>
      <c r="BJ11" s="209"/>
      <c r="BK11" s="209"/>
    </row>
    <row r="12" spans="1:63" s="88" customFormat="1" ht="15.75" customHeight="1">
      <c r="A12" s="209"/>
      <c r="B12" s="210"/>
      <c r="E12" s="215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8"/>
      <c r="BB12" s="217"/>
      <c r="BC12" s="218"/>
      <c r="BD12" s="217"/>
      <c r="BE12" s="218"/>
      <c r="BF12" s="217"/>
      <c r="BG12" s="217"/>
      <c r="BH12" s="209"/>
      <c r="BI12" s="209"/>
      <c r="BJ12" s="209"/>
      <c r="BK12" s="209"/>
    </row>
    <row r="13" spans="1:63" s="88" customFormat="1" ht="15.75" customHeight="1">
      <c r="A13" s="209"/>
      <c r="B13" s="210"/>
      <c r="E13" s="215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8"/>
      <c r="BB13" s="217"/>
      <c r="BC13" s="218"/>
      <c r="BD13" s="217"/>
      <c r="BE13" s="218"/>
      <c r="BF13" s="217"/>
      <c r="BG13" s="217"/>
      <c r="BH13" s="209"/>
      <c r="BI13" s="209"/>
      <c r="BJ13" s="209"/>
      <c r="BK13" s="209"/>
    </row>
    <row r="14" spans="1:63" s="88" customFormat="1" ht="15.75" customHeight="1">
      <c r="A14" s="209"/>
      <c r="B14" s="210"/>
      <c r="E14" s="215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8"/>
      <c r="BB14" s="217"/>
      <c r="BC14" s="218"/>
      <c r="BD14" s="217"/>
      <c r="BE14" s="218"/>
      <c r="BF14" s="217"/>
      <c r="BG14" s="217"/>
      <c r="BH14" s="209"/>
      <c r="BI14" s="209"/>
      <c r="BJ14" s="209"/>
      <c r="BK14" s="209"/>
    </row>
    <row r="15" spans="1:63" s="88" customFormat="1" ht="15.75" customHeight="1">
      <c r="A15" s="209"/>
      <c r="B15" s="210"/>
      <c r="E15" s="215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8"/>
      <c r="BB15" s="217"/>
      <c r="BC15" s="218"/>
      <c r="BD15" s="217"/>
      <c r="BE15" s="218"/>
      <c r="BF15" s="217"/>
      <c r="BG15" s="217"/>
      <c r="BH15" s="209"/>
      <c r="BI15" s="209"/>
      <c r="BJ15" s="209"/>
      <c r="BK15" s="209"/>
    </row>
    <row r="16" spans="1:63" s="88" customFormat="1" ht="15.75" customHeight="1">
      <c r="A16" s="209"/>
      <c r="B16" s="210"/>
      <c r="E16" s="215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8"/>
      <c r="BB16" s="217"/>
      <c r="BC16" s="218"/>
      <c r="BD16" s="217"/>
      <c r="BE16" s="218"/>
      <c r="BF16" s="217"/>
      <c r="BG16" s="217"/>
      <c r="BH16" s="209"/>
      <c r="BI16" s="209"/>
      <c r="BJ16" s="209"/>
      <c r="BK16" s="209"/>
    </row>
    <row r="17" spans="1:66" s="88" customFormat="1" ht="15.75" customHeight="1">
      <c r="A17" s="209"/>
      <c r="B17" s="210"/>
      <c r="E17" s="215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8"/>
      <c r="BB17" s="217"/>
      <c r="BC17" s="218"/>
      <c r="BD17" s="217"/>
      <c r="BE17" s="218"/>
      <c r="BF17" s="217"/>
      <c r="BG17" s="217"/>
      <c r="BH17" s="209"/>
      <c r="BI17" s="209"/>
      <c r="BJ17" s="209"/>
      <c r="BK17" s="209"/>
    </row>
    <row r="18" spans="1:66" s="88" customFormat="1" ht="15.75" customHeight="1">
      <c r="A18" s="209"/>
      <c r="B18" s="210"/>
      <c r="E18" s="215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7"/>
      <c r="AY18" s="217"/>
      <c r="AZ18" s="217"/>
      <c r="BA18" s="218"/>
      <c r="BB18" s="217"/>
      <c r="BC18" s="218"/>
      <c r="BD18" s="217"/>
      <c r="BE18" s="218"/>
      <c r="BF18" s="217"/>
      <c r="BG18" s="217"/>
      <c r="BH18" s="209"/>
      <c r="BI18" s="209"/>
      <c r="BJ18" s="209"/>
      <c r="BK18" s="209"/>
    </row>
    <row r="19" spans="1:66" s="88" customFormat="1" ht="15.75" customHeight="1">
      <c r="A19" s="209"/>
      <c r="B19" s="210"/>
      <c r="E19" s="215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8"/>
      <c r="BB19" s="217"/>
      <c r="BC19" s="218"/>
      <c r="BD19" s="217"/>
      <c r="BE19" s="218"/>
      <c r="BF19" s="217"/>
      <c r="BG19" s="217"/>
      <c r="BH19" s="209"/>
      <c r="BI19" s="209"/>
      <c r="BJ19" s="209"/>
      <c r="BK19" s="209"/>
    </row>
    <row r="20" spans="1:66" s="88" customFormat="1" ht="15.75" customHeight="1">
      <c r="A20" s="209"/>
      <c r="B20" s="210"/>
      <c r="E20" s="215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8"/>
      <c r="BB20" s="217"/>
      <c r="BC20" s="218"/>
      <c r="BD20" s="217"/>
      <c r="BE20" s="218"/>
      <c r="BF20" s="217"/>
      <c r="BG20" s="217"/>
      <c r="BH20" s="209"/>
      <c r="BI20" s="209"/>
      <c r="BJ20" s="209"/>
      <c r="BK20" s="209"/>
    </row>
    <row r="21" spans="1:66" s="88" customFormat="1" ht="15.75" customHeight="1">
      <c r="A21" s="209"/>
      <c r="B21" s="210"/>
      <c r="E21" s="215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8"/>
      <c r="BB21" s="217"/>
      <c r="BC21" s="218"/>
      <c r="BD21" s="217"/>
      <c r="BE21" s="218"/>
      <c r="BF21" s="217"/>
      <c r="BG21" s="217"/>
      <c r="BH21" s="209"/>
      <c r="BI21" s="209"/>
      <c r="BJ21" s="209"/>
      <c r="BK21" s="209"/>
    </row>
    <row r="22" spans="1:66" s="88" customFormat="1" ht="15.75" customHeight="1">
      <c r="A22" s="209"/>
      <c r="B22" s="210"/>
      <c r="E22" s="215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8"/>
      <c r="BB22" s="217"/>
      <c r="BC22" s="218"/>
      <c r="BD22" s="217"/>
      <c r="BE22" s="218"/>
      <c r="BF22" s="217"/>
      <c r="BG22" s="217"/>
      <c r="BH22" s="209"/>
      <c r="BI22" s="209"/>
      <c r="BJ22" s="209"/>
      <c r="BK22" s="209"/>
    </row>
    <row r="23" spans="1:66" s="88" customFormat="1" ht="15.75" customHeight="1">
      <c r="A23" s="209"/>
      <c r="B23" s="210"/>
      <c r="E23" s="215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8"/>
      <c r="BB23" s="217"/>
      <c r="BC23" s="218"/>
      <c r="BD23" s="217"/>
      <c r="BE23" s="218"/>
      <c r="BF23" s="217"/>
      <c r="BG23" s="217"/>
      <c r="BH23" s="209"/>
      <c r="BI23" s="209"/>
      <c r="BJ23" s="209"/>
      <c r="BK23" s="209"/>
    </row>
    <row r="24" spans="1:66" s="88" customFormat="1" ht="15.75" customHeight="1">
      <c r="A24" s="209"/>
      <c r="B24" s="210"/>
      <c r="E24" s="215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8"/>
      <c r="BB24" s="217"/>
      <c r="BC24" s="218"/>
      <c r="BD24" s="217"/>
      <c r="BE24" s="218"/>
      <c r="BF24" s="217"/>
      <c r="BG24" s="217"/>
      <c r="BH24" s="209"/>
      <c r="BI24" s="209"/>
      <c r="BJ24" s="209"/>
      <c r="BK24" s="209"/>
      <c r="BN24" s="88" t="s">
        <v>366</v>
      </c>
    </row>
    <row r="25" spans="1:66" s="88" customFormat="1" ht="15.75" customHeight="1">
      <c r="A25" s="209"/>
      <c r="B25" s="210"/>
      <c r="E25" s="215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8"/>
      <c r="BB25" s="217"/>
      <c r="BC25" s="218"/>
      <c r="BD25" s="217"/>
      <c r="BE25" s="218"/>
      <c r="BF25" s="217"/>
      <c r="BG25" s="217"/>
      <c r="BH25" s="209"/>
      <c r="BI25" s="209"/>
      <c r="BJ25" s="209"/>
      <c r="BK25" s="209"/>
      <c r="BN25" s="88" t="s">
        <v>367</v>
      </c>
    </row>
    <row r="26" spans="1:66" s="88" customFormat="1" ht="15.75" customHeight="1">
      <c r="A26" s="209"/>
      <c r="B26" s="210"/>
      <c r="E26" s="215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8"/>
      <c r="BB26" s="217"/>
      <c r="BC26" s="218"/>
      <c r="BD26" s="217"/>
      <c r="BE26" s="218"/>
      <c r="BF26" s="217"/>
      <c r="BG26" s="217"/>
      <c r="BH26" s="209"/>
      <c r="BI26" s="209"/>
      <c r="BJ26" s="209"/>
      <c r="BK26" s="209"/>
      <c r="BN26" s="88" t="s">
        <v>368</v>
      </c>
    </row>
    <row r="27" spans="1:66" s="88" customFormat="1" ht="15.75" customHeight="1">
      <c r="A27" s="209"/>
      <c r="B27" s="210"/>
      <c r="E27" s="215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8"/>
      <c r="BB27" s="217"/>
      <c r="BC27" s="218"/>
      <c r="BD27" s="217"/>
      <c r="BE27" s="218"/>
      <c r="BF27" s="217"/>
      <c r="BG27" s="217"/>
      <c r="BH27" s="209"/>
      <c r="BI27" s="209"/>
      <c r="BJ27" s="209"/>
      <c r="BK27" s="209"/>
      <c r="BN27" s="88" t="s">
        <v>369</v>
      </c>
    </row>
    <row r="28" spans="1:66" s="88" customFormat="1" ht="15.75" customHeight="1">
      <c r="A28" s="209"/>
      <c r="B28" s="210"/>
      <c r="E28" s="215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8"/>
      <c r="BB28" s="217"/>
      <c r="BC28" s="218"/>
      <c r="BD28" s="217"/>
      <c r="BE28" s="218"/>
      <c r="BF28" s="217"/>
      <c r="BG28" s="217"/>
      <c r="BH28" s="209"/>
      <c r="BI28" s="209"/>
      <c r="BJ28" s="209"/>
      <c r="BK28" s="209"/>
    </row>
    <row r="29" spans="1:66" s="88" customFormat="1" ht="15.75" customHeight="1">
      <c r="A29" s="209"/>
      <c r="B29" s="210"/>
      <c r="E29" s="215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8"/>
      <c r="BB29" s="217"/>
      <c r="BC29" s="218"/>
      <c r="BD29" s="217"/>
      <c r="BE29" s="218"/>
      <c r="BF29" s="217"/>
      <c r="BG29" s="217"/>
      <c r="BH29" s="209"/>
      <c r="BI29" s="209"/>
      <c r="BJ29" s="209"/>
      <c r="BK29" s="209"/>
    </row>
    <row r="30" spans="1:66" s="88" customFormat="1" ht="15.75" customHeight="1">
      <c r="A30" s="209"/>
      <c r="B30" s="210"/>
      <c r="E30" s="215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8"/>
      <c r="BB30" s="217"/>
      <c r="BC30" s="218"/>
      <c r="BD30" s="217"/>
      <c r="BE30" s="218"/>
      <c r="BF30" s="217"/>
      <c r="BG30" s="217"/>
      <c r="BH30" s="209"/>
      <c r="BI30" s="209"/>
      <c r="BJ30" s="209"/>
      <c r="BK30" s="209"/>
    </row>
    <row r="31" spans="1:66" s="88" customFormat="1" ht="15.75" customHeight="1">
      <c r="A31" s="209"/>
      <c r="B31" s="210"/>
      <c r="E31" s="215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8"/>
      <c r="BB31" s="217"/>
      <c r="BC31" s="218"/>
      <c r="BD31" s="217"/>
      <c r="BE31" s="218"/>
      <c r="BF31" s="217"/>
      <c r="BG31" s="217"/>
      <c r="BH31" s="209"/>
      <c r="BI31" s="209"/>
      <c r="BJ31" s="209"/>
      <c r="BK31" s="209"/>
    </row>
    <row r="32" spans="1:66" s="88" customFormat="1" ht="15.75" customHeight="1">
      <c r="A32" s="209"/>
      <c r="B32" s="210"/>
      <c r="E32" s="215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8"/>
      <c r="BB32" s="217"/>
      <c r="BC32" s="218"/>
      <c r="BD32" s="217"/>
      <c r="BE32" s="218"/>
      <c r="BF32" s="217"/>
      <c r="BG32" s="217"/>
      <c r="BH32" s="209"/>
      <c r="BI32" s="209"/>
      <c r="BJ32" s="209"/>
      <c r="BK32" s="209"/>
    </row>
    <row r="33" spans="1:63" s="88" customFormat="1" ht="15.75" customHeight="1">
      <c r="A33" s="209"/>
      <c r="B33" s="210"/>
      <c r="E33" s="215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8"/>
      <c r="BB33" s="217"/>
      <c r="BC33" s="218"/>
      <c r="BD33" s="217"/>
      <c r="BE33" s="218"/>
      <c r="BF33" s="217"/>
      <c r="BG33" s="217"/>
      <c r="BH33" s="209"/>
      <c r="BI33" s="209"/>
      <c r="BJ33" s="209"/>
      <c r="BK33" s="209"/>
    </row>
    <row r="34" spans="1:63" s="88" customFormat="1" ht="15.75" customHeight="1">
      <c r="A34" s="209"/>
      <c r="B34" s="210"/>
      <c r="E34" s="215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8"/>
      <c r="BB34" s="217"/>
      <c r="BC34" s="218"/>
      <c r="BD34" s="217"/>
      <c r="BE34" s="218"/>
      <c r="BF34" s="217"/>
      <c r="BG34" s="217"/>
      <c r="BH34" s="209"/>
      <c r="BI34" s="209"/>
      <c r="BJ34" s="209"/>
      <c r="BK34" s="209"/>
    </row>
    <row r="35" spans="1:63" s="88" customFormat="1" ht="15.75" customHeight="1">
      <c r="A35" s="209"/>
      <c r="B35" s="210"/>
      <c r="E35" s="215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8"/>
      <c r="BB35" s="217"/>
      <c r="BC35" s="218"/>
      <c r="BD35" s="217"/>
      <c r="BE35" s="218"/>
      <c r="BF35" s="217"/>
      <c r="BG35" s="217"/>
      <c r="BH35" s="209"/>
      <c r="BI35" s="209"/>
      <c r="BJ35" s="209"/>
      <c r="BK35" s="209"/>
    </row>
    <row r="36" spans="1:63" s="88" customFormat="1" ht="15.75" customHeight="1">
      <c r="A36" s="209"/>
      <c r="B36" s="210"/>
      <c r="E36" s="215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8"/>
      <c r="BB36" s="217"/>
      <c r="BC36" s="218"/>
      <c r="BD36" s="217"/>
      <c r="BE36" s="218"/>
      <c r="BF36" s="217"/>
      <c r="BG36" s="217"/>
      <c r="BH36" s="209"/>
      <c r="BI36" s="209"/>
      <c r="BJ36" s="209"/>
      <c r="BK36" s="209"/>
    </row>
    <row r="37" spans="1:63" s="88" customFormat="1" ht="15.75" customHeight="1">
      <c r="A37" s="209"/>
      <c r="B37" s="210"/>
      <c r="E37" s="215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8"/>
      <c r="BB37" s="217"/>
      <c r="BC37" s="218"/>
      <c r="BD37" s="217"/>
      <c r="BE37" s="218"/>
      <c r="BF37" s="217"/>
      <c r="BG37" s="217"/>
      <c r="BH37" s="209"/>
      <c r="BI37" s="209"/>
      <c r="BJ37" s="209"/>
      <c r="BK37" s="209"/>
    </row>
    <row r="38" spans="1:63" s="88" customFormat="1" ht="15.75" customHeight="1">
      <c r="A38" s="209"/>
      <c r="B38" s="210"/>
      <c r="E38" s="215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7"/>
      <c r="AX38" s="217"/>
      <c r="AY38" s="217"/>
      <c r="AZ38" s="217"/>
      <c r="BA38" s="218"/>
      <c r="BB38" s="217"/>
      <c r="BC38" s="218"/>
      <c r="BD38" s="217"/>
      <c r="BE38" s="218"/>
      <c r="BF38" s="217"/>
      <c r="BG38" s="217"/>
      <c r="BH38" s="209"/>
      <c r="BI38" s="209"/>
      <c r="BJ38" s="209"/>
      <c r="BK38" s="209"/>
    </row>
    <row r="39" spans="1:63" s="88" customFormat="1" ht="15.75" customHeight="1">
      <c r="A39" s="209"/>
      <c r="B39" s="210"/>
      <c r="E39" s="89"/>
      <c r="F39" s="216"/>
      <c r="G39" s="77"/>
      <c r="H39" s="217"/>
      <c r="I39" s="77"/>
      <c r="J39" s="216"/>
      <c r="K39" s="216"/>
      <c r="L39" s="216"/>
      <c r="M39" s="77"/>
      <c r="N39" s="77"/>
      <c r="O39" s="77"/>
      <c r="P39" s="77"/>
      <c r="Q39" s="77"/>
      <c r="R39" s="77"/>
      <c r="S39" s="218"/>
      <c r="T39" s="217"/>
      <c r="U39" s="77"/>
      <c r="V39" s="77"/>
      <c r="W39" s="218"/>
      <c r="X39" s="77"/>
      <c r="Y39" s="77"/>
      <c r="Z39" s="217"/>
      <c r="AA39" s="77"/>
      <c r="AB39" s="216"/>
      <c r="AC39" s="216"/>
      <c r="AD39" s="216"/>
      <c r="AE39" s="77"/>
      <c r="AF39" s="77"/>
      <c r="AG39" s="77"/>
      <c r="AH39" s="77"/>
      <c r="AI39" s="77"/>
      <c r="AJ39" s="77"/>
      <c r="AK39" s="218"/>
      <c r="AL39" s="217"/>
      <c r="AM39" s="77"/>
      <c r="AN39" s="77"/>
      <c r="AO39" s="218"/>
      <c r="AP39" s="77"/>
      <c r="AQ39" s="77"/>
      <c r="AR39" s="218"/>
      <c r="AS39" s="218"/>
      <c r="AT39" s="77"/>
      <c r="AU39" s="77"/>
      <c r="AV39" s="218"/>
      <c r="AW39" s="218"/>
      <c r="AX39" s="218"/>
      <c r="AY39" s="218"/>
      <c r="AZ39" s="218"/>
      <c r="BA39" s="217"/>
      <c r="BB39" s="218"/>
      <c r="BC39" s="218"/>
      <c r="BD39" s="218"/>
      <c r="BE39" s="218"/>
      <c r="BF39" s="218"/>
      <c r="BG39" s="217"/>
      <c r="BH39" s="209"/>
      <c r="BI39" s="209"/>
      <c r="BJ39" s="209"/>
      <c r="BK39" s="209"/>
    </row>
    <row r="40" spans="1:63" s="88" customFormat="1" ht="15.75" customHeight="1">
      <c r="A40" s="209"/>
      <c r="B40" s="210"/>
      <c r="C40" s="213"/>
      <c r="D40" s="213"/>
      <c r="E40" s="89"/>
      <c r="F40" s="216"/>
      <c r="G40" s="218"/>
      <c r="H40" s="218"/>
      <c r="I40" s="218"/>
      <c r="J40" s="218"/>
      <c r="K40" s="219"/>
      <c r="L40" s="219"/>
      <c r="M40" s="219"/>
      <c r="N40" s="219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7"/>
      <c r="AA40" s="217"/>
      <c r="AB40" s="77"/>
      <c r="AC40" s="77"/>
      <c r="AD40" s="77"/>
      <c r="AE40" s="216"/>
      <c r="AF40" s="77"/>
      <c r="AG40" s="77"/>
      <c r="AH40" s="77"/>
      <c r="AI40" s="77"/>
      <c r="AJ40" s="77"/>
      <c r="AK40" s="218"/>
      <c r="AL40" s="218"/>
      <c r="AM40" s="77"/>
      <c r="AN40" s="77"/>
      <c r="AO40" s="77"/>
      <c r="AP40" s="77"/>
      <c r="AQ40" s="77"/>
      <c r="AR40" s="218"/>
      <c r="AS40" s="217"/>
      <c r="AT40" s="217"/>
      <c r="AU40" s="217"/>
      <c r="AV40" s="218"/>
      <c r="AW40" s="218"/>
      <c r="AX40" s="218"/>
      <c r="AY40" s="217"/>
      <c r="AZ40" s="218"/>
      <c r="BA40" s="217"/>
      <c r="BB40" s="218"/>
      <c r="BC40" s="218"/>
      <c r="BD40" s="218"/>
      <c r="BE40" s="218"/>
      <c r="BF40" s="218"/>
      <c r="BG40" s="217"/>
      <c r="BH40" s="209"/>
      <c r="BI40" s="209"/>
      <c r="BJ40" s="209"/>
      <c r="BK40" s="209"/>
    </row>
    <row r="41" spans="1:63" s="88" customFormat="1" ht="15.75" customHeight="1">
      <c r="A41" s="209"/>
      <c r="B41" s="210"/>
      <c r="C41" s="213"/>
      <c r="D41" s="213"/>
      <c r="E41" s="89"/>
      <c r="F41" s="216"/>
      <c r="G41" s="77"/>
      <c r="H41" s="77"/>
      <c r="I41" s="77"/>
      <c r="J41" s="216"/>
      <c r="K41" s="216"/>
      <c r="L41" s="77"/>
      <c r="M41" s="77"/>
      <c r="N41" s="77"/>
      <c r="O41" s="77"/>
      <c r="P41" s="77"/>
      <c r="Q41" s="218"/>
      <c r="R41" s="218"/>
      <c r="S41" s="77"/>
      <c r="T41" s="77"/>
      <c r="U41" s="77"/>
      <c r="V41" s="77"/>
      <c r="W41" s="77"/>
      <c r="X41" s="218"/>
      <c r="Y41" s="218"/>
      <c r="Z41" s="218"/>
      <c r="AA41" s="218"/>
      <c r="AB41" s="217"/>
      <c r="AC41" s="77"/>
      <c r="AD41" s="77"/>
      <c r="AE41" s="216"/>
      <c r="AF41" s="77"/>
      <c r="AG41" s="216"/>
      <c r="AH41" s="77"/>
      <c r="AI41" s="216"/>
      <c r="AJ41" s="77"/>
      <c r="AK41" s="216"/>
      <c r="AL41" s="77"/>
      <c r="AM41" s="216"/>
      <c r="AN41" s="77"/>
      <c r="AO41" s="216"/>
      <c r="AP41" s="77"/>
      <c r="AQ41" s="216"/>
      <c r="AR41" s="77"/>
      <c r="AS41" s="216"/>
      <c r="AT41" s="77"/>
      <c r="AU41" s="216"/>
      <c r="AV41" s="77"/>
      <c r="AW41" s="216"/>
      <c r="AX41" s="218"/>
      <c r="AY41" s="217"/>
      <c r="AZ41" s="218"/>
      <c r="BA41" s="217"/>
      <c r="BB41" s="218"/>
      <c r="BC41" s="218"/>
      <c r="BD41" s="218"/>
      <c r="BE41" s="218"/>
      <c r="BF41" s="218"/>
      <c r="BG41" s="217"/>
      <c r="BH41" s="209"/>
      <c r="BI41" s="209"/>
      <c r="BJ41" s="209"/>
      <c r="BK41" s="209"/>
    </row>
    <row r="42" spans="1:63" s="88" customFormat="1" ht="15.75" customHeight="1">
      <c r="A42" s="209"/>
      <c r="B42" s="210"/>
      <c r="C42" s="211"/>
      <c r="D42" s="209"/>
      <c r="E42" s="89"/>
      <c r="F42" s="216"/>
      <c r="G42" s="77"/>
      <c r="H42" s="217"/>
      <c r="I42" s="77"/>
      <c r="J42" s="216"/>
      <c r="K42" s="216"/>
      <c r="L42" s="77"/>
      <c r="M42" s="77"/>
      <c r="N42" s="77"/>
      <c r="O42" s="77"/>
      <c r="P42" s="77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7"/>
      <c r="AB42" s="217"/>
      <c r="AC42" s="77"/>
      <c r="AD42" s="217"/>
      <c r="AE42" s="77"/>
      <c r="AF42" s="216"/>
      <c r="AG42" s="217"/>
      <c r="AH42" s="77"/>
      <c r="AI42" s="217"/>
      <c r="AJ42" s="77"/>
      <c r="AK42" s="217"/>
      <c r="AL42" s="77"/>
      <c r="AM42" s="217"/>
      <c r="AN42" s="77"/>
      <c r="AO42" s="217"/>
      <c r="AP42" s="77"/>
      <c r="AQ42" s="217"/>
      <c r="AR42" s="217"/>
      <c r="AS42" s="77"/>
      <c r="AT42" s="217"/>
      <c r="AU42" s="77"/>
      <c r="AV42" s="217"/>
      <c r="AW42" s="217"/>
      <c r="AX42" s="77"/>
      <c r="AY42" s="77"/>
      <c r="AZ42" s="77"/>
      <c r="BA42" s="77"/>
      <c r="BB42" s="77"/>
      <c r="BC42" s="77"/>
      <c r="BD42" s="218"/>
      <c r="BE42" s="218"/>
      <c r="BF42" s="218"/>
      <c r="BG42" s="217"/>
      <c r="BH42" s="209"/>
      <c r="BI42" s="209"/>
      <c r="BJ42" s="209"/>
      <c r="BK42" s="209"/>
    </row>
    <row r="43" spans="1:63" s="88" customFormat="1" ht="15.75" customHeight="1">
      <c r="A43" s="209"/>
      <c r="B43" s="210"/>
      <c r="E43" s="215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8"/>
      <c r="BB43" s="217"/>
      <c r="BC43" s="218"/>
      <c r="BD43" s="217"/>
      <c r="BE43" s="218"/>
      <c r="BF43" s="217"/>
      <c r="BG43" s="217"/>
      <c r="BH43" s="209"/>
      <c r="BI43" s="209"/>
      <c r="BJ43" s="209"/>
      <c r="BK43" s="209"/>
    </row>
    <row r="44" spans="1:63" s="88" customFormat="1" ht="15.75" customHeight="1">
      <c r="A44" s="209"/>
      <c r="B44" s="210"/>
      <c r="E44" s="89"/>
      <c r="F44" s="216"/>
      <c r="G44" s="77"/>
      <c r="H44" s="217"/>
      <c r="I44" s="77"/>
      <c r="J44" s="216"/>
      <c r="K44" s="216"/>
      <c r="L44" s="216"/>
      <c r="M44" s="77"/>
      <c r="N44" s="77"/>
      <c r="O44" s="77"/>
      <c r="P44" s="77"/>
      <c r="Q44" s="77"/>
      <c r="R44" s="77"/>
      <c r="S44" s="218"/>
      <c r="T44" s="217"/>
      <c r="U44" s="77"/>
      <c r="V44" s="77"/>
      <c r="W44" s="218"/>
      <c r="X44" s="77"/>
      <c r="Y44" s="77"/>
      <c r="Z44" s="217"/>
      <c r="AA44" s="77"/>
      <c r="AB44" s="216"/>
      <c r="AC44" s="216"/>
      <c r="AD44" s="216"/>
      <c r="AE44" s="77"/>
      <c r="AF44" s="77"/>
      <c r="AG44" s="77"/>
      <c r="AH44" s="77"/>
      <c r="AI44" s="77"/>
      <c r="AJ44" s="77"/>
      <c r="AK44" s="218"/>
      <c r="AL44" s="217"/>
      <c r="AM44" s="77"/>
      <c r="AN44" s="77"/>
      <c r="AO44" s="218"/>
      <c r="AP44" s="77"/>
      <c r="AQ44" s="77"/>
      <c r="AR44" s="218"/>
      <c r="AS44" s="218"/>
      <c r="AT44" s="77"/>
      <c r="AU44" s="77"/>
      <c r="AV44" s="218"/>
      <c r="AW44" s="218"/>
      <c r="AX44" s="218"/>
      <c r="AY44" s="218"/>
      <c r="AZ44" s="218"/>
      <c r="BA44" s="217"/>
      <c r="BB44" s="218"/>
      <c r="BC44" s="218"/>
      <c r="BD44" s="218"/>
      <c r="BE44" s="218"/>
      <c r="BF44" s="218"/>
      <c r="BG44" s="217"/>
      <c r="BH44" s="209"/>
      <c r="BI44" s="209"/>
      <c r="BJ44" s="209"/>
      <c r="BK44" s="209"/>
    </row>
    <row r="45" spans="1:63" s="88" customFormat="1" ht="15.75" customHeight="1">
      <c r="A45" s="209"/>
      <c r="B45" s="210"/>
      <c r="C45" s="213"/>
      <c r="D45" s="213"/>
      <c r="E45" s="89"/>
      <c r="F45" s="216"/>
      <c r="G45" s="218"/>
      <c r="H45" s="218"/>
      <c r="I45" s="218"/>
      <c r="J45" s="218"/>
      <c r="K45" s="219"/>
      <c r="L45" s="219"/>
      <c r="M45" s="219"/>
      <c r="N45" s="219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7"/>
      <c r="AA45" s="217"/>
      <c r="AB45" s="77"/>
      <c r="AC45" s="77"/>
      <c r="AD45" s="77"/>
      <c r="AE45" s="216"/>
      <c r="AF45" s="77"/>
      <c r="AG45" s="77"/>
      <c r="AH45" s="77"/>
      <c r="AI45" s="77"/>
      <c r="AJ45" s="77"/>
      <c r="AK45" s="218"/>
      <c r="AL45" s="218"/>
      <c r="AM45" s="77"/>
      <c r="AN45" s="77"/>
      <c r="AO45" s="77"/>
      <c r="AP45" s="77"/>
      <c r="AQ45" s="77"/>
      <c r="AR45" s="218"/>
      <c r="AS45" s="217"/>
      <c r="AT45" s="217"/>
      <c r="AU45" s="217"/>
      <c r="AV45" s="218"/>
      <c r="AW45" s="218"/>
      <c r="AX45" s="218"/>
      <c r="AY45" s="217"/>
      <c r="AZ45" s="218"/>
      <c r="BA45" s="217"/>
      <c r="BB45" s="218"/>
      <c r="BC45" s="218"/>
      <c r="BD45" s="218"/>
      <c r="BE45" s="218"/>
      <c r="BF45" s="218"/>
      <c r="BG45" s="217"/>
      <c r="BH45" s="209"/>
      <c r="BI45" s="209"/>
      <c r="BJ45" s="209"/>
      <c r="BK45" s="209"/>
    </row>
    <row r="46" spans="1:63" s="88" customFormat="1" ht="15.75" customHeight="1">
      <c r="A46" s="209"/>
      <c r="B46" s="210"/>
      <c r="C46" s="213"/>
      <c r="D46" s="213"/>
      <c r="E46" s="89"/>
      <c r="F46" s="216"/>
      <c r="G46" s="77"/>
      <c r="H46" s="77"/>
      <c r="I46" s="77"/>
      <c r="J46" s="216"/>
      <c r="K46" s="216"/>
      <c r="L46" s="77"/>
      <c r="M46" s="77"/>
      <c r="N46" s="77"/>
      <c r="O46" s="77"/>
      <c r="P46" s="77"/>
      <c r="Q46" s="218"/>
      <c r="R46" s="218"/>
      <c r="S46" s="77"/>
      <c r="T46" s="77"/>
      <c r="U46" s="77"/>
      <c r="V46" s="77"/>
      <c r="W46" s="77"/>
      <c r="X46" s="218"/>
      <c r="Y46" s="218"/>
      <c r="Z46" s="218"/>
      <c r="AA46" s="218"/>
      <c r="AB46" s="217"/>
      <c r="AC46" s="77"/>
      <c r="AD46" s="77"/>
      <c r="AE46" s="216"/>
      <c r="AF46" s="77"/>
      <c r="AG46" s="216"/>
      <c r="AH46" s="77"/>
      <c r="AI46" s="216"/>
      <c r="AJ46" s="77"/>
      <c r="AK46" s="216"/>
      <c r="AL46" s="77"/>
      <c r="AM46" s="216"/>
      <c r="AN46" s="77"/>
      <c r="AO46" s="216"/>
      <c r="AP46" s="77"/>
      <c r="AQ46" s="216"/>
      <c r="AR46" s="77"/>
      <c r="AS46" s="216"/>
      <c r="AT46" s="77"/>
      <c r="AU46" s="216"/>
      <c r="AV46" s="77"/>
      <c r="AW46" s="216"/>
      <c r="AX46" s="218"/>
      <c r="AY46" s="217"/>
      <c r="AZ46" s="218"/>
      <c r="BA46" s="217"/>
      <c r="BB46" s="218"/>
      <c r="BC46" s="218"/>
      <c r="BD46" s="218"/>
      <c r="BE46" s="218"/>
      <c r="BF46" s="218"/>
      <c r="BG46" s="217"/>
      <c r="BH46" s="209"/>
      <c r="BI46" s="209"/>
      <c r="BJ46" s="209"/>
      <c r="BK46" s="209"/>
    </row>
    <row r="47" spans="1:63" s="88" customFormat="1" ht="15.75" customHeight="1">
      <c r="A47" s="209"/>
      <c r="B47" s="210"/>
      <c r="C47" s="211"/>
      <c r="D47" s="209"/>
      <c r="E47" s="89"/>
      <c r="F47" s="216"/>
      <c r="G47" s="77"/>
      <c r="H47" s="217"/>
      <c r="I47" s="77"/>
      <c r="J47" s="216"/>
      <c r="K47" s="216"/>
      <c r="L47" s="77"/>
      <c r="M47" s="77"/>
      <c r="N47" s="77"/>
      <c r="O47" s="77"/>
      <c r="P47" s="77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7"/>
      <c r="AB47" s="217"/>
      <c r="AC47" s="77"/>
      <c r="AD47" s="217"/>
      <c r="AE47" s="77"/>
      <c r="AF47" s="216"/>
      <c r="AG47" s="217"/>
      <c r="AH47" s="77"/>
      <c r="AI47" s="217"/>
      <c r="AJ47" s="77"/>
      <c r="AK47" s="217"/>
      <c r="AL47" s="77"/>
      <c r="AM47" s="217"/>
      <c r="AN47" s="77"/>
      <c r="AO47" s="217"/>
      <c r="AP47" s="77"/>
      <c r="AQ47" s="217"/>
      <c r="AR47" s="217"/>
      <c r="AS47" s="77"/>
      <c r="AT47" s="217"/>
      <c r="AU47" s="77"/>
      <c r="AV47" s="217"/>
      <c r="AW47" s="217"/>
      <c r="AX47" s="77"/>
      <c r="AY47" s="77"/>
      <c r="AZ47" s="77"/>
      <c r="BA47" s="77"/>
      <c r="BB47" s="77"/>
      <c r="BC47" s="77"/>
      <c r="BD47" s="218"/>
      <c r="BE47" s="218"/>
      <c r="BF47" s="218"/>
      <c r="BG47" s="217"/>
      <c r="BH47" s="209"/>
      <c r="BI47" s="209"/>
      <c r="BJ47" s="209"/>
      <c r="BK47" s="209"/>
    </row>
    <row r="48" spans="1:63" s="88" customFormat="1" ht="15.75" customHeight="1">
      <c r="A48" s="209"/>
      <c r="B48" s="210"/>
      <c r="E48" s="215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8"/>
      <c r="BB48" s="217"/>
      <c r="BC48" s="218"/>
      <c r="BD48" s="217"/>
      <c r="BE48" s="218"/>
      <c r="BF48" s="217"/>
      <c r="BG48" s="217"/>
      <c r="BH48" s="209"/>
      <c r="BI48" s="209"/>
      <c r="BJ48" s="209"/>
      <c r="BK48" s="209"/>
    </row>
    <row r="49" spans="1:63" s="88" customFormat="1" ht="15.75" customHeight="1">
      <c r="A49" s="209"/>
      <c r="B49" s="210"/>
      <c r="E49" s="89"/>
      <c r="F49" s="216"/>
      <c r="G49" s="77"/>
      <c r="H49" s="217"/>
      <c r="I49" s="77"/>
      <c r="J49" s="216"/>
      <c r="K49" s="216"/>
      <c r="L49" s="216"/>
      <c r="M49" s="77"/>
      <c r="N49" s="77"/>
      <c r="O49" s="77"/>
      <c r="P49" s="77"/>
      <c r="Q49" s="77"/>
      <c r="R49" s="77"/>
      <c r="S49" s="218"/>
      <c r="T49" s="217"/>
      <c r="U49" s="77"/>
      <c r="V49" s="77"/>
      <c r="W49" s="218"/>
      <c r="X49" s="77"/>
      <c r="Y49" s="77"/>
      <c r="Z49" s="217"/>
      <c r="AA49" s="77"/>
      <c r="AB49" s="216"/>
      <c r="AC49" s="216"/>
      <c r="AD49" s="216"/>
      <c r="AE49" s="77"/>
      <c r="AF49" s="77"/>
      <c r="AG49" s="77"/>
      <c r="AH49" s="77"/>
      <c r="AI49" s="77"/>
      <c r="AJ49" s="77"/>
      <c r="AK49" s="218"/>
      <c r="AL49" s="217"/>
      <c r="AM49" s="77"/>
      <c r="AN49" s="77"/>
      <c r="AO49" s="218"/>
      <c r="AP49" s="77"/>
      <c r="AQ49" s="77"/>
      <c r="AR49" s="218"/>
      <c r="AS49" s="218"/>
      <c r="AT49" s="77"/>
      <c r="AU49" s="77"/>
      <c r="AV49" s="218"/>
      <c r="AW49" s="218"/>
      <c r="AX49" s="218"/>
      <c r="AY49" s="218"/>
      <c r="AZ49" s="218"/>
      <c r="BA49" s="217"/>
      <c r="BB49" s="218"/>
      <c r="BC49" s="218"/>
      <c r="BD49" s="218"/>
      <c r="BE49" s="218"/>
      <c r="BF49" s="218"/>
      <c r="BG49" s="217"/>
      <c r="BH49" s="209"/>
      <c r="BI49" s="209"/>
      <c r="BJ49" s="209"/>
      <c r="BK49" s="209"/>
    </row>
    <row r="50" spans="1:63" s="88" customFormat="1" ht="15.75" customHeight="1">
      <c r="A50" s="209"/>
      <c r="B50" s="210"/>
      <c r="C50" s="213"/>
      <c r="D50" s="213"/>
      <c r="E50" s="89"/>
      <c r="F50" s="216"/>
      <c r="G50" s="218"/>
      <c r="H50" s="218"/>
      <c r="I50" s="218"/>
      <c r="J50" s="218"/>
      <c r="K50" s="219"/>
      <c r="L50" s="219"/>
      <c r="M50" s="219"/>
      <c r="N50" s="219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7"/>
      <c r="AA50" s="217"/>
      <c r="AB50" s="77"/>
      <c r="AC50" s="77"/>
      <c r="AD50" s="77"/>
      <c r="AE50" s="216"/>
      <c r="AF50" s="77"/>
      <c r="AG50" s="77"/>
      <c r="AH50" s="77"/>
      <c r="AI50" s="77"/>
      <c r="AJ50" s="77"/>
      <c r="AK50" s="218"/>
      <c r="AL50" s="218"/>
      <c r="AM50" s="77"/>
      <c r="AN50" s="77"/>
      <c r="AO50" s="77"/>
      <c r="AP50" s="77"/>
      <c r="AQ50" s="77"/>
      <c r="AR50" s="218"/>
      <c r="AS50" s="217"/>
      <c r="AT50" s="217"/>
      <c r="AU50" s="217"/>
      <c r="AV50" s="218"/>
      <c r="AW50" s="218"/>
      <c r="AX50" s="218"/>
      <c r="AY50" s="217"/>
      <c r="AZ50" s="218"/>
      <c r="BA50" s="217"/>
      <c r="BB50" s="218"/>
      <c r="BC50" s="218"/>
      <c r="BD50" s="218"/>
      <c r="BE50" s="218"/>
      <c r="BF50" s="218"/>
      <c r="BG50" s="217"/>
      <c r="BH50" s="209"/>
      <c r="BI50" s="209"/>
      <c r="BJ50" s="209"/>
      <c r="BK50" s="209"/>
    </row>
    <row r="51" spans="1:63" s="88" customFormat="1" ht="15.75" customHeight="1">
      <c r="A51" s="209"/>
      <c r="B51" s="210"/>
      <c r="C51" s="213"/>
      <c r="D51" s="213"/>
      <c r="E51" s="89"/>
      <c r="F51" s="216"/>
      <c r="G51" s="77"/>
      <c r="H51" s="77"/>
      <c r="I51" s="77"/>
      <c r="J51" s="216"/>
      <c r="K51" s="216"/>
      <c r="L51" s="77"/>
      <c r="M51" s="77"/>
      <c r="N51" s="77"/>
      <c r="O51" s="77"/>
      <c r="P51" s="77"/>
      <c r="Q51" s="218"/>
      <c r="R51" s="218"/>
      <c r="S51" s="77"/>
      <c r="T51" s="77"/>
      <c r="U51" s="77"/>
      <c r="V51" s="77"/>
      <c r="W51" s="77"/>
      <c r="X51" s="218"/>
      <c r="Y51" s="218"/>
      <c r="Z51" s="218"/>
      <c r="AA51" s="218"/>
      <c r="AB51" s="217"/>
      <c r="AC51" s="77"/>
      <c r="AD51" s="77"/>
      <c r="AE51" s="216"/>
      <c r="AF51" s="77"/>
      <c r="AG51" s="216"/>
      <c r="AH51" s="77"/>
      <c r="AI51" s="216"/>
      <c r="AJ51" s="77"/>
      <c r="AK51" s="216"/>
      <c r="AL51" s="77"/>
      <c r="AM51" s="216"/>
      <c r="AN51" s="77"/>
      <c r="AO51" s="216"/>
      <c r="AP51" s="77"/>
      <c r="AQ51" s="216"/>
      <c r="AR51" s="77"/>
      <c r="AS51" s="216"/>
      <c r="AT51" s="77"/>
      <c r="AU51" s="216"/>
      <c r="AV51" s="77"/>
      <c r="AW51" s="216"/>
      <c r="AX51" s="218"/>
      <c r="AY51" s="217"/>
      <c r="AZ51" s="218"/>
      <c r="BA51" s="217"/>
      <c r="BB51" s="218"/>
      <c r="BC51" s="218"/>
      <c r="BD51" s="218"/>
      <c r="BE51" s="218"/>
      <c r="BF51" s="218"/>
      <c r="BG51" s="217"/>
      <c r="BH51" s="209"/>
      <c r="BI51" s="209"/>
      <c r="BJ51" s="209"/>
      <c r="BK51" s="209"/>
    </row>
    <row r="52" spans="1:63" s="88" customFormat="1" ht="15.75" customHeight="1">
      <c r="A52" s="209"/>
      <c r="B52" s="210"/>
      <c r="C52" s="211"/>
      <c r="D52" s="209"/>
      <c r="E52" s="89"/>
      <c r="F52" s="216"/>
      <c r="G52" s="77"/>
      <c r="H52" s="217"/>
      <c r="I52" s="77"/>
      <c r="J52" s="216"/>
      <c r="K52" s="216"/>
      <c r="L52" s="77"/>
      <c r="M52" s="77"/>
      <c r="N52" s="77"/>
      <c r="O52" s="77"/>
      <c r="P52" s="77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7"/>
      <c r="AB52" s="217"/>
      <c r="AC52" s="77"/>
      <c r="AD52" s="217"/>
      <c r="AE52" s="77"/>
      <c r="AF52" s="216"/>
      <c r="AG52" s="217"/>
      <c r="AH52" s="77"/>
      <c r="AI52" s="217"/>
      <c r="AJ52" s="77"/>
      <c r="AK52" s="217"/>
      <c r="AL52" s="77"/>
      <c r="AM52" s="217"/>
      <c r="AN52" s="77"/>
      <c r="AO52" s="217"/>
      <c r="AP52" s="77"/>
      <c r="AQ52" s="217"/>
      <c r="AR52" s="217"/>
      <c r="AS52" s="77"/>
      <c r="AT52" s="217"/>
      <c r="AU52" s="77"/>
      <c r="AV52" s="217"/>
      <c r="AW52" s="217"/>
      <c r="AX52" s="77"/>
      <c r="AY52" s="77"/>
      <c r="AZ52" s="77"/>
      <c r="BA52" s="77"/>
      <c r="BB52" s="77"/>
      <c r="BC52" s="77"/>
      <c r="BD52" s="218"/>
      <c r="BE52" s="218"/>
      <c r="BF52" s="218"/>
      <c r="BG52" s="217"/>
      <c r="BH52" s="209"/>
      <c r="BI52" s="209"/>
      <c r="BJ52" s="209"/>
      <c r="BK52" s="209"/>
    </row>
    <row r="53" spans="1:63" s="88" customFormat="1" ht="15.75" customHeight="1">
      <c r="A53" s="209"/>
      <c r="B53" s="210"/>
      <c r="E53" s="215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8"/>
      <c r="BB53" s="217"/>
      <c r="BC53" s="218"/>
      <c r="BD53" s="217"/>
      <c r="BE53" s="218"/>
      <c r="BF53" s="217"/>
      <c r="BG53" s="217"/>
      <c r="BH53" s="209"/>
      <c r="BI53" s="209"/>
      <c r="BJ53" s="209"/>
      <c r="BK53" s="209"/>
    </row>
    <row r="54" spans="1:63" s="88" customFormat="1" ht="15.75" customHeight="1">
      <c r="A54" s="209"/>
      <c r="B54" s="210"/>
      <c r="E54" s="89"/>
      <c r="F54" s="216"/>
      <c r="G54" s="77"/>
      <c r="H54" s="217"/>
      <c r="I54" s="77"/>
      <c r="J54" s="216"/>
      <c r="K54" s="216"/>
      <c r="L54" s="216"/>
      <c r="M54" s="77"/>
      <c r="N54" s="77"/>
      <c r="O54" s="77"/>
      <c r="P54" s="77"/>
      <c r="Q54" s="77"/>
      <c r="R54" s="77"/>
      <c r="S54" s="218"/>
      <c r="T54" s="217"/>
      <c r="U54" s="77"/>
      <c r="V54" s="77"/>
      <c r="W54" s="218"/>
      <c r="X54" s="77"/>
      <c r="Y54" s="77"/>
      <c r="Z54" s="217"/>
      <c r="AA54" s="77"/>
      <c r="AB54" s="216"/>
      <c r="AC54" s="216"/>
      <c r="AD54" s="216"/>
      <c r="AE54" s="77"/>
      <c r="AF54" s="77"/>
      <c r="AG54" s="77"/>
      <c r="AH54" s="77"/>
      <c r="AI54" s="77"/>
      <c r="AJ54" s="77"/>
      <c r="AK54" s="218"/>
      <c r="AL54" s="217"/>
      <c r="AM54" s="77"/>
      <c r="AN54" s="77"/>
      <c r="AO54" s="218"/>
      <c r="AP54" s="77"/>
      <c r="AQ54" s="77"/>
      <c r="AR54" s="218"/>
      <c r="AS54" s="218"/>
      <c r="AT54" s="77"/>
      <c r="AU54" s="77"/>
      <c r="AV54" s="218"/>
      <c r="AW54" s="218"/>
      <c r="AX54" s="218"/>
      <c r="AY54" s="218"/>
      <c r="AZ54" s="218"/>
      <c r="BA54" s="217"/>
      <c r="BB54" s="218"/>
      <c r="BC54" s="218"/>
      <c r="BD54" s="218"/>
      <c r="BE54" s="218"/>
      <c r="BF54" s="218"/>
      <c r="BG54" s="217"/>
      <c r="BH54" s="209"/>
      <c r="BI54" s="209"/>
      <c r="BJ54" s="209"/>
      <c r="BK54" s="209"/>
    </row>
    <row r="55" spans="1:63" s="88" customFormat="1" ht="15.75" customHeight="1">
      <c r="A55" s="209"/>
      <c r="B55" s="210"/>
      <c r="E55" s="215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8"/>
      <c r="BB55" s="217"/>
      <c r="BC55" s="218"/>
      <c r="BD55" s="217"/>
      <c r="BE55" s="218"/>
      <c r="BF55" s="217"/>
      <c r="BG55" s="217"/>
      <c r="BH55" s="209"/>
      <c r="BI55" s="209"/>
      <c r="BJ55" s="209"/>
      <c r="BK55" s="209"/>
    </row>
    <row r="56" spans="1:63" s="88" customFormat="1" ht="15.75" customHeight="1">
      <c r="A56" s="209"/>
      <c r="B56" s="210"/>
      <c r="E56" s="89"/>
      <c r="F56" s="216"/>
      <c r="G56" s="77"/>
      <c r="H56" s="217"/>
      <c r="I56" s="77"/>
      <c r="J56" s="216"/>
      <c r="K56" s="216"/>
      <c r="L56" s="216"/>
      <c r="M56" s="77"/>
      <c r="N56" s="77"/>
      <c r="O56" s="77"/>
      <c r="P56" s="77"/>
      <c r="Q56" s="77"/>
      <c r="R56" s="77"/>
      <c r="S56" s="218"/>
      <c r="T56" s="217"/>
      <c r="U56" s="77"/>
      <c r="V56" s="77"/>
      <c r="W56" s="218"/>
      <c r="X56" s="77"/>
      <c r="Y56" s="77"/>
      <c r="Z56" s="217"/>
      <c r="AA56" s="77"/>
      <c r="AB56" s="216"/>
      <c r="AC56" s="216"/>
      <c r="AD56" s="216"/>
      <c r="AE56" s="77"/>
      <c r="AF56" s="77"/>
      <c r="AG56" s="77"/>
      <c r="AH56" s="77"/>
      <c r="AI56" s="77"/>
      <c r="AJ56" s="77"/>
      <c r="AK56" s="218"/>
      <c r="AL56" s="217"/>
      <c r="AM56" s="77"/>
      <c r="AN56" s="77"/>
      <c r="AO56" s="218"/>
      <c r="AP56" s="77"/>
      <c r="AQ56" s="77"/>
      <c r="AR56" s="218"/>
      <c r="AS56" s="218"/>
      <c r="AT56" s="77"/>
      <c r="AU56" s="77"/>
      <c r="AV56" s="218"/>
      <c r="AW56" s="218"/>
      <c r="AX56" s="218"/>
      <c r="AY56" s="218"/>
      <c r="AZ56" s="218"/>
      <c r="BA56" s="217"/>
      <c r="BB56" s="218"/>
      <c r="BC56" s="218"/>
      <c r="BD56" s="218"/>
      <c r="BE56" s="218"/>
      <c r="BF56" s="218"/>
      <c r="BG56" s="217"/>
      <c r="BH56" s="209"/>
      <c r="BI56" s="209"/>
      <c r="BJ56" s="209"/>
      <c r="BK56" s="209"/>
    </row>
    <row r="57" spans="1:63" s="88" customFormat="1" ht="15.75" customHeight="1">
      <c r="A57" s="209"/>
      <c r="B57" s="210"/>
      <c r="C57" s="213"/>
      <c r="D57" s="213"/>
      <c r="E57" s="89"/>
      <c r="F57" s="216"/>
      <c r="G57" s="218"/>
      <c r="H57" s="218"/>
      <c r="I57" s="218"/>
      <c r="J57" s="218"/>
      <c r="K57" s="219"/>
      <c r="L57" s="219"/>
      <c r="M57" s="219"/>
      <c r="N57" s="219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7"/>
      <c r="AA57" s="217"/>
      <c r="AB57" s="77"/>
      <c r="AC57" s="77"/>
      <c r="AD57" s="77"/>
      <c r="AE57" s="216"/>
      <c r="AF57" s="77"/>
      <c r="AG57" s="77"/>
      <c r="AH57" s="77"/>
      <c r="AI57" s="77"/>
      <c r="AJ57" s="77"/>
      <c r="AK57" s="218"/>
      <c r="AL57" s="218"/>
      <c r="AM57" s="77"/>
      <c r="AN57" s="77"/>
      <c r="AO57" s="77"/>
      <c r="AP57" s="77"/>
      <c r="AQ57" s="77"/>
      <c r="AR57" s="218"/>
      <c r="AS57" s="217"/>
      <c r="AT57" s="217"/>
      <c r="AU57" s="217"/>
      <c r="AV57" s="218"/>
      <c r="AW57" s="218"/>
      <c r="AX57" s="218"/>
      <c r="AY57" s="217"/>
      <c r="AZ57" s="218"/>
      <c r="BA57" s="217"/>
      <c r="BB57" s="218"/>
      <c r="BC57" s="218"/>
      <c r="BD57" s="218"/>
      <c r="BE57" s="218"/>
      <c r="BF57" s="218"/>
      <c r="BG57" s="217"/>
      <c r="BH57" s="209"/>
      <c r="BI57" s="209"/>
      <c r="BJ57" s="209"/>
      <c r="BK57" s="209"/>
    </row>
    <row r="58" spans="1:63" s="88" customFormat="1" ht="15.75" customHeight="1">
      <c r="A58" s="209"/>
      <c r="B58" s="210"/>
      <c r="C58" s="213"/>
      <c r="D58" s="213"/>
      <c r="E58" s="89"/>
      <c r="F58" s="216"/>
      <c r="G58" s="77"/>
      <c r="H58" s="77"/>
      <c r="I58" s="77"/>
      <c r="J58" s="216"/>
      <c r="K58" s="216"/>
      <c r="L58" s="77"/>
      <c r="M58" s="77"/>
      <c r="N58" s="77"/>
      <c r="O58" s="77"/>
      <c r="P58" s="77"/>
      <c r="Q58" s="218"/>
      <c r="R58" s="218"/>
      <c r="S58" s="77"/>
      <c r="T58" s="77"/>
      <c r="U58" s="77"/>
      <c r="V58" s="77"/>
      <c r="W58" s="77"/>
      <c r="X58" s="218"/>
      <c r="Y58" s="218"/>
      <c r="Z58" s="218"/>
      <c r="AA58" s="218"/>
      <c r="AB58" s="217"/>
      <c r="AC58" s="77"/>
      <c r="AD58" s="77"/>
      <c r="AE58" s="216"/>
      <c r="AF58" s="77"/>
      <c r="AG58" s="216"/>
      <c r="AH58" s="77"/>
      <c r="AI58" s="216"/>
      <c r="AJ58" s="77"/>
      <c r="AK58" s="216"/>
      <c r="AL58" s="77"/>
      <c r="AM58" s="216"/>
      <c r="AN58" s="77"/>
      <c r="AO58" s="216"/>
      <c r="AP58" s="77"/>
      <c r="AQ58" s="216"/>
      <c r="AR58" s="77"/>
      <c r="AS58" s="216"/>
      <c r="AT58" s="77"/>
      <c r="AU58" s="216"/>
      <c r="AV58" s="77"/>
      <c r="AW58" s="216"/>
      <c r="AX58" s="218"/>
      <c r="AY58" s="217"/>
      <c r="AZ58" s="218"/>
      <c r="BA58" s="217"/>
      <c r="BB58" s="218"/>
      <c r="BC58" s="218"/>
      <c r="BD58" s="218"/>
      <c r="BE58" s="218"/>
      <c r="BF58" s="218"/>
      <c r="BG58" s="217"/>
      <c r="BH58" s="209"/>
      <c r="BI58" s="209"/>
      <c r="BJ58" s="209"/>
      <c r="BK58" s="209"/>
    </row>
    <row r="59" spans="1:63" s="88" customFormat="1" ht="15.75" customHeight="1">
      <c r="A59" s="209"/>
      <c r="B59" s="210"/>
      <c r="C59" s="211"/>
      <c r="D59" s="209"/>
      <c r="E59" s="89"/>
      <c r="F59" s="216"/>
      <c r="G59" s="77"/>
      <c r="H59" s="217"/>
      <c r="I59" s="77"/>
      <c r="J59" s="216"/>
      <c r="K59" s="216"/>
      <c r="L59" s="77"/>
      <c r="M59" s="77"/>
      <c r="N59" s="77"/>
      <c r="O59" s="77"/>
      <c r="P59" s="77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7"/>
      <c r="AB59" s="217"/>
      <c r="AC59" s="77"/>
      <c r="AD59" s="217"/>
      <c r="AE59" s="77"/>
      <c r="AF59" s="216"/>
      <c r="AG59" s="217"/>
      <c r="AH59" s="77"/>
      <c r="AI59" s="217"/>
      <c r="AJ59" s="77"/>
      <c r="AK59" s="217"/>
      <c r="AL59" s="77"/>
      <c r="AM59" s="217"/>
      <c r="AN59" s="77"/>
      <c r="AO59" s="217"/>
      <c r="AP59" s="77"/>
      <c r="AQ59" s="217"/>
      <c r="AR59" s="217"/>
      <c r="AS59" s="77"/>
      <c r="AT59" s="217"/>
      <c r="AU59" s="77"/>
      <c r="AV59" s="217"/>
      <c r="AW59" s="217"/>
      <c r="AX59" s="77"/>
      <c r="AY59" s="77"/>
      <c r="AZ59" s="77"/>
      <c r="BA59" s="77"/>
      <c r="BB59" s="77"/>
      <c r="BC59" s="77"/>
      <c r="BD59" s="218"/>
      <c r="BE59" s="218"/>
      <c r="BF59" s="218"/>
      <c r="BG59" s="217"/>
      <c r="BH59" s="209"/>
      <c r="BI59" s="209"/>
      <c r="BJ59" s="209"/>
      <c r="BK59" s="209"/>
    </row>
    <row r="60" spans="1:63" s="88" customFormat="1" ht="15.75" customHeight="1">
      <c r="A60" s="209"/>
      <c r="B60" s="210"/>
      <c r="E60" s="215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8"/>
      <c r="BB60" s="217"/>
      <c r="BC60" s="218"/>
      <c r="BD60" s="217"/>
      <c r="BE60" s="218"/>
      <c r="BF60" s="217"/>
      <c r="BG60" s="217"/>
      <c r="BH60" s="209"/>
      <c r="BI60" s="209"/>
      <c r="BJ60" s="209"/>
      <c r="BK60" s="209"/>
    </row>
    <row r="61" spans="1:63" s="88" customFormat="1" ht="15.75" customHeight="1">
      <c r="A61" s="209"/>
      <c r="B61" s="210"/>
      <c r="E61" s="89"/>
      <c r="F61" s="216"/>
      <c r="G61" s="77"/>
      <c r="H61" s="217"/>
      <c r="I61" s="77"/>
      <c r="J61" s="216"/>
      <c r="K61" s="216"/>
      <c r="L61" s="216"/>
      <c r="M61" s="77"/>
      <c r="N61" s="77"/>
      <c r="O61" s="77"/>
      <c r="P61" s="77"/>
      <c r="Q61" s="77"/>
      <c r="R61" s="77"/>
      <c r="S61" s="218"/>
      <c r="T61" s="217"/>
      <c r="U61" s="77"/>
      <c r="V61" s="77"/>
      <c r="W61" s="218"/>
      <c r="X61" s="77"/>
      <c r="Y61" s="77"/>
      <c r="Z61" s="217"/>
      <c r="AA61" s="77"/>
      <c r="AB61" s="216"/>
      <c r="AC61" s="216"/>
      <c r="AD61" s="216"/>
      <c r="AE61" s="77"/>
      <c r="AF61" s="77"/>
      <c r="AG61" s="77"/>
      <c r="AH61" s="77"/>
      <c r="AI61" s="77"/>
      <c r="AJ61" s="77"/>
      <c r="AK61" s="218"/>
      <c r="AL61" s="217"/>
      <c r="AM61" s="77"/>
      <c r="AN61" s="77"/>
      <c r="AO61" s="218"/>
      <c r="AP61" s="77"/>
      <c r="AQ61" s="77"/>
      <c r="AR61" s="218"/>
      <c r="AS61" s="218"/>
      <c r="AT61" s="77"/>
      <c r="AU61" s="77"/>
      <c r="AV61" s="218"/>
      <c r="AW61" s="218"/>
      <c r="AX61" s="218"/>
      <c r="AY61" s="218"/>
      <c r="AZ61" s="218"/>
      <c r="BA61" s="217"/>
      <c r="BB61" s="218"/>
      <c r="BC61" s="218"/>
      <c r="BD61" s="218"/>
      <c r="BE61" s="218"/>
      <c r="BF61" s="218"/>
      <c r="BG61" s="217"/>
      <c r="BH61" s="209"/>
      <c r="BI61" s="209"/>
      <c r="BJ61" s="209"/>
      <c r="BK61" s="209"/>
    </row>
    <row r="62" spans="1:63" s="88" customFormat="1" ht="15.75" customHeight="1">
      <c r="A62" s="209"/>
      <c r="B62" s="210"/>
      <c r="C62" s="211"/>
      <c r="D62" s="209"/>
      <c r="E62" s="89"/>
      <c r="F62" s="216"/>
      <c r="G62" s="77"/>
      <c r="H62" s="217"/>
      <c r="I62" s="77"/>
      <c r="J62" s="216"/>
      <c r="K62" s="216"/>
      <c r="L62" s="77"/>
      <c r="M62" s="77"/>
      <c r="N62" s="77"/>
      <c r="O62" s="77"/>
      <c r="P62" s="77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7"/>
      <c r="AB62" s="217"/>
      <c r="AC62" s="77"/>
      <c r="AD62" s="217"/>
      <c r="AE62" s="77"/>
      <c r="AF62" s="216"/>
      <c r="AG62" s="217"/>
      <c r="AH62" s="77"/>
      <c r="AI62" s="217"/>
      <c r="AJ62" s="77"/>
      <c r="AK62" s="217"/>
      <c r="AL62" s="77"/>
      <c r="AM62" s="217"/>
      <c r="AN62" s="77"/>
      <c r="AO62" s="217"/>
      <c r="AP62" s="77"/>
      <c r="AQ62" s="217"/>
      <c r="AR62" s="217"/>
      <c r="AS62" s="77"/>
      <c r="AT62" s="217"/>
      <c r="AU62" s="77"/>
      <c r="AV62" s="217"/>
      <c r="AW62" s="217"/>
      <c r="AX62" s="77"/>
      <c r="AY62" s="77"/>
      <c r="AZ62" s="77"/>
      <c r="BA62" s="77"/>
      <c r="BB62" s="77"/>
      <c r="BC62" s="77"/>
      <c r="BD62" s="218"/>
      <c r="BE62" s="218"/>
      <c r="BF62" s="218"/>
      <c r="BG62" s="217"/>
      <c r="BH62" s="209"/>
      <c r="BI62" s="209"/>
      <c r="BJ62" s="209"/>
      <c r="BK62" s="209"/>
    </row>
    <row r="63" spans="1:63" s="88" customFormat="1" ht="15.75" customHeight="1">
      <c r="A63" s="209"/>
      <c r="B63" s="210"/>
      <c r="E63" s="215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8"/>
      <c r="BB63" s="217"/>
      <c r="BC63" s="218"/>
      <c r="BD63" s="217"/>
      <c r="BE63" s="218"/>
      <c r="BF63" s="217"/>
      <c r="BG63" s="217"/>
      <c r="BH63" s="209"/>
      <c r="BI63" s="209"/>
      <c r="BJ63" s="209"/>
      <c r="BK63" s="209"/>
    </row>
    <row r="64" spans="1:63" s="88" customFormat="1" ht="15.75" customHeight="1">
      <c r="A64" s="209"/>
      <c r="B64" s="210"/>
      <c r="E64" s="89"/>
      <c r="F64" s="216"/>
      <c r="G64" s="77"/>
      <c r="H64" s="217"/>
      <c r="I64" s="77"/>
      <c r="J64" s="216"/>
      <c r="K64" s="216"/>
      <c r="L64" s="216"/>
      <c r="M64" s="77"/>
      <c r="N64" s="77"/>
      <c r="O64" s="77"/>
      <c r="P64" s="77"/>
      <c r="Q64" s="77"/>
      <c r="R64" s="77"/>
      <c r="S64" s="218"/>
      <c r="T64" s="217"/>
      <c r="U64" s="77"/>
      <c r="V64" s="77"/>
      <c r="W64" s="218"/>
      <c r="X64" s="77"/>
      <c r="Y64" s="77"/>
      <c r="Z64" s="217"/>
      <c r="AA64" s="77"/>
      <c r="AB64" s="216"/>
      <c r="AC64" s="216"/>
      <c r="AD64" s="216"/>
      <c r="AE64" s="77"/>
      <c r="AF64" s="77"/>
      <c r="AG64" s="77"/>
      <c r="AH64" s="77"/>
      <c r="AI64" s="77"/>
      <c r="AJ64" s="77"/>
      <c r="AK64" s="218"/>
      <c r="AL64" s="217"/>
      <c r="AM64" s="77"/>
      <c r="AN64" s="77"/>
      <c r="AO64" s="218"/>
      <c r="AP64" s="77"/>
      <c r="AQ64" s="77"/>
      <c r="AR64" s="218"/>
      <c r="AS64" s="218"/>
      <c r="AT64" s="77"/>
      <c r="AU64" s="77"/>
      <c r="AV64" s="218"/>
      <c r="AW64" s="218"/>
      <c r="AX64" s="218"/>
      <c r="AY64" s="218"/>
      <c r="AZ64" s="218"/>
      <c r="BA64" s="217"/>
      <c r="BB64" s="218"/>
      <c r="BC64" s="218"/>
      <c r="BD64" s="218"/>
      <c r="BE64" s="218"/>
      <c r="BF64" s="218"/>
      <c r="BG64" s="217"/>
      <c r="BH64" s="209"/>
      <c r="BI64" s="209"/>
      <c r="BJ64" s="209"/>
      <c r="BK64" s="209"/>
    </row>
    <row r="65" spans="1:63" s="88" customFormat="1" ht="15.75" customHeight="1">
      <c r="A65" s="209"/>
      <c r="B65" s="210"/>
      <c r="C65" s="213"/>
      <c r="D65" s="213"/>
      <c r="E65" s="89"/>
      <c r="F65" s="216"/>
      <c r="G65" s="218"/>
      <c r="H65" s="218"/>
      <c r="I65" s="218"/>
      <c r="J65" s="218"/>
      <c r="K65" s="219"/>
      <c r="L65" s="219"/>
      <c r="M65" s="219"/>
      <c r="N65" s="219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7"/>
      <c r="AA65" s="217"/>
      <c r="AB65" s="77"/>
      <c r="AC65" s="77"/>
      <c r="AD65" s="77"/>
      <c r="AE65" s="216"/>
      <c r="AF65" s="77"/>
      <c r="AG65" s="77"/>
      <c r="AH65" s="77"/>
      <c r="AI65" s="77"/>
      <c r="AJ65" s="77"/>
      <c r="AK65" s="218"/>
      <c r="AL65" s="218"/>
      <c r="AM65" s="77"/>
      <c r="AN65" s="77"/>
      <c r="AO65" s="77"/>
      <c r="AP65" s="77"/>
      <c r="AQ65" s="77"/>
      <c r="AR65" s="218"/>
      <c r="AS65" s="217"/>
      <c r="AT65" s="217"/>
      <c r="AU65" s="217"/>
      <c r="AV65" s="218"/>
      <c r="AW65" s="218"/>
      <c r="AX65" s="218"/>
      <c r="AY65" s="217"/>
      <c r="AZ65" s="218"/>
      <c r="BA65" s="217"/>
      <c r="BB65" s="218"/>
      <c r="BC65" s="218"/>
      <c r="BD65" s="218"/>
      <c r="BE65" s="218"/>
      <c r="BF65" s="218"/>
      <c r="BG65" s="217"/>
      <c r="BH65" s="209"/>
      <c r="BI65" s="209"/>
      <c r="BJ65" s="209"/>
      <c r="BK65" s="209"/>
    </row>
    <row r="66" spans="1:63" s="88" customFormat="1" ht="15.75" customHeight="1">
      <c r="A66" s="209"/>
      <c r="B66" s="210"/>
      <c r="C66" s="213"/>
      <c r="D66" s="213"/>
      <c r="E66" s="89"/>
      <c r="F66" s="216"/>
      <c r="G66" s="77"/>
      <c r="H66" s="77"/>
      <c r="I66" s="77"/>
      <c r="J66" s="216"/>
      <c r="K66" s="216"/>
      <c r="L66" s="77"/>
      <c r="M66" s="77"/>
      <c r="N66" s="77"/>
      <c r="O66" s="77"/>
      <c r="P66" s="77"/>
      <c r="Q66" s="218"/>
      <c r="R66" s="218"/>
      <c r="S66" s="77"/>
      <c r="T66" s="77"/>
      <c r="U66" s="77"/>
      <c r="V66" s="77"/>
      <c r="W66" s="77"/>
      <c r="X66" s="218"/>
      <c r="Y66" s="218"/>
      <c r="Z66" s="218"/>
      <c r="AA66" s="218"/>
      <c r="AB66" s="217"/>
      <c r="AC66" s="77"/>
      <c r="AD66" s="77"/>
      <c r="AE66" s="216"/>
      <c r="AF66" s="77"/>
      <c r="AG66" s="216"/>
      <c r="AH66" s="77"/>
      <c r="AI66" s="216"/>
      <c r="AJ66" s="77"/>
      <c r="AK66" s="216"/>
      <c r="AL66" s="77"/>
      <c r="AM66" s="216"/>
      <c r="AN66" s="77"/>
      <c r="AO66" s="216"/>
      <c r="AP66" s="77"/>
      <c r="AQ66" s="216"/>
      <c r="AR66" s="77"/>
      <c r="AS66" s="216"/>
      <c r="AT66" s="77"/>
      <c r="AU66" s="216"/>
      <c r="AV66" s="77"/>
      <c r="AW66" s="216"/>
      <c r="AX66" s="218"/>
      <c r="AY66" s="217"/>
      <c r="AZ66" s="218"/>
      <c r="BA66" s="217"/>
      <c r="BB66" s="218"/>
      <c r="BC66" s="218"/>
      <c r="BD66" s="218"/>
      <c r="BE66" s="218"/>
      <c r="BF66" s="218"/>
      <c r="BG66" s="217"/>
      <c r="BH66" s="209"/>
      <c r="BI66" s="209"/>
      <c r="BJ66" s="209"/>
      <c r="BK66" s="209"/>
    </row>
    <row r="67" spans="1:63" s="88" customFormat="1" ht="15.75" customHeight="1">
      <c r="A67" s="209"/>
      <c r="B67" s="210"/>
      <c r="F67" s="218"/>
      <c r="G67" s="218"/>
      <c r="H67" s="220"/>
      <c r="I67" s="218"/>
      <c r="J67" s="220"/>
      <c r="K67" s="218"/>
      <c r="L67" s="220"/>
      <c r="M67" s="218"/>
      <c r="N67" s="218"/>
      <c r="O67" s="220"/>
      <c r="P67" s="220"/>
      <c r="Q67" s="220"/>
      <c r="R67" s="77"/>
      <c r="S67" s="220"/>
      <c r="T67" s="218"/>
      <c r="U67" s="221"/>
      <c r="V67" s="77"/>
      <c r="W67" s="76"/>
      <c r="X67" s="77"/>
      <c r="Y67" s="671"/>
      <c r="Z67" s="671"/>
      <c r="AA67" s="671"/>
      <c r="AB67" s="221"/>
      <c r="AC67" s="77"/>
      <c r="AD67" s="218"/>
      <c r="AE67" s="77"/>
      <c r="AF67" s="218"/>
      <c r="AG67" s="218"/>
      <c r="AH67" s="218"/>
      <c r="AI67" s="218"/>
      <c r="AJ67" s="218"/>
      <c r="AK67" s="218"/>
      <c r="AL67" s="218"/>
      <c r="AM67" s="218"/>
      <c r="AN67" s="218"/>
      <c r="AO67" s="220"/>
      <c r="AP67" s="218"/>
      <c r="AQ67" s="218"/>
      <c r="AR67" s="218"/>
      <c r="AS67" s="218"/>
      <c r="AT67" s="218"/>
      <c r="AU67" s="218"/>
      <c r="AV67" s="218"/>
      <c r="AW67" s="220"/>
      <c r="AX67" s="218"/>
      <c r="AY67" s="218"/>
      <c r="AZ67" s="220"/>
      <c r="BA67" s="218"/>
      <c r="BB67" s="218"/>
      <c r="BC67" s="218"/>
      <c r="BD67" s="218"/>
      <c r="BE67" s="218"/>
      <c r="BF67" s="218"/>
      <c r="BG67" s="217"/>
      <c r="BH67" s="209"/>
      <c r="BI67" s="209"/>
      <c r="BJ67" s="209"/>
      <c r="BK67" s="209"/>
    </row>
    <row r="68" spans="1:63" s="88" customFormat="1" ht="14.25">
      <c r="B68" s="89"/>
      <c r="C68" s="90"/>
      <c r="D68" s="90"/>
      <c r="E68" s="90"/>
      <c r="F68" s="91"/>
      <c r="G68" s="91"/>
      <c r="H68" s="91"/>
      <c r="I68" s="91"/>
      <c r="J68" s="90"/>
      <c r="K68" s="91"/>
      <c r="L68" s="91"/>
      <c r="M68" s="91"/>
      <c r="N68" s="91"/>
      <c r="O68" s="91"/>
      <c r="P68" s="91"/>
      <c r="Q68" s="92"/>
    </row>
    <row r="69" spans="1:63" s="88" customFormat="1" ht="14.25">
      <c r="B69" s="89"/>
      <c r="C69" s="90"/>
      <c r="D69" s="90"/>
      <c r="E69" s="90"/>
      <c r="F69" s="91"/>
      <c r="G69" s="91"/>
      <c r="H69" s="91"/>
      <c r="I69" s="91"/>
      <c r="J69" s="90"/>
      <c r="K69" s="91"/>
      <c r="L69" s="91"/>
      <c r="M69" s="91"/>
      <c r="N69" s="91"/>
      <c r="O69" s="91"/>
      <c r="P69" s="91"/>
      <c r="Q69" s="92"/>
    </row>
  </sheetData>
  <mergeCells count="23">
    <mergeCell ref="AZ2:BE3"/>
    <mergeCell ref="K1:T1"/>
    <mergeCell ref="U1:Y1"/>
    <mergeCell ref="Z1:AD1"/>
    <mergeCell ref="Z2:AD2"/>
    <mergeCell ref="AE2:AI2"/>
    <mergeCell ref="AE1:AI1"/>
    <mergeCell ref="Y67:AA67"/>
    <mergeCell ref="A5:BK5"/>
    <mergeCell ref="AJ1:AR1"/>
    <mergeCell ref="A1:J3"/>
    <mergeCell ref="AS1:AY1"/>
    <mergeCell ref="AZ1:BE1"/>
    <mergeCell ref="BF1:BK1"/>
    <mergeCell ref="K2:T2"/>
    <mergeCell ref="U2:Y2"/>
    <mergeCell ref="BF2:BK3"/>
    <mergeCell ref="K3:T3"/>
    <mergeCell ref="U3:Y3"/>
    <mergeCell ref="Z3:AD3"/>
    <mergeCell ref="AE3:AR3"/>
    <mergeCell ref="AJ2:AR2"/>
    <mergeCell ref="AS2:AY3"/>
  </mergeCells>
  <phoneticPr fontId="8"/>
  <pageMargins left="0.51181102362204722" right="0.74803149606299213" top="0.70866141732283472" bottom="0.43307086614173229" header="0.51181102362204722" footer="0.19685039370078741"/>
  <pageSetup paperSize="9" scale="86" fitToHeight="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DBCA-AA2C-4887-9BA8-65EBF6295388}">
  <sheetPr codeName="Sheet4">
    <pageSetUpPr fitToPage="1"/>
  </sheetPr>
  <dimension ref="A1:BK100"/>
  <sheetViews>
    <sheetView showGridLines="0" showZeros="0" zoomScaleNormal="100" zoomScaleSheetLayoutView="100" workbookViewId="0">
      <pane ySplit="6" topLeftCell="A87" activePane="bottomLeft" state="frozen"/>
      <selection activeCell="F41" sqref="F41:BB42"/>
      <selection pane="bottomLeft" activeCell="C99" sqref="C99"/>
    </sheetView>
  </sheetViews>
  <sheetFormatPr defaultColWidth="2.125" defaultRowHeight="15.75" customHeight="1"/>
  <cols>
    <col min="1" max="2" width="2.125" style="77" customWidth="1"/>
    <col min="3" max="3" width="2.375" style="76" customWidth="1"/>
    <col min="4" max="4" width="2.125" style="76" customWidth="1"/>
    <col min="5" max="5" width="3" style="76" customWidth="1"/>
    <col min="6" max="9" width="2.125" style="77" customWidth="1"/>
    <col min="10" max="10" width="2.125" style="76" customWidth="1"/>
    <col min="11" max="16" width="2.125" style="77" customWidth="1"/>
    <col min="17" max="17" width="2.125" style="100" customWidth="1"/>
    <col min="18" max="62" width="2.125" style="77" customWidth="1"/>
    <col min="63" max="63" width="2.25" style="77" customWidth="1"/>
    <col min="64" max="64" width="2.375" style="77" bestFit="1" customWidth="1"/>
    <col min="65" max="16384" width="2.125" style="77"/>
  </cols>
  <sheetData>
    <row r="1" spans="1:63" s="74" customFormat="1" ht="15" customHeight="1">
      <c r="A1" s="678" t="str">
        <f>表紙!A54</f>
        <v>Webシステム</v>
      </c>
      <c r="B1" s="679"/>
      <c r="C1" s="679"/>
      <c r="D1" s="679"/>
      <c r="E1" s="679"/>
      <c r="F1" s="679"/>
      <c r="G1" s="679"/>
      <c r="H1" s="679"/>
      <c r="I1" s="679"/>
      <c r="J1" s="680"/>
      <c r="K1" s="722" t="s">
        <v>128</v>
      </c>
      <c r="L1" s="723"/>
      <c r="M1" s="723"/>
      <c r="N1" s="723"/>
      <c r="O1" s="723"/>
      <c r="P1" s="723"/>
      <c r="Q1" s="723"/>
      <c r="R1" s="723"/>
      <c r="S1" s="723"/>
      <c r="T1" s="724"/>
      <c r="U1" s="725" t="s">
        <v>142</v>
      </c>
      <c r="V1" s="726"/>
      <c r="W1" s="726"/>
      <c r="X1" s="726"/>
      <c r="Y1" s="727"/>
      <c r="Z1" s="728" t="str">
        <f>表紙!$AJ$63</f>
        <v>MS</v>
      </c>
      <c r="AA1" s="729"/>
      <c r="AB1" s="729"/>
      <c r="AC1" s="729"/>
      <c r="AD1" s="730"/>
      <c r="AE1" s="737" t="s">
        <v>131</v>
      </c>
      <c r="AF1" s="689"/>
      <c r="AG1" s="689"/>
      <c r="AH1" s="689"/>
      <c r="AI1" s="690"/>
      <c r="AJ1" s="675" t="str">
        <f>表紙!$AX$63</f>
        <v>Webシステム</v>
      </c>
      <c r="AK1" s="676"/>
      <c r="AL1" s="676"/>
      <c r="AM1" s="676"/>
      <c r="AN1" s="676"/>
      <c r="AO1" s="676"/>
      <c r="AP1" s="676"/>
      <c r="AQ1" s="676"/>
      <c r="AR1" s="677"/>
      <c r="AS1" s="687" t="s">
        <v>101</v>
      </c>
      <c r="AT1" s="687"/>
      <c r="AU1" s="687"/>
      <c r="AV1" s="687"/>
      <c r="AW1" s="687"/>
      <c r="AX1" s="687"/>
      <c r="AY1" s="687"/>
      <c r="AZ1" s="688" t="s">
        <v>122</v>
      </c>
      <c r="BA1" s="689"/>
      <c r="BB1" s="689"/>
      <c r="BC1" s="689"/>
      <c r="BD1" s="689"/>
      <c r="BE1" s="690"/>
      <c r="BF1" s="688" t="s">
        <v>143</v>
      </c>
      <c r="BG1" s="689"/>
      <c r="BH1" s="689"/>
      <c r="BI1" s="689"/>
      <c r="BJ1" s="689"/>
      <c r="BK1" s="691"/>
    </row>
    <row r="2" spans="1:63" s="74" customFormat="1" ht="15" customHeight="1">
      <c r="A2" s="681"/>
      <c r="B2" s="682"/>
      <c r="C2" s="682"/>
      <c r="D2" s="682"/>
      <c r="E2" s="682"/>
      <c r="F2" s="682"/>
      <c r="G2" s="682"/>
      <c r="H2" s="682"/>
      <c r="I2" s="682"/>
      <c r="J2" s="683"/>
      <c r="K2" s="692" t="str">
        <f>表紙!O64</f>
        <v>アドオン設計書</v>
      </c>
      <c r="L2" s="693"/>
      <c r="M2" s="693"/>
      <c r="N2" s="693"/>
      <c r="O2" s="693"/>
      <c r="P2" s="693"/>
      <c r="Q2" s="693"/>
      <c r="R2" s="693"/>
      <c r="S2" s="693"/>
      <c r="T2" s="694"/>
      <c r="U2" s="695" t="s">
        <v>144</v>
      </c>
      <c r="V2" s="696"/>
      <c r="W2" s="696"/>
      <c r="X2" s="696"/>
      <c r="Y2" s="697"/>
      <c r="Z2" s="731" t="str">
        <f>表紙!$AJ$64</f>
        <v>MSBB</v>
      </c>
      <c r="AA2" s="732"/>
      <c r="AB2" s="732"/>
      <c r="AC2" s="732"/>
      <c r="AD2" s="733"/>
      <c r="AE2" s="734" t="s">
        <v>136</v>
      </c>
      <c r="AF2" s="735"/>
      <c r="AG2" s="735"/>
      <c r="AH2" s="735"/>
      <c r="AI2" s="736"/>
      <c r="AJ2" s="714" t="str">
        <f>表紙!$AX$64</f>
        <v>販売Webシステム</v>
      </c>
      <c r="AK2" s="715"/>
      <c r="AL2" s="715"/>
      <c r="AM2" s="715"/>
      <c r="AN2" s="715"/>
      <c r="AO2" s="715"/>
      <c r="AP2" s="715"/>
      <c r="AQ2" s="715"/>
      <c r="AR2" s="716"/>
      <c r="AS2" s="717" t="str">
        <f>表紙!$BL$64</f>
        <v>972501-0-0001</v>
      </c>
      <c r="AT2" s="718"/>
      <c r="AU2" s="718"/>
      <c r="AV2" s="718"/>
      <c r="AW2" s="718"/>
      <c r="AX2" s="718"/>
      <c r="AY2" s="718"/>
      <c r="AZ2" s="720" t="str">
        <f>表紙!$BU$64</f>
        <v>7.0.2</v>
      </c>
      <c r="BA2" s="693"/>
      <c r="BB2" s="693"/>
      <c r="BC2" s="693"/>
      <c r="BD2" s="693"/>
      <c r="BE2" s="694"/>
      <c r="BF2" s="698">
        <f>表紙!$CB$64</f>
        <v>1</v>
      </c>
      <c r="BG2" s="693"/>
      <c r="BH2" s="693"/>
      <c r="BI2" s="693"/>
      <c r="BJ2" s="693"/>
      <c r="BK2" s="699"/>
    </row>
    <row r="3" spans="1:63" s="74" customFormat="1" ht="15.75" customHeight="1" thickBot="1">
      <c r="A3" s="684"/>
      <c r="B3" s="685"/>
      <c r="C3" s="685"/>
      <c r="D3" s="685"/>
      <c r="E3" s="685"/>
      <c r="F3" s="685"/>
      <c r="G3" s="685"/>
      <c r="H3" s="685"/>
      <c r="I3" s="685"/>
      <c r="J3" s="686"/>
      <c r="K3" s="703" t="str">
        <f ca="1">RIGHT(CELL("filename",$A$1),LEN(CELL("filename",$A$1))-FIND("]",CELL("filename",$A$1)))</f>
        <v xml:space="preserve">項目説明 </v>
      </c>
      <c r="L3" s="704"/>
      <c r="M3" s="704"/>
      <c r="N3" s="704"/>
      <c r="O3" s="704"/>
      <c r="P3" s="704"/>
      <c r="Q3" s="704"/>
      <c r="R3" s="704"/>
      <c r="S3" s="704"/>
      <c r="T3" s="705"/>
      <c r="U3" s="706" t="s">
        <v>140</v>
      </c>
      <c r="V3" s="707"/>
      <c r="W3" s="707"/>
      <c r="X3" s="707"/>
      <c r="Y3" s="708"/>
      <c r="Z3" s="709" t="str">
        <f>表紙!$AJ$65</f>
        <v>MSBBRA050</v>
      </c>
      <c r="AA3" s="710"/>
      <c r="AB3" s="710"/>
      <c r="AC3" s="710"/>
      <c r="AD3" s="710"/>
      <c r="AE3" s="711" t="str">
        <f>表紙!$AQ$65</f>
        <v>受注伝票</v>
      </c>
      <c r="AF3" s="712"/>
      <c r="AG3" s="712"/>
      <c r="AH3" s="712"/>
      <c r="AI3" s="712"/>
      <c r="AJ3" s="712"/>
      <c r="AK3" s="712"/>
      <c r="AL3" s="712"/>
      <c r="AM3" s="712"/>
      <c r="AN3" s="712"/>
      <c r="AO3" s="712"/>
      <c r="AP3" s="712"/>
      <c r="AQ3" s="712"/>
      <c r="AR3" s="713"/>
      <c r="AS3" s="719"/>
      <c r="AT3" s="719"/>
      <c r="AU3" s="719"/>
      <c r="AV3" s="719"/>
      <c r="AW3" s="719"/>
      <c r="AX3" s="719"/>
      <c r="AY3" s="719"/>
      <c r="AZ3" s="700"/>
      <c r="BA3" s="701"/>
      <c r="BB3" s="701"/>
      <c r="BC3" s="701"/>
      <c r="BD3" s="701"/>
      <c r="BE3" s="721"/>
      <c r="BF3" s="700"/>
      <c r="BG3" s="701"/>
      <c r="BH3" s="701"/>
      <c r="BI3" s="701"/>
      <c r="BJ3" s="701"/>
      <c r="BK3" s="702"/>
    </row>
    <row r="4" spans="1:63" s="74" customFormat="1" ht="6.6" customHeight="1" thickBot="1">
      <c r="B4" s="70"/>
      <c r="C4" s="71"/>
      <c r="D4" s="71"/>
      <c r="E4" s="71"/>
      <c r="F4" s="72"/>
      <c r="G4" s="72"/>
      <c r="H4" s="72"/>
      <c r="I4" s="72"/>
      <c r="J4" s="71"/>
      <c r="K4" s="72"/>
      <c r="L4" s="72"/>
      <c r="M4" s="72"/>
      <c r="N4" s="72"/>
      <c r="O4" s="72"/>
      <c r="P4" s="72"/>
      <c r="Q4" s="73"/>
    </row>
    <row r="5" spans="1:63" ht="15.75" customHeight="1">
      <c r="A5" s="112"/>
      <c r="B5" s="113"/>
      <c r="C5" s="114" t="s">
        <v>179</v>
      </c>
      <c r="D5" s="115"/>
      <c r="E5" s="115"/>
      <c r="F5" s="115"/>
      <c r="G5" s="115"/>
      <c r="H5" s="115"/>
      <c r="I5" s="115"/>
      <c r="J5" s="115"/>
      <c r="K5" s="115"/>
      <c r="L5" s="115"/>
      <c r="M5" s="113"/>
      <c r="N5" s="114" t="s">
        <v>180</v>
      </c>
      <c r="O5" s="115"/>
      <c r="P5" s="115"/>
      <c r="Q5" s="113"/>
      <c r="R5" s="114" t="s">
        <v>181</v>
      </c>
      <c r="S5" s="113"/>
      <c r="T5" s="116" t="s">
        <v>182</v>
      </c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8"/>
      <c r="BK5" s="119" t="s">
        <v>183</v>
      </c>
    </row>
    <row r="6" spans="1:63" ht="15.75" customHeight="1">
      <c r="A6" s="120"/>
      <c r="B6" s="121"/>
      <c r="C6" s="122"/>
      <c r="D6" s="123"/>
      <c r="E6" s="123"/>
      <c r="F6" s="123"/>
      <c r="G6" s="123"/>
      <c r="H6" s="123"/>
      <c r="I6" s="123"/>
      <c r="J6" s="123"/>
      <c r="K6" s="123"/>
      <c r="L6" s="123"/>
      <c r="M6" s="121"/>
      <c r="N6" s="122"/>
      <c r="O6" s="123"/>
      <c r="P6" s="123"/>
      <c r="Q6" s="121"/>
      <c r="R6" s="122"/>
      <c r="S6" s="121"/>
      <c r="T6" s="122" t="s">
        <v>184</v>
      </c>
      <c r="U6" s="123"/>
      <c r="V6" s="123"/>
      <c r="W6" s="123"/>
      <c r="X6" s="123"/>
      <c r="Y6" s="123"/>
      <c r="Z6" s="123"/>
      <c r="AA6" s="121"/>
      <c r="AB6" s="123" t="s">
        <v>185</v>
      </c>
      <c r="AC6" s="123"/>
      <c r="AD6" s="123"/>
      <c r="AE6" s="123"/>
      <c r="AF6" s="123"/>
      <c r="AG6" s="123"/>
      <c r="AH6" s="123"/>
      <c r="AI6" s="121"/>
      <c r="AJ6" s="122" t="s">
        <v>186</v>
      </c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1"/>
      <c r="BK6" s="124"/>
    </row>
    <row r="7" spans="1:63" ht="15.75" customHeight="1">
      <c r="A7" s="111" t="s">
        <v>187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66"/>
    </row>
    <row r="8" spans="1:63" ht="15.75" customHeight="1">
      <c r="A8" s="93"/>
      <c r="B8" s="128"/>
      <c r="C8" s="129"/>
      <c r="D8" s="175"/>
      <c r="E8" s="176"/>
      <c r="F8" s="176"/>
      <c r="G8" s="176"/>
      <c r="H8" s="176"/>
      <c r="I8" s="176"/>
      <c r="J8" s="176"/>
      <c r="K8" s="176"/>
      <c r="L8" s="177"/>
      <c r="M8" s="130"/>
      <c r="N8" s="129"/>
      <c r="O8" s="176"/>
      <c r="P8" s="176"/>
      <c r="Q8" s="130"/>
      <c r="R8" s="131"/>
      <c r="S8" s="160"/>
      <c r="T8" s="129" t="s">
        <v>212</v>
      </c>
      <c r="U8" s="176"/>
      <c r="V8" s="176"/>
      <c r="W8" s="176"/>
      <c r="X8" s="176"/>
      <c r="Y8" s="176"/>
      <c r="Z8" s="176"/>
      <c r="AA8" s="130"/>
      <c r="AB8" s="176"/>
      <c r="AC8" s="176"/>
      <c r="AD8" s="176"/>
      <c r="AE8" s="176"/>
      <c r="AF8" s="176"/>
      <c r="AG8" s="176"/>
      <c r="AH8" s="176"/>
      <c r="AI8" s="130"/>
      <c r="AJ8" s="129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30"/>
      <c r="BK8" s="167"/>
    </row>
    <row r="9" spans="1:63" ht="15.75" customHeight="1">
      <c r="A9" s="93"/>
      <c r="B9" s="128"/>
      <c r="C9" s="129"/>
      <c r="D9" s="175"/>
      <c r="E9" s="176"/>
      <c r="F9" s="176"/>
      <c r="G9" s="176"/>
      <c r="H9" s="176"/>
      <c r="I9" s="176"/>
      <c r="J9" s="176"/>
      <c r="K9" s="176"/>
      <c r="L9" s="177"/>
      <c r="M9" s="130"/>
      <c r="N9" s="129"/>
      <c r="O9" s="176"/>
      <c r="P9" s="176"/>
      <c r="Q9" s="130"/>
      <c r="R9" s="131"/>
      <c r="S9" s="128"/>
      <c r="T9" s="129" t="s">
        <v>213</v>
      </c>
      <c r="U9" s="176"/>
      <c r="V9" s="176"/>
      <c r="W9" s="176"/>
      <c r="X9" s="176"/>
      <c r="Y9" s="176"/>
      <c r="Z9" s="176"/>
      <c r="AA9" s="130"/>
      <c r="AB9" s="176"/>
      <c r="AC9" s="176"/>
      <c r="AD9" s="176"/>
      <c r="AE9" s="176"/>
      <c r="AF9" s="176"/>
      <c r="AG9" s="176"/>
      <c r="AH9" s="176"/>
      <c r="AI9" s="130"/>
      <c r="AJ9" s="129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30"/>
      <c r="BK9" s="167"/>
    </row>
    <row r="10" spans="1:63" ht="15.75" customHeight="1">
      <c r="A10" s="93"/>
      <c r="B10" s="128"/>
      <c r="C10" s="129"/>
      <c r="D10" s="175"/>
      <c r="E10" s="176"/>
      <c r="F10" s="176"/>
      <c r="G10" s="176"/>
      <c r="H10" s="176"/>
      <c r="I10" s="176"/>
      <c r="J10" s="176"/>
      <c r="K10" s="176"/>
      <c r="L10" s="177"/>
      <c r="M10" s="130"/>
      <c r="N10" s="129"/>
      <c r="O10" s="176"/>
      <c r="P10" s="176"/>
      <c r="Q10" s="130"/>
      <c r="R10" s="131"/>
      <c r="S10" s="128"/>
      <c r="T10" s="129" t="s">
        <v>214</v>
      </c>
      <c r="U10" s="176"/>
      <c r="V10" s="176"/>
      <c r="W10" s="176"/>
      <c r="X10" s="176"/>
      <c r="Y10" s="176"/>
      <c r="Z10" s="176"/>
      <c r="AA10" s="130"/>
      <c r="AB10" s="176"/>
      <c r="AC10" s="176"/>
      <c r="AD10" s="176"/>
      <c r="AE10" s="176"/>
      <c r="AF10" s="176"/>
      <c r="AG10" s="176"/>
      <c r="AH10" s="176"/>
      <c r="AI10" s="130"/>
      <c r="AJ10" s="129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30"/>
      <c r="BK10" s="167"/>
    </row>
    <row r="11" spans="1:63" ht="15.75" customHeight="1">
      <c r="A11" s="93"/>
      <c r="B11" s="128"/>
      <c r="C11" s="129"/>
      <c r="D11" s="175"/>
      <c r="E11" s="176"/>
      <c r="F11" s="176"/>
      <c r="G11" s="176"/>
      <c r="H11" s="176"/>
      <c r="I11" s="176"/>
      <c r="J11" s="176"/>
      <c r="K11" s="176"/>
      <c r="L11" s="177"/>
      <c r="M11" s="130"/>
      <c r="N11" s="129"/>
      <c r="O11" s="176"/>
      <c r="P11" s="176"/>
      <c r="Q11" s="130"/>
      <c r="R11" s="131"/>
      <c r="S11" s="128"/>
      <c r="T11" s="129" t="s">
        <v>188</v>
      </c>
      <c r="U11" s="176"/>
      <c r="V11" s="176"/>
      <c r="W11" s="176"/>
      <c r="X11" s="176"/>
      <c r="Y11" s="176"/>
      <c r="Z11" s="176"/>
      <c r="AA11" s="130"/>
      <c r="AB11" s="176"/>
      <c r="AC11" s="176"/>
      <c r="AD11" s="176"/>
      <c r="AE11" s="176"/>
      <c r="AF11" s="176"/>
      <c r="AG11" s="176"/>
      <c r="AH11" s="176"/>
      <c r="AI11" s="130"/>
      <c r="AJ11" s="129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30"/>
      <c r="BK11" s="167"/>
    </row>
    <row r="12" spans="1:63" ht="15.75" customHeight="1">
      <c r="A12" s="274"/>
      <c r="B12" s="265"/>
      <c r="C12" s="266"/>
      <c r="D12" s="267"/>
      <c r="E12" s="268"/>
      <c r="F12" s="268"/>
      <c r="G12" s="268"/>
      <c r="H12" s="268"/>
      <c r="I12" s="268"/>
      <c r="J12" s="268"/>
      <c r="K12" s="268"/>
      <c r="L12" s="269"/>
      <c r="M12" s="270"/>
      <c r="N12" s="266"/>
      <c r="O12" s="268"/>
      <c r="P12" s="268"/>
      <c r="Q12" s="270"/>
      <c r="R12" s="272"/>
      <c r="S12" s="273"/>
      <c r="T12" s="266" t="s">
        <v>402</v>
      </c>
      <c r="U12" s="268"/>
      <c r="V12" s="268"/>
      <c r="W12" s="268"/>
      <c r="X12" s="268"/>
      <c r="Y12" s="268"/>
      <c r="Z12" s="268"/>
      <c r="AA12" s="270"/>
      <c r="AB12" s="268"/>
      <c r="AC12" s="268"/>
      <c r="AD12" s="268"/>
      <c r="AE12" s="268"/>
      <c r="AF12" s="268"/>
      <c r="AG12" s="268"/>
      <c r="AH12" s="268"/>
      <c r="AI12" s="270"/>
      <c r="AJ12" s="257" t="s">
        <v>404</v>
      </c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61"/>
      <c r="BK12" s="271"/>
    </row>
    <row r="13" spans="1:63" ht="15.75" customHeight="1">
      <c r="A13" s="274"/>
      <c r="B13" s="265"/>
      <c r="C13" s="266"/>
      <c r="D13" s="267"/>
      <c r="E13" s="268"/>
      <c r="F13" s="268"/>
      <c r="G13" s="268"/>
      <c r="H13" s="268"/>
      <c r="I13" s="268"/>
      <c r="J13" s="268"/>
      <c r="K13" s="268"/>
      <c r="L13" s="269"/>
      <c r="M13" s="270"/>
      <c r="N13" s="266"/>
      <c r="O13" s="268"/>
      <c r="P13" s="268"/>
      <c r="Q13" s="270"/>
      <c r="R13" s="272"/>
      <c r="S13" s="265"/>
      <c r="T13" s="266" t="s">
        <v>403</v>
      </c>
      <c r="U13" s="268"/>
      <c r="V13" s="268"/>
      <c r="W13" s="268"/>
      <c r="X13" s="268"/>
      <c r="Y13" s="268"/>
      <c r="Z13" s="268"/>
      <c r="AA13" s="270"/>
      <c r="AB13" s="268"/>
      <c r="AC13" s="268"/>
      <c r="AD13" s="268"/>
      <c r="AE13" s="268"/>
      <c r="AF13" s="268"/>
      <c r="AG13" s="268"/>
      <c r="AH13" s="268"/>
      <c r="AI13" s="270"/>
      <c r="AJ13" s="275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90"/>
      <c r="BK13" s="271"/>
    </row>
    <row r="14" spans="1:63" ht="15.75" customHeight="1">
      <c r="A14" s="93"/>
      <c r="B14" s="128"/>
      <c r="C14" s="129"/>
      <c r="D14" s="175"/>
      <c r="E14" s="176"/>
      <c r="F14" s="176"/>
      <c r="G14" s="176"/>
      <c r="H14" s="176"/>
      <c r="I14" s="176"/>
      <c r="J14" s="176"/>
      <c r="K14" s="176"/>
      <c r="L14" s="177"/>
      <c r="M14" s="130"/>
      <c r="N14" s="129"/>
      <c r="O14" s="176"/>
      <c r="P14" s="176"/>
      <c r="Q14" s="130"/>
      <c r="R14" s="131"/>
      <c r="S14" s="128"/>
      <c r="T14" s="129"/>
      <c r="U14" s="176"/>
      <c r="V14" s="176"/>
      <c r="W14" s="176"/>
      <c r="X14" s="176"/>
      <c r="Y14" s="176"/>
      <c r="Z14" s="176"/>
      <c r="AA14" s="130"/>
      <c r="AB14" s="176"/>
      <c r="AC14" s="176"/>
      <c r="AD14" s="176"/>
      <c r="AE14" s="176"/>
      <c r="AF14" s="176"/>
      <c r="AG14" s="176"/>
      <c r="AH14" s="176"/>
      <c r="AI14" s="130"/>
      <c r="AJ14" s="129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30"/>
      <c r="BK14" s="167"/>
    </row>
    <row r="15" spans="1:63" ht="15.75" customHeight="1">
      <c r="A15" s="111" t="s">
        <v>189</v>
      </c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66"/>
    </row>
    <row r="16" spans="1:63" ht="15.75" customHeight="1">
      <c r="A16" s="134" t="s">
        <v>190</v>
      </c>
      <c r="B16" s="135"/>
      <c r="C16" s="137" t="s">
        <v>329</v>
      </c>
      <c r="D16" s="138"/>
      <c r="E16" s="139"/>
      <c r="F16" s="139"/>
      <c r="G16" s="139"/>
      <c r="H16" s="139"/>
      <c r="I16" s="139"/>
      <c r="J16" s="139"/>
      <c r="K16" s="139"/>
      <c r="L16" s="140"/>
      <c r="M16" s="132"/>
      <c r="N16" s="137"/>
      <c r="O16" s="139"/>
      <c r="P16" s="139"/>
      <c r="Q16" s="132"/>
      <c r="R16" s="136"/>
      <c r="S16" s="161"/>
      <c r="T16" s="137" t="s">
        <v>330</v>
      </c>
      <c r="U16" s="139"/>
      <c r="V16" s="139"/>
      <c r="W16" s="139"/>
      <c r="X16" s="139"/>
      <c r="Y16" s="139"/>
      <c r="Z16" s="139"/>
      <c r="AA16" s="132"/>
      <c r="AB16" s="139" t="s">
        <v>331</v>
      </c>
      <c r="AC16" s="139"/>
      <c r="AD16" s="139"/>
      <c r="AE16" s="139"/>
      <c r="AF16" s="139"/>
      <c r="AG16" s="139"/>
      <c r="AH16" s="139"/>
      <c r="AI16" s="132"/>
      <c r="AJ16" s="137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2"/>
      <c r="BK16" s="133"/>
    </row>
    <row r="17" spans="1:63" ht="15.75" customHeight="1">
      <c r="A17" s="134" t="s">
        <v>191</v>
      </c>
      <c r="B17" s="135"/>
      <c r="C17" s="137" t="s">
        <v>215</v>
      </c>
      <c r="D17" s="138"/>
      <c r="E17" s="139"/>
      <c r="F17" s="139"/>
      <c r="G17" s="139"/>
      <c r="H17" s="139"/>
      <c r="I17" s="139"/>
      <c r="J17" s="139"/>
      <c r="K17" s="139"/>
      <c r="L17" s="140"/>
      <c r="M17" s="132"/>
      <c r="N17" s="137"/>
      <c r="O17" s="139"/>
      <c r="P17" s="139"/>
      <c r="Q17" s="132"/>
      <c r="R17" s="738"/>
      <c r="S17" s="739"/>
      <c r="T17" s="137" t="s">
        <v>212</v>
      </c>
      <c r="U17" s="139"/>
      <c r="V17" s="139"/>
      <c r="W17" s="139"/>
      <c r="X17" s="139"/>
      <c r="Y17" s="139"/>
      <c r="Z17" s="139"/>
      <c r="AA17" s="132"/>
      <c r="AB17" s="139" t="s">
        <v>215</v>
      </c>
      <c r="AC17" s="139"/>
      <c r="AD17" s="139"/>
      <c r="AE17" s="139"/>
      <c r="AF17" s="139"/>
      <c r="AG17" s="139"/>
      <c r="AH17" s="139"/>
      <c r="AI17" s="132"/>
      <c r="AJ17" s="137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2"/>
      <c r="BK17" s="133"/>
    </row>
    <row r="18" spans="1:63" ht="15.75" customHeight="1">
      <c r="A18" s="134" t="s">
        <v>193</v>
      </c>
      <c r="B18" s="135"/>
      <c r="C18" s="137" t="s">
        <v>216</v>
      </c>
      <c r="D18" s="138"/>
      <c r="E18" s="139"/>
      <c r="F18" s="139"/>
      <c r="G18" s="139"/>
      <c r="H18" s="139"/>
      <c r="I18" s="139"/>
      <c r="J18" s="139"/>
      <c r="K18" s="139"/>
      <c r="L18" s="140"/>
      <c r="M18" s="132"/>
      <c r="N18" s="137"/>
      <c r="O18" s="139"/>
      <c r="P18" s="139"/>
      <c r="Q18" s="132"/>
      <c r="R18" s="136"/>
      <c r="S18" s="161"/>
      <c r="T18" s="137" t="s">
        <v>212</v>
      </c>
      <c r="U18" s="139"/>
      <c r="V18" s="139"/>
      <c r="W18" s="139"/>
      <c r="X18" s="139"/>
      <c r="Y18" s="139"/>
      <c r="Z18" s="139"/>
      <c r="AA18" s="132"/>
      <c r="AB18" s="139" t="s">
        <v>232</v>
      </c>
      <c r="AC18" s="139"/>
      <c r="AD18" s="139"/>
      <c r="AE18" s="139"/>
      <c r="AF18" s="139"/>
      <c r="AG18" s="139"/>
      <c r="AH18" s="139"/>
      <c r="AI18" s="132"/>
      <c r="AJ18" s="137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2"/>
      <c r="BK18" s="133"/>
    </row>
    <row r="19" spans="1:63" ht="15.75" customHeight="1">
      <c r="A19" s="134" t="s">
        <v>336</v>
      </c>
      <c r="B19" s="128"/>
      <c r="C19" s="129" t="s">
        <v>217</v>
      </c>
      <c r="D19" s="175"/>
      <c r="E19" s="176"/>
      <c r="F19" s="176"/>
      <c r="G19" s="176"/>
      <c r="H19" s="176"/>
      <c r="I19" s="176"/>
      <c r="J19" s="176"/>
      <c r="K19" s="176"/>
      <c r="L19" s="177"/>
      <c r="M19" s="130"/>
      <c r="N19" s="129"/>
      <c r="O19" s="176"/>
      <c r="P19" s="176"/>
      <c r="Q19" s="130"/>
      <c r="R19" s="131"/>
      <c r="S19" s="160"/>
      <c r="T19" s="129" t="s">
        <v>212</v>
      </c>
      <c r="U19" s="176"/>
      <c r="V19" s="176"/>
      <c r="W19" s="176"/>
      <c r="X19" s="176"/>
      <c r="Y19" s="176"/>
      <c r="Z19" s="176"/>
      <c r="AA19" s="130"/>
      <c r="AB19" s="129" t="s">
        <v>217</v>
      </c>
      <c r="AC19" s="176"/>
      <c r="AD19" s="176"/>
      <c r="AE19" s="176"/>
      <c r="AF19" s="176"/>
      <c r="AG19" s="176"/>
      <c r="AH19" s="176"/>
      <c r="AI19" s="130"/>
      <c r="AJ19" s="129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76"/>
      <c r="BG19" s="176"/>
      <c r="BH19" s="176"/>
      <c r="BI19" s="176"/>
      <c r="BJ19" s="130"/>
      <c r="BK19" s="167"/>
    </row>
    <row r="20" spans="1:63" ht="15.75" customHeight="1">
      <c r="A20" s="134" t="s">
        <v>337</v>
      </c>
      <c r="B20" s="128"/>
      <c r="C20" s="129" t="s">
        <v>192</v>
      </c>
      <c r="D20" s="175"/>
      <c r="E20" s="176"/>
      <c r="F20" s="176"/>
      <c r="G20" s="176"/>
      <c r="H20" s="176"/>
      <c r="I20" s="176"/>
      <c r="J20" s="176"/>
      <c r="K20" s="176"/>
      <c r="L20" s="177"/>
      <c r="M20" s="130"/>
      <c r="N20" s="129"/>
      <c r="O20" s="176"/>
      <c r="P20" s="176"/>
      <c r="Q20" s="130"/>
      <c r="R20" s="131"/>
      <c r="S20" s="128"/>
      <c r="T20" s="129" t="s">
        <v>233</v>
      </c>
      <c r="U20" s="176"/>
      <c r="V20" s="176"/>
      <c r="W20" s="176"/>
      <c r="X20" s="176"/>
      <c r="Y20" s="176"/>
      <c r="Z20" s="176"/>
      <c r="AA20" s="130"/>
      <c r="AB20" s="176" t="s">
        <v>234</v>
      </c>
      <c r="AC20" s="176"/>
      <c r="AD20" s="176"/>
      <c r="AE20" s="176"/>
      <c r="AF20" s="176"/>
      <c r="AG20" s="176"/>
      <c r="AH20" s="176"/>
      <c r="AI20" s="130"/>
      <c r="AJ20" s="129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30"/>
      <c r="BK20" s="167"/>
    </row>
    <row r="21" spans="1:63" ht="15.75" customHeight="1">
      <c r="A21" s="134" t="s">
        <v>338</v>
      </c>
      <c r="B21" s="135"/>
      <c r="C21" s="137" t="s">
        <v>218</v>
      </c>
      <c r="D21" s="138"/>
      <c r="E21" s="139"/>
      <c r="F21" s="139"/>
      <c r="G21" s="139"/>
      <c r="H21" s="139"/>
      <c r="I21" s="139"/>
      <c r="J21" s="139"/>
      <c r="K21" s="139"/>
      <c r="L21" s="140"/>
      <c r="M21" s="132"/>
      <c r="N21" s="137"/>
      <c r="O21" s="139"/>
      <c r="P21" s="139"/>
      <c r="Q21" s="132"/>
      <c r="R21" s="136"/>
      <c r="S21" s="135"/>
      <c r="T21" s="129" t="s">
        <v>212</v>
      </c>
      <c r="U21" s="139"/>
      <c r="V21" s="139"/>
      <c r="W21" s="139"/>
      <c r="X21" s="139"/>
      <c r="Y21" s="139"/>
      <c r="Z21" s="139"/>
      <c r="AA21" s="132"/>
      <c r="AB21" s="137" t="s">
        <v>218</v>
      </c>
      <c r="AC21" s="139"/>
      <c r="AD21" s="139"/>
      <c r="AE21" s="139"/>
      <c r="AF21" s="139"/>
      <c r="AG21" s="139"/>
      <c r="AH21" s="139"/>
      <c r="AI21" s="132"/>
      <c r="AJ21" s="137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2"/>
      <c r="BK21" s="133"/>
    </row>
    <row r="22" spans="1:63" ht="15.75" customHeight="1">
      <c r="A22" s="134" t="s">
        <v>339</v>
      </c>
      <c r="B22" s="135"/>
      <c r="C22" s="137" t="s">
        <v>219</v>
      </c>
      <c r="D22" s="138"/>
      <c r="E22" s="139"/>
      <c r="F22" s="139"/>
      <c r="G22" s="139"/>
      <c r="H22" s="139"/>
      <c r="I22" s="139"/>
      <c r="J22" s="139"/>
      <c r="K22" s="139"/>
      <c r="L22" s="140"/>
      <c r="M22" s="132"/>
      <c r="N22" s="137"/>
      <c r="O22" s="139"/>
      <c r="P22" s="139"/>
      <c r="Q22" s="132"/>
      <c r="R22" s="738"/>
      <c r="S22" s="739"/>
      <c r="T22" s="129" t="s">
        <v>233</v>
      </c>
      <c r="U22" s="176"/>
      <c r="V22" s="176"/>
      <c r="W22" s="176"/>
      <c r="X22" s="176"/>
      <c r="Y22" s="176"/>
      <c r="Z22" s="176"/>
      <c r="AA22" s="130"/>
      <c r="AB22" s="176" t="s">
        <v>234</v>
      </c>
      <c r="AC22" s="139"/>
      <c r="AD22" s="139"/>
      <c r="AE22" s="139"/>
      <c r="AF22" s="139"/>
      <c r="AG22" s="139"/>
      <c r="AH22" s="139"/>
      <c r="AI22" s="132"/>
      <c r="AJ22" s="137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2"/>
      <c r="BK22" s="133"/>
    </row>
    <row r="23" spans="1:63" ht="15.75" customHeight="1">
      <c r="A23" s="134" t="s">
        <v>340</v>
      </c>
      <c r="B23" s="135"/>
      <c r="C23" s="137" t="s">
        <v>220</v>
      </c>
      <c r="D23" s="138"/>
      <c r="E23" s="139"/>
      <c r="F23" s="139"/>
      <c r="G23" s="139"/>
      <c r="H23" s="139"/>
      <c r="I23" s="139"/>
      <c r="J23" s="139"/>
      <c r="K23" s="139"/>
      <c r="L23" s="140"/>
      <c r="M23" s="132"/>
      <c r="N23" s="137"/>
      <c r="O23" s="139"/>
      <c r="P23" s="139"/>
      <c r="Q23" s="132"/>
      <c r="R23" s="136"/>
      <c r="S23" s="135"/>
      <c r="T23" s="129" t="s">
        <v>213</v>
      </c>
      <c r="U23" s="139"/>
      <c r="V23" s="139"/>
      <c r="W23" s="139"/>
      <c r="X23" s="139"/>
      <c r="Y23" s="139"/>
      <c r="Z23" s="139"/>
      <c r="AA23" s="132"/>
      <c r="AB23" s="139" t="s">
        <v>235</v>
      </c>
      <c r="AC23" s="139"/>
      <c r="AD23" s="139"/>
      <c r="AE23" s="139"/>
      <c r="AF23" s="139"/>
      <c r="AG23" s="139"/>
      <c r="AH23" s="139"/>
      <c r="AI23" s="132"/>
      <c r="AJ23" s="137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2"/>
      <c r="BK23" s="133"/>
    </row>
    <row r="24" spans="1:63" ht="15.75" customHeight="1">
      <c r="A24" s="134" t="s">
        <v>341</v>
      </c>
      <c r="B24" s="181"/>
      <c r="C24" s="137" t="s">
        <v>342</v>
      </c>
      <c r="D24" s="138"/>
      <c r="E24" s="139"/>
      <c r="F24" s="139"/>
      <c r="G24" s="139"/>
      <c r="H24" s="139"/>
      <c r="I24" s="139"/>
      <c r="J24" s="139"/>
      <c r="K24" s="139"/>
      <c r="L24" s="140"/>
      <c r="M24" s="132"/>
      <c r="N24" s="137"/>
      <c r="O24" s="139"/>
      <c r="P24" s="139"/>
      <c r="Q24" s="132"/>
      <c r="R24" s="136"/>
      <c r="S24" s="135"/>
      <c r="T24" s="129" t="s">
        <v>213</v>
      </c>
      <c r="U24" s="139"/>
      <c r="V24" s="139"/>
      <c r="W24" s="139"/>
      <c r="X24" s="139"/>
      <c r="Y24" s="139"/>
      <c r="Z24" s="139"/>
      <c r="AA24" s="132"/>
      <c r="AB24" s="139" t="s">
        <v>343</v>
      </c>
      <c r="AC24" s="139"/>
      <c r="AD24" s="139"/>
      <c r="AE24" s="139"/>
      <c r="AF24" s="139"/>
      <c r="AG24" s="139"/>
      <c r="AH24" s="139"/>
      <c r="AI24" s="132"/>
      <c r="AJ24" s="137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2"/>
      <c r="BK24" s="133"/>
    </row>
    <row r="25" spans="1:63" ht="15.75" customHeight="1">
      <c r="A25" s="134" t="s">
        <v>223</v>
      </c>
      <c r="B25" s="179"/>
      <c r="C25" s="129" t="s">
        <v>221</v>
      </c>
      <c r="D25" s="175"/>
      <c r="E25" s="176"/>
      <c r="F25" s="176"/>
      <c r="G25" s="176"/>
      <c r="H25" s="176"/>
      <c r="I25" s="176"/>
      <c r="J25" s="176"/>
      <c r="K25" s="176"/>
      <c r="L25" s="177"/>
      <c r="M25" s="130"/>
      <c r="N25" s="129"/>
      <c r="O25" s="176"/>
      <c r="P25" s="176"/>
      <c r="Q25" s="130"/>
      <c r="R25" s="131"/>
      <c r="S25" s="128"/>
      <c r="T25" s="129" t="s">
        <v>212</v>
      </c>
      <c r="U25" s="176"/>
      <c r="V25" s="176"/>
      <c r="W25" s="176"/>
      <c r="X25" s="176"/>
      <c r="Y25" s="176"/>
      <c r="Z25" s="176"/>
      <c r="AA25" s="130"/>
      <c r="AB25" s="129" t="s">
        <v>221</v>
      </c>
      <c r="AC25" s="176"/>
      <c r="AD25" s="176"/>
      <c r="AE25" s="176"/>
      <c r="AF25" s="176"/>
      <c r="AG25" s="176"/>
      <c r="AH25" s="176"/>
      <c r="AI25" s="130"/>
      <c r="AJ25" s="129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76"/>
      <c r="BB25" s="176"/>
      <c r="BC25" s="176"/>
      <c r="BD25" s="176"/>
      <c r="BE25" s="176"/>
      <c r="BF25" s="176"/>
      <c r="BG25" s="176"/>
      <c r="BH25" s="176"/>
      <c r="BI25" s="176"/>
      <c r="BJ25" s="130"/>
      <c r="BK25" s="180"/>
    </row>
    <row r="26" spans="1:63" ht="15.75" customHeight="1">
      <c r="A26" s="134" t="s">
        <v>228</v>
      </c>
      <c r="B26" s="141"/>
      <c r="C26" s="82" t="s">
        <v>222</v>
      </c>
      <c r="D26" s="50"/>
      <c r="E26" s="77"/>
      <c r="J26" s="77"/>
      <c r="L26" s="76"/>
      <c r="M26" s="83"/>
      <c r="N26" s="82"/>
      <c r="Q26" s="83"/>
      <c r="R26" s="84"/>
      <c r="S26" s="94"/>
      <c r="T26" s="129" t="s">
        <v>212</v>
      </c>
      <c r="AA26" s="83"/>
      <c r="AB26" s="82" t="s">
        <v>222</v>
      </c>
      <c r="AI26" s="83"/>
      <c r="AJ26" s="82"/>
      <c r="BJ26" s="83"/>
      <c r="BK26" s="125"/>
    </row>
    <row r="27" spans="1:63" ht="15.75" customHeight="1">
      <c r="A27" s="134" t="s">
        <v>229</v>
      </c>
      <c r="B27" s="128"/>
      <c r="C27" s="129" t="s">
        <v>224</v>
      </c>
      <c r="D27" s="175"/>
      <c r="E27" s="176"/>
      <c r="F27" s="176"/>
      <c r="G27" s="176"/>
      <c r="H27" s="176"/>
      <c r="I27" s="176"/>
      <c r="J27" s="176"/>
      <c r="K27" s="176"/>
      <c r="L27" s="177"/>
      <c r="M27" s="130"/>
      <c r="N27" s="129"/>
      <c r="O27" s="176"/>
      <c r="P27" s="176"/>
      <c r="Q27" s="130"/>
      <c r="R27" s="742"/>
      <c r="S27" s="743"/>
      <c r="T27" s="129" t="s">
        <v>188</v>
      </c>
      <c r="U27" s="176"/>
      <c r="V27" s="176"/>
      <c r="W27" s="176"/>
      <c r="X27" s="176"/>
      <c r="Y27" s="176"/>
      <c r="Z27" s="176"/>
      <c r="AA27" s="130"/>
      <c r="AB27" s="176" t="s">
        <v>236</v>
      </c>
      <c r="AC27" s="176"/>
      <c r="AD27" s="176"/>
      <c r="AE27" s="176"/>
      <c r="AF27" s="176"/>
      <c r="AG27" s="176"/>
      <c r="AH27" s="176"/>
      <c r="AI27" s="130"/>
      <c r="AJ27" s="129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/>
      <c r="BJ27" s="130"/>
      <c r="BK27" s="167"/>
    </row>
    <row r="28" spans="1:63" ht="15.75" customHeight="1">
      <c r="A28" s="134" t="s">
        <v>230</v>
      </c>
      <c r="B28" s="96"/>
      <c r="C28" s="85" t="s">
        <v>332</v>
      </c>
      <c r="D28" s="103"/>
      <c r="E28" s="86"/>
      <c r="F28" s="86"/>
      <c r="G28" s="86"/>
      <c r="H28" s="86"/>
      <c r="I28" s="86"/>
      <c r="J28" s="86"/>
      <c r="K28" s="86"/>
      <c r="L28" s="104"/>
      <c r="M28" s="87"/>
      <c r="N28" s="85"/>
      <c r="O28" s="86"/>
      <c r="P28" s="86"/>
      <c r="Q28" s="87"/>
      <c r="R28" s="126"/>
      <c r="S28" s="127"/>
      <c r="T28" s="129" t="s">
        <v>233</v>
      </c>
      <c r="U28" s="86"/>
      <c r="V28" s="86"/>
      <c r="W28" s="86"/>
      <c r="X28" s="86"/>
      <c r="Y28" s="86"/>
      <c r="Z28" s="86"/>
      <c r="AA28" s="87"/>
      <c r="AB28" s="85" t="s">
        <v>332</v>
      </c>
      <c r="AC28" s="86"/>
      <c r="AD28" s="86"/>
      <c r="AE28" s="86"/>
      <c r="AF28" s="86"/>
      <c r="AG28" s="86"/>
      <c r="AH28" s="86"/>
      <c r="AI28" s="87"/>
      <c r="AJ28" s="85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7"/>
      <c r="BK28" s="106"/>
    </row>
    <row r="29" spans="1:63" ht="15.75" customHeight="1">
      <c r="A29" s="134" t="s">
        <v>231</v>
      </c>
      <c r="B29" s="96"/>
      <c r="C29" s="85" t="s">
        <v>333</v>
      </c>
      <c r="D29" s="103"/>
      <c r="E29" s="86"/>
      <c r="F29" s="86"/>
      <c r="G29" s="86"/>
      <c r="H29" s="86"/>
      <c r="I29" s="86"/>
      <c r="J29" s="86"/>
      <c r="K29" s="86"/>
      <c r="L29" s="104"/>
      <c r="M29" s="87"/>
      <c r="N29" s="85"/>
      <c r="O29" s="86"/>
      <c r="P29" s="86"/>
      <c r="Q29" s="87"/>
      <c r="R29" s="126"/>
      <c r="S29" s="127"/>
      <c r="T29" s="129" t="s">
        <v>233</v>
      </c>
      <c r="U29" s="176"/>
      <c r="V29" s="176"/>
      <c r="W29" s="176"/>
      <c r="X29" s="176"/>
      <c r="Y29" s="176"/>
      <c r="Z29" s="176"/>
      <c r="AA29" s="130"/>
      <c r="AB29" s="129" t="s">
        <v>334</v>
      </c>
      <c r="AC29" s="176"/>
      <c r="AD29" s="176"/>
      <c r="AE29" s="176"/>
      <c r="AF29" s="176"/>
      <c r="AG29" s="86"/>
      <c r="AH29" s="86"/>
      <c r="AI29" s="87"/>
      <c r="AJ29" s="85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7"/>
      <c r="BK29" s="106"/>
    </row>
    <row r="30" spans="1:63" ht="15.75" customHeight="1">
      <c r="A30" s="134" t="s">
        <v>276</v>
      </c>
      <c r="B30" s="96"/>
      <c r="C30" s="85" t="s">
        <v>225</v>
      </c>
      <c r="D30" s="103"/>
      <c r="E30" s="86"/>
      <c r="F30" s="86"/>
      <c r="G30" s="86"/>
      <c r="H30" s="86"/>
      <c r="I30" s="86"/>
      <c r="J30" s="86"/>
      <c r="K30" s="86"/>
      <c r="L30" s="104"/>
      <c r="M30" s="87"/>
      <c r="N30" s="85"/>
      <c r="O30" s="86"/>
      <c r="P30" s="86"/>
      <c r="Q30" s="87"/>
      <c r="R30" s="126"/>
      <c r="S30" s="127"/>
      <c r="T30" s="129" t="s">
        <v>188</v>
      </c>
      <c r="U30" s="176"/>
      <c r="V30" s="176"/>
      <c r="W30" s="176"/>
      <c r="X30" s="176"/>
      <c r="Y30" s="176"/>
      <c r="Z30" s="176"/>
      <c r="AA30" s="130"/>
      <c r="AB30" s="176" t="s">
        <v>236</v>
      </c>
      <c r="AC30" s="176"/>
      <c r="AD30" s="176"/>
      <c r="AE30" s="176"/>
      <c r="AF30" s="176"/>
      <c r="AG30" s="86"/>
      <c r="AH30" s="86"/>
      <c r="AI30" s="87"/>
      <c r="AJ30" s="85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7"/>
      <c r="BK30" s="106"/>
    </row>
    <row r="31" spans="1:63" ht="15.75" customHeight="1">
      <c r="A31" s="134" t="s">
        <v>277</v>
      </c>
      <c r="B31" s="96"/>
      <c r="C31" s="85" t="s">
        <v>226</v>
      </c>
      <c r="D31" s="103"/>
      <c r="E31" s="86"/>
      <c r="F31" s="86"/>
      <c r="G31" s="86"/>
      <c r="H31" s="86"/>
      <c r="I31" s="86"/>
      <c r="J31" s="86"/>
      <c r="K31" s="86"/>
      <c r="L31" s="104"/>
      <c r="M31" s="87"/>
      <c r="N31" s="85"/>
      <c r="O31" s="86"/>
      <c r="P31" s="86"/>
      <c r="Q31" s="87"/>
      <c r="R31" s="126"/>
      <c r="S31" s="127"/>
      <c r="T31" s="85" t="s">
        <v>213</v>
      </c>
      <c r="U31" s="86"/>
      <c r="V31" s="86"/>
      <c r="W31" s="86"/>
      <c r="X31" s="86"/>
      <c r="Y31" s="86"/>
      <c r="Z31" s="86"/>
      <c r="AA31" s="87"/>
      <c r="AB31" s="86" t="s">
        <v>237</v>
      </c>
      <c r="AC31" s="86"/>
      <c r="AD31" s="86"/>
      <c r="AE31" s="86"/>
      <c r="AF31" s="86"/>
      <c r="AG31" s="86"/>
      <c r="AH31" s="86"/>
      <c r="AI31" s="87"/>
      <c r="AJ31" s="85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7"/>
      <c r="BK31" s="106"/>
    </row>
    <row r="32" spans="1:63" ht="15.75" customHeight="1">
      <c r="A32" s="134" t="s">
        <v>278</v>
      </c>
      <c r="B32" s="96"/>
      <c r="C32" s="85" t="s">
        <v>227</v>
      </c>
      <c r="D32" s="103"/>
      <c r="E32" s="86"/>
      <c r="F32" s="86"/>
      <c r="G32" s="86"/>
      <c r="H32" s="86"/>
      <c r="I32" s="86"/>
      <c r="J32" s="86"/>
      <c r="K32" s="86"/>
      <c r="L32" s="104"/>
      <c r="M32" s="87"/>
      <c r="N32" s="85"/>
      <c r="O32" s="86"/>
      <c r="P32" s="86"/>
      <c r="Q32" s="87"/>
      <c r="R32" s="95"/>
      <c r="S32" s="97"/>
      <c r="T32" s="85" t="s">
        <v>213</v>
      </c>
      <c r="U32" s="86"/>
      <c r="V32" s="86"/>
      <c r="W32" s="86"/>
      <c r="X32" s="86"/>
      <c r="Y32" s="86"/>
      <c r="Z32" s="86"/>
      <c r="AA32" s="87"/>
      <c r="AB32" s="85" t="s">
        <v>238</v>
      </c>
      <c r="AC32" s="86"/>
      <c r="AD32" s="86"/>
      <c r="AE32" s="86"/>
      <c r="AF32" s="86"/>
      <c r="AG32" s="86"/>
      <c r="AH32" s="86"/>
      <c r="AI32" s="87"/>
      <c r="AJ32" s="85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7"/>
      <c r="BK32" s="105"/>
    </row>
    <row r="33" spans="1:63" ht="15.75" customHeight="1">
      <c r="A33" s="134" t="s">
        <v>279</v>
      </c>
      <c r="B33" s="96"/>
      <c r="C33" s="85" t="s">
        <v>344</v>
      </c>
      <c r="D33" s="103"/>
      <c r="E33" s="86"/>
      <c r="F33" s="86"/>
      <c r="G33" s="86"/>
      <c r="H33" s="86"/>
      <c r="I33" s="86"/>
      <c r="J33" s="86"/>
      <c r="K33" s="86"/>
      <c r="L33" s="104"/>
      <c r="M33" s="87"/>
      <c r="N33" s="85"/>
      <c r="O33" s="86"/>
      <c r="P33" s="86"/>
      <c r="Q33" s="87"/>
      <c r="R33" s="95"/>
      <c r="S33" s="97"/>
      <c r="T33" s="85"/>
      <c r="U33" s="86"/>
      <c r="V33" s="86"/>
      <c r="W33" s="86"/>
      <c r="X33" s="86"/>
      <c r="Y33" s="86"/>
      <c r="Z33" s="86"/>
      <c r="AA33" s="87"/>
      <c r="AB33" s="85"/>
      <c r="AC33" s="86"/>
      <c r="AD33" s="86"/>
      <c r="AE33" s="86"/>
      <c r="AF33" s="86"/>
      <c r="AG33" s="86"/>
      <c r="AH33" s="86"/>
      <c r="AI33" s="87"/>
      <c r="AJ33" s="85" t="s">
        <v>345</v>
      </c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7"/>
      <c r="BK33" s="105"/>
    </row>
    <row r="34" spans="1:63" ht="15.75" customHeight="1">
      <c r="A34" s="134" t="s">
        <v>280</v>
      </c>
      <c r="B34" s="96"/>
      <c r="C34" s="85" t="s">
        <v>346</v>
      </c>
      <c r="D34" s="103"/>
      <c r="E34" s="86"/>
      <c r="F34" s="86"/>
      <c r="G34" s="86"/>
      <c r="H34" s="86"/>
      <c r="I34" s="86"/>
      <c r="J34" s="86"/>
      <c r="K34" s="86"/>
      <c r="L34" s="104"/>
      <c r="M34" s="87"/>
      <c r="N34" s="85"/>
      <c r="O34" s="86"/>
      <c r="P34" s="86"/>
      <c r="Q34" s="87"/>
      <c r="R34" s="95"/>
      <c r="S34" s="97"/>
      <c r="T34" s="85" t="s">
        <v>213</v>
      </c>
      <c r="U34" s="86"/>
      <c r="V34" s="86"/>
      <c r="W34" s="86"/>
      <c r="X34" s="86"/>
      <c r="Y34" s="86"/>
      <c r="Z34" s="86"/>
      <c r="AA34" s="87"/>
      <c r="AB34" s="85" t="s">
        <v>346</v>
      </c>
      <c r="AC34" s="86"/>
      <c r="AD34" s="86"/>
      <c r="AE34" s="86"/>
      <c r="AF34" s="86"/>
      <c r="AG34" s="86"/>
      <c r="AH34" s="86"/>
      <c r="AI34" s="87"/>
      <c r="AJ34" s="85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7"/>
      <c r="BK34" s="105"/>
    </row>
    <row r="35" spans="1:63" ht="15.75" customHeight="1">
      <c r="A35" s="111" t="s">
        <v>200</v>
      </c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66"/>
    </row>
    <row r="36" spans="1:63" ht="15.75" customHeight="1">
      <c r="A36" s="134" t="s">
        <v>190</v>
      </c>
      <c r="B36" s="135"/>
      <c r="C36" s="137" t="s">
        <v>347</v>
      </c>
      <c r="D36" s="138"/>
      <c r="E36" s="139"/>
      <c r="F36" s="139"/>
      <c r="G36" s="139"/>
      <c r="H36" s="139"/>
      <c r="I36" s="139"/>
      <c r="J36" s="139"/>
      <c r="K36" s="139"/>
      <c r="L36" s="140"/>
      <c r="M36" s="132"/>
      <c r="N36" s="137"/>
      <c r="O36" s="139"/>
      <c r="P36" s="139"/>
      <c r="Q36" s="132"/>
      <c r="R36" s="738"/>
      <c r="S36" s="739"/>
      <c r="T36" s="85" t="s">
        <v>213</v>
      </c>
      <c r="U36" s="139"/>
      <c r="V36" s="139"/>
      <c r="W36" s="139"/>
      <c r="X36" s="139"/>
      <c r="Y36" s="139"/>
      <c r="Z36" s="139"/>
      <c r="AA36" s="132"/>
      <c r="AB36" s="139" t="s">
        <v>348</v>
      </c>
      <c r="AC36" s="139"/>
      <c r="AD36" s="139"/>
      <c r="AE36" s="139"/>
      <c r="AF36" s="139"/>
      <c r="AG36" s="139"/>
      <c r="AH36" s="139"/>
      <c r="AI36" s="132"/>
      <c r="AJ36" s="137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2"/>
      <c r="BK36" s="133"/>
    </row>
    <row r="37" spans="1:63" ht="15.75" customHeight="1">
      <c r="A37" s="134" t="s">
        <v>191</v>
      </c>
      <c r="B37" s="135"/>
      <c r="C37" s="137" t="s">
        <v>239</v>
      </c>
      <c r="D37" s="138"/>
      <c r="E37" s="139"/>
      <c r="F37" s="139"/>
      <c r="G37" s="139"/>
      <c r="H37" s="139"/>
      <c r="I37" s="139"/>
      <c r="J37" s="139"/>
      <c r="K37" s="139"/>
      <c r="L37" s="140"/>
      <c r="M37" s="132"/>
      <c r="N37" s="137"/>
      <c r="O37" s="139"/>
      <c r="P37" s="139"/>
      <c r="Q37" s="132"/>
      <c r="R37" s="738"/>
      <c r="S37" s="739"/>
      <c r="T37" s="85" t="s">
        <v>213</v>
      </c>
      <c r="U37" s="139"/>
      <c r="V37" s="139"/>
      <c r="W37" s="139"/>
      <c r="X37" s="139"/>
      <c r="Y37" s="139"/>
      <c r="Z37" s="139"/>
      <c r="AA37" s="132"/>
      <c r="AB37" s="139" t="s">
        <v>303</v>
      </c>
      <c r="AC37" s="139"/>
      <c r="AD37" s="139"/>
      <c r="AE37" s="139"/>
      <c r="AF37" s="139"/>
      <c r="AG37" s="139"/>
      <c r="AH37" s="139"/>
      <c r="AI37" s="132"/>
      <c r="AJ37" s="137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2"/>
      <c r="BK37" s="133"/>
    </row>
    <row r="38" spans="1:63" ht="15.75" customHeight="1">
      <c r="A38" s="134" t="s">
        <v>335</v>
      </c>
      <c r="B38" s="135"/>
      <c r="C38" s="137" t="s">
        <v>211</v>
      </c>
      <c r="D38" s="138"/>
      <c r="E38" s="139"/>
      <c r="F38" s="139"/>
      <c r="G38" s="139"/>
      <c r="H38" s="139"/>
      <c r="I38" s="139"/>
      <c r="J38" s="139"/>
      <c r="K38" s="139"/>
      <c r="L38" s="140"/>
      <c r="M38" s="132"/>
      <c r="N38" s="137"/>
      <c r="O38" s="139"/>
      <c r="P38" s="139"/>
      <c r="Q38" s="132"/>
      <c r="R38" s="136"/>
      <c r="S38" s="161"/>
      <c r="T38" s="85" t="s">
        <v>213</v>
      </c>
      <c r="U38" s="139"/>
      <c r="V38" s="139"/>
      <c r="W38" s="139"/>
      <c r="X38" s="139"/>
      <c r="Y38" s="139"/>
      <c r="Z38" s="139"/>
      <c r="AA38" s="132"/>
      <c r="AB38" s="139" t="s">
        <v>211</v>
      </c>
      <c r="AC38" s="139"/>
      <c r="AD38" s="139"/>
      <c r="AE38" s="139"/>
      <c r="AF38" s="139"/>
      <c r="AG38" s="139"/>
      <c r="AH38" s="139"/>
      <c r="AI38" s="132"/>
      <c r="AJ38" s="137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2"/>
      <c r="BK38" s="133"/>
    </row>
    <row r="39" spans="1:63" ht="15.75" customHeight="1">
      <c r="A39" s="134" t="s">
        <v>336</v>
      </c>
      <c r="B39" s="128"/>
      <c r="C39" s="137" t="s">
        <v>349</v>
      </c>
      <c r="D39" s="175"/>
      <c r="E39" s="176"/>
      <c r="F39" s="176"/>
      <c r="G39" s="176"/>
      <c r="H39" s="176"/>
      <c r="I39" s="176"/>
      <c r="J39" s="176"/>
      <c r="K39" s="176"/>
      <c r="L39" s="177"/>
      <c r="M39" s="130"/>
      <c r="N39" s="129"/>
      <c r="O39" s="176"/>
      <c r="P39" s="176"/>
      <c r="Q39" s="130"/>
      <c r="R39" s="131"/>
      <c r="S39" s="160"/>
      <c r="T39" s="85" t="s">
        <v>213</v>
      </c>
      <c r="U39" s="176"/>
      <c r="V39" s="176"/>
      <c r="W39" s="176"/>
      <c r="X39" s="176"/>
      <c r="Y39" s="176"/>
      <c r="Z39" s="176"/>
      <c r="AA39" s="130"/>
      <c r="AB39" s="129" t="s">
        <v>349</v>
      </c>
      <c r="AC39" s="176"/>
      <c r="AD39" s="176"/>
      <c r="AE39" s="176"/>
      <c r="AF39" s="176"/>
      <c r="AG39" s="176"/>
      <c r="AH39" s="176"/>
      <c r="AI39" s="130"/>
      <c r="AJ39" s="129"/>
      <c r="AK39" s="176"/>
      <c r="AL39" s="176"/>
      <c r="AM39" s="176"/>
      <c r="AN39" s="176"/>
      <c r="AO39" s="176"/>
      <c r="AP39" s="176"/>
      <c r="AQ39" s="176"/>
      <c r="AR39" s="176"/>
      <c r="AS39" s="176"/>
      <c r="AT39" s="176"/>
      <c r="AU39" s="176"/>
      <c r="AV39" s="176"/>
      <c r="AW39" s="176"/>
      <c r="AX39" s="176"/>
      <c r="AY39" s="176"/>
      <c r="AZ39" s="176"/>
      <c r="BA39" s="176"/>
      <c r="BB39" s="176"/>
      <c r="BC39" s="176"/>
      <c r="BD39" s="176"/>
      <c r="BE39" s="176"/>
      <c r="BF39" s="176"/>
      <c r="BG39" s="176"/>
      <c r="BH39" s="176"/>
      <c r="BI39" s="176"/>
      <c r="BJ39" s="130"/>
      <c r="BK39" s="167"/>
    </row>
    <row r="40" spans="1:63" ht="15.75" customHeight="1">
      <c r="A40" s="134" t="s">
        <v>337</v>
      </c>
      <c r="B40" s="128"/>
      <c r="C40" s="129" t="s">
        <v>350</v>
      </c>
      <c r="D40" s="175"/>
      <c r="E40" s="176"/>
      <c r="F40" s="176"/>
      <c r="G40" s="176"/>
      <c r="H40" s="176"/>
      <c r="I40" s="176"/>
      <c r="J40" s="176"/>
      <c r="K40" s="176"/>
      <c r="L40" s="177"/>
      <c r="M40" s="130"/>
      <c r="N40" s="129"/>
      <c r="O40" s="176"/>
      <c r="P40" s="176"/>
      <c r="Q40" s="130"/>
      <c r="R40" s="131"/>
      <c r="S40" s="128"/>
      <c r="T40" s="85" t="s">
        <v>213</v>
      </c>
      <c r="U40" s="176"/>
      <c r="V40" s="176"/>
      <c r="W40" s="176"/>
      <c r="X40" s="176"/>
      <c r="Y40" s="176"/>
      <c r="Z40" s="176"/>
      <c r="AA40" s="130"/>
      <c r="AB40" s="176" t="s">
        <v>350</v>
      </c>
      <c r="AC40" s="176"/>
      <c r="AD40" s="176"/>
      <c r="AE40" s="176"/>
      <c r="AF40" s="176"/>
      <c r="AG40" s="176"/>
      <c r="AH40" s="176"/>
      <c r="AI40" s="130"/>
      <c r="AJ40" s="129"/>
      <c r="AK40" s="176"/>
      <c r="AL40" s="176"/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76"/>
      <c r="BG40" s="176"/>
      <c r="BH40" s="176"/>
      <c r="BI40" s="176"/>
      <c r="BJ40" s="130"/>
      <c r="BK40" s="167"/>
    </row>
    <row r="41" spans="1:63" ht="15.75" customHeight="1">
      <c r="A41" s="134" t="s">
        <v>338</v>
      </c>
      <c r="B41" s="135"/>
      <c r="C41" s="137" t="s">
        <v>240</v>
      </c>
      <c r="D41" s="138"/>
      <c r="E41" s="139"/>
      <c r="F41" s="139"/>
      <c r="G41" s="139"/>
      <c r="H41" s="139"/>
      <c r="I41" s="139"/>
      <c r="J41" s="139"/>
      <c r="K41" s="139"/>
      <c r="L41" s="140"/>
      <c r="M41" s="132"/>
      <c r="N41" s="137"/>
      <c r="O41" s="139"/>
      <c r="P41" s="139"/>
      <c r="Q41" s="132"/>
      <c r="R41" s="136"/>
      <c r="S41" s="135"/>
      <c r="T41" s="129" t="s">
        <v>214</v>
      </c>
      <c r="U41" s="139"/>
      <c r="V41" s="139"/>
      <c r="W41" s="139"/>
      <c r="X41" s="139"/>
      <c r="Y41" s="139"/>
      <c r="Z41" s="139"/>
      <c r="AA41" s="132"/>
      <c r="AB41" s="137" t="s">
        <v>304</v>
      </c>
      <c r="AC41" s="139"/>
      <c r="AD41" s="139"/>
      <c r="AE41" s="139"/>
      <c r="AF41" s="139"/>
      <c r="AG41" s="139"/>
      <c r="AH41" s="139"/>
      <c r="AI41" s="132"/>
      <c r="AJ41" s="137" t="s">
        <v>305</v>
      </c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2"/>
      <c r="BK41" s="133"/>
    </row>
    <row r="42" spans="1:63" ht="15.75" customHeight="1">
      <c r="A42" s="134" t="s">
        <v>339</v>
      </c>
      <c r="B42" s="135"/>
      <c r="C42" s="137" t="s">
        <v>241</v>
      </c>
      <c r="D42" s="138"/>
      <c r="E42" s="139"/>
      <c r="F42" s="139"/>
      <c r="G42" s="139"/>
      <c r="H42" s="139"/>
      <c r="I42" s="139"/>
      <c r="J42" s="139"/>
      <c r="K42" s="139"/>
      <c r="L42" s="140"/>
      <c r="M42" s="132"/>
      <c r="N42" s="137"/>
      <c r="O42" s="139"/>
      <c r="P42" s="139"/>
      <c r="Q42" s="132"/>
      <c r="R42" s="738"/>
      <c r="S42" s="739"/>
      <c r="T42" s="129" t="s">
        <v>214</v>
      </c>
      <c r="U42" s="176"/>
      <c r="V42" s="176"/>
      <c r="W42" s="176"/>
      <c r="X42" s="176"/>
      <c r="Y42" s="176"/>
      <c r="Z42" s="176"/>
      <c r="AA42" s="130"/>
      <c r="AB42" s="137" t="s">
        <v>304</v>
      </c>
      <c r="AC42" s="139"/>
      <c r="AD42" s="139"/>
      <c r="AE42" s="139"/>
      <c r="AF42" s="139"/>
      <c r="AG42" s="139"/>
      <c r="AH42" s="139"/>
      <c r="AI42" s="132"/>
      <c r="AJ42" s="137" t="s">
        <v>305</v>
      </c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2"/>
      <c r="BK42" s="133"/>
    </row>
    <row r="43" spans="1:63" ht="15.75" customHeight="1">
      <c r="A43" s="134" t="s">
        <v>340</v>
      </c>
      <c r="B43" s="135"/>
      <c r="C43" s="137" t="s">
        <v>242</v>
      </c>
      <c r="D43" s="138"/>
      <c r="E43" s="139"/>
      <c r="F43" s="139"/>
      <c r="G43" s="139"/>
      <c r="H43" s="139"/>
      <c r="I43" s="139"/>
      <c r="J43" s="139"/>
      <c r="K43" s="139"/>
      <c r="L43" s="140"/>
      <c r="M43" s="132"/>
      <c r="N43" s="137"/>
      <c r="O43" s="139"/>
      <c r="P43" s="139"/>
      <c r="Q43" s="132"/>
      <c r="R43" s="136"/>
      <c r="S43" s="135"/>
      <c r="T43" s="129" t="s">
        <v>214</v>
      </c>
      <c r="U43" s="139"/>
      <c r="V43" s="139"/>
      <c r="W43" s="139"/>
      <c r="X43" s="139"/>
      <c r="Y43" s="139"/>
      <c r="Z43" s="139"/>
      <c r="AA43" s="132"/>
      <c r="AB43" s="137" t="s">
        <v>304</v>
      </c>
      <c r="AC43" s="139"/>
      <c r="AD43" s="139"/>
      <c r="AE43" s="139"/>
      <c r="AF43" s="139"/>
      <c r="AG43" s="139"/>
      <c r="AH43" s="139"/>
      <c r="AI43" s="132"/>
      <c r="AJ43" s="137" t="s">
        <v>305</v>
      </c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2"/>
      <c r="BK43" s="133"/>
    </row>
    <row r="44" spans="1:63" ht="15.75" customHeight="1">
      <c r="A44" s="134" t="s">
        <v>341</v>
      </c>
      <c r="B44" s="179"/>
      <c r="C44" s="137" t="s">
        <v>243</v>
      </c>
      <c r="D44" s="175"/>
      <c r="E44" s="176"/>
      <c r="F44" s="176"/>
      <c r="G44" s="176"/>
      <c r="H44" s="176"/>
      <c r="I44" s="176"/>
      <c r="J44" s="176"/>
      <c r="K44" s="176"/>
      <c r="L44" s="177"/>
      <c r="M44" s="130"/>
      <c r="N44" s="129"/>
      <c r="O44" s="176"/>
      <c r="P44" s="176"/>
      <c r="Q44" s="130"/>
      <c r="R44" s="131"/>
      <c r="S44" s="128"/>
      <c r="T44" s="129" t="s">
        <v>214</v>
      </c>
      <c r="U44" s="176"/>
      <c r="V44" s="176"/>
      <c r="W44" s="176"/>
      <c r="X44" s="176"/>
      <c r="Y44" s="176"/>
      <c r="Z44" s="176"/>
      <c r="AA44" s="130"/>
      <c r="AB44" s="137" t="s">
        <v>304</v>
      </c>
      <c r="AC44" s="176"/>
      <c r="AD44" s="176"/>
      <c r="AE44" s="176"/>
      <c r="AF44" s="176"/>
      <c r="AG44" s="176"/>
      <c r="AH44" s="176"/>
      <c r="AI44" s="130"/>
      <c r="AJ44" s="137" t="s">
        <v>305</v>
      </c>
      <c r="AK44" s="176"/>
      <c r="AL44" s="176"/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6"/>
      <c r="AX44" s="176"/>
      <c r="AY44" s="176"/>
      <c r="AZ44" s="176"/>
      <c r="BA44" s="176"/>
      <c r="BB44" s="176"/>
      <c r="BC44" s="176"/>
      <c r="BD44" s="176"/>
      <c r="BE44" s="176"/>
      <c r="BF44" s="176"/>
      <c r="BG44" s="176"/>
      <c r="BH44" s="176"/>
      <c r="BI44" s="176"/>
      <c r="BJ44" s="130"/>
      <c r="BK44" s="180"/>
    </row>
    <row r="45" spans="1:63" ht="15.75" customHeight="1">
      <c r="A45" s="134" t="s">
        <v>223</v>
      </c>
      <c r="B45" s="141"/>
      <c r="C45" s="137" t="s">
        <v>244</v>
      </c>
      <c r="D45" s="50"/>
      <c r="E45" s="77"/>
      <c r="J45" s="77"/>
      <c r="L45" s="76"/>
      <c r="M45" s="83"/>
      <c r="N45" s="82"/>
      <c r="Q45" s="83"/>
      <c r="R45" s="84"/>
      <c r="S45" s="94"/>
      <c r="T45" s="129" t="s">
        <v>214</v>
      </c>
      <c r="AA45" s="83"/>
      <c r="AB45" s="137" t="s">
        <v>304</v>
      </c>
      <c r="AI45" s="83"/>
      <c r="AJ45" s="137" t="s">
        <v>305</v>
      </c>
      <c r="BJ45" s="83"/>
      <c r="BK45" s="125"/>
    </row>
    <row r="46" spans="1:63" ht="15.75" customHeight="1">
      <c r="A46" s="134" t="s">
        <v>228</v>
      </c>
      <c r="B46" s="135"/>
      <c r="C46" s="137" t="s">
        <v>245</v>
      </c>
      <c r="D46" s="138"/>
      <c r="E46" s="139"/>
      <c r="F46" s="139"/>
      <c r="G46" s="139"/>
      <c r="H46" s="139"/>
      <c r="I46" s="139"/>
      <c r="J46" s="139"/>
      <c r="K46" s="139"/>
      <c r="L46" s="140"/>
      <c r="M46" s="132"/>
      <c r="N46" s="137"/>
      <c r="O46" s="139"/>
      <c r="P46" s="139"/>
      <c r="Q46" s="132"/>
      <c r="R46" s="738"/>
      <c r="S46" s="739"/>
      <c r="T46" s="129" t="s">
        <v>214</v>
      </c>
      <c r="U46" s="139"/>
      <c r="V46" s="139"/>
      <c r="W46" s="139"/>
      <c r="X46" s="139"/>
      <c r="Y46" s="139"/>
      <c r="Z46" s="139"/>
      <c r="AA46" s="132"/>
      <c r="AB46" s="137" t="s">
        <v>304</v>
      </c>
      <c r="AC46" s="139"/>
      <c r="AD46" s="139"/>
      <c r="AE46" s="139"/>
      <c r="AF46" s="139"/>
      <c r="AG46" s="139"/>
      <c r="AH46" s="139"/>
      <c r="AI46" s="132"/>
      <c r="AJ46" s="137" t="s">
        <v>305</v>
      </c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2"/>
      <c r="BK46" s="133"/>
    </row>
    <row r="47" spans="1:63" ht="15.75" customHeight="1">
      <c r="A47" s="134" t="s">
        <v>229</v>
      </c>
      <c r="B47" s="135"/>
      <c r="C47" s="137" t="s">
        <v>246</v>
      </c>
      <c r="D47" s="138"/>
      <c r="E47" s="139"/>
      <c r="F47" s="139"/>
      <c r="G47" s="139"/>
      <c r="H47" s="139"/>
      <c r="I47" s="139"/>
      <c r="J47" s="139"/>
      <c r="K47" s="139"/>
      <c r="L47" s="140"/>
      <c r="M47" s="132"/>
      <c r="N47" s="137"/>
      <c r="O47" s="139"/>
      <c r="P47" s="139"/>
      <c r="Q47" s="132"/>
      <c r="R47" s="136"/>
      <c r="S47" s="161"/>
      <c r="T47" s="129" t="s">
        <v>214</v>
      </c>
      <c r="U47" s="139"/>
      <c r="V47" s="139"/>
      <c r="W47" s="139"/>
      <c r="X47" s="139"/>
      <c r="Y47" s="139"/>
      <c r="Z47" s="139"/>
      <c r="AA47" s="132"/>
      <c r="AB47" s="137" t="s">
        <v>304</v>
      </c>
      <c r="AC47" s="139"/>
      <c r="AD47" s="139"/>
      <c r="AE47" s="139"/>
      <c r="AF47" s="139"/>
      <c r="AG47" s="139"/>
      <c r="AH47" s="139"/>
      <c r="AI47" s="132"/>
      <c r="AJ47" s="137" t="s">
        <v>305</v>
      </c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2"/>
      <c r="BK47" s="133"/>
    </row>
    <row r="48" spans="1:63" ht="15.75" customHeight="1">
      <c r="A48" s="134" t="s">
        <v>230</v>
      </c>
      <c r="B48" s="128"/>
      <c r="C48" s="137" t="s">
        <v>247</v>
      </c>
      <c r="D48" s="175"/>
      <c r="E48" s="176"/>
      <c r="F48" s="176"/>
      <c r="G48" s="176"/>
      <c r="H48" s="176"/>
      <c r="I48" s="176"/>
      <c r="J48" s="176"/>
      <c r="K48" s="176"/>
      <c r="L48" s="177"/>
      <c r="M48" s="130"/>
      <c r="N48" s="129"/>
      <c r="O48" s="176"/>
      <c r="P48" s="176"/>
      <c r="Q48" s="130"/>
      <c r="R48" s="131"/>
      <c r="S48" s="160"/>
      <c r="T48" s="129" t="s">
        <v>214</v>
      </c>
      <c r="U48" s="176"/>
      <c r="V48" s="176"/>
      <c r="W48" s="176"/>
      <c r="X48" s="176"/>
      <c r="Y48" s="176"/>
      <c r="Z48" s="176"/>
      <c r="AA48" s="130"/>
      <c r="AB48" s="137" t="s">
        <v>304</v>
      </c>
      <c r="AC48" s="176"/>
      <c r="AD48" s="176"/>
      <c r="AE48" s="176"/>
      <c r="AF48" s="176"/>
      <c r="AG48" s="176"/>
      <c r="AH48" s="176"/>
      <c r="AI48" s="130"/>
      <c r="AJ48" s="137" t="s">
        <v>305</v>
      </c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6"/>
      <c r="AX48" s="176"/>
      <c r="AY48" s="176"/>
      <c r="AZ48" s="176"/>
      <c r="BA48" s="176"/>
      <c r="BB48" s="176"/>
      <c r="BC48" s="176"/>
      <c r="BD48" s="176"/>
      <c r="BE48" s="176"/>
      <c r="BF48" s="176"/>
      <c r="BG48" s="176"/>
      <c r="BH48" s="176"/>
      <c r="BI48" s="176"/>
      <c r="BJ48" s="130"/>
      <c r="BK48" s="167"/>
    </row>
    <row r="49" spans="1:63" ht="15.75" customHeight="1">
      <c r="A49" s="134" t="s">
        <v>231</v>
      </c>
      <c r="B49" s="128"/>
      <c r="C49" s="129" t="s">
        <v>248</v>
      </c>
      <c r="D49" s="175"/>
      <c r="E49" s="176"/>
      <c r="F49" s="176"/>
      <c r="G49" s="176"/>
      <c r="H49" s="176"/>
      <c r="I49" s="176"/>
      <c r="J49" s="176"/>
      <c r="K49" s="176"/>
      <c r="L49" s="177"/>
      <c r="M49" s="130"/>
      <c r="N49" s="129"/>
      <c r="O49" s="176"/>
      <c r="P49" s="176"/>
      <c r="Q49" s="130"/>
      <c r="R49" s="131"/>
      <c r="S49" s="128"/>
      <c r="T49" s="85" t="s">
        <v>213</v>
      </c>
      <c r="U49" s="176"/>
      <c r="V49" s="176"/>
      <c r="W49" s="176"/>
      <c r="X49" s="176"/>
      <c r="Y49" s="176"/>
      <c r="Z49" s="176"/>
      <c r="AA49" s="130"/>
      <c r="AB49" s="176" t="s">
        <v>306</v>
      </c>
      <c r="AC49" s="176"/>
      <c r="AD49" s="176"/>
      <c r="AE49" s="176"/>
      <c r="AF49" s="176"/>
      <c r="AG49" s="176"/>
      <c r="AH49" s="176"/>
      <c r="AI49" s="130"/>
      <c r="AJ49" s="129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6"/>
      <c r="AX49" s="176"/>
      <c r="AY49" s="176"/>
      <c r="AZ49" s="176"/>
      <c r="BA49" s="176"/>
      <c r="BB49" s="176"/>
      <c r="BC49" s="176"/>
      <c r="BD49" s="176"/>
      <c r="BE49" s="176"/>
      <c r="BF49" s="176"/>
      <c r="BG49" s="176"/>
      <c r="BH49" s="176"/>
      <c r="BI49" s="176"/>
      <c r="BJ49" s="130"/>
      <c r="BK49" s="167"/>
    </row>
    <row r="50" spans="1:63" ht="15.75" customHeight="1">
      <c r="A50" s="134" t="s">
        <v>276</v>
      </c>
      <c r="B50" s="135"/>
      <c r="C50" s="137" t="s">
        <v>249</v>
      </c>
      <c r="D50" s="138"/>
      <c r="E50" s="139"/>
      <c r="F50" s="139"/>
      <c r="G50" s="139"/>
      <c r="H50" s="139"/>
      <c r="I50" s="139"/>
      <c r="J50" s="139"/>
      <c r="K50" s="139"/>
      <c r="L50" s="140"/>
      <c r="M50" s="132"/>
      <c r="N50" s="137"/>
      <c r="O50" s="139"/>
      <c r="P50" s="139"/>
      <c r="Q50" s="132"/>
      <c r="R50" s="136"/>
      <c r="S50" s="135"/>
      <c r="T50" s="85" t="s">
        <v>213</v>
      </c>
      <c r="U50" s="139"/>
      <c r="V50" s="139"/>
      <c r="W50" s="139"/>
      <c r="X50" s="139"/>
      <c r="Y50" s="139"/>
      <c r="Z50" s="139"/>
      <c r="AA50" s="132"/>
      <c r="AB50" s="137" t="s">
        <v>249</v>
      </c>
      <c r="AC50" s="139"/>
      <c r="AD50" s="139"/>
      <c r="AE50" s="139"/>
      <c r="AF50" s="139"/>
      <c r="AG50" s="139"/>
      <c r="AH50" s="139"/>
      <c r="AI50" s="132"/>
      <c r="AJ50" s="137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2"/>
      <c r="BK50" s="133"/>
    </row>
    <row r="51" spans="1:63" ht="15.75" customHeight="1">
      <c r="A51" s="134" t="s">
        <v>277</v>
      </c>
      <c r="B51" s="135"/>
      <c r="C51" s="137" t="s">
        <v>250</v>
      </c>
      <c r="D51" s="138"/>
      <c r="E51" s="139"/>
      <c r="F51" s="139"/>
      <c r="G51" s="139"/>
      <c r="H51" s="139"/>
      <c r="I51" s="139"/>
      <c r="J51" s="139"/>
      <c r="K51" s="139"/>
      <c r="L51" s="140"/>
      <c r="M51" s="132"/>
      <c r="N51" s="137"/>
      <c r="O51" s="139"/>
      <c r="P51" s="139"/>
      <c r="Q51" s="132"/>
      <c r="R51" s="738"/>
      <c r="S51" s="739"/>
      <c r="T51" s="85" t="s">
        <v>213</v>
      </c>
      <c r="U51" s="176"/>
      <c r="V51" s="176"/>
      <c r="W51" s="176"/>
      <c r="X51" s="176"/>
      <c r="Y51" s="176"/>
      <c r="Z51" s="176"/>
      <c r="AA51" s="130"/>
      <c r="AB51" s="137" t="s">
        <v>250</v>
      </c>
      <c r="AC51" s="139"/>
      <c r="AD51" s="139"/>
      <c r="AE51" s="139"/>
      <c r="AF51" s="139"/>
      <c r="AG51" s="139"/>
      <c r="AH51" s="139"/>
      <c r="AI51" s="132"/>
      <c r="AJ51" s="137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2"/>
      <c r="BK51" s="133"/>
    </row>
    <row r="52" spans="1:63" ht="15.75" customHeight="1">
      <c r="A52" s="134" t="s">
        <v>278</v>
      </c>
      <c r="B52" s="135"/>
      <c r="C52" s="137" t="s">
        <v>251</v>
      </c>
      <c r="D52" s="138"/>
      <c r="E52" s="139"/>
      <c r="F52" s="139"/>
      <c r="G52" s="139"/>
      <c r="H52" s="139"/>
      <c r="I52" s="139"/>
      <c r="J52" s="139"/>
      <c r="K52" s="139"/>
      <c r="L52" s="140"/>
      <c r="M52" s="132"/>
      <c r="N52" s="137"/>
      <c r="O52" s="139"/>
      <c r="P52" s="139"/>
      <c r="Q52" s="132"/>
      <c r="R52" s="136"/>
      <c r="S52" s="135"/>
      <c r="T52" s="85" t="s">
        <v>330</v>
      </c>
      <c r="U52" s="139"/>
      <c r="V52" s="139"/>
      <c r="W52" s="139"/>
      <c r="X52" s="139"/>
      <c r="Y52" s="139"/>
      <c r="Z52" s="139"/>
      <c r="AA52" s="132"/>
      <c r="AB52" s="139" t="s">
        <v>354</v>
      </c>
      <c r="AC52" s="139"/>
      <c r="AD52" s="139"/>
      <c r="AE52" s="139"/>
      <c r="AF52" s="139"/>
      <c r="AG52" s="139"/>
      <c r="AH52" s="139"/>
      <c r="AI52" s="132"/>
      <c r="AJ52" s="137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2"/>
      <c r="BK52" s="133"/>
    </row>
    <row r="53" spans="1:63" ht="15.75" customHeight="1">
      <c r="A53" s="134" t="s">
        <v>279</v>
      </c>
      <c r="B53" s="179"/>
      <c r="C53" s="129" t="s">
        <v>252</v>
      </c>
      <c r="D53" s="175"/>
      <c r="E53" s="176"/>
      <c r="F53" s="176"/>
      <c r="G53" s="176"/>
      <c r="H53" s="176"/>
      <c r="I53" s="176"/>
      <c r="J53" s="176"/>
      <c r="K53" s="176"/>
      <c r="L53" s="177"/>
      <c r="M53" s="130"/>
      <c r="N53" s="129"/>
      <c r="O53" s="176"/>
      <c r="P53" s="176"/>
      <c r="Q53" s="130"/>
      <c r="R53" s="131"/>
      <c r="S53" s="128"/>
      <c r="T53" s="85"/>
      <c r="U53" s="176"/>
      <c r="V53" s="176"/>
      <c r="W53" s="176"/>
      <c r="X53" s="176"/>
      <c r="Y53" s="176"/>
      <c r="Z53" s="176"/>
      <c r="AA53" s="130"/>
      <c r="AB53" s="129"/>
      <c r="AC53" s="176"/>
      <c r="AD53" s="176"/>
      <c r="AE53" s="176"/>
      <c r="AF53" s="176"/>
      <c r="AG53" s="176"/>
      <c r="AH53" s="176"/>
      <c r="AI53" s="130"/>
      <c r="AJ53" s="129" t="s">
        <v>351</v>
      </c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176"/>
      <c r="AY53" s="176"/>
      <c r="AZ53" s="176"/>
      <c r="BA53" s="176"/>
      <c r="BB53" s="176"/>
      <c r="BC53" s="176"/>
      <c r="BD53" s="176"/>
      <c r="BE53" s="176"/>
      <c r="BF53" s="176"/>
      <c r="BG53" s="176"/>
      <c r="BH53" s="176"/>
      <c r="BI53" s="176"/>
      <c r="BJ53" s="130"/>
      <c r="BK53" s="180"/>
    </row>
    <row r="54" spans="1:63" ht="15.75" customHeight="1">
      <c r="A54" s="134" t="s">
        <v>280</v>
      </c>
      <c r="B54" s="179"/>
      <c r="C54" s="129" t="s">
        <v>253</v>
      </c>
      <c r="D54" s="175"/>
      <c r="E54" s="176"/>
      <c r="F54" s="176"/>
      <c r="G54" s="176"/>
      <c r="H54" s="176"/>
      <c r="I54" s="176"/>
      <c r="J54" s="176"/>
      <c r="K54" s="176"/>
      <c r="L54" s="177"/>
      <c r="M54" s="130"/>
      <c r="N54" s="129"/>
      <c r="O54" s="176"/>
      <c r="P54" s="176"/>
      <c r="Q54" s="130"/>
      <c r="R54" s="131"/>
      <c r="S54" s="128"/>
      <c r="T54" s="85" t="s">
        <v>213</v>
      </c>
      <c r="U54" s="176"/>
      <c r="V54" s="176"/>
      <c r="W54" s="176"/>
      <c r="X54" s="176"/>
      <c r="Y54" s="176"/>
      <c r="Z54" s="176"/>
      <c r="AA54" s="130"/>
      <c r="AB54" s="129" t="s">
        <v>352</v>
      </c>
      <c r="AC54" s="176"/>
      <c r="AD54" s="176"/>
      <c r="AE54" s="176"/>
      <c r="AF54" s="176"/>
      <c r="AG54" s="176"/>
      <c r="AH54" s="176"/>
      <c r="AI54" s="130"/>
      <c r="AJ54" s="129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76"/>
      <c r="BG54" s="176"/>
      <c r="BH54" s="176"/>
      <c r="BI54" s="176"/>
      <c r="BJ54" s="130"/>
      <c r="BK54" s="180"/>
    </row>
    <row r="55" spans="1:63" ht="15.75" customHeight="1">
      <c r="A55" s="255" t="s">
        <v>281</v>
      </c>
      <c r="B55" s="287"/>
      <c r="C55" s="266" t="s">
        <v>254</v>
      </c>
      <c r="D55" s="267"/>
      <c r="E55" s="268"/>
      <c r="F55" s="268"/>
      <c r="G55" s="268"/>
      <c r="H55" s="268"/>
      <c r="I55" s="268"/>
      <c r="J55" s="268"/>
      <c r="K55" s="268"/>
      <c r="L55" s="269"/>
      <c r="M55" s="270"/>
      <c r="N55" s="266"/>
      <c r="O55" s="268"/>
      <c r="P55" s="268"/>
      <c r="Q55" s="270"/>
      <c r="R55" s="272"/>
      <c r="S55" s="265"/>
      <c r="T55" s="275"/>
      <c r="U55" s="268"/>
      <c r="V55" s="268"/>
      <c r="W55" s="268"/>
      <c r="X55" s="268"/>
      <c r="Y55" s="268"/>
      <c r="Z55" s="268"/>
      <c r="AA55" s="270"/>
      <c r="AB55" s="266"/>
      <c r="AC55" s="268"/>
      <c r="AD55" s="268"/>
      <c r="AE55" s="268"/>
      <c r="AF55" s="268"/>
      <c r="AG55" s="268"/>
      <c r="AH55" s="268"/>
      <c r="AI55" s="270"/>
      <c r="AJ55" s="266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8"/>
      <c r="BJ55" s="270"/>
      <c r="BK55" s="288"/>
    </row>
    <row r="56" spans="1:63" ht="15.75" customHeight="1">
      <c r="A56" s="134" t="s">
        <v>282</v>
      </c>
      <c r="B56" s="179"/>
      <c r="C56" s="129" t="s">
        <v>255</v>
      </c>
      <c r="D56" s="175"/>
      <c r="E56" s="176"/>
      <c r="F56" s="176"/>
      <c r="G56" s="176"/>
      <c r="H56" s="176"/>
      <c r="I56" s="176"/>
      <c r="J56" s="176"/>
      <c r="K56" s="176"/>
      <c r="L56" s="177"/>
      <c r="M56" s="130"/>
      <c r="N56" s="129"/>
      <c r="O56" s="176"/>
      <c r="P56" s="176"/>
      <c r="Q56" s="130"/>
      <c r="R56" s="131"/>
      <c r="S56" s="128"/>
      <c r="T56" s="129" t="s">
        <v>214</v>
      </c>
      <c r="U56" s="176"/>
      <c r="V56" s="176"/>
      <c r="W56" s="176"/>
      <c r="X56" s="176"/>
      <c r="Y56" s="176"/>
      <c r="Z56" s="176"/>
      <c r="AA56" s="130"/>
      <c r="AB56" s="129" t="s">
        <v>353</v>
      </c>
      <c r="AC56" s="176"/>
      <c r="AD56" s="176"/>
      <c r="AE56" s="176"/>
      <c r="AF56" s="176"/>
      <c r="AG56" s="176"/>
      <c r="AH56" s="176"/>
      <c r="AI56" s="130"/>
      <c r="AJ56" s="129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30"/>
      <c r="BK56" s="180"/>
    </row>
    <row r="57" spans="1:63" ht="15.75" customHeight="1">
      <c r="A57" s="134" t="s">
        <v>283</v>
      </c>
      <c r="B57" s="179"/>
      <c r="C57" s="129" t="s">
        <v>256</v>
      </c>
      <c r="D57" s="175"/>
      <c r="E57" s="176"/>
      <c r="F57" s="176"/>
      <c r="G57" s="176"/>
      <c r="H57" s="176"/>
      <c r="I57" s="176"/>
      <c r="J57" s="176"/>
      <c r="K57" s="176"/>
      <c r="L57" s="177"/>
      <c r="M57" s="130"/>
      <c r="N57" s="129"/>
      <c r="O57" s="176"/>
      <c r="P57" s="176"/>
      <c r="Q57" s="130"/>
      <c r="R57" s="131"/>
      <c r="S57" s="128"/>
      <c r="T57" s="129" t="s">
        <v>214</v>
      </c>
      <c r="U57" s="176"/>
      <c r="V57" s="176"/>
      <c r="W57" s="176"/>
      <c r="X57" s="176"/>
      <c r="Y57" s="176"/>
      <c r="Z57" s="176"/>
      <c r="AA57" s="130"/>
      <c r="AB57" s="129" t="s">
        <v>307</v>
      </c>
      <c r="AC57" s="176"/>
      <c r="AD57" s="176"/>
      <c r="AE57" s="176"/>
      <c r="AF57" s="176"/>
      <c r="AG57" s="176"/>
      <c r="AH57" s="176"/>
      <c r="AI57" s="130"/>
      <c r="AJ57" s="129" t="s">
        <v>308</v>
      </c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30"/>
      <c r="BK57" s="180"/>
    </row>
    <row r="58" spans="1:63" ht="15.75" customHeight="1">
      <c r="A58" s="134" t="s">
        <v>284</v>
      </c>
      <c r="B58" s="179"/>
      <c r="C58" s="129" t="s">
        <v>257</v>
      </c>
      <c r="D58" s="175"/>
      <c r="E58" s="176"/>
      <c r="F58" s="176"/>
      <c r="G58" s="176"/>
      <c r="H58" s="176"/>
      <c r="I58" s="176"/>
      <c r="J58" s="176"/>
      <c r="K58" s="176"/>
      <c r="L58" s="177"/>
      <c r="M58" s="130"/>
      <c r="N58" s="129"/>
      <c r="O58" s="176"/>
      <c r="P58" s="176"/>
      <c r="Q58" s="130"/>
      <c r="R58" s="131"/>
      <c r="S58" s="128"/>
      <c r="T58" s="85" t="s">
        <v>213</v>
      </c>
      <c r="U58" s="176"/>
      <c r="V58" s="176"/>
      <c r="W58" s="176"/>
      <c r="X58" s="176"/>
      <c r="Y58" s="176"/>
      <c r="Z58" s="176"/>
      <c r="AA58" s="130"/>
      <c r="AB58" s="129" t="s">
        <v>257</v>
      </c>
      <c r="AC58" s="176"/>
      <c r="AD58" s="176"/>
      <c r="AE58" s="176"/>
      <c r="AF58" s="176"/>
      <c r="AG58" s="176"/>
      <c r="AH58" s="176"/>
      <c r="AI58" s="130"/>
      <c r="AJ58" s="129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6"/>
      <c r="BC58" s="176"/>
      <c r="BD58" s="176"/>
      <c r="BE58" s="176"/>
      <c r="BF58" s="176"/>
      <c r="BG58" s="176"/>
      <c r="BH58" s="176"/>
      <c r="BI58" s="176"/>
      <c r="BJ58" s="130"/>
      <c r="BK58" s="180"/>
    </row>
    <row r="59" spans="1:63" ht="15.75" customHeight="1">
      <c r="A59" s="134" t="s">
        <v>285</v>
      </c>
      <c r="B59" s="179"/>
      <c r="C59" s="129" t="s">
        <v>258</v>
      </c>
      <c r="D59" s="175"/>
      <c r="E59" s="176"/>
      <c r="F59" s="176"/>
      <c r="G59" s="176"/>
      <c r="H59" s="176"/>
      <c r="I59" s="176"/>
      <c r="J59" s="176"/>
      <c r="K59" s="176"/>
      <c r="L59" s="177"/>
      <c r="M59" s="130"/>
      <c r="N59" s="129"/>
      <c r="O59" s="176"/>
      <c r="P59" s="176"/>
      <c r="Q59" s="130"/>
      <c r="R59" s="131"/>
      <c r="S59" s="128"/>
      <c r="T59" s="85" t="s">
        <v>213</v>
      </c>
      <c r="U59" s="176"/>
      <c r="V59" s="176"/>
      <c r="W59" s="176"/>
      <c r="X59" s="176"/>
      <c r="Y59" s="176"/>
      <c r="Z59" s="176"/>
      <c r="AA59" s="130"/>
      <c r="AB59" s="129" t="s">
        <v>258</v>
      </c>
      <c r="AC59" s="176"/>
      <c r="AD59" s="176"/>
      <c r="AE59" s="176"/>
      <c r="AF59" s="176"/>
      <c r="AG59" s="176"/>
      <c r="AH59" s="176"/>
      <c r="AI59" s="130"/>
      <c r="AJ59" s="129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6"/>
      <c r="BE59" s="176"/>
      <c r="BF59" s="176"/>
      <c r="BG59" s="176"/>
      <c r="BH59" s="176"/>
      <c r="BI59" s="176"/>
      <c r="BJ59" s="130"/>
      <c r="BK59" s="180"/>
    </row>
    <row r="60" spans="1:63" ht="15.75" customHeight="1">
      <c r="A60" s="134" t="s">
        <v>286</v>
      </c>
      <c r="B60" s="179"/>
      <c r="C60" s="129" t="s">
        <v>259</v>
      </c>
      <c r="D60" s="175"/>
      <c r="E60" s="176"/>
      <c r="F60" s="176"/>
      <c r="G60" s="176"/>
      <c r="H60" s="176"/>
      <c r="I60" s="176"/>
      <c r="J60" s="176"/>
      <c r="K60" s="176"/>
      <c r="L60" s="177"/>
      <c r="M60" s="130"/>
      <c r="N60" s="129"/>
      <c r="O60" s="176"/>
      <c r="P60" s="176"/>
      <c r="Q60" s="130"/>
      <c r="R60" s="131"/>
      <c r="S60" s="128"/>
      <c r="T60" s="85" t="s">
        <v>213</v>
      </c>
      <c r="U60" s="176"/>
      <c r="V60" s="176"/>
      <c r="W60" s="176"/>
      <c r="X60" s="176"/>
      <c r="Y60" s="176"/>
      <c r="Z60" s="176"/>
      <c r="AA60" s="130"/>
      <c r="AB60" s="129" t="s">
        <v>259</v>
      </c>
      <c r="AC60" s="176"/>
      <c r="AD60" s="176"/>
      <c r="AE60" s="176"/>
      <c r="AF60" s="176"/>
      <c r="AG60" s="176"/>
      <c r="AH60" s="176"/>
      <c r="AI60" s="130"/>
      <c r="AJ60" s="129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30"/>
      <c r="BK60" s="180"/>
    </row>
    <row r="61" spans="1:63" ht="15.75" customHeight="1">
      <c r="A61" s="134" t="s">
        <v>287</v>
      </c>
      <c r="B61" s="179"/>
      <c r="C61" s="129" t="s">
        <v>260</v>
      </c>
      <c r="D61" s="175"/>
      <c r="E61" s="176"/>
      <c r="F61" s="176"/>
      <c r="G61" s="176"/>
      <c r="H61" s="176"/>
      <c r="I61" s="176"/>
      <c r="J61" s="176"/>
      <c r="K61" s="176"/>
      <c r="L61" s="177"/>
      <c r="M61" s="130"/>
      <c r="N61" s="129"/>
      <c r="O61" s="176"/>
      <c r="P61" s="176"/>
      <c r="Q61" s="130"/>
      <c r="R61" s="131"/>
      <c r="S61" s="128"/>
      <c r="T61" s="85" t="s">
        <v>213</v>
      </c>
      <c r="U61" s="176"/>
      <c r="V61" s="176"/>
      <c r="W61" s="176"/>
      <c r="X61" s="176"/>
      <c r="Y61" s="176"/>
      <c r="Z61" s="176"/>
      <c r="AA61" s="130"/>
      <c r="AB61" s="129" t="s">
        <v>260</v>
      </c>
      <c r="AC61" s="176"/>
      <c r="AD61" s="176"/>
      <c r="AE61" s="176"/>
      <c r="AF61" s="176"/>
      <c r="AG61" s="176"/>
      <c r="AH61" s="176"/>
      <c r="AI61" s="130"/>
      <c r="AJ61" s="129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30"/>
      <c r="BK61" s="180"/>
    </row>
    <row r="62" spans="1:63" ht="15.75" customHeight="1">
      <c r="A62" s="134" t="s">
        <v>288</v>
      </c>
      <c r="B62" s="179"/>
      <c r="C62" s="129" t="s">
        <v>261</v>
      </c>
      <c r="D62" s="175"/>
      <c r="E62" s="176"/>
      <c r="F62" s="176"/>
      <c r="G62" s="176"/>
      <c r="H62" s="176"/>
      <c r="I62" s="176"/>
      <c r="J62" s="176"/>
      <c r="K62" s="176"/>
      <c r="L62" s="177"/>
      <c r="M62" s="130"/>
      <c r="N62" s="129"/>
      <c r="O62" s="176"/>
      <c r="P62" s="176"/>
      <c r="Q62" s="130"/>
      <c r="R62" s="131"/>
      <c r="S62" s="128"/>
      <c r="T62" s="85" t="s">
        <v>213</v>
      </c>
      <c r="U62" s="176"/>
      <c r="V62" s="176"/>
      <c r="W62" s="176"/>
      <c r="X62" s="176"/>
      <c r="Y62" s="176"/>
      <c r="Z62" s="176"/>
      <c r="AA62" s="130"/>
      <c r="AB62" s="129" t="s">
        <v>261</v>
      </c>
      <c r="AC62" s="176"/>
      <c r="AD62" s="176"/>
      <c r="AE62" s="176"/>
      <c r="AF62" s="176"/>
      <c r="AG62" s="176"/>
      <c r="AH62" s="176"/>
      <c r="AI62" s="130"/>
      <c r="AJ62" s="129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6"/>
      <c r="BB62" s="176"/>
      <c r="BC62" s="176"/>
      <c r="BD62" s="176"/>
      <c r="BE62" s="176"/>
      <c r="BF62" s="176"/>
      <c r="BG62" s="176"/>
      <c r="BH62" s="176"/>
      <c r="BI62" s="176"/>
      <c r="BJ62" s="130"/>
      <c r="BK62" s="180"/>
    </row>
    <row r="63" spans="1:63" ht="15.75" customHeight="1">
      <c r="A63" s="134" t="s">
        <v>289</v>
      </c>
      <c r="B63" s="179"/>
      <c r="C63" s="129" t="s">
        <v>262</v>
      </c>
      <c r="D63" s="175"/>
      <c r="E63" s="176"/>
      <c r="F63" s="176"/>
      <c r="G63" s="176"/>
      <c r="H63" s="176"/>
      <c r="I63" s="176"/>
      <c r="J63" s="176"/>
      <c r="K63" s="176"/>
      <c r="L63" s="177"/>
      <c r="M63" s="130"/>
      <c r="N63" s="129"/>
      <c r="O63" s="176"/>
      <c r="P63" s="176"/>
      <c r="Q63" s="130"/>
      <c r="R63" s="131"/>
      <c r="S63" s="128"/>
      <c r="T63" s="85" t="s">
        <v>213</v>
      </c>
      <c r="U63" s="176"/>
      <c r="V63" s="176"/>
      <c r="W63" s="176"/>
      <c r="X63" s="176"/>
      <c r="Y63" s="176"/>
      <c r="Z63" s="176"/>
      <c r="AA63" s="130"/>
      <c r="AB63" s="129" t="s">
        <v>262</v>
      </c>
      <c r="AC63" s="176"/>
      <c r="AD63" s="176"/>
      <c r="AE63" s="176"/>
      <c r="AF63" s="176"/>
      <c r="AG63" s="176"/>
      <c r="AH63" s="176"/>
      <c r="AI63" s="130"/>
      <c r="AJ63" s="129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30"/>
      <c r="BK63" s="180"/>
    </row>
    <row r="64" spans="1:63" ht="15.75" customHeight="1">
      <c r="A64" s="134" t="s">
        <v>290</v>
      </c>
      <c r="B64" s="179"/>
      <c r="C64" s="129" t="s">
        <v>263</v>
      </c>
      <c r="D64" s="175"/>
      <c r="E64" s="176"/>
      <c r="F64" s="176"/>
      <c r="G64" s="176"/>
      <c r="H64" s="176"/>
      <c r="I64" s="176"/>
      <c r="J64" s="176"/>
      <c r="K64" s="176"/>
      <c r="L64" s="177"/>
      <c r="M64" s="130"/>
      <c r="N64" s="129"/>
      <c r="O64" s="176"/>
      <c r="P64" s="176"/>
      <c r="Q64" s="130"/>
      <c r="R64" s="131"/>
      <c r="S64" s="128"/>
      <c r="T64" s="85" t="s">
        <v>213</v>
      </c>
      <c r="U64" s="176"/>
      <c r="V64" s="176"/>
      <c r="W64" s="176"/>
      <c r="X64" s="176"/>
      <c r="Y64" s="176"/>
      <c r="Z64" s="176"/>
      <c r="AA64" s="130"/>
      <c r="AB64" s="129" t="s">
        <v>263</v>
      </c>
      <c r="AC64" s="176"/>
      <c r="AD64" s="176"/>
      <c r="AE64" s="176"/>
      <c r="AF64" s="176"/>
      <c r="AG64" s="176"/>
      <c r="AH64" s="176"/>
      <c r="AI64" s="130"/>
      <c r="AJ64" s="129"/>
      <c r="AK64" s="176"/>
      <c r="AL64" s="176"/>
      <c r="AM64" s="176"/>
      <c r="AN64" s="176"/>
      <c r="AO64" s="176"/>
      <c r="AP64" s="176"/>
      <c r="AQ64" s="176"/>
      <c r="AR64" s="176"/>
      <c r="AS64" s="176"/>
      <c r="AT64" s="176"/>
      <c r="AU64" s="176"/>
      <c r="AV64" s="176"/>
      <c r="AW64" s="176"/>
      <c r="AX64" s="176"/>
      <c r="AY64" s="176"/>
      <c r="AZ64" s="176"/>
      <c r="BA64" s="176"/>
      <c r="BB64" s="176"/>
      <c r="BC64" s="176"/>
      <c r="BD64" s="176"/>
      <c r="BE64" s="176"/>
      <c r="BF64" s="176"/>
      <c r="BG64" s="176"/>
      <c r="BH64" s="176"/>
      <c r="BI64" s="176"/>
      <c r="BJ64" s="130"/>
      <c r="BK64" s="180"/>
    </row>
    <row r="65" spans="1:63" ht="15.75" customHeight="1">
      <c r="A65" s="134" t="s">
        <v>291</v>
      </c>
      <c r="B65" s="179"/>
      <c r="C65" s="129" t="s">
        <v>264</v>
      </c>
      <c r="D65" s="175"/>
      <c r="E65" s="176"/>
      <c r="F65" s="176"/>
      <c r="G65" s="176"/>
      <c r="H65" s="176"/>
      <c r="I65" s="176"/>
      <c r="J65" s="176"/>
      <c r="K65" s="176"/>
      <c r="L65" s="177"/>
      <c r="M65" s="130"/>
      <c r="N65" s="129"/>
      <c r="O65" s="176"/>
      <c r="P65" s="176"/>
      <c r="Q65" s="130"/>
      <c r="R65" s="131"/>
      <c r="S65" s="128"/>
      <c r="T65" s="85" t="s">
        <v>213</v>
      </c>
      <c r="U65" s="176"/>
      <c r="V65" s="176"/>
      <c r="W65" s="176"/>
      <c r="X65" s="176"/>
      <c r="Y65" s="176"/>
      <c r="Z65" s="176"/>
      <c r="AA65" s="130"/>
      <c r="AB65" s="129" t="s">
        <v>264</v>
      </c>
      <c r="AC65" s="176"/>
      <c r="AD65" s="176"/>
      <c r="AE65" s="176"/>
      <c r="AF65" s="176"/>
      <c r="AG65" s="176"/>
      <c r="AH65" s="176"/>
      <c r="AI65" s="130"/>
      <c r="AJ65" s="129"/>
      <c r="AK65" s="176"/>
      <c r="AL65" s="176"/>
      <c r="AM65" s="176"/>
      <c r="AN65" s="176"/>
      <c r="AO65" s="176"/>
      <c r="AP65" s="176"/>
      <c r="AQ65" s="176"/>
      <c r="AR65" s="176"/>
      <c r="AS65" s="176"/>
      <c r="AT65" s="176"/>
      <c r="AU65" s="176"/>
      <c r="AV65" s="176"/>
      <c r="AW65" s="176"/>
      <c r="AX65" s="176"/>
      <c r="AY65" s="176"/>
      <c r="AZ65" s="176"/>
      <c r="BA65" s="176"/>
      <c r="BB65" s="176"/>
      <c r="BC65" s="176"/>
      <c r="BD65" s="176"/>
      <c r="BE65" s="176"/>
      <c r="BF65" s="176"/>
      <c r="BG65" s="176"/>
      <c r="BH65" s="176"/>
      <c r="BI65" s="176"/>
      <c r="BJ65" s="130"/>
      <c r="BK65" s="180"/>
    </row>
    <row r="66" spans="1:63" ht="15.75" customHeight="1">
      <c r="A66" s="134" t="s">
        <v>292</v>
      </c>
      <c r="B66" s="179"/>
      <c r="C66" s="129" t="s">
        <v>265</v>
      </c>
      <c r="D66" s="175"/>
      <c r="E66" s="176"/>
      <c r="F66" s="176"/>
      <c r="G66" s="176"/>
      <c r="H66" s="176"/>
      <c r="I66" s="176"/>
      <c r="J66" s="176"/>
      <c r="K66" s="176"/>
      <c r="L66" s="177"/>
      <c r="M66" s="130"/>
      <c r="N66" s="129"/>
      <c r="O66" s="176"/>
      <c r="P66" s="176"/>
      <c r="Q66" s="130"/>
      <c r="R66" s="131"/>
      <c r="S66" s="128"/>
      <c r="T66" s="85" t="s">
        <v>213</v>
      </c>
      <c r="U66" s="176"/>
      <c r="V66" s="176"/>
      <c r="W66" s="176"/>
      <c r="X66" s="176"/>
      <c r="Y66" s="176"/>
      <c r="Z66" s="176"/>
      <c r="AA66" s="130"/>
      <c r="AB66" s="129" t="s">
        <v>265</v>
      </c>
      <c r="AC66" s="176"/>
      <c r="AD66" s="176"/>
      <c r="AE66" s="176"/>
      <c r="AF66" s="176"/>
      <c r="AG66" s="176"/>
      <c r="AH66" s="176"/>
      <c r="AI66" s="130"/>
      <c r="AJ66" s="129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Y66" s="176"/>
      <c r="AZ66" s="176"/>
      <c r="BA66" s="176"/>
      <c r="BB66" s="176"/>
      <c r="BC66" s="176"/>
      <c r="BD66" s="176"/>
      <c r="BE66" s="176"/>
      <c r="BF66" s="176"/>
      <c r="BG66" s="176"/>
      <c r="BH66" s="176"/>
      <c r="BI66" s="176"/>
      <c r="BJ66" s="130"/>
      <c r="BK66" s="180"/>
    </row>
    <row r="67" spans="1:63" ht="15.75" customHeight="1">
      <c r="A67" s="134" t="s">
        <v>293</v>
      </c>
      <c r="B67" s="179"/>
      <c r="C67" s="129" t="s">
        <v>266</v>
      </c>
      <c r="D67" s="175"/>
      <c r="E67" s="176"/>
      <c r="F67" s="176"/>
      <c r="G67" s="176"/>
      <c r="H67" s="176"/>
      <c r="I67" s="176"/>
      <c r="J67" s="176"/>
      <c r="K67" s="176"/>
      <c r="L67" s="177"/>
      <c r="M67" s="130"/>
      <c r="N67" s="129"/>
      <c r="O67" s="176"/>
      <c r="P67" s="176"/>
      <c r="Q67" s="130"/>
      <c r="R67" s="131"/>
      <c r="S67" s="128"/>
      <c r="T67" s="85" t="s">
        <v>213</v>
      </c>
      <c r="U67" s="176"/>
      <c r="V67" s="176"/>
      <c r="W67" s="176"/>
      <c r="X67" s="176"/>
      <c r="Y67" s="176"/>
      <c r="Z67" s="176"/>
      <c r="AA67" s="130"/>
      <c r="AB67" s="129" t="s">
        <v>266</v>
      </c>
      <c r="AC67" s="176"/>
      <c r="AD67" s="176"/>
      <c r="AE67" s="176"/>
      <c r="AF67" s="176"/>
      <c r="AG67" s="176"/>
      <c r="AH67" s="176"/>
      <c r="AI67" s="130"/>
      <c r="AJ67" s="129"/>
      <c r="AK67" s="176"/>
      <c r="AL67" s="176"/>
      <c r="AM67" s="176"/>
      <c r="AN67" s="176"/>
      <c r="AO67" s="176"/>
      <c r="AP67" s="176"/>
      <c r="AQ67" s="176"/>
      <c r="AR67" s="176"/>
      <c r="AS67" s="176"/>
      <c r="AT67" s="176"/>
      <c r="AU67" s="176"/>
      <c r="AV67" s="176"/>
      <c r="AW67" s="176"/>
      <c r="AX67" s="176"/>
      <c r="AY67" s="176"/>
      <c r="AZ67" s="176"/>
      <c r="BA67" s="176"/>
      <c r="BB67" s="176"/>
      <c r="BC67" s="176"/>
      <c r="BD67" s="176"/>
      <c r="BE67" s="176"/>
      <c r="BF67" s="176"/>
      <c r="BG67" s="176"/>
      <c r="BH67" s="176"/>
      <c r="BI67" s="176"/>
      <c r="BJ67" s="130"/>
      <c r="BK67" s="180"/>
    </row>
    <row r="68" spans="1:63" ht="15.75" customHeight="1">
      <c r="A68" s="134" t="s">
        <v>294</v>
      </c>
      <c r="B68" s="179"/>
      <c r="C68" s="129" t="s">
        <v>267</v>
      </c>
      <c r="D68" s="175"/>
      <c r="E68" s="176"/>
      <c r="F68" s="176"/>
      <c r="G68" s="176"/>
      <c r="H68" s="176"/>
      <c r="I68" s="176"/>
      <c r="J68" s="176"/>
      <c r="K68" s="176"/>
      <c r="L68" s="177"/>
      <c r="M68" s="130"/>
      <c r="N68" s="129"/>
      <c r="O68" s="176"/>
      <c r="P68" s="176"/>
      <c r="Q68" s="130"/>
      <c r="R68" s="131"/>
      <c r="S68" s="128"/>
      <c r="T68" s="85" t="s">
        <v>213</v>
      </c>
      <c r="U68" s="176"/>
      <c r="V68" s="176"/>
      <c r="W68" s="176"/>
      <c r="X68" s="176"/>
      <c r="Y68" s="176"/>
      <c r="Z68" s="176"/>
      <c r="AA68" s="130"/>
      <c r="AB68" s="129" t="s">
        <v>267</v>
      </c>
      <c r="AC68" s="176"/>
      <c r="AD68" s="176"/>
      <c r="AE68" s="176"/>
      <c r="AF68" s="176"/>
      <c r="AG68" s="176"/>
      <c r="AH68" s="176"/>
      <c r="AI68" s="130"/>
      <c r="AJ68" s="129"/>
      <c r="AK68" s="176"/>
      <c r="AL68" s="176"/>
      <c r="AM68" s="176"/>
      <c r="AN68" s="176"/>
      <c r="AO68" s="176"/>
      <c r="AP68" s="176"/>
      <c r="AQ68" s="176"/>
      <c r="AR68" s="176"/>
      <c r="AS68" s="176"/>
      <c r="AT68" s="176"/>
      <c r="AU68" s="176"/>
      <c r="AV68" s="176"/>
      <c r="AW68" s="176"/>
      <c r="AX68" s="176"/>
      <c r="AY68" s="176"/>
      <c r="AZ68" s="176"/>
      <c r="BA68" s="176"/>
      <c r="BB68" s="176"/>
      <c r="BC68" s="176"/>
      <c r="BD68" s="176"/>
      <c r="BE68" s="176"/>
      <c r="BF68" s="176"/>
      <c r="BG68" s="176"/>
      <c r="BH68" s="176"/>
      <c r="BI68" s="176"/>
      <c r="BJ68" s="130"/>
      <c r="BK68" s="180"/>
    </row>
    <row r="69" spans="1:63" ht="15.75" customHeight="1">
      <c r="A69" s="134" t="s">
        <v>295</v>
      </c>
      <c r="B69" s="179"/>
      <c r="C69" s="129" t="s">
        <v>268</v>
      </c>
      <c r="D69" s="175"/>
      <c r="E69" s="176"/>
      <c r="F69" s="176"/>
      <c r="G69" s="176"/>
      <c r="H69" s="176"/>
      <c r="I69" s="176"/>
      <c r="J69" s="176"/>
      <c r="K69" s="176"/>
      <c r="L69" s="177"/>
      <c r="M69" s="130"/>
      <c r="N69" s="129"/>
      <c r="O69" s="176"/>
      <c r="P69" s="176"/>
      <c r="Q69" s="130"/>
      <c r="R69" s="131"/>
      <c r="S69" s="128"/>
      <c r="T69" s="85" t="s">
        <v>213</v>
      </c>
      <c r="U69" s="176"/>
      <c r="V69" s="176"/>
      <c r="W69" s="176"/>
      <c r="X69" s="176"/>
      <c r="Y69" s="176"/>
      <c r="Z69" s="176"/>
      <c r="AA69" s="130"/>
      <c r="AB69" s="129" t="s">
        <v>268</v>
      </c>
      <c r="AC69" s="176"/>
      <c r="AD69" s="176"/>
      <c r="AE69" s="176"/>
      <c r="AF69" s="176"/>
      <c r="AG69" s="176"/>
      <c r="AH69" s="176"/>
      <c r="AI69" s="130"/>
      <c r="AJ69" s="129"/>
      <c r="AK69" s="176"/>
      <c r="AL69" s="176"/>
      <c r="AM69" s="176"/>
      <c r="AN69" s="176"/>
      <c r="AO69" s="176"/>
      <c r="AP69" s="176"/>
      <c r="AQ69" s="176"/>
      <c r="AR69" s="176"/>
      <c r="AS69" s="176"/>
      <c r="AT69" s="176"/>
      <c r="AU69" s="176"/>
      <c r="AV69" s="176"/>
      <c r="AW69" s="176"/>
      <c r="AX69" s="176"/>
      <c r="AY69" s="176"/>
      <c r="AZ69" s="176"/>
      <c r="BA69" s="176"/>
      <c r="BB69" s="176"/>
      <c r="BC69" s="176"/>
      <c r="BD69" s="176"/>
      <c r="BE69" s="176"/>
      <c r="BF69" s="176"/>
      <c r="BG69" s="176"/>
      <c r="BH69" s="176"/>
      <c r="BI69" s="176"/>
      <c r="BJ69" s="130"/>
      <c r="BK69" s="180"/>
    </row>
    <row r="70" spans="1:63" ht="15.75" customHeight="1">
      <c r="A70" s="134" t="s">
        <v>296</v>
      </c>
      <c r="B70" s="179"/>
      <c r="C70" s="129" t="s">
        <v>269</v>
      </c>
      <c r="D70" s="175"/>
      <c r="E70" s="176"/>
      <c r="F70" s="176"/>
      <c r="G70" s="176"/>
      <c r="H70" s="176"/>
      <c r="I70" s="176"/>
      <c r="J70" s="176"/>
      <c r="K70" s="176"/>
      <c r="L70" s="177"/>
      <c r="M70" s="130"/>
      <c r="N70" s="129"/>
      <c r="O70" s="176"/>
      <c r="P70" s="176"/>
      <c r="Q70" s="130"/>
      <c r="R70" s="131"/>
      <c r="S70" s="128"/>
      <c r="T70" s="85" t="s">
        <v>213</v>
      </c>
      <c r="U70" s="176"/>
      <c r="V70" s="176"/>
      <c r="W70" s="176"/>
      <c r="X70" s="176"/>
      <c r="Y70" s="176"/>
      <c r="Z70" s="176"/>
      <c r="AA70" s="130"/>
      <c r="AB70" s="129" t="s">
        <v>269</v>
      </c>
      <c r="AC70" s="176"/>
      <c r="AD70" s="176"/>
      <c r="AE70" s="176"/>
      <c r="AF70" s="176"/>
      <c r="AG70" s="176"/>
      <c r="AH70" s="176"/>
      <c r="AI70" s="130"/>
      <c r="AJ70" s="129"/>
      <c r="AK70" s="176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76"/>
      <c r="BA70" s="176"/>
      <c r="BB70" s="176"/>
      <c r="BC70" s="176"/>
      <c r="BD70" s="176"/>
      <c r="BE70" s="176"/>
      <c r="BF70" s="176"/>
      <c r="BG70" s="176"/>
      <c r="BH70" s="176"/>
      <c r="BI70" s="176"/>
      <c r="BJ70" s="130"/>
      <c r="BK70" s="180"/>
    </row>
    <row r="71" spans="1:63" ht="15.75" customHeight="1">
      <c r="A71" s="134" t="s">
        <v>297</v>
      </c>
      <c r="B71" s="179"/>
      <c r="C71" s="129" t="s">
        <v>355</v>
      </c>
      <c r="D71" s="175"/>
      <c r="E71" s="176"/>
      <c r="F71" s="176"/>
      <c r="G71" s="176"/>
      <c r="H71" s="176"/>
      <c r="I71" s="176"/>
      <c r="J71" s="176"/>
      <c r="K71" s="176"/>
      <c r="L71" s="177"/>
      <c r="M71" s="130"/>
      <c r="N71" s="129"/>
      <c r="O71" s="176"/>
      <c r="P71" s="176"/>
      <c r="Q71" s="130"/>
      <c r="R71" s="131"/>
      <c r="S71" s="128"/>
      <c r="T71" s="85" t="s">
        <v>213</v>
      </c>
      <c r="U71" s="176"/>
      <c r="V71" s="176"/>
      <c r="W71" s="176"/>
      <c r="X71" s="176"/>
      <c r="Y71" s="176"/>
      <c r="Z71" s="176"/>
      <c r="AA71" s="130"/>
      <c r="AB71" s="129" t="s">
        <v>270</v>
      </c>
      <c r="AC71" s="176"/>
      <c r="AD71" s="176"/>
      <c r="AE71" s="176"/>
      <c r="AF71" s="176"/>
      <c r="AG71" s="176"/>
      <c r="AH71" s="176"/>
      <c r="AI71" s="130"/>
      <c r="AJ71" s="129"/>
      <c r="AK71" s="176"/>
      <c r="AL71" s="176"/>
      <c r="AM71" s="176"/>
      <c r="AN71" s="176"/>
      <c r="AO71" s="176"/>
      <c r="AP71" s="176"/>
      <c r="AQ71" s="176"/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  <c r="BB71" s="176"/>
      <c r="BC71" s="176"/>
      <c r="BD71" s="176"/>
      <c r="BE71" s="176"/>
      <c r="BF71" s="176"/>
      <c r="BG71" s="176"/>
      <c r="BH71" s="176"/>
      <c r="BI71" s="176"/>
      <c r="BJ71" s="130"/>
      <c r="BK71" s="180"/>
    </row>
    <row r="72" spans="1:63" ht="15.75" customHeight="1">
      <c r="A72" s="134" t="s">
        <v>298</v>
      </c>
      <c r="B72" s="179"/>
      <c r="C72" s="129" t="s">
        <v>356</v>
      </c>
      <c r="D72" s="175"/>
      <c r="E72" s="176"/>
      <c r="F72" s="176"/>
      <c r="G72" s="176"/>
      <c r="H72" s="176"/>
      <c r="I72" s="176"/>
      <c r="J72" s="176"/>
      <c r="K72" s="176"/>
      <c r="L72" s="177"/>
      <c r="M72" s="130"/>
      <c r="N72" s="129"/>
      <c r="O72" s="176"/>
      <c r="P72" s="176"/>
      <c r="Q72" s="130"/>
      <c r="R72" s="131"/>
      <c r="S72" s="128"/>
      <c r="T72" s="85" t="s">
        <v>213</v>
      </c>
      <c r="U72" s="176"/>
      <c r="V72" s="176"/>
      <c r="W72" s="176"/>
      <c r="X72" s="176"/>
      <c r="Y72" s="176"/>
      <c r="Z72" s="176"/>
      <c r="AA72" s="130"/>
      <c r="AB72" s="129" t="s">
        <v>271</v>
      </c>
      <c r="AC72" s="176"/>
      <c r="AD72" s="176"/>
      <c r="AE72" s="176"/>
      <c r="AF72" s="176"/>
      <c r="AG72" s="176"/>
      <c r="AH72" s="176"/>
      <c r="AI72" s="130"/>
      <c r="AJ72" s="129"/>
      <c r="AK72" s="176"/>
      <c r="AL72" s="176"/>
      <c r="AM72" s="176"/>
      <c r="AN72" s="176"/>
      <c r="AO72" s="176"/>
      <c r="AP72" s="176"/>
      <c r="AQ72" s="176"/>
      <c r="AR72" s="176"/>
      <c r="AS72" s="176"/>
      <c r="AT72" s="176"/>
      <c r="AU72" s="176"/>
      <c r="AV72" s="176"/>
      <c r="AW72" s="176"/>
      <c r="AX72" s="176"/>
      <c r="AY72" s="176"/>
      <c r="AZ72" s="176"/>
      <c r="BA72" s="176"/>
      <c r="BB72" s="176"/>
      <c r="BC72" s="176"/>
      <c r="BD72" s="176"/>
      <c r="BE72" s="176"/>
      <c r="BF72" s="176"/>
      <c r="BG72" s="176"/>
      <c r="BH72" s="176"/>
      <c r="BI72" s="176"/>
      <c r="BJ72" s="130"/>
      <c r="BK72" s="180"/>
    </row>
    <row r="73" spans="1:63" ht="15.75" customHeight="1">
      <c r="A73" s="134" t="s">
        <v>299</v>
      </c>
      <c r="B73" s="179"/>
      <c r="C73" s="129" t="s">
        <v>357</v>
      </c>
      <c r="D73" s="175"/>
      <c r="E73" s="176"/>
      <c r="F73" s="176"/>
      <c r="G73" s="176"/>
      <c r="H73" s="176"/>
      <c r="I73" s="176"/>
      <c r="J73" s="176"/>
      <c r="K73" s="176"/>
      <c r="L73" s="177"/>
      <c r="M73" s="130"/>
      <c r="N73" s="129"/>
      <c r="O73" s="176"/>
      <c r="P73" s="176"/>
      <c r="Q73" s="130"/>
      <c r="R73" s="131"/>
      <c r="S73" s="128"/>
      <c r="T73" s="85" t="s">
        <v>213</v>
      </c>
      <c r="U73" s="176"/>
      <c r="V73" s="176"/>
      <c r="W73" s="176"/>
      <c r="X73" s="176"/>
      <c r="Y73" s="176"/>
      <c r="Z73" s="176"/>
      <c r="AA73" s="130"/>
      <c r="AB73" s="129" t="s">
        <v>357</v>
      </c>
      <c r="AC73" s="176"/>
      <c r="AD73" s="176"/>
      <c r="AE73" s="176"/>
      <c r="AF73" s="176"/>
      <c r="AG73" s="176"/>
      <c r="AH73" s="176"/>
      <c r="AI73" s="130"/>
      <c r="AJ73" s="129"/>
      <c r="AK73" s="176"/>
      <c r="AL73" s="176"/>
      <c r="AM73" s="176"/>
      <c r="AN73" s="176"/>
      <c r="AO73" s="176"/>
      <c r="AP73" s="176"/>
      <c r="AQ73" s="176"/>
      <c r="AR73" s="176"/>
      <c r="AS73" s="176"/>
      <c r="AT73" s="176"/>
      <c r="AU73" s="176"/>
      <c r="AV73" s="176"/>
      <c r="AW73" s="176"/>
      <c r="AX73" s="176"/>
      <c r="AY73" s="176"/>
      <c r="AZ73" s="176"/>
      <c r="BA73" s="176"/>
      <c r="BB73" s="176"/>
      <c r="BC73" s="176"/>
      <c r="BD73" s="176"/>
      <c r="BE73" s="176"/>
      <c r="BF73" s="176"/>
      <c r="BG73" s="176"/>
      <c r="BH73" s="176"/>
      <c r="BI73" s="176"/>
      <c r="BJ73" s="130"/>
      <c r="BK73" s="180"/>
    </row>
    <row r="74" spans="1:63" ht="15.75" customHeight="1">
      <c r="A74" s="134" t="s">
        <v>300</v>
      </c>
      <c r="B74" s="179"/>
      <c r="C74" s="129" t="s">
        <v>358</v>
      </c>
      <c r="D74" s="175"/>
      <c r="E74" s="176"/>
      <c r="F74" s="176"/>
      <c r="G74" s="176"/>
      <c r="H74" s="176"/>
      <c r="I74" s="176"/>
      <c r="J74" s="176"/>
      <c r="K74" s="176"/>
      <c r="L74" s="177"/>
      <c r="M74" s="130"/>
      <c r="N74" s="129"/>
      <c r="O74" s="176"/>
      <c r="P74" s="176"/>
      <c r="Q74" s="130"/>
      <c r="R74" s="131"/>
      <c r="S74" s="128"/>
      <c r="T74" s="85" t="s">
        <v>213</v>
      </c>
      <c r="U74" s="176"/>
      <c r="V74" s="176"/>
      <c r="W74" s="176"/>
      <c r="X74" s="176"/>
      <c r="Y74" s="176"/>
      <c r="Z74" s="176"/>
      <c r="AA74" s="130"/>
      <c r="AB74" s="129" t="s">
        <v>358</v>
      </c>
      <c r="AC74" s="176"/>
      <c r="AD74" s="176"/>
      <c r="AE74" s="176"/>
      <c r="AF74" s="176"/>
      <c r="AG74" s="176"/>
      <c r="AH74" s="176"/>
      <c r="AI74" s="130"/>
      <c r="AJ74" s="129"/>
      <c r="AK74" s="176"/>
      <c r="AL74" s="176"/>
      <c r="AM74" s="176"/>
      <c r="AN74" s="176"/>
      <c r="AO74" s="176"/>
      <c r="AP74" s="176"/>
      <c r="AQ74" s="176"/>
      <c r="AR74" s="176"/>
      <c r="AS74" s="176"/>
      <c r="AT74" s="176"/>
      <c r="AU74" s="176"/>
      <c r="AV74" s="176"/>
      <c r="AW74" s="176"/>
      <c r="AX74" s="176"/>
      <c r="AY74" s="176"/>
      <c r="AZ74" s="176"/>
      <c r="BA74" s="176"/>
      <c r="BB74" s="176"/>
      <c r="BC74" s="176"/>
      <c r="BD74" s="176"/>
      <c r="BE74" s="176"/>
      <c r="BF74" s="176"/>
      <c r="BG74" s="176"/>
      <c r="BH74" s="176"/>
      <c r="BI74" s="176"/>
      <c r="BJ74" s="130"/>
      <c r="BK74" s="180"/>
    </row>
    <row r="75" spans="1:63" ht="15.75" customHeight="1">
      <c r="A75" s="134" t="s">
        <v>301</v>
      </c>
      <c r="B75" s="179"/>
      <c r="C75" s="129" t="s">
        <v>272</v>
      </c>
      <c r="D75" s="175"/>
      <c r="E75" s="176"/>
      <c r="F75" s="176"/>
      <c r="G75" s="176"/>
      <c r="H75" s="176"/>
      <c r="I75" s="176"/>
      <c r="J75" s="176"/>
      <c r="K75" s="176"/>
      <c r="L75" s="177"/>
      <c r="M75" s="130"/>
      <c r="N75" s="129"/>
      <c r="O75" s="176"/>
      <c r="P75" s="176"/>
      <c r="Q75" s="130"/>
      <c r="R75" s="131"/>
      <c r="S75" s="128"/>
      <c r="T75" s="85" t="s">
        <v>213</v>
      </c>
      <c r="U75" s="176"/>
      <c r="V75" s="176"/>
      <c r="W75" s="176"/>
      <c r="X75" s="176"/>
      <c r="Y75" s="176"/>
      <c r="Z75" s="176"/>
      <c r="AA75" s="130"/>
      <c r="AB75" s="129" t="s">
        <v>272</v>
      </c>
      <c r="AC75" s="176"/>
      <c r="AD75" s="176"/>
      <c r="AE75" s="176"/>
      <c r="AF75" s="176"/>
      <c r="AG75" s="176"/>
      <c r="AH75" s="176"/>
      <c r="AI75" s="130"/>
      <c r="AJ75" s="129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30"/>
      <c r="BK75" s="180"/>
    </row>
    <row r="76" spans="1:63" ht="15.75" customHeight="1">
      <c r="A76" s="134" t="s">
        <v>302</v>
      </c>
      <c r="B76" s="179"/>
      <c r="C76" s="129" t="s">
        <v>273</v>
      </c>
      <c r="D76" s="175"/>
      <c r="E76" s="176"/>
      <c r="F76" s="176"/>
      <c r="G76" s="176"/>
      <c r="H76" s="176"/>
      <c r="I76" s="176"/>
      <c r="J76" s="176"/>
      <c r="K76" s="176"/>
      <c r="L76" s="177"/>
      <c r="M76" s="130"/>
      <c r="N76" s="129"/>
      <c r="O76" s="176"/>
      <c r="P76" s="176"/>
      <c r="Q76" s="130"/>
      <c r="R76" s="131"/>
      <c r="S76" s="128"/>
      <c r="T76" s="85" t="s">
        <v>213</v>
      </c>
      <c r="U76" s="176"/>
      <c r="V76" s="176"/>
      <c r="W76" s="176"/>
      <c r="X76" s="176"/>
      <c r="Y76" s="176"/>
      <c r="Z76" s="176"/>
      <c r="AA76" s="130"/>
      <c r="AB76" s="129" t="s">
        <v>273</v>
      </c>
      <c r="AC76" s="176"/>
      <c r="AD76" s="176"/>
      <c r="AE76" s="176"/>
      <c r="AF76" s="176"/>
      <c r="AG76" s="176"/>
      <c r="AH76" s="176"/>
      <c r="AI76" s="130"/>
      <c r="AJ76" s="129"/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30"/>
      <c r="BK76" s="180"/>
    </row>
    <row r="77" spans="1:63" ht="15.75" customHeight="1">
      <c r="A77" s="134" t="s">
        <v>364</v>
      </c>
      <c r="B77" s="179"/>
      <c r="C77" s="129" t="s">
        <v>274</v>
      </c>
      <c r="D77" s="175"/>
      <c r="E77" s="176"/>
      <c r="F77" s="176"/>
      <c r="G77" s="176"/>
      <c r="H77" s="176"/>
      <c r="I77" s="176"/>
      <c r="J77" s="176"/>
      <c r="K77" s="176"/>
      <c r="L77" s="177"/>
      <c r="M77" s="130"/>
      <c r="N77" s="129"/>
      <c r="O77" s="176"/>
      <c r="P77" s="176"/>
      <c r="Q77" s="130"/>
      <c r="R77" s="131"/>
      <c r="S77" s="128"/>
      <c r="T77" s="85" t="s">
        <v>213</v>
      </c>
      <c r="U77" s="176"/>
      <c r="V77" s="176"/>
      <c r="W77" s="176"/>
      <c r="X77" s="176"/>
      <c r="Y77" s="176"/>
      <c r="Z77" s="176"/>
      <c r="AA77" s="130"/>
      <c r="AB77" s="129" t="s">
        <v>274</v>
      </c>
      <c r="AC77" s="176"/>
      <c r="AD77" s="176"/>
      <c r="AE77" s="176"/>
      <c r="AF77" s="176"/>
      <c r="AG77" s="176"/>
      <c r="AH77" s="176"/>
      <c r="AI77" s="130"/>
      <c r="AJ77" s="129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30"/>
      <c r="BK77" s="180"/>
    </row>
    <row r="78" spans="1:63" ht="15.75" customHeight="1">
      <c r="A78" s="134" t="s">
        <v>365</v>
      </c>
      <c r="B78" s="179"/>
      <c r="C78" s="129" t="s">
        <v>275</v>
      </c>
      <c r="D78" s="175"/>
      <c r="E78" s="176"/>
      <c r="F78" s="176"/>
      <c r="G78" s="176"/>
      <c r="H78" s="176"/>
      <c r="I78" s="176"/>
      <c r="J78" s="176"/>
      <c r="K78" s="176"/>
      <c r="L78" s="177"/>
      <c r="M78" s="130"/>
      <c r="N78" s="129"/>
      <c r="O78" s="176"/>
      <c r="P78" s="176"/>
      <c r="Q78" s="130"/>
      <c r="R78" s="131"/>
      <c r="S78" s="128"/>
      <c r="T78" s="85" t="s">
        <v>213</v>
      </c>
      <c r="U78" s="176"/>
      <c r="V78" s="176"/>
      <c r="W78" s="176"/>
      <c r="X78" s="176"/>
      <c r="Y78" s="176"/>
      <c r="Z78" s="176"/>
      <c r="AA78" s="130"/>
      <c r="AB78" s="129" t="s">
        <v>275</v>
      </c>
      <c r="AC78" s="176"/>
      <c r="AD78" s="176"/>
      <c r="AE78" s="176"/>
      <c r="AF78" s="176"/>
      <c r="AG78" s="176"/>
      <c r="AH78" s="176"/>
      <c r="AI78" s="130"/>
      <c r="AJ78" s="129"/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30"/>
      <c r="BK78" s="180"/>
    </row>
    <row r="79" spans="1:63" ht="15.75" customHeight="1">
      <c r="A79" s="111" t="s">
        <v>201</v>
      </c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  <c r="BI79" s="174"/>
      <c r="BJ79" s="174"/>
      <c r="BK79" s="166"/>
    </row>
    <row r="80" spans="1:63" ht="15.75" customHeight="1">
      <c r="A80" s="222" t="s">
        <v>190</v>
      </c>
      <c r="B80" s="223"/>
      <c r="C80" s="224" t="s">
        <v>311</v>
      </c>
      <c r="D80" s="225"/>
      <c r="E80" s="226"/>
      <c r="F80" s="226"/>
      <c r="G80" s="226"/>
      <c r="H80" s="226"/>
      <c r="I80" s="226"/>
      <c r="J80" s="226"/>
      <c r="K80" s="226"/>
      <c r="L80" s="227"/>
      <c r="M80" s="228"/>
      <c r="N80" s="224"/>
      <c r="O80" s="226"/>
      <c r="P80" s="226"/>
      <c r="Q80" s="228"/>
      <c r="R80" s="746"/>
      <c r="S80" s="747"/>
      <c r="T80" s="231"/>
      <c r="U80" s="226"/>
      <c r="V80" s="226"/>
      <c r="W80" s="226"/>
      <c r="X80" s="226"/>
      <c r="Y80" s="226"/>
      <c r="Z80" s="226"/>
      <c r="AA80" s="228"/>
      <c r="AB80" s="226"/>
      <c r="AC80" s="226"/>
      <c r="AD80" s="226"/>
      <c r="AE80" s="226"/>
      <c r="AF80" s="226"/>
      <c r="AG80" s="226"/>
      <c r="AH80" s="226"/>
      <c r="AI80" s="228"/>
      <c r="AJ80" s="224" t="s">
        <v>399</v>
      </c>
      <c r="AK80" s="226"/>
      <c r="AL80" s="226"/>
      <c r="AM80" s="226"/>
      <c r="AN80" s="226"/>
      <c r="AO80" s="226"/>
      <c r="AP80" s="226"/>
      <c r="AQ80" s="226"/>
      <c r="AR80" s="226"/>
      <c r="AS80" s="226"/>
      <c r="AT80" s="226"/>
      <c r="AU80" s="226"/>
      <c r="AV80" s="226"/>
      <c r="AW80" s="226"/>
      <c r="AX80" s="226"/>
      <c r="AY80" s="226"/>
      <c r="AZ80" s="226"/>
      <c r="BA80" s="226"/>
      <c r="BB80" s="226"/>
      <c r="BC80" s="226"/>
      <c r="BD80" s="226"/>
      <c r="BE80" s="226"/>
      <c r="BF80" s="226"/>
      <c r="BG80" s="226"/>
      <c r="BH80" s="226"/>
      <c r="BI80" s="226"/>
      <c r="BJ80" s="228"/>
      <c r="BK80" s="232"/>
    </row>
    <row r="81" spans="1:63" ht="15.75" customHeight="1">
      <c r="A81" s="222" t="s">
        <v>191</v>
      </c>
      <c r="B81" s="223"/>
      <c r="C81" s="224" t="s">
        <v>310</v>
      </c>
      <c r="D81" s="225"/>
      <c r="E81" s="226"/>
      <c r="F81" s="226"/>
      <c r="G81" s="226"/>
      <c r="H81" s="226"/>
      <c r="I81" s="226"/>
      <c r="J81" s="226"/>
      <c r="K81" s="226"/>
      <c r="L81" s="227"/>
      <c r="M81" s="228"/>
      <c r="N81" s="224"/>
      <c r="O81" s="226"/>
      <c r="P81" s="226"/>
      <c r="Q81" s="228"/>
      <c r="R81" s="229"/>
      <c r="S81" s="230"/>
      <c r="T81" s="231"/>
      <c r="U81" s="226"/>
      <c r="V81" s="226"/>
      <c r="W81" s="226"/>
      <c r="X81" s="226"/>
      <c r="Y81" s="226"/>
      <c r="Z81" s="226"/>
      <c r="AA81" s="228"/>
      <c r="AB81" s="226"/>
      <c r="AC81" s="226"/>
      <c r="AD81" s="226"/>
      <c r="AE81" s="226"/>
      <c r="AF81" s="226"/>
      <c r="AG81" s="226"/>
      <c r="AH81" s="226"/>
      <c r="AI81" s="228"/>
      <c r="AJ81" s="224" t="s">
        <v>400</v>
      </c>
      <c r="AK81" s="226"/>
      <c r="AL81" s="226"/>
      <c r="AM81" s="226"/>
      <c r="AN81" s="226"/>
      <c r="AO81" s="226"/>
      <c r="AP81" s="226"/>
      <c r="AQ81" s="226"/>
      <c r="AR81" s="226"/>
      <c r="AS81" s="226"/>
      <c r="AT81" s="226"/>
      <c r="AU81" s="226"/>
      <c r="AV81" s="226"/>
      <c r="AW81" s="226"/>
      <c r="AX81" s="226"/>
      <c r="AY81" s="226"/>
      <c r="AZ81" s="226"/>
      <c r="BA81" s="226"/>
      <c r="BB81" s="226"/>
      <c r="BC81" s="226"/>
      <c r="BD81" s="226"/>
      <c r="BE81" s="226"/>
      <c r="BF81" s="226"/>
      <c r="BG81" s="226"/>
      <c r="BH81" s="226"/>
      <c r="BI81" s="226"/>
      <c r="BJ81" s="228"/>
      <c r="BK81" s="232"/>
    </row>
    <row r="82" spans="1:63" ht="15.75" customHeight="1">
      <c r="A82" s="233" t="s">
        <v>193</v>
      </c>
      <c r="B82" s="234"/>
      <c r="C82" s="224" t="s">
        <v>309</v>
      </c>
      <c r="D82" s="235"/>
      <c r="E82" s="236"/>
      <c r="F82" s="236"/>
      <c r="G82" s="236"/>
      <c r="H82" s="236"/>
      <c r="I82" s="236"/>
      <c r="J82" s="236"/>
      <c r="K82" s="236"/>
      <c r="L82" s="237"/>
      <c r="M82" s="238"/>
      <c r="N82" s="239"/>
      <c r="O82" s="236"/>
      <c r="P82" s="236"/>
      <c r="Q82" s="238"/>
      <c r="R82" s="240"/>
      <c r="S82" s="241"/>
      <c r="T82" s="231"/>
      <c r="U82" s="236"/>
      <c r="V82" s="236"/>
      <c r="W82" s="236"/>
      <c r="X82" s="236"/>
      <c r="Y82" s="236"/>
      <c r="Z82" s="236"/>
      <c r="AA82" s="238"/>
      <c r="AB82" s="239"/>
      <c r="AC82" s="236"/>
      <c r="AD82" s="236"/>
      <c r="AE82" s="236"/>
      <c r="AF82" s="236"/>
      <c r="AG82" s="236"/>
      <c r="AH82" s="236"/>
      <c r="AI82" s="238"/>
      <c r="AJ82" s="239" t="s">
        <v>400</v>
      </c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6"/>
      <c r="BF82" s="236"/>
      <c r="BG82" s="236"/>
      <c r="BH82" s="236"/>
      <c r="BI82" s="236"/>
      <c r="BJ82" s="238"/>
      <c r="BK82" s="242"/>
    </row>
    <row r="83" spans="1:63" ht="15.75" customHeight="1">
      <c r="A83" s="233" t="s">
        <v>194</v>
      </c>
      <c r="B83" s="234"/>
      <c r="C83" s="239" t="s">
        <v>312</v>
      </c>
      <c r="D83" s="235"/>
      <c r="E83" s="236"/>
      <c r="F83" s="236"/>
      <c r="G83" s="236"/>
      <c r="H83" s="236"/>
      <c r="I83" s="236"/>
      <c r="J83" s="236"/>
      <c r="K83" s="236"/>
      <c r="L83" s="237"/>
      <c r="M83" s="238"/>
      <c r="N83" s="239"/>
      <c r="O83" s="236"/>
      <c r="P83" s="236"/>
      <c r="Q83" s="238"/>
      <c r="R83" s="240"/>
      <c r="S83" s="234"/>
      <c r="T83" s="231"/>
      <c r="U83" s="236"/>
      <c r="V83" s="236"/>
      <c r="W83" s="236"/>
      <c r="X83" s="236"/>
      <c r="Y83" s="236"/>
      <c r="Z83" s="236"/>
      <c r="AA83" s="238"/>
      <c r="AB83" s="236"/>
      <c r="AC83" s="236"/>
      <c r="AD83" s="236"/>
      <c r="AE83" s="236"/>
      <c r="AF83" s="236"/>
      <c r="AG83" s="236"/>
      <c r="AH83" s="236"/>
      <c r="AI83" s="238"/>
      <c r="AJ83" s="239" t="s">
        <v>400</v>
      </c>
      <c r="AK83" s="236"/>
      <c r="AL83" s="236"/>
      <c r="AM83" s="236"/>
      <c r="AN83" s="236"/>
      <c r="AO83" s="236"/>
      <c r="AP83" s="236"/>
      <c r="AQ83" s="236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6"/>
      <c r="BF83" s="236"/>
      <c r="BG83" s="236"/>
      <c r="BH83" s="236"/>
      <c r="BI83" s="236"/>
      <c r="BJ83" s="238"/>
      <c r="BK83" s="242"/>
    </row>
    <row r="84" spans="1:63" ht="15.75" customHeight="1">
      <c r="A84" s="134" t="s">
        <v>195</v>
      </c>
      <c r="B84" s="135"/>
      <c r="C84" s="137" t="s">
        <v>313</v>
      </c>
      <c r="D84" s="138"/>
      <c r="E84" s="139"/>
      <c r="F84" s="139"/>
      <c r="G84" s="139"/>
      <c r="H84" s="139"/>
      <c r="I84" s="139"/>
      <c r="J84" s="139"/>
      <c r="K84" s="139"/>
      <c r="L84" s="140"/>
      <c r="M84" s="132"/>
      <c r="N84" s="137"/>
      <c r="O84" s="139"/>
      <c r="P84" s="139"/>
      <c r="Q84" s="132"/>
      <c r="R84" s="136"/>
      <c r="S84" s="135"/>
      <c r="T84" s="129"/>
      <c r="U84" s="139"/>
      <c r="V84" s="139"/>
      <c r="W84" s="139"/>
      <c r="X84" s="139"/>
      <c r="Y84" s="139"/>
      <c r="Z84" s="139"/>
      <c r="AA84" s="132"/>
      <c r="AB84" s="137"/>
      <c r="AC84" s="139"/>
      <c r="AD84" s="139"/>
      <c r="AE84" s="139"/>
      <c r="AF84" s="139"/>
      <c r="AG84" s="139"/>
      <c r="AH84" s="139"/>
      <c r="AI84" s="132"/>
      <c r="AJ84" s="137" t="s">
        <v>324</v>
      </c>
      <c r="AK84" s="139"/>
      <c r="AL84" s="139"/>
      <c r="AM84" s="139"/>
      <c r="AN84" s="139"/>
      <c r="AO84" s="139"/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39"/>
      <c r="BE84" s="139"/>
      <c r="BF84" s="139"/>
      <c r="BG84" s="139"/>
      <c r="BH84" s="139"/>
      <c r="BI84" s="139"/>
      <c r="BJ84" s="132"/>
      <c r="BK84" s="133"/>
    </row>
    <row r="85" spans="1:63" ht="15.75" customHeight="1">
      <c r="A85" s="255" t="s">
        <v>196</v>
      </c>
      <c r="B85" s="256"/>
      <c r="C85" s="257" t="s">
        <v>314</v>
      </c>
      <c r="D85" s="258"/>
      <c r="E85" s="259"/>
      <c r="F85" s="259"/>
      <c r="G85" s="259"/>
      <c r="H85" s="259"/>
      <c r="I85" s="259"/>
      <c r="J85" s="259"/>
      <c r="K85" s="259"/>
      <c r="L85" s="260"/>
      <c r="M85" s="261"/>
      <c r="N85" s="257"/>
      <c r="O85" s="259"/>
      <c r="P85" s="259"/>
      <c r="Q85" s="261"/>
      <c r="R85" s="744"/>
      <c r="S85" s="745"/>
      <c r="T85" s="266" t="s">
        <v>213</v>
      </c>
      <c r="U85" s="259"/>
      <c r="V85" s="259"/>
      <c r="W85" s="259"/>
      <c r="X85" s="259"/>
      <c r="Y85" s="259"/>
      <c r="Z85" s="259"/>
      <c r="AA85" s="261"/>
      <c r="AB85" s="257" t="s">
        <v>314</v>
      </c>
      <c r="AC85" s="259"/>
      <c r="AD85" s="259"/>
      <c r="AE85" s="259"/>
      <c r="AF85" s="259"/>
      <c r="AG85" s="259"/>
      <c r="AH85" s="259"/>
      <c r="AI85" s="261"/>
      <c r="AJ85" s="257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61"/>
      <c r="BK85" s="264"/>
    </row>
    <row r="86" spans="1:63" ht="15.75" customHeight="1">
      <c r="A86" s="255"/>
      <c r="B86" s="256"/>
      <c r="C86" s="257" t="s">
        <v>405</v>
      </c>
      <c r="D86" s="258"/>
      <c r="E86" s="259"/>
      <c r="F86" s="259"/>
      <c r="G86" s="259"/>
      <c r="H86" s="259"/>
      <c r="I86" s="259"/>
      <c r="J86" s="259"/>
      <c r="K86" s="259"/>
      <c r="L86" s="260"/>
      <c r="M86" s="261"/>
      <c r="N86" s="257"/>
      <c r="O86" s="259"/>
      <c r="P86" s="259"/>
      <c r="Q86" s="261"/>
      <c r="R86" s="744"/>
      <c r="S86" s="745"/>
      <c r="T86" s="266"/>
      <c r="U86" s="259"/>
      <c r="V86" s="259"/>
      <c r="W86" s="259"/>
      <c r="X86" s="259"/>
      <c r="Y86" s="259"/>
      <c r="Z86" s="259"/>
      <c r="AA86" s="261"/>
      <c r="AB86" s="257"/>
      <c r="AC86" s="259"/>
      <c r="AD86" s="259"/>
      <c r="AE86" s="259"/>
      <c r="AF86" s="259"/>
      <c r="AG86" s="259"/>
      <c r="AH86" s="259"/>
      <c r="AI86" s="261"/>
      <c r="AJ86" s="257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61"/>
      <c r="BK86" s="264"/>
    </row>
    <row r="87" spans="1:63" ht="15.75" customHeight="1">
      <c r="A87" s="222" t="s">
        <v>197</v>
      </c>
      <c r="B87" s="223"/>
      <c r="C87" s="224" t="s">
        <v>315</v>
      </c>
      <c r="D87" s="225"/>
      <c r="E87" s="226"/>
      <c r="F87" s="226"/>
      <c r="G87" s="226"/>
      <c r="H87" s="226"/>
      <c r="I87" s="226"/>
      <c r="J87" s="226"/>
      <c r="K87" s="226"/>
      <c r="L87" s="227"/>
      <c r="M87" s="228"/>
      <c r="N87" s="224"/>
      <c r="O87" s="226"/>
      <c r="P87" s="226"/>
      <c r="Q87" s="228"/>
      <c r="R87" s="229"/>
      <c r="S87" s="223"/>
      <c r="T87" s="239"/>
      <c r="U87" s="226"/>
      <c r="V87" s="226"/>
      <c r="W87" s="226"/>
      <c r="X87" s="226"/>
      <c r="Y87" s="226"/>
      <c r="Z87" s="226"/>
      <c r="AA87" s="228"/>
      <c r="AB87" s="224"/>
      <c r="AC87" s="226"/>
      <c r="AD87" s="226"/>
      <c r="AE87" s="226"/>
      <c r="AF87" s="226"/>
      <c r="AG87" s="226"/>
      <c r="AH87" s="226"/>
      <c r="AI87" s="228"/>
      <c r="AJ87" s="224" t="s">
        <v>400</v>
      </c>
      <c r="AK87" s="226"/>
      <c r="AL87" s="226"/>
      <c r="AM87" s="226"/>
      <c r="AN87" s="226"/>
      <c r="AO87" s="226"/>
      <c r="AP87" s="226"/>
      <c r="AQ87" s="226"/>
      <c r="AR87" s="226"/>
      <c r="AS87" s="226"/>
      <c r="AT87" s="226"/>
      <c r="AU87" s="226"/>
      <c r="AV87" s="226"/>
      <c r="AW87" s="226"/>
      <c r="AX87" s="226"/>
      <c r="AY87" s="226"/>
      <c r="AZ87" s="226"/>
      <c r="BA87" s="226"/>
      <c r="BB87" s="226"/>
      <c r="BC87" s="226"/>
      <c r="BD87" s="226"/>
      <c r="BE87" s="226"/>
      <c r="BF87" s="226"/>
      <c r="BG87" s="226"/>
      <c r="BH87" s="226"/>
      <c r="BI87" s="226"/>
      <c r="BJ87" s="228"/>
      <c r="BK87" s="232"/>
    </row>
    <row r="88" spans="1:63" ht="15.75" customHeight="1">
      <c r="A88" s="233" t="s">
        <v>198</v>
      </c>
      <c r="B88" s="243"/>
      <c r="C88" s="224" t="s">
        <v>316</v>
      </c>
      <c r="D88" s="235"/>
      <c r="E88" s="236"/>
      <c r="F88" s="236"/>
      <c r="G88" s="236"/>
      <c r="H88" s="236"/>
      <c r="I88" s="236"/>
      <c r="J88" s="236"/>
      <c r="K88" s="236"/>
      <c r="L88" s="237"/>
      <c r="M88" s="238"/>
      <c r="N88" s="239"/>
      <c r="O88" s="236"/>
      <c r="P88" s="236"/>
      <c r="Q88" s="238"/>
      <c r="R88" s="240"/>
      <c r="S88" s="234"/>
      <c r="T88" s="239"/>
      <c r="U88" s="236"/>
      <c r="V88" s="236"/>
      <c r="W88" s="236"/>
      <c r="X88" s="236"/>
      <c r="Y88" s="236"/>
      <c r="Z88" s="236"/>
      <c r="AA88" s="238"/>
      <c r="AB88" s="224"/>
      <c r="AC88" s="236"/>
      <c r="AD88" s="236"/>
      <c r="AE88" s="236"/>
      <c r="AF88" s="236"/>
      <c r="AG88" s="236"/>
      <c r="AH88" s="236"/>
      <c r="AI88" s="238"/>
      <c r="AJ88" s="224" t="s">
        <v>400</v>
      </c>
      <c r="AK88" s="236"/>
      <c r="AL88" s="236"/>
      <c r="AM88" s="236"/>
      <c r="AN88" s="236"/>
      <c r="AO88" s="236"/>
      <c r="AP88" s="236"/>
      <c r="AQ88" s="236"/>
      <c r="AR88" s="236"/>
      <c r="AS88" s="236"/>
      <c r="AT88" s="236"/>
      <c r="AU88" s="236"/>
      <c r="AV88" s="236"/>
      <c r="AW88" s="236"/>
      <c r="AX88" s="236"/>
      <c r="AY88" s="236"/>
      <c r="AZ88" s="236"/>
      <c r="BA88" s="236"/>
      <c r="BB88" s="236"/>
      <c r="BC88" s="236"/>
      <c r="BD88" s="236"/>
      <c r="BE88" s="236"/>
      <c r="BF88" s="236"/>
      <c r="BG88" s="236"/>
      <c r="BH88" s="236"/>
      <c r="BI88" s="236"/>
      <c r="BJ88" s="238"/>
      <c r="BK88" s="244"/>
    </row>
    <row r="89" spans="1:63" ht="15.75" customHeight="1">
      <c r="A89" s="245" t="s">
        <v>199</v>
      </c>
      <c r="B89" s="246"/>
      <c r="C89" s="224" t="s">
        <v>317</v>
      </c>
      <c r="D89" s="247"/>
      <c r="E89" s="248"/>
      <c r="F89" s="248"/>
      <c r="G89" s="248"/>
      <c r="H89" s="248"/>
      <c r="I89" s="248"/>
      <c r="J89" s="248"/>
      <c r="K89" s="248"/>
      <c r="L89" s="249"/>
      <c r="M89" s="250"/>
      <c r="N89" s="251"/>
      <c r="O89" s="248"/>
      <c r="P89" s="248"/>
      <c r="Q89" s="250"/>
      <c r="R89" s="252"/>
      <c r="S89" s="253"/>
      <c r="T89" s="239"/>
      <c r="U89" s="248"/>
      <c r="V89" s="248"/>
      <c r="W89" s="248"/>
      <c r="X89" s="248"/>
      <c r="Y89" s="248"/>
      <c r="Z89" s="248"/>
      <c r="AA89" s="250"/>
      <c r="AB89" s="224"/>
      <c r="AC89" s="248"/>
      <c r="AD89" s="248"/>
      <c r="AE89" s="248"/>
      <c r="AF89" s="248"/>
      <c r="AG89" s="248"/>
      <c r="AH89" s="248"/>
      <c r="AI89" s="250"/>
      <c r="AJ89" s="224" t="s">
        <v>400</v>
      </c>
      <c r="AK89" s="248"/>
      <c r="AL89" s="248"/>
      <c r="AM89" s="248"/>
      <c r="AN89" s="248"/>
      <c r="AO89" s="248"/>
      <c r="AP89" s="248"/>
      <c r="AQ89" s="248"/>
      <c r="AR89" s="248"/>
      <c r="AS89" s="248"/>
      <c r="AT89" s="248"/>
      <c r="AU89" s="248"/>
      <c r="AV89" s="248"/>
      <c r="AW89" s="248"/>
      <c r="AX89" s="248"/>
      <c r="AY89" s="248"/>
      <c r="AZ89" s="248"/>
      <c r="BA89" s="248"/>
      <c r="BB89" s="248"/>
      <c r="BC89" s="248"/>
      <c r="BD89" s="248"/>
      <c r="BE89" s="248"/>
      <c r="BF89" s="248"/>
      <c r="BG89" s="248"/>
      <c r="BH89" s="248"/>
      <c r="BI89" s="248"/>
      <c r="BJ89" s="250"/>
      <c r="BK89" s="254"/>
    </row>
    <row r="90" spans="1:63" ht="15.75" customHeight="1">
      <c r="A90" s="222" t="s">
        <v>223</v>
      </c>
      <c r="B90" s="223"/>
      <c r="C90" s="224" t="s">
        <v>318</v>
      </c>
      <c r="D90" s="225"/>
      <c r="E90" s="226"/>
      <c r="F90" s="226"/>
      <c r="G90" s="226"/>
      <c r="H90" s="226"/>
      <c r="I90" s="226"/>
      <c r="J90" s="226"/>
      <c r="K90" s="226"/>
      <c r="L90" s="227"/>
      <c r="M90" s="228"/>
      <c r="N90" s="224"/>
      <c r="O90" s="226"/>
      <c r="P90" s="226"/>
      <c r="Q90" s="228"/>
      <c r="R90" s="746"/>
      <c r="S90" s="747"/>
      <c r="T90" s="239"/>
      <c r="U90" s="226"/>
      <c r="V90" s="226"/>
      <c r="W90" s="226"/>
      <c r="X90" s="226"/>
      <c r="Y90" s="226"/>
      <c r="Z90" s="226"/>
      <c r="AA90" s="228"/>
      <c r="AB90" s="224"/>
      <c r="AC90" s="226"/>
      <c r="AD90" s="226"/>
      <c r="AE90" s="226"/>
      <c r="AF90" s="226"/>
      <c r="AG90" s="226"/>
      <c r="AH90" s="226"/>
      <c r="AI90" s="228"/>
      <c r="AJ90" s="224" t="s">
        <v>400</v>
      </c>
      <c r="AK90" s="226"/>
      <c r="AL90" s="226"/>
      <c r="AM90" s="226"/>
      <c r="AN90" s="226"/>
      <c r="AO90" s="226"/>
      <c r="AP90" s="226"/>
      <c r="AQ90" s="226"/>
      <c r="AR90" s="226"/>
      <c r="AS90" s="226"/>
      <c r="AT90" s="226"/>
      <c r="AU90" s="226"/>
      <c r="AV90" s="226"/>
      <c r="AW90" s="226"/>
      <c r="AX90" s="226"/>
      <c r="AY90" s="226"/>
      <c r="AZ90" s="226"/>
      <c r="BA90" s="226"/>
      <c r="BB90" s="226"/>
      <c r="BC90" s="226"/>
      <c r="BD90" s="226"/>
      <c r="BE90" s="226"/>
      <c r="BF90" s="226"/>
      <c r="BG90" s="226"/>
      <c r="BH90" s="226"/>
      <c r="BI90" s="226"/>
      <c r="BJ90" s="228"/>
      <c r="BK90" s="232"/>
    </row>
    <row r="91" spans="1:63" ht="15.75" customHeight="1">
      <c r="A91" s="222" t="s">
        <v>228</v>
      </c>
      <c r="B91" s="223"/>
      <c r="C91" s="224" t="s">
        <v>319</v>
      </c>
      <c r="D91" s="225"/>
      <c r="E91" s="226"/>
      <c r="F91" s="226"/>
      <c r="G91" s="226"/>
      <c r="H91" s="226"/>
      <c r="I91" s="226"/>
      <c r="J91" s="226"/>
      <c r="K91" s="226"/>
      <c r="L91" s="227"/>
      <c r="M91" s="228"/>
      <c r="N91" s="224"/>
      <c r="O91" s="226"/>
      <c r="P91" s="226"/>
      <c r="Q91" s="228"/>
      <c r="R91" s="229"/>
      <c r="S91" s="230"/>
      <c r="T91" s="239"/>
      <c r="U91" s="226"/>
      <c r="V91" s="226"/>
      <c r="W91" s="226"/>
      <c r="X91" s="226"/>
      <c r="Y91" s="226"/>
      <c r="Z91" s="226"/>
      <c r="AA91" s="228"/>
      <c r="AB91" s="224"/>
      <c r="AC91" s="226"/>
      <c r="AD91" s="226"/>
      <c r="AE91" s="226"/>
      <c r="AF91" s="226"/>
      <c r="AG91" s="226"/>
      <c r="AH91" s="226"/>
      <c r="AI91" s="228"/>
      <c r="AJ91" s="224" t="s">
        <v>400</v>
      </c>
      <c r="AK91" s="226"/>
      <c r="AL91" s="226"/>
      <c r="AM91" s="226"/>
      <c r="AN91" s="226"/>
      <c r="AO91" s="226"/>
      <c r="AP91" s="226"/>
      <c r="AQ91" s="226"/>
      <c r="AR91" s="226"/>
      <c r="AS91" s="226"/>
      <c r="AT91" s="226"/>
      <c r="AU91" s="226"/>
      <c r="AV91" s="226"/>
      <c r="AW91" s="226"/>
      <c r="AX91" s="226"/>
      <c r="AY91" s="226"/>
      <c r="AZ91" s="226"/>
      <c r="BA91" s="226"/>
      <c r="BB91" s="226"/>
      <c r="BC91" s="226"/>
      <c r="BD91" s="226"/>
      <c r="BE91" s="226"/>
      <c r="BF91" s="226"/>
      <c r="BG91" s="226"/>
      <c r="BH91" s="226"/>
      <c r="BI91" s="226"/>
      <c r="BJ91" s="228"/>
      <c r="BK91" s="232"/>
    </row>
    <row r="92" spans="1:63" ht="15.75" customHeight="1">
      <c r="A92" s="222" t="s">
        <v>229</v>
      </c>
      <c r="B92" s="234"/>
      <c r="C92" s="224" t="s">
        <v>320</v>
      </c>
      <c r="D92" s="235"/>
      <c r="E92" s="236"/>
      <c r="F92" s="236"/>
      <c r="G92" s="236"/>
      <c r="H92" s="236"/>
      <c r="I92" s="236"/>
      <c r="J92" s="236"/>
      <c r="K92" s="236"/>
      <c r="L92" s="237"/>
      <c r="M92" s="238"/>
      <c r="N92" s="239"/>
      <c r="O92" s="236"/>
      <c r="P92" s="236"/>
      <c r="Q92" s="238"/>
      <c r="R92" s="240"/>
      <c r="S92" s="241"/>
      <c r="T92" s="239"/>
      <c r="U92" s="236"/>
      <c r="V92" s="236"/>
      <c r="W92" s="236"/>
      <c r="X92" s="236"/>
      <c r="Y92" s="236"/>
      <c r="Z92" s="236"/>
      <c r="AA92" s="238"/>
      <c r="AB92" s="224"/>
      <c r="AC92" s="236"/>
      <c r="AD92" s="236"/>
      <c r="AE92" s="236"/>
      <c r="AF92" s="236"/>
      <c r="AG92" s="236"/>
      <c r="AH92" s="236"/>
      <c r="AI92" s="238"/>
      <c r="AJ92" s="224" t="s">
        <v>400</v>
      </c>
      <c r="AK92" s="236"/>
      <c r="AL92" s="236"/>
      <c r="AM92" s="236"/>
      <c r="AN92" s="236"/>
      <c r="AO92" s="236"/>
      <c r="AP92" s="236"/>
      <c r="AQ92" s="236"/>
      <c r="AR92" s="236"/>
      <c r="AS92" s="236"/>
      <c r="AT92" s="236"/>
      <c r="AU92" s="236"/>
      <c r="AV92" s="236"/>
      <c r="AW92" s="236"/>
      <c r="AX92" s="236"/>
      <c r="AY92" s="236"/>
      <c r="AZ92" s="236"/>
      <c r="BA92" s="236"/>
      <c r="BB92" s="236"/>
      <c r="BC92" s="236"/>
      <c r="BD92" s="236"/>
      <c r="BE92" s="236"/>
      <c r="BF92" s="236"/>
      <c r="BG92" s="236"/>
      <c r="BH92" s="236"/>
      <c r="BI92" s="236"/>
      <c r="BJ92" s="238"/>
      <c r="BK92" s="242"/>
    </row>
    <row r="93" spans="1:63" ht="15.75" customHeight="1">
      <c r="A93" s="233" t="s">
        <v>230</v>
      </c>
      <c r="B93" s="234"/>
      <c r="C93" s="224" t="s">
        <v>321</v>
      </c>
      <c r="D93" s="235"/>
      <c r="E93" s="236"/>
      <c r="F93" s="236"/>
      <c r="G93" s="236"/>
      <c r="H93" s="236"/>
      <c r="I93" s="236"/>
      <c r="J93" s="236"/>
      <c r="K93" s="236"/>
      <c r="L93" s="237"/>
      <c r="M93" s="238"/>
      <c r="N93" s="239"/>
      <c r="O93" s="236"/>
      <c r="P93" s="236"/>
      <c r="Q93" s="238"/>
      <c r="R93" s="240"/>
      <c r="S93" s="234"/>
      <c r="T93" s="231"/>
      <c r="U93" s="236"/>
      <c r="V93" s="236"/>
      <c r="W93" s="236"/>
      <c r="X93" s="236"/>
      <c r="Y93" s="236"/>
      <c r="Z93" s="236"/>
      <c r="AA93" s="238"/>
      <c r="AB93" s="236"/>
      <c r="AC93" s="236"/>
      <c r="AD93" s="236"/>
      <c r="AE93" s="236"/>
      <c r="AF93" s="236"/>
      <c r="AG93" s="236"/>
      <c r="AH93" s="236"/>
      <c r="AI93" s="238"/>
      <c r="AJ93" s="239" t="s">
        <v>400</v>
      </c>
      <c r="AK93" s="236"/>
      <c r="AL93" s="236"/>
      <c r="AM93" s="236"/>
      <c r="AN93" s="236"/>
      <c r="AO93" s="236"/>
      <c r="AP93" s="236"/>
      <c r="AQ93" s="236"/>
      <c r="AR93" s="236"/>
      <c r="AS93" s="236"/>
      <c r="AT93" s="236"/>
      <c r="AU93" s="236"/>
      <c r="AV93" s="236"/>
      <c r="AW93" s="236"/>
      <c r="AX93" s="236"/>
      <c r="AY93" s="236"/>
      <c r="AZ93" s="236"/>
      <c r="BA93" s="236"/>
      <c r="BB93" s="236"/>
      <c r="BC93" s="236"/>
      <c r="BD93" s="236"/>
      <c r="BE93" s="236"/>
      <c r="BF93" s="236"/>
      <c r="BG93" s="236"/>
      <c r="BH93" s="236"/>
      <c r="BI93" s="236"/>
      <c r="BJ93" s="238"/>
      <c r="BK93" s="242"/>
    </row>
    <row r="94" spans="1:63" ht="15.75" customHeight="1">
      <c r="A94" s="69" t="s">
        <v>231</v>
      </c>
      <c r="B94" s="135"/>
      <c r="C94" s="137" t="s">
        <v>322</v>
      </c>
      <c r="D94" s="138"/>
      <c r="E94" s="139"/>
      <c r="F94" s="139"/>
      <c r="G94" s="139"/>
      <c r="H94" s="139"/>
      <c r="I94" s="139"/>
      <c r="J94" s="139"/>
      <c r="K94" s="139"/>
      <c r="L94" s="140"/>
      <c r="M94" s="132"/>
      <c r="N94" s="137"/>
      <c r="O94" s="139"/>
      <c r="P94" s="139"/>
      <c r="Q94" s="132"/>
      <c r="R94" s="136"/>
      <c r="S94" s="135"/>
      <c r="T94" s="85"/>
      <c r="U94" s="139"/>
      <c r="V94" s="139"/>
      <c r="W94" s="139"/>
      <c r="X94" s="139"/>
      <c r="Y94" s="139"/>
      <c r="Z94" s="139"/>
      <c r="AA94" s="132"/>
      <c r="AB94" s="137"/>
      <c r="AC94" s="139"/>
      <c r="AD94" s="139"/>
      <c r="AE94" s="139"/>
      <c r="AF94" s="139"/>
      <c r="AG94" s="139"/>
      <c r="AH94" s="139"/>
      <c r="AI94" s="132"/>
      <c r="AJ94" s="137" t="s">
        <v>325</v>
      </c>
      <c r="AK94" s="139"/>
      <c r="AL94" s="139"/>
      <c r="AM94" s="139"/>
      <c r="AN94" s="139"/>
      <c r="AO94" s="139"/>
      <c r="AP94" s="139"/>
      <c r="AQ94" s="139"/>
      <c r="AR94" s="139"/>
      <c r="AS94" s="139"/>
      <c r="AT94" s="139"/>
      <c r="AU94" s="139"/>
      <c r="AV94" s="139"/>
      <c r="AW94" s="139"/>
      <c r="AX94" s="139"/>
      <c r="AY94" s="139"/>
      <c r="AZ94" s="139"/>
      <c r="BA94" s="139"/>
      <c r="BB94" s="139"/>
      <c r="BC94" s="139"/>
      <c r="BD94" s="139"/>
      <c r="BE94" s="139"/>
      <c r="BF94" s="139"/>
      <c r="BG94" s="139"/>
      <c r="BH94" s="139"/>
      <c r="BI94" s="139"/>
      <c r="BJ94" s="132"/>
      <c r="BK94" s="133"/>
    </row>
    <row r="95" spans="1:63" ht="15.75" customHeight="1">
      <c r="A95" s="255" t="s">
        <v>276</v>
      </c>
      <c r="B95" s="256"/>
      <c r="C95" s="257" t="s">
        <v>323</v>
      </c>
      <c r="D95" s="258"/>
      <c r="E95" s="259"/>
      <c r="F95" s="259"/>
      <c r="G95" s="259"/>
      <c r="H95" s="259"/>
      <c r="I95" s="259"/>
      <c r="J95" s="259"/>
      <c r="K95" s="259"/>
      <c r="L95" s="260"/>
      <c r="M95" s="261"/>
      <c r="N95" s="257"/>
      <c r="O95" s="259"/>
      <c r="P95" s="259"/>
      <c r="Q95" s="261"/>
      <c r="R95" s="744"/>
      <c r="S95" s="745"/>
      <c r="T95" s="257" t="s">
        <v>213</v>
      </c>
      <c r="U95" s="259"/>
      <c r="V95" s="259"/>
      <c r="W95" s="259"/>
      <c r="X95" s="259"/>
      <c r="Y95" s="259"/>
      <c r="Z95" s="259"/>
      <c r="AA95" s="261"/>
      <c r="AB95" s="257" t="s">
        <v>323</v>
      </c>
      <c r="AC95" s="259"/>
      <c r="AD95" s="259"/>
      <c r="AE95" s="259"/>
      <c r="AF95" s="259"/>
      <c r="AG95" s="259"/>
      <c r="AH95" s="259"/>
      <c r="AI95" s="261"/>
      <c r="AJ95" s="257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61"/>
      <c r="BK95" s="264"/>
    </row>
    <row r="96" spans="1:63" ht="15.75" customHeight="1">
      <c r="A96" s="255" t="s">
        <v>277</v>
      </c>
      <c r="B96" s="265"/>
      <c r="C96" s="266" t="s">
        <v>359</v>
      </c>
      <c r="D96" s="267"/>
      <c r="E96" s="268"/>
      <c r="F96" s="268"/>
      <c r="G96" s="268"/>
      <c r="H96" s="268"/>
      <c r="I96" s="268"/>
      <c r="J96" s="268"/>
      <c r="K96" s="268"/>
      <c r="L96" s="269"/>
      <c r="M96" s="270"/>
      <c r="N96" s="266"/>
      <c r="O96" s="268"/>
      <c r="P96" s="268"/>
      <c r="Q96" s="270"/>
      <c r="R96" s="740"/>
      <c r="S96" s="741"/>
      <c r="T96" s="266" t="s">
        <v>402</v>
      </c>
      <c r="U96" s="268"/>
      <c r="V96" s="268"/>
      <c r="W96" s="268"/>
      <c r="X96" s="268"/>
      <c r="Y96" s="268"/>
      <c r="Z96" s="268"/>
      <c r="AA96" s="270"/>
      <c r="AB96" s="259" t="s">
        <v>215</v>
      </c>
      <c r="AC96" s="268"/>
      <c r="AD96" s="268"/>
      <c r="AE96" s="268"/>
      <c r="AF96" s="268"/>
      <c r="AG96" s="268"/>
      <c r="AH96" s="268"/>
      <c r="AI96" s="270"/>
      <c r="AJ96" s="266"/>
      <c r="AK96" s="268"/>
      <c r="AL96" s="268"/>
      <c r="AM96" s="268"/>
      <c r="AN96" s="268"/>
      <c r="AO96" s="268"/>
      <c r="AP96" s="268"/>
      <c r="AQ96" s="268"/>
      <c r="AR96" s="268"/>
      <c r="AS96" s="268"/>
      <c r="AT96" s="268"/>
      <c r="AU96" s="268"/>
      <c r="AV96" s="268"/>
      <c r="AW96" s="268"/>
      <c r="AX96" s="268"/>
      <c r="AY96" s="268"/>
      <c r="AZ96" s="268"/>
      <c r="BA96" s="268"/>
      <c r="BB96" s="268"/>
      <c r="BC96" s="268"/>
      <c r="BD96" s="268"/>
      <c r="BE96" s="268"/>
      <c r="BF96" s="268"/>
      <c r="BG96" s="268"/>
      <c r="BH96" s="268"/>
      <c r="BI96" s="268"/>
      <c r="BJ96" s="270"/>
      <c r="BK96" s="271"/>
    </row>
    <row r="97" spans="1:63" ht="15.75" customHeight="1">
      <c r="A97" s="255" t="s">
        <v>278</v>
      </c>
      <c r="B97" s="256"/>
      <c r="C97" s="257" t="s">
        <v>360</v>
      </c>
      <c r="D97" s="258"/>
      <c r="E97" s="259"/>
      <c r="F97" s="259"/>
      <c r="G97" s="259"/>
      <c r="H97" s="259"/>
      <c r="I97" s="259"/>
      <c r="J97" s="259"/>
      <c r="K97" s="259"/>
      <c r="L97" s="260"/>
      <c r="M97" s="261"/>
      <c r="N97" s="257"/>
      <c r="O97" s="259"/>
      <c r="P97" s="259"/>
      <c r="Q97" s="261"/>
      <c r="R97" s="262"/>
      <c r="S97" s="263"/>
      <c r="T97" s="266" t="s">
        <v>403</v>
      </c>
      <c r="U97" s="259"/>
      <c r="V97" s="259"/>
      <c r="W97" s="259"/>
      <c r="X97" s="259"/>
      <c r="Y97" s="259"/>
      <c r="Z97" s="259"/>
      <c r="AA97" s="261"/>
      <c r="AB97" s="257" t="s">
        <v>350</v>
      </c>
      <c r="AC97" s="259"/>
      <c r="AD97" s="259"/>
      <c r="AE97" s="259"/>
      <c r="AF97" s="259"/>
      <c r="AG97" s="259"/>
      <c r="AH97" s="259"/>
      <c r="AI97" s="261"/>
      <c r="AJ97" s="276" t="s">
        <v>406</v>
      </c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61"/>
      <c r="BK97" s="264"/>
    </row>
    <row r="98" spans="1:63" ht="15.75" customHeight="1">
      <c r="A98" s="255" t="s">
        <v>279</v>
      </c>
      <c r="B98" s="265"/>
      <c r="C98" s="257" t="s">
        <v>361</v>
      </c>
      <c r="D98" s="267"/>
      <c r="E98" s="268"/>
      <c r="F98" s="268"/>
      <c r="G98" s="268"/>
      <c r="H98" s="268"/>
      <c r="I98" s="268"/>
      <c r="J98" s="268"/>
      <c r="K98" s="268"/>
      <c r="L98" s="269"/>
      <c r="M98" s="270"/>
      <c r="N98" s="266"/>
      <c r="O98" s="268"/>
      <c r="P98" s="268"/>
      <c r="Q98" s="270"/>
      <c r="R98" s="272"/>
      <c r="S98" s="273"/>
      <c r="T98" s="266" t="s">
        <v>403</v>
      </c>
      <c r="U98" s="268"/>
      <c r="V98" s="268"/>
      <c r="W98" s="268"/>
      <c r="X98" s="268"/>
      <c r="Y98" s="268"/>
      <c r="Z98" s="268"/>
      <c r="AA98" s="270"/>
      <c r="AB98" s="257"/>
      <c r="AC98" s="268"/>
      <c r="AD98" s="268"/>
      <c r="AE98" s="268"/>
      <c r="AF98" s="268"/>
      <c r="AG98" s="268"/>
      <c r="AH98" s="268"/>
      <c r="AI98" s="270"/>
      <c r="AJ98" s="257"/>
      <c r="AK98" s="268"/>
      <c r="AL98" s="268"/>
      <c r="AM98" s="268"/>
      <c r="AN98" s="268"/>
      <c r="AO98" s="268"/>
      <c r="AP98" s="268"/>
      <c r="AQ98" s="268"/>
      <c r="AR98" s="268"/>
      <c r="AS98" s="268"/>
      <c r="AT98" s="268"/>
      <c r="AU98" s="268"/>
      <c r="AV98" s="268"/>
      <c r="AW98" s="268"/>
      <c r="AX98" s="268"/>
      <c r="AY98" s="268"/>
      <c r="AZ98" s="268"/>
      <c r="BA98" s="268"/>
      <c r="BB98" s="268"/>
      <c r="BC98" s="268"/>
      <c r="BD98" s="268"/>
      <c r="BE98" s="268"/>
      <c r="BF98" s="268"/>
      <c r="BG98" s="268"/>
      <c r="BH98" s="268"/>
      <c r="BI98" s="268"/>
      <c r="BJ98" s="270"/>
      <c r="BK98" s="271"/>
    </row>
    <row r="99" spans="1:63" ht="15.75" customHeight="1">
      <c r="A99" s="274" t="s">
        <v>280</v>
      </c>
      <c r="B99" s="265"/>
      <c r="C99" s="257" t="s">
        <v>362</v>
      </c>
      <c r="D99" s="267"/>
      <c r="E99" s="268"/>
      <c r="F99" s="268"/>
      <c r="G99" s="268"/>
      <c r="H99" s="268"/>
      <c r="I99" s="268"/>
      <c r="J99" s="268"/>
      <c r="K99" s="268"/>
      <c r="L99" s="269"/>
      <c r="M99" s="270"/>
      <c r="N99" s="266"/>
      <c r="O99" s="268"/>
      <c r="P99" s="268"/>
      <c r="Q99" s="270"/>
      <c r="R99" s="272"/>
      <c r="S99" s="265"/>
      <c r="T99" s="275"/>
      <c r="U99" s="268"/>
      <c r="V99" s="268"/>
      <c r="W99" s="268"/>
      <c r="X99" s="268"/>
      <c r="Y99" s="268"/>
      <c r="Z99" s="268"/>
      <c r="AA99" s="270"/>
      <c r="AB99" s="268"/>
      <c r="AC99" s="268"/>
      <c r="AD99" s="268"/>
      <c r="AE99" s="268"/>
      <c r="AF99" s="268"/>
      <c r="AG99" s="268"/>
      <c r="AH99" s="268"/>
      <c r="AI99" s="270"/>
      <c r="AJ99" s="266"/>
      <c r="AK99" s="268"/>
      <c r="AL99" s="268"/>
      <c r="AM99" s="268"/>
      <c r="AN99" s="268"/>
      <c r="AO99" s="268"/>
      <c r="AP99" s="268"/>
      <c r="AQ99" s="268"/>
      <c r="AR99" s="268"/>
      <c r="AS99" s="268"/>
      <c r="AT99" s="268"/>
      <c r="AU99" s="268"/>
      <c r="AV99" s="268"/>
      <c r="AW99" s="268"/>
      <c r="AX99" s="268"/>
      <c r="AY99" s="268"/>
      <c r="AZ99" s="268"/>
      <c r="BA99" s="268"/>
      <c r="BB99" s="268"/>
      <c r="BC99" s="268"/>
      <c r="BD99" s="268"/>
      <c r="BE99" s="268"/>
      <c r="BF99" s="268"/>
      <c r="BG99" s="268"/>
      <c r="BH99" s="268"/>
      <c r="BI99" s="268"/>
      <c r="BJ99" s="270"/>
      <c r="BK99" s="271"/>
    </row>
    <row r="100" spans="1:63" ht="15.75" customHeight="1" thickBot="1">
      <c r="A100" s="277" t="s">
        <v>281</v>
      </c>
      <c r="B100" s="278"/>
      <c r="C100" s="279" t="s">
        <v>363</v>
      </c>
      <c r="D100" s="280"/>
      <c r="E100" s="281"/>
      <c r="F100" s="281"/>
      <c r="G100" s="281"/>
      <c r="H100" s="281"/>
      <c r="I100" s="281"/>
      <c r="J100" s="281"/>
      <c r="K100" s="281"/>
      <c r="L100" s="282"/>
      <c r="M100" s="283"/>
      <c r="N100" s="279"/>
      <c r="O100" s="281"/>
      <c r="P100" s="281"/>
      <c r="Q100" s="283"/>
      <c r="R100" s="284"/>
      <c r="S100" s="278"/>
      <c r="T100" s="279"/>
      <c r="U100" s="281"/>
      <c r="V100" s="281"/>
      <c r="W100" s="281"/>
      <c r="X100" s="281"/>
      <c r="Y100" s="281"/>
      <c r="Z100" s="281"/>
      <c r="AA100" s="283"/>
      <c r="AB100" s="279"/>
      <c r="AC100" s="281"/>
      <c r="AD100" s="281"/>
      <c r="AE100" s="281"/>
      <c r="AF100" s="281"/>
      <c r="AG100" s="281"/>
      <c r="AH100" s="281"/>
      <c r="AI100" s="283"/>
      <c r="AJ100" s="285" t="s">
        <v>401</v>
      </c>
      <c r="AK100" s="281"/>
      <c r="AL100" s="281"/>
      <c r="AM100" s="281"/>
      <c r="AN100" s="281"/>
      <c r="AO100" s="281"/>
      <c r="AP100" s="281"/>
      <c r="AQ100" s="281"/>
      <c r="AR100" s="281"/>
      <c r="AS100" s="281"/>
      <c r="AT100" s="281"/>
      <c r="AU100" s="281"/>
      <c r="AV100" s="281"/>
      <c r="AW100" s="281"/>
      <c r="AX100" s="281"/>
      <c r="AY100" s="281"/>
      <c r="AZ100" s="281"/>
      <c r="BA100" s="281"/>
      <c r="BB100" s="281"/>
      <c r="BC100" s="281"/>
      <c r="BD100" s="281"/>
      <c r="BE100" s="281"/>
      <c r="BF100" s="281"/>
      <c r="BG100" s="281"/>
      <c r="BH100" s="281"/>
      <c r="BI100" s="281"/>
      <c r="BJ100" s="283"/>
      <c r="BK100" s="286"/>
    </row>
  </sheetData>
  <mergeCells count="35">
    <mergeCell ref="R37:S37"/>
    <mergeCell ref="R96:S96"/>
    <mergeCell ref="R22:S22"/>
    <mergeCell ref="R17:S17"/>
    <mergeCell ref="R27:S27"/>
    <mergeCell ref="R95:S95"/>
    <mergeCell ref="R80:S80"/>
    <mergeCell ref="R86:S86"/>
    <mergeCell ref="R90:S90"/>
    <mergeCell ref="R42:S42"/>
    <mergeCell ref="R46:S46"/>
    <mergeCell ref="R51:S51"/>
    <mergeCell ref="R85:S85"/>
    <mergeCell ref="AS1:AY1"/>
    <mergeCell ref="R36:S36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conditionalFormatting sqref="C32:C34 C53:C78 AB70:AB74">
    <cfRule type="expression" dxfId="9" priority="141">
      <formula>$C32="廃止"</formula>
    </cfRule>
    <cfRule type="expression" dxfId="8" priority="142">
      <formula>$C32="新規"</formula>
    </cfRule>
  </conditionalFormatting>
  <conditionalFormatting sqref="C25">
    <cfRule type="expression" dxfId="7" priority="51">
      <formula>$C25="廃止"</formula>
    </cfRule>
    <cfRule type="expression" dxfId="6" priority="52">
      <formula>$C25="新規"</formula>
    </cfRule>
  </conditionalFormatting>
  <conditionalFormatting sqref="C30">
    <cfRule type="expression" dxfId="5" priority="19">
      <formula>$C30="廃止"</formula>
    </cfRule>
    <cfRule type="expression" dxfId="4" priority="20">
      <formula>$C30="新規"</formula>
    </cfRule>
  </conditionalFormatting>
  <conditionalFormatting sqref="AB58:AB69">
    <cfRule type="expression" dxfId="3" priority="5">
      <formula>$C58="廃止"</formula>
    </cfRule>
    <cfRule type="expression" dxfId="2" priority="6">
      <formula>$C58="新規"</formula>
    </cfRule>
  </conditionalFormatting>
  <conditionalFormatting sqref="AB75:AB78">
    <cfRule type="expression" dxfId="1" priority="1">
      <formula>$C75="廃止"</formula>
    </cfRule>
    <cfRule type="expression" dxfId="0" priority="2">
      <formula>$C75="新規"</formula>
    </cfRule>
  </conditionalFormatting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ED66-9FED-4FF8-A0EA-EE734F8C5B5F}">
  <sheetPr codeName="Sheet6">
    <pageSetUpPr fitToPage="1"/>
  </sheetPr>
  <dimension ref="A1:BK32"/>
  <sheetViews>
    <sheetView showGridLines="0" showZeros="0" view="pageBreakPreview" topLeftCell="A7" zoomScaleNormal="100" zoomScaleSheetLayoutView="100" workbookViewId="0">
      <selection activeCell="AZ27" sqref="AZ27"/>
    </sheetView>
  </sheetViews>
  <sheetFormatPr defaultColWidth="2.125" defaultRowHeight="15.75" customHeight="1"/>
  <cols>
    <col min="1" max="1" width="2.125" style="208" customWidth="1"/>
    <col min="2" max="2" width="2.125" style="77" customWidth="1"/>
    <col min="3" max="3" width="2.375" style="77" customWidth="1"/>
    <col min="4" max="4" width="2.125" style="77" customWidth="1"/>
    <col min="5" max="5" width="3" style="77" customWidth="1"/>
    <col min="6" max="62" width="2.125" style="77" customWidth="1"/>
    <col min="63" max="63" width="2.25" style="77" customWidth="1"/>
    <col min="64" max="16384" width="2.125" style="77"/>
  </cols>
  <sheetData>
    <row r="1" spans="1:63" s="74" customFormat="1" ht="15.75" customHeight="1">
      <c r="A1" s="678" t="str">
        <f>表紙!A54</f>
        <v>Webシステム</v>
      </c>
      <c r="B1" s="679"/>
      <c r="C1" s="679"/>
      <c r="D1" s="679"/>
      <c r="E1" s="679"/>
      <c r="F1" s="679"/>
      <c r="G1" s="679"/>
      <c r="H1" s="679"/>
      <c r="I1" s="679"/>
      <c r="J1" s="680"/>
      <c r="K1" s="722" t="s">
        <v>128</v>
      </c>
      <c r="L1" s="723"/>
      <c r="M1" s="723"/>
      <c r="N1" s="723"/>
      <c r="O1" s="723"/>
      <c r="P1" s="723"/>
      <c r="Q1" s="723"/>
      <c r="R1" s="723"/>
      <c r="S1" s="723"/>
      <c r="T1" s="724"/>
      <c r="U1" s="725" t="s">
        <v>142</v>
      </c>
      <c r="V1" s="726"/>
      <c r="W1" s="726"/>
      <c r="X1" s="726"/>
      <c r="Y1" s="727"/>
      <c r="Z1" s="728" t="str">
        <f>表紙!$AJ$63</f>
        <v>MS</v>
      </c>
      <c r="AA1" s="729"/>
      <c r="AB1" s="729"/>
      <c r="AC1" s="729"/>
      <c r="AD1" s="730"/>
      <c r="AE1" s="737" t="s">
        <v>131</v>
      </c>
      <c r="AF1" s="689"/>
      <c r="AG1" s="689"/>
      <c r="AH1" s="689"/>
      <c r="AI1" s="690"/>
      <c r="AJ1" s="675" t="str">
        <f>表紙!$AX$63</f>
        <v>Webシステム</v>
      </c>
      <c r="AK1" s="676"/>
      <c r="AL1" s="676"/>
      <c r="AM1" s="676"/>
      <c r="AN1" s="676"/>
      <c r="AO1" s="676"/>
      <c r="AP1" s="676"/>
      <c r="AQ1" s="676"/>
      <c r="AR1" s="677"/>
      <c r="AS1" s="687" t="s">
        <v>101</v>
      </c>
      <c r="AT1" s="687"/>
      <c r="AU1" s="687"/>
      <c r="AV1" s="687"/>
      <c r="AW1" s="687"/>
      <c r="AX1" s="687"/>
      <c r="AY1" s="687"/>
      <c r="AZ1" s="688" t="s">
        <v>122</v>
      </c>
      <c r="BA1" s="689"/>
      <c r="BB1" s="689"/>
      <c r="BC1" s="689"/>
      <c r="BD1" s="689"/>
      <c r="BE1" s="690"/>
      <c r="BF1" s="688" t="s">
        <v>143</v>
      </c>
      <c r="BG1" s="689"/>
      <c r="BH1" s="689"/>
      <c r="BI1" s="689"/>
      <c r="BJ1" s="689"/>
      <c r="BK1" s="691"/>
    </row>
    <row r="2" spans="1:63" s="74" customFormat="1" ht="15.75" customHeight="1">
      <c r="A2" s="681"/>
      <c r="B2" s="682"/>
      <c r="C2" s="682"/>
      <c r="D2" s="682"/>
      <c r="E2" s="682"/>
      <c r="F2" s="682"/>
      <c r="G2" s="682"/>
      <c r="H2" s="682"/>
      <c r="I2" s="682"/>
      <c r="J2" s="683"/>
      <c r="K2" s="692" t="str">
        <f>表紙!O64</f>
        <v>アドオン設計書</v>
      </c>
      <c r="L2" s="693"/>
      <c r="M2" s="693"/>
      <c r="N2" s="693"/>
      <c r="O2" s="693"/>
      <c r="P2" s="693"/>
      <c r="Q2" s="693"/>
      <c r="R2" s="693"/>
      <c r="S2" s="693"/>
      <c r="T2" s="694"/>
      <c r="U2" s="695" t="s">
        <v>144</v>
      </c>
      <c r="V2" s="696"/>
      <c r="W2" s="696"/>
      <c r="X2" s="696"/>
      <c r="Y2" s="697"/>
      <c r="Z2" s="731" t="str">
        <f>表紙!$AJ$64</f>
        <v>MSBB</v>
      </c>
      <c r="AA2" s="732"/>
      <c r="AB2" s="732"/>
      <c r="AC2" s="732"/>
      <c r="AD2" s="733"/>
      <c r="AE2" s="734" t="s">
        <v>136</v>
      </c>
      <c r="AF2" s="735"/>
      <c r="AG2" s="735"/>
      <c r="AH2" s="735"/>
      <c r="AI2" s="736"/>
      <c r="AJ2" s="714" t="str">
        <f>表紙!$AX$64</f>
        <v>販売Webシステム</v>
      </c>
      <c r="AK2" s="715"/>
      <c r="AL2" s="715"/>
      <c r="AM2" s="715"/>
      <c r="AN2" s="715"/>
      <c r="AO2" s="715"/>
      <c r="AP2" s="715"/>
      <c r="AQ2" s="715"/>
      <c r="AR2" s="716"/>
      <c r="AS2" s="717" t="str">
        <f>表紙!$BL$64</f>
        <v>972501-0-0001</v>
      </c>
      <c r="AT2" s="718"/>
      <c r="AU2" s="718"/>
      <c r="AV2" s="718"/>
      <c r="AW2" s="718"/>
      <c r="AX2" s="718"/>
      <c r="AY2" s="718"/>
      <c r="AZ2" s="720" t="str">
        <f>表紙!$BU$64</f>
        <v>7.0.2</v>
      </c>
      <c r="BA2" s="693"/>
      <c r="BB2" s="693"/>
      <c r="BC2" s="693"/>
      <c r="BD2" s="693"/>
      <c r="BE2" s="694"/>
      <c r="BF2" s="698">
        <f>表紙!$CB$64</f>
        <v>1</v>
      </c>
      <c r="BG2" s="693"/>
      <c r="BH2" s="693"/>
      <c r="BI2" s="693"/>
      <c r="BJ2" s="693"/>
      <c r="BK2" s="699"/>
    </row>
    <row r="3" spans="1:63" s="74" customFormat="1" ht="15.75" customHeight="1" thickBot="1">
      <c r="A3" s="684"/>
      <c r="B3" s="685"/>
      <c r="C3" s="685"/>
      <c r="D3" s="685"/>
      <c r="E3" s="685"/>
      <c r="F3" s="685"/>
      <c r="G3" s="685"/>
      <c r="H3" s="685"/>
      <c r="I3" s="685"/>
      <c r="J3" s="686"/>
      <c r="K3" s="703" t="str">
        <f ca="1">RIGHT(CELL("filename",$A$1),LEN(CELL("filename",$A$1))-FIND("]",CELL("filename",$A$1)))</f>
        <v>処理概要</v>
      </c>
      <c r="L3" s="704"/>
      <c r="M3" s="704"/>
      <c r="N3" s="704"/>
      <c r="O3" s="704"/>
      <c r="P3" s="704"/>
      <c r="Q3" s="704"/>
      <c r="R3" s="704"/>
      <c r="S3" s="704"/>
      <c r="T3" s="705"/>
      <c r="U3" s="706" t="s">
        <v>140</v>
      </c>
      <c r="V3" s="707"/>
      <c r="W3" s="707"/>
      <c r="X3" s="707"/>
      <c r="Y3" s="708"/>
      <c r="Z3" s="709" t="str">
        <f>表紙!$AJ$65</f>
        <v>MSBBRA050</v>
      </c>
      <c r="AA3" s="710"/>
      <c r="AB3" s="710"/>
      <c r="AC3" s="710"/>
      <c r="AD3" s="710"/>
      <c r="AE3" s="711" t="str">
        <f>表紙!$AQ$65</f>
        <v>受注伝票</v>
      </c>
      <c r="AF3" s="712"/>
      <c r="AG3" s="712"/>
      <c r="AH3" s="712"/>
      <c r="AI3" s="712"/>
      <c r="AJ3" s="712"/>
      <c r="AK3" s="712"/>
      <c r="AL3" s="712"/>
      <c r="AM3" s="712"/>
      <c r="AN3" s="712"/>
      <c r="AO3" s="712"/>
      <c r="AP3" s="712"/>
      <c r="AQ3" s="712"/>
      <c r="AR3" s="713"/>
      <c r="AS3" s="719"/>
      <c r="AT3" s="719"/>
      <c r="AU3" s="719"/>
      <c r="AV3" s="719"/>
      <c r="AW3" s="719"/>
      <c r="AX3" s="719"/>
      <c r="AY3" s="719"/>
      <c r="AZ3" s="700"/>
      <c r="BA3" s="701"/>
      <c r="BB3" s="701"/>
      <c r="BC3" s="701"/>
      <c r="BD3" s="701"/>
      <c r="BE3" s="721"/>
      <c r="BF3" s="700"/>
      <c r="BG3" s="701"/>
      <c r="BH3" s="701"/>
      <c r="BI3" s="701"/>
      <c r="BJ3" s="701"/>
      <c r="BK3" s="702"/>
    </row>
    <row r="4" spans="1:63" s="74" customFormat="1" ht="6.75" customHeight="1" thickBot="1">
      <c r="B4" s="70"/>
      <c r="C4" s="71"/>
      <c r="D4" s="71"/>
      <c r="E4" s="71"/>
      <c r="F4" s="72"/>
      <c r="G4" s="72"/>
      <c r="H4" s="72"/>
      <c r="I4" s="72"/>
      <c r="J4" s="71"/>
      <c r="K4" s="72"/>
      <c r="L4" s="72"/>
      <c r="M4" s="72"/>
      <c r="N4" s="72"/>
      <c r="O4" s="72"/>
      <c r="P4" s="72"/>
      <c r="Q4" s="73"/>
    </row>
    <row r="5" spans="1:63" ht="15.75" customHeight="1" thickBot="1">
      <c r="A5" s="191" t="s">
        <v>387</v>
      </c>
      <c r="B5" s="192" t="s">
        <v>388</v>
      </c>
      <c r="C5" s="192"/>
      <c r="D5" s="192"/>
      <c r="E5" s="192"/>
      <c r="F5" s="192"/>
      <c r="G5" s="192"/>
      <c r="H5" s="192"/>
      <c r="I5" s="193"/>
      <c r="J5" s="192" t="s">
        <v>389</v>
      </c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3"/>
      <c r="BD5" s="192" t="s">
        <v>390</v>
      </c>
      <c r="BE5" s="192"/>
      <c r="BF5" s="192"/>
      <c r="BG5" s="192"/>
      <c r="BH5" s="192"/>
      <c r="BI5" s="192"/>
      <c r="BJ5" s="192"/>
      <c r="BK5" s="194"/>
    </row>
    <row r="6" spans="1:63" s="141" customFormat="1" ht="15.75" customHeight="1" thickTop="1">
      <c r="A6" s="195" t="s">
        <v>190</v>
      </c>
      <c r="B6" s="196" t="s">
        <v>391</v>
      </c>
      <c r="C6" s="196"/>
      <c r="D6" s="196"/>
      <c r="E6" s="196"/>
      <c r="F6" s="196"/>
      <c r="G6" s="196"/>
      <c r="H6" s="196"/>
      <c r="I6" s="196"/>
      <c r="J6" s="196" t="s">
        <v>388</v>
      </c>
      <c r="K6" s="196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8"/>
    </row>
    <row r="7" spans="1:63" s="141" customFormat="1" ht="15.75" customHeight="1">
      <c r="A7" s="195"/>
      <c r="B7" s="84"/>
      <c r="I7" s="94"/>
      <c r="J7" s="77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200"/>
      <c r="AP7" s="200"/>
      <c r="AQ7" s="200"/>
      <c r="AR7" s="200"/>
      <c r="BD7" s="84"/>
      <c r="BK7" s="201"/>
    </row>
    <row r="8" spans="1:63" s="141" customFormat="1" ht="15.75" customHeight="1">
      <c r="A8" s="195"/>
      <c r="B8" s="84"/>
      <c r="C8" s="141" t="s">
        <v>383</v>
      </c>
      <c r="I8" s="94"/>
      <c r="J8" s="199"/>
      <c r="K8" s="199" t="s">
        <v>392</v>
      </c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200"/>
      <c r="AP8" s="200"/>
      <c r="AQ8" s="200"/>
      <c r="AR8" s="200"/>
      <c r="BD8" s="84"/>
      <c r="BK8" s="201"/>
    </row>
    <row r="9" spans="1:63" s="141" customFormat="1" ht="15.75" customHeight="1">
      <c r="A9" s="195"/>
      <c r="B9" s="84"/>
      <c r="C9" s="141" t="s">
        <v>384</v>
      </c>
      <c r="I9" s="94"/>
      <c r="J9" s="77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BD9" s="84"/>
      <c r="BK9" s="201"/>
    </row>
    <row r="10" spans="1:63" s="141" customFormat="1" ht="15.75" customHeight="1">
      <c r="A10" s="195"/>
      <c r="B10" s="84"/>
      <c r="I10" s="94"/>
      <c r="J10" s="77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BD10" s="84"/>
      <c r="BK10" s="201"/>
    </row>
    <row r="11" spans="1:63" s="141" customFormat="1" ht="15.75" customHeight="1">
      <c r="A11" s="195"/>
      <c r="B11" s="84"/>
      <c r="I11" s="94"/>
      <c r="J11" s="77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BD11" s="84"/>
      <c r="BK11" s="201"/>
    </row>
    <row r="12" spans="1:63" s="141" customFormat="1" ht="15.75" customHeight="1">
      <c r="A12" s="195"/>
      <c r="B12" s="84"/>
      <c r="I12" s="94"/>
      <c r="J12" s="77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BD12" s="84"/>
      <c r="BK12" s="201"/>
    </row>
    <row r="13" spans="1:63" s="141" customFormat="1" ht="15.75" customHeight="1">
      <c r="A13" s="195"/>
      <c r="B13" s="84"/>
      <c r="I13" s="94"/>
      <c r="J13" s="77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AB13" s="202"/>
      <c r="AC13" s="202"/>
      <c r="AD13" s="202"/>
      <c r="AE13" s="202"/>
      <c r="AF13" s="202"/>
      <c r="AG13" s="202"/>
      <c r="AH13" s="202"/>
      <c r="BD13" s="84"/>
      <c r="BK13" s="201"/>
    </row>
    <row r="14" spans="1:63" s="141" customFormat="1" ht="15.75" customHeight="1">
      <c r="A14" s="195"/>
      <c r="B14" s="84"/>
      <c r="I14" s="94"/>
      <c r="J14" s="77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BD14" s="84"/>
      <c r="BK14" s="201"/>
    </row>
    <row r="15" spans="1:63" s="141" customFormat="1" ht="15.75" customHeight="1">
      <c r="A15" s="195"/>
      <c r="B15" s="84"/>
      <c r="I15" s="94"/>
      <c r="J15" s="77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BD15" s="84"/>
      <c r="BK15" s="201"/>
    </row>
    <row r="16" spans="1:63" s="141" customFormat="1" ht="15.75" customHeight="1">
      <c r="A16" s="195"/>
      <c r="B16" s="84"/>
      <c r="I16" s="94"/>
      <c r="J16" s="77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BD16" s="84"/>
      <c r="BK16" s="201"/>
    </row>
    <row r="17" spans="1:63" s="141" customFormat="1" ht="15.75" customHeight="1">
      <c r="A17" s="195"/>
      <c r="B17" s="84"/>
      <c r="I17" s="94"/>
      <c r="J17" s="77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BD17" s="84"/>
      <c r="BK17" s="201"/>
    </row>
    <row r="18" spans="1:63" s="141" customFormat="1" ht="15.75" customHeight="1">
      <c r="A18" s="195"/>
      <c r="B18" s="84"/>
      <c r="I18" s="94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BD18" s="84"/>
      <c r="BK18" s="201"/>
    </row>
    <row r="19" spans="1:63" s="141" customFormat="1" ht="15.75" customHeight="1">
      <c r="A19" s="195" t="s">
        <v>393</v>
      </c>
      <c r="B19" s="196" t="s">
        <v>394</v>
      </c>
      <c r="C19" s="196"/>
      <c r="D19" s="196"/>
      <c r="E19" s="196"/>
      <c r="F19" s="196"/>
      <c r="G19" s="196"/>
      <c r="H19" s="196"/>
      <c r="I19" s="196"/>
      <c r="J19" s="196" t="s">
        <v>394</v>
      </c>
      <c r="K19" s="196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8"/>
    </row>
    <row r="20" spans="1:63" ht="15.75" customHeight="1">
      <c r="A20" s="203"/>
      <c r="B20" s="82"/>
      <c r="I20" s="83"/>
      <c r="BD20" s="82"/>
      <c r="BK20" s="79"/>
    </row>
    <row r="21" spans="1:63" ht="15.75" customHeight="1">
      <c r="A21" s="195"/>
      <c r="B21" s="84"/>
      <c r="C21" s="141" t="s">
        <v>383</v>
      </c>
      <c r="D21" s="141"/>
      <c r="E21" s="141"/>
      <c r="F21" s="141"/>
      <c r="G21" s="141"/>
      <c r="H21" s="141"/>
      <c r="I21" s="94"/>
      <c r="K21" s="77" t="s">
        <v>395</v>
      </c>
      <c r="BD21" s="82" t="s">
        <v>396</v>
      </c>
      <c r="BK21" s="79"/>
    </row>
    <row r="22" spans="1:63" ht="15.75" customHeight="1">
      <c r="A22" s="195"/>
      <c r="B22" s="84"/>
      <c r="C22" s="141" t="s">
        <v>384</v>
      </c>
      <c r="D22" s="141"/>
      <c r="E22" s="141"/>
      <c r="F22" s="141"/>
      <c r="G22" s="141"/>
      <c r="H22" s="141"/>
      <c r="I22" s="94"/>
      <c r="BD22" s="82"/>
      <c r="BK22" s="79"/>
    </row>
    <row r="23" spans="1:63" ht="15.75" customHeight="1">
      <c r="A23" s="204"/>
      <c r="B23" s="84"/>
      <c r="C23" s="141"/>
      <c r="D23" s="141"/>
      <c r="E23" s="141"/>
      <c r="F23" s="141"/>
      <c r="G23" s="141"/>
      <c r="H23" s="141"/>
      <c r="I23" s="94"/>
      <c r="K23" s="77" t="s">
        <v>397</v>
      </c>
      <c r="BD23" s="82"/>
      <c r="BK23" s="79"/>
    </row>
    <row r="24" spans="1:63" ht="15.75" customHeight="1">
      <c r="A24" s="204"/>
      <c r="B24" s="84"/>
      <c r="C24" s="141"/>
      <c r="D24" s="141"/>
      <c r="E24" s="141"/>
      <c r="F24" s="141"/>
      <c r="G24" s="141"/>
      <c r="H24" s="141"/>
      <c r="I24" s="94"/>
      <c r="BD24" s="82"/>
      <c r="BK24" s="79"/>
    </row>
    <row r="25" spans="1:63" ht="15.75" customHeight="1">
      <c r="A25" s="203"/>
      <c r="B25" s="82"/>
      <c r="I25" s="83"/>
      <c r="K25" s="77" t="s">
        <v>398</v>
      </c>
      <c r="BD25" s="82"/>
      <c r="BK25" s="79"/>
    </row>
    <row r="26" spans="1:63" ht="15.75" customHeight="1">
      <c r="A26" s="203"/>
      <c r="B26" s="82"/>
      <c r="I26" s="83"/>
      <c r="BD26" s="82"/>
      <c r="BK26" s="79"/>
    </row>
    <row r="27" spans="1:63" ht="15.75" customHeight="1">
      <c r="A27" s="203"/>
      <c r="B27" s="82"/>
      <c r="I27" s="83"/>
      <c r="BD27" s="82"/>
      <c r="BK27" s="79"/>
    </row>
    <row r="28" spans="1:63" ht="15.75" customHeight="1">
      <c r="A28" s="203"/>
      <c r="B28" s="82"/>
      <c r="I28" s="83"/>
      <c r="BD28" s="82"/>
      <c r="BK28" s="79"/>
    </row>
    <row r="29" spans="1:63" ht="15.75" customHeight="1">
      <c r="A29" s="203"/>
      <c r="B29" s="82"/>
      <c r="I29" s="83"/>
      <c r="BD29" s="82"/>
      <c r="BK29" s="79"/>
    </row>
    <row r="30" spans="1:63" ht="15.75" customHeight="1">
      <c r="A30" s="203"/>
      <c r="B30" s="82"/>
      <c r="I30" s="83"/>
      <c r="BD30" s="82"/>
      <c r="BK30" s="79"/>
    </row>
    <row r="31" spans="1:63" ht="15.75" customHeight="1">
      <c r="A31" s="203"/>
      <c r="B31" s="82"/>
      <c r="I31" s="83"/>
      <c r="BD31" s="82"/>
      <c r="BK31" s="79"/>
    </row>
    <row r="32" spans="1:63" ht="15.75" customHeight="1" thickBot="1">
      <c r="A32" s="205"/>
      <c r="B32" s="206"/>
      <c r="C32" s="75"/>
      <c r="D32" s="75"/>
      <c r="E32" s="75"/>
      <c r="F32" s="75"/>
      <c r="G32" s="75"/>
      <c r="H32" s="75"/>
      <c r="I32" s="207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206"/>
      <c r="BE32" s="75"/>
      <c r="BF32" s="75"/>
      <c r="BG32" s="75"/>
      <c r="BH32" s="75"/>
      <c r="BI32" s="75"/>
      <c r="BJ32" s="75"/>
      <c r="BK32" s="8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F262-7CC6-486A-BB37-898D85E61EE3}">
  <sheetPr>
    <tabColor rgb="FFFFFF00"/>
    <pageSetUpPr fitToPage="1"/>
  </sheetPr>
  <dimension ref="A1:BL139"/>
  <sheetViews>
    <sheetView showGridLines="0" showZeros="0" tabSelected="1" view="pageBreakPreview" topLeftCell="A112" zoomScaleNormal="100" zoomScaleSheetLayoutView="100" workbookViewId="0">
      <selection activeCell="AZ119" sqref="AZ119"/>
    </sheetView>
  </sheetViews>
  <sheetFormatPr defaultColWidth="2.125" defaultRowHeight="15.75" customHeight="1"/>
  <cols>
    <col min="1" max="1" width="2.125" style="208" customWidth="1"/>
    <col min="2" max="2" width="2.125" style="77" customWidth="1"/>
    <col min="3" max="3" width="2.375" style="77" customWidth="1"/>
    <col min="4" max="4" width="2.125" style="77" customWidth="1"/>
    <col min="5" max="5" width="3" style="77" customWidth="1"/>
    <col min="6" max="62" width="2.125" style="77" customWidth="1"/>
    <col min="63" max="63" width="2.25" style="77" customWidth="1"/>
    <col min="64" max="16384" width="2.125" style="77"/>
  </cols>
  <sheetData>
    <row r="1" spans="1:64" s="74" customFormat="1" ht="15.75" customHeight="1">
      <c r="A1" s="678" t="str">
        <f>表紙!A54</f>
        <v>Webシステム</v>
      </c>
      <c r="B1" s="679"/>
      <c r="C1" s="679"/>
      <c r="D1" s="679"/>
      <c r="E1" s="679"/>
      <c r="F1" s="679"/>
      <c r="G1" s="679"/>
      <c r="H1" s="679"/>
      <c r="I1" s="679"/>
      <c r="J1" s="680"/>
      <c r="K1" s="722" t="s">
        <v>128</v>
      </c>
      <c r="L1" s="723"/>
      <c r="M1" s="723"/>
      <c r="N1" s="723"/>
      <c r="O1" s="723"/>
      <c r="P1" s="723"/>
      <c r="Q1" s="723"/>
      <c r="R1" s="723"/>
      <c r="S1" s="723"/>
      <c r="T1" s="724"/>
      <c r="U1" s="725" t="s">
        <v>142</v>
      </c>
      <c r="V1" s="726"/>
      <c r="W1" s="726"/>
      <c r="X1" s="726"/>
      <c r="Y1" s="727"/>
      <c r="Z1" s="728" t="str">
        <f>表紙!$AJ$63</f>
        <v>MS</v>
      </c>
      <c r="AA1" s="729"/>
      <c r="AB1" s="729"/>
      <c r="AC1" s="729"/>
      <c r="AD1" s="730"/>
      <c r="AE1" s="737" t="s">
        <v>131</v>
      </c>
      <c r="AF1" s="689"/>
      <c r="AG1" s="689"/>
      <c r="AH1" s="689"/>
      <c r="AI1" s="690"/>
      <c r="AJ1" s="675" t="str">
        <f>表紙!$AX$63</f>
        <v>Webシステム</v>
      </c>
      <c r="AK1" s="676"/>
      <c r="AL1" s="676"/>
      <c r="AM1" s="676"/>
      <c r="AN1" s="676"/>
      <c r="AO1" s="676"/>
      <c r="AP1" s="676"/>
      <c r="AQ1" s="676"/>
      <c r="AR1" s="677"/>
      <c r="AS1" s="687" t="s">
        <v>101</v>
      </c>
      <c r="AT1" s="687"/>
      <c r="AU1" s="687"/>
      <c r="AV1" s="687"/>
      <c r="AW1" s="687"/>
      <c r="AX1" s="687"/>
      <c r="AY1" s="687"/>
      <c r="AZ1" s="688" t="s">
        <v>122</v>
      </c>
      <c r="BA1" s="689"/>
      <c r="BB1" s="689"/>
      <c r="BC1" s="689"/>
      <c r="BD1" s="689"/>
      <c r="BE1" s="690"/>
      <c r="BF1" s="688" t="s">
        <v>143</v>
      </c>
      <c r="BG1" s="689"/>
      <c r="BH1" s="689"/>
      <c r="BI1" s="689"/>
      <c r="BJ1" s="689"/>
      <c r="BK1" s="691"/>
    </row>
    <row r="2" spans="1:64" s="74" customFormat="1" ht="15.75" customHeight="1">
      <c r="A2" s="681"/>
      <c r="B2" s="682"/>
      <c r="C2" s="682"/>
      <c r="D2" s="682"/>
      <c r="E2" s="682"/>
      <c r="F2" s="682"/>
      <c r="G2" s="682"/>
      <c r="H2" s="682"/>
      <c r="I2" s="682"/>
      <c r="J2" s="683"/>
      <c r="K2" s="692" t="str">
        <f>表紙!O64</f>
        <v>アドオン設計書</v>
      </c>
      <c r="L2" s="693"/>
      <c r="M2" s="693"/>
      <c r="N2" s="693"/>
      <c r="O2" s="693"/>
      <c r="P2" s="693"/>
      <c r="Q2" s="693"/>
      <c r="R2" s="693"/>
      <c r="S2" s="693"/>
      <c r="T2" s="694"/>
      <c r="U2" s="695" t="s">
        <v>144</v>
      </c>
      <c r="V2" s="696"/>
      <c r="W2" s="696"/>
      <c r="X2" s="696"/>
      <c r="Y2" s="697"/>
      <c r="Z2" s="731" t="str">
        <f>表紙!$AJ$64</f>
        <v>MSBB</v>
      </c>
      <c r="AA2" s="732"/>
      <c r="AB2" s="732"/>
      <c r="AC2" s="732"/>
      <c r="AD2" s="733"/>
      <c r="AE2" s="734" t="s">
        <v>136</v>
      </c>
      <c r="AF2" s="735"/>
      <c r="AG2" s="735"/>
      <c r="AH2" s="735"/>
      <c r="AI2" s="736"/>
      <c r="AJ2" s="714" t="str">
        <f>表紙!$AX$64</f>
        <v>販売Webシステム</v>
      </c>
      <c r="AK2" s="715"/>
      <c r="AL2" s="715"/>
      <c r="AM2" s="715"/>
      <c r="AN2" s="715"/>
      <c r="AO2" s="715"/>
      <c r="AP2" s="715"/>
      <c r="AQ2" s="715"/>
      <c r="AR2" s="716"/>
      <c r="AS2" s="717" t="str">
        <f>表紙!$BL$64</f>
        <v>972501-0-0001</v>
      </c>
      <c r="AT2" s="718"/>
      <c r="AU2" s="718"/>
      <c r="AV2" s="718"/>
      <c r="AW2" s="718"/>
      <c r="AX2" s="718"/>
      <c r="AY2" s="718"/>
      <c r="AZ2" s="720" t="str">
        <f>表紙!$BU$64</f>
        <v>7.0.2</v>
      </c>
      <c r="BA2" s="693"/>
      <c r="BB2" s="693"/>
      <c r="BC2" s="693"/>
      <c r="BD2" s="693"/>
      <c r="BE2" s="694"/>
      <c r="BF2" s="698">
        <f>表紙!$CB$64</f>
        <v>1</v>
      </c>
      <c r="BG2" s="693"/>
      <c r="BH2" s="693"/>
      <c r="BI2" s="693"/>
      <c r="BJ2" s="693"/>
      <c r="BK2" s="699"/>
    </row>
    <row r="3" spans="1:64" s="74" customFormat="1" ht="15.75" customHeight="1" thickBot="1">
      <c r="A3" s="684"/>
      <c r="B3" s="685"/>
      <c r="C3" s="685"/>
      <c r="D3" s="685"/>
      <c r="E3" s="685"/>
      <c r="F3" s="685"/>
      <c r="G3" s="685"/>
      <c r="H3" s="685"/>
      <c r="I3" s="685"/>
      <c r="J3" s="686"/>
      <c r="K3" s="703" t="str">
        <f ca="1">RIGHT(CELL("filename",$A$1),LEN(CELL("filename",$A$1))-FIND("]",CELL("filename",$A$1)))</f>
        <v>処理詳細</v>
      </c>
      <c r="L3" s="704"/>
      <c r="M3" s="704"/>
      <c r="N3" s="704"/>
      <c r="O3" s="704"/>
      <c r="P3" s="704"/>
      <c r="Q3" s="704"/>
      <c r="R3" s="704"/>
      <c r="S3" s="704"/>
      <c r="T3" s="705"/>
      <c r="U3" s="706" t="s">
        <v>140</v>
      </c>
      <c r="V3" s="707"/>
      <c r="W3" s="707"/>
      <c r="X3" s="707"/>
      <c r="Y3" s="708"/>
      <c r="Z3" s="709" t="str">
        <f>表紙!$AJ$65</f>
        <v>MSBBRA050</v>
      </c>
      <c r="AA3" s="710"/>
      <c r="AB3" s="710"/>
      <c r="AC3" s="710"/>
      <c r="AD3" s="710"/>
      <c r="AE3" s="711" t="str">
        <f>表紙!$AQ$65</f>
        <v>受注伝票</v>
      </c>
      <c r="AF3" s="712"/>
      <c r="AG3" s="712"/>
      <c r="AH3" s="712"/>
      <c r="AI3" s="712"/>
      <c r="AJ3" s="712"/>
      <c r="AK3" s="712"/>
      <c r="AL3" s="712"/>
      <c r="AM3" s="712"/>
      <c r="AN3" s="712"/>
      <c r="AO3" s="712"/>
      <c r="AP3" s="712"/>
      <c r="AQ3" s="712"/>
      <c r="AR3" s="713"/>
      <c r="AS3" s="719"/>
      <c r="AT3" s="719"/>
      <c r="AU3" s="719"/>
      <c r="AV3" s="719"/>
      <c r="AW3" s="719"/>
      <c r="AX3" s="719"/>
      <c r="AY3" s="719"/>
      <c r="AZ3" s="700"/>
      <c r="BA3" s="701"/>
      <c r="BB3" s="701"/>
      <c r="BC3" s="701"/>
      <c r="BD3" s="701"/>
      <c r="BE3" s="721"/>
      <c r="BF3" s="700"/>
      <c r="BG3" s="701"/>
      <c r="BH3" s="701"/>
      <c r="BI3" s="701"/>
      <c r="BJ3" s="701"/>
      <c r="BK3" s="702"/>
    </row>
    <row r="4" spans="1:64" s="74" customFormat="1" ht="6.75" customHeight="1" thickBot="1">
      <c r="B4" s="70"/>
      <c r="C4" s="71"/>
      <c r="D4" s="71"/>
      <c r="E4" s="71"/>
      <c r="F4" s="72"/>
      <c r="G4" s="72"/>
      <c r="H4" s="72"/>
      <c r="I4" s="72"/>
      <c r="J4" s="71"/>
      <c r="K4" s="72"/>
      <c r="L4" s="72"/>
      <c r="M4" s="72"/>
      <c r="N4" s="72"/>
      <c r="O4" s="72"/>
      <c r="P4" s="72"/>
      <c r="Q4" s="73"/>
    </row>
    <row r="5" spans="1:64" ht="15.75" customHeight="1" thickBot="1">
      <c r="A5" s="191" t="s">
        <v>387</v>
      </c>
      <c r="B5" s="192" t="s">
        <v>388</v>
      </c>
      <c r="C5" s="192"/>
      <c r="D5" s="192"/>
      <c r="E5" s="192"/>
      <c r="F5" s="192"/>
      <c r="G5" s="192"/>
      <c r="H5" s="192"/>
      <c r="I5" s="193"/>
      <c r="J5" s="192" t="s">
        <v>389</v>
      </c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3"/>
      <c r="BD5" s="192" t="s">
        <v>390</v>
      </c>
      <c r="BE5" s="192"/>
      <c r="BF5" s="192"/>
      <c r="BG5" s="192"/>
      <c r="BH5" s="192"/>
      <c r="BI5" s="192"/>
      <c r="BJ5" s="192"/>
      <c r="BK5" s="194"/>
      <c r="BL5" s="78"/>
    </row>
    <row r="6" spans="1:64" s="141" customFormat="1" ht="15.75" customHeight="1" thickTop="1">
      <c r="A6" s="195" t="s">
        <v>190</v>
      </c>
      <c r="B6" s="196" t="s">
        <v>407</v>
      </c>
      <c r="C6" s="196"/>
      <c r="D6" s="196"/>
      <c r="E6" s="196"/>
      <c r="F6" s="196"/>
      <c r="G6" s="196"/>
      <c r="H6" s="196"/>
      <c r="I6" s="196"/>
      <c r="J6" s="196"/>
      <c r="K6" s="196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8"/>
      <c r="BL6" s="69"/>
    </row>
    <row r="7" spans="1:64" s="141" customFormat="1" ht="15.75" customHeight="1">
      <c r="A7" s="195"/>
      <c r="B7" s="84"/>
      <c r="I7" s="94"/>
      <c r="J7" s="199" t="s">
        <v>415</v>
      </c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200"/>
      <c r="AP7" s="200"/>
      <c r="AQ7" s="200"/>
      <c r="AR7" s="200"/>
      <c r="BD7" s="84"/>
      <c r="BK7" s="201"/>
    </row>
    <row r="8" spans="1:64" s="141" customFormat="1" ht="15.75" customHeight="1">
      <c r="A8" s="195"/>
      <c r="B8" s="84"/>
      <c r="I8" s="94"/>
      <c r="J8" s="77"/>
      <c r="K8" s="202" t="s">
        <v>408</v>
      </c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200"/>
      <c r="AP8" s="200"/>
      <c r="AQ8" s="200"/>
      <c r="AR8" s="200"/>
      <c r="BD8" s="84"/>
      <c r="BK8" s="201"/>
    </row>
    <row r="9" spans="1:64" s="141" customFormat="1" ht="15.75" customHeight="1">
      <c r="A9" s="195"/>
      <c r="B9" s="84"/>
      <c r="I9" s="94"/>
      <c r="J9" s="199"/>
      <c r="K9" s="77"/>
      <c r="L9" s="77"/>
      <c r="M9" s="77"/>
      <c r="N9" s="77"/>
      <c r="O9" s="77"/>
      <c r="P9" s="77"/>
      <c r="Q9" s="77"/>
      <c r="R9" s="77"/>
      <c r="S9" s="77"/>
      <c r="T9" s="76"/>
      <c r="U9" s="76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291"/>
      <c r="BD9" s="84"/>
      <c r="BK9" s="201"/>
    </row>
    <row r="10" spans="1:64" ht="15.75" customHeight="1">
      <c r="A10" s="195"/>
      <c r="B10" s="84"/>
      <c r="C10" s="141"/>
      <c r="D10" s="141"/>
      <c r="E10" s="141"/>
      <c r="F10" s="141"/>
      <c r="G10" s="141"/>
      <c r="H10" s="141"/>
      <c r="I10" s="94"/>
      <c r="K10" s="202" t="s">
        <v>416</v>
      </c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200"/>
      <c r="AP10" s="200"/>
      <c r="AQ10" s="200"/>
      <c r="AR10" s="200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84"/>
      <c r="BE10" s="141"/>
      <c r="BF10" s="141"/>
      <c r="BG10" s="141"/>
      <c r="BH10" s="141"/>
      <c r="BI10" s="141"/>
      <c r="BJ10" s="141"/>
      <c r="BK10" s="201"/>
    </row>
    <row r="11" spans="1:64" ht="15.75" customHeight="1">
      <c r="A11" s="195"/>
      <c r="B11" s="84"/>
      <c r="C11" s="141"/>
      <c r="D11" s="141"/>
      <c r="E11" s="141"/>
      <c r="F11" s="141"/>
      <c r="G11" s="141"/>
      <c r="H11" s="141"/>
      <c r="I11" s="94"/>
      <c r="K11" s="239" t="s">
        <v>409</v>
      </c>
      <c r="L11" s="236"/>
      <c r="M11" s="236"/>
      <c r="N11" s="236"/>
      <c r="O11" s="236"/>
      <c r="P11" s="236"/>
      <c r="Q11" s="236"/>
      <c r="R11" s="236"/>
      <c r="S11" s="236"/>
      <c r="T11" s="237"/>
      <c r="U11" s="237"/>
      <c r="V11" s="238"/>
      <c r="W11" s="239" t="s">
        <v>411</v>
      </c>
      <c r="X11" s="236"/>
      <c r="Y11" s="236"/>
      <c r="Z11" s="236"/>
      <c r="AA11" s="236"/>
      <c r="AB11" s="236"/>
      <c r="AC11" s="236"/>
      <c r="AD11" s="238"/>
      <c r="AE11" s="239" t="s">
        <v>185</v>
      </c>
      <c r="AF11" s="236"/>
      <c r="AG11" s="236"/>
      <c r="AH11" s="236"/>
      <c r="AI11" s="236"/>
      <c r="AJ11" s="236"/>
      <c r="AK11" s="236"/>
      <c r="AL11" s="238"/>
      <c r="AM11" s="239" t="s">
        <v>410</v>
      </c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8"/>
      <c r="BB11" s="141"/>
      <c r="BC11" s="141"/>
      <c r="BD11" s="84"/>
      <c r="BE11" s="141"/>
      <c r="BF11" s="141"/>
      <c r="BG11" s="141"/>
      <c r="BH11" s="141"/>
      <c r="BI11" s="141"/>
      <c r="BJ11" s="141"/>
      <c r="BK11" s="201"/>
    </row>
    <row r="12" spans="1:64" ht="15.75" customHeight="1">
      <c r="A12" s="195"/>
      <c r="B12" s="84"/>
      <c r="C12" s="141"/>
      <c r="D12" s="141"/>
      <c r="E12" s="141"/>
      <c r="F12" s="141"/>
      <c r="G12" s="141"/>
      <c r="H12" s="141"/>
      <c r="I12" s="94"/>
      <c r="K12" s="129" t="s">
        <v>329</v>
      </c>
      <c r="L12" s="176"/>
      <c r="M12" s="176"/>
      <c r="N12" s="176"/>
      <c r="O12" s="176"/>
      <c r="P12" s="176"/>
      <c r="Q12" s="176"/>
      <c r="R12" s="176"/>
      <c r="S12" s="176"/>
      <c r="T12" s="177"/>
      <c r="U12" s="177"/>
      <c r="V12" s="130"/>
      <c r="W12" s="129" t="s">
        <v>433</v>
      </c>
      <c r="X12" s="176"/>
      <c r="Y12" s="176"/>
      <c r="Z12" s="176"/>
      <c r="AA12" s="176"/>
      <c r="AB12" s="176"/>
      <c r="AC12" s="176"/>
      <c r="AD12" s="130"/>
      <c r="AE12" s="296" t="s">
        <v>331</v>
      </c>
      <c r="AF12" s="297"/>
      <c r="AG12" s="297"/>
      <c r="AH12" s="297"/>
      <c r="AI12" s="297"/>
      <c r="AJ12" s="297"/>
      <c r="AK12" s="297"/>
      <c r="AL12" s="298"/>
      <c r="AM12" s="129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30"/>
      <c r="BB12" s="141"/>
      <c r="BC12" s="141"/>
      <c r="BD12" s="84"/>
      <c r="BE12" s="141"/>
      <c r="BF12" s="141"/>
      <c r="BG12" s="141"/>
      <c r="BH12" s="141"/>
      <c r="BI12" s="141"/>
      <c r="BJ12" s="141"/>
      <c r="BK12" s="201"/>
    </row>
    <row r="13" spans="1:64" ht="15.75" customHeight="1">
      <c r="A13" s="195"/>
      <c r="B13" s="84"/>
      <c r="C13" s="141"/>
      <c r="D13" s="141"/>
      <c r="E13" s="141"/>
      <c r="F13" s="141"/>
      <c r="G13" s="141"/>
      <c r="H13" s="141"/>
      <c r="I13" s="94"/>
      <c r="K13" s="129" t="s">
        <v>215</v>
      </c>
      <c r="L13" s="176"/>
      <c r="M13" s="176"/>
      <c r="N13" s="176"/>
      <c r="O13" s="176"/>
      <c r="P13" s="176"/>
      <c r="Q13" s="176"/>
      <c r="R13" s="176"/>
      <c r="S13" s="176"/>
      <c r="T13" s="177"/>
      <c r="U13" s="177"/>
      <c r="V13" s="130"/>
      <c r="W13" s="129" t="s">
        <v>425</v>
      </c>
      <c r="X13" s="176"/>
      <c r="Y13" s="176"/>
      <c r="Z13" s="176"/>
      <c r="AA13" s="176"/>
      <c r="AB13" s="176"/>
      <c r="AC13" s="176"/>
      <c r="AD13" s="130"/>
      <c r="AE13" s="129" t="s">
        <v>215</v>
      </c>
      <c r="AF13" s="176"/>
      <c r="AG13" s="176"/>
      <c r="AH13" s="176"/>
      <c r="AI13" s="176"/>
      <c r="AJ13" s="176"/>
      <c r="AK13" s="176"/>
      <c r="AL13" s="130"/>
      <c r="AM13" s="129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6"/>
      <c r="BA13" s="130"/>
      <c r="BB13" s="141"/>
      <c r="BC13" s="141"/>
      <c r="BD13" s="84"/>
      <c r="BE13" s="141"/>
      <c r="BF13" s="141"/>
      <c r="BG13" s="141"/>
      <c r="BH13" s="141"/>
      <c r="BI13" s="141"/>
      <c r="BJ13" s="141"/>
      <c r="BK13" s="201"/>
    </row>
    <row r="14" spans="1:64" ht="15.75" customHeight="1">
      <c r="A14" s="195"/>
      <c r="B14" s="84"/>
      <c r="C14" s="141"/>
      <c r="D14" s="141"/>
      <c r="E14" s="141"/>
      <c r="F14" s="141"/>
      <c r="G14" s="141"/>
      <c r="H14" s="141"/>
      <c r="I14" s="94"/>
      <c r="K14" s="129" t="s">
        <v>216</v>
      </c>
      <c r="L14" s="176"/>
      <c r="M14" s="176"/>
      <c r="N14" s="176"/>
      <c r="O14" s="176"/>
      <c r="P14" s="176"/>
      <c r="Q14" s="176"/>
      <c r="R14" s="176"/>
      <c r="S14" s="176"/>
      <c r="T14" s="177"/>
      <c r="U14" s="177"/>
      <c r="V14" s="130"/>
      <c r="W14" s="129" t="s">
        <v>425</v>
      </c>
      <c r="X14" s="176"/>
      <c r="Y14" s="176"/>
      <c r="Z14" s="176"/>
      <c r="AA14" s="176"/>
      <c r="AB14" s="176"/>
      <c r="AC14" s="176"/>
      <c r="AD14" s="130"/>
      <c r="AE14" s="129" t="s">
        <v>232</v>
      </c>
      <c r="AF14" s="176"/>
      <c r="AG14" s="176"/>
      <c r="AH14" s="176"/>
      <c r="AI14" s="176"/>
      <c r="AJ14" s="176"/>
      <c r="AK14" s="176"/>
      <c r="AL14" s="130"/>
      <c r="AM14" s="129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/>
      <c r="AY14" s="176"/>
      <c r="AZ14" s="176"/>
      <c r="BA14" s="130"/>
      <c r="BB14" s="141"/>
      <c r="BC14" s="141"/>
      <c r="BD14" s="84"/>
      <c r="BE14" s="141"/>
      <c r="BF14" s="141"/>
      <c r="BG14" s="141"/>
      <c r="BH14" s="141"/>
      <c r="BI14" s="141"/>
      <c r="BJ14" s="141"/>
      <c r="BK14" s="201"/>
    </row>
    <row r="15" spans="1:64" ht="15.75" customHeight="1">
      <c r="A15" s="195"/>
      <c r="B15" s="84"/>
      <c r="C15" s="141"/>
      <c r="D15" s="141"/>
      <c r="E15" s="141"/>
      <c r="F15" s="141"/>
      <c r="G15" s="141"/>
      <c r="H15" s="141"/>
      <c r="I15" s="94"/>
      <c r="K15" s="129" t="s">
        <v>217</v>
      </c>
      <c r="L15" s="176"/>
      <c r="M15" s="176"/>
      <c r="N15" s="176"/>
      <c r="O15" s="176"/>
      <c r="P15" s="176"/>
      <c r="Q15" s="176"/>
      <c r="R15" s="176"/>
      <c r="S15" s="176"/>
      <c r="T15" s="177"/>
      <c r="U15" s="177"/>
      <c r="V15" s="130"/>
      <c r="W15" s="129" t="s">
        <v>425</v>
      </c>
      <c r="X15" s="176"/>
      <c r="Y15" s="176"/>
      <c r="Z15" s="176"/>
      <c r="AA15" s="176"/>
      <c r="AB15" s="176"/>
      <c r="AC15" s="176"/>
      <c r="AD15" s="130"/>
      <c r="AE15" s="129" t="s">
        <v>217</v>
      </c>
      <c r="AF15" s="176"/>
      <c r="AG15" s="176"/>
      <c r="AH15" s="176"/>
      <c r="AI15" s="176"/>
      <c r="AJ15" s="176"/>
      <c r="AK15" s="176"/>
      <c r="AL15" s="130"/>
      <c r="AM15" s="129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30"/>
      <c r="BB15" s="141"/>
      <c r="BC15" s="141"/>
      <c r="BD15" s="84"/>
      <c r="BE15" s="141"/>
      <c r="BF15" s="141"/>
      <c r="BG15" s="141"/>
      <c r="BH15" s="141"/>
      <c r="BI15" s="141"/>
      <c r="BJ15" s="141"/>
      <c r="BK15" s="201"/>
    </row>
    <row r="16" spans="1:64" ht="15.75" customHeight="1">
      <c r="A16" s="195"/>
      <c r="B16" s="84"/>
      <c r="C16" s="141"/>
      <c r="D16" s="141"/>
      <c r="E16" s="141"/>
      <c r="F16" s="141"/>
      <c r="G16" s="141"/>
      <c r="H16" s="141"/>
      <c r="I16" s="94"/>
      <c r="K16" s="129" t="s">
        <v>192</v>
      </c>
      <c r="L16" s="176"/>
      <c r="M16" s="176"/>
      <c r="N16" s="176"/>
      <c r="O16" s="176"/>
      <c r="P16" s="176"/>
      <c r="Q16" s="176"/>
      <c r="R16" s="176"/>
      <c r="S16" s="176"/>
      <c r="T16" s="177"/>
      <c r="U16" s="177"/>
      <c r="V16" s="130"/>
      <c r="W16" s="129" t="s">
        <v>426</v>
      </c>
      <c r="X16" s="176"/>
      <c r="Y16" s="176"/>
      <c r="Z16" s="176"/>
      <c r="AA16" s="176"/>
      <c r="AB16" s="176"/>
      <c r="AC16" s="176"/>
      <c r="AD16" s="130"/>
      <c r="AE16" s="129" t="s">
        <v>234</v>
      </c>
      <c r="AF16" s="176"/>
      <c r="AG16" s="176"/>
      <c r="AH16" s="176"/>
      <c r="AI16" s="176"/>
      <c r="AJ16" s="176"/>
      <c r="AK16" s="176"/>
      <c r="AL16" s="130"/>
      <c r="AM16" s="129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30"/>
      <c r="BB16" s="141"/>
      <c r="BC16" s="141"/>
      <c r="BD16" s="84"/>
      <c r="BE16" s="141"/>
      <c r="BF16" s="141"/>
      <c r="BG16" s="141"/>
      <c r="BH16" s="141"/>
      <c r="BI16" s="141"/>
      <c r="BJ16" s="141"/>
      <c r="BK16" s="201"/>
    </row>
    <row r="17" spans="1:63" ht="15.75" customHeight="1">
      <c r="A17" s="195"/>
      <c r="B17" s="84"/>
      <c r="C17" s="141"/>
      <c r="D17" s="141"/>
      <c r="E17" s="141"/>
      <c r="F17" s="141"/>
      <c r="G17" s="141"/>
      <c r="H17" s="141"/>
      <c r="I17" s="94"/>
      <c r="K17" s="129" t="s">
        <v>218</v>
      </c>
      <c r="L17" s="176"/>
      <c r="M17" s="176"/>
      <c r="N17" s="176"/>
      <c r="O17" s="176"/>
      <c r="P17" s="176"/>
      <c r="Q17" s="176"/>
      <c r="R17" s="176"/>
      <c r="S17" s="176"/>
      <c r="T17" s="177"/>
      <c r="U17" s="177"/>
      <c r="V17" s="130"/>
      <c r="W17" s="303" t="s">
        <v>428</v>
      </c>
      <c r="X17" s="304"/>
      <c r="Y17" s="304"/>
      <c r="Z17" s="304"/>
      <c r="AA17" s="304"/>
      <c r="AB17" s="304"/>
      <c r="AC17" s="304"/>
      <c r="AD17" s="305"/>
      <c r="AE17" s="303" t="s">
        <v>477</v>
      </c>
      <c r="AF17" s="297"/>
      <c r="AG17" s="297"/>
      <c r="AH17" s="297"/>
      <c r="AI17" s="297"/>
      <c r="AJ17" s="297"/>
      <c r="AK17" s="297"/>
      <c r="AL17" s="298"/>
      <c r="AM17" s="129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30"/>
      <c r="BB17" s="141"/>
      <c r="BC17" s="141"/>
      <c r="BD17" s="84"/>
      <c r="BE17" s="141"/>
      <c r="BF17" s="141"/>
      <c r="BG17" s="141"/>
      <c r="BH17" s="141"/>
      <c r="BI17" s="141"/>
      <c r="BJ17" s="141"/>
      <c r="BK17" s="201"/>
    </row>
    <row r="18" spans="1:63" ht="15.75" customHeight="1">
      <c r="A18" s="195"/>
      <c r="B18" s="84"/>
      <c r="C18" s="141"/>
      <c r="D18" s="141"/>
      <c r="E18" s="141"/>
      <c r="F18" s="141"/>
      <c r="G18" s="141"/>
      <c r="H18" s="141"/>
      <c r="I18" s="94"/>
      <c r="K18" s="129" t="s">
        <v>219</v>
      </c>
      <c r="L18" s="176"/>
      <c r="M18" s="176"/>
      <c r="N18" s="176"/>
      <c r="O18" s="176"/>
      <c r="P18" s="176"/>
      <c r="Q18" s="176"/>
      <c r="R18" s="176"/>
      <c r="S18" s="176"/>
      <c r="T18" s="177"/>
      <c r="U18" s="177"/>
      <c r="V18" s="130"/>
      <c r="W18" s="129" t="s">
        <v>426</v>
      </c>
      <c r="X18" s="176"/>
      <c r="Y18" s="176"/>
      <c r="Z18" s="176"/>
      <c r="AA18" s="176"/>
      <c r="AB18" s="176"/>
      <c r="AC18" s="176"/>
      <c r="AD18" s="130"/>
      <c r="AE18" s="129" t="s">
        <v>234</v>
      </c>
      <c r="AF18" s="176"/>
      <c r="AG18" s="176"/>
      <c r="AH18" s="176"/>
      <c r="AI18" s="176"/>
      <c r="AJ18" s="176"/>
      <c r="AK18" s="176"/>
      <c r="AL18" s="130"/>
      <c r="AM18" s="129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30"/>
      <c r="BB18" s="141"/>
      <c r="BC18" s="141"/>
      <c r="BD18" s="84"/>
      <c r="BE18" s="141"/>
      <c r="BF18" s="141"/>
      <c r="BG18" s="141"/>
      <c r="BH18" s="141"/>
      <c r="BI18" s="141"/>
      <c r="BJ18" s="141"/>
      <c r="BK18" s="201"/>
    </row>
    <row r="19" spans="1:63" ht="15.75" customHeight="1">
      <c r="A19" s="195"/>
      <c r="B19" s="84"/>
      <c r="C19" s="141"/>
      <c r="D19" s="141"/>
      <c r="E19" s="141"/>
      <c r="F19" s="141"/>
      <c r="G19" s="141"/>
      <c r="H19" s="141"/>
      <c r="I19" s="94"/>
      <c r="K19" s="129" t="s">
        <v>220</v>
      </c>
      <c r="L19" s="176"/>
      <c r="M19" s="176"/>
      <c r="N19" s="176"/>
      <c r="O19" s="176"/>
      <c r="P19" s="176"/>
      <c r="Q19" s="176"/>
      <c r="R19" s="176"/>
      <c r="S19" s="176"/>
      <c r="T19" s="177"/>
      <c r="U19" s="177"/>
      <c r="V19" s="130"/>
      <c r="W19" s="129" t="s">
        <v>428</v>
      </c>
      <c r="X19" s="176"/>
      <c r="Y19" s="176"/>
      <c r="Z19" s="176"/>
      <c r="AA19" s="176"/>
      <c r="AB19" s="176"/>
      <c r="AC19" s="176"/>
      <c r="AD19" s="130"/>
      <c r="AE19" s="129" t="s">
        <v>235</v>
      </c>
      <c r="AF19" s="176"/>
      <c r="AG19" s="176"/>
      <c r="AH19" s="176"/>
      <c r="AI19" s="176"/>
      <c r="AJ19" s="176"/>
      <c r="AK19" s="176"/>
      <c r="AL19" s="130"/>
      <c r="AM19" s="129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30"/>
      <c r="BB19" s="141"/>
      <c r="BC19" s="141"/>
      <c r="BD19" s="84"/>
      <c r="BE19" s="141"/>
      <c r="BF19" s="141"/>
      <c r="BG19" s="141"/>
      <c r="BH19" s="141"/>
      <c r="BI19" s="141"/>
      <c r="BJ19" s="141"/>
      <c r="BK19" s="201"/>
    </row>
    <row r="20" spans="1:63" ht="15.75" customHeight="1">
      <c r="A20" s="195"/>
      <c r="B20" s="84"/>
      <c r="C20" s="141"/>
      <c r="D20" s="141"/>
      <c r="E20" s="141"/>
      <c r="F20" s="141"/>
      <c r="G20" s="141"/>
      <c r="H20" s="141"/>
      <c r="I20" s="94"/>
      <c r="K20" s="129" t="s">
        <v>417</v>
      </c>
      <c r="L20" s="176"/>
      <c r="M20" s="176"/>
      <c r="N20" s="176"/>
      <c r="O20" s="176"/>
      <c r="P20" s="176"/>
      <c r="Q20" s="176"/>
      <c r="R20" s="176"/>
      <c r="S20" s="176"/>
      <c r="T20" s="177"/>
      <c r="U20" s="177"/>
      <c r="V20" s="130"/>
      <c r="W20" s="129" t="s">
        <v>428</v>
      </c>
      <c r="X20" s="176"/>
      <c r="Y20" s="176"/>
      <c r="Z20" s="176"/>
      <c r="AA20" s="176"/>
      <c r="AB20" s="176"/>
      <c r="AC20" s="176"/>
      <c r="AD20" s="130"/>
      <c r="AE20" s="129" t="s">
        <v>343</v>
      </c>
      <c r="AF20" s="176"/>
      <c r="AG20" s="176"/>
      <c r="AH20" s="176"/>
      <c r="AI20" s="176"/>
      <c r="AJ20" s="176"/>
      <c r="AK20" s="176"/>
      <c r="AL20" s="130"/>
      <c r="AM20" s="129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30"/>
      <c r="BB20" s="141"/>
      <c r="BC20" s="141"/>
      <c r="BD20" s="84"/>
      <c r="BE20" s="141"/>
      <c r="BF20" s="141"/>
      <c r="BG20" s="141"/>
      <c r="BH20" s="141"/>
      <c r="BI20" s="141"/>
      <c r="BJ20" s="141"/>
      <c r="BK20" s="201"/>
    </row>
    <row r="21" spans="1:63" ht="15.75" customHeight="1">
      <c r="A21" s="195"/>
      <c r="B21" s="84"/>
      <c r="C21" s="141"/>
      <c r="D21" s="141"/>
      <c r="E21" s="141"/>
      <c r="F21" s="141"/>
      <c r="G21" s="141"/>
      <c r="H21" s="141"/>
      <c r="I21" s="94"/>
      <c r="K21" s="129" t="s">
        <v>221</v>
      </c>
      <c r="L21" s="176"/>
      <c r="M21" s="176"/>
      <c r="N21" s="176"/>
      <c r="O21" s="176"/>
      <c r="P21" s="176"/>
      <c r="Q21" s="176"/>
      <c r="R21" s="176"/>
      <c r="S21" s="176"/>
      <c r="T21" s="177"/>
      <c r="U21" s="177"/>
      <c r="V21" s="130"/>
      <c r="W21" s="129" t="s">
        <v>425</v>
      </c>
      <c r="X21" s="176"/>
      <c r="Y21" s="176"/>
      <c r="Z21" s="176"/>
      <c r="AA21" s="176"/>
      <c r="AB21" s="176"/>
      <c r="AC21" s="176"/>
      <c r="AD21" s="130"/>
      <c r="AE21" s="129" t="s">
        <v>221</v>
      </c>
      <c r="AF21" s="176"/>
      <c r="AG21" s="176"/>
      <c r="AH21" s="176"/>
      <c r="AI21" s="176"/>
      <c r="AJ21" s="176"/>
      <c r="AK21" s="176"/>
      <c r="AL21" s="130"/>
      <c r="AM21" s="129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30"/>
      <c r="BB21" s="141"/>
      <c r="BC21" s="141"/>
      <c r="BD21" s="84"/>
      <c r="BE21" s="141"/>
      <c r="BF21" s="141"/>
      <c r="BG21" s="141"/>
      <c r="BH21" s="141"/>
      <c r="BI21" s="141"/>
      <c r="BJ21" s="141"/>
      <c r="BK21" s="201"/>
    </row>
    <row r="22" spans="1:63" ht="15.75" customHeight="1">
      <c r="A22" s="195"/>
      <c r="B22" s="84"/>
      <c r="C22" s="141"/>
      <c r="D22" s="141"/>
      <c r="E22" s="141"/>
      <c r="F22" s="141"/>
      <c r="G22" s="141"/>
      <c r="H22" s="141"/>
      <c r="I22" s="94"/>
      <c r="K22" s="129" t="s">
        <v>222</v>
      </c>
      <c r="L22" s="176"/>
      <c r="M22" s="176"/>
      <c r="N22" s="176"/>
      <c r="O22" s="176"/>
      <c r="P22" s="176"/>
      <c r="Q22" s="176"/>
      <c r="R22" s="176"/>
      <c r="S22" s="176"/>
      <c r="T22" s="177"/>
      <c r="U22" s="177"/>
      <c r="V22" s="130"/>
      <c r="W22" s="129" t="s">
        <v>425</v>
      </c>
      <c r="X22" s="176"/>
      <c r="Y22" s="176"/>
      <c r="Z22" s="176"/>
      <c r="AA22" s="176"/>
      <c r="AB22" s="176"/>
      <c r="AC22" s="176"/>
      <c r="AD22" s="130"/>
      <c r="AE22" s="129" t="s">
        <v>222</v>
      </c>
      <c r="AF22" s="176"/>
      <c r="AG22" s="176"/>
      <c r="AH22" s="176"/>
      <c r="AI22" s="176"/>
      <c r="AJ22" s="176"/>
      <c r="AK22" s="176"/>
      <c r="AL22" s="130"/>
      <c r="AM22" s="129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30"/>
      <c r="BB22" s="141"/>
      <c r="BC22" s="141"/>
      <c r="BD22" s="84"/>
      <c r="BE22" s="141"/>
      <c r="BF22" s="141"/>
      <c r="BG22" s="141"/>
      <c r="BH22" s="141"/>
      <c r="BI22" s="141"/>
      <c r="BJ22" s="141"/>
      <c r="BK22" s="201"/>
    </row>
    <row r="23" spans="1:63" ht="15.75" customHeight="1">
      <c r="A23" s="195"/>
      <c r="B23" s="84"/>
      <c r="C23" s="141"/>
      <c r="D23" s="141"/>
      <c r="E23" s="141"/>
      <c r="F23" s="141"/>
      <c r="G23" s="141"/>
      <c r="H23" s="141"/>
      <c r="I23" s="94"/>
      <c r="K23" s="129" t="s">
        <v>224</v>
      </c>
      <c r="L23" s="176"/>
      <c r="M23" s="176"/>
      <c r="N23" s="176"/>
      <c r="O23" s="176"/>
      <c r="P23" s="176"/>
      <c r="Q23" s="176"/>
      <c r="R23" s="176"/>
      <c r="S23" s="176"/>
      <c r="T23" s="177"/>
      <c r="U23" s="177"/>
      <c r="V23" s="130"/>
      <c r="W23" s="129" t="s">
        <v>188</v>
      </c>
      <c r="X23" s="176"/>
      <c r="Y23" s="176"/>
      <c r="Z23" s="176"/>
      <c r="AA23" s="176"/>
      <c r="AB23" s="176"/>
      <c r="AC23" s="176"/>
      <c r="AD23" s="130"/>
      <c r="AE23" s="129" t="s">
        <v>236</v>
      </c>
      <c r="AF23" s="176"/>
      <c r="AG23" s="176"/>
      <c r="AH23" s="176"/>
      <c r="AI23" s="176"/>
      <c r="AJ23" s="176"/>
      <c r="AK23" s="176"/>
      <c r="AL23" s="130"/>
      <c r="AM23" s="129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30"/>
      <c r="BB23" s="141"/>
      <c r="BC23" s="141"/>
      <c r="BD23" s="84"/>
      <c r="BE23" s="141"/>
      <c r="BF23" s="141"/>
      <c r="BG23" s="141"/>
      <c r="BH23" s="141"/>
      <c r="BI23" s="141"/>
      <c r="BJ23" s="141"/>
      <c r="BK23" s="201"/>
    </row>
    <row r="24" spans="1:63" ht="15.75" customHeight="1">
      <c r="A24" s="195"/>
      <c r="B24" s="84"/>
      <c r="C24" s="141"/>
      <c r="D24" s="141"/>
      <c r="E24" s="141"/>
      <c r="F24" s="141"/>
      <c r="G24" s="141"/>
      <c r="H24" s="141"/>
      <c r="I24" s="94"/>
      <c r="K24" s="129" t="s">
        <v>332</v>
      </c>
      <c r="L24" s="176"/>
      <c r="M24" s="176"/>
      <c r="N24" s="176"/>
      <c r="O24" s="176"/>
      <c r="P24" s="176"/>
      <c r="Q24" s="176"/>
      <c r="R24" s="176"/>
      <c r="S24" s="176"/>
      <c r="T24" s="177"/>
      <c r="U24" s="177"/>
      <c r="V24" s="130"/>
      <c r="W24" s="129" t="s">
        <v>426</v>
      </c>
      <c r="X24" s="176"/>
      <c r="Y24" s="176"/>
      <c r="Z24" s="176"/>
      <c r="AA24" s="176"/>
      <c r="AB24" s="176"/>
      <c r="AC24" s="176"/>
      <c r="AD24" s="130"/>
      <c r="AE24" s="296" t="s">
        <v>469</v>
      </c>
      <c r="AF24" s="297"/>
      <c r="AG24" s="297"/>
      <c r="AH24" s="297"/>
      <c r="AI24" s="297"/>
      <c r="AJ24" s="297"/>
      <c r="AK24" s="297"/>
      <c r="AL24" s="298"/>
      <c r="AM24" s="129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176"/>
      <c r="BA24" s="130"/>
      <c r="BB24" s="141"/>
      <c r="BC24" s="141"/>
      <c r="BD24" s="84"/>
      <c r="BE24" s="141"/>
      <c r="BF24" s="141"/>
      <c r="BG24" s="141"/>
      <c r="BH24" s="141"/>
      <c r="BI24" s="141"/>
      <c r="BJ24" s="141"/>
      <c r="BK24" s="201"/>
    </row>
    <row r="25" spans="1:63" ht="15.75" customHeight="1">
      <c r="A25" s="195"/>
      <c r="B25" s="84"/>
      <c r="C25" s="141"/>
      <c r="D25" s="141"/>
      <c r="E25" s="141"/>
      <c r="F25" s="141"/>
      <c r="G25" s="141"/>
      <c r="H25" s="141"/>
      <c r="I25" s="94"/>
      <c r="K25" s="129" t="s">
        <v>333</v>
      </c>
      <c r="L25" s="176"/>
      <c r="M25" s="176"/>
      <c r="N25" s="176"/>
      <c r="O25" s="176"/>
      <c r="P25" s="176"/>
      <c r="Q25" s="176"/>
      <c r="R25" s="176"/>
      <c r="S25" s="176"/>
      <c r="T25" s="177"/>
      <c r="U25" s="177"/>
      <c r="V25" s="130"/>
      <c r="W25" s="129" t="s">
        <v>426</v>
      </c>
      <c r="X25" s="176"/>
      <c r="Y25" s="176"/>
      <c r="Z25" s="176"/>
      <c r="AA25" s="176"/>
      <c r="AB25" s="176"/>
      <c r="AC25" s="176"/>
      <c r="AD25" s="130"/>
      <c r="AE25" s="296" t="s">
        <v>222</v>
      </c>
      <c r="AF25" s="297"/>
      <c r="AG25" s="297"/>
      <c r="AH25" s="297"/>
      <c r="AI25" s="297"/>
      <c r="AJ25" s="297"/>
      <c r="AK25" s="297"/>
      <c r="AL25" s="298"/>
      <c r="AM25" s="129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30"/>
      <c r="BB25" s="141"/>
      <c r="BC25" s="141"/>
      <c r="BD25" s="84"/>
      <c r="BE25" s="141"/>
      <c r="BF25" s="141"/>
      <c r="BG25" s="141"/>
      <c r="BH25" s="141"/>
      <c r="BI25" s="141"/>
      <c r="BJ25" s="141"/>
      <c r="BK25" s="201"/>
    </row>
    <row r="26" spans="1:63" ht="15.75" customHeight="1">
      <c r="A26" s="195"/>
      <c r="B26" s="84"/>
      <c r="C26" s="141"/>
      <c r="D26" s="141"/>
      <c r="E26" s="141"/>
      <c r="F26" s="141"/>
      <c r="G26" s="141"/>
      <c r="H26" s="141"/>
      <c r="I26" s="94"/>
      <c r="K26" s="129" t="s">
        <v>225</v>
      </c>
      <c r="L26" s="176"/>
      <c r="M26" s="176"/>
      <c r="N26" s="176"/>
      <c r="O26" s="176"/>
      <c r="P26" s="176"/>
      <c r="Q26" s="176"/>
      <c r="R26" s="176"/>
      <c r="S26" s="176"/>
      <c r="T26" s="177"/>
      <c r="U26" s="177"/>
      <c r="V26" s="130"/>
      <c r="W26" s="129" t="s">
        <v>188</v>
      </c>
      <c r="X26" s="176"/>
      <c r="Y26" s="176"/>
      <c r="Z26" s="176"/>
      <c r="AA26" s="176"/>
      <c r="AB26" s="176"/>
      <c r="AC26" s="176"/>
      <c r="AD26" s="130"/>
      <c r="AE26" s="129" t="s">
        <v>236</v>
      </c>
      <c r="AF26" s="176"/>
      <c r="AG26" s="176"/>
      <c r="AH26" s="176"/>
      <c r="AI26" s="176"/>
      <c r="AJ26" s="176"/>
      <c r="AK26" s="176"/>
      <c r="AL26" s="130"/>
      <c r="AM26" s="129"/>
      <c r="AN26" s="176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30"/>
      <c r="BB26" s="141"/>
      <c r="BC26" s="141"/>
      <c r="BD26" s="84"/>
      <c r="BE26" s="141"/>
      <c r="BF26" s="141"/>
      <c r="BG26" s="141"/>
      <c r="BH26" s="141"/>
      <c r="BI26" s="141"/>
      <c r="BJ26" s="141"/>
      <c r="BK26" s="201"/>
    </row>
    <row r="27" spans="1:63" ht="15.75" customHeight="1">
      <c r="A27" s="195"/>
      <c r="B27" s="84"/>
      <c r="C27" s="141"/>
      <c r="D27" s="141"/>
      <c r="E27" s="141"/>
      <c r="F27" s="141"/>
      <c r="G27" s="141"/>
      <c r="H27" s="141"/>
      <c r="I27" s="94"/>
      <c r="K27" s="129" t="s">
        <v>226</v>
      </c>
      <c r="L27" s="176"/>
      <c r="M27" s="176"/>
      <c r="N27" s="176"/>
      <c r="O27" s="176"/>
      <c r="P27" s="176"/>
      <c r="Q27" s="176"/>
      <c r="R27" s="176"/>
      <c r="S27" s="176"/>
      <c r="T27" s="177"/>
      <c r="U27" s="177"/>
      <c r="V27" s="130"/>
      <c r="W27" s="129" t="s">
        <v>428</v>
      </c>
      <c r="X27" s="176"/>
      <c r="Y27" s="176"/>
      <c r="Z27" s="176"/>
      <c r="AA27" s="176"/>
      <c r="AB27" s="176"/>
      <c r="AC27" s="176"/>
      <c r="AD27" s="130"/>
      <c r="AE27" s="129" t="s">
        <v>237</v>
      </c>
      <c r="AF27" s="176"/>
      <c r="AG27" s="176"/>
      <c r="AH27" s="176"/>
      <c r="AI27" s="176"/>
      <c r="AJ27" s="176"/>
      <c r="AK27" s="176"/>
      <c r="AL27" s="130"/>
      <c r="AM27" s="129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30"/>
      <c r="BB27" s="141"/>
      <c r="BC27" s="141"/>
      <c r="BD27" s="84"/>
      <c r="BE27" s="141"/>
      <c r="BF27" s="141"/>
      <c r="BG27" s="141"/>
      <c r="BH27" s="141"/>
      <c r="BI27" s="141"/>
      <c r="BJ27" s="141"/>
      <c r="BK27" s="201"/>
    </row>
    <row r="28" spans="1:63" ht="15.75" customHeight="1">
      <c r="A28" s="195"/>
      <c r="B28" s="84"/>
      <c r="C28" s="141"/>
      <c r="D28" s="141"/>
      <c r="E28" s="141"/>
      <c r="F28" s="141"/>
      <c r="G28" s="141"/>
      <c r="H28" s="141"/>
      <c r="I28" s="94"/>
      <c r="K28" s="129" t="s">
        <v>227</v>
      </c>
      <c r="L28" s="176"/>
      <c r="M28" s="176"/>
      <c r="N28" s="176"/>
      <c r="O28" s="176"/>
      <c r="P28" s="176"/>
      <c r="Q28" s="176"/>
      <c r="R28" s="176"/>
      <c r="S28" s="176"/>
      <c r="T28" s="177"/>
      <c r="U28" s="177"/>
      <c r="V28" s="130"/>
      <c r="W28" s="129" t="s">
        <v>428</v>
      </c>
      <c r="X28" s="176"/>
      <c r="Y28" s="176"/>
      <c r="Z28" s="176"/>
      <c r="AA28" s="176"/>
      <c r="AB28" s="176"/>
      <c r="AC28" s="176"/>
      <c r="AD28" s="130"/>
      <c r="AE28" s="129" t="s">
        <v>238</v>
      </c>
      <c r="AF28" s="176"/>
      <c r="AG28" s="176"/>
      <c r="AH28" s="176"/>
      <c r="AI28" s="176"/>
      <c r="AJ28" s="176"/>
      <c r="AK28" s="176"/>
      <c r="AL28" s="130"/>
      <c r="AM28" s="129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76"/>
      <c r="BA28" s="130"/>
      <c r="BB28" s="141"/>
      <c r="BC28" s="141"/>
      <c r="BD28" s="84"/>
      <c r="BE28" s="141"/>
      <c r="BF28" s="141"/>
      <c r="BG28" s="141"/>
      <c r="BH28" s="141"/>
      <c r="BI28" s="141"/>
      <c r="BJ28" s="141"/>
      <c r="BK28" s="201"/>
    </row>
    <row r="29" spans="1:63" ht="15.75" customHeight="1">
      <c r="A29" s="195"/>
      <c r="B29" s="84"/>
      <c r="C29" s="141"/>
      <c r="D29" s="141"/>
      <c r="E29" s="141"/>
      <c r="F29" s="141"/>
      <c r="G29" s="141"/>
      <c r="H29" s="141"/>
      <c r="I29" s="94"/>
      <c r="K29" s="129" t="s">
        <v>418</v>
      </c>
      <c r="L29" s="176"/>
      <c r="M29" s="176"/>
      <c r="N29" s="176"/>
      <c r="O29" s="176"/>
      <c r="P29" s="176"/>
      <c r="Q29" s="176"/>
      <c r="R29" s="176"/>
      <c r="S29" s="176"/>
      <c r="T29" s="177"/>
      <c r="U29" s="177"/>
      <c r="V29" s="130"/>
      <c r="W29" s="129" t="s">
        <v>429</v>
      </c>
      <c r="X29" s="176"/>
      <c r="Y29" s="176"/>
      <c r="Z29" s="176"/>
      <c r="AA29" s="176"/>
      <c r="AB29" s="176"/>
      <c r="AC29" s="176"/>
      <c r="AD29" s="130"/>
      <c r="AE29" s="129" t="s">
        <v>418</v>
      </c>
      <c r="AF29" s="176"/>
      <c r="AG29" s="176"/>
      <c r="AH29" s="176"/>
      <c r="AI29" s="176"/>
      <c r="AJ29" s="176"/>
      <c r="AK29" s="176"/>
      <c r="AL29" s="130"/>
      <c r="AM29" s="129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30"/>
      <c r="BB29" s="141"/>
      <c r="BC29" s="141"/>
      <c r="BD29" s="84"/>
      <c r="BE29" s="141"/>
      <c r="BF29" s="141"/>
      <c r="BG29" s="141"/>
      <c r="BH29" s="141"/>
      <c r="BI29" s="141"/>
      <c r="BJ29" s="141"/>
      <c r="BK29" s="201"/>
    </row>
    <row r="30" spans="1:63" s="141" customFormat="1" ht="15.75" customHeight="1">
      <c r="A30" s="195"/>
      <c r="B30" s="84"/>
      <c r="I30" s="94"/>
      <c r="J30" s="199"/>
      <c r="K30" s="77"/>
      <c r="L30" s="77"/>
      <c r="M30" s="77"/>
      <c r="N30" s="77"/>
      <c r="O30" s="77"/>
      <c r="P30" s="77"/>
      <c r="Q30" s="77"/>
      <c r="R30" s="77"/>
      <c r="S30" s="77"/>
      <c r="T30" s="76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291"/>
      <c r="BD30" s="84"/>
      <c r="BK30" s="201"/>
    </row>
    <row r="31" spans="1:63" s="141" customFormat="1" ht="15.75" customHeight="1">
      <c r="A31" s="195"/>
      <c r="B31" s="84"/>
      <c r="I31" s="94"/>
      <c r="J31" s="199"/>
      <c r="K31" s="199" t="s">
        <v>419</v>
      </c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200"/>
      <c r="AP31" s="200"/>
      <c r="AQ31" s="200"/>
      <c r="AR31" s="200"/>
      <c r="AT31" s="77"/>
      <c r="AU31" s="77"/>
      <c r="AV31" s="77"/>
      <c r="AW31" s="77"/>
      <c r="AX31" s="77"/>
      <c r="AY31" s="77"/>
      <c r="AZ31" s="77"/>
      <c r="BA31" s="77"/>
      <c r="BB31" s="291"/>
      <c r="BD31" s="84"/>
      <c r="BK31" s="201"/>
    </row>
    <row r="32" spans="1:63" s="141" customFormat="1" ht="15.75" customHeight="1">
      <c r="A32" s="195"/>
      <c r="B32" s="84"/>
      <c r="I32" s="94"/>
      <c r="J32" s="199"/>
      <c r="K32" s="199"/>
      <c r="L32" s="199"/>
      <c r="M32" s="199"/>
      <c r="N32" s="202"/>
      <c r="O32" s="77" t="s">
        <v>413</v>
      </c>
      <c r="Q32" s="202"/>
      <c r="R32" s="202"/>
      <c r="S32" s="202"/>
      <c r="T32" s="77"/>
      <c r="U32" s="77" t="s">
        <v>430</v>
      </c>
      <c r="V32" s="77"/>
      <c r="W32" s="77"/>
      <c r="X32" s="77"/>
      <c r="Y32" s="77"/>
      <c r="Z32" s="292"/>
      <c r="AA32" s="293" t="s">
        <v>420</v>
      </c>
      <c r="AB32" s="202"/>
      <c r="AC32" s="202"/>
      <c r="AD32" s="77" t="s">
        <v>427</v>
      </c>
      <c r="AF32" s="202"/>
      <c r="AG32" s="202"/>
      <c r="AH32" s="202"/>
      <c r="AI32" s="202"/>
      <c r="AJ32" s="202"/>
      <c r="AL32" s="202"/>
      <c r="AM32" s="77" t="s">
        <v>430</v>
      </c>
      <c r="AN32" s="202"/>
      <c r="AP32" s="77"/>
      <c r="AQ32" s="202"/>
      <c r="AT32" s="77"/>
      <c r="AU32" s="77"/>
      <c r="AV32" s="77"/>
      <c r="AW32" s="77"/>
      <c r="AX32" s="77"/>
      <c r="AY32" s="77"/>
      <c r="AZ32" s="77"/>
      <c r="BA32" s="77"/>
      <c r="BB32" s="291"/>
      <c r="BD32" s="84"/>
      <c r="BK32" s="201"/>
    </row>
    <row r="33" spans="1:63" s="141" customFormat="1" ht="15.75" customHeight="1">
      <c r="A33" s="195"/>
      <c r="B33" s="84"/>
      <c r="I33" s="94"/>
      <c r="J33" s="199"/>
      <c r="K33" s="202"/>
      <c r="L33" s="202"/>
      <c r="M33" s="294" t="s">
        <v>421</v>
      </c>
      <c r="N33" s="202"/>
      <c r="O33" s="77" t="s">
        <v>427</v>
      </c>
      <c r="Q33" s="202"/>
      <c r="R33" s="202"/>
      <c r="S33" s="202"/>
      <c r="T33" s="202"/>
      <c r="U33" s="202" t="s">
        <v>431</v>
      </c>
      <c r="V33" s="202"/>
      <c r="W33" s="202"/>
      <c r="X33" s="202"/>
      <c r="Y33" s="202"/>
      <c r="Z33" s="202"/>
      <c r="AA33" s="293" t="s">
        <v>420</v>
      </c>
      <c r="AB33" s="202"/>
      <c r="AC33" s="202"/>
      <c r="AD33" s="199" t="s">
        <v>432</v>
      </c>
      <c r="AE33" s="294"/>
      <c r="AF33" s="199"/>
      <c r="AG33" s="199"/>
      <c r="AH33" s="199"/>
      <c r="AI33" s="199"/>
      <c r="AJ33" s="199"/>
      <c r="AL33" s="199"/>
      <c r="AM33" s="202" t="s">
        <v>431</v>
      </c>
      <c r="AN33" s="199"/>
      <c r="AO33" s="200"/>
      <c r="AP33" s="202"/>
      <c r="AQ33" s="200"/>
      <c r="AR33" s="200"/>
      <c r="AT33" s="77"/>
      <c r="AU33" s="77"/>
      <c r="AV33" s="77"/>
      <c r="AW33" s="77"/>
      <c r="AX33" s="77"/>
      <c r="AY33" s="77"/>
      <c r="AZ33" s="77"/>
      <c r="BA33" s="77"/>
      <c r="BB33" s="291"/>
      <c r="BD33" s="84"/>
      <c r="BK33" s="201"/>
    </row>
    <row r="34" spans="1:63" s="141" customFormat="1" ht="15.75" customHeight="1">
      <c r="A34" s="195"/>
      <c r="B34" s="84"/>
      <c r="I34" s="94"/>
      <c r="J34" s="199"/>
      <c r="K34" s="202"/>
      <c r="L34" s="202"/>
      <c r="M34" s="199" t="s">
        <v>421</v>
      </c>
      <c r="N34" s="199"/>
      <c r="O34" s="77" t="s">
        <v>414</v>
      </c>
      <c r="Q34" s="77"/>
      <c r="R34" s="202"/>
      <c r="S34" s="202"/>
      <c r="T34" s="202"/>
      <c r="U34" s="202" t="s">
        <v>422</v>
      </c>
      <c r="V34" s="202"/>
      <c r="W34" s="295"/>
      <c r="X34" s="202"/>
      <c r="Y34" s="202"/>
      <c r="Z34" s="202"/>
      <c r="AA34" s="293" t="s">
        <v>420</v>
      </c>
      <c r="AB34" s="202"/>
      <c r="AC34" s="202"/>
      <c r="AD34" s="202" t="s">
        <v>423</v>
      </c>
      <c r="AE34" s="202"/>
      <c r="AF34" s="202"/>
      <c r="AG34" s="202"/>
      <c r="AJ34" s="202"/>
      <c r="AM34" s="141" t="s">
        <v>424</v>
      </c>
      <c r="AQ34" s="200"/>
      <c r="AR34" s="200"/>
      <c r="AT34" s="77"/>
      <c r="AU34" s="77"/>
      <c r="AV34" s="77"/>
      <c r="AW34" s="77"/>
      <c r="AX34" s="77"/>
      <c r="AY34" s="77"/>
      <c r="AZ34" s="77"/>
      <c r="BA34" s="77"/>
      <c r="BB34" s="291"/>
      <c r="BD34" s="84"/>
      <c r="BK34" s="201"/>
    </row>
    <row r="35" spans="1:63" s="141" customFormat="1" ht="15.75" customHeight="1">
      <c r="A35" s="195"/>
      <c r="B35" s="84"/>
      <c r="I35" s="94"/>
      <c r="J35" s="199"/>
      <c r="K35" s="202"/>
      <c r="L35" s="202"/>
      <c r="M35" s="199" t="s">
        <v>421</v>
      </c>
      <c r="N35" s="199"/>
      <c r="O35" s="202" t="s">
        <v>426</v>
      </c>
      <c r="Q35" s="77"/>
      <c r="R35" s="202"/>
      <c r="S35" s="202"/>
      <c r="T35" s="202"/>
      <c r="U35" s="202" t="s">
        <v>434</v>
      </c>
      <c r="V35" s="202"/>
      <c r="W35" s="295"/>
      <c r="X35" s="202"/>
      <c r="Y35" s="202"/>
      <c r="Z35" s="202"/>
      <c r="AA35" s="293" t="s">
        <v>420</v>
      </c>
      <c r="AB35" s="202"/>
      <c r="AC35" s="202"/>
      <c r="AD35" s="295" t="s">
        <v>435</v>
      </c>
      <c r="AE35" s="202"/>
      <c r="AF35" s="202"/>
      <c r="AG35" s="202"/>
      <c r="AJ35" s="202"/>
      <c r="AQ35" s="200"/>
      <c r="AR35" s="200"/>
      <c r="AT35" s="77"/>
      <c r="AU35" s="77"/>
      <c r="AV35" s="77"/>
      <c r="AW35" s="77"/>
      <c r="AX35" s="77"/>
      <c r="AY35" s="77"/>
      <c r="AZ35" s="77"/>
      <c r="BA35" s="77"/>
      <c r="BB35" s="291"/>
      <c r="BD35" s="84"/>
      <c r="BK35" s="201"/>
    </row>
    <row r="36" spans="1:63" s="141" customFormat="1" ht="15.75" customHeight="1">
      <c r="A36" s="195"/>
      <c r="B36" s="84"/>
      <c r="I36" s="94"/>
      <c r="J36" s="199"/>
      <c r="K36" s="202"/>
      <c r="L36" s="202"/>
      <c r="M36" s="199" t="s">
        <v>421</v>
      </c>
      <c r="N36" s="199"/>
      <c r="O36" s="202" t="s">
        <v>426</v>
      </c>
      <c r="Q36" s="199"/>
      <c r="R36" s="199"/>
      <c r="S36" s="199"/>
      <c r="T36" s="199"/>
      <c r="U36" s="199" t="s">
        <v>436</v>
      </c>
      <c r="V36" s="199"/>
      <c r="W36" s="199"/>
      <c r="X36" s="199"/>
      <c r="Y36" s="199"/>
      <c r="Z36" s="199"/>
      <c r="AA36" s="293" t="s">
        <v>420</v>
      </c>
      <c r="AB36" s="199"/>
      <c r="AC36" s="199"/>
      <c r="AD36" s="299" t="s">
        <v>437</v>
      </c>
      <c r="AE36" s="199"/>
      <c r="AF36" s="199"/>
      <c r="AG36" s="199"/>
      <c r="AH36" s="77"/>
      <c r="AI36" s="77"/>
      <c r="AJ36" s="77"/>
      <c r="AK36" s="199"/>
      <c r="AL36" s="199"/>
      <c r="AM36" s="199"/>
      <c r="AN36" s="199"/>
      <c r="AO36" s="199"/>
      <c r="AP36" s="200"/>
      <c r="AQ36" s="200"/>
      <c r="AR36" s="200"/>
      <c r="AT36" s="77"/>
      <c r="AU36" s="77"/>
      <c r="AV36" s="77"/>
      <c r="AW36" s="77"/>
      <c r="AX36" s="77"/>
      <c r="AY36" s="77"/>
      <c r="AZ36" s="77"/>
      <c r="BA36" s="77"/>
      <c r="BB36" s="291"/>
      <c r="BD36" s="84"/>
      <c r="BK36" s="201"/>
    </row>
    <row r="37" spans="1:63" s="141" customFormat="1" ht="15.75" customHeight="1">
      <c r="A37" s="195"/>
      <c r="B37" s="84"/>
      <c r="I37" s="94"/>
      <c r="J37" s="199"/>
      <c r="K37" s="77"/>
      <c r="L37" s="77"/>
      <c r="M37" s="199" t="s">
        <v>421</v>
      </c>
      <c r="N37" s="199"/>
      <c r="O37" s="77" t="s">
        <v>414</v>
      </c>
      <c r="Q37" s="77"/>
      <c r="R37" s="202"/>
      <c r="S37" s="202"/>
      <c r="T37" s="202"/>
      <c r="U37" s="202" t="s">
        <v>438</v>
      </c>
      <c r="V37" s="202"/>
      <c r="W37" s="295"/>
      <c r="X37" s="202"/>
      <c r="Y37" s="202"/>
      <c r="Z37" s="202"/>
      <c r="AA37" s="293" t="s">
        <v>420</v>
      </c>
      <c r="AB37" s="202"/>
      <c r="AC37" s="202"/>
      <c r="AD37" s="202" t="s">
        <v>439</v>
      </c>
      <c r="AE37" s="202"/>
      <c r="AF37" s="202"/>
      <c r="AG37" s="202"/>
      <c r="AJ37" s="202"/>
      <c r="AM37" s="141" t="s">
        <v>424</v>
      </c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291"/>
      <c r="BD37" s="84"/>
      <c r="BK37" s="201"/>
    </row>
    <row r="38" spans="1:63" s="141" customFormat="1" ht="15.75" customHeight="1">
      <c r="A38" s="195"/>
      <c r="B38" s="84"/>
      <c r="I38" s="94"/>
      <c r="J38" s="199"/>
      <c r="K38" s="77"/>
      <c r="L38" s="77"/>
      <c r="M38" s="199" t="s">
        <v>421</v>
      </c>
      <c r="N38" s="199"/>
      <c r="O38" s="202" t="s">
        <v>426</v>
      </c>
      <c r="Q38" s="77"/>
      <c r="R38" s="202"/>
      <c r="S38" s="202"/>
      <c r="T38" s="202"/>
      <c r="U38" s="202" t="s">
        <v>440</v>
      </c>
      <c r="V38" s="202"/>
      <c r="W38" s="295"/>
      <c r="X38" s="202"/>
      <c r="Y38" s="202"/>
      <c r="Z38" s="202"/>
      <c r="AA38" s="293" t="s">
        <v>420</v>
      </c>
      <c r="AB38" s="202"/>
      <c r="AC38" s="202"/>
      <c r="AD38" s="295" t="s">
        <v>435</v>
      </c>
      <c r="AE38" s="202"/>
      <c r="AF38" s="202"/>
      <c r="AG38" s="202"/>
      <c r="AJ38" s="202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291"/>
      <c r="BD38" s="84"/>
      <c r="BK38" s="201"/>
    </row>
    <row r="39" spans="1:63" s="141" customFormat="1" ht="15.75" customHeight="1">
      <c r="A39" s="195"/>
      <c r="B39" s="84"/>
      <c r="I39" s="94"/>
      <c r="J39" s="199"/>
      <c r="K39" s="77"/>
      <c r="L39" s="77"/>
      <c r="M39" s="199" t="s">
        <v>421</v>
      </c>
      <c r="N39" s="199"/>
      <c r="O39" s="202" t="s">
        <v>426</v>
      </c>
      <c r="Q39" s="199"/>
      <c r="R39" s="199"/>
      <c r="S39" s="199"/>
      <c r="T39" s="199"/>
      <c r="U39" s="199" t="s">
        <v>436</v>
      </c>
      <c r="V39" s="199"/>
      <c r="W39" s="199"/>
      <c r="X39" s="199"/>
      <c r="Y39" s="199"/>
      <c r="Z39" s="199"/>
      <c r="AA39" s="293" t="s">
        <v>420</v>
      </c>
      <c r="AB39" s="199"/>
      <c r="AC39" s="199"/>
      <c r="AD39" s="299" t="s">
        <v>437</v>
      </c>
      <c r="AE39" s="199"/>
      <c r="AF39" s="199"/>
      <c r="AG39" s="199"/>
      <c r="AH39" s="77"/>
      <c r="AI39" s="77"/>
      <c r="AJ39" s="77"/>
      <c r="AK39" s="199"/>
      <c r="AL39" s="199"/>
      <c r="AM39" s="199"/>
      <c r="AN39" s="199"/>
      <c r="AO39" s="199"/>
      <c r="AP39" s="200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291"/>
      <c r="BD39" s="84"/>
      <c r="BK39" s="201"/>
    </row>
    <row r="40" spans="1:63" s="141" customFormat="1" ht="15.75" customHeight="1">
      <c r="A40" s="195"/>
      <c r="B40" s="84"/>
      <c r="I40" s="94"/>
      <c r="J40" s="199"/>
      <c r="K40" s="77"/>
      <c r="L40" s="77"/>
      <c r="M40" s="199" t="s">
        <v>421</v>
      </c>
      <c r="N40" s="77"/>
      <c r="O40" s="77" t="s">
        <v>413</v>
      </c>
      <c r="P40" s="77"/>
      <c r="Q40" s="77"/>
      <c r="R40" s="77"/>
      <c r="S40" s="77"/>
      <c r="T40" s="76"/>
      <c r="U40" s="77" t="s">
        <v>441</v>
      </c>
      <c r="V40" s="77"/>
      <c r="W40" s="77"/>
      <c r="X40" s="77"/>
      <c r="Y40" s="77"/>
      <c r="Z40" s="77"/>
      <c r="AA40" s="293" t="s">
        <v>420</v>
      </c>
      <c r="AB40" s="292"/>
      <c r="AC40" s="77"/>
      <c r="AD40" s="77" t="s">
        <v>412</v>
      </c>
      <c r="AE40" s="77"/>
      <c r="AF40" s="77"/>
      <c r="AG40" s="77"/>
      <c r="AH40" s="77"/>
      <c r="AJ40" s="77"/>
      <c r="AK40" s="77"/>
      <c r="AL40" s="77"/>
      <c r="AM40" s="77" t="s">
        <v>442</v>
      </c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291"/>
      <c r="BD40" s="84"/>
      <c r="BK40" s="201"/>
    </row>
    <row r="41" spans="1:63" s="141" customFormat="1" ht="15.75" customHeight="1">
      <c r="A41" s="195"/>
      <c r="B41" s="84"/>
      <c r="I41" s="94"/>
      <c r="J41" s="199"/>
      <c r="K41" s="77"/>
      <c r="L41" s="77"/>
      <c r="M41" s="77" t="s">
        <v>421</v>
      </c>
      <c r="N41" s="77"/>
      <c r="O41" s="77" t="s">
        <v>412</v>
      </c>
      <c r="P41" s="77"/>
      <c r="Q41" s="77"/>
      <c r="R41" s="77"/>
      <c r="S41" s="77"/>
      <c r="T41" s="76"/>
      <c r="U41" s="199" t="s">
        <v>436</v>
      </c>
      <c r="V41" s="199"/>
      <c r="W41" s="199"/>
      <c r="X41" s="199"/>
      <c r="Y41" s="199"/>
      <c r="Z41" s="199"/>
      <c r="AA41" s="293" t="s">
        <v>420</v>
      </c>
      <c r="AB41" s="199"/>
      <c r="AC41" s="199"/>
      <c r="AD41" s="299" t="s">
        <v>437</v>
      </c>
      <c r="AE41" s="199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291"/>
      <c r="BD41" s="84"/>
      <c r="BK41" s="201"/>
    </row>
    <row r="42" spans="1:63" s="141" customFormat="1" ht="15.75" customHeight="1">
      <c r="A42" s="195"/>
      <c r="B42" s="84"/>
      <c r="I42" s="94"/>
      <c r="J42" s="199"/>
      <c r="K42" s="77"/>
      <c r="L42" s="77"/>
      <c r="M42" s="77" t="s">
        <v>421</v>
      </c>
      <c r="N42" s="77"/>
      <c r="O42" s="77" t="s">
        <v>443</v>
      </c>
      <c r="P42" s="77"/>
      <c r="Q42" s="77"/>
      <c r="R42" s="77"/>
      <c r="S42" s="77"/>
      <c r="T42" s="76"/>
      <c r="U42" s="77" t="s">
        <v>445</v>
      </c>
      <c r="V42" s="77"/>
      <c r="W42" s="77"/>
      <c r="X42" s="77"/>
      <c r="Y42" s="77"/>
      <c r="Z42" s="77"/>
      <c r="AA42" s="293" t="s">
        <v>420</v>
      </c>
      <c r="AB42" s="292"/>
      <c r="AC42" s="77"/>
      <c r="AD42" s="77" t="s">
        <v>412</v>
      </c>
      <c r="AE42" s="77"/>
      <c r="AF42" s="77"/>
      <c r="AG42" s="77"/>
      <c r="AH42" s="77"/>
      <c r="AJ42" s="77"/>
      <c r="AK42" s="77"/>
      <c r="AL42" s="77"/>
      <c r="AM42" s="77" t="s">
        <v>442</v>
      </c>
      <c r="AN42" s="77"/>
      <c r="AO42" s="77"/>
      <c r="AP42" s="77"/>
      <c r="AQ42" s="77"/>
      <c r="AR42" s="300" t="s">
        <v>444</v>
      </c>
      <c r="AS42" s="300"/>
      <c r="AT42" s="300"/>
      <c r="AU42" s="300"/>
      <c r="AV42" s="77"/>
      <c r="AW42" s="77"/>
      <c r="AX42" s="77"/>
      <c r="AY42" s="77"/>
      <c r="AZ42" s="77"/>
      <c r="BA42" s="77"/>
      <c r="BB42" s="291"/>
      <c r="BD42" s="84"/>
      <c r="BK42" s="201"/>
    </row>
    <row r="43" spans="1:63" s="141" customFormat="1" ht="15.75" customHeight="1">
      <c r="A43" s="195"/>
      <c r="B43" s="84"/>
      <c r="I43" s="94"/>
      <c r="J43" s="199"/>
      <c r="K43" s="77"/>
      <c r="L43" s="77"/>
      <c r="M43" s="77" t="s">
        <v>421</v>
      </c>
      <c r="N43" s="77"/>
      <c r="O43" s="77" t="s">
        <v>412</v>
      </c>
      <c r="P43" s="77"/>
      <c r="Q43" s="77"/>
      <c r="R43" s="77"/>
      <c r="S43" s="77"/>
      <c r="T43" s="76"/>
      <c r="U43" s="199" t="s">
        <v>436</v>
      </c>
      <c r="V43" s="199"/>
      <c r="W43" s="199"/>
      <c r="X43" s="199"/>
      <c r="Y43" s="199"/>
      <c r="Z43" s="199"/>
      <c r="AA43" s="293" t="s">
        <v>420</v>
      </c>
      <c r="AB43" s="199"/>
      <c r="AC43" s="199"/>
      <c r="AD43" s="299" t="s">
        <v>437</v>
      </c>
      <c r="AE43" s="199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291"/>
      <c r="BD43" s="84"/>
      <c r="BK43" s="201"/>
    </row>
    <row r="44" spans="1:63" s="141" customFormat="1" ht="15.75" customHeight="1">
      <c r="A44" s="195"/>
      <c r="B44" s="84"/>
      <c r="I44" s="94"/>
      <c r="J44" s="199"/>
      <c r="K44" s="77"/>
      <c r="L44" s="77"/>
      <c r="M44" s="77"/>
      <c r="N44" s="77"/>
      <c r="O44" s="77"/>
      <c r="P44" s="77"/>
      <c r="Q44" s="77"/>
      <c r="R44" s="77"/>
      <c r="S44" s="77"/>
      <c r="T44" s="76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291"/>
      <c r="BD44" s="84"/>
      <c r="BK44" s="201"/>
    </row>
    <row r="45" spans="1:63" s="141" customFormat="1" ht="15.75" customHeight="1">
      <c r="A45" s="195"/>
      <c r="B45" s="84"/>
      <c r="I45" s="94"/>
      <c r="J45" s="199" t="s">
        <v>446</v>
      </c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200"/>
      <c r="AP45" s="200"/>
      <c r="AQ45" s="200"/>
      <c r="AR45" s="200"/>
      <c r="BD45" s="84"/>
      <c r="BK45" s="201"/>
    </row>
    <row r="46" spans="1:63" s="141" customFormat="1" ht="15.75" customHeight="1">
      <c r="A46" s="195"/>
      <c r="B46" s="84"/>
      <c r="I46" s="94"/>
      <c r="J46" s="77"/>
      <c r="K46" s="202" t="s">
        <v>408</v>
      </c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200"/>
      <c r="AP46" s="200"/>
      <c r="AQ46" s="200"/>
      <c r="AR46" s="200"/>
      <c r="BD46" s="84"/>
      <c r="BK46" s="201"/>
    </row>
    <row r="47" spans="1:63" s="141" customFormat="1" ht="15.75" customHeight="1">
      <c r="A47" s="195"/>
      <c r="B47" s="84"/>
      <c r="I47" s="94"/>
      <c r="J47" s="199"/>
      <c r="K47" s="77"/>
      <c r="L47" s="77"/>
      <c r="M47" s="77"/>
      <c r="N47" s="77"/>
      <c r="O47" s="77"/>
      <c r="P47" s="77"/>
      <c r="Q47" s="77"/>
      <c r="R47" s="77"/>
      <c r="S47" s="77"/>
      <c r="T47" s="76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291"/>
      <c r="BD47" s="84"/>
      <c r="BK47" s="201"/>
    </row>
    <row r="48" spans="1:63" ht="15.75" customHeight="1">
      <c r="A48" s="195"/>
      <c r="B48" s="84"/>
      <c r="C48" s="141"/>
      <c r="D48" s="141"/>
      <c r="E48" s="141"/>
      <c r="F48" s="141"/>
      <c r="G48" s="141"/>
      <c r="H48" s="141"/>
      <c r="I48" s="94"/>
      <c r="K48" s="202" t="s">
        <v>447</v>
      </c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200"/>
      <c r="AP48" s="200"/>
      <c r="AQ48" s="200"/>
      <c r="AR48" s="200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84"/>
      <c r="BE48" s="141"/>
      <c r="BF48" s="141"/>
      <c r="BG48" s="141"/>
      <c r="BH48" s="141"/>
      <c r="BI48" s="141"/>
      <c r="BJ48" s="141"/>
      <c r="BK48" s="201"/>
    </row>
    <row r="49" spans="1:63" ht="15.75" customHeight="1">
      <c r="A49" s="195"/>
      <c r="B49" s="84"/>
      <c r="C49" s="141"/>
      <c r="D49" s="141"/>
      <c r="E49" s="141"/>
      <c r="F49" s="141"/>
      <c r="G49" s="141"/>
      <c r="H49" s="141"/>
      <c r="I49" s="94"/>
      <c r="K49" s="239" t="s">
        <v>409</v>
      </c>
      <c r="L49" s="236"/>
      <c r="M49" s="236"/>
      <c r="N49" s="236"/>
      <c r="O49" s="236"/>
      <c r="P49" s="236"/>
      <c r="Q49" s="236"/>
      <c r="R49" s="236"/>
      <c r="S49" s="236"/>
      <c r="T49" s="237"/>
      <c r="U49" s="237"/>
      <c r="V49" s="238"/>
      <c r="W49" s="239" t="s">
        <v>411</v>
      </c>
      <c r="X49" s="236"/>
      <c r="Y49" s="236"/>
      <c r="Z49" s="236"/>
      <c r="AA49" s="236"/>
      <c r="AB49" s="236"/>
      <c r="AC49" s="236"/>
      <c r="AD49" s="238"/>
      <c r="AE49" s="239" t="s">
        <v>185</v>
      </c>
      <c r="AF49" s="236"/>
      <c r="AG49" s="236"/>
      <c r="AH49" s="236"/>
      <c r="AI49" s="236"/>
      <c r="AJ49" s="236"/>
      <c r="AK49" s="236"/>
      <c r="AL49" s="238"/>
      <c r="AM49" s="239" t="s">
        <v>410</v>
      </c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8"/>
      <c r="BB49" s="141"/>
      <c r="BC49" s="141"/>
      <c r="BD49" s="84"/>
      <c r="BE49" s="141"/>
      <c r="BF49" s="141"/>
      <c r="BG49" s="141"/>
      <c r="BH49" s="141"/>
      <c r="BI49" s="141"/>
      <c r="BJ49" s="141"/>
      <c r="BK49" s="201"/>
    </row>
    <row r="50" spans="1:63" ht="15.75" customHeight="1">
      <c r="A50" s="195"/>
      <c r="B50" s="84"/>
      <c r="C50" s="141"/>
      <c r="D50" s="141"/>
      <c r="E50" s="141"/>
      <c r="F50" s="141"/>
      <c r="G50" s="141"/>
      <c r="H50" s="141"/>
      <c r="I50" s="94"/>
      <c r="K50" s="129" t="s">
        <v>347</v>
      </c>
      <c r="L50" s="176"/>
      <c r="M50" s="176"/>
      <c r="N50" s="176"/>
      <c r="O50" s="176"/>
      <c r="P50" s="176"/>
      <c r="Q50" s="176"/>
      <c r="R50" s="176"/>
      <c r="S50" s="176"/>
      <c r="T50" s="177"/>
      <c r="U50" s="177"/>
      <c r="V50" s="130"/>
      <c r="W50" s="129" t="s">
        <v>428</v>
      </c>
      <c r="X50" s="176"/>
      <c r="Y50" s="176"/>
      <c r="Z50" s="176"/>
      <c r="AA50" s="176"/>
      <c r="AB50" s="176"/>
      <c r="AC50" s="176"/>
      <c r="AD50" s="130"/>
      <c r="AE50" s="129" t="s">
        <v>348</v>
      </c>
      <c r="AF50" s="176"/>
      <c r="AG50" s="176"/>
      <c r="AH50" s="176"/>
      <c r="AI50" s="176"/>
      <c r="AJ50" s="176"/>
      <c r="AK50" s="176"/>
      <c r="AL50" s="130"/>
      <c r="AM50" s="129"/>
      <c r="AN50" s="176"/>
      <c r="AO50" s="176"/>
      <c r="AP50" s="176"/>
      <c r="AQ50" s="176"/>
      <c r="AR50" s="176"/>
      <c r="AS50" s="176"/>
      <c r="AT50" s="176"/>
      <c r="AU50" s="176"/>
      <c r="AV50" s="176"/>
      <c r="AW50" s="176"/>
      <c r="AX50" s="176"/>
      <c r="AY50" s="176"/>
      <c r="AZ50" s="176"/>
      <c r="BA50" s="130"/>
      <c r="BB50" s="141"/>
      <c r="BC50" s="141"/>
      <c r="BD50" s="84"/>
      <c r="BE50" s="141"/>
      <c r="BF50" s="141"/>
      <c r="BG50" s="141"/>
      <c r="BH50" s="141"/>
      <c r="BI50" s="141"/>
      <c r="BJ50" s="141"/>
      <c r="BK50" s="201"/>
    </row>
    <row r="51" spans="1:63" ht="15.75" customHeight="1">
      <c r="A51" s="195"/>
      <c r="B51" s="84"/>
      <c r="C51" s="141"/>
      <c r="D51" s="141"/>
      <c r="E51" s="141"/>
      <c r="F51" s="141"/>
      <c r="G51" s="141"/>
      <c r="H51" s="141"/>
      <c r="I51" s="94"/>
      <c r="K51" s="129" t="s">
        <v>239</v>
      </c>
      <c r="L51" s="176"/>
      <c r="M51" s="176"/>
      <c r="N51" s="176"/>
      <c r="O51" s="176"/>
      <c r="P51" s="176"/>
      <c r="Q51" s="176"/>
      <c r="R51" s="176"/>
      <c r="S51" s="176"/>
      <c r="T51" s="177"/>
      <c r="U51" s="177"/>
      <c r="V51" s="130"/>
      <c r="W51" s="129" t="s">
        <v>428</v>
      </c>
      <c r="X51" s="176"/>
      <c r="Y51" s="176"/>
      <c r="Z51" s="176"/>
      <c r="AA51" s="176"/>
      <c r="AB51" s="176"/>
      <c r="AC51" s="176"/>
      <c r="AD51" s="130"/>
      <c r="AE51" s="129" t="s">
        <v>303</v>
      </c>
      <c r="AF51" s="176"/>
      <c r="AG51" s="176"/>
      <c r="AH51" s="176"/>
      <c r="AI51" s="176"/>
      <c r="AJ51" s="176"/>
      <c r="AK51" s="176"/>
      <c r="AL51" s="130"/>
      <c r="AM51" s="129"/>
      <c r="AN51" s="176"/>
      <c r="AO51" s="176"/>
      <c r="AP51" s="176"/>
      <c r="AQ51" s="176"/>
      <c r="AR51" s="176"/>
      <c r="AS51" s="176"/>
      <c r="AT51" s="176"/>
      <c r="AU51" s="176"/>
      <c r="AV51" s="176"/>
      <c r="AW51" s="176"/>
      <c r="AX51" s="176"/>
      <c r="AY51" s="176"/>
      <c r="AZ51" s="176"/>
      <c r="BA51" s="130"/>
      <c r="BB51" s="141"/>
      <c r="BC51" s="141"/>
      <c r="BD51" s="84"/>
      <c r="BE51" s="141"/>
      <c r="BF51" s="141"/>
      <c r="BG51" s="141"/>
      <c r="BH51" s="141"/>
      <c r="BI51" s="141"/>
      <c r="BJ51" s="141"/>
      <c r="BK51" s="201"/>
    </row>
    <row r="52" spans="1:63" ht="15.75" customHeight="1">
      <c r="A52" s="195"/>
      <c r="B52" s="84"/>
      <c r="C52" s="141"/>
      <c r="D52" s="141"/>
      <c r="E52" s="141"/>
      <c r="F52" s="141"/>
      <c r="G52" s="141"/>
      <c r="H52" s="141"/>
      <c r="I52" s="94"/>
      <c r="K52" s="129" t="s">
        <v>211</v>
      </c>
      <c r="L52" s="176"/>
      <c r="M52" s="176"/>
      <c r="N52" s="176"/>
      <c r="O52" s="176"/>
      <c r="P52" s="176"/>
      <c r="Q52" s="176"/>
      <c r="R52" s="176"/>
      <c r="S52" s="176"/>
      <c r="T52" s="177"/>
      <c r="U52" s="177"/>
      <c r="V52" s="130"/>
      <c r="W52" s="129" t="s">
        <v>428</v>
      </c>
      <c r="X52" s="176"/>
      <c r="Y52" s="176"/>
      <c r="Z52" s="176"/>
      <c r="AA52" s="176"/>
      <c r="AB52" s="176"/>
      <c r="AC52" s="176"/>
      <c r="AD52" s="130"/>
      <c r="AE52" s="129" t="s">
        <v>211</v>
      </c>
      <c r="AF52" s="176"/>
      <c r="AG52" s="176"/>
      <c r="AH52" s="176"/>
      <c r="AI52" s="176"/>
      <c r="AJ52" s="176"/>
      <c r="AK52" s="176"/>
      <c r="AL52" s="130"/>
      <c r="AM52" s="129"/>
      <c r="AN52" s="176"/>
      <c r="AO52" s="176"/>
      <c r="AP52" s="176"/>
      <c r="AQ52" s="176"/>
      <c r="AR52" s="176"/>
      <c r="AS52" s="176"/>
      <c r="AT52" s="176"/>
      <c r="AU52" s="176"/>
      <c r="AV52" s="176"/>
      <c r="AW52" s="176"/>
      <c r="AX52" s="176"/>
      <c r="AY52" s="176"/>
      <c r="AZ52" s="176"/>
      <c r="BA52" s="130"/>
      <c r="BB52" s="141"/>
      <c r="BC52" s="141"/>
      <c r="BD52" s="84"/>
      <c r="BE52" s="141"/>
      <c r="BF52" s="141"/>
      <c r="BG52" s="141"/>
      <c r="BH52" s="141"/>
      <c r="BI52" s="141"/>
      <c r="BJ52" s="141"/>
      <c r="BK52" s="201"/>
    </row>
    <row r="53" spans="1:63" ht="15.75" customHeight="1">
      <c r="A53" s="195"/>
      <c r="B53" s="84"/>
      <c r="C53" s="141"/>
      <c r="D53" s="141"/>
      <c r="E53" s="141"/>
      <c r="F53" s="141"/>
      <c r="G53" s="141"/>
      <c r="H53" s="141"/>
      <c r="I53" s="94"/>
      <c r="K53" s="129" t="s">
        <v>349</v>
      </c>
      <c r="L53" s="176"/>
      <c r="M53" s="176"/>
      <c r="N53" s="176"/>
      <c r="O53" s="176"/>
      <c r="P53" s="176"/>
      <c r="Q53" s="176"/>
      <c r="R53" s="176"/>
      <c r="S53" s="176"/>
      <c r="T53" s="177"/>
      <c r="U53" s="177"/>
      <c r="V53" s="130"/>
      <c r="W53" s="129" t="s">
        <v>428</v>
      </c>
      <c r="X53" s="176"/>
      <c r="Y53" s="176"/>
      <c r="Z53" s="176"/>
      <c r="AA53" s="176"/>
      <c r="AB53" s="176"/>
      <c r="AC53" s="176"/>
      <c r="AD53" s="130"/>
      <c r="AE53" s="129" t="s">
        <v>349</v>
      </c>
      <c r="AF53" s="176"/>
      <c r="AG53" s="176"/>
      <c r="AH53" s="176"/>
      <c r="AI53" s="176"/>
      <c r="AJ53" s="176"/>
      <c r="AK53" s="176"/>
      <c r="AL53" s="130"/>
      <c r="AM53" s="129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176"/>
      <c r="AY53" s="176"/>
      <c r="AZ53" s="176"/>
      <c r="BA53" s="130"/>
      <c r="BB53" s="141"/>
      <c r="BC53" s="141"/>
      <c r="BD53" s="84"/>
      <c r="BE53" s="141"/>
      <c r="BF53" s="141"/>
      <c r="BG53" s="141"/>
      <c r="BH53" s="141"/>
      <c r="BI53" s="141"/>
      <c r="BJ53" s="141"/>
      <c r="BK53" s="201"/>
    </row>
    <row r="54" spans="1:63" ht="15.75" customHeight="1">
      <c r="A54" s="195"/>
      <c r="B54" s="84"/>
      <c r="C54" s="141"/>
      <c r="D54" s="141"/>
      <c r="E54" s="141"/>
      <c r="F54" s="141"/>
      <c r="G54" s="141"/>
      <c r="H54" s="141"/>
      <c r="I54" s="94"/>
      <c r="K54" s="129" t="s">
        <v>350</v>
      </c>
      <c r="L54" s="176"/>
      <c r="M54" s="176"/>
      <c r="N54" s="176"/>
      <c r="O54" s="176"/>
      <c r="P54" s="176"/>
      <c r="Q54" s="176"/>
      <c r="R54" s="176"/>
      <c r="S54" s="176"/>
      <c r="T54" s="177"/>
      <c r="U54" s="177"/>
      <c r="V54" s="130"/>
      <c r="W54" s="129" t="s">
        <v>428</v>
      </c>
      <c r="X54" s="176"/>
      <c r="Y54" s="176"/>
      <c r="Z54" s="176"/>
      <c r="AA54" s="176"/>
      <c r="AB54" s="176"/>
      <c r="AC54" s="176"/>
      <c r="AD54" s="130"/>
      <c r="AE54" s="129" t="s">
        <v>350</v>
      </c>
      <c r="AF54" s="176"/>
      <c r="AG54" s="176"/>
      <c r="AH54" s="176"/>
      <c r="AI54" s="176"/>
      <c r="AJ54" s="176"/>
      <c r="AK54" s="176"/>
      <c r="AL54" s="130"/>
      <c r="AM54" s="129"/>
      <c r="AN54" s="176"/>
      <c r="AO54" s="176"/>
      <c r="AP54" s="176"/>
      <c r="AQ54" s="176"/>
      <c r="AR54" s="176"/>
      <c r="AS54" s="176"/>
      <c r="AT54" s="176"/>
      <c r="AU54" s="176"/>
      <c r="AV54" s="176"/>
      <c r="AW54" s="176"/>
      <c r="AX54" s="176"/>
      <c r="AY54" s="176"/>
      <c r="AZ54" s="176"/>
      <c r="BA54" s="130"/>
      <c r="BB54" s="141"/>
      <c r="BC54" s="141"/>
      <c r="BD54" s="84"/>
      <c r="BE54" s="141"/>
      <c r="BF54" s="141"/>
      <c r="BG54" s="141"/>
      <c r="BH54" s="141"/>
      <c r="BI54" s="141"/>
      <c r="BJ54" s="141"/>
      <c r="BK54" s="201"/>
    </row>
    <row r="55" spans="1:63" ht="15.75" customHeight="1">
      <c r="A55" s="195"/>
      <c r="B55" s="84"/>
      <c r="C55" s="141"/>
      <c r="D55" s="141"/>
      <c r="E55" s="141"/>
      <c r="F55" s="141"/>
      <c r="G55" s="141"/>
      <c r="H55" s="141"/>
      <c r="I55" s="94"/>
      <c r="K55" s="129" t="s">
        <v>240</v>
      </c>
      <c r="L55" s="176"/>
      <c r="M55" s="176"/>
      <c r="N55" s="176"/>
      <c r="O55" s="176"/>
      <c r="P55" s="176"/>
      <c r="Q55" s="176"/>
      <c r="R55" s="176"/>
      <c r="S55" s="176"/>
      <c r="T55" s="177"/>
      <c r="U55" s="177"/>
      <c r="V55" s="130"/>
      <c r="W55" s="129" t="s">
        <v>452</v>
      </c>
      <c r="X55" s="176"/>
      <c r="Y55" s="176"/>
      <c r="Z55" s="176"/>
      <c r="AA55" s="176"/>
      <c r="AB55" s="176"/>
      <c r="AC55" s="176"/>
      <c r="AD55" s="130"/>
      <c r="AE55" s="129" t="s">
        <v>304</v>
      </c>
      <c r="AF55" s="176"/>
      <c r="AG55" s="176"/>
      <c r="AH55" s="176"/>
      <c r="AI55" s="176"/>
      <c r="AJ55" s="176"/>
      <c r="AK55" s="176"/>
      <c r="AL55" s="130"/>
      <c r="AM55" s="129" t="s">
        <v>468</v>
      </c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30"/>
      <c r="BB55" s="141"/>
      <c r="BC55" s="141"/>
      <c r="BD55" s="84"/>
      <c r="BE55" s="141"/>
      <c r="BF55" s="141"/>
      <c r="BG55" s="141"/>
      <c r="BH55" s="141"/>
      <c r="BI55" s="141"/>
      <c r="BJ55" s="141"/>
      <c r="BK55" s="201"/>
    </row>
    <row r="56" spans="1:63" ht="15.75" customHeight="1">
      <c r="A56" s="195"/>
      <c r="B56" s="84"/>
      <c r="C56" s="141"/>
      <c r="D56" s="141"/>
      <c r="E56" s="141"/>
      <c r="F56" s="141"/>
      <c r="G56" s="141"/>
      <c r="H56" s="141"/>
      <c r="I56" s="94"/>
      <c r="K56" s="129" t="s">
        <v>241</v>
      </c>
      <c r="L56" s="176"/>
      <c r="M56" s="176"/>
      <c r="N56" s="176"/>
      <c r="O56" s="176"/>
      <c r="P56" s="176"/>
      <c r="Q56" s="176"/>
      <c r="R56" s="176"/>
      <c r="S56" s="176"/>
      <c r="T56" s="177"/>
      <c r="U56" s="177"/>
      <c r="V56" s="130"/>
      <c r="W56" s="129" t="s">
        <v>452</v>
      </c>
      <c r="X56" s="176"/>
      <c r="Y56" s="176"/>
      <c r="Z56" s="176"/>
      <c r="AA56" s="176"/>
      <c r="AB56" s="176"/>
      <c r="AC56" s="176"/>
      <c r="AD56" s="130"/>
      <c r="AE56" s="129" t="s">
        <v>304</v>
      </c>
      <c r="AF56" s="176"/>
      <c r="AG56" s="176"/>
      <c r="AH56" s="176"/>
      <c r="AI56" s="176"/>
      <c r="AJ56" s="176"/>
      <c r="AK56" s="176"/>
      <c r="AL56" s="130"/>
      <c r="AM56" s="129" t="s">
        <v>468</v>
      </c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30"/>
      <c r="BB56" s="141"/>
      <c r="BC56" s="141"/>
      <c r="BD56" s="84"/>
      <c r="BE56" s="141"/>
      <c r="BF56" s="141"/>
      <c r="BG56" s="141"/>
      <c r="BH56" s="141"/>
      <c r="BI56" s="141"/>
      <c r="BJ56" s="141"/>
      <c r="BK56" s="201"/>
    </row>
    <row r="57" spans="1:63" ht="15.75" customHeight="1">
      <c r="A57" s="195"/>
      <c r="B57" s="84"/>
      <c r="C57" s="141"/>
      <c r="D57" s="141"/>
      <c r="E57" s="141"/>
      <c r="F57" s="141"/>
      <c r="G57" s="141"/>
      <c r="H57" s="141"/>
      <c r="I57" s="94"/>
      <c r="K57" s="129" t="s">
        <v>242</v>
      </c>
      <c r="L57" s="176"/>
      <c r="M57" s="176"/>
      <c r="N57" s="176"/>
      <c r="O57" s="176"/>
      <c r="P57" s="176"/>
      <c r="Q57" s="176"/>
      <c r="R57" s="176"/>
      <c r="S57" s="176"/>
      <c r="T57" s="177"/>
      <c r="U57" s="177"/>
      <c r="V57" s="130"/>
      <c r="W57" s="129" t="s">
        <v>452</v>
      </c>
      <c r="X57" s="176"/>
      <c r="Y57" s="176"/>
      <c r="Z57" s="176"/>
      <c r="AA57" s="176"/>
      <c r="AB57" s="176"/>
      <c r="AC57" s="176"/>
      <c r="AD57" s="130"/>
      <c r="AE57" s="129" t="s">
        <v>304</v>
      </c>
      <c r="AF57" s="176"/>
      <c r="AG57" s="176"/>
      <c r="AH57" s="176"/>
      <c r="AI57" s="176"/>
      <c r="AJ57" s="176"/>
      <c r="AK57" s="176"/>
      <c r="AL57" s="130"/>
      <c r="AM57" s="129" t="s">
        <v>468</v>
      </c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30"/>
      <c r="BB57" s="141"/>
      <c r="BC57" s="141"/>
      <c r="BD57" s="84"/>
      <c r="BE57" s="141"/>
      <c r="BF57" s="141"/>
      <c r="BG57" s="141"/>
      <c r="BH57" s="141"/>
      <c r="BI57" s="141"/>
      <c r="BJ57" s="141"/>
      <c r="BK57" s="201"/>
    </row>
    <row r="58" spans="1:63" ht="15.75" customHeight="1">
      <c r="A58" s="195"/>
      <c r="B58" s="84"/>
      <c r="C58" s="141"/>
      <c r="D58" s="141"/>
      <c r="E58" s="141"/>
      <c r="F58" s="141"/>
      <c r="G58" s="141"/>
      <c r="H58" s="141"/>
      <c r="I58" s="94"/>
      <c r="K58" s="129" t="s">
        <v>243</v>
      </c>
      <c r="L58" s="176"/>
      <c r="M58" s="176"/>
      <c r="N58" s="176"/>
      <c r="O58" s="176"/>
      <c r="P58" s="176"/>
      <c r="Q58" s="176"/>
      <c r="R58" s="176"/>
      <c r="S58" s="176"/>
      <c r="T58" s="177"/>
      <c r="U58" s="177"/>
      <c r="V58" s="130"/>
      <c r="W58" s="129" t="s">
        <v>452</v>
      </c>
      <c r="X58" s="176"/>
      <c r="Y58" s="176"/>
      <c r="Z58" s="176"/>
      <c r="AA58" s="176"/>
      <c r="AB58" s="176"/>
      <c r="AC58" s="176"/>
      <c r="AD58" s="130"/>
      <c r="AE58" s="129" t="s">
        <v>304</v>
      </c>
      <c r="AF58" s="176"/>
      <c r="AG58" s="176"/>
      <c r="AH58" s="176"/>
      <c r="AI58" s="176"/>
      <c r="AJ58" s="176"/>
      <c r="AK58" s="176"/>
      <c r="AL58" s="130"/>
      <c r="AM58" s="129" t="s">
        <v>468</v>
      </c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30"/>
      <c r="BB58" s="141"/>
      <c r="BC58" s="141"/>
      <c r="BD58" s="84"/>
      <c r="BE58" s="141"/>
      <c r="BF58" s="141"/>
      <c r="BG58" s="141"/>
      <c r="BH58" s="141"/>
      <c r="BI58" s="141"/>
      <c r="BJ58" s="141"/>
      <c r="BK58" s="201"/>
    </row>
    <row r="59" spans="1:63" ht="15.75" customHeight="1">
      <c r="A59" s="195"/>
      <c r="B59" s="84"/>
      <c r="C59" s="141"/>
      <c r="D59" s="141"/>
      <c r="E59" s="141"/>
      <c r="F59" s="141"/>
      <c r="G59" s="141"/>
      <c r="H59" s="141"/>
      <c r="I59" s="94"/>
      <c r="K59" s="129" t="s">
        <v>244</v>
      </c>
      <c r="L59" s="176"/>
      <c r="M59" s="176"/>
      <c r="N59" s="176"/>
      <c r="O59" s="176"/>
      <c r="P59" s="176"/>
      <c r="Q59" s="176"/>
      <c r="R59" s="176"/>
      <c r="S59" s="176"/>
      <c r="T59" s="177"/>
      <c r="U59" s="177"/>
      <c r="V59" s="130"/>
      <c r="W59" s="129" t="s">
        <v>452</v>
      </c>
      <c r="X59" s="176"/>
      <c r="Y59" s="176"/>
      <c r="Z59" s="176"/>
      <c r="AA59" s="176"/>
      <c r="AB59" s="176"/>
      <c r="AC59" s="176"/>
      <c r="AD59" s="130"/>
      <c r="AE59" s="129" t="s">
        <v>304</v>
      </c>
      <c r="AF59" s="176"/>
      <c r="AG59" s="176"/>
      <c r="AH59" s="176"/>
      <c r="AI59" s="176"/>
      <c r="AJ59" s="176"/>
      <c r="AK59" s="176"/>
      <c r="AL59" s="130"/>
      <c r="AM59" s="129" t="s">
        <v>468</v>
      </c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30"/>
      <c r="BB59" s="141"/>
      <c r="BC59" s="141"/>
      <c r="BD59" s="84"/>
      <c r="BE59" s="141"/>
      <c r="BF59" s="141"/>
      <c r="BG59" s="141"/>
      <c r="BH59" s="141"/>
      <c r="BI59" s="141"/>
      <c r="BJ59" s="141"/>
      <c r="BK59" s="201"/>
    </row>
    <row r="60" spans="1:63" ht="15.75" customHeight="1">
      <c r="A60" s="195"/>
      <c r="B60" s="84"/>
      <c r="C60" s="141"/>
      <c r="D60" s="141"/>
      <c r="E60" s="141"/>
      <c r="F60" s="141"/>
      <c r="G60" s="141"/>
      <c r="H60" s="141"/>
      <c r="I60" s="94"/>
      <c r="K60" s="129" t="s">
        <v>245</v>
      </c>
      <c r="L60" s="176"/>
      <c r="M60" s="176"/>
      <c r="N60" s="176"/>
      <c r="O60" s="176"/>
      <c r="P60" s="176"/>
      <c r="Q60" s="176"/>
      <c r="R60" s="176"/>
      <c r="S60" s="176"/>
      <c r="T60" s="177"/>
      <c r="U60" s="177"/>
      <c r="V60" s="130"/>
      <c r="W60" s="129" t="s">
        <v>452</v>
      </c>
      <c r="X60" s="176"/>
      <c r="Y60" s="176"/>
      <c r="Z60" s="176"/>
      <c r="AA60" s="176"/>
      <c r="AB60" s="176"/>
      <c r="AC60" s="176"/>
      <c r="AD60" s="130"/>
      <c r="AE60" s="129" t="s">
        <v>304</v>
      </c>
      <c r="AF60" s="176"/>
      <c r="AG60" s="176"/>
      <c r="AH60" s="176"/>
      <c r="AI60" s="176"/>
      <c r="AJ60" s="176"/>
      <c r="AK60" s="176"/>
      <c r="AL60" s="130"/>
      <c r="AM60" s="129" t="s">
        <v>468</v>
      </c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30"/>
      <c r="BB60" s="141"/>
      <c r="BC60" s="141"/>
      <c r="BD60" s="84"/>
      <c r="BE60" s="141"/>
      <c r="BF60" s="141"/>
      <c r="BG60" s="141"/>
      <c r="BH60" s="141"/>
      <c r="BI60" s="141"/>
      <c r="BJ60" s="141"/>
      <c r="BK60" s="201"/>
    </row>
    <row r="61" spans="1:63" ht="15.75" customHeight="1">
      <c r="A61" s="195"/>
      <c r="B61" s="84"/>
      <c r="C61" s="141"/>
      <c r="D61" s="141"/>
      <c r="E61" s="141"/>
      <c r="F61" s="141"/>
      <c r="G61" s="141"/>
      <c r="H61" s="141"/>
      <c r="I61" s="94"/>
      <c r="K61" s="129" t="s">
        <v>246</v>
      </c>
      <c r="L61" s="176"/>
      <c r="M61" s="176"/>
      <c r="N61" s="176"/>
      <c r="O61" s="176"/>
      <c r="P61" s="176"/>
      <c r="Q61" s="176"/>
      <c r="R61" s="176"/>
      <c r="S61" s="176"/>
      <c r="T61" s="177"/>
      <c r="U61" s="177"/>
      <c r="V61" s="130"/>
      <c r="W61" s="129" t="s">
        <v>452</v>
      </c>
      <c r="X61" s="176"/>
      <c r="Y61" s="176"/>
      <c r="Z61" s="176"/>
      <c r="AA61" s="176"/>
      <c r="AB61" s="176"/>
      <c r="AC61" s="176"/>
      <c r="AD61" s="130"/>
      <c r="AE61" s="129" t="s">
        <v>304</v>
      </c>
      <c r="AF61" s="176"/>
      <c r="AG61" s="176"/>
      <c r="AH61" s="176"/>
      <c r="AI61" s="176"/>
      <c r="AJ61" s="176"/>
      <c r="AK61" s="176"/>
      <c r="AL61" s="130"/>
      <c r="AM61" s="129" t="s">
        <v>468</v>
      </c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30"/>
      <c r="BB61" s="141"/>
      <c r="BC61" s="141"/>
      <c r="BD61" s="84"/>
      <c r="BE61" s="141"/>
      <c r="BF61" s="141"/>
      <c r="BG61" s="141"/>
      <c r="BH61" s="141"/>
      <c r="BI61" s="141"/>
      <c r="BJ61" s="141"/>
      <c r="BK61" s="201"/>
    </row>
    <row r="62" spans="1:63" ht="15.75" customHeight="1">
      <c r="A62" s="195"/>
      <c r="B62" s="84"/>
      <c r="C62" s="141"/>
      <c r="D62" s="141"/>
      <c r="E62" s="141"/>
      <c r="F62" s="141"/>
      <c r="G62" s="141"/>
      <c r="H62" s="141"/>
      <c r="I62" s="94"/>
      <c r="K62" s="129" t="s">
        <v>247</v>
      </c>
      <c r="L62" s="176"/>
      <c r="M62" s="176"/>
      <c r="N62" s="176"/>
      <c r="O62" s="176"/>
      <c r="P62" s="176"/>
      <c r="Q62" s="176"/>
      <c r="R62" s="176"/>
      <c r="S62" s="176"/>
      <c r="T62" s="177"/>
      <c r="U62" s="177"/>
      <c r="V62" s="130"/>
      <c r="W62" s="129" t="s">
        <v>452</v>
      </c>
      <c r="X62" s="176"/>
      <c r="Y62" s="176"/>
      <c r="Z62" s="176"/>
      <c r="AA62" s="176"/>
      <c r="AB62" s="176"/>
      <c r="AC62" s="176"/>
      <c r="AD62" s="130"/>
      <c r="AE62" s="129" t="s">
        <v>304</v>
      </c>
      <c r="AF62" s="176"/>
      <c r="AG62" s="176"/>
      <c r="AH62" s="176"/>
      <c r="AI62" s="176"/>
      <c r="AJ62" s="176"/>
      <c r="AK62" s="176"/>
      <c r="AL62" s="130"/>
      <c r="AM62" s="129" t="s">
        <v>468</v>
      </c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30"/>
      <c r="BB62" s="141"/>
      <c r="BC62" s="141"/>
      <c r="BD62" s="84"/>
      <c r="BE62" s="141"/>
      <c r="BF62" s="141"/>
      <c r="BG62" s="141"/>
      <c r="BH62" s="141"/>
      <c r="BI62" s="141"/>
      <c r="BJ62" s="141"/>
      <c r="BK62" s="201"/>
    </row>
    <row r="63" spans="1:63" ht="15.75" customHeight="1">
      <c r="A63" s="195"/>
      <c r="B63" s="84"/>
      <c r="C63" s="141"/>
      <c r="D63" s="141"/>
      <c r="E63" s="141"/>
      <c r="F63" s="141"/>
      <c r="G63" s="141"/>
      <c r="H63" s="141"/>
      <c r="I63" s="94"/>
      <c r="K63" s="129" t="s">
        <v>248</v>
      </c>
      <c r="L63" s="176"/>
      <c r="M63" s="176"/>
      <c r="N63" s="176"/>
      <c r="O63" s="176"/>
      <c r="P63" s="176"/>
      <c r="Q63" s="176"/>
      <c r="R63" s="176"/>
      <c r="S63" s="176"/>
      <c r="T63" s="177"/>
      <c r="U63" s="177"/>
      <c r="V63" s="130"/>
      <c r="W63" s="129" t="s">
        <v>428</v>
      </c>
      <c r="X63" s="176"/>
      <c r="Y63" s="176"/>
      <c r="Z63" s="176"/>
      <c r="AA63" s="176"/>
      <c r="AB63" s="176"/>
      <c r="AC63" s="176"/>
      <c r="AD63" s="130"/>
      <c r="AE63" s="129" t="s">
        <v>306</v>
      </c>
      <c r="AF63" s="176"/>
      <c r="AG63" s="176"/>
      <c r="AH63" s="176"/>
      <c r="AI63" s="176"/>
      <c r="AJ63" s="176"/>
      <c r="AK63" s="176"/>
      <c r="AL63" s="130"/>
      <c r="AM63" s="129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30"/>
      <c r="BB63" s="141"/>
      <c r="BC63" s="141"/>
      <c r="BD63" s="84"/>
      <c r="BE63" s="141"/>
      <c r="BF63" s="141"/>
      <c r="BG63" s="141"/>
      <c r="BH63" s="141"/>
      <c r="BI63" s="141"/>
      <c r="BJ63" s="141"/>
      <c r="BK63" s="201"/>
    </row>
    <row r="64" spans="1:63" ht="15.75" customHeight="1">
      <c r="A64" s="195"/>
      <c r="B64" s="84"/>
      <c r="C64" s="141"/>
      <c r="D64" s="141"/>
      <c r="E64" s="141"/>
      <c r="F64" s="141"/>
      <c r="G64" s="141"/>
      <c r="H64" s="141"/>
      <c r="I64" s="94"/>
      <c r="K64" s="129" t="s">
        <v>249</v>
      </c>
      <c r="L64" s="176"/>
      <c r="M64" s="176"/>
      <c r="N64" s="176"/>
      <c r="O64" s="176"/>
      <c r="P64" s="176"/>
      <c r="Q64" s="176"/>
      <c r="R64" s="176"/>
      <c r="S64" s="176"/>
      <c r="T64" s="177"/>
      <c r="U64" s="177"/>
      <c r="V64" s="130"/>
      <c r="W64" s="129" t="s">
        <v>428</v>
      </c>
      <c r="X64" s="176"/>
      <c r="Y64" s="176"/>
      <c r="Z64" s="176"/>
      <c r="AA64" s="176"/>
      <c r="AB64" s="176"/>
      <c r="AC64" s="176"/>
      <c r="AD64" s="130"/>
      <c r="AE64" s="129" t="s">
        <v>249</v>
      </c>
      <c r="AF64" s="176"/>
      <c r="AG64" s="176"/>
      <c r="AH64" s="176"/>
      <c r="AI64" s="176"/>
      <c r="AJ64" s="176"/>
      <c r="AK64" s="176"/>
      <c r="AL64" s="130"/>
      <c r="AM64" s="129"/>
      <c r="AN64" s="176"/>
      <c r="AO64" s="176"/>
      <c r="AP64" s="176"/>
      <c r="AQ64" s="176"/>
      <c r="AR64" s="176"/>
      <c r="AS64" s="176"/>
      <c r="AT64" s="176"/>
      <c r="AU64" s="176"/>
      <c r="AV64" s="176"/>
      <c r="AW64" s="176"/>
      <c r="AX64" s="176"/>
      <c r="AY64" s="176"/>
      <c r="AZ64" s="176"/>
      <c r="BA64" s="130"/>
      <c r="BB64" s="141"/>
      <c r="BC64" s="141"/>
      <c r="BD64" s="84"/>
      <c r="BE64" s="141"/>
      <c r="BF64" s="141"/>
      <c r="BG64" s="141"/>
      <c r="BH64" s="141"/>
      <c r="BI64" s="141"/>
      <c r="BJ64" s="141"/>
      <c r="BK64" s="201"/>
    </row>
    <row r="65" spans="1:63" ht="15.75" customHeight="1">
      <c r="A65" s="195"/>
      <c r="B65" s="84"/>
      <c r="C65" s="141"/>
      <c r="D65" s="141"/>
      <c r="E65" s="141"/>
      <c r="F65" s="141"/>
      <c r="G65" s="141"/>
      <c r="H65" s="141"/>
      <c r="I65" s="94"/>
      <c r="K65" s="129" t="s">
        <v>250</v>
      </c>
      <c r="L65" s="176"/>
      <c r="M65" s="176"/>
      <c r="N65" s="176"/>
      <c r="O65" s="176"/>
      <c r="P65" s="176"/>
      <c r="Q65" s="176"/>
      <c r="R65" s="176"/>
      <c r="S65" s="176"/>
      <c r="T65" s="177"/>
      <c r="U65" s="177"/>
      <c r="V65" s="130"/>
      <c r="W65" s="129" t="s">
        <v>428</v>
      </c>
      <c r="X65" s="176"/>
      <c r="Y65" s="176"/>
      <c r="Z65" s="176"/>
      <c r="AA65" s="176"/>
      <c r="AB65" s="176"/>
      <c r="AC65" s="176"/>
      <c r="AD65" s="130"/>
      <c r="AE65" s="129" t="s">
        <v>250</v>
      </c>
      <c r="AF65" s="176"/>
      <c r="AG65" s="176"/>
      <c r="AH65" s="176"/>
      <c r="AI65" s="176"/>
      <c r="AJ65" s="176"/>
      <c r="AK65" s="176"/>
      <c r="AL65" s="130"/>
      <c r="AM65" s="129"/>
      <c r="AN65" s="176"/>
      <c r="AO65" s="176"/>
      <c r="AP65" s="176"/>
      <c r="AQ65" s="176"/>
      <c r="AR65" s="176"/>
      <c r="AS65" s="176"/>
      <c r="AT65" s="176"/>
      <c r="AU65" s="176"/>
      <c r="AV65" s="176"/>
      <c r="AW65" s="176"/>
      <c r="AX65" s="176"/>
      <c r="AY65" s="176"/>
      <c r="AZ65" s="176"/>
      <c r="BA65" s="130"/>
      <c r="BB65" s="141"/>
      <c r="BC65" s="141"/>
      <c r="BD65" s="84"/>
      <c r="BE65" s="141"/>
      <c r="BF65" s="141"/>
      <c r="BG65" s="141"/>
      <c r="BH65" s="141"/>
      <c r="BI65" s="141"/>
      <c r="BJ65" s="141"/>
      <c r="BK65" s="201"/>
    </row>
    <row r="66" spans="1:63" ht="15.75" customHeight="1">
      <c r="A66" s="195"/>
      <c r="B66" s="84"/>
      <c r="C66" s="141"/>
      <c r="D66" s="141"/>
      <c r="E66" s="141"/>
      <c r="F66" s="141"/>
      <c r="G66" s="141"/>
      <c r="H66" s="141"/>
      <c r="I66" s="94"/>
      <c r="K66" s="129" t="s">
        <v>251</v>
      </c>
      <c r="L66" s="176"/>
      <c r="M66" s="176"/>
      <c r="N66" s="176"/>
      <c r="O66" s="176"/>
      <c r="P66" s="176"/>
      <c r="Q66" s="176"/>
      <c r="R66" s="176"/>
      <c r="S66" s="176"/>
      <c r="T66" s="177"/>
      <c r="U66" s="177"/>
      <c r="V66" s="130"/>
      <c r="W66" s="129" t="s">
        <v>433</v>
      </c>
      <c r="X66" s="176"/>
      <c r="Y66" s="176"/>
      <c r="Z66" s="176"/>
      <c r="AA66" s="176"/>
      <c r="AB66" s="176"/>
      <c r="AC66" s="176"/>
      <c r="AD66" s="130"/>
      <c r="AE66" s="129" t="s">
        <v>354</v>
      </c>
      <c r="AF66" s="176"/>
      <c r="AG66" s="176"/>
      <c r="AH66" s="176"/>
      <c r="AI66" s="176"/>
      <c r="AJ66" s="176"/>
      <c r="AK66" s="176"/>
      <c r="AL66" s="130"/>
      <c r="AM66" s="129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Y66" s="176"/>
      <c r="AZ66" s="176"/>
      <c r="BA66" s="130"/>
      <c r="BB66" s="141"/>
      <c r="BC66" s="141"/>
      <c r="BD66" s="84"/>
      <c r="BE66" s="141"/>
      <c r="BF66" s="141"/>
      <c r="BG66" s="141"/>
      <c r="BH66" s="141"/>
      <c r="BI66" s="141"/>
      <c r="BJ66" s="141"/>
      <c r="BK66" s="201"/>
    </row>
    <row r="67" spans="1:63" ht="15.75" customHeight="1">
      <c r="A67" s="195"/>
      <c r="B67" s="84"/>
      <c r="C67" s="141"/>
      <c r="D67" s="141"/>
      <c r="E67" s="141"/>
      <c r="F67" s="141"/>
      <c r="G67" s="141"/>
      <c r="H67" s="141"/>
      <c r="I67" s="94"/>
      <c r="K67" s="296" t="s">
        <v>252</v>
      </c>
      <c r="L67" s="297"/>
      <c r="M67" s="297"/>
      <c r="N67" s="297"/>
      <c r="O67" s="297"/>
      <c r="P67" s="297"/>
      <c r="Q67" s="297"/>
      <c r="R67" s="297"/>
      <c r="S67" s="297"/>
      <c r="T67" s="301"/>
      <c r="U67" s="301"/>
      <c r="V67" s="298"/>
      <c r="W67" s="296"/>
      <c r="X67" s="297"/>
      <c r="Y67" s="297"/>
      <c r="Z67" s="297"/>
      <c r="AA67" s="297"/>
      <c r="AB67" s="297"/>
      <c r="AC67" s="297"/>
      <c r="AD67" s="298"/>
      <c r="AE67" s="296"/>
      <c r="AF67" s="297"/>
      <c r="AG67" s="297"/>
      <c r="AH67" s="297"/>
      <c r="AI67" s="297"/>
      <c r="AJ67" s="297"/>
      <c r="AK67" s="297"/>
      <c r="AL67" s="298"/>
      <c r="AM67" s="296" t="s">
        <v>450</v>
      </c>
      <c r="AN67" s="297"/>
      <c r="AO67" s="297"/>
      <c r="AP67" s="297"/>
      <c r="AQ67" s="297"/>
      <c r="AR67" s="297"/>
      <c r="AS67" s="297"/>
      <c r="AT67" s="297"/>
      <c r="AU67" s="297"/>
      <c r="AV67" s="297"/>
      <c r="AW67" s="297"/>
      <c r="AX67" s="297"/>
      <c r="AY67" s="297"/>
      <c r="AZ67" s="297"/>
      <c r="BA67" s="298"/>
      <c r="BB67" s="141"/>
      <c r="BC67" s="141"/>
      <c r="BD67" s="84"/>
      <c r="BE67" s="141"/>
      <c r="BF67" s="141"/>
      <c r="BG67" s="141"/>
      <c r="BH67" s="141"/>
      <c r="BI67" s="141"/>
      <c r="BJ67" s="141"/>
      <c r="BK67" s="201"/>
    </row>
    <row r="68" spans="1:63" ht="15.75" customHeight="1">
      <c r="A68" s="195"/>
      <c r="B68" s="84"/>
      <c r="C68" s="141"/>
      <c r="D68" s="141"/>
      <c r="E68" s="141"/>
      <c r="F68" s="141"/>
      <c r="G68" s="141"/>
      <c r="H68" s="141"/>
      <c r="I68" s="94"/>
      <c r="K68" s="129" t="s">
        <v>448</v>
      </c>
      <c r="L68" s="176"/>
      <c r="M68" s="176"/>
      <c r="N68" s="176"/>
      <c r="O68" s="176"/>
      <c r="P68" s="176"/>
      <c r="Q68" s="176"/>
      <c r="R68" s="176"/>
      <c r="S68" s="176"/>
      <c r="T68" s="177"/>
      <c r="U68" s="177"/>
      <c r="V68" s="130"/>
      <c r="W68" s="129" t="s">
        <v>428</v>
      </c>
      <c r="X68" s="176"/>
      <c r="Y68" s="176"/>
      <c r="Z68" s="176"/>
      <c r="AA68" s="176"/>
      <c r="AB68" s="176"/>
      <c r="AC68" s="176"/>
      <c r="AD68" s="130"/>
      <c r="AE68" s="129" t="s">
        <v>352</v>
      </c>
      <c r="AF68" s="176"/>
      <c r="AG68" s="176"/>
      <c r="AH68" s="176"/>
      <c r="AI68" s="176"/>
      <c r="AJ68" s="176"/>
      <c r="AK68" s="176"/>
      <c r="AL68" s="130"/>
      <c r="AM68" s="129"/>
      <c r="AN68" s="176"/>
      <c r="AO68" s="176"/>
      <c r="AP68" s="176"/>
      <c r="AQ68" s="176"/>
      <c r="AR68" s="176"/>
      <c r="AS68" s="176"/>
      <c r="AT68" s="176"/>
      <c r="AU68" s="176"/>
      <c r="AV68" s="176"/>
      <c r="AW68" s="176"/>
      <c r="AX68" s="176"/>
      <c r="AY68" s="176"/>
      <c r="AZ68" s="176"/>
      <c r="BA68" s="130"/>
      <c r="BB68" s="141"/>
      <c r="BC68" s="141"/>
      <c r="BD68" s="84"/>
      <c r="BE68" s="141"/>
      <c r="BF68" s="141"/>
      <c r="BG68" s="141"/>
      <c r="BH68" s="141"/>
      <c r="BI68" s="141"/>
      <c r="BJ68" s="141"/>
      <c r="BK68" s="201"/>
    </row>
    <row r="69" spans="1:63" ht="39" customHeight="1">
      <c r="A69" s="195"/>
      <c r="B69" s="84"/>
      <c r="C69" s="141"/>
      <c r="D69" s="141"/>
      <c r="E69" s="141"/>
      <c r="F69" s="141"/>
      <c r="G69" s="141"/>
      <c r="H69" s="141"/>
      <c r="I69" s="94"/>
      <c r="K69" s="296" t="s">
        <v>254</v>
      </c>
      <c r="L69" s="297"/>
      <c r="M69" s="297"/>
      <c r="N69" s="297"/>
      <c r="O69" s="297"/>
      <c r="P69" s="297"/>
      <c r="Q69" s="297"/>
      <c r="R69" s="297"/>
      <c r="S69" s="297"/>
      <c r="T69" s="301"/>
      <c r="U69" s="301"/>
      <c r="V69" s="298"/>
      <c r="W69" s="296"/>
      <c r="X69" s="297"/>
      <c r="Y69" s="297"/>
      <c r="Z69" s="297"/>
      <c r="AA69" s="297"/>
      <c r="AB69" s="297"/>
      <c r="AC69" s="297"/>
      <c r="AD69" s="298"/>
      <c r="AE69" s="296"/>
      <c r="AF69" s="297"/>
      <c r="AG69" s="297"/>
      <c r="AH69" s="297"/>
      <c r="AI69" s="297"/>
      <c r="AJ69" s="297"/>
      <c r="AK69" s="297"/>
      <c r="AL69" s="298"/>
      <c r="AM69" s="748" t="s">
        <v>474</v>
      </c>
      <c r="AN69" s="749"/>
      <c r="AO69" s="749"/>
      <c r="AP69" s="749"/>
      <c r="AQ69" s="749"/>
      <c r="AR69" s="749"/>
      <c r="AS69" s="749"/>
      <c r="AT69" s="749"/>
      <c r="AU69" s="749"/>
      <c r="AV69" s="749"/>
      <c r="AW69" s="749"/>
      <c r="AX69" s="749"/>
      <c r="AY69" s="749"/>
      <c r="AZ69" s="749"/>
      <c r="BA69" s="750"/>
      <c r="BB69" s="141"/>
      <c r="BC69" s="141"/>
      <c r="BD69" s="84"/>
      <c r="BE69" s="141"/>
      <c r="BF69" s="141"/>
      <c r="BG69" s="141"/>
      <c r="BH69" s="141"/>
      <c r="BI69" s="141"/>
      <c r="BJ69" s="141"/>
      <c r="BK69" s="201"/>
    </row>
    <row r="70" spans="1:63" ht="15.75" customHeight="1">
      <c r="A70" s="195"/>
      <c r="B70" s="84"/>
      <c r="C70" s="141"/>
      <c r="D70" s="141"/>
      <c r="E70" s="141"/>
      <c r="F70" s="141"/>
      <c r="G70" s="141"/>
      <c r="H70" s="141"/>
      <c r="I70" s="94"/>
      <c r="K70" s="129" t="s">
        <v>449</v>
      </c>
      <c r="L70" s="176"/>
      <c r="M70" s="176"/>
      <c r="N70" s="176"/>
      <c r="O70" s="176"/>
      <c r="P70" s="176"/>
      <c r="Q70" s="176"/>
      <c r="R70" s="176"/>
      <c r="S70" s="176"/>
      <c r="T70" s="177"/>
      <c r="U70" s="177"/>
      <c r="V70" s="130"/>
      <c r="W70" s="129" t="s">
        <v>452</v>
      </c>
      <c r="X70" s="176"/>
      <c r="Y70" s="176"/>
      <c r="Z70" s="176"/>
      <c r="AA70" s="176"/>
      <c r="AB70" s="176"/>
      <c r="AC70" s="176"/>
      <c r="AD70" s="130"/>
      <c r="AE70" s="129" t="s">
        <v>353</v>
      </c>
      <c r="AF70" s="176"/>
      <c r="AG70" s="176"/>
      <c r="AH70" s="176"/>
      <c r="AI70" s="176"/>
      <c r="AJ70" s="176"/>
      <c r="AK70" s="176"/>
      <c r="AL70" s="130"/>
      <c r="AM70" s="129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76"/>
      <c r="BA70" s="130"/>
      <c r="BB70" s="141"/>
      <c r="BC70" s="141"/>
      <c r="BD70" s="84"/>
      <c r="BE70" s="141"/>
      <c r="BF70" s="141"/>
      <c r="BG70" s="141"/>
      <c r="BH70" s="141"/>
      <c r="BI70" s="141"/>
      <c r="BJ70" s="141"/>
      <c r="BK70" s="201"/>
    </row>
    <row r="71" spans="1:63" ht="15.75" customHeight="1">
      <c r="A71" s="195"/>
      <c r="B71" s="84"/>
      <c r="C71" s="141"/>
      <c r="D71" s="141"/>
      <c r="E71" s="141"/>
      <c r="F71" s="141"/>
      <c r="G71" s="141"/>
      <c r="H71" s="141"/>
      <c r="I71" s="94"/>
      <c r="K71" s="129" t="s">
        <v>256</v>
      </c>
      <c r="L71" s="176"/>
      <c r="M71" s="176"/>
      <c r="N71" s="176"/>
      <c r="O71" s="176"/>
      <c r="P71" s="176"/>
      <c r="Q71" s="176"/>
      <c r="R71" s="176"/>
      <c r="S71" s="176"/>
      <c r="T71" s="177"/>
      <c r="U71" s="177"/>
      <c r="V71" s="130"/>
      <c r="W71" s="129" t="s">
        <v>452</v>
      </c>
      <c r="X71" s="176"/>
      <c r="Y71" s="176"/>
      <c r="Z71" s="176"/>
      <c r="AA71" s="176"/>
      <c r="AB71" s="176"/>
      <c r="AC71" s="176"/>
      <c r="AD71" s="130"/>
      <c r="AE71" s="129" t="s">
        <v>307</v>
      </c>
      <c r="AF71" s="176"/>
      <c r="AG71" s="176"/>
      <c r="AH71" s="176"/>
      <c r="AI71" s="176"/>
      <c r="AJ71" s="176"/>
      <c r="AK71" s="176"/>
      <c r="AL71" s="130"/>
      <c r="AM71" s="296" t="s">
        <v>475</v>
      </c>
      <c r="AN71" s="297"/>
      <c r="AO71" s="297"/>
      <c r="AP71" s="297"/>
      <c r="AQ71" s="297"/>
      <c r="AR71" s="297"/>
      <c r="AS71" s="297"/>
      <c r="AT71" s="297"/>
      <c r="AU71" s="297"/>
      <c r="AV71" s="297"/>
      <c r="AW71" s="297"/>
      <c r="AX71" s="297"/>
      <c r="AY71" s="297"/>
      <c r="AZ71" s="297"/>
      <c r="BA71" s="298"/>
      <c r="BB71" s="141"/>
      <c r="BC71" s="141"/>
      <c r="BD71" s="84"/>
      <c r="BE71" s="141"/>
      <c r="BF71" s="141"/>
      <c r="BG71" s="141"/>
      <c r="BH71" s="141"/>
      <c r="BI71" s="141"/>
      <c r="BJ71" s="141"/>
      <c r="BK71" s="201"/>
    </row>
    <row r="72" spans="1:63" ht="15.75" customHeight="1">
      <c r="A72" s="195"/>
      <c r="B72" s="84"/>
      <c r="C72" s="141"/>
      <c r="D72" s="141"/>
      <c r="E72" s="141"/>
      <c r="F72" s="141"/>
      <c r="G72" s="141"/>
      <c r="H72" s="141"/>
      <c r="I72" s="94"/>
      <c r="K72" s="129" t="s">
        <v>257</v>
      </c>
      <c r="L72" s="176"/>
      <c r="M72" s="176"/>
      <c r="N72" s="176"/>
      <c r="O72" s="176"/>
      <c r="P72" s="176"/>
      <c r="Q72" s="176"/>
      <c r="R72" s="176"/>
      <c r="S72" s="176"/>
      <c r="T72" s="177"/>
      <c r="U72" s="177"/>
      <c r="V72" s="130"/>
      <c r="W72" s="129" t="s">
        <v>428</v>
      </c>
      <c r="X72" s="176"/>
      <c r="Y72" s="176"/>
      <c r="Z72" s="176"/>
      <c r="AA72" s="176"/>
      <c r="AB72" s="176"/>
      <c r="AC72" s="176"/>
      <c r="AD72" s="130"/>
      <c r="AE72" s="129" t="s">
        <v>257</v>
      </c>
      <c r="AF72" s="176"/>
      <c r="AG72" s="176"/>
      <c r="AH72" s="176"/>
      <c r="AI72" s="176"/>
      <c r="AJ72" s="176"/>
      <c r="AK72" s="176"/>
      <c r="AL72" s="130"/>
      <c r="AM72" s="129"/>
      <c r="AN72" s="176"/>
      <c r="AO72" s="176"/>
      <c r="AP72" s="176"/>
      <c r="AQ72" s="176"/>
      <c r="AR72" s="176"/>
      <c r="AS72" s="176"/>
      <c r="AT72" s="176"/>
      <c r="AU72" s="176"/>
      <c r="AV72" s="176"/>
      <c r="AW72" s="176"/>
      <c r="AX72" s="176"/>
      <c r="AY72" s="176"/>
      <c r="AZ72" s="176"/>
      <c r="BA72" s="130"/>
      <c r="BB72" s="141"/>
      <c r="BC72" s="141"/>
      <c r="BD72" s="84"/>
      <c r="BE72" s="141"/>
      <c r="BF72" s="141"/>
      <c r="BG72" s="141"/>
      <c r="BH72" s="141"/>
      <c r="BI72" s="141"/>
      <c r="BJ72" s="141"/>
      <c r="BK72" s="201"/>
    </row>
    <row r="73" spans="1:63" ht="15.75" customHeight="1">
      <c r="A73" s="195"/>
      <c r="B73" s="84"/>
      <c r="C73" s="141"/>
      <c r="D73" s="141"/>
      <c r="E73" s="141"/>
      <c r="F73" s="141"/>
      <c r="G73" s="141"/>
      <c r="H73" s="141"/>
      <c r="I73" s="94"/>
      <c r="K73" s="129" t="s">
        <v>258</v>
      </c>
      <c r="L73" s="176"/>
      <c r="M73" s="176"/>
      <c r="N73" s="176"/>
      <c r="O73" s="176"/>
      <c r="P73" s="176"/>
      <c r="Q73" s="176"/>
      <c r="R73" s="176"/>
      <c r="S73" s="176"/>
      <c r="T73" s="177"/>
      <c r="U73" s="177"/>
      <c r="V73" s="130"/>
      <c r="W73" s="129" t="s">
        <v>428</v>
      </c>
      <c r="X73" s="176"/>
      <c r="Y73" s="176"/>
      <c r="Z73" s="176"/>
      <c r="AA73" s="176"/>
      <c r="AB73" s="176"/>
      <c r="AC73" s="176"/>
      <c r="AD73" s="130"/>
      <c r="AE73" s="129" t="s">
        <v>258</v>
      </c>
      <c r="AF73" s="176"/>
      <c r="AG73" s="176"/>
      <c r="AH73" s="176"/>
      <c r="AI73" s="176"/>
      <c r="AJ73" s="176"/>
      <c r="AK73" s="176"/>
      <c r="AL73" s="130"/>
      <c r="AM73" s="129"/>
      <c r="AN73" s="176"/>
      <c r="AO73" s="176"/>
      <c r="AP73" s="176"/>
      <c r="AQ73" s="176"/>
      <c r="AR73" s="176"/>
      <c r="AS73" s="176"/>
      <c r="AT73" s="176"/>
      <c r="AU73" s="176"/>
      <c r="AV73" s="176"/>
      <c r="AW73" s="176"/>
      <c r="AX73" s="176"/>
      <c r="AY73" s="176"/>
      <c r="AZ73" s="176"/>
      <c r="BA73" s="130"/>
      <c r="BB73" s="141"/>
      <c r="BC73" s="141"/>
      <c r="BD73" s="84"/>
      <c r="BE73" s="141"/>
      <c r="BF73" s="141"/>
      <c r="BG73" s="141"/>
      <c r="BH73" s="141"/>
      <c r="BI73" s="141"/>
      <c r="BJ73" s="141"/>
      <c r="BK73" s="201"/>
    </row>
    <row r="74" spans="1:63" ht="15.75" customHeight="1">
      <c r="A74" s="195"/>
      <c r="B74" s="84"/>
      <c r="C74" s="141"/>
      <c r="D74" s="141"/>
      <c r="E74" s="141"/>
      <c r="F74" s="141"/>
      <c r="G74" s="141"/>
      <c r="H74" s="141"/>
      <c r="I74" s="94"/>
      <c r="K74" s="129" t="s">
        <v>259</v>
      </c>
      <c r="L74" s="176"/>
      <c r="M74" s="176"/>
      <c r="N74" s="176"/>
      <c r="O74" s="176"/>
      <c r="P74" s="176"/>
      <c r="Q74" s="176"/>
      <c r="R74" s="176"/>
      <c r="S74" s="176"/>
      <c r="T74" s="177"/>
      <c r="U74" s="177"/>
      <c r="V74" s="130"/>
      <c r="W74" s="129" t="s">
        <v>428</v>
      </c>
      <c r="X74" s="176"/>
      <c r="Y74" s="176"/>
      <c r="Z74" s="176"/>
      <c r="AA74" s="176"/>
      <c r="AB74" s="176"/>
      <c r="AC74" s="176"/>
      <c r="AD74" s="130"/>
      <c r="AE74" s="129" t="s">
        <v>259</v>
      </c>
      <c r="AF74" s="176"/>
      <c r="AG74" s="176"/>
      <c r="AH74" s="176"/>
      <c r="AI74" s="176"/>
      <c r="AJ74" s="176"/>
      <c r="AK74" s="176"/>
      <c r="AL74" s="130"/>
      <c r="AM74" s="129"/>
      <c r="AN74" s="176"/>
      <c r="AO74" s="176"/>
      <c r="AP74" s="176"/>
      <c r="AQ74" s="176"/>
      <c r="AR74" s="176"/>
      <c r="AS74" s="176"/>
      <c r="AT74" s="176"/>
      <c r="AU74" s="176"/>
      <c r="AV74" s="176"/>
      <c r="AW74" s="176"/>
      <c r="AX74" s="176"/>
      <c r="AY74" s="176"/>
      <c r="AZ74" s="176"/>
      <c r="BA74" s="130"/>
      <c r="BB74" s="141"/>
      <c r="BC74" s="141"/>
      <c r="BD74" s="84"/>
      <c r="BE74" s="141"/>
      <c r="BF74" s="141"/>
      <c r="BG74" s="141"/>
      <c r="BH74" s="141"/>
      <c r="BI74" s="141"/>
      <c r="BJ74" s="141"/>
      <c r="BK74" s="201"/>
    </row>
    <row r="75" spans="1:63" ht="15.75" customHeight="1">
      <c r="A75" s="195"/>
      <c r="B75" s="84"/>
      <c r="C75" s="141"/>
      <c r="D75" s="141"/>
      <c r="E75" s="141"/>
      <c r="F75" s="141"/>
      <c r="G75" s="141"/>
      <c r="H75" s="141"/>
      <c r="I75" s="94"/>
      <c r="K75" s="129" t="s">
        <v>260</v>
      </c>
      <c r="L75" s="176"/>
      <c r="M75" s="176"/>
      <c r="N75" s="176"/>
      <c r="O75" s="176"/>
      <c r="P75" s="176"/>
      <c r="Q75" s="176"/>
      <c r="R75" s="176"/>
      <c r="S75" s="176"/>
      <c r="T75" s="177"/>
      <c r="U75" s="177"/>
      <c r="V75" s="130"/>
      <c r="W75" s="129" t="s">
        <v>428</v>
      </c>
      <c r="X75" s="176"/>
      <c r="Y75" s="176"/>
      <c r="Z75" s="176"/>
      <c r="AA75" s="176"/>
      <c r="AB75" s="176"/>
      <c r="AC75" s="176"/>
      <c r="AD75" s="130"/>
      <c r="AE75" s="129" t="s">
        <v>260</v>
      </c>
      <c r="AF75" s="176"/>
      <c r="AG75" s="176"/>
      <c r="AH75" s="176"/>
      <c r="AI75" s="176"/>
      <c r="AJ75" s="176"/>
      <c r="AK75" s="176"/>
      <c r="AL75" s="130"/>
      <c r="AM75" s="129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30"/>
      <c r="BB75" s="141"/>
      <c r="BC75" s="141"/>
      <c r="BD75" s="84"/>
      <c r="BE75" s="141"/>
      <c r="BF75" s="141"/>
      <c r="BG75" s="141"/>
      <c r="BH75" s="141"/>
      <c r="BI75" s="141"/>
      <c r="BJ75" s="141"/>
      <c r="BK75" s="201"/>
    </row>
    <row r="76" spans="1:63" ht="15.75" customHeight="1">
      <c r="A76" s="195"/>
      <c r="B76" s="84"/>
      <c r="C76" s="141"/>
      <c r="D76" s="141"/>
      <c r="E76" s="141"/>
      <c r="F76" s="141"/>
      <c r="G76" s="141"/>
      <c r="H76" s="141"/>
      <c r="I76" s="94"/>
      <c r="K76" s="129" t="s">
        <v>261</v>
      </c>
      <c r="L76" s="176"/>
      <c r="M76" s="176"/>
      <c r="N76" s="176"/>
      <c r="O76" s="176"/>
      <c r="P76" s="176"/>
      <c r="Q76" s="176"/>
      <c r="R76" s="176"/>
      <c r="S76" s="176"/>
      <c r="T76" s="177"/>
      <c r="U76" s="177"/>
      <c r="V76" s="130"/>
      <c r="W76" s="129" t="s">
        <v>428</v>
      </c>
      <c r="X76" s="176"/>
      <c r="Y76" s="176"/>
      <c r="Z76" s="176"/>
      <c r="AA76" s="176"/>
      <c r="AB76" s="176"/>
      <c r="AC76" s="176"/>
      <c r="AD76" s="130"/>
      <c r="AE76" s="129" t="s">
        <v>261</v>
      </c>
      <c r="AF76" s="176"/>
      <c r="AG76" s="176"/>
      <c r="AH76" s="176"/>
      <c r="AI76" s="176"/>
      <c r="AJ76" s="176"/>
      <c r="AK76" s="176"/>
      <c r="AL76" s="130"/>
      <c r="AM76" s="129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30"/>
      <c r="BB76" s="141"/>
      <c r="BC76" s="141"/>
      <c r="BD76" s="84"/>
      <c r="BE76" s="141"/>
      <c r="BF76" s="141"/>
      <c r="BG76" s="141"/>
      <c r="BH76" s="141"/>
      <c r="BI76" s="141"/>
      <c r="BJ76" s="141"/>
      <c r="BK76" s="201"/>
    </row>
    <row r="77" spans="1:63" ht="15.75" customHeight="1">
      <c r="A77" s="195"/>
      <c r="B77" s="84"/>
      <c r="C77" s="141"/>
      <c r="D77" s="141"/>
      <c r="E77" s="141"/>
      <c r="F77" s="141"/>
      <c r="G77" s="141"/>
      <c r="H77" s="141"/>
      <c r="I77" s="94"/>
      <c r="K77" s="129" t="s">
        <v>262</v>
      </c>
      <c r="L77" s="176"/>
      <c r="M77" s="176"/>
      <c r="N77" s="176"/>
      <c r="O77" s="176"/>
      <c r="P77" s="176"/>
      <c r="Q77" s="176"/>
      <c r="R77" s="176"/>
      <c r="S77" s="176"/>
      <c r="T77" s="177"/>
      <c r="U77" s="177"/>
      <c r="V77" s="130"/>
      <c r="W77" s="129" t="s">
        <v>428</v>
      </c>
      <c r="X77" s="176"/>
      <c r="Y77" s="176"/>
      <c r="Z77" s="176"/>
      <c r="AA77" s="176"/>
      <c r="AB77" s="176"/>
      <c r="AC77" s="176"/>
      <c r="AD77" s="130"/>
      <c r="AE77" s="129" t="s">
        <v>262</v>
      </c>
      <c r="AF77" s="176"/>
      <c r="AG77" s="176"/>
      <c r="AH77" s="176"/>
      <c r="AI77" s="176"/>
      <c r="AJ77" s="176"/>
      <c r="AK77" s="176"/>
      <c r="AL77" s="130"/>
      <c r="AM77" s="129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30"/>
      <c r="BB77" s="141"/>
      <c r="BC77" s="141"/>
      <c r="BD77" s="84"/>
      <c r="BE77" s="141"/>
      <c r="BF77" s="141"/>
      <c r="BG77" s="141"/>
      <c r="BH77" s="141"/>
      <c r="BI77" s="141"/>
      <c r="BJ77" s="141"/>
      <c r="BK77" s="201"/>
    </row>
    <row r="78" spans="1:63" ht="15.75" customHeight="1">
      <c r="A78" s="195"/>
      <c r="B78" s="84"/>
      <c r="C78" s="141"/>
      <c r="D78" s="141"/>
      <c r="E78" s="141"/>
      <c r="F78" s="141"/>
      <c r="G78" s="141"/>
      <c r="H78" s="141"/>
      <c r="I78" s="94"/>
      <c r="K78" s="129" t="s">
        <v>263</v>
      </c>
      <c r="L78" s="176"/>
      <c r="M78" s="176"/>
      <c r="N78" s="176"/>
      <c r="O78" s="176"/>
      <c r="P78" s="176"/>
      <c r="Q78" s="176"/>
      <c r="R78" s="176"/>
      <c r="S78" s="176"/>
      <c r="T78" s="177"/>
      <c r="U78" s="177"/>
      <c r="V78" s="130"/>
      <c r="W78" s="129" t="s">
        <v>428</v>
      </c>
      <c r="X78" s="176"/>
      <c r="Y78" s="176"/>
      <c r="Z78" s="176"/>
      <c r="AA78" s="176"/>
      <c r="AB78" s="176"/>
      <c r="AC78" s="176"/>
      <c r="AD78" s="130"/>
      <c r="AE78" s="129" t="s">
        <v>263</v>
      </c>
      <c r="AF78" s="176"/>
      <c r="AG78" s="176"/>
      <c r="AH78" s="176"/>
      <c r="AI78" s="176"/>
      <c r="AJ78" s="176"/>
      <c r="AK78" s="176"/>
      <c r="AL78" s="130"/>
      <c r="AM78" s="129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30"/>
      <c r="BB78" s="141"/>
      <c r="BC78" s="141"/>
      <c r="BD78" s="84"/>
      <c r="BE78" s="141"/>
      <c r="BF78" s="141"/>
      <c r="BG78" s="141"/>
      <c r="BH78" s="141"/>
      <c r="BI78" s="141"/>
      <c r="BJ78" s="141"/>
      <c r="BK78" s="201"/>
    </row>
    <row r="79" spans="1:63" ht="15.75" customHeight="1">
      <c r="A79" s="195"/>
      <c r="B79" s="84"/>
      <c r="C79" s="141"/>
      <c r="D79" s="141"/>
      <c r="E79" s="141"/>
      <c r="F79" s="141"/>
      <c r="G79" s="141"/>
      <c r="H79" s="141"/>
      <c r="I79" s="94"/>
      <c r="K79" s="129" t="s">
        <v>264</v>
      </c>
      <c r="L79" s="176"/>
      <c r="M79" s="176"/>
      <c r="N79" s="176"/>
      <c r="O79" s="176"/>
      <c r="P79" s="176"/>
      <c r="Q79" s="176"/>
      <c r="R79" s="176"/>
      <c r="S79" s="176"/>
      <c r="T79" s="177"/>
      <c r="U79" s="177"/>
      <c r="V79" s="130"/>
      <c r="W79" s="129" t="s">
        <v>428</v>
      </c>
      <c r="X79" s="176"/>
      <c r="Y79" s="176"/>
      <c r="Z79" s="176"/>
      <c r="AA79" s="176"/>
      <c r="AB79" s="176"/>
      <c r="AC79" s="176"/>
      <c r="AD79" s="130"/>
      <c r="AE79" s="129" t="s">
        <v>264</v>
      </c>
      <c r="AF79" s="176"/>
      <c r="AG79" s="176"/>
      <c r="AH79" s="176"/>
      <c r="AI79" s="176"/>
      <c r="AJ79" s="176"/>
      <c r="AK79" s="176"/>
      <c r="AL79" s="130"/>
      <c r="AM79" s="129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30"/>
      <c r="BB79" s="141"/>
      <c r="BC79" s="141"/>
      <c r="BD79" s="84"/>
      <c r="BE79" s="141"/>
      <c r="BF79" s="141"/>
      <c r="BG79" s="141"/>
      <c r="BH79" s="141"/>
      <c r="BI79" s="141"/>
      <c r="BJ79" s="141"/>
      <c r="BK79" s="201"/>
    </row>
    <row r="80" spans="1:63" ht="15.75" customHeight="1">
      <c r="A80" s="195"/>
      <c r="B80" s="84"/>
      <c r="C80" s="141"/>
      <c r="D80" s="141"/>
      <c r="E80" s="141"/>
      <c r="F80" s="141"/>
      <c r="G80" s="141"/>
      <c r="H80" s="141"/>
      <c r="I80" s="94"/>
      <c r="K80" s="129" t="s">
        <v>265</v>
      </c>
      <c r="L80" s="176"/>
      <c r="M80" s="176"/>
      <c r="N80" s="176"/>
      <c r="O80" s="176"/>
      <c r="P80" s="176"/>
      <c r="Q80" s="176"/>
      <c r="R80" s="176"/>
      <c r="S80" s="176"/>
      <c r="T80" s="177"/>
      <c r="U80" s="177"/>
      <c r="V80" s="130"/>
      <c r="W80" s="129" t="s">
        <v>428</v>
      </c>
      <c r="X80" s="176"/>
      <c r="Y80" s="176"/>
      <c r="Z80" s="176"/>
      <c r="AA80" s="176"/>
      <c r="AB80" s="176"/>
      <c r="AC80" s="176"/>
      <c r="AD80" s="130"/>
      <c r="AE80" s="129" t="s">
        <v>265</v>
      </c>
      <c r="AF80" s="176"/>
      <c r="AG80" s="176"/>
      <c r="AH80" s="176"/>
      <c r="AI80" s="176"/>
      <c r="AJ80" s="176"/>
      <c r="AK80" s="176"/>
      <c r="AL80" s="130"/>
      <c r="AM80" s="129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30"/>
      <c r="BB80" s="141"/>
      <c r="BC80" s="141"/>
      <c r="BD80" s="84"/>
      <c r="BE80" s="141"/>
      <c r="BF80" s="141"/>
      <c r="BG80" s="141"/>
      <c r="BH80" s="141"/>
      <c r="BI80" s="141"/>
      <c r="BJ80" s="141"/>
      <c r="BK80" s="201"/>
    </row>
    <row r="81" spans="1:63" ht="15.75" customHeight="1">
      <c r="A81" s="195"/>
      <c r="B81" s="84"/>
      <c r="C81" s="141"/>
      <c r="D81" s="141"/>
      <c r="E81" s="141"/>
      <c r="F81" s="141"/>
      <c r="G81" s="141"/>
      <c r="H81" s="141"/>
      <c r="I81" s="94"/>
      <c r="K81" s="129" t="s">
        <v>266</v>
      </c>
      <c r="L81" s="176"/>
      <c r="M81" s="176"/>
      <c r="N81" s="176"/>
      <c r="O81" s="176"/>
      <c r="P81" s="176"/>
      <c r="Q81" s="176"/>
      <c r="R81" s="176"/>
      <c r="S81" s="176"/>
      <c r="T81" s="177"/>
      <c r="U81" s="177"/>
      <c r="V81" s="130"/>
      <c r="W81" s="129" t="s">
        <v>428</v>
      </c>
      <c r="X81" s="176"/>
      <c r="Y81" s="176"/>
      <c r="Z81" s="176"/>
      <c r="AA81" s="176"/>
      <c r="AB81" s="176"/>
      <c r="AC81" s="176"/>
      <c r="AD81" s="130"/>
      <c r="AE81" s="129" t="s">
        <v>266</v>
      </c>
      <c r="AF81" s="176"/>
      <c r="AG81" s="176"/>
      <c r="AH81" s="176"/>
      <c r="AI81" s="176"/>
      <c r="AJ81" s="176"/>
      <c r="AK81" s="176"/>
      <c r="AL81" s="130"/>
      <c r="AM81" s="129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30"/>
      <c r="BB81" s="141"/>
      <c r="BC81" s="141"/>
      <c r="BD81" s="84"/>
      <c r="BE81" s="141"/>
      <c r="BF81" s="141"/>
      <c r="BG81" s="141"/>
      <c r="BH81" s="141"/>
      <c r="BI81" s="141"/>
      <c r="BJ81" s="141"/>
      <c r="BK81" s="201"/>
    </row>
    <row r="82" spans="1:63" ht="15.75" customHeight="1">
      <c r="A82" s="195"/>
      <c r="B82" s="84"/>
      <c r="C82" s="141"/>
      <c r="D82" s="141"/>
      <c r="E82" s="141"/>
      <c r="F82" s="141"/>
      <c r="G82" s="141"/>
      <c r="H82" s="141"/>
      <c r="I82" s="94"/>
      <c r="K82" s="129" t="s">
        <v>267</v>
      </c>
      <c r="L82" s="176"/>
      <c r="M82" s="176"/>
      <c r="N82" s="176"/>
      <c r="O82" s="176"/>
      <c r="P82" s="176"/>
      <c r="Q82" s="176"/>
      <c r="R82" s="176"/>
      <c r="S82" s="176"/>
      <c r="T82" s="177"/>
      <c r="U82" s="177"/>
      <c r="V82" s="130"/>
      <c r="W82" s="129" t="s">
        <v>428</v>
      </c>
      <c r="X82" s="176"/>
      <c r="Y82" s="176"/>
      <c r="Z82" s="176"/>
      <c r="AA82" s="176"/>
      <c r="AB82" s="176"/>
      <c r="AC82" s="176"/>
      <c r="AD82" s="130"/>
      <c r="AE82" s="129" t="s">
        <v>267</v>
      </c>
      <c r="AF82" s="176"/>
      <c r="AG82" s="176"/>
      <c r="AH82" s="176"/>
      <c r="AI82" s="176"/>
      <c r="AJ82" s="176"/>
      <c r="AK82" s="176"/>
      <c r="AL82" s="130"/>
      <c r="AM82" s="129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30"/>
      <c r="BB82" s="141"/>
      <c r="BC82" s="141"/>
      <c r="BD82" s="84"/>
      <c r="BE82" s="141"/>
      <c r="BF82" s="141"/>
      <c r="BG82" s="141"/>
      <c r="BH82" s="141"/>
      <c r="BI82" s="141"/>
      <c r="BJ82" s="141"/>
      <c r="BK82" s="201"/>
    </row>
    <row r="83" spans="1:63" ht="15.75" customHeight="1">
      <c r="A83" s="195"/>
      <c r="B83" s="84"/>
      <c r="C83" s="141"/>
      <c r="D83" s="141"/>
      <c r="E83" s="141"/>
      <c r="F83" s="141"/>
      <c r="G83" s="141"/>
      <c r="H83" s="141"/>
      <c r="I83" s="94"/>
      <c r="K83" s="129" t="s">
        <v>268</v>
      </c>
      <c r="L83" s="176"/>
      <c r="M83" s="176"/>
      <c r="N83" s="176"/>
      <c r="O83" s="176"/>
      <c r="P83" s="176"/>
      <c r="Q83" s="176"/>
      <c r="R83" s="176"/>
      <c r="S83" s="176"/>
      <c r="T83" s="177"/>
      <c r="U83" s="177"/>
      <c r="V83" s="130"/>
      <c r="W83" s="129" t="s">
        <v>428</v>
      </c>
      <c r="X83" s="176"/>
      <c r="Y83" s="176"/>
      <c r="Z83" s="176"/>
      <c r="AA83" s="176"/>
      <c r="AB83" s="176"/>
      <c r="AC83" s="176"/>
      <c r="AD83" s="130"/>
      <c r="AE83" s="129" t="s">
        <v>268</v>
      </c>
      <c r="AF83" s="176"/>
      <c r="AG83" s="176"/>
      <c r="AH83" s="176"/>
      <c r="AI83" s="176"/>
      <c r="AJ83" s="176"/>
      <c r="AK83" s="176"/>
      <c r="AL83" s="130"/>
      <c r="AM83" s="129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30"/>
      <c r="BB83" s="141"/>
      <c r="BC83" s="141"/>
      <c r="BD83" s="84"/>
      <c r="BE83" s="141"/>
      <c r="BF83" s="141"/>
      <c r="BG83" s="141"/>
      <c r="BH83" s="141"/>
      <c r="BI83" s="141"/>
      <c r="BJ83" s="141"/>
      <c r="BK83" s="201"/>
    </row>
    <row r="84" spans="1:63" ht="15.75" customHeight="1">
      <c r="A84" s="195"/>
      <c r="B84" s="84"/>
      <c r="C84" s="141"/>
      <c r="D84" s="141"/>
      <c r="E84" s="141"/>
      <c r="F84" s="141"/>
      <c r="G84" s="141"/>
      <c r="H84" s="141"/>
      <c r="I84" s="94"/>
      <c r="K84" s="129" t="s">
        <v>269</v>
      </c>
      <c r="L84" s="176"/>
      <c r="M84" s="176"/>
      <c r="N84" s="176"/>
      <c r="O84" s="176"/>
      <c r="P84" s="176"/>
      <c r="Q84" s="176"/>
      <c r="R84" s="176"/>
      <c r="S84" s="176"/>
      <c r="T84" s="177"/>
      <c r="U84" s="177"/>
      <c r="V84" s="130"/>
      <c r="W84" s="129" t="s">
        <v>428</v>
      </c>
      <c r="X84" s="176"/>
      <c r="Y84" s="176"/>
      <c r="Z84" s="176"/>
      <c r="AA84" s="176"/>
      <c r="AB84" s="176"/>
      <c r="AC84" s="176"/>
      <c r="AD84" s="130"/>
      <c r="AE84" s="129" t="s">
        <v>269</v>
      </c>
      <c r="AF84" s="176"/>
      <c r="AG84" s="176"/>
      <c r="AH84" s="176"/>
      <c r="AI84" s="176"/>
      <c r="AJ84" s="176"/>
      <c r="AK84" s="176"/>
      <c r="AL84" s="130"/>
      <c r="AM84" s="129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30"/>
      <c r="BB84" s="141"/>
      <c r="BC84" s="141"/>
      <c r="BD84" s="84"/>
      <c r="BE84" s="141"/>
      <c r="BF84" s="141"/>
      <c r="BG84" s="141"/>
      <c r="BH84" s="141"/>
      <c r="BI84" s="141"/>
      <c r="BJ84" s="141"/>
      <c r="BK84" s="201"/>
    </row>
    <row r="85" spans="1:63" ht="15.75" customHeight="1">
      <c r="A85" s="195"/>
      <c r="B85" s="84"/>
      <c r="C85" s="141"/>
      <c r="D85" s="141"/>
      <c r="E85" s="141"/>
      <c r="F85" s="141"/>
      <c r="G85" s="141"/>
      <c r="H85" s="141"/>
      <c r="I85" s="94"/>
      <c r="K85" s="129" t="s">
        <v>355</v>
      </c>
      <c r="L85" s="176"/>
      <c r="M85" s="176"/>
      <c r="N85" s="176"/>
      <c r="O85" s="176"/>
      <c r="P85" s="176"/>
      <c r="Q85" s="176"/>
      <c r="R85" s="176"/>
      <c r="S85" s="176"/>
      <c r="T85" s="177"/>
      <c r="U85" s="177"/>
      <c r="V85" s="130"/>
      <c r="W85" s="129" t="s">
        <v>428</v>
      </c>
      <c r="X85" s="176"/>
      <c r="Y85" s="176"/>
      <c r="Z85" s="176"/>
      <c r="AA85" s="176"/>
      <c r="AB85" s="176"/>
      <c r="AC85" s="176"/>
      <c r="AD85" s="130"/>
      <c r="AE85" s="129" t="s">
        <v>270</v>
      </c>
      <c r="AF85" s="176"/>
      <c r="AG85" s="176"/>
      <c r="AH85" s="176"/>
      <c r="AI85" s="176"/>
      <c r="AJ85" s="176"/>
      <c r="AK85" s="176"/>
      <c r="AL85" s="130"/>
      <c r="AM85" s="129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30"/>
      <c r="BB85" s="141"/>
      <c r="BC85" s="141"/>
      <c r="BD85" s="84"/>
      <c r="BE85" s="141"/>
      <c r="BF85" s="141"/>
      <c r="BG85" s="141"/>
      <c r="BH85" s="141"/>
      <c r="BI85" s="141"/>
      <c r="BJ85" s="141"/>
      <c r="BK85" s="201"/>
    </row>
    <row r="86" spans="1:63" ht="15.75" customHeight="1">
      <c r="A86" s="195"/>
      <c r="B86" s="84"/>
      <c r="C86" s="141"/>
      <c r="D86" s="141"/>
      <c r="E86" s="141"/>
      <c r="F86" s="141"/>
      <c r="G86" s="141"/>
      <c r="H86" s="141"/>
      <c r="I86" s="94"/>
      <c r="K86" s="129" t="s">
        <v>356</v>
      </c>
      <c r="L86" s="176"/>
      <c r="M86" s="176"/>
      <c r="N86" s="176"/>
      <c r="O86" s="176"/>
      <c r="P86" s="176"/>
      <c r="Q86" s="176"/>
      <c r="R86" s="176"/>
      <c r="S86" s="176"/>
      <c r="T86" s="177"/>
      <c r="U86" s="177"/>
      <c r="V86" s="130"/>
      <c r="W86" s="129" t="s">
        <v>428</v>
      </c>
      <c r="X86" s="176"/>
      <c r="Y86" s="176"/>
      <c r="Z86" s="176"/>
      <c r="AA86" s="176"/>
      <c r="AB86" s="176"/>
      <c r="AC86" s="176"/>
      <c r="AD86" s="130"/>
      <c r="AE86" s="129" t="s">
        <v>271</v>
      </c>
      <c r="AF86" s="176"/>
      <c r="AG86" s="176"/>
      <c r="AH86" s="176"/>
      <c r="AI86" s="176"/>
      <c r="AJ86" s="176"/>
      <c r="AK86" s="176"/>
      <c r="AL86" s="130"/>
      <c r="AM86" s="129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30"/>
      <c r="BB86" s="141"/>
      <c r="BC86" s="141"/>
      <c r="BD86" s="84"/>
      <c r="BE86" s="141"/>
      <c r="BF86" s="141"/>
      <c r="BG86" s="141"/>
      <c r="BH86" s="141"/>
      <c r="BI86" s="141"/>
      <c r="BJ86" s="141"/>
      <c r="BK86" s="201"/>
    </row>
    <row r="87" spans="1:63" ht="15.75" customHeight="1">
      <c r="A87" s="195"/>
      <c r="B87" s="84"/>
      <c r="C87" s="141"/>
      <c r="D87" s="141"/>
      <c r="E87" s="141"/>
      <c r="F87" s="141"/>
      <c r="G87" s="141"/>
      <c r="H87" s="141"/>
      <c r="I87" s="94"/>
      <c r="K87" s="129" t="s">
        <v>357</v>
      </c>
      <c r="L87" s="176"/>
      <c r="M87" s="176"/>
      <c r="N87" s="176"/>
      <c r="O87" s="176"/>
      <c r="P87" s="176"/>
      <c r="Q87" s="176"/>
      <c r="R87" s="176"/>
      <c r="S87" s="176"/>
      <c r="T87" s="177"/>
      <c r="U87" s="177"/>
      <c r="V87" s="130"/>
      <c r="W87" s="129" t="s">
        <v>428</v>
      </c>
      <c r="X87" s="176"/>
      <c r="Y87" s="176"/>
      <c r="Z87" s="176"/>
      <c r="AA87" s="176"/>
      <c r="AB87" s="176"/>
      <c r="AC87" s="176"/>
      <c r="AD87" s="130"/>
      <c r="AE87" s="129" t="s">
        <v>357</v>
      </c>
      <c r="AF87" s="176"/>
      <c r="AG87" s="176"/>
      <c r="AH87" s="176"/>
      <c r="AI87" s="176"/>
      <c r="AJ87" s="176"/>
      <c r="AK87" s="176"/>
      <c r="AL87" s="130"/>
      <c r="AM87" s="129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30"/>
      <c r="BB87" s="141"/>
      <c r="BC87" s="141"/>
      <c r="BD87" s="84"/>
      <c r="BE87" s="141"/>
      <c r="BF87" s="141"/>
      <c r="BG87" s="141"/>
      <c r="BH87" s="141"/>
      <c r="BI87" s="141"/>
      <c r="BJ87" s="141"/>
      <c r="BK87" s="201"/>
    </row>
    <row r="88" spans="1:63" ht="15.75" customHeight="1">
      <c r="A88" s="195"/>
      <c r="B88" s="84"/>
      <c r="C88" s="141"/>
      <c r="D88" s="141"/>
      <c r="E88" s="141"/>
      <c r="F88" s="141"/>
      <c r="G88" s="141"/>
      <c r="H88" s="141"/>
      <c r="I88" s="94"/>
      <c r="K88" s="129" t="s">
        <v>358</v>
      </c>
      <c r="L88" s="176"/>
      <c r="M88" s="176"/>
      <c r="N88" s="176"/>
      <c r="O88" s="176"/>
      <c r="P88" s="176"/>
      <c r="Q88" s="176"/>
      <c r="R88" s="176"/>
      <c r="S88" s="176"/>
      <c r="T88" s="177"/>
      <c r="U88" s="177"/>
      <c r="V88" s="130"/>
      <c r="W88" s="129" t="s">
        <v>428</v>
      </c>
      <c r="X88" s="176"/>
      <c r="Y88" s="176"/>
      <c r="Z88" s="176"/>
      <c r="AA88" s="176"/>
      <c r="AB88" s="176"/>
      <c r="AC88" s="176"/>
      <c r="AD88" s="130"/>
      <c r="AE88" s="129" t="s">
        <v>358</v>
      </c>
      <c r="AF88" s="176"/>
      <c r="AG88" s="176"/>
      <c r="AH88" s="176"/>
      <c r="AI88" s="176"/>
      <c r="AJ88" s="176"/>
      <c r="AK88" s="176"/>
      <c r="AL88" s="130"/>
      <c r="AM88" s="129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30"/>
      <c r="BB88" s="141"/>
      <c r="BC88" s="141"/>
      <c r="BD88" s="84"/>
      <c r="BE88" s="141"/>
      <c r="BF88" s="141"/>
      <c r="BG88" s="141"/>
      <c r="BH88" s="141"/>
      <c r="BI88" s="141"/>
      <c r="BJ88" s="141"/>
      <c r="BK88" s="201"/>
    </row>
    <row r="89" spans="1:63" ht="15.75" customHeight="1">
      <c r="A89" s="195"/>
      <c r="B89" s="84"/>
      <c r="C89" s="141"/>
      <c r="D89" s="141"/>
      <c r="E89" s="141"/>
      <c r="F89" s="141"/>
      <c r="G89" s="141"/>
      <c r="H89" s="141"/>
      <c r="I89" s="94"/>
      <c r="K89" s="129" t="s">
        <v>272</v>
      </c>
      <c r="L89" s="176"/>
      <c r="M89" s="176"/>
      <c r="N89" s="176"/>
      <c r="O89" s="176"/>
      <c r="P89" s="176"/>
      <c r="Q89" s="176"/>
      <c r="R89" s="176"/>
      <c r="S89" s="176"/>
      <c r="T89" s="177"/>
      <c r="U89" s="177"/>
      <c r="V89" s="130"/>
      <c r="W89" s="129" t="s">
        <v>428</v>
      </c>
      <c r="X89" s="176"/>
      <c r="Y89" s="176"/>
      <c r="Z89" s="176"/>
      <c r="AA89" s="176"/>
      <c r="AB89" s="176"/>
      <c r="AC89" s="176"/>
      <c r="AD89" s="130"/>
      <c r="AE89" s="129" t="s">
        <v>272</v>
      </c>
      <c r="AF89" s="176"/>
      <c r="AG89" s="176"/>
      <c r="AH89" s="176"/>
      <c r="AI89" s="176"/>
      <c r="AJ89" s="176"/>
      <c r="AK89" s="176"/>
      <c r="AL89" s="130"/>
      <c r="AM89" s="129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30"/>
      <c r="BB89" s="141"/>
      <c r="BC89" s="141"/>
      <c r="BD89" s="84"/>
      <c r="BE89" s="141"/>
      <c r="BF89" s="141"/>
      <c r="BG89" s="141"/>
      <c r="BH89" s="141"/>
      <c r="BI89" s="141"/>
      <c r="BJ89" s="141"/>
      <c r="BK89" s="201"/>
    </row>
    <row r="90" spans="1:63" ht="15.75" customHeight="1">
      <c r="A90" s="195"/>
      <c r="B90" s="84"/>
      <c r="C90" s="141"/>
      <c r="D90" s="141"/>
      <c r="E90" s="141"/>
      <c r="F90" s="141"/>
      <c r="G90" s="141"/>
      <c r="H90" s="141"/>
      <c r="I90" s="94"/>
      <c r="K90" s="129" t="s">
        <v>273</v>
      </c>
      <c r="L90" s="176"/>
      <c r="M90" s="176"/>
      <c r="N90" s="176"/>
      <c r="O90" s="176"/>
      <c r="P90" s="176"/>
      <c r="Q90" s="176"/>
      <c r="R90" s="176"/>
      <c r="S90" s="176"/>
      <c r="T90" s="177"/>
      <c r="U90" s="177"/>
      <c r="V90" s="130"/>
      <c r="W90" s="129" t="s">
        <v>428</v>
      </c>
      <c r="X90" s="176"/>
      <c r="Y90" s="176"/>
      <c r="Z90" s="176"/>
      <c r="AA90" s="176"/>
      <c r="AB90" s="176"/>
      <c r="AC90" s="176"/>
      <c r="AD90" s="130"/>
      <c r="AE90" s="129" t="s">
        <v>273</v>
      </c>
      <c r="AF90" s="176"/>
      <c r="AG90" s="176"/>
      <c r="AH90" s="176"/>
      <c r="AI90" s="176"/>
      <c r="AJ90" s="176"/>
      <c r="AK90" s="176"/>
      <c r="AL90" s="130"/>
      <c r="AM90" s="129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30"/>
      <c r="BB90" s="141"/>
      <c r="BC90" s="141"/>
      <c r="BD90" s="84"/>
      <c r="BE90" s="141"/>
      <c r="BF90" s="141"/>
      <c r="BG90" s="141"/>
      <c r="BH90" s="141"/>
      <c r="BI90" s="141"/>
      <c r="BJ90" s="141"/>
      <c r="BK90" s="201"/>
    </row>
    <row r="91" spans="1:63" ht="15.75" customHeight="1">
      <c r="A91" s="195"/>
      <c r="B91" s="84"/>
      <c r="C91" s="141"/>
      <c r="D91" s="141"/>
      <c r="E91" s="141"/>
      <c r="F91" s="141"/>
      <c r="G91" s="141"/>
      <c r="H91" s="141"/>
      <c r="I91" s="94"/>
      <c r="K91" s="129" t="s">
        <v>274</v>
      </c>
      <c r="L91" s="176"/>
      <c r="M91" s="176"/>
      <c r="N91" s="176"/>
      <c r="O91" s="176"/>
      <c r="P91" s="176"/>
      <c r="Q91" s="176"/>
      <c r="R91" s="176"/>
      <c r="S91" s="176"/>
      <c r="T91" s="177"/>
      <c r="U91" s="177"/>
      <c r="V91" s="130"/>
      <c r="W91" s="129" t="s">
        <v>428</v>
      </c>
      <c r="X91" s="176"/>
      <c r="Y91" s="176"/>
      <c r="Z91" s="176"/>
      <c r="AA91" s="176"/>
      <c r="AB91" s="176"/>
      <c r="AC91" s="176"/>
      <c r="AD91" s="130"/>
      <c r="AE91" s="129" t="s">
        <v>274</v>
      </c>
      <c r="AF91" s="176"/>
      <c r="AG91" s="176"/>
      <c r="AH91" s="176"/>
      <c r="AI91" s="176"/>
      <c r="AJ91" s="176"/>
      <c r="AK91" s="176"/>
      <c r="AL91" s="130"/>
      <c r="AM91" s="129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30"/>
      <c r="BB91" s="141"/>
      <c r="BC91" s="141"/>
      <c r="BD91" s="84"/>
      <c r="BE91" s="141"/>
      <c r="BF91" s="141"/>
      <c r="BG91" s="141"/>
      <c r="BH91" s="141"/>
      <c r="BI91" s="141"/>
      <c r="BJ91" s="141"/>
      <c r="BK91" s="201"/>
    </row>
    <row r="92" spans="1:63" ht="15.75" customHeight="1">
      <c r="A92" s="195"/>
      <c r="B92" s="84"/>
      <c r="C92" s="141"/>
      <c r="D92" s="141"/>
      <c r="E92" s="141"/>
      <c r="F92" s="141"/>
      <c r="G92" s="141"/>
      <c r="H92" s="141"/>
      <c r="I92" s="94"/>
      <c r="K92" s="129" t="s">
        <v>275</v>
      </c>
      <c r="L92" s="176"/>
      <c r="M92" s="176"/>
      <c r="N92" s="176"/>
      <c r="O92" s="176"/>
      <c r="P92" s="176"/>
      <c r="Q92" s="176"/>
      <c r="R92" s="176"/>
      <c r="S92" s="176"/>
      <c r="T92" s="177"/>
      <c r="U92" s="177"/>
      <c r="V92" s="130"/>
      <c r="W92" s="129" t="s">
        <v>428</v>
      </c>
      <c r="X92" s="176"/>
      <c r="Y92" s="176"/>
      <c r="Z92" s="176"/>
      <c r="AA92" s="176"/>
      <c r="AB92" s="176"/>
      <c r="AC92" s="176"/>
      <c r="AD92" s="130"/>
      <c r="AE92" s="129" t="s">
        <v>275</v>
      </c>
      <c r="AF92" s="176"/>
      <c r="AG92" s="176"/>
      <c r="AH92" s="176"/>
      <c r="AI92" s="176"/>
      <c r="AJ92" s="176"/>
      <c r="AK92" s="176"/>
      <c r="AL92" s="130"/>
      <c r="AM92" s="129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30"/>
      <c r="BB92" s="141"/>
      <c r="BC92" s="141"/>
      <c r="BD92" s="84"/>
      <c r="BE92" s="141"/>
      <c r="BF92" s="141"/>
      <c r="BG92" s="141"/>
      <c r="BH92" s="141"/>
      <c r="BI92" s="141"/>
      <c r="BJ92" s="141"/>
      <c r="BK92" s="201"/>
    </row>
    <row r="93" spans="1:63" s="141" customFormat="1" ht="15.75" customHeight="1">
      <c r="A93" s="195"/>
      <c r="B93" s="84"/>
      <c r="I93" s="94"/>
      <c r="J93" s="199"/>
      <c r="K93" s="77"/>
      <c r="L93" s="77"/>
      <c r="M93" s="77"/>
      <c r="N93" s="77"/>
      <c r="O93" s="77"/>
      <c r="P93" s="77"/>
      <c r="Q93" s="77"/>
      <c r="R93" s="77"/>
      <c r="S93" s="77"/>
      <c r="T93" s="76"/>
      <c r="U93" s="76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291"/>
      <c r="BD93" s="84"/>
      <c r="BK93" s="201"/>
    </row>
    <row r="94" spans="1:63" s="141" customFormat="1" ht="15.75" customHeight="1">
      <c r="A94" s="195"/>
      <c r="B94" s="84"/>
      <c r="I94" s="94"/>
      <c r="J94" s="199"/>
      <c r="K94" s="199" t="s">
        <v>419</v>
      </c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  <c r="AG94" s="199"/>
      <c r="AH94" s="199"/>
      <c r="AI94" s="199"/>
      <c r="AJ94" s="199"/>
      <c r="AK94" s="199"/>
      <c r="AL94" s="199"/>
      <c r="AM94" s="199"/>
      <c r="AN94" s="199"/>
      <c r="AO94" s="200"/>
      <c r="AP94" s="200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291"/>
      <c r="BD94" s="84"/>
      <c r="BK94" s="201"/>
    </row>
    <row r="95" spans="1:63" s="141" customFormat="1" ht="15.75" customHeight="1">
      <c r="A95" s="195"/>
      <c r="B95" s="84"/>
      <c r="I95" s="94"/>
      <c r="J95" s="199"/>
      <c r="K95" s="199"/>
      <c r="L95" s="199"/>
      <c r="M95" s="199"/>
      <c r="N95" s="202"/>
      <c r="O95" s="77" t="s">
        <v>413</v>
      </c>
      <c r="Q95" s="202"/>
      <c r="R95" s="202"/>
      <c r="S95" s="202"/>
      <c r="T95" s="77"/>
      <c r="U95" s="77" t="s">
        <v>430</v>
      </c>
      <c r="V95" s="77"/>
      <c r="W95" s="77"/>
      <c r="X95" s="77"/>
      <c r="Y95" s="77"/>
      <c r="Z95" s="292"/>
      <c r="AA95" s="293" t="s">
        <v>420</v>
      </c>
      <c r="AB95" s="202"/>
      <c r="AC95" s="202"/>
      <c r="AD95" s="77" t="s">
        <v>427</v>
      </c>
      <c r="AF95" s="202"/>
      <c r="AG95" s="202"/>
      <c r="AH95" s="202"/>
      <c r="AI95" s="202"/>
      <c r="AJ95" s="202"/>
      <c r="AL95" s="202"/>
      <c r="AM95" s="77" t="s">
        <v>430</v>
      </c>
      <c r="AN95" s="202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291"/>
      <c r="BD95" s="84"/>
      <c r="BK95" s="201"/>
    </row>
    <row r="96" spans="1:63" s="141" customFormat="1" ht="15.75" customHeight="1">
      <c r="A96" s="195"/>
      <c r="B96" s="84"/>
      <c r="I96" s="94"/>
      <c r="J96" s="199"/>
      <c r="K96" s="202"/>
      <c r="L96" s="202"/>
      <c r="M96" s="294" t="s">
        <v>421</v>
      </c>
      <c r="N96" s="202"/>
      <c r="O96" s="77" t="s">
        <v>427</v>
      </c>
      <c r="Q96" s="202"/>
      <c r="R96" s="202"/>
      <c r="S96" s="202"/>
      <c r="T96" s="202"/>
      <c r="U96" s="77" t="s">
        <v>430</v>
      </c>
      <c r="V96" s="202"/>
      <c r="W96" s="202"/>
      <c r="X96" s="202"/>
      <c r="Y96" s="202"/>
      <c r="Z96" s="202"/>
      <c r="AA96" s="293" t="s">
        <v>420</v>
      </c>
      <c r="AB96" s="202"/>
      <c r="AC96" s="202"/>
      <c r="AD96" s="199" t="s">
        <v>453</v>
      </c>
      <c r="AE96" s="294"/>
      <c r="AF96" s="199"/>
      <c r="AG96" s="199"/>
      <c r="AH96" s="199"/>
      <c r="AI96" s="199"/>
      <c r="AJ96" s="199"/>
      <c r="AL96" s="199"/>
      <c r="AM96" s="77" t="s">
        <v>430</v>
      </c>
      <c r="AN96" s="199"/>
      <c r="AO96" s="200"/>
      <c r="AP96" s="202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291"/>
      <c r="BD96" s="84"/>
      <c r="BK96" s="201"/>
    </row>
    <row r="97" spans="1:63" s="141" customFormat="1" ht="15.75" customHeight="1">
      <c r="A97" s="195"/>
      <c r="B97" s="84"/>
      <c r="I97" s="94"/>
      <c r="J97" s="199"/>
      <c r="K97" s="202"/>
      <c r="L97" s="202"/>
      <c r="M97" s="199" t="s">
        <v>421</v>
      </c>
      <c r="N97" s="199"/>
      <c r="O97" s="77" t="s">
        <v>427</v>
      </c>
      <c r="Q97" s="202"/>
      <c r="R97" s="202"/>
      <c r="S97" s="202"/>
      <c r="T97" s="202"/>
      <c r="U97" s="202" t="s">
        <v>451</v>
      </c>
      <c r="V97" s="202"/>
      <c r="W97" s="202"/>
      <c r="X97" s="202"/>
      <c r="Y97" s="202"/>
      <c r="Z97" s="202"/>
      <c r="AA97" s="293" t="s">
        <v>420</v>
      </c>
      <c r="AB97" s="202"/>
      <c r="AC97" s="202"/>
      <c r="AD97" s="199" t="s">
        <v>453</v>
      </c>
      <c r="AE97" s="294"/>
      <c r="AF97" s="199"/>
      <c r="AG97" s="199"/>
      <c r="AH97" s="199"/>
      <c r="AI97" s="199"/>
      <c r="AJ97" s="199"/>
      <c r="AL97" s="199"/>
      <c r="AM97" s="202" t="s">
        <v>451</v>
      </c>
      <c r="AN97" s="199"/>
      <c r="AO97" s="200"/>
      <c r="AP97" s="202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291"/>
      <c r="BD97" s="84"/>
      <c r="BK97" s="201"/>
    </row>
    <row r="98" spans="1:63" s="141" customFormat="1" ht="15.75" customHeight="1">
      <c r="A98" s="195"/>
      <c r="B98" s="84"/>
      <c r="I98" s="94"/>
      <c r="J98" s="199"/>
      <c r="K98" s="77"/>
      <c r="L98" s="77"/>
      <c r="M98" s="199" t="s">
        <v>421</v>
      </c>
      <c r="N98" s="199"/>
      <c r="O98" s="77" t="s">
        <v>427</v>
      </c>
      <c r="Q98" s="202"/>
      <c r="R98" s="202"/>
      <c r="S98" s="202"/>
      <c r="T98" s="202"/>
      <c r="U98" s="202" t="s">
        <v>431</v>
      </c>
      <c r="V98" s="202"/>
      <c r="W98" s="202"/>
      <c r="X98" s="202"/>
      <c r="Y98" s="202"/>
      <c r="Z98" s="202"/>
      <c r="AA98" s="293" t="s">
        <v>420</v>
      </c>
      <c r="AB98" s="202"/>
      <c r="AC98" s="202"/>
      <c r="AD98" s="199" t="s">
        <v>453</v>
      </c>
      <c r="AE98" s="294"/>
      <c r="AF98" s="199"/>
      <c r="AG98" s="199"/>
      <c r="AH98" s="199"/>
      <c r="AI98" s="199"/>
      <c r="AJ98" s="199"/>
      <c r="AL98" s="199"/>
      <c r="AM98" s="202" t="s">
        <v>431</v>
      </c>
      <c r="AN98" s="199"/>
      <c r="AO98" s="200"/>
      <c r="AP98" s="202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291"/>
      <c r="BD98" s="84"/>
      <c r="BK98" s="201"/>
    </row>
    <row r="99" spans="1:63" s="141" customFormat="1" ht="15.75" customHeight="1">
      <c r="A99" s="195"/>
      <c r="B99" s="84"/>
      <c r="I99" s="94"/>
      <c r="J99" s="199"/>
      <c r="K99" s="77"/>
      <c r="L99" s="77"/>
      <c r="M99" s="292" t="s">
        <v>421</v>
      </c>
      <c r="N99" s="77"/>
      <c r="O99" s="77" t="s">
        <v>427</v>
      </c>
      <c r="Q99" s="202"/>
      <c r="R99" s="202"/>
      <c r="S99" s="202"/>
      <c r="T99" s="202"/>
      <c r="U99" s="202" t="s">
        <v>431</v>
      </c>
      <c r="V99" s="202"/>
      <c r="W99" s="202"/>
      <c r="X99" s="202"/>
      <c r="Y99" s="202"/>
      <c r="Z99" s="202"/>
      <c r="AA99" s="293" t="s">
        <v>420</v>
      </c>
      <c r="AB99" s="202"/>
      <c r="AC99" s="77"/>
      <c r="AD99" s="77" t="s">
        <v>432</v>
      </c>
      <c r="AE99" s="77"/>
      <c r="AF99" s="77"/>
      <c r="AG99" s="77"/>
      <c r="AH99" s="77"/>
      <c r="AI99" s="77"/>
      <c r="AJ99" s="77"/>
      <c r="AK99" s="77"/>
      <c r="AL99" s="77"/>
      <c r="AM99" s="202" t="s">
        <v>431</v>
      </c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291"/>
      <c r="BD99" s="84"/>
      <c r="BK99" s="201"/>
    </row>
    <row r="100" spans="1:63" s="141" customFormat="1" ht="15.75" customHeight="1">
      <c r="A100" s="195"/>
      <c r="B100" s="84"/>
      <c r="I100" s="94"/>
      <c r="J100" s="199"/>
      <c r="K100" s="77"/>
      <c r="L100" s="77"/>
      <c r="M100" s="77"/>
      <c r="N100" s="77"/>
      <c r="O100" s="77"/>
      <c r="P100" s="77"/>
      <c r="Q100" s="77"/>
      <c r="R100" s="77"/>
      <c r="S100" s="77"/>
      <c r="T100" s="76"/>
      <c r="U100" s="76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291"/>
      <c r="BD100" s="84"/>
      <c r="BK100" s="201"/>
    </row>
    <row r="101" spans="1:63" s="141" customFormat="1" ht="15.75" customHeight="1">
      <c r="A101" s="195"/>
      <c r="B101" s="84"/>
      <c r="I101" s="94"/>
      <c r="J101" s="199"/>
      <c r="K101" s="77"/>
      <c r="L101" s="77"/>
      <c r="M101" s="77"/>
      <c r="N101" s="77"/>
      <c r="O101" s="77"/>
      <c r="P101" s="77"/>
      <c r="Q101" s="77"/>
      <c r="R101" s="77"/>
      <c r="S101" s="77"/>
      <c r="T101" s="76"/>
      <c r="U101" s="76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291"/>
      <c r="BD101" s="84"/>
      <c r="BK101" s="201"/>
    </row>
    <row r="102" spans="1:63" s="141" customFormat="1" ht="15.75" customHeight="1">
      <c r="A102" s="195"/>
      <c r="B102" s="84"/>
      <c r="I102" s="94"/>
      <c r="J102" s="199" t="s">
        <v>454</v>
      </c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  <c r="AD102" s="199"/>
      <c r="AE102" s="199"/>
      <c r="AF102" s="199"/>
      <c r="AG102" s="199"/>
      <c r="AH102" s="199"/>
      <c r="AI102" s="199"/>
      <c r="AJ102" s="199"/>
      <c r="AK102" s="199"/>
      <c r="AL102" s="199"/>
      <c r="AM102" s="199"/>
      <c r="AN102" s="199"/>
      <c r="AO102" s="200"/>
      <c r="AP102" s="200"/>
      <c r="AQ102" s="200"/>
      <c r="AR102" s="200"/>
      <c r="BD102" s="84"/>
      <c r="BK102" s="201"/>
    </row>
    <row r="103" spans="1:63" s="141" customFormat="1" ht="15.75" customHeight="1">
      <c r="A103" s="195"/>
      <c r="B103" s="84"/>
      <c r="I103" s="94"/>
      <c r="J103" s="77"/>
      <c r="K103" s="202" t="s">
        <v>408</v>
      </c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199"/>
      <c r="AE103" s="199"/>
      <c r="AF103" s="199"/>
      <c r="AG103" s="199"/>
      <c r="AH103" s="199"/>
      <c r="AI103" s="199"/>
      <c r="AJ103" s="199"/>
      <c r="AK103" s="199"/>
      <c r="AL103" s="199"/>
      <c r="AM103" s="199"/>
      <c r="AN103" s="199"/>
      <c r="AO103" s="200"/>
      <c r="AP103" s="200"/>
      <c r="AQ103" s="200"/>
      <c r="AR103" s="200"/>
      <c r="BD103" s="84"/>
      <c r="BK103" s="201"/>
    </row>
    <row r="104" spans="1:63" s="141" customFormat="1" ht="15.75" customHeight="1">
      <c r="A104" s="195"/>
      <c r="B104" s="84"/>
      <c r="I104" s="94"/>
      <c r="J104" s="199"/>
      <c r="K104" s="77"/>
      <c r="L104" s="77"/>
      <c r="M104" s="77"/>
      <c r="N104" s="77"/>
      <c r="O104" s="77"/>
      <c r="P104" s="77"/>
      <c r="Q104" s="77"/>
      <c r="R104" s="77"/>
      <c r="S104" s="77"/>
      <c r="T104" s="76"/>
      <c r="U104" s="76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291"/>
      <c r="BD104" s="84"/>
      <c r="BK104" s="201"/>
    </row>
    <row r="105" spans="1:63" ht="15.75" customHeight="1">
      <c r="A105" s="195"/>
      <c r="B105" s="84"/>
      <c r="C105" s="141"/>
      <c r="D105" s="141"/>
      <c r="E105" s="141"/>
      <c r="F105" s="141"/>
      <c r="G105" s="141"/>
      <c r="H105" s="141"/>
      <c r="I105" s="94"/>
      <c r="K105" s="202" t="s">
        <v>447</v>
      </c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199"/>
      <c r="AE105" s="199"/>
      <c r="AF105" s="199"/>
      <c r="AG105" s="199"/>
      <c r="AH105" s="199"/>
      <c r="AI105" s="199"/>
      <c r="AJ105" s="199"/>
      <c r="AK105" s="199"/>
      <c r="AL105" s="199"/>
      <c r="AM105" s="199"/>
      <c r="AN105" s="199"/>
      <c r="AO105" s="200"/>
      <c r="AP105" s="200"/>
      <c r="AQ105" s="200"/>
      <c r="AR105" s="200"/>
      <c r="AS105" s="141"/>
      <c r="AT105" s="141"/>
      <c r="AU105" s="141"/>
      <c r="AV105" s="141"/>
      <c r="AW105" s="141"/>
      <c r="AX105" s="141"/>
      <c r="AY105" s="141"/>
      <c r="AZ105" s="141"/>
      <c r="BA105" s="141"/>
      <c r="BB105" s="141"/>
      <c r="BC105" s="141"/>
      <c r="BD105" s="84"/>
      <c r="BE105" s="141"/>
      <c r="BF105" s="141"/>
      <c r="BG105" s="141"/>
      <c r="BH105" s="141"/>
      <c r="BI105" s="141"/>
      <c r="BJ105" s="141"/>
      <c r="BK105" s="201"/>
    </row>
    <row r="106" spans="1:63" ht="15.75" customHeight="1">
      <c r="A106" s="195"/>
      <c r="B106" s="84"/>
      <c r="C106" s="141"/>
      <c r="D106" s="141"/>
      <c r="E106" s="141"/>
      <c r="F106" s="141"/>
      <c r="G106" s="141"/>
      <c r="H106" s="141"/>
      <c r="I106" s="94"/>
      <c r="K106" s="239" t="s">
        <v>409</v>
      </c>
      <c r="L106" s="236"/>
      <c r="M106" s="236"/>
      <c r="N106" s="236"/>
      <c r="O106" s="236"/>
      <c r="P106" s="236"/>
      <c r="Q106" s="236"/>
      <c r="R106" s="236"/>
      <c r="S106" s="236"/>
      <c r="T106" s="237"/>
      <c r="U106" s="237"/>
      <c r="V106" s="238"/>
      <c r="W106" s="239" t="s">
        <v>411</v>
      </c>
      <c r="X106" s="236"/>
      <c r="Y106" s="236"/>
      <c r="Z106" s="236"/>
      <c r="AA106" s="236"/>
      <c r="AB106" s="236"/>
      <c r="AC106" s="236"/>
      <c r="AD106" s="238"/>
      <c r="AE106" s="239" t="s">
        <v>185</v>
      </c>
      <c r="AF106" s="236"/>
      <c r="AG106" s="236"/>
      <c r="AH106" s="236"/>
      <c r="AI106" s="236"/>
      <c r="AJ106" s="236"/>
      <c r="AK106" s="236"/>
      <c r="AL106" s="238"/>
      <c r="AM106" s="239" t="s">
        <v>410</v>
      </c>
      <c r="AN106" s="236"/>
      <c r="AO106" s="236"/>
      <c r="AP106" s="236"/>
      <c r="AQ106" s="236"/>
      <c r="AR106" s="236"/>
      <c r="AS106" s="236"/>
      <c r="AT106" s="236"/>
      <c r="AU106" s="236"/>
      <c r="AV106" s="236"/>
      <c r="AW106" s="236"/>
      <c r="AX106" s="236"/>
      <c r="AY106" s="236"/>
      <c r="AZ106" s="236"/>
      <c r="BA106" s="238"/>
      <c r="BB106" s="141"/>
      <c r="BC106" s="141"/>
      <c r="BD106" s="84"/>
      <c r="BE106" s="141"/>
      <c r="BF106" s="141"/>
      <c r="BG106" s="141"/>
      <c r="BH106" s="141"/>
      <c r="BI106" s="141"/>
      <c r="BJ106" s="141"/>
      <c r="BK106" s="201"/>
    </row>
    <row r="107" spans="1:63" ht="15.75" customHeight="1">
      <c r="A107" s="195"/>
      <c r="B107" s="84"/>
      <c r="C107" s="141"/>
      <c r="D107" s="141"/>
      <c r="E107" s="141"/>
      <c r="F107" s="141"/>
      <c r="G107" s="141"/>
      <c r="H107" s="141"/>
      <c r="I107" s="94"/>
      <c r="K107" s="129" t="s">
        <v>314</v>
      </c>
      <c r="L107" s="176"/>
      <c r="M107" s="176"/>
      <c r="N107" s="176"/>
      <c r="O107" s="176"/>
      <c r="P107" s="176"/>
      <c r="Q107" s="176"/>
      <c r="R107" s="176"/>
      <c r="S107" s="176"/>
      <c r="T107" s="177"/>
      <c r="U107" s="177"/>
      <c r="V107" s="130"/>
      <c r="W107" s="129" t="s">
        <v>455</v>
      </c>
      <c r="X107" s="176"/>
      <c r="Y107" s="176"/>
      <c r="Z107" s="176"/>
      <c r="AA107" s="176"/>
      <c r="AB107" s="176"/>
      <c r="AC107" s="176"/>
      <c r="AD107" s="130"/>
      <c r="AE107" s="129" t="s">
        <v>456</v>
      </c>
      <c r="AF107" s="176"/>
      <c r="AG107" s="176"/>
      <c r="AH107" s="176"/>
      <c r="AI107" s="176"/>
      <c r="AJ107" s="176"/>
      <c r="AK107" s="176"/>
      <c r="AL107" s="130"/>
      <c r="AM107" s="129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30"/>
      <c r="BB107" s="141"/>
      <c r="BC107" s="141"/>
      <c r="BD107" s="84"/>
      <c r="BE107" s="141"/>
      <c r="BF107" s="141"/>
      <c r="BG107" s="141"/>
      <c r="BH107" s="141"/>
      <c r="BI107" s="141"/>
      <c r="BJ107" s="141"/>
      <c r="BK107" s="201"/>
    </row>
    <row r="108" spans="1:63" ht="15.75" customHeight="1">
      <c r="A108" s="195"/>
      <c r="B108" s="84"/>
      <c r="C108" s="141"/>
      <c r="D108" s="141"/>
      <c r="E108" s="141"/>
      <c r="F108" s="141"/>
      <c r="G108" s="141"/>
      <c r="H108" s="141"/>
      <c r="I108" s="94"/>
      <c r="K108" s="129" t="s">
        <v>323</v>
      </c>
      <c r="L108" s="176"/>
      <c r="M108" s="176"/>
      <c r="N108" s="176"/>
      <c r="O108" s="176"/>
      <c r="P108" s="176"/>
      <c r="Q108" s="176"/>
      <c r="R108" s="176"/>
      <c r="S108" s="176"/>
      <c r="T108" s="177"/>
      <c r="U108" s="177"/>
      <c r="V108" s="130"/>
      <c r="W108" s="129" t="s">
        <v>455</v>
      </c>
      <c r="X108" s="176"/>
      <c r="Y108" s="176"/>
      <c r="Z108" s="176"/>
      <c r="AA108" s="176"/>
      <c r="AB108" s="176"/>
      <c r="AC108" s="176"/>
      <c r="AD108" s="130"/>
      <c r="AE108" s="129" t="s">
        <v>457</v>
      </c>
      <c r="AF108" s="176"/>
      <c r="AG108" s="176"/>
      <c r="AH108" s="176"/>
      <c r="AI108" s="176"/>
      <c r="AJ108" s="176"/>
      <c r="AK108" s="176"/>
      <c r="AL108" s="130"/>
      <c r="AM108" s="129"/>
      <c r="AN108" s="176"/>
      <c r="AO108" s="176"/>
      <c r="AP108" s="176"/>
      <c r="AQ108" s="176"/>
      <c r="AR108" s="176"/>
      <c r="AS108" s="176"/>
      <c r="AT108" s="176"/>
      <c r="AU108" s="176"/>
      <c r="AV108" s="176"/>
      <c r="AW108" s="176"/>
      <c r="AX108" s="176"/>
      <c r="AY108" s="176"/>
      <c r="AZ108" s="176"/>
      <c r="BA108" s="130"/>
      <c r="BB108" s="141"/>
      <c r="BC108" s="141"/>
      <c r="BD108" s="84"/>
      <c r="BE108" s="141"/>
      <c r="BF108" s="141"/>
      <c r="BG108" s="141"/>
      <c r="BH108" s="141"/>
      <c r="BI108" s="141"/>
      <c r="BJ108" s="141"/>
      <c r="BK108" s="201"/>
    </row>
    <row r="109" spans="1:63" ht="15.75" customHeight="1">
      <c r="A109" s="195"/>
      <c r="B109" s="84"/>
      <c r="C109" s="141"/>
      <c r="D109" s="141"/>
      <c r="E109" s="141"/>
      <c r="F109" s="141"/>
      <c r="G109" s="141"/>
      <c r="H109" s="141"/>
      <c r="I109" s="94"/>
      <c r="K109" s="129" t="s">
        <v>359</v>
      </c>
      <c r="L109" s="176"/>
      <c r="M109" s="176"/>
      <c r="N109" s="176"/>
      <c r="O109" s="176"/>
      <c r="P109" s="176"/>
      <c r="Q109" s="176"/>
      <c r="R109" s="176"/>
      <c r="S109" s="176"/>
      <c r="T109" s="177"/>
      <c r="U109" s="177"/>
      <c r="V109" s="130"/>
      <c r="W109" s="129" t="s">
        <v>402</v>
      </c>
      <c r="X109" s="176"/>
      <c r="Y109" s="176"/>
      <c r="Z109" s="176"/>
      <c r="AA109" s="176"/>
      <c r="AB109" s="176"/>
      <c r="AC109" s="176"/>
      <c r="AD109" s="130"/>
      <c r="AE109" s="129" t="s">
        <v>215</v>
      </c>
      <c r="AF109" s="176"/>
      <c r="AG109" s="176"/>
      <c r="AH109" s="176"/>
      <c r="AI109" s="176"/>
      <c r="AJ109" s="176"/>
      <c r="AK109" s="176"/>
      <c r="AL109" s="130"/>
      <c r="AM109" s="129"/>
      <c r="AN109" s="176"/>
      <c r="AO109" s="176"/>
      <c r="AP109" s="176"/>
      <c r="AQ109" s="176"/>
      <c r="AR109" s="176"/>
      <c r="AS109" s="176"/>
      <c r="AT109" s="176"/>
      <c r="AU109" s="176"/>
      <c r="AV109" s="176"/>
      <c r="AW109" s="176"/>
      <c r="AX109" s="176"/>
      <c r="AY109" s="176"/>
      <c r="AZ109" s="176"/>
      <c r="BA109" s="130"/>
      <c r="BB109" s="141"/>
      <c r="BC109" s="141"/>
      <c r="BD109" s="84"/>
      <c r="BE109" s="141"/>
      <c r="BF109" s="141"/>
      <c r="BG109" s="141"/>
      <c r="BH109" s="141"/>
      <c r="BI109" s="141"/>
      <c r="BJ109" s="141"/>
      <c r="BK109" s="201"/>
    </row>
    <row r="110" spans="1:63" ht="15.75" customHeight="1">
      <c r="A110" s="195"/>
      <c r="B110" s="84"/>
      <c r="C110" s="141"/>
      <c r="D110" s="141"/>
      <c r="E110" s="141"/>
      <c r="F110" s="141"/>
      <c r="G110" s="141"/>
      <c r="H110" s="141"/>
      <c r="I110" s="94"/>
      <c r="K110" s="129" t="s">
        <v>360</v>
      </c>
      <c r="L110" s="176"/>
      <c r="M110" s="176"/>
      <c r="N110" s="176"/>
      <c r="O110" s="176"/>
      <c r="P110" s="176"/>
      <c r="Q110" s="176"/>
      <c r="R110" s="176"/>
      <c r="S110" s="176"/>
      <c r="T110" s="177"/>
      <c r="U110" s="177"/>
      <c r="V110" s="130"/>
      <c r="W110" s="129" t="s">
        <v>403</v>
      </c>
      <c r="X110" s="176"/>
      <c r="Y110" s="176"/>
      <c r="Z110" s="176"/>
      <c r="AA110" s="176"/>
      <c r="AB110" s="176"/>
      <c r="AC110" s="176"/>
      <c r="AD110" s="130"/>
      <c r="AE110" s="129" t="s">
        <v>350</v>
      </c>
      <c r="AF110" s="176"/>
      <c r="AG110" s="176"/>
      <c r="AH110" s="176"/>
      <c r="AI110" s="176"/>
      <c r="AJ110" s="176"/>
      <c r="AK110" s="176"/>
      <c r="AL110" s="130"/>
      <c r="AM110" s="129"/>
      <c r="AN110" s="176"/>
      <c r="AO110" s="176"/>
      <c r="AP110" s="176"/>
      <c r="AQ110" s="176"/>
      <c r="AR110" s="176"/>
      <c r="AS110" s="176"/>
      <c r="AT110" s="176"/>
      <c r="AU110" s="176"/>
      <c r="AV110" s="176"/>
      <c r="AW110" s="176"/>
      <c r="AX110" s="176"/>
      <c r="AY110" s="176"/>
      <c r="AZ110" s="176"/>
      <c r="BA110" s="130"/>
      <c r="BB110" s="141"/>
      <c r="BC110" s="141"/>
      <c r="BD110" s="84"/>
      <c r="BE110" s="141"/>
      <c r="BF110" s="141"/>
      <c r="BG110" s="141"/>
      <c r="BH110" s="141"/>
      <c r="BI110" s="141"/>
      <c r="BJ110" s="141"/>
      <c r="BK110" s="201"/>
    </row>
    <row r="111" spans="1:63" ht="15.75" customHeight="1">
      <c r="A111" s="195"/>
      <c r="B111" s="84"/>
      <c r="C111" s="141"/>
      <c r="D111" s="141"/>
      <c r="E111" s="141"/>
      <c r="F111" s="141"/>
      <c r="G111" s="141"/>
      <c r="H111" s="141"/>
      <c r="I111" s="94"/>
      <c r="K111" s="129" t="s">
        <v>361</v>
      </c>
      <c r="L111" s="176"/>
      <c r="M111" s="176"/>
      <c r="N111" s="176"/>
      <c r="O111" s="176"/>
      <c r="P111" s="176"/>
      <c r="Q111" s="176"/>
      <c r="R111" s="176"/>
      <c r="S111" s="176"/>
      <c r="T111" s="177"/>
      <c r="U111" s="177"/>
      <c r="V111" s="130"/>
      <c r="W111" s="129" t="s">
        <v>403</v>
      </c>
      <c r="X111" s="176"/>
      <c r="Y111" s="176"/>
      <c r="Z111" s="176"/>
      <c r="AA111" s="176"/>
      <c r="AB111" s="176"/>
      <c r="AC111" s="176"/>
      <c r="AD111" s="130"/>
      <c r="AE111" s="302" t="s">
        <v>472</v>
      </c>
      <c r="AF111" s="176"/>
      <c r="AG111" s="176"/>
      <c r="AH111" s="176"/>
      <c r="AI111" s="176"/>
      <c r="AJ111" s="176"/>
      <c r="AK111" s="176"/>
      <c r="AL111" s="130"/>
      <c r="AM111" s="129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30"/>
      <c r="BB111" s="141"/>
      <c r="BC111" s="141"/>
      <c r="BD111" s="84"/>
      <c r="BE111" s="141"/>
      <c r="BF111" s="141"/>
      <c r="BG111" s="141"/>
      <c r="BH111" s="141"/>
      <c r="BI111" s="141"/>
      <c r="BJ111" s="141"/>
      <c r="BK111" s="201"/>
    </row>
    <row r="112" spans="1:63" ht="209.25" customHeight="1">
      <c r="A112" s="195"/>
      <c r="B112" s="84"/>
      <c r="C112" s="141"/>
      <c r="D112" s="141"/>
      <c r="E112" s="141"/>
      <c r="F112" s="141"/>
      <c r="G112" s="141"/>
      <c r="H112" s="141"/>
      <c r="I112" s="94"/>
      <c r="K112" s="129" t="s">
        <v>362</v>
      </c>
      <c r="L112" s="176"/>
      <c r="M112" s="176"/>
      <c r="N112" s="176"/>
      <c r="O112" s="176"/>
      <c r="P112" s="176"/>
      <c r="Q112" s="176"/>
      <c r="R112" s="176"/>
      <c r="S112" s="176"/>
      <c r="T112" s="177"/>
      <c r="U112" s="177"/>
      <c r="V112" s="130"/>
      <c r="W112" s="303"/>
      <c r="X112" s="304"/>
      <c r="Y112" s="304"/>
      <c r="Z112" s="304"/>
      <c r="AA112" s="304"/>
      <c r="AB112" s="304"/>
      <c r="AC112" s="304"/>
      <c r="AD112" s="305"/>
      <c r="AE112" s="303"/>
      <c r="AF112" s="304"/>
      <c r="AG112" s="304"/>
      <c r="AH112" s="304"/>
      <c r="AI112" s="304"/>
      <c r="AJ112" s="304"/>
      <c r="AK112" s="304"/>
      <c r="AL112" s="305"/>
      <c r="AM112" s="751" t="s">
        <v>476</v>
      </c>
      <c r="AN112" s="752"/>
      <c r="AO112" s="752"/>
      <c r="AP112" s="752"/>
      <c r="AQ112" s="752"/>
      <c r="AR112" s="752"/>
      <c r="AS112" s="752"/>
      <c r="AT112" s="752"/>
      <c r="AU112" s="752"/>
      <c r="AV112" s="752"/>
      <c r="AW112" s="752"/>
      <c r="AX112" s="752"/>
      <c r="AY112" s="752"/>
      <c r="AZ112" s="752"/>
      <c r="BA112" s="753"/>
      <c r="BB112" s="141"/>
      <c r="BC112" s="141"/>
      <c r="BD112" s="84"/>
      <c r="BE112" s="141"/>
      <c r="BF112" s="141"/>
      <c r="BG112" s="141"/>
      <c r="BH112" s="141"/>
      <c r="BI112" s="141"/>
      <c r="BJ112" s="141"/>
      <c r="BK112" s="201"/>
    </row>
    <row r="113" spans="1:64" s="141" customFormat="1" ht="15.75" customHeight="1">
      <c r="A113" s="195"/>
      <c r="B113" s="84"/>
      <c r="I113" s="94"/>
      <c r="J113" s="199"/>
      <c r="K113" s="77"/>
      <c r="L113" s="77"/>
      <c r="M113" s="77"/>
      <c r="N113" s="77"/>
      <c r="O113" s="77"/>
      <c r="P113" s="77"/>
      <c r="Q113" s="77"/>
      <c r="R113" s="77"/>
      <c r="S113" s="77"/>
      <c r="T113" s="76"/>
      <c r="U113" s="76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291"/>
      <c r="BD113" s="84"/>
      <c r="BK113" s="201"/>
    </row>
    <row r="114" spans="1:64" s="141" customFormat="1" ht="15.75" customHeight="1">
      <c r="A114" s="195"/>
      <c r="B114" s="84"/>
      <c r="I114" s="94"/>
      <c r="J114" s="199"/>
      <c r="K114" s="199" t="s">
        <v>419</v>
      </c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  <c r="AD114" s="199"/>
      <c r="AE114" s="199"/>
      <c r="AF114" s="199"/>
      <c r="AG114" s="199"/>
      <c r="AH114" s="199"/>
      <c r="AI114" s="199"/>
      <c r="AJ114" s="199"/>
      <c r="AK114" s="199"/>
      <c r="AL114" s="199"/>
      <c r="AM114" s="199"/>
      <c r="AN114" s="199"/>
      <c r="AO114" s="200"/>
      <c r="AP114" s="200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291"/>
      <c r="BD114" s="84"/>
      <c r="BK114" s="201"/>
    </row>
    <row r="115" spans="1:64" s="141" customFormat="1" ht="15.75" customHeight="1">
      <c r="A115" s="195"/>
      <c r="B115" s="84"/>
      <c r="I115" s="94"/>
      <c r="J115" s="199"/>
      <c r="K115" s="199"/>
      <c r="L115" s="199"/>
      <c r="M115" s="199"/>
      <c r="N115" s="202"/>
      <c r="O115" s="77" t="s">
        <v>413</v>
      </c>
      <c r="Q115" s="202"/>
      <c r="R115" s="202"/>
      <c r="S115" s="202"/>
      <c r="T115" s="77"/>
      <c r="U115" s="77" t="s">
        <v>430</v>
      </c>
      <c r="V115" s="77"/>
      <c r="W115" s="77"/>
      <c r="X115" s="77"/>
      <c r="Y115" s="77"/>
      <c r="Z115" s="292"/>
      <c r="AA115" s="293" t="s">
        <v>420</v>
      </c>
      <c r="AB115" s="202"/>
      <c r="AC115" s="202"/>
      <c r="AD115" s="77" t="s">
        <v>427</v>
      </c>
      <c r="AF115" s="202"/>
      <c r="AG115" s="202"/>
      <c r="AH115" s="202"/>
      <c r="AI115" s="202"/>
      <c r="AJ115" s="202"/>
      <c r="AK115" s="77" t="s">
        <v>430</v>
      </c>
      <c r="AL115" s="202"/>
      <c r="AN115" s="202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291"/>
      <c r="BD115" s="84"/>
      <c r="BK115" s="201"/>
    </row>
    <row r="116" spans="1:64" s="141" customFormat="1" ht="15.75" customHeight="1">
      <c r="A116" s="195"/>
      <c r="B116" s="84"/>
      <c r="I116" s="94"/>
      <c r="J116" s="199"/>
      <c r="K116" s="199"/>
      <c r="L116" s="199"/>
      <c r="M116" s="294" t="s">
        <v>421</v>
      </c>
      <c r="N116" s="202"/>
      <c r="O116" s="77" t="s">
        <v>413</v>
      </c>
      <c r="Q116" s="202"/>
      <c r="R116" s="202"/>
      <c r="S116" s="202"/>
      <c r="T116" s="77"/>
      <c r="U116" s="77" t="s">
        <v>430</v>
      </c>
      <c r="V116" s="77"/>
      <c r="W116" s="77"/>
      <c r="X116" s="77"/>
      <c r="Y116" s="77"/>
      <c r="Z116" s="292"/>
      <c r="AA116" s="293" t="s">
        <v>420</v>
      </c>
      <c r="AB116" s="202"/>
      <c r="AC116" s="202"/>
      <c r="AD116" s="77" t="s">
        <v>458</v>
      </c>
      <c r="AF116" s="202"/>
      <c r="AG116" s="202"/>
      <c r="AH116" s="202"/>
      <c r="AI116" s="202"/>
      <c r="AJ116" s="202"/>
      <c r="AK116" s="77" t="s">
        <v>430</v>
      </c>
      <c r="AL116" s="202"/>
      <c r="AM116" s="77"/>
      <c r="AN116" s="202"/>
      <c r="AO116" s="141" t="s">
        <v>459</v>
      </c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291"/>
      <c r="BD116" s="84"/>
      <c r="BK116" s="201"/>
    </row>
    <row r="117" spans="1:64" s="141" customFormat="1" ht="15.75" customHeight="1">
      <c r="A117" s="195"/>
      <c r="B117" s="84"/>
      <c r="I117" s="94"/>
      <c r="J117" s="199"/>
      <c r="K117" s="77"/>
      <c r="L117" s="77"/>
      <c r="M117" s="294" t="s">
        <v>421</v>
      </c>
      <c r="N117" s="77"/>
      <c r="O117" s="77" t="s">
        <v>427</v>
      </c>
      <c r="P117" s="77"/>
      <c r="Q117" s="77"/>
      <c r="R117" s="77"/>
      <c r="S117" s="77"/>
      <c r="T117" s="76"/>
      <c r="U117" s="202" t="s">
        <v>451</v>
      </c>
      <c r="V117" s="77"/>
      <c r="W117" s="77"/>
      <c r="X117" s="77"/>
      <c r="Y117" s="77"/>
      <c r="Z117" s="77"/>
      <c r="AA117" s="293" t="s">
        <v>420</v>
      </c>
      <c r="AB117" s="293"/>
      <c r="AC117" s="77"/>
      <c r="AD117" s="77" t="s">
        <v>403</v>
      </c>
      <c r="AE117" s="77"/>
      <c r="AF117" s="77"/>
      <c r="AG117" s="77"/>
      <c r="AH117" s="77"/>
      <c r="AI117" s="77"/>
      <c r="AJ117" s="77"/>
      <c r="AK117" s="202" t="s">
        <v>451</v>
      </c>
      <c r="AL117" s="77"/>
      <c r="AM117" s="77"/>
      <c r="AN117" s="77"/>
      <c r="AO117" s="77"/>
      <c r="AP117" s="77"/>
      <c r="AQ117" s="77" t="s">
        <v>459</v>
      </c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291"/>
      <c r="BD117" s="84"/>
      <c r="BK117" s="201"/>
    </row>
    <row r="118" spans="1:64" s="141" customFormat="1" ht="15.75" customHeight="1">
      <c r="A118" s="195"/>
      <c r="B118" s="84"/>
      <c r="I118" s="94"/>
      <c r="J118" s="199"/>
      <c r="K118" s="77"/>
      <c r="L118" s="77"/>
      <c r="M118" s="292" t="s">
        <v>421</v>
      </c>
      <c r="N118" s="77"/>
      <c r="O118" s="77" t="s">
        <v>460</v>
      </c>
      <c r="Q118" s="202"/>
      <c r="R118" s="202"/>
      <c r="S118" s="202"/>
      <c r="T118" s="77"/>
      <c r="U118" s="77" t="s">
        <v>430</v>
      </c>
      <c r="V118" s="77"/>
      <c r="W118" s="77"/>
      <c r="X118" s="77"/>
      <c r="Y118" s="77"/>
      <c r="Z118" s="292"/>
      <c r="AA118" s="293" t="s">
        <v>420</v>
      </c>
      <c r="AB118" s="202"/>
      <c r="AC118" s="202"/>
      <c r="AD118" s="77" t="s">
        <v>403</v>
      </c>
      <c r="AF118" s="202"/>
      <c r="AG118" s="202"/>
      <c r="AH118" s="202"/>
      <c r="AI118" s="202"/>
      <c r="AJ118" s="202"/>
      <c r="AK118" s="77" t="s">
        <v>430</v>
      </c>
      <c r="AL118" s="202"/>
      <c r="AM118" s="77"/>
      <c r="AN118" s="202"/>
      <c r="AO118" s="141" t="s">
        <v>459</v>
      </c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291"/>
      <c r="BD118" s="84"/>
      <c r="BK118" s="201"/>
    </row>
    <row r="119" spans="1:64" s="141" customFormat="1" ht="15.75" customHeight="1">
      <c r="A119" s="195"/>
      <c r="B119" s="84"/>
      <c r="I119" s="94"/>
      <c r="J119" s="199"/>
      <c r="K119" s="77"/>
      <c r="L119" s="77"/>
      <c r="M119" s="77"/>
      <c r="N119" s="77"/>
      <c r="O119" s="77"/>
      <c r="P119" s="77"/>
      <c r="Q119" s="77"/>
      <c r="R119" s="77"/>
      <c r="S119" s="77"/>
      <c r="T119" s="76"/>
      <c r="U119" s="76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291"/>
      <c r="BD119" s="84"/>
      <c r="BK119" s="201"/>
    </row>
    <row r="120" spans="1:64" s="141" customFormat="1" ht="15.75" customHeight="1">
      <c r="A120" s="195"/>
      <c r="B120" s="84"/>
      <c r="I120" s="94"/>
      <c r="J120" s="199"/>
      <c r="K120" s="77"/>
      <c r="L120" s="77"/>
      <c r="M120" s="77"/>
      <c r="N120" s="77"/>
      <c r="O120" s="77"/>
      <c r="P120" s="77"/>
      <c r="Q120" s="77"/>
      <c r="R120" s="77"/>
      <c r="S120" s="77"/>
      <c r="T120" s="76"/>
      <c r="U120" s="76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291"/>
      <c r="BD120" s="84"/>
      <c r="BK120" s="201"/>
    </row>
    <row r="121" spans="1:64" s="141" customFormat="1" ht="15.75" customHeight="1">
      <c r="A121" s="195"/>
      <c r="B121" s="84"/>
      <c r="I121" s="94"/>
      <c r="J121" s="199"/>
      <c r="K121" s="77"/>
      <c r="L121" s="77"/>
      <c r="M121" s="300" t="s">
        <v>461</v>
      </c>
      <c r="N121" s="300"/>
      <c r="O121" s="754" t="s">
        <v>470</v>
      </c>
      <c r="P121" s="300"/>
      <c r="Q121" s="300"/>
      <c r="R121" s="300"/>
      <c r="S121" s="300"/>
      <c r="T121" s="755"/>
      <c r="U121" s="756"/>
      <c r="V121" s="300"/>
      <c r="W121" s="300"/>
      <c r="X121" s="300"/>
      <c r="Y121" s="300"/>
      <c r="Z121" s="300"/>
      <c r="AA121" s="300"/>
      <c r="AB121" s="300"/>
      <c r="AC121" s="300"/>
      <c r="AD121" s="300"/>
      <c r="AE121" s="300"/>
      <c r="AF121" s="300"/>
      <c r="AG121" s="300"/>
      <c r="AH121" s="300"/>
      <c r="AI121" s="300"/>
      <c r="AJ121" s="300"/>
      <c r="AK121" s="300"/>
      <c r="AL121" s="300"/>
      <c r="AM121" s="300"/>
      <c r="AN121" s="300"/>
      <c r="AO121" s="300"/>
      <c r="AP121" s="300"/>
      <c r="AQ121" s="300"/>
      <c r="AR121" s="300"/>
      <c r="AS121" s="300"/>
      <c r="AT121" s="300"/>
      <c r="AU121" s="300"/>
      <c r="AV121" s="300"/>
      <c r="AW121" s="300"/>
      <c r="AX121" s="300"/>
      <c r="AY121" s="77"/>
      <c r="AZ121" s="77"/>
      <c r="BA121" s="77"/>
      <c r="BB121" s="291"/>
      <c r="BD121" s="84"/>
      <c r="BK121" s="201"/>
    </row>
    <row r="122" spans="1:64" s="141" customFormat="1" ht="15.75" customHeight="1">
      <c r="A122" s="195"/>
      <c r="B122" s="84"/>
      <c r="I122" s="94"/>
      <c r="J122" s="199"/>
      <c r="K122" s="77"/>
      <c r="L122" s="77"/>
      <c r="M122" s="300"/>
      <c r="N122" s="300"/>
      <c r="O122" s="754" t="s">
        <v>471</v>
      </c>
      <c r="P122" s="300"/>
      <c r="Q122" s="300"/>
      <c r="R122" s="300"/>
      <c r="S122" s="300"/>
      <c r="T122" s="755"/>
      <c r="U122" s="756"/>
      <c r="V122" s="300"/>
      <c r="W122" s="300"/>
      <c r="X122" s="300"/>
      <c r="Y122" s="300"/>
      <c r="Z122" s="300"/>
      <c r="AA122" s="300"/>
      <c r="AB122" s="300"/>
      <c r="AC122" s="300"/>
      <c r="AD122" s="300"/>
      <c r="AE122" s="300"/>
      <c r="AF122" s="300"/>
      <c r="AG122" s="300"/>
      <c r="AH122" s="300"/>
      <c r="AI122" s="300"/>
      <c r="AJ122" s="300"/>
      <c r="AK122" s="300"/>
      <c r="AL122" s="300"/>
      <c r="AM122" s="300"/>
      <c r="AN122" s="300"/>
      <c r="AO122" s="300"/>
      <c r="AP122" s="300"/>
      <c r="AQ122" s="300"/>
      <c r="AR122" s="300"/>
      <c r="AS122" s="300"/>
      <c r="AT122" s="300"/>
      <c r="AU122" s="300"/>
      <c r="AV122" s="300"/>
      <c r="AW122" s="300"/>
      <c r="AX122" s="300"/>
      <c r="AY122" s="77"/>
      <c r="AZ122" s="77"/>
      <c r="BA122" s="77"/>
      <c r="BB122" s="291"/>
      <c r="BD122" s="84"/>
      <c r="BK122" s="201"/>
    </row>
    <row r="123" spans="1:64" s="141" customFormat="1" ht="15.75" customHeight="1">
      <c r="A123" s="195"/>
      <c r="B123" s="84"/>
      <c r="I123" s="94"/>
      <c r="J123" s="199"/>
      <c r="K123" s="77"/>
      <c r="L123" s="77"/>
      <c r="M123" s="300"/>
      <c r="N123" s="300"/>
      <c r="O123" s="754" t="s">
        <v>473</v>
      </c>
      <c r="P123" s="300"/>
      <c r="Q123" s="300"/>
      <c r="R123" s="300"/>
      <c r="S123" s="300"/>
      <c r="T123" s="755"/>
      <c r="U123" s="755"/>
      <c r="V123" s="300"/>
      <c r="W123" s="300"/>
      <c r="X123" s="300"/>
      <c r="Y123" s="300"/>
      <c r="Z123" s="300"/>
      <c r="AA123" s="300"/>
      <c r="AB123" s="300"/>
      <c r="AC123" s="300"/>
      <c r="AD123" s="300"/>
      <c r="AE123" s="300"/>
      <c r="AF123" s="300"/>
      <c r="AG123" s="300"/>
      <c r="AH123" s="300"/>
      <c r="AI123" s="300"/>
      <c r="AJ123" s="300"/>
      <c r="AK123" s="300"/>
      <c r="AL123" s="300"/>
      <c r="AM123" s="300"/>
      <c r="AN123" s="300"/>
      <c r="AO123" s="300"/>
      <c r="AP123" s="300"/>
      <c r="AQ123" s="300"/>
      <c r="AR123" s="300"/>
      <c r="AS123" s="300"/>
      <c r="AT123" s="300"/>
      <c r="AU123" s="300"/>
      <c r="AV123" s="300"/>
      <c r="AW123" s="300"/>
      <c r="AX123" s="300"/>
      <c r="AY123" s="77"/>
      <c r="AZ123" s="77"/>
      <c r="BA123" s="77"/>
      <c r="BB123" s="291"/>
      <c r="BD123" s="84"/>
      <c r="BK123" s="201"/>
    </row>
    <row r="124" spans="1:64" s="141" customFormat="1" ht="15.75" customHeight="1">
      <c r="A124" s="195"/>
      <c r="B124" s="84"/>
      <c r="I124" s="94"/>
      <c r="J124" s="199"/>
      <c r="K124" s="77"/>
      <c r="L124" s="77"/>
      <c r="M124" s="77"/>
      <c r="N124" s="77"/>
      <c r="O124" s="77"/>
      <c r="P124" s="77"/>
      <c r="Q124" s="77"/>
      <c r="R124" s="77"/>
      <c r="S124" s="77"/>
      <c r="T124" s="76"/>
      <c r="U124" s="76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291"/>
      <c r="BD124" s="84"/>
      <c r="BK124" s="201"/>
    </row>
    <row r="125" spans="1:64" s="141" customFormat="1" ht="15.75" customHeight="1">
      <c r="A125" s="195"/>
      <c r="B125" s="84"/>
      <c r="I125" s="94"/>
      <c r="J125" s="199"/>
      <c r="K125" s="77"/>
      <c r="L125" s="77"/>
      <c r="M125" s="77"/>
      <c r="N125" s="77"/>
      <c r="O125" s="77"/>
      <c r="P125" s="77"/>
      <c r="Q125" s="77"/>
      <c r="R125" s="77"/>
      <c r="S125" s="77"/>
      <c r="T125" s="76"/>
      <c r="U125" s="76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291"/>
      <c r="BD125" s="84"/>
      <c r="BK125" s="201"/>
    </row>
    <row r="126" spans="1:64" s="141" customFormat="1" ht="15.75" customHeight="1">
      <c r="A126" s="195" t="s">
        <v>393</v>
      </c>
      <c r="B126" s="196" t="s">
        <v>394</v>
      </c>
      <c r="C126" s="196"/>
      <c r="D126" s="196"/>
      <c r="E126" s="196"/>
      <c r="F126" s="196"/>
      <c r="G126" s="196"/>
      <c r="H126" s="196"/>
      <c r="I126" s="196"/>
      <c r="J126" s="196"/>
      <c r="K126" s="196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  <c r="AS126" s="197"/>
      <c r="AT126" s="197"/>
      <c r="AU126" s="197"/>
      <c r="AV126" s="197"/>
      <c r="AW126" s="197"/>
      <c r="AX126" s="197"/>
      <c r="AY126" s="197"/>
      <c r="AZ126" s="197"/>
      <c r="BA126" s="197"/>
      <c r="BB126" s="197"/>
      <c r="BC126" s="197"/>
      <c r="BD126" s="197"/>
      <c r="BE126" s="197"/>
      <c r="BF126" s="197"/>
      <c r="BG126" s="197"/>
      <c r="BH126" s="197"/>
      <c r="BI126" s="197"/>
      <c r="BJ126" s="197"/>
      <c r="BK126" s="198"/>
      <c r="BL126" s="69"/>
    </row>
    <row r="127" spans="1:64" ht="15.75" customHeight="1">
      <c r="A127" s="195"/>
      <c r="B127" s="84"/>
      <c r="C127" s="141"/>
      <c r="D127" s="141"/>
      <c r="E127" s="141"/>
      <c r="F127" s="141"/>
      <c r="G127" s="141"/>
      <c r="H127" s="141"/>
      <c r="I127" s="94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199"/>
      <c r="AE127" s="199"/>
      <c r="AF127" s="199"/>
      <c r="AG127" s="199"/>
      <c r="AH127" s="199"/>
      <c r="AI127" s="199"/>
      <c r="AJ127" s="199"/>
      <c r="AK127" s="199"/>
      <c r="AL127" s="199"/>
      <c r="AM127" s="199"/>
      <c r="AN127" s="199"/>
      <c r="AO127" s="200"/>
      <c r="AP127" s="200"/>
      <c r="AQ127" s="200"/>
      <c r="AR127" s="200"/>
      <c r="AS127" s="141"/>
      <c r="AT127" s="141"/>
      <c r="AU127" s="141"/>
      <c r="AV127" s="141"/>
      <c r="AW127" s="141"/>
      <c r="AX127" s="141"/>
      <c r="AY127" s="141"/>
      <c r="AZ127" s="141"/>
      <c r="BA127" s="141"/>
      <c r="BB127" s="141"/>
      <c r="BC127" s="141"/>
      <c r="BD127" s="84"/>
      <c r="BE127" s="141"/>
      <c r="BF127" s="141"/>
      <c r="BG127" s="141"/>
      <c r="BH127" s="141"/>
      <c r="BI127" s="141"/>
      <c r="BJ127" s="141"/>
      <c r="BK127" s="201"/>
    </row>
    <row r="128" spans="1:64" ht="15.75" customHeight="1">
      <c r="A128" s="195"/>
      <c r="B128" s="84"/>
      <c r="C128" s="141"/>
      <c r="D128" s="141"/>
      <c r="E128" s="141"/>
      <c r="F128" s="141"/>
      <c r="G128" s="141"/>
      <c r="H128" s="141"/>
      <c r="I128" s="94"/>
      <c r="J128" s="77" t="s">
        <v>462</v>
      </c>
      <c r="K128" s="202"/>
      <c r="L128" s="202"/>
      <c r="M128" s="141"/>
      <c r="N128" s="202"/>
      <c r="O128" s="202"/>
      <c r="P128" s="202"/>
      <c r="Q128" s="202"/>
      <c r="R128" s="202"/>
      <c r="S128" s="202"/>
      <c r="T128" s="202"/>
      <c r="U128" s="202"/>
      <c r="V128" s="202"/>
      <c r="X128" s="77" t="s">
        <v>463</v>
      </c>
      <c r="AM128" s="199"/>
      <c r="AN128" s="199"/>
      <c r="AO128" s="200"/>
      <c r="AP128" s="200"/>
      <c r="AQ128" s="200"/>
      <c r="AR128" s="200"/>
      <c r="AS128" s="141"/>
      <c r="AT128" s="141"/>
      <c r="AU128" s="141"/>
      <c r="AV128" s="141"/>
      <c r="AW128" s="141"/>
      <c r="AX128" s="141"/>
      <c r="AY128" s="141"/>
      <c r="AZ128" s="141"/>
      <c r="BA128" s="141"/>
      <c r="BB128" s="141"/>
      <c r="BC128" s="141"/>
      <c r="BD128" s="84"/>
      <c r="BE128" s="141"/>
      <c r="BF128" s="141"/>
      <c r="BG128" s="141"/>
      <c r="BH128" s="141"/>
      <c r="BI128" s="141"/>
      <c r="BJ128" s="141"/>
      <c r="BK128" s="201"/>
    </row>
    <row r="129" spans="1:63" ht="15.75" customHeight="1">
      <c r="A129" s="195"/>
      <c r="B129" s="84"/>
      <c r="C129" s="141"/>
      <c r="D129" s="141"/>
      <c r="E129" s="141"/>
      <c r="F129" s="141"/>
      <c r="G129" s="141"/>
      <c r="H129" s="141"/>
      <c r="I129" s="94"/>
      <c r="K129" s="202"/>
      <c r="L129" s="202" t="s">
        <v>467</v>
      </c>
      <c r="M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  <c r="AC129" s="202"/>
      <c r="AD129" s="202"/>
      <c r="AE129" s="202"/>
      <c r="AF129" s="202"/>
      <c r="AG129" s="202"/>
      <c r="AH129" s="202"/>
      <c r="AI129" s="202"/>
      <c r="AJ129" s="202"/>
      <c r="AK129" s="202"/>
      <c r="AL129" s="202"/>
      <c r="AM129" s="199"/>
      <c r="AN129" s="199"/>
      <c r="AO129" s="200"/>
      <c r="AP129" s="200"/>
      <c r="AQ129" s="200"/>
      <c r="AR129" s="200"/>
      <c r="AS129" s="141"/>
      <c r="AT129" s="141"/>
      <c r="AU129" s="141"/>
      <c r="AV129" s="141"/>
      <c r="AW129" s="141"/>
      <c r="AX129" s="141"/>
      <c r="AY129" s="141"/>
      <c r="AZ129" s="141"/>
      <c r="BA129" s="141"/>
      <c r="BB129" s="141"/>
      <c r="BC129" s="141"/>
      <c r="BD129" s="84"/>
      <c r="BE129" s="141"/>
      <c r="BF129" s="141"/>
      <c r="BG129" s="141"/>
      <c r="BH129" s="141"/>
      <c r="BI129" s="141"/>
      <c r="BJ129" s="141"/>
      <c r="BK129" s="201"/>
    </row>
    <row r="130" spans="1:63" ht="15.75" customHeight="1">
      <c r="A130" s="195"/>
      <c r="B130" s="84"/>
      <c r="C130" s="141"/>
      <c r="D130" s="141"/>
      <c r="E130" s="141"/>
      <c r="F130" s="141"/>
      <c r="G130" s="141"/>
      <c r="H130" s="141"/>
      <c r="I130" s="94"/>
      <c r="K130" s="202"/>
      <c r="L130" s="202" t="s">
        <v>466</v>
      </c>
      <c r="M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199"/>
      <c r="AN130" s="199"/>
      <c r="AO130" s="200"/>
      <c r="AP130" s="200"/>
      <c r="AQ130" s="200"/>
      <c r="AR130" s="200"/>
      <c r="AS130" s="141"/>
      <c r="AT130" s="141"/>
      <c r="AU130" s="141"/>
      <c r="AV130" s="141"/>
      <c r="AW130" s="141"/>
      <c r="AX130" s="141"/>
      <c r="AY130" s="141"/>
      <c r="AZ130" s="141"/>
      <c r="BA130" s="141"/>
      <c r="BB130" s="141"/>
      <c r="BC130" s="141"/>
      <c r="BD130" s="84"/>
      <c r="BE130" s="141"/>
      <c r="BF130" s="141"/>
      <c r="BG130" s="141"/>
      <c r="BH130" s="141"/>
      <c r="BI130" s="141"/>
      <c r="BJ130" s="141"/>
      <c r="BK130" s="201"/>
    </row>
    <row r="131" spans="1:63" ht="15.75" customHeight="1">
      <c r="A131" s="195"/>
      <c r="B131" s="84"/>
      <c r="C131" s="141"/>
      <c r="D131" s="141"/>
      <c r="E131" s="141"/>
      <c r="F131" s="141"/>
      <c r="G131" s="141"/>
      <c r="H131" s="141"/>
      <c r="I131" s="94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202"/>
      <c r="X131" s="202"/>
      <c r="Y131" s="202"/>
      <c r="Z131" s="202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2"/>
      <c r="AL131" s="202"/>
      <c r="AM131" s="199"/>
      <c r="AN131" s="199"/>
      <c r="AO131" s="200"/>
      <c r="AP131" s="200"/>
      <c r="AQ131" s="200"/>
      <c r="AR131" s="200"/>
      <c r="AS131" s="141"/>
      <c r="AT131" s="141"/>
      <c r="AU131" s="141"/>
      <c r="AV131" s="141"/>
      <c r="AW131" s="141"/>
      <c r="AX131" s="141"/>
      <c r="AY131" s="141"/>
      <c r="AZ131" s="141"/>
      <c r="BA131" s="141"/>
      <c r="BB131" s="141"/>
      <c r="BC131" s="141"/>
      <c r="BD131" s="84"/>
      <c r="BE131" s="141"/>
      <c r="BF131" s="141"/>
      <c r="BG131" s="141"/>
      <c r="BH131" s="141"/>
      <c r="BI131" s="141"/>
      <c r="BJ131" s="141"/>
      <c r="BK131" s="201"/>
    </row>
    <row r="132" spans="1:63" ht="15.75" customHeight="1">
      <c r="A132" s="195"/>
      <c r="B132" s="84"/>
      <c r="C132" s="141"/>
      <c r="D132" s="141"/>
      <c r="E132" s="141"/>
      <c r="F132" s="141"/>
      <c r="G132" s="141"/>
      <c r="H132" s="141"/>
      <c r="I132" s="94"/>
      <c r="J132" s="77" t="s">
        <v>464</v>
      </c>
      <c r="X132" s="77" t="s">
        <v>463</v>
      </c>
      <c r="AM132" s="199"/>
      <c r="AN132" s="199"/>
      <c r="AO132" s="200"/>
      <c r="AP132" s="200"/>
      <c r="AQ132" s="200"/>
      <c r="AR132" s="200"/>
      <c r="AS132" s="141"/>
      <c r="AT132" s="141"/>
      <c r="AU132" s="141"/>
      <c r="AV132" s="141"/>
      <c r="AW132" s="141"/>
      <c r="AX132" s="141"/>
      <c r="AY132" s="141"/>
      <c r="AZ132" s="141"/>
      <c r="BA132" s="141"/>
      <c r="BB132" s="141"/>
      <c r="BC132" s="141"/>
      <c r="BD132" s="84"/>
      <c r="BE132" s="141"/>
      <c r="BF132" s="141"/>
      <c r="BG132" s="141"/>
      <c r="BH132" s="141"/>
      <c r="BI132" s="141"/>
      <c r="BJ132" s="141"/>
      <c r="BK132" s="201"/>
    </row>
    <row r="133" spans="1:63" ht="15.75" customHeight="1">
      <c r="A133" s="195"/>
      <c r="B133" s="84"/>
      <c r="C133" s="141"/>
      <c r="D133" s="141"/>
      <c r="E133" s="141"/>
      <c r="F133" s="141"/>
      <c r="G133" s="141"/>
      <c r="H133" s="141"/>
      <c r="I133" s="94"/>
      <c r="L133" s="77" t="s">
        <v>350</v>
      </c>
      <c r="AM133" s="199"/>
      <c r="AN133" s="199"/>
      <c r="AO133" s="200"/>
      <c r="AP133" s="200"/>
      <c r="AQ133" s="200"/>
      <c r="AR133" s="200"/>
      <c r="AS133" s="141"/>
      <c r="AT133" s="141"/>
      <c r="AU133" s="141"/>
      <c r="AV133" s="141"/>
      <c r="AW133" s="141"/>
      <c r="AX133" s="141"/>
      <c r="AY133" s="141"/>
      <c r="AZ133" s="141"/>
      <c r="BA133" s="141"/>
      <c r="BB133" s="141"/>
      <c r="BC133" s="141"/>
      <c r="BD133" s="84"/>
      <c r="BE133" s="141"/>
      <c r="BF133" s="141"/>
      <c r="BG133" s="141"/>
      <c r="BH133" s="141"/>
      <c r="BI133" s="141"/>
      <c r="BJ133" s="141"/>
      <c r="BK133" s="201"/>
    </row>
    <row r="134" spans="1:63" ht="15.75" customHeight="1">
      <c r="A134" s="195"/>
      <c r="B134" s="84"/>
      <c r="C134" s="141"/>
      <c r="D134" s="141"/>
      <c r="E134" s="141"/>
      <c r="F134" s="141"/>
      <c r="G134" s="141"/>
      <c r="H134" s="141"/>
      <c r="I134" s="94"/>
      <c r="L134" s="77" t="s">
        <v>210</v>
      </c>
      <c r="AM134" s="199"/>
      <c r="AN134" s="199"/>
      <c r="AO134" s="200"/>
      <c r="AP134" s="200"/>
      <c r="AQ134" s="200"/>
      <c r="AR134" s="200"/>
      <c r="AS134" s="141"/>
      <c r="AT134" s="141"/>
      <c r="AU134" s="141"/>
      <c r="AV134" s="141"/>
      <c r="AW134" s="141"/>
      <c r="AX134" s="141"/>
      <c r="AY134" s="141"/>
      <c r="AZ134" s="141"/>
      <c r="BA134" s="141"/>
      <c r="BB134" s="141"/>
      <c r="BC134" s="141"/>
      <c r="BD134" s="84"/>
      <c r="BE134" s="141"/>
      <c r="BF134" s="141"/>
      <c r="BG134" s="141"/>
      <c r="BH134" s="141"/>
      <c r="BI134" s="141"/>
      <c r="BJ134" s="141"/>
      <c r="BK134" s="201"/>
    </row>
    <row r="135" spans="1:63" ht="15.75" customHeight="1">
      <c r="A135" s="195"/>
      <c r="B135" s="84"/>
      <c r="C135" s="141"/>
      <c r="D135" s="141"/>
      <c r="E135" s="141"/>
      <c r="F135" s="141"/>
      <c r="G135" s="141"/>
      <c r="H135" s="141"/>
      <c r="I135" s="94"/>
      <c r="AM135" s="199"/>
      <c r="AN135" s="199"/>
      <c r="AO135" s="200"/>
      <c r="AP135" s="200"/>
      <c r="AQ135" s="200"/>
      <c r="AR135" s="200"/>
      <c r="AS135" s="141"/>
      <c r="AT135" s="141"/>
      <c r="AU135" s="141"/>
      <c r="AV135" s="141"/>
      <c r="AW135" s="141"/>
      <c r="AX135" s="141"/>
      <c r="AY135" s="141"/>
      <c r="AZ135" s="141"/>
      <c r="BA135" s="141"/>
      <c r="BB135" s="141"/>
      <c r="BC135" s="141"/>
      <c r="BD135" s="84"/>
      <c r="BE135" s="141"/>
      <c r="BF135" s="141"/>
      <c r="BG135" s="141"/>
      <c r="BH135" s="141"/>
      <c r="BI135" s="141"/>
      <c r="BJ135" s="141"/>
      <c r="BK135" s="201"/>
    </row>
    <row r="136" spans="1:63" ht="15.75" customHeight="1">
      <c r="A136" s="195"/>
      <c r="B136" s="84"/>
      <c r="C136" s="141"/>
      <c r="D136" s="141"/>
      <c r="E136" s="141"/>
      <c r="F136" s="141"/>
      <c r="G136" s="141"/>
      <c r="H136" s="141"/>
      <c r="I136" s="94"/>
      <c r="AM136" s="199"/>
      <c r="AN136" s="199"/>
      <c r="AO136" s="200"/>
      <c r="AP136" s="200"/>
      <c r="AQ136" s="200"/>
      <c r="AR136" s="200"/>
      <c r="AS136" s="141"/>
      <c r="AT136" s="141"/>
      <c r="AU136" s="141"/>
      <c r="AV136" s="141"/>
      <c r="AW136" s="141"/>
      <c r="AX136" s="141"/>
      <c r="AY136" s="141"/>
      <c r="AZ136" s="141"/>
      <c r="BA136" s="141"/>
      <c r="BB136" s="141"/>
      <c r="BC136" s="141"/>
      <c r="BD136" s="84"/>
      <c r="BE136" s="141"/>
      <c r="BF136" s="141"/>
      <c r="BG136" s="141"/>
      <c r="BH136" s="141"/>
      <c r="BI136" s="141"/>
      <c r="BJ136" s="141"/>
      <c r="BK136" s="201"/>
    </row>
    <row r="137" spans="1:63" ht="15.75" customHeight="1">
      <c r="A137" s="195"/>
      <c r="B137" s="84"/>
      <c r="C137" s="141"/>
      <c r="D137" s="141"/>
      <c r="E137" s="141"/>
      <c r="F137" s="141"/>
      <c r="G137" s="141"/>
      <c r="H137" s="141"/>
      <c r="I137" s="94"/>
      <c r="J137" s="77" t="s">
        <v>465</v>
      </c>
      <c r="AM137" s="199"/>
      <c r="AN137" s="199"/>
      <c r="AO137" s="200"/>
      <c r="AP137" s="200"/>
      <c r="AQ137" s="200"/>
      <c r="AR137" s="200"/>
      <c r="AS137" s="141"/>
      <c r="AT137" s="141"/>
      <c r="AU137" s="141"/>
      <c r="AV137" s="141"/>
      <c r="AW137" s="141"/>
      <c r="AX137" s="141"/>
      <c r="AY137" s="141"/>
      <c r="AZ137" s="141"/>
      <c r="BA137" s="141"/>
      <c r="BB137" s="141"/>
      <c r="BC137" s="141"/>
      <c r="BD137" s="84"/>
      <c r="BE137" s="141"/>
      <c r="BF137" s="141"/>
      <c r="BG137" s="141"/>
      <c r="BH137" s="141"/>
      <c r="BI137" s="141"/>
      <c r="BJ137" s="141"/>
      <c r="BK137" s="201"/>
    </row>
    <row r="138" spans="1:63" ht="15.75" customHeight="1">
      <c r="A138" s="195"/>
      <c r="B138" s="84"/>
      <c r="C138" s="141"/>
      <c r="D138" s="141"/>
      <c r="E138" s="141"/>
      <c r="F138" s="141"/>
      <c r="G138" s="141"/>
      <c r="H138" s="141"/>
      <c r="I138" s="94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199"/>
      <c r="AE138" s="199"/>
      <c r="AF138" s="199"/>
      <c r="AG138" s="199"/>
      <c r="AH138" s="199"/>
      <c r="AI138" s="199"/>
      <c r="AJ138" s="199"/>
      <c r="AK138" s="199"/>
      <c r="AL138" s="199"/>
      <c r="AM138" s="199"/>
      <c r="AN138" s="199"/>
      <c r="AO138" s="200"/>
      <c r="AP138" s="200"/>
      <c r="AQ138" s="200"/>
      <c r="AR138" s="200"/>
      <c r="AS138" s="141"/>
      <c r="AT138" s="141"/>
      <c r="AU138" s="141"/>
      <c r="AV138" s="141"/>
      <c r="AW138" s="141"/>
      <c r="AX138" s="141"/>
      <c r="AY138" s="141"/>
      <c r="AZ138" s="141"/>
      <c r="BA138" s="141"/>
      <c r="BB138" s="141"/>
      <c r="BC138" s="141"/>
      <c r="BD138" s="84"/>
      <c r="BE138" s="141"/>
      <c r="BF138" s="141"/>
      <c r="BG138" s="141"/>
      <c r="BH138" s="141"/>
      <c r="BI138" s="141"/>
      <c r="BJ138" s="141"/>
      <c r="BK138" s="201"/>
    </row>
    <row r="139" spans="1:63" s="141" customFormat="1" ht="15.75" customHeight="1">
      <c r="A139" s="195"/>
      <c r="B139" s="84"/>
      <c r="I139" s="94"/>
      <c r="J139" s="199"/>
      <c r="K139" s="77"/>
      <c r="L139" s="77"/>
      <c r="M139" s="77"/>
      <c r="N139" s="77"/>
      <c r="O139" s="77"/>
      <c r="P139" s="77"/>
      <c r="Q139" s="77"/>
      <c r="R139" s="77"/>
      <c r="S139" s="77"/>
      <c r="T139" s="76"/>
      <c r="U139" s="76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291"/>
      <c r="BD139" s="84"/>
      <c r="BK139" s="201"/>
    </row>
  </sheetData>
  <mergeCells count="23">
    <mergeCell ref="K3:T3"/>
    <mergeCell ref="U3:Y3"/>
    <mergeCell ref="Z3:AD3"/>
    <mergeCell ref="AE3:AR3"/>
    <mergeCell ref="A1:J3"/>
    <mergeCell ref="K1:T1"/>
    <mergeCell ref="U1:Y1"/>
    <mergeCell ref="Z1:AD1"/>
    <mergeCell ref="AE1:AI1"/>
    <mergeCell ref="K2:T2"/>
    <mergeCell ref="U2:Y2"/>
    <mergeCell ref="Z2:AD2"/>
    <mergeCell ref="AE2:AI2"/>
    <mergeCell ref="AJ2:AR2"/>
    <mergeCell ref="AM69:BA69"/>
    <mergeCell ref="AM112:BA112"/>
    <mergeCell ref="AS1:AY1"/>
    <mergeCell ref="AZ1:BE1"/>
    <mergeCell ref="BF1:BK1"/>
    <mergeCell ref="AS2:AY3"/>
    <mergeCell ref="AZ2:BE3"/>
    <mergeCell ref="AJ1:AR1"/>
    <mergeCell ref="BF2:BK3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DEFC-8227-4B6F-A74B-99CB068DCFF0}">
  <sheetPr codeName="Sheet5">
    <pageSetUpPr fitToPage="1"/>
  </sheetPr>
  <dimension ref="A1:BK88"/>
  <sheetViews>
    <sheetView showGridLines="0" showZeros="0" view="pageBreakPreview" zoomScaleNormal="100" zoomScaleSheetLayoutView="100" workbookViewId="0">
      <pane ySplit="4" topLeftCell="A5" activePane="bottomLeft" state="frozen"/>
      <selection activeCell="F41" sqref="F41:BB42"/>
      <selection pane="bottomLeft" sqref="A1:J3"/>
    </sheetView>
  </sheetViews>
  <sheetFormatPr defaultColWidth="9" defaultRowHeight="15.75" customHeight="1"/>
  <cols>
    <col min="1" max="2" width="2.125" style="77" customWidth="1"/>
    <col min="3" max="3" width="2.375" style="76" customWidth="1"/>
    <col min="4" max="4" width="2.125" style="76" customWidth="1"/>
    <col min="5" max="5" width="3" style="76" customWidth="1"/>
    <col min="6" max="9" width="2.125" style="77" customWidth="1"/>
    <col min="10" max="10" width="2.125" style="76" customWidth="1"/>
    <col min="11" max="16" width="2.125" style="77" customWidth="1"/>
    <col min="17" max="17" width="2.125" style="100" customWidth="1"/>
    <col min="18" max="62" width="2.125" style="77" customWidth="1"/>
    <col min="63" max="63" width="2.25" style="77" customWidth="1"/>
    <col min="64" max="16384" width="9" style="77"/>
  </cols>
  <sheetData>
    <row r="1" spans="1:63" s="74" customFormat="1" ht="15.75" customHeight="1">
      <c r="A1" s="678" t="str">
        <f>表紙!A54</f>
        <v>Webシステム</v>
      </c>
      <c r="B1" s="679"/>
      <c r="C1" s="679"/>
      <c r="D1" s="679"/>
      <c r="E1" s="679"/>
      <c r="F1" s="679"/>
      <c r="G1" s="679"/>
      <c r="H1" s="679"/>
      <c r="I1" s="679"/>
      <c r="J1" s="680"/>
      <c r="K1" s="722" t="s">
        <v>128</v>
      </c>
      <c r="L1" s="723"/>
      <c r="M1" s="723"/>
      <c r="N1" s="723"/>
      <c r="O1" s="723"/>
      <c r="P1" s="723"/>
      <c r="Q1" s="723"/>
      <c r="R1" s="723"/>
      <c r="S1" s="723"/>
      <c r="T1" s="724"/>
      <c r="U1" s="725" t="s">
        <v>142</v>
      </c>
      <c r="V1" s="726"/>
      <c r="W1" s="726"/>
      <c r="X1" s="726"/>
      <c r="Y1" s="727"/>
      <c r="Z1" s="728" t="str">
        <f>表紙!$AJ$63</f>
        <v>MS</v>
      </c>
      <c r="AA1" s="729"/>
      <c r="AB1" s="729"/>
      <c r="AC1" s="729"/>
      <c r="AD1" s="730"/>
      <c r="AE1" s="737" t="s">
        <v>131</v>
      </c>
      <c r="AF1" s="689"/>
      <c r="AG1" s="689"/>
      <c r="AH1" s="689"/>
      <c r="AI1" s="690"/>
      <c r="AJ1" s="675" t="str">
        <f>表紙!$AX$63</f>
        <v>Webシステム</v>
      </c>
      <c r="AK1" s="676"/>
      <c r="AL1" s="676"/>
      <c r="AM1" s="676"/>
      <c r="AN1" s="676"/>
      <c r="AO1" s="676"/>
      <c r="AP1" s="676"/>
      <c r="AQ1" s="676"/>
      <c r="AR1" s="677"/>
      <c r="AS1" s="687" t="s">
        <v>101</v>
      </c>
      <c r="AT1" s="687"/>
      <c r="AU1" s="687"/>
      <c r="AV1" s="687"/>
      <c r="AW1" s="687"/>
      <c r="AX1" s="687"/>
      <c r="AY1" s="687"/>
      <c r="AZ1" s="688" t="s">
        <v>122</v>
      </c>
      <c r="BA1" s="689"/>
      <c r="BB1" s="689"/>
      <c r="BC1" s="689"/>
      <c r="BD1" s="689"/>
      <c r="BE1" s="690"/>
      <c r="BF1" s="688" t="s">
        <v>143</v>
      </c>
      <c r="BG1" s="689"/>
      <c r="BH1" s="689"/>
      <c r="BI1" s="689"/>
      <c r="BJ1" s="689"/>
      <c r="BK1" s="691"/>
    </row>
    <row r="2" spans="1:63" s="74" customFormat="1" ht="15.75" customHeight="1">
      <c r="A2" s="681"/>
      <c r="B2" s="682"/>
      <c r="C2" s="682"/>
      <c r="D2" s="682"/>
      <c r="E2" s="682"/>
      <c r="F2" s="682"/>
      <c r="G2" s="682"/>
      <c r="H2" s="682"/>
      <c r="I2" s="682"/>
      <c r="J2" s="683"/>
      <c r="K2" s="692" t="str">
        <f>表紙!O64</f>
        <v>アドオン設計書</v>
      </c>
      <c r="L2" s="693"/>
      <c r="M2" s="693"/>
      <c r="N2" s="693"/>
      <c r="O2" s="693"/>
      <c r="P2" s="693"/>
      <c r="Q2" s="693"/>
      <c r="R2" s="693"/>
      <c r="S2" s="693"/>
      <c r="T2" s="694"/>
      <c r="U2" s="695" t="s">
        <v>144</v>
      </c>
      <c r="V2" s="696"/>
      <c r="W2" s="696"/>
      <c r="X2" s="696"/>
      <c r="Y2" s="697"/>
      <c r="Z2" s="731" t="str">
        <f>表紙!$AJ$64</f>
        <v>MSBB</v>
      </c>
      <c r="AA2" s="732"/>
      <c r="AB2" s="732"/>
      <c r="AC2" s="732"/>
      <c r="AD2" s="733"/>
      <c r="AE2" s="734" t="s">
        <v>136</v>
      </c>
      <c r="AF2" s="735"/>
      <c r="AG2" s="735"/>
      <c r="AH2" s="735"/>
      <c r="AI2" s="736"/>
      <c r="AJ2" s="714" t="str">
        <f>表紙!$AX$64</f>
        <v>販売Webシステム</v>
      </c>
      <c r="AK2" s="715"/>
      <c r="AL2" s="715"/>
      <c r="AM2" s="715"/>
      <c r="AN2" s="715"/>
      <c r="AO2" s="715"/>
      <c r="AP2" s="715"/>
      <c r="AQ2" s="715"/>
      <c r="AR2" s="716"/>
      <c r="AS2" s="717" t="str">
        <f>表紙!$BL$64</f>
        <v>972501-0-0001</v>
      </c>
      <c r="AT2" s="718"/>
      <c r="AU2" s="718"/>
      <c r="AV2" s="718"/>
      <c r="AW2" s="718"/>
      <c r="AX2" s="718"/>
      <c r="AY2" s="718"/>
      <c r="AZ2" s="720" t="str">
        <f>表紙!$BU$64</f>
        <v>7.0.2</v>
      </c>
      <c r="BA2" s="693"/>
      <c r="BB2" s="693"/>
      <c r="BC2" s="693"/>
      <c r="BD2" s="693"/>
      <c r="BE2" s="694"/>
      <c r="BF2" s="698">
        <f>表紙!$CB$64</f>
        <v>1</v>
      </c>
      <c r="BG2" s="693"/>
      <c r="BH2" s="693"/>
      <c r="BI2" s="693"/>
      <c r="BJ2" s="693"/>
      <c r="BK2" s="699"/>
    </row>
    <row r="3" spans="1:63" s="74" customFormat="1" ht="15.75" customHeight="1" thickBot="1">
      <c r="A3" s="684"/>
      <c r="B3" s="685"/>
      <c r="C3" s="685"/>
      <c r="D3" s="685"/>
      <c r="E3" s="685"/>
      <c r="F3" s="685"/>
      <c r="G3" s="685"/>
      <c r="H3" s="685"/>
      <c r="I3" s="685"/>
      <c r="J3" s="686"/>
      <c r="K3" s="703" t="str">
        <f ca="1">RIGHT(CELL("filename",$A$1),LEN(CELL("filename",$A$1))-FIND("]",CELL("filename",$A$1)))</f>
        <v>出力元画面</v>
      </c>
      <c r="L3" s="704"/>
      <c r="M3" s="704"/>
      <c r="N3" s="704"/>
      <c r="O3" s="704"/>
      <c r="P3" s="704"/>
      <c r="Q3" s="704"/>
      <c r="R3" s="704"/>
      <c r="S3" s="704"/>
      <c r="T3" s="705"/>
      <c r="U3" s="706" t="s">
        <v>140</v>
      </c>
      <c r="V3" s="707"/>
      <c r="W3" s="707"/>
      <c r="X3" s="707"/>
      <c r="Y3" s="708"/>
      <c r="Z3" s="709" t="str">
        <f>表紙!$AJ$65</f>
        <v>MSBBRA050</v>
      </c>
      <c r="AA3" s="710"/>
      <c r="AB3" s="710"/>
      <c r="AC3" s="710"/>
      <c r="AD3" s="710"/>
      <c r="AE3" s="711" t="str">
        <f>表紙!$AQ$65</f>
        <v>受注伝票</v>
      </c>
      <c r="AF3" s="712"/>
      <c r="AG3" s="712"/>
      <c r="AH3" s="712"/>
      <c r="AI3" s="712"/>
      <c r="AJ3" s="712"/>
      <c r="AK3" s="712"/>
      <c r="AL3" s="712"/>
      <c r="AM3" s="712"/>
      <c r="AN3" s="712"/>
      <c r="AO3" s="712"/>
      <c r="AP3" s="712"/>
      <c r="AQ3" s="712"/>
      <c r="AR3" s="713"/>
      <c r="AS3" s="719"/>
      <c r="AT3" s="719"/>
      <c r="AU3" s="719"/>
      <c r="AV3" s="719"/>
      <c r="AW3" s="719"/>
      <c r="AX3" s="719"/>
      <c r="AY3" s="719"/>
      <c r="AZ3" s="700"/>
      <c r="BA3" s="701"/>
      <c r="BB3" s="701"/>
      <c r="BC3" s="701"/>
      <c r="BD3" s="701"/>
      <c r="BE3" s="721"/>
      <c r="BF3" s="700"/>
      <c r="BG3" s="701"/>
      <c r="BH3" s="701"/>
      <c r="BI3" s="701"/>
      <c r="BJ3" s="701"/>
      <c r="BK3" s="702"/>
    </row>
    <row r="4" spans="1:63" s="74" customFormat="1" ht="6.75" customHeight="1" thickBot="1">
      <c r="B4" s="70"/>
      <c r="C4" s="71"/>
      <c r="D4" s="71"/>
      <c r="E4" s="71"/>
      <c r="F4" s="72"/>
      <c r="G4" s="72"/>
      <c r="H4" s="72"/>
      <c r="I4" s="72"/>
      <c r="J4" s="71"/>
      <c r="K4" s="72"/>
      <c r="L4" s="72"/>
      <c r="M4" s="72"/>
      <c r="N4" s="72"/>
      <c r="O4" s="72"/>
      <c r="P4" s="72"/>
      <c r="Q4" s="73"/>
    </row>
    <row r="5" spans="1:63" s="74" customFormat="1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 t="s">
        <v>202</v>
      </c>
      <c r="AE5" s="108"/>
      <c r="AF5" s="108"/>
      <c r="AG5" s="108"/>
      <c r="AH5" s="108"/>
      <c r="AI5" s="108"/>
      <c r="AJ5" s="110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9"/>
    </row>
    <row r="6" spans="1:63" ht="15.75" customHeight="1">
      <c r="A6" s="162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3"/>
    </row>
    <row r="7" spans="1:63" ht="15.75" customHeight="1">
      <c r="A7" s="78"/>
      <c r="B7" s="163" t="s">
        <v>203</v>
      </c>
      <c r="C7" s="178"/>
      <c r="D7" s="178"/>
      <c r="E7" s="178"/>
      <c r="F7" s="178"/>
      <c r="G7" s="178"/>
      <c r="H7" s="164"/>
      <c r="I7" s="178" t="s">
        <v>121</v>
      </c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63" t="s">
        <v>186</v>
      </c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64"/>
      <c r="BK7" s="79"/>
    </row>
    <row r="8" spans="1:63" ht="15.75" customHeight="1">
      <c r="A8" s="78"/>
      <c r="B8" s="129" t="s">
        <v>385</v>
      </c>
      <c r="C8" s="176"/>
      <c r="D8" s="176"/>
      <c r="E8" s="176"/>
      <c r="F8" s="176"/>
      <c r="G8" s="176"/>
      <c r="H8" s="130"/>
      <c r="I8" s="176" t="s">
        <v>383</v>
      </c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29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30"/>
      <c r="BK8" s="79"/>
    </row>
    <row r="9" spans="1:63" ht="15.75" customHeight="1">
      <c r="A9" s="78"/>
      <c r="B9" s="129" t="s">
        <v>386</v>
      </c>
      <c r="C9" s="176"/>
      <c r="D9" s="176"/>
      <c r="E9" s="176"/>
      <c r="F9" s="176"/>
      <c r="G9" s="176"/>
      <c r="H9" s="130"/>
      <c r="I9" s="176" t="s">
        <v>384</v>
      </c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29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30"/>
      <c r="BK9" s="79"/>
    </row>
    <row r="10" spans="1:63" ht="15.75" customHeight="1">
      <c r="A10" s="78"/>
      <c r="B10" s="129"/>
      <c r="C10" s="176"/>
      <c r="D10" s="176"/>
      <c r="E10" s="176"/>
      <c r="F10" s="176"/>
      <c r="G10" s="176"/>
      <c r="H10" s="130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29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30"/>
      <c r="BK10" s="79"/>
    </row>
    <row r="11" spans="1:63" ht="15.75" customHeight="1">
      <c r="A11" s="78"/>
      <c r="B11" s="129"/>
      <c r="C11" s="176"/>
      <c r="D11" s="176"/>
      <c r="E11" s="176"/>
      <c r="F11" s="176"/>
      <c r="G11" s="176"/>
      <c r="H11" s="130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29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30"/>
      <c r="BK11" s="79"/>
    </row>
    <row r="12" spans="1:63" ht="15.75" customHeight="1">
      <c r="A12" s="78"/>
      <c r="B12" s="129"/>
      <c r="C12" s="176"/>
      <c r="D12" s="176"/>
      <c r="E12" s="176"/>
      <c r="F12" s="176"/>
      <c r="G12" s="176"/>
      <c r="H12" s="130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29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30"/>
      <c r="BK12" s="79"/>
    </row>
    <row r="13" spans="1:63" ht="15.75" customHeight="1">
      <c r="A13" s="78"/>
      <c r="B13" s="129"/>
      <c r="C13" s="176"/>
      <c r="D13" s="176"/>
      <c r="E13" s="176"/>
      <c r="F13" s="176"/>
      <c r="G13" s="176"/>
      <c r="H13" s="130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29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30"/>
      <c r="BK13" s="79"/>
    </row>
    <row r="14" spans="1:63" ht="15.75" customHeight="1">
      <c r="A14" s="78"/>
      <c r="B14" s="129"/>
      <c r="C14" s="176"/>
      <c r="D14" s="176"/>
      <c r="E14" s="176"/>
      <c r="F14" s="176"/>
      <c r="G14" s="176"/>
      <c r="H14" s="130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29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30"/>
      <c r="BK14" s="79"/>
    </row>
    <row r="15" spans="1:63" ht="15.75" customHeight="1">
      <c r="A15" s="78"/>
      <c r="B15" s="129"/>
      <c r="C15" s="176"/>
      <c r="D15" s="176"/>
      <c r="E15" s="176"/>
      <c r="F15" s="176"/>
      <c r="G15" s="176"/>
      <c r="H15" s="130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29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30"/>
      <c r="BK15" s="79"/>
    </row>
    <row r="16" spans="1:63" ht="15.75" customHeight="1">
      <c r="A16" s="78"/>
      <c r="B16" s="129"/>
      <c r="C16" s="176"/>
      <c r="D16" s="176"/>
      <c r="E16" s="176"/>
      <c r="F16" s="176"/>
      <c r="G16" s="176"/>
      <c r="H16" s="130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29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30"/>
      <c r="BK16" s="79"/>
    </row>
    <row r="17" spans="1:63" ht="15.75" customHeight="1">
      <c r="A17" s="78"/>
      <c r="B17" s="129"/>
      <c r="C17" s="176"/>
      <c r="D17" s="176"/>
      <c r="E17" s="176"/>
      <c r="F17" s="176"/>
      <c r="G17" s="176"/>
      <c r="H17" s="130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29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30"/>
      <c r="BK17" s="79"/>
    </row>
    <row r="18" spans="1:63" ht="15.75" customHeight="1">
      <c r="A18" s="78"/>
      <c r="B18" s="129"/>
      <c r="C18" s="176"/>
      <c r="D18" s="176"/>
      <c r="E18" s="176"/>
      <c r="F18" s="176"/>
      <c r="G18" s="176"/>
      <c r="H18" s="130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29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76"/>
      <c r="BI18" s="176"/>
      <c r="BJ18" s="130"/>
      <c r="BK18" s="79"/>
    </row>
    <row r="19" spans="1:63" ht="15.75" customHeight="1">
      <c r="A19" s="78"/>
      <c r="B19" s="129"/>
      <c r="C19" s="176"/>
      <c r="D19" s="176"/>
      <c r="E19" s="176"/>
      <c r="F19" s="176"/>
      <c r="G19" s="176"/>
      <c r="H19" s="130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29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76"/>
      <c r="BG19" s="176"/>
      <c r="BH19" s="176"/>
      <c r="BI19" s="176"/>
      <c r="BJ19" s="130"/>
      <c r="BK19" s="79"/>
    </row>
    <row r="20" spans="1:63" ht="15.75" customHeight="1">
      <c r="A20" s="78"/>
      <c r="B20" s="129"/>
      <c r="C20" s="176"/>
      <c r="D20" s="176"/>
      <c r="E20" s="176"/>
      <c r="F20" s="176"/>
      <c r="G20" s="176"/>
      <c r="H20" s="130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29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30"/>
      <c r="BK20" s="79"/>
    </row>
    <row r="21" spans="1:63" ht="15.75" customHeight="1">
      <c r="A21" s="78"/>
      <c r="B21" s="129"/>
      <c r="C21" s="176"/>
      <c r="D21" s="176"/>
      <c r="E21" s="176"/>
      <c r="F21" s="176"/>
      <c r="G21" s="176"/>
      <c r="H21" s="130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29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30"/>
      <c r="BK21" s="79"/>
    </row>
    <row r="22" spans="1:63" ht="15.75" customHeight="1">
      <c r="A22" s="78"/>
      <c r="B22" s="129"/>
      <c r="C22" s="176"/>
      <c r="D22" s="176"/>
      <c r="E22" s="176"/>
      <c r="F22" s="176"/>
      <c r="G22" s="176"/>
      <c r="H22" s="130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29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30"/>
      <c r="BK22" s="79"/>
    </row>
    <row r="23" spans="1:63" ht="15.75" customHeight="1">
      <c r="A23" s="78"/>
      <c r="B23" s="129"/>
      <c r="C23" s="176"/>
      <c r="D23" s="176"/>
      <c r="E23" s="176"/>
      <c r="F23" s="176"/>
      <c r="G23" s="176"/>
      <c r="H23" s="130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29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30"/>
      <c r="BK23" s="79"/>
    </row>
    <row r="24" spans="1:63" ht="15.75" customHeight="1">
      <c r="A24" s="78"/>
      <c r="B24" s="129"/>
      <c r="C24" s="176"/>
      <c r="D24" s="176"/>
      <c r="E24" s="176"/>
      <c r="F24" s="176"/>
      <c r="G24" s="176"/>
      <c r="H24" s="130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29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176"/>
      <c r="BA24" s="176"/>
      <c r="BB24" s="176"/>
      <c r="BC24" s="176"/>
      <c r="BD24" s="176"/>
      <c r="BE24" s="176"/>
      <c r="BF24" s="176"/>
      <c r="BG24" s="176"/>
      <c r="BH24" s="176"/>
      <c r="BI24" s="176"/>
      <c r="BJ24" s="130"/>
      <c r="BK24" s="79"/>
    </row>
    <row r="25" spans="1:63" ht="15.75" customHeight="1">
      <c r="A25" s="78"/>
      <c r="B25" s="129"/>
      <c r="C25" s="176"/>
      <c r="D25" s="176"/>
      <c r="E25" s="176"/>
      <c r="F25" s="176"/>
      <c r="G25" s="176"/>
      <c r="H25" s="130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29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76"/>
      <c r="BB25" s="176"/>
      <c r="BC25" s="176"/>
      <c r="BD25" s="176"/>
      <c r="BE25" s="176"/>
      <c r="BF25" s="176"/>
      <c r="BG25" s="176"/>
      <c r="BH25" s="176"/>
      <c r="BI25" s="176"/>
      <c r="BJ25" s="130"/>
      <c r="BK25" s="79"/>
    </row>
    <row r="26" spans="1:63" ht="15.75" customHeight="1">
      <c r="A26" s="78"/>
      <c r="B26" s="129"/>
      <c r="C26" s="176"/>
      <c r="D26" s="176"/>
      <c r="E26" s="176"/>
      <c r="F26" s="176"/>
      <c r="G26" s="176"/>
      <c r="H26" s="130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29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30"/>
      <c r="BK26" s="79"/>
    </row>
    <row r="27" spans="1:63" ht="15.75" customHeight="1">
      <c r="A27" s="78"/>
      <c r="B27" s="129"/>
      <c r="C27" s="176"/>
      <c r="D27" s="176"/>
      <c r="E27" s="176"/>
      <c r="F27" s="176"/>
      <c r="G27" s="176"/>
      <c r="H27" s="130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29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/>
      <c r="BJ27" s="130"/>
      <c r="BK27" s="79"/>
    </row>
    <row r="28" spans="1:63" ht="15.75" customHeight="1">
      <c r="A28" s="78"/>
      <c r="B28" s="129"/>
      <c r="C28" s="176"/>
      <c r="D28" s="176"/>
      <c r="E28" s="176"/>
      <c r="F28" s="176"/>
      <c r="G28" s="176"/>
      <c r="H28" s="130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29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76"/>
      <c r="BA28" s="176"/>
      <c r="BB28" s="176"/>
      <c r="BC28" s="176"/>
      <c r="BD28" s="176"/>
      <c r="BE28" s="176"/>
      <c r="BF28" s="176"/>
      <c r="BG28" s="176"/>
      <c r="BH28" s="176"/>
      <c r="BI28" s="176"/>
      <c r="BJ28" s="130"/>
      <c r="BK28" s="79"/>
    </row>
    <row r="29" spans="1:63" ht="15.75" customHeight="1">
      <c r="A29" s="78"/>
      <c r="B29" s="129"/>
      <c r="C29" s="176"/>
      <c r="D29" s="176"/>
      <c r="E29" s="176"/>
      <c r="F29" s="176"/>
      <c r="G29" s="176"/>
      <c r="H29" s="130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29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  <c r="BE29" s="176"/>
      <c r="BF29" s="176"/>
      <c r="BG29" s="176"/>
      <c r="BH29" s="176"/>
      <c r="BI29" s="176"/>
      <c r="BJ29" s="130"/>
      <c r="BK29" s="79"/>
    </row>
    <row r="30" spans="1:63" ht="15.75" customHeight="1">
      <c r="A30" s="78"/>
      <c r="B30" s="129"/>
      <c r="C30" s="176"/>
      <c r="D30" s="176"/>
      <c r="E30" s="176"/>
      <c r="F30" s="176"/>
      <c r="G30" s="176"/>
      <c r="H30" s="130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29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176"/>
      <c r="AV30" s="176"/>
      <c r="AW30" s="176"/>
      <c r="AX30" s="176"/>
      <c r="AY30" s="176"/>
      <c r="AZ30" s="176"/>
      <c r="BA30" s="176"/>
      <c r="BB30" s="176"/>
      <c r="BC30" s="176"/>
      <c r="BD30" s="176"/>
      <c r="BE30" s="176"/>
      <c r="BF30" s="176"/>
      <c r="BG30" s="176"/>
      <c r="BH30" s="176"/>
      <c r="BI30" s="176"/>
      <c r="BJ30" s="130"/>
      <c r="BK30" s="79"/>
    </row>
    <row r="31" spans="1:63" ht="15.75" customHeight="1">
      <c r="A31" s="78"/>
      <c r="B31" s="129"/>
      <c r="C31" s="176"/>
      <c r="D31" s="176"/>
      <c r="E31" s="176"/>
      <c r="F31" s="176"/>
      <c r="G31" s="176"/>
      <c r="H31" s="130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29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  <c r="BH31" s="176"/>
      <c r="BI31" s="176"/>
      <c r="BJ31" s="130"/>
      <c r="BK31" s="79"/>
    </row>
    <row r="32" spans="1:63" ht="15.75" customHeight="1">
      <c r="A32" s="78"/>
      <c r="B32" s="129"/>
      <c r="C32" s="176"/>
      <c r="D32" s="176"/>
      <c r="E32" s="176"/>
      <c r="F32" s="176"/>
      <c r="G32" s="176"/>
      <c r="H32" s="130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29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  <c r="BE32" s="176"/>
      <c r="BF32" s="176"/>
      <c r="BG32" s="176"/>
      <c r="BH32" s="176"/>
      <c r="BI32" s="176"/>
      <c r="BJ32" s="130"/>
      <c r="BK32" s="79"/>
    </row>
    <row r="33" spans="1:63" ht="15.75" customHeight="1">
      <c r="A33" s="78"/>
      <c r="B33" s="129"/>
      <c r="C33" s="176"/>
      <c r="D33" s="176"/>
      <c r="E33" s="176"/>
      <c r="F33" s="176"/>
      <c r="G33" s="176"/>
      <c r="H33" s="130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29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76"/>
      <c r="BG33" s="176"/>
      <c r="BH33" s="176"/>
      <c r="BI33" s="176"/>
      <c r="BJ33" s="130"/>
      <c r="BK33" s="79"/>
    </row>
    <row r="34" spans="1:63" ht="15.75" customHeight="1">
      <c r="A34" s="78"/>
      <c r="B34" s="129"/>
      <c r="C34" s="176"/>
      <c r="D34" s="176"/>
      <c r="E34" s="176"/>
      <c r="F34" s="176"/>
      <c r="G34" s="176"/>
      <c r="H34" s="130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29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6"/>
      <c r="AX34" s="176"/>
      <c r="AY34" s="176"/>
      <c r="AZ34" s="176"/>
      <c r="BA34" s="176"/>
      <c r="BB34" s="176"/>
      <c r="BC34" s="176"/>
      <c r="BD34" s="176"/>
      <c r="BE34" s="176"/>
      <c r="BF34" s="176"/>
      <c r="BG34" s="176"/>
      <c r="BH34" s="176"/>
      <c r="BI34" s="176"/>
      <c r="BJ34" s="130"/>
      <c r="BK34" s="79"/>
    </row>
    <row r="35" spans="1:63" ht="15.75" customHeight="1" thickBot="1">
      <c r="A35" s="80"/>
      <c r="B35" s="75"/>
      <c r="C35" s="16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159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81"/>
    </row>
    <row r="36" spans="1:63" ht="15.75" customHeight="1">
      <c r="C36" s="77"/>
      <c r="D36" s="77"/>
      <c r="E36" s="77"/>
      <c r="J36" s="77"/>
    </row>
    <row r="37" spans="1:63" ht="15.75" customHeight="1">
      <c r="C37" s="77"/>
      <c r="D37" s="77"/>
      <c r="E37" s="77"/>
      <c r="J37" s="77"/>
    </row>
    <row r="38" spans="1:63" ht="15.75" customHeight="1">
      <c r="C38" s="77"/>
      <c r="D38" s="77"/>
      <c r="E38" s="77"/>
      <c r="J38" s="77"/>
    </row>
    <row r="39" spans="1:63" ht="15.75" customHeight="1">
      <c r="C39" s="77"/>
      <c r="D39" s="77"/>
      <c r="E39" s="77"/>
      <c r="J39" s="77"/>
    </row>
    <row r="40" spans="1:63" ht="15.75" customHeight="1">
      <c r="C40" s="77"/>
      <c r="D40" s="77"/>
      <c r="E40" s="77"/>
      <c r="J40" s="77"/>
    </row>
    <row r="41" spans="1:63" ht="15.75" customHeight="1">
      <c r="C41" s="77"/>
      <c r="D41" s="77"/>
      <c r="E41" s="77"/>
      <c r="J41" s="77"/>
    </row>
    <row r="42" spans="1:63" ht="15.75" customHeight="1">
      <c r="C42" s="77"/>
      <c r="D42" s="77"/>
      <c r="E42" s="77"/>
      <c r="J42" s="77"/>
    </row>
    <row r="43" spans="1:63" ht="15.75" customHeight="1">
      <c r="C43" s="77"/>
      <c r="D43" s="77"/>
      <c r="E43" s="77"/>
      <c r="J43" s="77"/>
    </row>
    <row r="44" spans="1:63" ht="15.75" customHeight="1">
      <c r="C44" s="77"/>
      <c r="D44" s="77"/>
      <c r="E44" s="77"/>
      <c r="J44" s="77"/>
    </row>
    <row r="45" spans="1:63" ht="15.75" customHeight="1">
      <c r="C45" s="77"/>
      <c r="D45" s="77"/>
      <c r="E45" s="77"/>
      <c r="J45" s="77"/>
    </row>
    <row r="46" spans="1:63" ht="15.75" customHeight="1">
      <c r="C46" s="77"/>
      <c r="D46" s="77"/>
      <c r="E46" s="77"/>
      <c r="J46" s="77"/>
    </row>
    <row r="47" spans="1:63" ht="15.75" customHeight="1">
      <c r="C47" s="77"/>
      <c r="D47" s="77"/>
      <c r="E47" s="77"/>
      <c r="J47" s="77"/>
    </row>
    <row r="48" spans="1:63" ht="15.75" customHeight="1">
      <c r="C48" s="77"/>
      <c r="D48" s="77"/>
      <c r="E48" s="77"/>
      <c r="J48" s="77"/>
    </row>
    <row r="49" spans="3:10" ht="15.75" customHeight="1">
      <c r="C49" s="77"/>
      <c r="D49" s="77"/>
      <c r="E49" s="77"/>
      <c r="J49" s="77"/>
    </row>
    <row r="50" spans="3:10" ht="15.75" customHeight="1">
      <c r="C50" s="77"/>
      <c r="D50" s="77"/>
      <c r="E50" s="77"/>
      <c r="J50" s="77"/>
    </row>
    <row r="51" spans="3:10" ht="15.75" customHeight="1">
      <c r="C51" s="77"/>
      <c r="D51" s="77"/>
      <c r="E51" s="77"/>
      <c r="J51" s="77"/>
    </row>
    <row r="52" spans="3:10" ht="15.75" customHeight="1">
      <c r="C52" s="77"/>
      <c r="D52" s="77"/>
      <c r="E52" s="77"/>
      <c r="J52" s="77"/>
    </row>
    <row r="53" spans="3:10" ht="15.75" customHeight="1">
      <c r="C53" s="77"/>
      <c r="D53" s="77"/>
      <c r="E53" s="77"/>
      <c r="J53" s="77"/>
    </row>
    <row r="54" spans="3:10" ht="15.75" customHeight="1">
      <c r="C54" s="77"/>
      <c r="D54" s="77"/>
      <c r="E54" s="77"/>
      <c r="J54" s="77"/>
    </row>
    <row r="55" spans="3:10" ht="15.75" customHeight="1">
      <c r="C55" s="77"/>
      <c r="D55" s="77"/>
      <c r="E55" s="77"/>
      <c r="J55" s="77"/>
    </row>
    <row r="56" spans="3:10" ht="15.75" customHeight="1">
      <c r="C56" s="77"/>
      <c r="D56" s="77"/>
      <c r="E56" s="77"/>
      <c r="J56" s="77"/>
    </row>
    <row r="57" spans="3:10" ht="15.75" customHeight="1">
      <c r="C57" s="77"/>
      <c r="D57" s="77"/>
      <c r="E57" s="77"/>
      <c r="J57" s="77"/>
    </row>
    <row r="58" spans="3:10" ht="15.75" customHeight="1">
      <c r="C58" s="77"/>
      <c r="D58" s="77"/>
      <c r="E58" s="77"/>
      <c r="J58" s="77"/>
    </row>
    <row r="59" spans="3:10" ht="15.75" customHeight="1">
      <c r="C59" s="77"/>
      <c r="D59" s="77"/>
      <c r="E59" s="77"/>
      <c r="J59" s="77"/>
    </row>
    <row r="60" spans="3:10" ht="15.75" customHeight="1">
      <c r="C60" s="77"/>
      <c r="D60" s="77"/>
      <c r="E60" s="77"/>
      <c r="J60" s="77"/>
    </row>
    <row r="61" spans="3:10" ht="15.75" customHeight="1">
      <c r="C61" s="77"/>
      <c r="D61" s="77"/>
      <c r="E61" s="77"/>
      <c r="J61" s="77"/>
    </row>
    <row r="62" spans="3:10" ht="15.75" customHeight="1">
      <c r="C62" s="77"/>
      <c r="D62" s="77"/>
      <c r="E62" s="77"/>
      <c r="J62" s="77"/>
    </row>
    <row r="63" spans="3:10" ht="15.75" customHeight="1">
      <c r="C63" s="77"/>
      <c r="D63" s="77"/>
      <c r="E63" s="77"/>
      <c r="J63" s="77"/>
    </row>
    <row r="64" spans="3:10" ht="15.75" customHeight="1">
      <c r="C64" s="77"/>
      <c r="D64" s="77"/>
      <c r="E64" s="77"/>
      <c r="J64" s="77"/>
    </row>
    <row r="65" spans="3:10" ht="15.75" customHeight="1">
      <c r="C65" s="77"/>
      <c r="D65" s="77"/>
      <c r="E65" s="77"/>
      <c r="J65" s="77"/>
    </row>
    <row r="66" spans="3:10" ht="15.75" customHeight="1">
      <c r="C66" s="77"/>
      <c r="D66" s="77"/>
      <c r="E66" s="77"/>
      <c r="J66" s="77"/>
    </row>
    <row r="67" spans="3:10" ht="15.75" customHeight="1">
      <c r="C67" s="77"/>
      <c r="D67" s="77"/>
      <c r="E67" s="77"/>
      <c r="J67" s="77"/>
    </row>
    <row r="68" spans="3:10" ht="15.75" customHeight="1">
      <c r="C68" s="77"/>
      <c r="D68" s="77"/>
      <c r="E68" s="77"/>
      <c r="J68" s="77"/>
    </row>
    <row r="69" spans="3:10" ht="15.75" customHeight="1">
      <c r="C69" s="77"/>
      <c r="D69" s="77"/>
      <c r="E69" s="77"/>
      <c r="J69" s="77"/>
    </row>
    <row r="70" spans="3:10" ht="15.75" customHeight="1">
      <c r="C70" s="77"/>
      <c r="D70" s="77"/>
      <c r="E70" s="77"/>
      <c r="J70" s="77"/>
    </row>
    <row r="71" spans="3:10" ht="15.75" customHeight="1">
      <c r="C71" s="77"/>
      <c r="D71" s="77"/>
      <c r="E71" s="77"/>
      <c r="J71" s="77"/>
    </row>
    <row r="72" spans="3:10" ht="15.75" customHeight="1">
      <c r="C72" s="77"/>
      <c r="D72" s="77"/>
      <c r="E72" s="77"/>
      <c r="J72" s="77"/>
    </row>
    <row r="73" spans="3:10" ht="15.75" customHeight="1">
      <c r="C73" s="77"/>
      <c r="D73" s="77"/>
      <c r="E73" s="77"/>
      <c r="J73" s="77"/>
    </row>
    <row r="74" spans="3:10" ht="15.75" customHeight="1">
      <c r="C74" s="77"/>
      <c r="D74" s="77"/>
      <c r="E74" s="77"/>
      <c r="J74" s="77"/>
    </row>
    <row r="75" spans="3:10" ht="15.75" customHeight="1">
      <c r="C75" s="77"/>
      <c r="D75" s="77"/>
      <c r="E75" s="77"/>
      <c r="J75" s="77"/>
    </row>
    <row r="76" spans="3:10" ht="15.75" customHeight="1">
      <c r="C76" s="77"/>
      <c r="D76" s="77"/>
      <c r="E76" s="77"/>
      <c r="J76" s="77"/>
    </row>
    <row r="77" spans="3:10" ht="15.75" customHeight="1">
      <c r="C77" s="77"/>
      <c r="D77" s="77"/>
      <c r="E77" s="77"/>
      <c r="J77" s="77"/>
    </row>
    <row r="78" spans="3:10" ht="15.75" customHeight="1">
      <c r="C78" s="77"/>
      <c r="D78" s="77"/>
      <c r="E78" s="77"/>
      <c r="J78" s="77"/>
    </row>
    <row r="79" spans="3:10" ht="15.75" customHeight="1">
      <c r="C79" s="77"/>
      <c r="D79" s="77"/>
      <c r="E79" s="77"/>
      <c r="J79" s="77"/>
    </row>
    <row r="80" spans="3:10" ht="15.75" customHeight="1">
      <c r="C80" s="77"/>
      <c r="D80" s="77"/>
      <c r="E80" s="77"/>
      <c r="J80" s="77"/>
    </row>
    <row r="81" spans="3:10" ht="15.75" customHeight="1">
      <c r="C81" s="77"/>
      <c r="D81" s="77"/>
      <c r="E81" s="77"/>
      <c r="J81" s="77"/>
    </row>
    <row r="82" spans="3:10" ht="15.75" customHeight="1">
      <c r="C82" s="77"/>
      <c r="D82" s="77"/>
      <c r="E82" s="77"/>
      <c r="J82" s="77"/>
    </row>
    <row r="83" spans="3:10" ht="15.75" customHeight="1">
      <c r="C83" s="77"/>
      <c r="D83" s="77"/>
      <c r="E83" s="77"/>
      <c r="J83" s="77"/>
    </row>
    <row r="84" spans="3:10" ht="15.75" customHeight="1">
      <c r="C84" s="77"/>
      <c r="D84" s="77"/>
      <c r="E84" s="77"/>
      <c r="J84" s="77"/>
    </row>
    <row r="85" spans="3:10" ht="15.75" customHeight="1">
      <c r="C85" s="77"/>
      <c r="D85" s="77"/>
      <c r="E85" s="77"/>
      <c r="J85" s="77"/>
    </row>
    <row r="86" spans="3:10" ht="15.75" customHeight="1">
      <c r="C86" s="77"/>
      <c r="D86" s="77"/>
      <c r="E86" s="77"/>
      <c r="J86" s="77"/>
    </row>
    <row r="87" spans="3:10" ht="15.75" customHeight="1">
      <c r="C87" s="77"/>
      <c r="D87" s="77"/>
      <c r="E87" s="77"/>
      <c r="J87" s="77"/>
    </row>
    <row r="88" spans="3:10" ht="15.75" customHeight="1">
      <c r="C88" s="77"/>
      <c r="D88" s="77"/>
      <c r="E88" s="77"/>
      <c r="J88" s="77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scale="67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EVCTUWYQZQYC-538864054-22816</_dlc_DocId>
    <_dlc_DocIdUrl xmlns="276bdb53-d102-4a67-8437-273e78fbb7dc">
      <Url>https://mitsubishielectricgroup.sharepoint.com/sites/009989/_layouts/15/DocIdRedir.aspx?ID=EVCTUWYQZQYC-538864054-22816</Url>
      <Description>EVCTUWYQZQYC-538864054-22816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29969CD-35F2-4CA6-854B-DE6A81E43A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D1126-534A-4770-99C8-279663C82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B0440-E3C5-4C1A-9926-75CF195C9894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4.xml><?xml version="1.0" encoding="utf-8"?>
<ds:datastoreItem xmlns:ds="http://schemas.openxmlformats.org/officeDocument/2006/customXml" ds:itemID="{9F0B6633-BBE8-4406-A12A-A169A314D81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30</vt:i4>
      </vt:variant>
    </vt:vector>
  </HeadingPairs>
  <TitlesOfParts>
    <vt:vector size="39" baseType="lpstr">
      <vt:lpstr>目次</vt:lpstr>
      <vt:lpstr>表紙</vt:lpstr>
      <vt:lpstr>改訂</vt:lpstr>
      <vt:lpstr>概要</vt:lpstr>
      <vt:lpstr>帳票イメージ</vt:lpstr>
      <vt:lpstr>項目説明 </vt:lpstr>
      <vt:lpstr>処理概要</vt:lpstr>
      <vt:lpstr>処理詳細</vt:lpstr>
      <vt:lpstr>出力元画面</vt:lpstr>
      <vt:lpstr>概要!Print_Area</vt:lpstr>
      <vt:lpstr>'項目説明 '!Print_Area</vt:lpstr>
      <vt:lpstr>処理概要!Print_Area</vt:lpstr>
      <vt:lpstr>処理詳細!Print_Area</vt:lpstr>
      <vt:lpstr>帳票イメージ!Print_Area</vt:lpstr>
      <vt:lpstr>表紙!Print_Area</vt:lpstr>
      <vt:lpstr>概要!Print_Titles</vt:lpstr>
      <vt:lpstr>'項目説明 '!Print_Titles</vt:lpstr>
      <vt:lpstr>出力元画面!Print_Titles</vt:lpstr>
      <vt:lpstr>処理概要!Print_Titles</vt:lpstr>
      <vt:lpstr>処理詳細!Print_Titles</vt:lpstr>
      <vt:lpstr>帳票イメージ!Print_Titles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jun zhu</cp:lastModifiedBy>
  <cp:revision/>
  <cp:lastPrinted>2022-10-13T06:50:47Z</cp:lastPrinted>
  <dcterms:created xsi:type="dcterms:W3CDTF">1997-07-09T00:24:33Z</dcterms:created>
  <dcterms:modified xsi:type="dcterms:W3CDTF">2023-04-11T06:03:47Z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27e8aade-d926-4965-92d9-10deaaf70aa6</vt:lpwstr>
  </property>
  <property fmtid="{D5CDD505-2E9C-101B-9397-08002B2CF9AE}" pid="4" name="MediaServiceImageTags">
    <vt:lpwstr/>
  </property>
</Properties>
</file>